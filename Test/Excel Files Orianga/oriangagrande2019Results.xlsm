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17" codeName="{7A2D7E96-6E34-419A-AE5F-296B3A7E7977}"/>
  <workbookPr codeName="ThisWorkbook" autoCompressPictures="0"/>
  <bookViews>
    <workbookView xWindow="0" yWindow="40" windowWidth="20820" windowHeight="17200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20" r:id="rId6"/>
    <sheet name="grove" sheetId="19" r:id="rId7"/>
    <sheet name="P05" sheetId="18" r:id="rId8"/>
    <sheet name="P07" sheetId="17" r:id="rId9"/>
    <sheet name="S15" sheetId="16" r:id="rId10"/>
    <sheet name="S48" sheetId="15" r:id="rId11"/>
    <sheet name="S61" sheetId="14" r:id="rId12"/>
    <sheet name="ORA" sheetId="13" r:id="rId13"/>
    <sheet name="POJ" sheetId="12" r:id="rId14"/>
    <sheet name="ROJ" sheetId="11" r:id="rId15"/>
    <sheet name="FCOJ" sheetId="10" r:id="rId16"/>
    <sheet name="market" sheetId="9" r:id="rId17"/>
  </sheets>
  <definedNames>
    <definedName name="AddColumn1">shipping_manufacturing!$I$4:$I$12</definedName>
    <definedName name="AddColumn2">shipping_manufacturing!$G$16:$G$20</definedName>
    <definedName name="AddColumn3">shipping_manufacturing!$H$24:$H$31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16" i="20" l="1"/>
  <c r="S15" i="20"/>
  <c r="S14" i="20"/>
  <c r="H40" i="20"/>
  <c r="H39" i="20"/>
  <c r="S39" i="20"/>
  <c r="H38" i="20"/>
  <c r="H35" i="20"/>
  <c r="S42" i="20"/>
  <c r="H34" i="20"/>
  <c r="H33" i="20"/>
  <c r="S36" i="20"/>
  <c r="H30" i="20"/>
  <c r="H29" i="20"/>
  <c r="H28" i="20"/>
  <c r="S40" i="20"/>
  <c r="H27" i="20"/>
  <c r="S37" i="20"/>
  <c r="H24" i="20"/>
  <c r="H23" i="20"/>
  <c r="H15" i="20"/>
  <c r="H14" i="20"/>
  <c r="H13" i="20"/>
  <c r="AZ170" i="14"/>
  <c r="AZ121" i="14"/>
  <c r="AZ108" i="14"/>
  <c r="AZ99" i="14"/>
  <c r="AZ92" i="14"/>
  <c r="AZ170" i="15"/>
  <c r="AZ121" i="15"/>
  <c r="AZ108" i="15"/>
  <c r="AZ99" i="15"/>
  <c r="AZ92" i="15"/>
  <c r="AZ170" i="16"/>
  <c r="AZ121" i="16"/>
  <c r="AZ108" i="16"/>
  <c r="AZ99" i="16"/>
  <c r="AZ92" i="16"/>
  <c r="AZ42" i="17"/>
  <c r="AZ43" i="17"/>
  <c r="AZ53" i="17"/>
  <c r="AZ54" i="17"/>
  <c r="AZ64" i="17"/>
  <c r="AZ65" i="17"/>
  <c r="AZ42" i="18"/>
  <c r="AZ43" i="18"/>
  <c r="AZ53" i="18"/>
  <c r="AZ54" i="18"/>
  <c r="AZ64" i="18"/>
  <c r="AZ65" i="18"/>
  <c r="T25" i="20"/>
  <c r="T19" i="20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D112" i="10"/>
  <c r="E112" i="10"/>
  <c r="F112" i="10"/>
  <c r="G112" i="10"/>
  <c r="H112" i="10"/>
  <c r="I112" i="10"/>
  <c r="J112" i="10"/>
  <c r="K112" i="10"/>
  <c r="L112" i="10"/>
  <c r="M112" i="10"/>
  <c r="N112" i="10"/>
  <c r="O112" i="10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D114" i="10"/>
  <c r="E114" i="10"/>
  <c r="F114" i="10"/>
  <c r="G114" i="10"/>
  <c r="H114" i="10"/>
  <c r="I114" i="10"/>
  <c r="J114" i="10"/>
  <c r="K114" i="10"/>
  <c r="L114" i="10"/>
  <c r="M114" i="10"/>
  <c r="N114" i="10"/>
  <c r="O114" i="10"/>
  <c r="D115" i="10"/>
  <c r="E115" i="10"/>
  <c r="F115" i="10"/>
  <c r="G115" i="10"/>
  <c r="H115" i="10"/>
  <c r="I115" i="10"/>
  <c r="J115" i="10"/>
  <c r="K115" i="10"/>
  <c r="L115" i="10"/>
  <c r="M115" i="10"/>
  <c r="N115" i="10"/>
  <c r="O115" i="10"/>
  <c r="D116" i="10"/>
  <c r="E116" i="10"/>
  <c r="F116" i="10"/>
  <c r="G116" i="10"/>
  <c r="H116" i="10"/>
  <c r="I116" i="10"/>
  <c r="J116" i="10"/>
  <c r="K116" i="10"/>
  <c r="L116" i="10"/>
  <c r="M116" i="10"/>
  <c r="N116" i="10"/>
  <c r="O116" i="10"/>
  <c r="D120" i="10"/>
  <c r="E120" i="10"/>
  <c r="F120" i="10"/>
  <c r="G120" i="10"/>
  <c r="H120" i="10"/>
  <c r="I120" i="10"/>
  <c r="J120" i="10"/>
  <c r="K120" i="10"/>
  <c r="L120" i="10"/>
  <c r="M120" i="10"/>
  <c r="N120" i="10"/>
  <c r="O120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D122" i="10"/>
  <c r="E122" i="10"/>
  <c r="F122" i="10"/>
  <c r="G122" i="10"/>
  <c r="H122" i="10"/>
  <c r="I122" i="10"/>
  <c r="J122" i="10"/>
  <c r="K122" i="10"/>
  <c r="L122" i="10"/>
  <c r="M122" i="10"/>
  <c r="N122" i="10"/>
  <c r="O122" i="10"/>
  <c r="D123" i="10"/>
  <c r="E123" i="10"/>
  <c r="F123" i="10"/>
  <c r="G123" i="10"/>
  <c r="H123" i="10"/>
  <c r="I123" i="10"/>
  <c r="J123" i="10"/>
  <c r="K123" i="10"/>
  <c r="L123" i="10"/>
  <c r="M123" i="10"/>
  <c r="N123" i="10"/>
  <c r="O123" i="10"/>
  <c r="D124" i="10"/>
  <c r="E124" i="10"/>
  <c r="F124" i="10"/>
  <c r="G124" i="10"/>
  <c r="H124" i="10"/>
  <c r="I124" i="10"/>
  <c r="J124" i="10"/>
  <c r="K124" i="10"/>
  <c r="L124" i="10"/>
  <c r="M124" i="10"/>
  <c r="N124" i="10"/>
  <c r="O124" i="10"/>
  <c r="D125" i="10"/>
  <c r="E125" i="10"/>
  <c r="F125" i="10"/>
  <c r="G125" i="10"/>
  <c r="H125" i="10"/>
  <c r="I125" i="10"/>
  <c r="J125" i="10"/>
  <c r="K125" i="10"/>
  <c r="L125" i="10"/>
  <c r="M125" i="10"/>
  <c r="N125" i="10"/>
  <c r="O125" i="10"/>
  <c r="D126" i="10"/>
  <c r="E126" i="10"/>
  <c r="F126" i="10"/>
  <c r="G126" i="10"/>
  <c r="H126" i="10"/>
  <c r="I126" i="10"/>
  <c r="J126" i="10"/>
  <c r="K126" i="10"/>
  <c r="L126" i="10"/>
  <c r="M126" i="10"/>
  <c r="N126" i="10"/>
  <c r="O126" i="10"/>
  <c r="D127" i="10"/>
  <c r="E127" i="10"/>
  <c r="F127" i="10"/>
  <c r="G127" i="10"/>
  <c r="H127" i="10"/>
  <c r="I127" i="10"/>
  <c r="J127" i="10"/>
  <c r="K127" i="10"/>
  <c r="L127" i="10"/>
  <c r="M127" i="10"/>
  <c r="N127" i="10"/>
  <c r="O127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38" i="10"/>
  <c r="E138" i="10"/>
  <c r="F138" i="10"/>
  <c r="G138" i="10"/>
  <c r="H138" i="10"/>
  <c r="I138" i="10"/>
  <c r="J138" i="10"/>
  <c r="K138" i="10"/>
  <c r="L138" i="10"/>
  <c r="M138" i="10"/>
  <c r="N138" i="10"/>
  <c r="O138" i="10"/>
  <c r="D109" i="11"/>
  <c r="E109" i="11"/>
  <c r="F109" i="11"/>
  <c r="G109" i="11"/>
  <c r="H109" i="11"/>
  <c r="I109" i="11"/>
  <c r="J109" i="11"/>
  <c r="K109" i="11"/>
  <c r="L109" i="11"/>
  <c r="M109" i="11"/>
  <c r="N109" i="11"/>
  <c r="O109" i="11"/>
  <c r="D110" i="11"/>
  <c r="E110" i="11"/>
  <c r="F110" i="11"/>
  <c r="G110" i="11"/>
  <c r="H110" i="11"/>
  <c r="I110" i="11"/>
  <c r="J110" i="11"/>
  <c r="K110" i="11"/>
  <c r="L110" i="11"/>
  <c r="M110" i="11"/>
  <c r="N110" i="11"/>
  <c r="O110" i="11"/>
  <c r="D111" i="11"/>
  <c r="E111" i="11"/>
  <c r="F111" i="11"/>
  <c r="G111" i="11"/>
  <c r="H111" i="11"/>
  <c r="I111" i="11"/>
  <c r="J111" i="11"/>
  <c r="K111" i="11"/>
  <c r="L111" i="11"/>
  <c r="M111" i="11"/>
  <c r="N111" i="11"/>
  <c r="O111" i="11"/>
  <c r="D112" i="11"/>
  <c r="E112" i="11"/>
  <c r="F112" i="11"/>
  <c r="G112" i="11"/>
  <c r="H112" i="11"/>
  <c r="I112" i="11"/>
  <c r="J112" i="11"/>
  <c r="K112" i="11"/>
  <c r="L112" i="11"/>
  <c r="M112" i="11"/>
  <c r="N112" i="11"/>
  <c r="O112" i="11"/>
  <c r="D113" i="11"/>
  <c r="E113" i="11"/>
  <c r="F113" i="11"/>
  <c r="G113" i="11"/>
  <c r="H113" i="11"/>
  <c r="I113" i="11"/>
  <c r="J113" i="11"/>
  <c r="K113" i="11"/>
  <c r="L113" i="11"/>
  <c r="M113" i="11"/>
  <c r="N113" i="11"/>
  <c r="O113" i="11"/>
  <c r="D114" i="11"/>
  <c r="E114" i="11"/>
  <c r="F114" i="11"/>
  <c r="G114" i="11"/>
  <c r="H114" i="11"/>
  <c r="I114" i="11"/>
  <c r="J114" i="11"/>
  <c r="K114" i="11"/>
  <c r="L114" i="11"/>
  <c r="M114" i="11"/>
  <c r="N114" i="11"/>
  <c r="O114" i="11"/>
  <c r="D115" i="11"/>
  <c r="E115" i="11"/>
  <c r="F115" i="11"/>
  <c r="G115" i="11"/>
  <c r="H115" i="11"/>
  <c r="I115" i="11"/>
  <c r="J115" i="11"/>
  <c r="K115" i="11"/>
  <c r="L115" i="11"/>
  <c r="M115" i="11"/>
  <c r="N115" i="11"/>
  <c r="O115" i="11"/>
  <c r="D116" i="11"/>
  <c r="E116" i="11"/>
  <c r="F116" i="11"/>
  <c r="G116" i="11"/>
  <c r="H116" i="11"/>
  <c r="I116" i="11"/>
  <c r="J116" i="11"/>
  <c r="K116" i="11"/>
  <c r="L116" i="11"/>
  <c r="M116" i="11"/>
  <c r="N116" i="11"/>
  <c r="O116" i="11"/>
  <c r="D120" i="11"/>
  <c r="E120" i="11"/>
  <c r="F120" i="11"/>
  <c r="G120" i="11"/>
  <c r="H120" i="11"/>
  <c r="I120" i="11"/>
  <c r="J120" i="11"/>
  <c r="K120" i="11"/>
  <c r="L120" i="11"/>
  <c r="M120" i="11"/>
  <c r="N120" i="11"/>
  <c r="O120" i="11"/>
  <c r="D121" i="11"/>
  <c r="E121" i="11"/>
  <c r="F121" i="11"/>
  <c r="G121" i="11"/>
  <c r="H121" i="11"/>
  <c r="I121" i="11"/>
  <c r="J121" i="11"/>
  <c r="K121" i="11"/>
  <c r="L121" i="11"/>
  <c r="M121" i="11"/>
  <c r="N121" i="11"/>
  <c r="O121" i="11"/>
  <c r="D122" i="11"/>
  <c r="E122" i="11"/>
  <c r="F122" i="11"/>
  <c r="G122" i="11"/>
  <c r="H122" i="11"/>
  <c r="I122" i="11"/>
  <c r="J122" i="11"/>
  <c r="K122" i="11"/>
  <c r="L122" i="11"/>
  <c r="M122" i="11"/>
  <c r="N122" i="11"/>
  <c r="O122" i="11"/>
  <c r="D123" i="11"/>
  <c r="E123" i="11"/>
  <c r="F123" i="11"/>
  <c r="G123" i="11"/>
  <c r="H123" i="11"/>
  <c r="I123" i="11"/>
  <c r="J123" i="11"/>
  <c r="K123" i="11"/>
  <c r="L123" i="11"/>
  <c r="M123" i="11"/>
  <c r="N123" i="11"/>
  <c r="O123" i="11"/>
  <c r="D124" i="11"/>
  <c r="E124" i="11"/>
  <c r="F124" i="11"/>
  <c r="G124" i="11"/>
  <c r="H124" i="11"/>
  <c r="I124" i="11"/>
  <c r="J124" i="11"/>
  <c r="K124" i="11"/>
  <c r="L124" i="11"/>
  <c r="M124" i="11"/>
  <c r="N124" i="11"/>
  <c r="O124" i="11"/>
  <c r="D125" i="11"/>
  <c r="E125" i="11"/>
  <c r="F125" i="11"/>
  <c r="G125" i="11"/>
  <c r="H125" i="11"/>
  <c r="I125" i="11"/>
  <c r="J125" i="11"/>
  <c r="K125" i="11"/>
  <c r="L125" i="11"/>
  <c r="M125" i="11"/>
  <c r="N125" i="11"/>
  <c r="O125" i="11"/>
  <c r="D126" i="11"/>
  <c r="E126" i="11"/>
  <c r="F126" i="11"/>
  <c r="G126" i="11"/>
  <c r="H126" i="11"/>
  <c r="I126" i="11"/>
  <c r="J126" i="11"/>
  <c r="K126" i="11"/>
  <c r="L126" i="11"/>
  <c r="M126" i="11"/>
  <c r="N126" i="11"/>
  <c r="O126" i="11"/>
  <c r="D127" i="11"/>
  <c r="E127" i="11"/>
  <c r="F127" i="11"/>
  <c r="G127" i="11"/>
  <c r="H127" i="11"/>
  <c r="I127" i="11"/>
  <c r="J127" i="11"/>
  <c r="K127" i="11"/>
  <c r="L127" i="11"/>
  <c r="M127" i="11"/>
  <c r="N127" i="11"/>
  <c r="O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D138" i="11"/>
  <c r="E138" i="11"/>
  <c r="F138" i="11"/>
  <c r="G138" i="11"/>
  <c r="H138" i="11"/>
  <c r="I138" i="11"/>
  <c r="J138" i="11"/>
  <c r="K138" i="11"/>
  <c r="L138" i="11"/>
  <c r="M138" i="11"/>
  <c r="N138" i="11"/>
  <c r="O138" i="11"/>
  <c r="D109" i="12"/>
  <c r="E109" i="12"/>
  <c r="F109" i="12"/>
  <c r="G109" i="12"/>
  <c r="H109" i="12"/>
  <c r="I109" i="12"/>
  <c r="J109" i="12"/>
  <c r="K109" i="12"/>
  <c r="L109" i="12"/>
  <c r="M109" i="12"/>
  <c r="N109" i="12"/>
  <c r="O109" i="12"/>
  <c r="D110" i="12"/>
  <c r="E110" i="12"/>
  <c r="F110" i="12"/>
  <c r="G110" i="12"/>
  <c r="H110" i="12"/>
  <c r="I110" i="12"/>
  <c r="J110" i="12"/>
  <c r="K110" i="12"/>
  <c r="L110" i="12"/>
  <c r="M110" i="12"/>
  <c r="N110" i="12"/>
  <c r="O110" i="12"/>
  <c r="D111" i="12"/>
  <c r="E111" i="12"/>
  <c r="F111" i="12"/>
  <c r="G111" i="12"/>
  <c r="H111" i="12"/>
  <c r="I111" i="12"/>
  <c r="J111" i="12"/>
  <c r="K111" i="12"/>
  <c r="L111" i="12"/>
  <c r="M111" i="12"/>
  <c r="N111" i="12"/>
  <c r="O111" i="12"/>
  <c r="D112" i="12"/>
  <c r="E112" i="12"/>
  <c r="F112" i="12"/>
  <c r="G112" i="12"/>
  <c r="H112" i="12"/>
  <c r="I112" i="12"/>
  <c r="J112" i="12"/>
  <c r="K112" i="12"/>
  <c r="L112" i="12"/>
  <c r="M112" i="12"/>
  <c r="N112" i="12"/>
  <c r="O112" i="12"/>
  <c r="D113" i="12"/>
  <c r="E113" i="12"/>
  <c r="F113" i="12"/>
  <c r="G113" i="12"/>
  <c r="H113" i="12"/>
  <c r="I113" i="12"/>
  <c r="J113" i="12"/>
  <c r="K113" i="12"/>
  <c r="L113" i="12"/>
  <c r="M113" i="12"/>
  <c r="N113" i="12"/>
  <c r="O113" i="12"/>
  <c r="D114" i="12"/>
  <c r="E114" i="12"/>
  <c r="F114" i="12"/>
  <c r="G114" i="12"/>
  <c r="H114" i="12"/>
  <c r="I114" i="12"/>
  <c r="J114" i="12"/>
  <c r="K114" i="12"/>
  <c r="L114" i="12"/>
  <c r="M114" i="12"/>
  <c r="N114" i="12"/>
  <c r="O114" i="12"/>
  <c r="D115" i="12"/>
  <c r="E115" i="12"/>
  <c r="F115" i="12"/>
  <c r="G115" i="12"/>
  <c r="H115" i="12"/>
  <c r="I115" i="12"/>
  <c r="J115" i="12"/>
  <c r="K115" i="12"/>
  <c r="L115" i="12"/>
  <c r="M115" i="12"/>
  <c r="N115" i="12"/>
  <c r="O115" i="12"/>
  <c r="D116" i="12"/>
  <c r="E116" i="12"/>
  <c r="F116" i="12"/>
  <c r="G116" i="12"/>
  <c r="H116" i="12"/>
  <c r="I116" i="12"/>
  <c r="J116" i="12"/>
  <c r="K116" i="12"/>
  <c r="L116" i="12"/>
  <c r="M116" i="12"/>
  <c r="N116" i="12"/>
  <c r="O116" i="12"/>
  <c r="D120" i="12"/>
  <c r="E120" i="12"/>
  <c r="F120" i="12"/>
  <c r="G120" i="12"/>
  <c r="H120" i="12"/>
  <c r="I120" i="12"/>
  <c r="J120" i="12"/>
  <c r="K120" i="12"/>
  <c r="L120" i="12"/>
  <c r="M120" i="12"/>
  <c r="N120" i="12"/>
  <c r="O120" i="12"/>
  <c r="D121" i="12"/>
  <c r="E121" i="12"/>
  <c r="F121" i="12"/>
  <c r="G121" i="12"/>
  <c r="H121" i="12"/>
  <c r="I121" i="12"/>
  <c r="J121" i="12"/>
  <c r="K121" i="12"/>
  <c r="L121" i="12"/>
  <c r="M121" i="12"/>
  <c r="N121" i="12"/>
  <c r="O121" i="12"/>
  <c r="D122" i="12"/>
  <c r="E122" i="12"/>
  <c r="F122" i="12"/>
  <c r="G122" i="12"/>
  <c r="H122" i="12"/>
  <c r="I122" i="12"/>
  <c r="J122" i="12"/>
  <c r="K122" i="12"/>
  <c r="L122" i="12"/>
  <c r="M122" i="12"/>
  <c r="N122" i="12"/>
  <c r="O122" i="12"/>
  <c r="D123" i="12"/>
  <c r="E123" i="12"/>
  <c r="F123" i="12"/>
  <c r="G123" i="12"/>
  <c r="H123" i="12"/>
  <c r="I123" i="12"/>
  <c r="J123" i="12"/>
  <c r="K123" i="12"/>
  <c r="L123" i="12"/>
  <c r="M123" i="12"/>
  <c r="N123" i="12"/>
  <c r="O123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D125" i="12"/>
  <c r="E125" i="12"/>
  <c r="F125" i="12"/>
  <c r="G125" i="12"/>
  <c r="H125" i="12"/>
  <c r="I125" i="12"/>
  <c r="J125" i="12"/>
  <c r="K125" i="12"/>
  <c r="L125" i="12"/>
  <c r="M125" i="12"/>
  <c r="N125" i="12"/>
  <c r="O125" i="12"/>
  <c r="D126" i="12"/>
  <c r="E126" i="12"/>
  <c r="F126" i="12"/>
  <c r="G126" i="12"/>
  <c r="H126" i="12"/>
  <c r="I126" i="12"/>
  <c r="J126" i="12"/>
  <c r="K126" i="12"/>
  <c r="L126" i="12"/>
  <c r="M126" i="12"/>
  <c r="N126" i="12"/>
  <c r="O126" i="12"/>
  <c r="D127" i="12"/>
  <c r="E127" i="12"/>
  <c r="F127" i="12"/>
  <c r="G127" i="12"/>
  <c r="H127" i="12"/>
  <c r="I127" i="12"/>
  <c r="J127" i="12"/>
  <c r="K127" i="12"/>
  <c r="L127" i="12"/>
  <c r="M127" i="12"/>
  <c r="N127" i="12"/>
  <c r="O127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D138" i="12"/>
  <c r="E138" i="12"/>
  <c r="F138" i="12"/>
  <c r="G138" i="12"/>
  <c r="H138" i="12"/>
  <c r="I138" i="12"/>
  <c r="J138" i="12"/>
  <c r="K138" i="12"/>
  <c r="L138" i="12"/>
  <c r="M138" i="12"/>
  <c r="N138" i="12"/>
  <c r="O138" i="12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D111" i="13"/>
  <c r="E111" i="13"/>
  <c r="F111" i="13"/>
  <c r="G111" i="13"/>
  <c r="H111" i="13"/>
  <c r="I111" i="13"/>
  <c r="J111" i="13"/>
  <c r="K111" i="13"/>
  <c r="L111" i="13"/>
  <c r="M111" i="13"/>
  <c r="N111" i="13"/>
  <c r="O111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D115" i="13"/>
  <c r="E115" i="13"/>
  <c r="F115" i="13"/>
  <c r="G115" i="13"/>
  <c r="H115" i="13"/>
  <c r="I115" i="13"/>
  <c r="J115" i="13"/>
  <c r="K115" i="13"/>
  <c r="L115" i="13"/>
  <c r="M115" i="13"/>
  <c r="N115" i="13"/>
  <c r="O115" i="13"/>
  <c r="D116" i="13"/>
  <c r="E116" i="13"/>
  <c r="F116" i="13"/>
  <c r="G116" i="13"/>
  <c r="H116" i="13"/>
  <c r="I116" i="13"/>
  <c r="J116" i="13"/>
  <c r="K116" i="13"/>
  <c r="L116" i="13"/>
  <c r="M116" i="13"/>
  <c r="N116" i="13"/>
  <c r="O116" i="13"/>
  <c r="D120" i="13"/>
  <c r="E120" i="13"/>
  <c r="F120" i="13"/>
  <c r="G120" i="13"/>
  <c r="H120" i="13"/>
  <c r="I120" i="13"/>
  <c r="J120" i="13"/>
  <c r="K120" i="13"/>
  <c r="L120" i="13"/>
  <c r="M120" i="13"/>
  <c r="N120" i="13"/>
  <c r="O120" i="13"/>
  <c r="D121" i="13"/>
  <c r="E121" i="13"/>
  <c r="F121" i="13"/>
  <c r="G121" i="13"/>
  <c r="H121" i="13"/>
  <c r="I121" i="13"/>
  <c r="J121" i="13"/>
  <c r="K121" i="13"/>
  <c r="L121" i="13"/>
  <c r="M121" i="13"/>
  <c r="N121" i="13"/>
  <c r="O121" i="13"/>
  <c r="D122" i="13"/>
  <c r="E122" i="13"/>
  <c r="F122" i="13"/>
  <c r="G122" i="13"/>
  <c r="H122" i="13"/>
  <c r="I122" i="13"/>
  <c r="J122" i="13"/>
  <c r="K122" i="13"/>
  <c r="L122" i="13"/>
  <c r="M122" i="13"/>
  <c r="N122" i="13"/>
  <c r="O122" i="13"/>
  <c r="D123" i="13"/>
  <c r="E123" i="13"/>
  <c r="F123" i="13"/>
  <c r="G123" i="13"/>
  <c r="H123" i="13"/>
  <c r="I123" i="13"/>
  <c r="J123" i="13"/>
  <c r="K123" i="13"/>
  <c r="L123" i="13"/>
  <c r="M123" i="13"/>
  <c r="N123" i="13"/>
  <c r="O123" i="13"/>
  <c r="D124" i="13"/>
  <c r="E124" i="13"/>
  <c r="F124" i="13"/>
  <c r="G124" i="13"/>
  <c r="H124" i="13"/>
  <c r="I124" i="13"/>
  <c r="J124" i="13"/>
  <c r="K124" i="13"/>
  <c r="L124" i="13"/>
  <c r="M124" i="13"/>
  <c r="N124" i="13"/>
  <c r="O124" i="13"/>
  <c r="D125" i="13"/>
  <c r="E125" i="13"/>
  <c r="F125" i="13"/>
  <c r="G125" i="13"/>
  <c r="H125" i="13"/>
  <c r="I125" i="13"/>
  <c r="J125" i="13"/>
  <c r="K125" i="13"/>
  <c r="L125" i="13"/>
  <c r="M125" i="13"/>
  <c r="N125" i="13"/>
  <c r="O125" i="13"/>
  <c r="D126" i="13"/>
  <c r="E126" i="13"/>
  <c r="F126" i="13"/>
  <c r="G126" i="13"/>
  <c r="H126" i="13"/>
  <c r="I126" i="13"/>
  <c r="J126" i="13"/>
  <c r="K126" i="13"/>
  <c r="L126" i="13"/>
  <c r="M126" i="13"/>
  <c r="N126" i="13"/>
  <c r="O126" i="13"/>
  <c r="D127" i="13"/>
  <c r="E127" i="13"/>
  <c r="F127" i="13"/>
  <c r="G127" i="13"/>
  <c r="H127" i="13"/>
  <c r="I127" i="13"/>
  <c r="J127" i="13"/>
  <c r="K127" i="13"/>
  <c r="L127" i="13"/>
  <c r="M127" i="13"/>
  <c r="N127" i="13"/>
  <c r="O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D138" i="13"/>
  <c r="E138" i="13"/>
  <c r="F138" i="13"/>
  <c r="G138" i="13"/>
  <c r="H138" i="13"/>
  <c r="I138" i="13"/>
  <c r="J138" i="13"/>
  <c r="K138" i="13"/>
  <c r="L138" i="13"/>
  <c r="M138" i="13"/>
  <c r="N138" i="13"/>
  <c r="O138" i="13"/>
  <c r="AZ14" i="14"/>
  <c r="AY259" i="14"/>
  <c r="AY181" i="14"/>
  <c r="AY179" i="14"/>
  <c r="AY177" i="14"/>
  <c r="AY175" i="14"/>
  <c r="AY260" i="14"/>
  <c r="AY14" i="14"/>
  <c r="AX259" i="14"/>
  <c r="AX181" i="14"/>
  <c r="AX179" i="14"/>
  <c r="AX177" i="14"/>
  <c r="AX175" i="14"/>
  <c r="AW259" i="14"/>
  <c r="AX14" i="14"/>
  <c r="AW181" i="14"/>
  <c r="AW179" i="14"/>
  <c r="AW260" i="14"/>
  <c r="AW177" i="14"/>
  <c r="AW175" i="14"/>
  <c r="AV259" i="14"/>
  <c r="AW14" i="14"/>
  <c r="AV181" i="14"/>
  <c r="AV179" i="14"/>
  <c r="AV177" i="14"/>
  <c r="AV175" i="14"/>
  <c r="AV260" i="14"/>
  <c r="AV14" i="14"/>
  <c r="AU259" i="14"/>
  <c r="AU181" i="14"/>
  <c r="AU179" i="14"/>
  <c r="AU177" i="14"/>
  <c r="AU175" i="14"/>
  <c r="AU260" i="14"/>
  <c r="AU14" i="14"/>
  <c r="AT259" i="14"/>
  <c r="AT181" i="14"/>
  <c r="AT179" i="14"/>
  <c r="AT260" i="14"/>
  <c r="AT177" i="14"/>
  <c r="AT175" i="14"/>
  <c r="AS259" i="14"/>
  <c r="AT14" i="14"/>
  <c r="AS181" i="14"/>
  <c r="AS179" i="14"/>
  <c r="AS260" i="14"/>
  <c r="AS177" i="14"/>
  <c r="AS175" i="14"/>
  <c r="AR259" i="14"/>
  <c r="AS14" i="14"/>
  <c r="AR181" i="14"/>
  <c r="AR179" i="14"/>
  <c r="AR177" i="14"/>
  <c r="AR175" i="14"/>
  <c r="AR14" i="14"/>
  <c r="AQ259" i="14"/>
  <c r="AQ181" i="14"/>
  <c r="AQ179" i="14"/>
  <c r="AQ177" i="14"/>
  <c r="AQ175" i="14"/>
  <c r="AQ260" i="14"/>
  <c r="AQ14" i="14"/>
  <c r="AP259" i="14"/>
  <c r="AP181" i="14"/>
  <c r="AP179" i="14"/>
  <c r="AP177" i="14"/>
  <c r="AP175" i="14"/>
  <c r="AO259" i="14"/>
  <c r="AP14" i="14"/>
  <c r="AO181" i="14"/>
  <c r="AO179" i="14"/>
  <c r="AO260" i="14"/>
  <c r="AO177" i="14"/>
  <c r="AO175" i="14"/>
  <c r="AN259" i="14"/>
  <c r="AO14" i="14"/>
  <c r="AN181" i="14"/>
  <c r="AN179" i="14"/>
  <c r="AN177" i="14"/>
  <c r="AN175" i="14"/>
  <c r="AN14" i="14"/>
  <c r="AM259" i="14"/>
  <c r="AM181" i="14"/>
  <c r="AM179" i="14"/>
  <c r="AM177" i="14"/>
  <c r="AM175" i="14"/>
  <c r="AM260" i="14"/>
  <c r="AM14" i="14"/>
  <c r="AL259" i="14"/>
  <c r="AL181" i="14"/>
  <c r="AL179" i="14"/>
  <c r="AL177" i="14"/>
  <c r="AL175" i="14"/>
  <c r="AK259" i="14"/>
  <c r="AL14" i="14"/>
  <c r="AK181" i="14"/>
  <c r="AK179" i="14"/>
  <c r="AK260" i="14"/>
  <c r="AK177" i="14"/>
  <c r="AK175" i="14"/>
  <c r="AJ259" i="14"/>
  <c r="AK14" i="14"/>
  <c r="AJ181" i="14"/>
  <c r="AJ179" i="14"/>
  <c r="AJ177" i="14"/>
  <c r="AJ175" i="14"/>
  <c r="AJ14" i="14"/>
  <c r="AI259" i="14"/>
  <c r="AI181" i="14"/>
  <c r="AI179" i="14"/>
  <c r="AI177" i="14"/>
  <c r="AI175" i="14"/>
  <c r="AI260" i="14"/>
  <c r="AI14" i="14"/>
  <c r="AH259" i="14"/>
  <c r="AH181" i="14"/>
  <c r="AH179" i="14"/>
  <c r="AH177" i="14"/>
  <c r="AH175" i="14"/>
  <c r="AG259" i="14"/>
  <c r="AH14" i="14"/>
  <c r="AG181" i="14"/>
  <c r="AG179" i="14"/>
  <c r="AG260" i="14"/>
  <c r="AG177" i="14"/>
  <c r="AG175" i="14"/>
  <c r="AF259" i="14"/>
  <c r="AG14" i="14"/>
  <c r="AF181" i="14"/>
  <c r="AF179" i="14"/>
  <c r="AF177" i="14"/>
  <c r="AF175" i="14"/>
  <c r="AF260" i="14"/>
  <c r="AF14" i="14"/>
  <c r="AE259" i="14"/>
  <c r="AE181" i="14"/>
  <c r="AE179" i="14"/>
  <c r="AE177" i="14"/>
  <c r="AE175" i="14"/>
  <c r="AE260" i="14"/>
  <c r="AE14" i="14"/>
  <c r="AD259" i="14"/>
  <c r="AD181" i="14"/>
  <c r="AD179" i="14"/>
  <c r="AD177" i="14"/>
  <c r="AD175" i="14"/>
  <c r="AD260" i="14"/>
  <c r="AC259" i="14"/>
  <c r="AD14" i="14"/>
  <c r="AC181" i="14"/>
  <c r="AC179" i="14"/>
  <c r="AC260" i="14"/>
  <c r="AC177" i="14"/>
  <c r="AC175" i="14"/>
  <c r="AB259" i="14"/>
  <c r="AC14" i="14"/>
  <c r="AB181" i="14"/>
  <c r="AB179" i="14"/>
  <c r="AB177" i="14"/>
  <c r="AB175" i="14"/>
  <c r="AB14" i="14"/>
  <c r="AA259" i="14"/>
  <c r="AA181" i="14"/>
  <c r="AA179" i="14"/>
  <c r="AA177" i="14"/>
  <c r="AA175" i="14"/>
  <c r="AA260" i="14"/>
  <c r="AA14" i="14"/>
  <c r="Z259" i="14"/>
  <c r="Z181" i="14"/>
  <c r="Z179" i="14"/>
  <c r="Z177" i="14"/>
  <c r="Z175" i="14"/>
  <c r="Z260" i="14"/>
  <c r="Z14" i="14"/>
  <c r="Y259" i="14"/>
  <c r="Y181" i="14"/>
  <c r="Y179" i="14"/>
  <c r="Y260" i="14"/>
  <c r="Y177" i="14"/>
  <c r="Y175" i="14"/>
  <c r="X259" i="14"/>
  <c r="Y14" i="14"/>
  <c r="X181" i="14"/>
  <c r="X179" i="14"/>
  <c r="X177" i="14"/>
  <c r="X175" i="14"/>
  <c r="X14" i="14"/>
  <c r="W259" i="14"/>
  <c r="W181" i="14"/>
  <c r="W179" i="14"/>
  <c r="W177" i="14"/>
  <c r="W175" i="14"/>
  <c r="W260" i="14"/>
  <c r="W14" i="14"/>
  <c r="V259" i="14"/>
  <c r="V181" i="14"/>
  <c r="V179" i="14"/>
  <c r="V177" i="14"/>
  <c r="V175" i="14"/>
  <c r="U259" i="14"/>
  <c r="V14" i="14"/>
  <c r="U181" i="14"/>
  <c r="U179" i="14"/>
  <c r="U260" i="14"/>
  <c r="U177" i="14"/>
  <c r="U175" i="14"/>
  <c r="T259" i="14"/>
  <c r="U14" i="14"/>
  <c r="T181" i="14"/>
  <c r="T179" i="14"/>
  <c r="T177" i="14"/>
  <c r="T175" i="14"/>
  <c r="T260" i="14"/>
  <c r="T14" i="14"/>
  <c r="S259" i="14"/>
  <c r="S181" i="14"/>
  <c r="S179" i="14"/>
  <c r="S177" i="14"/>
  <c r="S175" i="14"/>
  <c r="S260" i="14"/>
  <c r="S14" i="14"/>
  <c r="R259" i="14"/>
  <c r="R181" i="14"/>
  <c r="R179" i="14"/>
  <c r="R177" i="14"/>
  <c r="R175" i="14"/>
  <c r="R260" i="14"/>
  <c r="Q259" i="14"/>
  <c r="R14" i="14"/>
  <c r="Q181" i="14"/>
  <c r="Q179" i="14"/>
  <c r="Q260" i="14"/>
  <c r="Q177" i="14"/>
  <c r="Q175" i="14"/>
  <c r="P259" i="14"/>
  <c r="Q14" i="14"/>
  <c r="P181" i="14"/>
  <c r="P179" i="14"/>
  <c r="P177" i="14"/>
  <c r="P175" i="14"/>
  <c r="P14" i="14"/>
  <c r="O259" i="14"/>
  <c r="O181" i="14"/>
  <c r="O179" i="14"/>
  <c r="O177" i="14"/>
  <c r="O175" i="14"/>
  <c r="O260" i="14"/>
  <c r="O14" i="14"/>
  <c r="N259" i="14"/>
  <c r="N181" i="14"/>
  <c r="N179" i="14"/>
  <c r="N177" i="14"/>
  <c r="N175" i="14"/>
  <c r="N260" i="14"/>
  <c r="M259" i="14"/>
  <c r="N14" i="14"/>
  <c r="M181" i="14"/>
  <c r="M179" i="14"/>
  <c r="M260" i="14"/>
  <c r="M177" i="14"/>
  <c r="M175" i="14"/>
  <c r="L259" i="14"/>
  <c r="M14" i="14"/>
  <c r="L181" i="14"/>
  <c r="L179" i="14"/>
  <c r="L177" i="14"/>
  <c r="L175" i="14"/>
  <c r="L14" i="14"/>
  <c r="K259" i="14"/>
  <c r="K181" i="14"/>
  <c r="K179" i="14"/>
  <c r="K177" i="14"/>
  <c r="K175" i="14"/>
  <c r="K260" i="14"/>
  <c r="K14" i="14"/>
  <c r="J259" i="14"/>
  <c r="J181" i="14"/>
  <c r="J179" i="14"/>
  <c r="J177" i="14"/>
  <c r="J175" i="14"/>
  <c r="J260" i="14"/>
  <c r="I259" i="14"/>
  <c r="J14" i="14"/>
  <c r="I181" i="14"/>
  <c r="I179" i="14"/>
  <c r="I260" i="14"/>
  <c r="I177" i="14"/>
  <c r="I175" i="14"/>
  <c r="H259" i="14"/>
  <c r="I14" i="14"/>
  <c r="H181" i="14"/>
  <c r="H179" i="14"/>
  <c r="H177" i="14"/>
  <c r="H175" i="14"/>
  <c r="H14" i="14"/>
  <c r="G259" i="14"/>
  <c r="G181" i="14"/>
  <c r="G179" i="14"/>
  <c r="G177" i="14"/>
  <c r="G175" i="14"/>
  <c r="G260" i="14"/>
  <c r="G14" i="14"/>
  <c r="F259" i="14"/>
  <c r="F181" i="14"/>
  <c r="F179" i="14"/>
  <c r="F177" i="14"/>
  <c r="F175" i="14"/>
  <c r="E259" i="14"/>
  <c r="F14" i="14"/>
  <c r="E181" i="14"/>
  <c r="E179" i="14"/>
  <c r="E260" i="14"/>
  <c r="E177" i="14"/>
  <c r="E175" i="14"/>
  <c r="D259" i="14"/>
  <c r="E14" i="14"/>
  <c r="BA14" i="14"/>
  <c r="D181" i="14"/>
  <c r="D179" i="14"/>
  <c r="D177" i="14"/>
  <c r="D175" i="14"/>
  <c r="D260" i="14"/>
  <c r="AZ14" i="15"/>
  <c r="AY259" i="15"/>
  <c r="AY181" i="15"/>
  <c r="AY179" i="15"/>
  <c r="AY177" i="15"/>
  <c r="AY175" i="15"/>
  <c r="AY260" i="15"/>
  <c r="AY14" i="15"/>
  <c r="AX259" i="15"/>
  <c r="AX181" i="15"/>
  <c r="AX179" i="15"/>
  <c r="AX177" i="15"/>
  <c r="AX175" i="15"/>
  <c r="AX260" i="15"/>
  <c r="AW259" i="15"/>
  <c r="AX14" i="15"/>
  <c r="AW181" i="15"/>
  <c r="AW179" i="15"/>
  <c r="AW260" i="15"/>
  <c r="AW177" i="15"/>
  <c r="AW175" i="15"/>
  <c r="AV259" i="15"/>
  <c r="AW14" i="15"/>
  <c r="AV181" i="15"/>
  <c r="AV179" i="15"/>
  <c r="AV177" i="15"/>
  <c r="AV175" i="15"/>
  <c r="AV14" i="15"/>
  <c r="AU259" i="15"/>
  <c r="AU181" i="15"/>
  <c r="AU179" i="15"/>
  <c r="AU177" i="15"/>
  <c r="AU175" i="15"/>
  <c r="AU260" i="15"/>
  <c r="AU14" i="15"/>
  <c r="AT259" i="15"/>
  <c r="AT181" i="15"/>
  <c r="AT179" i="15"/>
  <c r="AT177" i="15"/>
  <c r="AT175" i="15"/>
  <c r="AT260" i="15"/>
  <c r="AT14" i="15"/>
  <c r="AS259" i="15"/>
  <c r="AS181" i="15"/>
  <c r="AS179" i="15"/>
  <c r="AS260" i="15"/>
  <c r="AS177" i="15"/>
  <c r="AS175" i="15"/>
  <c r="AR259" i="15"/>
  <c r="AS14" i="15"/>
  <c r="AR181" i="15"/>
  <c r="AR179" i="15"/>
  <c r="AR177" i="15"/>
  <c r="AR175" i="15"/>
  <c r="AR14" i="15"/>
  <c r="AQ259" i="15"/>
  <c r="AQ181" i="15"/>
  <c r="AQ179" i="15"/>
  <c r="AQ177" i="15"/>
  <c r="AQ175" i="15"/>
  <c r="AQ260" i="15"/>
  <c r="AQ14" i="15"/>
  <c r="AP259" i="15"/>
  <c r="AP181" i="15"/>
  <c r="AP179" i="15"/>
  <c r="AP177" i="15"/>
  <c r="AP175" i="15"/>
  <c r="AO260" i="15"/>
  <c r="AP14" i="15"/>
  <c r="AO259" i="15"/>
  <c r="AO181" i="15"/>
  <c r="AO179" i="15"/>
  <c r="AO177" i="15"/>
  <c r="AO175" i="15"/>
  <c r="AN259" i="15"/>
  <c r="AO14" i="15"/>
  <c r="AN181" i="15"/>
  <c r="AN179" i="15"/>
  <c r="AN177" i="15"/>
  <c r="AN175" i="15"/>
  <c r="AN14" i="15"/>
  <c r="AM259" i="15"/>
  <c r="AM181" i="15"/>
  <c r="AM179" i="15"/>
  <c r="AM177" i="15"/>
  <c r="AM175" i="15"/>
  <c r="AM260" i="15"/>
  <c r="AM14" i="15"/>
  <c r="AL259" i="15"/>
  <c r="AL181" i="15"/>
  <c r="AL179" i="15"/>
  <c r="AL177" i="15"/>
  <c r="AL175" i="15"/>
  <c r="AL260" i="15"/>
  <c r="AL14" i="15"/>
  <c r="AK259" i="15"/>
  <c r="AK181" i="15"/>
  <c r="AK179" i="15"/>
  <c r="AK260" i="15"/>
  <c r="AK177" i="15"/>
  <c r="AK175" i="15"/>
  <c r="AJ259" i="15"/>
  <c r="AK14" i="15"/>
  <c r="AJ181" i="15"/>
  <c r="AJ179" i="15"/>
  <c r="AJ177" i="15"/>
  <c r="AJ260" i="15"/>
  <c r="AJ175" i="15"/>
  <c r="AJ14" i="15"/>
  <c r="AI259" i="15"/>
  <c r="AI181" i="15"/>
  <c r="AI179" i="15"/>
  <c r="AI177" i="15"/>
  <c r="AI175" i="15"/>
  <c r="AI260" i="15"/>
  <c r="AI14" i="15"/>
  <c r="AH259" i="15"/>
  <c r="AH181" i="15"/>
  <c r="AH179" i="15"/>
  <c r="AH177" i="15"/>
  <c r="AH175" i="15"/>
  <c r="AG260" i="15"/>
  <c r="AH14" i="15"/>
  <c r="AG259" i="15"/>
  <c r="AG181" i="15"/>
  <c r="AG179" i="15"/>
  <c r="AG177" i="15"/>
  <c r="AG175" i="15"/>
  <c r="AF259" i="15"/>
  <c r="AG14" i="15"/>
  <c r="AF181" i="15"/>
  <c r="AF179" i="15"/>
  <c r="AF177" i="15"/>
  <c r="AF260" i="15"/>
  <c r="AF175" i="15"/>
  <c r="AF14" i="15"/>
  <c r="AE259" i="15"/>
  <c r="AE181" i="15"/>
  <c r="AE179" i="15"/>
  <c r="AE177" i="15"/>
  <c r="AE175" i="15"/>
  <c r="AE260" i="15"/>
  <c r="AE14" i="15"/>
  <c r="AD259" i="15"/>
  <c r="AD181" i="15"/>
  <c r="AD179" i="15"/>
  <c r="AD177" i="15"/>
  <c r="AD175" i="15"/>
  <c r="AD260" i="15"/>
  <c r="AD14" i="15"/>
  <c r="AC259" i="15"/>
  <c r="AC181" i="15"/>
  <c r="AC179" i="15"/>
  <c r="AC260" i="15"/>
  <c r="AC177" i="15"/>
  <c r="AC175" i="15"/>
  <c r="AB259" i="15"/>
  <c r="AC14" i="15"/>
  <c r="AB181" i="15"/>
  <c r="AB179" i="15"/>
  <c r="AB177" i="15"/>
  <c r="AB260" i="15"/>
  <c r="AB175" i="15"/>
  <c r="AB14" i="15"/>
  <c r="AA259" i="15"/>
  <c r="AA181" i="15"/>
  <c r="AA179" i="15"/>
  <c r="AA177" i="15"/>
  <c r="AA175" i="15"/>
  <c r="AA260" i="15"/>
  <c r="AA14" i="15"/>
  <c r="Z259" i="15"/>
  <c r="Z181" i="15"/>
  <c r="Z179" i="15"/>
  <c r="Z177" i="15"/>
  <c r="Z175" i="15"/>
  <c r="Y260" i="15"/>
  <c r="Z14" i="15"/>
  <c r="Y259" i="15"/>
  <c r="Y181" i="15"/>
  <c r="Y179" i="15"/>
  <c r="Y177" i="15"/>
  <c r="Y175" i="15"/>
  <c r="X259" i="15"/>
  <c r="Y14" i="15"/>
  <c r="X181" i="15"/>
  <c r="X179" i="15"/>
  <c r="X177" i="15"/>
  <c r="X175" i="15"/>
  <c r="X14" i="15"/>
  <c r="W259" i="15"/>
  <c r="W181" i="15"/>
  <c r="W179" i="15"/>
  <c r="W177" i="15"/>
  <c r="W175" i="15"/>
  <c r="W260" i="15"/>
  <c r="W14" i="15"/>
  <c r="V259" i="15"/>
  <c r="V181" i="15"/>
  <c r="V179" i="15"/>
  <c r="V177" i="15"/>
  <c r="V175" i="15"/>
  <c r="V260" i="15"/>
  <c r="V14" i="15"/>
  <c r="U259" i="15"/>
  <c r="U181" i="15"/>
  <c r="U179" i="15"/>
  <c r="U260" i="15"/>
  <c r="U177" i="15"/>
  <c r="U175" i="15"/>
  <c r="T259" i="15"/>
  <c r="U14" i="15"/>
  <c r="T181" i="15"/>
  <c r="T179" i="15"/>
  <c r="T177" i="15"/>
  <c r="T260" i="15"/>
  <c r="T175" i="15"/>
  <c r="T14" i="15"/>
  <c r="S259" i="15"/>
  <c r="S181" i="15"/>
  <c r="S179" i="15"/>
  <c r="S177" i="15"/>
  <c r="S175" i="15"/>
  <c r="S260" i="15"/>
  <c r="S14" i="15"/>
  <c r="R259" i="15"/>
  <c r="R181" i="15"/>
  <c r="R179" i="15"/>
  <c r="R177" i="15"/>
  <c r="R175" i="15"/>
  <c r="Q260" i="15"/>
  <c r="R14" i="15"/>
  <c r="Q259" i="15"/>
  <c r="Q181" i="15"/>
  <c r="Q179" i="15"/>
  <c r="Q177" i="15"/>
  <c r="Q175" i="15"/>
  <c r="P259" i="15"/>
  <c r="Q14" i="15"/>
  <c r="P181" i="15"/>
  <c r="P179" i="15"/>
  <c r="P177" i="15"/>
  <c r="P260" i="15"/>
  <c r="P175" i="15"/>
  <c r="P14" i="15"/>
  <c r="O259" i="15"/>
  <c r="O181" i="15"/>
  <c r="O179" i="15"/>
  <c r="O177" i="15"/>
  <c r="O175" i="15"/>
  <c r="O260" i="15"/>
  <c r="O14" i="15"/>
  <c r="N259" i="15"/>
  <c r="N181" i="15"/>
  <c r="N179" i="15"/>
  <c r="N177" i="15"/>
  <c r="N175" i="15"/>
  <c r="N260" i="15"/>
  <c r="N14" i="15"/>
  <c r="M259" i="15"/>
  <c r="M181" i="15"/>
  <c r="M179" i="15"/>
  <c r="M260" i="15"/>
  <c r="M177" i="15"/>
  <c r="M175" i="15"/>
  <c r="L259" i="15"/>
  <c r="M14" i="15"/>
  <c r="L181" i="15"/>
  <c r="L179" i="15"/>
  <c r="L177" i="15"/>
  <c r="L175" i="15"/>
  <c r="L14" i="15"/>
  <c r="K259" i="15"/>
  <c r="K181" i="15"/>
  <c r="K179" i="15"/>
  <c r="K177" i="15"/>
  <c r="K175" i="15"/>
  <c r="K260" i="15"/>
  <c r="K14" i="15"/>
  <c r="J259" i="15"/>
  <c r="J181" i="15"/>
  <c r="J179" i="15"/>
  <c r="J177" i="15"/>
  <c r="J175" i="15"/>
  <c r="I260" i="15"/>
  <c r="J14" i="15"/>
  <c r="I259" i="15"/>
  <c r="I181" i="15"/>
  <c r="I179" i="15"/>
  <c r="I177" i="15"/>
  <c r="I175" i="15"/>
  <c r="H259" i="15"/>
  <c r="I14" i="15"/>
  <c r="H181" i="15"/>
  <c r="H179" i="15"/>
  <c r="H177" i="15"/>
  <c r="H175" i="15"/>
  <c r="H14" i="15"/>
  <c r="G259" i="15"/>
  <c r="G181" i="15"/>
  <c r="G179" i="15"/>
  <c r="G177" i="15"/>
  <c r="G175" i="15"/>
  <c r="G260" i="15"/>
  <c r="G14" i="15"/>
  <c r="F259" i="15"/>
  <c r="F181" i="15"/>
  <c r="F179" i="15"/>
  <c r="F177" i="15"/>
  <c r="F175" i="15"/>
  <c r="F260" i="15"/>
  <c r="E259" i="15"/>
  <c r="F14" i="15"/>
  <c r="E181" i="15"/>
  <c r="E179" i="15"/>
  <c r="E260" i="15"/>
  <c r="E177" i="15"/>
  <c r="E175" i="15"/>
  <c r="D259" i="15"/>
  <c r="E14" i="15"/>
  <c r="D181" i="15"/>
  <c r="D179" i="15"/>
  <c r="D177" i="15"/>
  <c r="D175" i="15"/>
  <c r="AZ14" i="16"/>
  <c r="AY259" i="16"/>
  <c r="AY181" i="16"/>
  <c r="AY179" i="16"/>
  <c r="AY177" i="16"/>
  <c r="AY175" i="16"/>
  <c r="AY260" i="16"/>
  <c r="AY14" i="16"/>
  <c r="AX259" i="16"/>
  <c r="AX181" i="16"/>
  <c r="AX179" i="16"/>
  <c r="AX177" i="16"/>
  <c r="AX175" i="16"/>
  <c r="AW259" i="16"/>
  <c r="AX14" i="16"/>
  <c r="AW181" i="16"/>
  <c r="AW179" i="16"/>
  <c r="AW260" i="16"/>
  <c r="AW177" i="16"/>
  <c r="AW175" i="16"/>
  <c r="AV259" i="16"/>
  <c r="AW14" i="16"/>
  <c r="AV181" i="16"/>
  <c r="AV179" i="16"/>
  <c r="AV177" i="16"/>
  <c r="AV175" i="16"/>
  <c r="AV260" i="16"/>
  <c r="AV14" i="16"/>
  <c r="AU259" i="16"/>
  <c r="AU181" i="16"/>
  <c r="AU179" i="16"/>
  <c r="AU177" i="16"/>
  <c r="AU175" i="16"/>
  <c r="AU260" i="16"/>
  <c r="AU14" i="16"/>
  <c r="AT259" i="16"/>
  <c r="AT181" i="16"/>
  <c r="AT179" i="16"/>
  <c r="AT177" i="16"/>
  <c r="AT175" i="16"/>
  <c r="AS260" i="16"/>
  <c r="AT14" i="16"/>
  <c r="AS259" i="16"/>
  <c r="AS181" i="16"/>
  <c r="AS179" i="16"/>
  <c r="AS177" i="16"/>
  <c r="AS175" i="16"/>
  <c r="AR259" i="16"/>
  <c r="AS14" i="16"/>
  <c r="AR181" i="16"/>
  <c r="AR179" i="16"/>
  <c r="AR177" i="16"/>
  <c r="AR175" i="16"/>
  <c r="AR14" i="16"/>
  <c r="AQ259" i="16"/>
  <c r="AQ181" i="16"/>
  <c r="AQ179" i="16"/>
  <c r="AQ177" i="16"/>
  <c r="AQ175" i="16"/>
  <c r="AQ260" i="16"/>
  <c r="AQ14" i="16"/>
  <c r="AP259" i="16"/>
  <c r="AP181" i="16"/>
  <c r="AP179" i="16"/>
  <c r="AP177" i="16"/>
  <c r="AP175" i="16"/>
  <c r="AP260" i="16"/>
  <c r="AP14" i="16"/>
  <c r="AO259" i="16"/>
  <c r="AO181" i="16"/>
  <c r="AO179" i="16"/>
  <c r="AO260" i="16"/>
  <c r="AO177" i="16"/>
  <c r="AO175" i="16"/>
  <c r="AN259" i="16"/>
  <c r="AO14" i="16"/>
  <c r="AN181" i="16"/>
  <c r="AN179" i="16"/>
  <c r="AN177" i="16"/>
  <c r="AN175" i="16"/>
  <c r="AN260" i="16"/>
  <c r="AN14" i="16"/>
  <c r="AM259" i="16"/>
  <c r="AM181" i="16"/>
  <c r="AM179" i="16"/>
  <c r="AM177" i="16"/>
  <c r="AM175" i="16"/>
  <c r="AM260" i="16"/>
  <c r="AM14" i="16"/>
  <c r="AL259" i="16"/>
  <c r="AL181" i="16"/>
  <c r="AL179" i="16"/>
  <c r="AL177" i="16"/>
  <c r="AL175" i="16"/>
  <c r="AK260" i="16"/>
  <c r="AL14" i="16"/>
  <c r="AK259" i="16"/>
  <c r="AK181" i="16"/>
  <c r="AK179" i="16"/>
  <c r="AK177" i="16"/>
  <c r="AK175" i="16"/>
  <c r="AJ259" i="16"/>
  <c r="AK14" i="16"/>
  <c r="AJ181" i="16"/>
  <c r="AJ179" i="16"/>
  <c r="AJ177" i="16"/>
  <c r="AJ175" i="16"/>
  <c r="AJ14" i="16"/>
  <c r="AI259" i="16"/>
  <c r="AI181" i="16"/>
  <c r="AI179" i="16"/>
  <c r="AI177" i="16"/>
  <c r="AI175" i="16"/>
  <c r="AI260" i="16"/>
  <c r="AI14" i="16"/>
  <c r="AH259" i="16"/>
  <c r="AH181" i="16"/>
  <c r="AH179" i="16"/>
  <c r="AH177" i="16"/>
  <c r="AH175" i="16"/>
  <c r="AH260" i="16"/>
  <c r="AH14" i="16"/>
  <c r="AG259" i="16"/>
  <c r="AG181" i="16"/>
  <c r="AG179" i="16"/>
  <c r="AG260" i="16"/>
  <c r="AG177" i="16"/>
  <c r="AG175" i="16"/>
  <c r="AF259" i="16"/>
  <c r="AG14" i="16"/>
  <c r="AF181" i="16"/>
  <c r="AF179" i="16"/>
  <c r="AF177" i="16"/>
  <c r="AF260" i="16"/>
  <c r="AF175" i="16"/>
  <c r="AF14" i="16"/>
  <c r="AE259" i="16"/>
  <c r="AE181" i="16"/>
  <c r="AE179" i="16"/>
  <c r="AE177" i="16"/>
  <c r="AE175" i="16"/>
  <c r="AE260" i="16"/>
  <c r="AE14" i="16"/>
  <c r="AD259" i="16"/>
  <c r="AD181" i="16"/>
  <c r="AD179" i="16"/>
  <c r="AD177" i="16"/>
  <c r="AD175" i="16"/>
  <c r="AC260" i="16"/>
  <c r="AD14" i="16"/>
  <c r="AC259" i="16"/>
  <c r="AC181" i="16"/>
  <c r="AC179" i="16"/>
  <c r="AC177" i="16"/>
  <c r="AC175" i="16"/>
  <c r="AB259" i="16"/>
  <c r="AC14" i="16"/>
  <c r="AB181" i="16"/>
  <c r="AB179" i="16"/>
  <c r="AB177" i="16"/>
  <c r="AB260" i="16"/>
  <c r="AB175" i="16"/>
  <c r="AB14" i="16"/>
  <c r="AA259" i="16"/>
  <c r="AA181" i="16"/>
  <c r="AA179" i="16"/>
  <c r="AA177" i="16"/>
  <c r="AA175" i="16"/>
  <c r="AA260" i="16"/>
  <c r="AA14" i="16"/>
  <c r="Z259" i="16"/>
  <c r="Z181" i="16"/>
  <c r="Z179" i="16"/>
  <c r="Z177" i="16"/>
  <c r="Z175" i="16"/>
  <c r="Z260" i="16"/>
  <c r="Z14" i="16"/>
  <c r="Y259" i="16"/>
  <c r="Y181" i="16"/>
  <c r="Y179" i="16"/>
  <c r="Y260" i="16"/>
  <c r="Y177" i="16"/>
  <c r="Y175" i="16"/>
  <c r="X259" i="16"/>
  <c r="Y14" i="16"/>
  <c r="X181" i="16"/>
  <c r="X179" i="16"/>
  <c r="X177" i="16"/>
  <c r="X260" i="16"/>
  <c r="X175" i="16"/>
  <c r="X14" i="16"/>
  <c r="W259" i="16"/>
  <c r="W181" i="16"/>
  <c r="W179" i="16"/>
  <c r="W177" i="16"/>
  <c r="W175" i="16"/>
  <c r="W260" i="16"/>
  <c r="W14" i="16"/>
  <c r="V259" i="16"/>
  <c r="V181" i="16"/>
  <c r="V179" i="16"/>
  <c r="V177" i="16"/>
  <c r="V175" i="16"/>
  <c r="U260" i="16"/>
  <c r="V14" i="16"/>
  <c r="U259" i="16"/>
  <c r="U181" i="16"/>
  <c r="U179" i="16"/>
  <c r="U177" i="16"/>
  <c r="U175" i="16"/>
  <c r="T259" i="16"/>
  <c r="U14" i="16"/>
  <c r="T181" i="16"/>
  <c r="T179" i="16"/>
  <c r="T177" i="16"/>
  <c r="T260" i="16"/>
  <c r="T175" i="16"/>
  <c r="T14" i="16"/>
  <c r="S259" i="16"/>
  <c r="S181" i="16"/>
  <c r="S179" i="16"/>
  <c r="S177" i="16"/>
  <c r="S175" i="16"/>
  <c r="S260" i="16"/>
  <c r="S14" i="16"/>
  <c r="R259" i="16"/>
  <c r="R181" i="16"/>
  <c r="R179" i="16"/>
  <c r="R177" i="16"/>
  <c r="R175" i="16"/>
  <c r="R260" i="16"/>
  <c r="R14" i="16"/>
  <c r="Q259" i="16"/>
  <c r="Q181" i="16"/>
  <c r="Q179" i="16"/>
  <c r="Q260" i="16"/>
  <c r="Q177" i="16"/>
  <c r="Q175" i="16"/>
  <c r="P259" i="16"/>
  <c r="Q14" i="16"/>
  <c r="P181" i="16"/>
  <c r="P179" i="16"/>
  <c r="P177" i="16"/>
  <c r="P260" i="16"/>
  <c r="P175" i="16"/>
  <c r="P14" i="16"/>
  <c r="O259" i="16"/>
  <c r="O181" i="16"/>
  <c r="O179" i="16"/>
  <c r="O177" i="16"/>
  <c r="O175" i="16"/>
  <c r="O260" i="16"/>
  <c r="O14" i="16"/>
  <c r="N259" i="16"/>
  <c r="N181" i="16"/>
  <c r="N179" i="16"/>
  <c r="N177" i="16"/>
  <c r="N175" i="16"/>
  <c r="M260" i="16"/>
  <c r="N14" i="16"/>
  <c r="M259" i="16"/>
  <c r="M181" i="16"/>
  <c r="M179" i="16"/>
  <c r="M177" i="16"/>
  <c r="M175" i="16"/>
  <c r="L259" i="16"/>
  <c r="M14" i="16"/>
  <c r="L181" i="16"/>
  <c r="L179" i="16"/>
  <c r="L177" i="16"/>
  <c r="L260" i="16"/>
  <c r="L175" i="16"/>
  <c r="L14" i="16"/>
  <c r="K259" i="16"/>
  <c r="K181" i="16"/>
  <c r="K179" i="16"/>
  <c r="K177" i="16"/>
  <c r="K175" i="16"/>
  <c r="K260" i="16"/>
  <c r="K14" i="16"/>
  <c r="J259" i="16"/>
  <c r="J181" i="16"/>
  <c r="J179" i="16"/>
  <c r="J177" i="16"/>
  <c r="J175" i="16"/>
  <c r="J260" i="16"/>
  <c r="J14" i="16"/>
  <c r="I259" i="16"/>
  <c r="I181" i="16"/>
  <c r="I179" i="16"/>
  <c r="I260" i="16"/>
  <c r="I177" i="16"/>
  <c r="I175" i="16"/>
  <c r="H259" i="16"/>
  <c r="I14" i="16"/>
  <c r="H181" i="16"/>
  <c r="H179" i="16"/>
  <c r="H177" i="16"/>
  <c r="H260" i="16"/>
  <c r="H175" i="16"/>
  <c r="H14" i="16"/>
  <c r="G259" i="16"/>
  <c r="G181" i="16"/>
  <c r="G179" i="16"/>
  <c r="G177" i="16"/>
  <c r="G175" i="16"/>
  <c r="G260" i="16"/>
  <c r="G14" i="16"/>
  <c r="F259" i="16"/>
  <c r="F181" i="16"/>
  <c r="F179" i="16"/>
  <c r="F177" i="16"/>
  <c r="F175" i="16"/>
  <c r="E260" i="16"/>
  <c r="F14" i="16"/>
  <c r="E259" i="16"/>
  <c r="E181" i="16"/>
  <c r="E179" i="16"/>
  <c r="E177" i="16"/>
  <c r="E175" i="16"/>
  <c r="D259" i="16"/>
  <c r="E14" i="16"/>
  <c r="D181" i="16"/>
  <c r="D179" i="16"/>
  <c r="D177" i="16"/>
  <c r="D260" i="16"/>
  <c r="D175" i="16"/>
  <c r="AY14" i="17"/>
  <c r="AY10" i="17"/>
  <c r="AY13" i="17"/>
  <c r="AY15" i="17"/>
  <c r="AY16" i="17"/>
  <c r="AY17" i="17"/>
  <c r="AY29" i="17"/>
  <c r="AX14" i="17"/>
  <c r="AX15" i="17"/>
  <c r="AX16" i="17"/>
  <c r="AX10" i="17"/>
  <c r="AX13" i="17"/>
  <c r="AX17" i="17"/>
  <c r="AX29" i="17"/>
  <c r="AW14" i="17"/>
  <c r="AW15" i="17"/>
  <c r="AW16" i="17"/>
  <c r="AW10" i="17"/>
  <c r="AW13" i="17"/>
  <c r="AW17" i="17"/>
  <c r="AW29" i="17"/>
  <c r="AV14" i="17"/>
  <c r="AV15" i="17"/>
  <c r="AV16" i="17"/>
  <c r="AV10" i="17"/>
  <c r="AV13" i="17"/>
  <c r="AV17" i="17"/>
  <c r="AV29" i="17"/>
  <c r="AU14" i="17"/>
  <c r="AU15" i="17"/>
  <c r="AU16" i="17"/>
  <c r="AU10" i="17"/>
  <c r="AU13" i="17"/>
  <c r="AU17" i="17"/>
  <c r="AU29" i="17"/>
  <c r="AT14" i="17"/>
  <c r="AT15" i="17"/>
  <c r="AT16" i="17"/>
  <c r="AT10" i="17"/>
  <c r="AT13" i="17"/>
  <c r="AT17" i="17"/>
  <c r="AT29" i="17"/>
  <c r="AS14" i="17"/>
  <c r="AS15" i="17"/>
  <c r="AS16" i="17"/>
  <c r="AS10" i="17"/>
  <c r="AS13" i="17"/>
  <c r="AS17" i="17"/>
  <c r="AS29" i="17"/>
  <c r="AR14" i="17"/>
  <c r="AR15" i="17"/>
  <c r="AR16" i="17"/>
  <c r="AR10" i="17"/>
  <c r="AR13" i="17"/>
  <c r="AR17" i="17"/>
  <c r="AR29" i="17"/>
  <c r="AQ14" i="17"/>
  <c r="AQ15" i="17"/>
  <c r="AQ16" i="17"/>
  <c r="AQ10" i="17"/>
  <c r="AQ13" i="17"/>
  <c r="AQ17" i="17"/>
  <c r="AQ29" i="17"/>
  <c r="AP14" i="17"/>
  <c r="AP15" i="17"/>
  <c r="AP16" i="17"/>
  <c r="AP10" i="17"/>
  <c r="AP13" i="17"/>
  <c r="AP17" i="17"/>
  <c r="AP29" i="17"/>
  <c r="AO14" i="17"/>
  <c r="AO10" i="17"/>
  <c r="AO13" i="17"/>
  <c r="AO15" i="17"/>
  <c r="AO16" i="17"/>
  <c r="AO17" i="17"/>
  <c r="AO29" i="17"/>
  <c r="AN14" i="17"/>
  <c r="AN15" i="17"/>
  <c r="AN16" i="17"/>
  <c r="AN10" i="17"/>
  <c r="AN13" i="17"/>
  <c r="AN17" i="17"/>
  <c r="AN29" i="17"/>
  <c r="AM14" i="17"/>
  <c r="AM10" i="17"/>
  <c r="AM13" i="17"/>
  <c r="AM15" i="17"/>
  <c r="AM16" i="17"/>
  <c r="AM17" i="17"/>
  <c r="AM29" i="17"/>
  <c r="AL14" i="17"/>
  <c r="AL15" i="17"/>
  <c r="AL16" i="17"/>
  <c r="AL10" i="17"/>
  <c r="AL13" i="17"/>
  <c r="AL17" i="17"/>
  <c r="AL29" i="17"/>
  <c r="AK14" i="17"/>
  <c r="AK15" i="17"/>
  <c r="AK16" i="17"/>
  <c r="AK17" i="17"/>
  <c r="AK29" i="17"/>
  <c r="AJ14" i="17"/>
  <c r="AJ15" i="17"/>
  <c r="AJ16" i="17"/>
  <c r="AJ10" i="17"/>
  <c r="AJ13" i="17"/>
  <c r="AJ17" i="17"/>
  <c r="AJ29" i="17"/>
  <c r="AI14" i="17"/>
  <c r="AI15" i="17"/>
  <c r="AI16" i="17"/>
  <c r="AI10" i="17"/>
  <c r="AI13" i="17"/>
  <c r="AI17" i="17"/>
  <c r="AI29" i="17"/>
  <c r="AH14" i="17"/>
  <c r="AH15" i="17"/>
  <c r="AH16" i="17"/>
  <c r="AH10" i="17"/>
  <c r="AH13" i="17"/>
  <c r="AH17" i="17"/>
  <c r="AH29" i="17"/>
  <c r="AG14" i="17"/>
  <c r="AG10" i="17"/>
  <c r="AG13" i="17"/>
  <c r="AG15" i="17"/>
  <c r="AG16" i="17"/>
  <c r="AG17" i="17"/>
  <c r="AG29" i="17"/>
  <c r="AF16" i="17"/>
  <c r="AF21" i="17"/>
  <c r="AF33" i="17"/>
  <c r="AF22" i="17"/>
  <c r="AF23" i="17"/>
  <c r="AF29" i="17"/>
  <c r="AF39" i="17"/>
  <c r="AF44" i="17"/>
  <c r="AF55" i="17"/>
  <c r="AF56" i="17"/>
  <c r="AF62" i="17"/>
  <c r="AE14" i="17"/>
  <c r="AE15" i="17"/>
  <c r="AE16" i="17"/>
  <c r="AF17" i="17"/>
  <c r="AE17" i="17"/>
  <c r="AE29" i="17"/>
  <c r="AD14" i="17"/>
  <c r="AD15" i="17"/>
  <c r="AD16" i="17"/>
  <c r="AD10" i="17"/>
  <c r="AD13" i="17"/>
  <c r="AD17" i="17"/>
  <c r="AD29" i="17"/>
  <c r="AC14" i="17"/>
  <c r="AC15" i="17"/>
  <c r="AC16" i="17"/>
  <c r="AC10" i="17"/>
  <c r="AC13" i="17"/>
  <c r="AC17" i="17"/>
  <c r="AC29" i="17"/>
  <c r="AB14" i="17"/>
  <c r="AB10" i="17"/>
  <c r="AB15" i="17"/>
  <c r="AB16" i="17"/>
  <c r="AB13" i="17"/>
  <c r="AB17" i="17"/>
  <c r="AB29" i="17"/>
  <c r="AA14" i="17"/>
  <c r="AA15" i="17"/>
  <c r="AA16" i="17"/>
  <c r="AA10" i="17"/>
  <c r="AA13" i="17"/>
  <c r="AA17" i="17"/>
  <c r="AA29" i="17"/>
  <c r="Z14" i="17"/>
  <c r="Z10" i="17"/>
  <c r="Z13" i="17"/>
  <c r="Z15" i="17"/>
  <c r="Z16" i="17"/>
  <c r="Z17" i="17"/>
  <c r="Z29" i="17"/>
  <c r="Y14" i="17"/>
  <c r="Y10" i="17"/>
  <c r="Y15" i="17"/>
  <c r="Y16" i="17"/>
  <c r="Y13" i="17"/>
  <c r="Y17" i="17"/>
  <c r="Y29" i="17"/>
  <c r="X14" i="17"/>
  <c r="X10" i="17"/>
  <c r="X13" i="17"/>
  <c r="X15" i="17"/>
  <c r="X16" i="17"/>
  <c r="X17" i="17"/>
  <c r="X29" i="17"/>
  <c r="W14" i="17"/>
  <c r="W15" i="17"/>
  <c r="W16" i="17"/>
  <c r="W10" i="17"/>
  <c r="W13" i="17"/>
  <c r="W17" i="17"/>
  <c r="W29" i="17"/>
  <c r="V14" i="17"/>
  <c r="V10" i="17"/>
  <c r="V15" i="17"/>
  <c r="V16" i="17"/>
  <c r="V13" i="17"/>
  <c r="V17" i="17"/>
  <c r="V29" i="17"/>
  <c r="U14" i="17"/>
  <c r="U10" i="17"/>
  <c r="U15" i="17"/>
  <c r="U16" i="17"/>
  <c r="U13" i="17"/>
  <c r="U17" i="17"/>
  <c r="U29" i="17"/>
  <c r="T16" i="17"/>
  <c r="T21" i="17"/>
  <c r="T33" i="17"/>
  <c r="T22" i="17"/>
  <c r="T23" i="17"/>
  <c r="T29" i="17"/>
  <c r="T39" i="17"/>
  <c r="T44" i="17"/>
  <c r="T55" i="17"/>
  <c r="S14" i="17"/>
  <c r="S15" i="17"/>
  <c r="S16" i="17"/>
  <c r="T17" i="17"/>
  <c r="S17" i="17"/>
  <c r="S29" i="17"/>
  <c r="R14" i="17"/>
  <c r="R10" i="17"/>
  <c r="R13" i="17"/>
  <c r="R15" i="17"/>
  <c r="R16" i="17"/>
  <c r="R17" i="17"/>
  <c r="R29" i="17"/>
  <c r="Q14" i="17"/>
  <c r="Q15" i="17"/>
  <c r="Q16" i="17"/>
  <c r="Q10" i="17"/>
  <c r="Q13" i="17"/>
  <c r="Q17" i="17"/>
  <c r="Q29" i="17"/>
  <c r="P14" i="17"/>
  <c r="P15" i="17"/>
  <c r="P16" i="17"/>
  <c r="P10" i="17"/>
  <c r="P13" i="17"/>
  <c r="P17" i="17"/>
  <c r="P29" i="17"/>
  <c r="O14" i="17"/>
  <c r="O10" i="17"/>
  <c r="O13" i="17"/>
  <c r="O15" i="17"/>
  <c r="O16" i="17"/>
  <c r="O17" i="17"/>
  <c r="O29" i="17"/>
  <c r="N14" i="17"/>
  <c r="N10" i="17"/>
  <c r="N13" i="17"/>
  <c r="N15" i="17"/>
  <c r="N16" i="17"/>
  <c r="N17" i="17"/>
  <c r="N29" i="17"/>
  <c r="M14" i="17"/>
  <c r="M15" i="17"/>
  <c r="M16" i="17"/>
  <c r="M10" i="17"/>
  <c r="M13" i="17"/>
  <c r="M17" i="17"/>
  <c r="M29" i="17"/>
  <c r="L14" i="17"/>
  <c r="L15" i="17"/>
  <c r="L16" i="17"/>
  <c r="L10" i="17"/>
  <c r="L13" i="17"/>
  <c r="L17" i="17"/>
  <c r="L29" i="17"/>
  <c r="K14" i="17"/>
  <c r="K10" i="17"/>
  <c r="K13" i="17"/>
  <c r="K15" i="17"/>
  <c r="K16" i="17"/>
  <c r="K17" i="17"/>
  <c r="K29" i="17"/>
  <c r="J14" i="17"/>
  <c r="J10" i="17"/>
  <c r="J13" i="17"/>
  <c r="J15" i="17"/>
  <c r="J16" i="17"/>
  <c r="J17" i="17"/>
  <c r="J29" i="17"/>
  <c r="I14" i="17"/>
  <c r="I15" i="17"/>
  <c r="I16" i="17"/>
  <c r="I17" i="17"/>
  <c r="I29" i="17"/>
  <c r="H15" i="17"/>
  <c r="H16" i="17"/>
  <c r="H21" i="17"/>
  <c r="H22" i="17"/>
  <c r="H24" i="17"/>
  <c r="H29" i="17"/>
  <c r="H34" i="17"/>
  <c r="H40" i="17"/>
  <c r="H44" i="17"/>
  <c r="H45" i="17"/>
  <c r="H51" i="17"/>
  <c r="H56" i="17"/>
  <c r="H62" i="17"/>
  <c r="G14" i="17"/>
  <c r="G15" i="17"/>
  <c r="G16" i="17"/>
  <c r="H17" i="17"/>
  <c r="G17" i="17"/>
  <c r="G29" i="17"/>
  <c r="F14" i="17"/>
  <c r="F15" i="17"/>
  <c r="F16" i="17"/>
  <c r="F17" i="17"/>
  <c r="F29" i="17"/>
  <c r="E14" i="17"/>
  <c r="E15" i="17"/>
  <c r="E16" i="17"/>
  <c r="E17" i="17"/>
  <c r="E29" i="17"/>
  <c r="D14" i="17"/>
  <c r="D15" i="17"/>
  <c r="D16" i="17"/>
  <c r="D17" i="17"/>
  <c r="D27" i="17"/>
  <c r="D30" i="17"/>
  <c r="D29" i="17"/>
  <c r="AY14" i="18"/>
  <c r="AY15" i="18"/>
  <c r="AY16" i="18"/>
  <c r="AY17" i="18"/>
  <c r="AY29" i="18"/>
  <c r="AX14" i="18"/>
  <c r="AX15" i="18"/>
  <c r="AX16" i="18"/>
  <c r="AX17" i="18"/>
  <c r="AX29" i="18"/>
  <c r="AW14" i="18"/>
  <c r="AW15" i="18"/>
  <c r="AW16" i="18"/>
  <c r="AW17" i="18"/>
  <c r="AW29" i="18"/>
  <c r="AV14" i="18"/>
  <c r="AV15" i="18"/>
  <c r="AV16" i="18"/>
  <c r="AV17" i="18"/>
  <c r="AV29" i="18"/>
  <c r="AU14" i="18"/>
  <c r="AU15" i="18"/>
  <c r="AU16" i="18"/>
  <c r="AU10" i="18"/>
  <c r="AU13" i="18"/>
  <c r="AU17" i="18"/>
  <c r="AU29" i="18"/>
  <c r="AT14" i="18"/>
  <c r="AT15" i="18"/>
  <c r="AT16" i="18"/>
  <c r="AT10" i="18"/>
  <c r="AT13" i="18"/>
  <c r="AT17" i="18"/>
  <c r="AT29" i="18"/>
  <c r="AS14" i="18"/>
  <c r="AS15" i="18"/>
  <c r="AS16" i="18"/>
  <c r="AS10" i="18"/>
  <c r="AS13" i="18"/>
  <c r="AS17" i="18"/>
  <c r="AS29" i="18"/>
  <c r="AR14" i="18"/>
  <c r="AR15" i="18"/>
  <c r="AR16" i="18"/>
  <c r="AR10" i="18"/>
  <c r="AR13" i="18"/>
  <c r="AS21" i="18"/>
  <c r="AS44" i="18"/>
  <c r="AR17" i="18"/>
  <c r="AR29" i="18"/>
  <c r="AQ16" i="18"/>
  <c r="AQ21" i="18"/>
  <c r="AQ44" i="18"/>
  <c r="AQ22" i="18"/>
  <c r="AQ24" i="18"/>
  <c r="AQ29" i="18"/>
  <c r="AQ34" i="18"/>
  <c r="AQ40" i="18"/>
  <c r="AQ45" i="18"/>
  <c r="AQ51" i="18"/>
  <c r="AQ56" i="18"/>
  <c r="AQ62" i="18"/>
  <c r="AP14" i="18"/>
  <c r="AQ15" i="18"/>
  <c r="AP15" i="18"/>
  <c r="AP16" i="18"/>
  <c r="AP17" i="18"/>
  <c r="AP29" i="18"/>
  <c r="AO14" i="18"/>
  <c r="AO10" i="18"/>
  <c r="AO13" i="18"/>
  <c r="AP22" i="18"/>
  <c r="AO15" i="18"/>
  <c r="AO16" i="18"/>
  <c r="AO17" i="18"/>
  <c r="AO21" i="18"/>
  <c r="AO29" i="18"/>
  <c r="AO44" i="18"/>
  <c r="AN14" i="18"/>
  <c r="AN15" i="18"/>
  <c r="AN16" i="18"/>
  <c r="AN10" i="18"/>
  <c r="AN13" i="18"/>
  <c r="AN17" i="18"/>
  <c r="AN29" i="18"/>
  <c r="AM14" i="18"/>
  <c r="AM15" i="18"/>
  <c r="AM16" i="18"/>
  <c r="AM17" i="18"/>
  <c r="AM29" i="18"/>
  <c r="AL14" i="18"/>
  <c r="AL15" i="18"/>
  <c r="AL16" i="18"/>
  <c r="AL10" i="18"/>
  <c r="AL13" i="18"/>
  <c r="AL17" i="18"/>
  <c r="AL29" i="18"/>
  <c r="AK14" i="18"/>
  <c r="AK15" i="18"/>
  <c r="AK16" i="18"/>
  <c r="AK10" i="18"/>
  <c r="AK13" i="18"/>
  <c r="AK17" i="18"/>
  <c r="AK29" i="18"/>
  <c r="AJ14" i="18"/>
  <c r="AJ15" i="18"/>
  <c r="AJ16" i="18"/>
  <c r="AJ17" i="18"/>
  <c r="AJ29" i="18"/>
  <c r="AI14" i="18"/>
  <c r="AI15" i="18"/>
  <c r="AI16" i="18"/>
  <c r="AI10" i="18"/>
  <c r="AI13" i="18"/>
  <c r="AJ22" i="18"/>
  <c r="AI17" i="18"/>
  <c r="AI29" i="18"/>
  <c r="AH14" i="18"/>
  <c r="AH15" i="18"/>
  <c r="AH16" i="18"/>
  <c r="AH10" i="18"/>
  <c r="AH13" i="18"/>
  <c r="AH17" i="18"/>
  <c r="AH29" i="18"/>
  <c r="AG14" i="18"/>
  <c r="AG15" i="18"/>
  <c r="AG16" i="18"/>
  <c r="AG10" i="18"/>
  <c r="AG13" i="18"/>
  <c r="AG17" i="18"/>
  <c r="AG29" i="18"/>
  <c r="AF14" i="18"/>
  <c r="AF15" i="18"/>
  <c r="AF10" i="18"/>
  <c r="AF13" i="18"/>
  <c r="AG22" i="18"/>
  <c r="AG34" i="18"/>
  <c r="AG40" i="18"/>
  <c r="AF16" i="18"/>
  <c r="AF17" i="18"/>
  <c r="AF29" i="18"/>
  <c r="AE14" i="18"/>
  <c r="AE15" i="18"/>
  <c r="AE16" i="18"/>
  <c r="AE10" i="18"/>
  <c r="AE13" i="18"/>
  <c r="AF22" i="18"/>
  <c r="AE17" i="18"/>
  <c r="AE29" i="18"/>
  <c r="AD14" i="18"/>
  <c r="AD15" i="18"/>
  <c r="AD16" i="18"/>
  <c r="AD10" i="18"/>
  <c r="AD13" i="18"/>
  <c r="AD17" i="18"/>
  <c r="AD29" i="18"/>
  <c r="AC14" i="18"/>
  <c r="AC15" i="18"/>
  <c r="AC16" i="18"/>
  <c r="AC17" i="18"/>
  <c r="AC29" i="18"/>
  <c r="AB14" i="18"/>
  <c r="AB15" i="18"/>
  <c r="AB16" i="18"/>
  <c r="AB17" i="18"/>
  <c r="AB29" i="18"/>
  <c r="AA14" i="18"/>
  <c r="AA15" i="18"/>
  <c r="AA16" i="18"/>
  <c r="AA10" i="18"/>
  <c r="AA13" i="18"/>
  <c r="AB22" i="18"/>
  <c r="AA17" i="18"/>
  <c r="AA29" i="18"/>
  <c r="Z16" i="18"/>
  <c r="Z21" i="18"/>
  <c r="Z22" i="18"/>
  <c r="Z24" i="18"/>
  <c r="Z29" i="18"/>
  <c r="Z34" i="18"/>
  <c r="Z40" i="18"/>
  <c r="Z44" i="18"/>
  <c r="Z45" i="18"/>
  <c r="Z51" i="18"/>
  <c r="Z56" i="18"/>
  <c r="Z62" i="18"/>
  <c r="Y14" i="18"/>
  <c r="Z15" i="18"/>
  <c r="Y15" i="18"/>
  <c r="Y16" i="18"/>
  <c r="Y17" i="18"/>
  <c r="Y29" i="18"/>
  <c r="X14" i="18"/>
  <c r="X15" i="18"/>
  <c r="X16" i="18"/>
  <c r="X10" i="18"/>
  <c r="X13" i="18"/>
  <c r="X17" i="18"/>
  <c r="X29" i="18"/>
  <c r="W14" i="18"/>
  <c r="W15" i="18"/>
  <c r="W16" i="18"/>
  <c r="W10" i="18"/>
  <c r="W13" i="18"/>
  <c r="W17" i="18"/>
  <c r="W21" i="18"/>
  <c r="W44" i="18"/>
  <c r="W29" i="18"/>
  <c r="V14" i="18"/>
  <c r="V15" i="18"/>
  <c r="V16" i="18"/>
  <c r="V10" i="18"/>
  <c r="V13" i="18"/>
  <c r="V17" i="18"/>
  <c r="V29" i="18"/>
  <c r="U14" i="18"/>
  <c r="U10" i="18"/>
  <c r="U13" i="18"/>
  <c r="U15" i="18"/>
  <c r="U16" i="18"/>
  <c r="U17" i="18"/>
  <c r="U29" i="18"/>
  <c r="T14" i="18"/>
  <c r="T10" i="18"/>
  <c r="T13" i="18"/>
  <c r="T15" i="18"/>
  <c r="T16" i="18"/>
  <c r="T17" i="18"/>
  <c r="T29" i="18"/>
  <c r="S14" i="18"/>
  <c r="S10" i="18"/>
  <c r="S13" i="18"/>
  <c r="S15" i="18"/>
  <c r="S16" i="18"/>
  <c r="S17" i="18"/>
  <c r="S29" i="18"/>
  <c r="R14" i="18"/>
  <c r="R10" i="18"/>
  <c r="R13" i="18"/>
  <c r="R15" i="18"/>
  <c r="R16" i="18"/>
  <c r="R17" i="18"/>
  <c r="R29" i="18"/>
  <c r="Q14" i="18"/>
  <c r="Q10" i="18"/>
  <c r="Q13" i="18"/>
  <c r="Q15" i="18"/>
  <c r="Q16" i="18"/>
  <c r="Q17" i="18"/>
  <c r="Q29" i="18"/>
  <c r="P14" i="18"/>
  <c r="P10" i="18"/>
  <c r="P13" i="18"/>
  <c r="P15" i="18"/>
  <c r="P16" i="18"/>
  <c r="P17" i="18"/>
  <c r="P29" i="18"/>
  <c r="O14" i="18"/>
  <c r="O10" i="18"/>
  <c r="O13" i="18"/>
  <c r="O15" i="18"/>
  <c r="O16" i="18"/>
  <c r="O17" i="18"/>
  <c r="O29" i="18"/>
  <c r="N14" i="18"/>
  <c r="N10" i="18"/>
  <c r="N13" i="18"/>
  <c r="N15" i="18"/>
  <c r="N16" i="18"/>
  <c r="N17" i="18"/>
  <c r="N29" i="18"/>
  <c r="M14" i="18"/>
  <c r="M10" i="18"/>
  <c r="M13" i="18"/>
  <c r="M15" i="18"/>
  <c r="M16" i="18"/>
  <c r="M17" i="18"/>
  <c r="M29" i="18"/>
  <c r="L14" i="18"/>
  <c r="L10" i="18"/>
  <c r="L13" i="18"/>
  <c r="L15" i="18"/>
  <c r="L16" i="18"/>
  <c r="L17" i="18"/>
  <c r="L29" i="18"/>
  <c r="K14" i="18"/>
  <c r="K10" i="18"/>
  <c r="K13" i="18"/>
  <c r="K15" i="18"/>
  <c r="K16" i="18"/>
  <c r="K17" i="18"/>
  <c r="K29" i="18"/>
  <c r="J14" i="18"/>
  <c r="J10" i="18"/>
  <c r="J13" i="18"/>
  <c r="J15" i="18"/>
  <c r="J16" i="18"/>
  <c r="J17" i="18"/>
  <c r="J29" i="18"/>
  <c r="I14" i="18"/>
  <c r="I10" i="18"/>
  <c r="I13" i="18"/>
  <c r="I15" i="18"/>
  <c r="I16" i="18"/>
  <c r="I17" i="18"/>
  <c r="I29" i="18"/>
  <c r="H14" i="18"/>
  <c r="H10" i="18"/>
  <c r="H13" i="18"/>
  <c r="H15" i="18"/>
  <c r="H16" i="18"/>
  <c r="H17" i="18"/>
  <c r="H29" i="18"/>
  <c r="G14" i="18"/>
  <c r="G10" i="18"/>
  <c r="G13" i="18"/>
  <c r="G15" i="18"/>
  <c r="G16" i="18"/>
  <c r="G17" i="18"/>
  <c r="G29" i="18"/>
  <c r="F14" i="18"/>
  <c r="F10" i="18"/>
  <c r="F13" i="18"/>
  <c r="F15" i="18"/>
  <c r="F16" i="18"/>
  <c r="F17" i="18"/>
  <c r="F29" i="18"/>
  <c r="E14" i="18"/>
  <c r="E10" i="18"/>
  <c r="E13" i="18"/>
  <c r="E15" i="18"/>
  <c r="E16" i="18"/>
  <c r="E17" i="18"/>
  <c r="E29" i="18"/>
  <c r="D14" i="18"/>
  <c r="D10" i="18"/>
  <c r="D15" i="18"/>
  <c r="D16" i="18"/>
  <c r="D17" i="18"/>
  <c r="D27" i="18"/>
  <c r="E27" i="18"/>
  <c r="D29" i="18"/>
  <c r="D30" i="18"/>
  <c r="B21" i="17"/>
  <c r="B21" i="18"/>
  <c r="AM21" i="18"/>
  <c r="D133" i="19"/>
  <c r="E133" i="19"/>
  <c r="F133" i="19"/>
  <c r="G133" i="19"/>
  <c r="H133" i="19"/>
  <c r="I133" i="19"/>
  <c r="J133" i="19"/>
  <c r="K133" i="19"/>
  <c r="L133" i="19"/>
  <c r="M133" i="19"/>
  <c r="N133" i="19"/>
  <c r="O133" i="19"/>
  <c r="P133" i="19"/>
  <c r="Q133" i="19"/>
  <c r="R133" i="19"/>
  <c r="S133" i="19"/>
  <c r="T133" i="19"/>
  <c r="U133" i="19"/>
  <c r="V133" i="19"/>
  <c r="W133" i="19"/>
  <c r="X133" i="19"/>
  <c r="Y133" i="19"/>
  <c r="Z133" i="19"/>
  <c r="AA133" i="19"/>
  <c r="AB133" i="19"/>
  <c r="AC133" i="19"/>
  <c r="AD133" i="19"/>
  <c r="AE133" i="19"/>
  <c r="AF133" i="19"/>
  <c r="AG133" i="19"/>
  <c r="AH133" i="19"/>
  <c r="AI133" i="19"/>
  <c r="AJ133" i="19"/>
  <c r="AK133" i="19"/>
  <c r="AL133" i="19"/>
  <c r="AM133" i="19"/>
  <c r="AN133" i="19"/>
  <c r="AO133" i="19"/>
  <c r="AP133" i="19"/>
  <c r="AQ133" i="19"/>
  <c r="AR133" i="19"/>
  <c r="AS133" i="19"/>
  <c r="AT133" i="19"/>
  <c r="AU133" i="19"/>
  <c r="AV133" i="19"/>
  <c r="AW133" i="19"/>
  <c r="AX133" i="19"/>
  <c r="C133" i="19"/>
  <c r="D127" i="19"/>
  <c r="E127" i="19"/>
  <c r="F127" i="19"/>
  <c r="G127" i="19"/>
  <c r="H127" i="19"/>
  <c r="I127" i="19"/>
  <c r="J127" i="19"/>
  <c r="K127" i="19"/>
  <c r="L127" i="19"/>
  <c r="M127" i="19"/>
  <c r="N127" i="19"/>
  <c r="O127" i="19"/>
  <c r="P127" i="19"/>
  <c r="Q127" i="19"/>
  <c r="R127" i="19"/>
  <c r="S127" i="19"/>
  <c r="T127" i="19"/>
  <c r="U127" i="19"/>
  <c r="V127" i="19"/>
  <c r="W127" i="19"/>
  <c r="X127" i="19"/>
  <c r="Y127" i="19"/>
  <c r="Z127" i="19"/>
  <c r="AA127" i="19"/>
  <c r="AB127" i="19"/>
  <c r="AC127" i="19"/>
  <c r="AD127" i="19"/>
  <c r="AE127" i="19"/>
  <c r="AF127" i="19"/>
  <c r="AG127" i="19"/>
  <c r="AH127" i="19"/>
  <c r="AI127" i="19"/>
  <c r="AJ127" i="19"/>
  <c r="AK127" i="19"/>
  <c r="AL127" i="19"/>
  <c r="AM127" i="19"/>
  <c r="AN127" i="19"/>
  <c r="AO127" i="19"/>
  <c r="AP127" i="19"/>
  <c r="AQ127" i="19"/>
  <c r="AR127" i="19"/>
  <c r="AS127" i="19"/>
  <c r="AT127" i="19"/>
  <c r="AU127" i="19"/>
  <c r="AV127" i="19"/>
  <c r="AW127" i="19"/>
  <c r="AX127" i="19"/>
  <c r="C127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C121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C115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C109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C103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C19" i="19"/>
  <c r="C28" i="19"/>
  <c r="D19" i="19"/>
  <c r="D28" i="19"/>
  <c r="E19" i="19"/>
  <c r="E28" i="19"/>
  <c r="F19" i="19"/>
  <c r="F28" i="19"/>
  <c r="G19" i="19"/>
  <c r="G28" i="19"/>
  <c r="H19" i="19"/>
  <c r="H28" i="19"/>
  <c r="I19" i="19"/>
  <c r="I28" i="19"/>
  <c r="J19" i="19"/>
  <c r="J28" i="19"/>
  <c r="K19" i="19"/>
  <c r="K28" i="19"/>
  <c r="L19" i="19"/>
  <c r="L28" i="19"/>
  <c r="M19" i="19"/>
  <c r="M28" i="19"/>
  <c r="N19" i="19"/>
  <c r="N28" i="19"/>
  <c r="C20" i="19"/>
  <c r="C29" i="19"/>
  <c r="D20" i="19"/>
  <c r="D29" i="19"/>
  <c r="E20" i="19"/>
  <c r="E29" i="19"/>
  <c r="F20" i="19"/>
  <c r="F29" i="19"/>
  <c r="G20" i="19"/>
  <c r="G29" i="19"/>
  <c r="H20" i="19"/>
  <c r="H29" i="19"/>
  <c r="I20" i="19"/>
  <c r="I29" i="19"/>
  <c r="J20" i="19"/>
  <c r="J29" i="19"/>
  <c r="K20" i="19"/>
  <c r="K29" i="19"/>
  <c r="L20" i="19"/>
  <c r="L29" i="19"/>
  <c r="M20" i="19"/>
  <c r="M29" i="19"/>
  <c r="N20" i="19"/>
  <c r="N29" i="19"/>
  <c r="C21" i="19"/>
  <c r="C30" i="19"/>
  <c r="D21" i="19"/>
  <c r="D30" i="19"/>
  <c r="E21" i="19"/>
  <c r="E30" i="19"/>
  <c r="F21" i="19"/>
  <c r="F30" i="19"/>
  <c r="G21" i="19"/>
  <c r="G30" i="19"/>
  <c r="H21" i="19"/>
  <c r="H30" i="19"/>
  <c r="I21" i="19"/>
  <c r="I30" i="19"/>
  <c r="J21" i="19"/>
  <c r="J30" i="19"/>
  <c r="K21" i="19"/>
  <c r="K30" i="19"/>
  <c r="L21" i="19"/>
  <c r="L30" i="19"/>
  <c r="M21" i="19"/>
  <c r="M30" i="19"/>
  <c r="N21" i="19"/>
  <c r="N30" i="19"/>
  <c r="C22" i="19"/>
  <c r="C31" i="19"/>
  <c r="D22" i="19"/>
  <c r="D31" i="19"/>
  <c r="E22" i="19"/>
  <c r="E31" i="19"/>
  <c r="F22" i="19"/>
  <c r="F31" i="19"/>
  <c r="G22" i="19"/>
  <c r="G31" i="19"/>
  <c r="H22" i="19"/>
  <c r="H31" i="19"/>
  <c r="I22" i="19"/>
  <c r="I31" i="19"/>
  <c r="J22" i="19"/>
  <c r="J31" i="19"/>
  <c r="K22" i="19"/>
  <c r="K31" i="19"/>
  <c r="L22" i="19"/>
  <c r="L31" i="19"/>
  <c r="M22" i="19"/>
  <c r="M31" i="19"/>
  <c r="N22" i="19"/>
  <c r="N31" i="19"/>
  <c r="C23" i="19"/>
  <c r="C32" i="19"/>
  <c r="D23" i="19"/>
  <c r="D32" i="19"/>
  <c r="E23" i="19"/>
  <c r="E32" i="19"/>
  <c r="F23" i="19"/>
  <c r="F32" i="19"/>
  <c r="G23" i="19"/>
  <c r="G32" i="19"/>
  <c r="H23" i="19"/>
  <c r="H32" i="19"/>
  <c r="I23" i="19"/>
  <c r="I32" i="19"/>
  <c r="J23" i="19"/>
  <c r="J32" i="19"/>
  <c r="K23" i="19"/>
  <c r="K32" i="19"/>
  <c r="L23" i="19"/>
  <c r="L32" i="19"/>
  <c r="M23" i="19"/>
  <c r="M32" i="19"/>
  <c r="N23" i="19"/>
  <c r="N32" i="19"/>
  <c r="C24" i="19"/>
  <c r="C33" i="19"/>
  <c r="D24" i="19"/>
  <c r="D33" i="19"/>
  <c r="E24" i="19"/>
  <c r="E33" i="19"/>
  <c r="F24" i="19"/>
  <c r="F33" i="19"/>
  <c r="G24" i="19"/>
  <c r="G33" i="19"/>
  <c r="H24" i="19"/>
  <c r="H33" i="19"/>
  <c r="I24" i="19"/>
  <c r="I33" i="19"/>
  <c r="J24" i="19"/>
  <c r="J33" i="19"/>
  <c r="K24" i="19"/>
  <c r="K33" i="19"/>
  <c r="L24" i="19"/>
  <c r="L33" i="19"/>
  <c r="M24" i="19"/>
  <c r="M33" i="19"/>
  <c r="N24" i="19"/>
  <c r="N33" i="19"/>
  <c r="B22" i="18"/>
  <c r="D22" i="18"/>
  <c r="G21" i="18"/>
  <c r="G22" i="18"/>
  <c r="O21" i="18"/>
  <c r="O22" i="18"/>
  <c r="D24" i="18"/>
  <c r="D56" i="18"/>
  <c r="D62" i="18"/>
  <c r="D34" i="18"/>
  <c r="D40" i="18"/>
  <c r="D45" i="18"/>
  <c r="D51" i="18"/>
  <c r="H21" i="18"/>
  <c r="H22" i="18"/>
  <c r="L21" i="18"/>
  <c r="L22" i="18"/>
  <c r="P21" i="18"/>
  <c r="P22" i="18"/>
  <c r="T21" i="18"/>
  <c r="T22" i="18"/>
  <c r="AQ46" i="18"/>
  <c r="AQ50" i="18"/>
  <c r="AS50" i="18"/>
  <c r="K21" i="18"/>
  <c r="K22" i="18"/>
  <c r="S21" i="18"/>
  <c r="S22" i="18"/>
  <c r="AM55" i="18"/>
  <c r="AM23" i="18"/>
  <c r="AM33" i="18"/>
  <c r="AM44" i="18"/>
  <c r="F27" i="18"/>
  <c r="E30" i="18"/>
  <c r="D13" i="18"/>
  <c r="I21" i="18"/>
  <c r="I22" i="18"/>
  <c r="M21" i="18"/>
  <c r="M22" i="18"/>
  <c r="Q21" i="18"/>
  <c r="Q22" i="18"/>
  <c r="U21" i="18"/>
  <c r="U22" i="18"/>
  <c r="W50" i="18"/>
  <c r="F21" i="18"/>
  <c r="F22" i="18"/>
  <c r="J21" i="18"/>
  <c r="J22" i="18"/>
  <c r="N21" i="18"/>
  <c r="N22" i="18"/>
  <c r="R21" i="18"/>
  <c r="R22" i="18"/>
  <c r="V22" i="18"/>
  <c r="V21" i="18"/>
  <c r="D21" i="17"/>
  <c r="AO21" i="17"/>
  <c r="B22" i="17"/>
  <c r="O22" i="17"/>
  <c r="Y22" i="18"/>
  <c r="AB21" i="18"/>
  <c r="AB10" i="18"/>
  <c r="AB13" i="18"/>
  <c r="AE22" i="18"/>
  <c r="AF21" i="18"/>
  <c r="AI22" i="18"/>
  <c r="AJ21" i="18"/>
  <c r="AJ10" i="18"/>
  <c r="AJ13" i="18"/>
  <c r="AM22" i="18"/>
  <c r="AP10" i="18"/>
  <c r="AP13" i="18"/>
  <c r="AQ14" i="18"/>
  <c r="AQ10" i="18"/>
  <c r="AQ13" i="18"/>
  <c r="AQ17" i="18"/>
  <c r="AV22" i="18"/>
  <c r="AV21" i="18"/>
  <c r="AB45" i="18"/>
  <c r="AB51" i="18"/>
  <c r="AB56" i="18"/>
  <c r="AB62" i="18"/>
  <c r="AB24" i="18"/>
  <c r="AF45" i="18"/>
  <c r="AF51" i="18"/>
  <c r="AF56" i="18"/>
  <c r="AF62" i="18"/>
  <c r="AF24" i="18"/>
  <c r="AJ45" i="18"/>
  <c r="AJ51" i="18"/>
  <c r="AJ56" i="18"/>
  <c r="AJ62" i="18"/>
  <c r="AJ24" i="18"/>
  <c r="AO55" i="18"/>
  <c r="AO23" i="18"/>
  <c r="AO33" i="18"/>
  <c r="AS33" i="18"/>
  <c r="AS23" i="18"/>
  <c r="AS55" i="18"/>
  <c r="AU21" i="18"/>
  <c r="AU22" i="18"/>
  <c r="AA22" i="17"/>
  <c r="AA21" i="17"/>
  <c r="AW21" i="17"/>
  <c r="D21" i="18"/>
  <c r="X22" i="18"/>
  <c r="Y21" i="18"/>
  <c r="Z55" i="18"/>
  <c r="Z23" i="18"/>
  <c r="Z33" i="18"/>
  <c r="AB34" i="18"/>
  <c r="AB40" i="18"/>
  <c r="AE21" i="18"/>
  <c r="AF34" i="18"/>
  <c r="AF40" i="18"/>
  <c r="AH22" i="18"/>
  <c r="AI21" i="18"/>
  <c r="AJ34" i="18"/>
  <c r="AJ40" i="18"/>
  <c r="AL22" i="18"/>
  <c r="AM10" i="18"/>
  <c r="AM13" i="18"/>
  <c r="AQ55" i="18"/>
  <c r="AQ23" i="18"/>
  <c r="AQ33" i="18"/>
  <c r="AT22" i="18"/>
  <c r="AT21" i="18"/>
  <c r="N21" i="17"/>
  <c r="O21" i="17"/>
  <c r="R21" i="17"/>
  <c r="T24" i="17"/>
  <c r="T56" i="17"/>
  <c r="T62" i="17"/>
  <c r="T45" i="17"/>
  <c r="T51" i="17"/>
  <c r="T34" i="17"/>
  <c r="T40" i="17"/>
  <c r="W55" i="18"/>
  <c r="W23" i="18"/>
  <c r="W33" i="18"/>
  <c r="Y10" i="18"/>
  <c r="Y13" i="18"/>
  <c r="Z14" i="18"/>
  <c r="Z10" i="18"/>
  <c r="Z13" i="18"/>
  <c r="Z17" i="18"/>
  <c r="Z46" i="18"/>
  <c r="Z50" i="18"/>
  <c r="AG45" i="18"/>
  <c r="AG51" i="18"/>
  <c r="AG56" i="18"/>
  <c r="AG62" i="18"/>
  <c r="AG24" i="18"/>
  <c r="AG21" i="18"/>
  <c r="AO50" i="18"/>
  <c r="AP45" i="18"/>
  <c r="AP51" i="18"/>
  <c r="AP56" i="18"/>
  <c r="AP62" i="18"/>
  <c r="AP24" i="18"/>
  <c r="AP34" i="18"/>
  <c r="AP40" i="18"/>
  <c r="AS22" i="18"/>
  <c r="H46" i="17"/>
  <c r="H50" i="17"/>
  <c r="AZ17" i="18"/>
  <c r="W22" i="18"/>
  <c r="X21" i="18"/>
  <c r="AC10" i="18"/>
  <c r="AC13" i="18"/>
  <c r="AH21" i="18"/>
  <c r="AL21" i="18"/>
  <c r="AO22" i="18"/>
  <c r="AP21" i="18"/>
  <c r="Q21" i="17"/>
  <c r="W22" i="17"/>
  <c r="AV10" i="18"/>
  <c r="AV13" i="18"/>
  <c r="H23" i="17"/>
  <c r="H55" i="17"/>
  <c r="H33" i="17"/>
  <c r="L21" i="17"/>
  <c r="AF50" i="17"/>
  <c r="AP21" i="17"/>
  <c r="K22" i="17"/>
  <c r="K21" i="17"/>
  <c r="M21" i="17"/>
  <c r="S22" i="17"/>
  <c r="S21" i="17"/>
  <c r="T57" i="17"/>
  <c r="T61" i="17"/>
  <c r="AJ22" i="17"/>
  <c r="AJ21" i="17"/>
  <c r="AR21" i="17"/>
  <c r="P21" i="17"/>
  <c r="W21" i="17"/>
  <c r="X22" i="17"/>
  <c r="X21" i="17"/>
  <c r="AC21" i="17"/>
  <c r="AZ17" i="17"/>
  <c r="T35" i="17"/>
  <c r="AD21" i="17"/>
  <c r="AE21" i="17"/>
  <c r="AF15" i="17"/>
  <c r="AE10" i="17"/>
  <c r="AE13" i="17"/>
  <c r="AF14" i="17"/>
  <c r="AF10" i="17"/>
  <c r="AF13" i="17"/>
  <c r="AU21" i="17"/>
  <c r="AY21" i="17"/>
  <c r="E27" i="17"/>
  <c r="T15" i="17"/>
  <c r="S10" i="17"/>
  <c r="S13" i="17"/>
  <c r="T14" i="17"/>
  <c r="T50" i="17"/>
  <c r="V21" i="17"/>
  <c r="Z21" i="17"/>
  <c r="AB21" i="17"/>
  <c r="AH21" i="17"/>
  <c r="AI21" i="17"/>
  <c r="AW10" i="18"/>
  <c r="AW13" i="18"/>
  <c r="AX10" i="18"/>
  <c r="AX13" i="18"/>
  <c r="AY10" i="18"/>
  <c r="AY13" i="18"/>
  <c r="D10" i="17"/>
  <c r="E10" i="17"/>
  <c r="E13" i="17"/>
  <c r="F10" i="17"/>
  <c r="F13" i="17"/>
  <c r="G10" i="17"/>
  <c r="G13" i="17"/>
  <c r="H14" i="17"/>
  <c r="H10" i="17"/>
  <c r="H13" i="17"/>
  <c r="I10" i="17"/>
  <c r="I13" i="17"/>
  <c r="Y21" i="17"/>
  <c r="AK21" i="17"/>
  <c r="AN21" i="17"/>
  <c r="AN22" i="17"/>
  <c r="AS21" i="17"/>
  <c r="AF24" i="17"/>
  <c r="AF34" i="17"/>
  <c r="AF45" i="17"/>
  <c r="AF51" i="17"/>
  <c r="AM21" i="17"/>
  <c r="AV22" i="17"/>
  <c r="AV21" i="17"/>
  <c r="AF57" i="17"/>
  <c r="AF61" i="17"/>
  <c r="AO22" i="17"/>
  <c r="AQ21" i="17"/>
  <c r="AK10" i="17"/>
  <c r="AK13" i="17"/>
  <c r="AT21" i="17"/>
  <c r="AX21" i="17"/>
  <c r="AZ259" i="15"/>
  <c r="H8" i="20"/>
  <c r="L260" i="15"/>
  <c r="AR260" i="15"/>
  <c r="X260" i="14"/>
  <c r="AX260" i="14"/>
  <c r="S9" i="20"/>
  <c r="AX260" i="16"/>
  <c r="H260" i="14"/>
  <c r="AZ260" i="14"/>
  <c r="AH260" i="14"/>
  <c r="AJ260" i="14"/>
  <c r="T43" i="20"/>
  <c r="AZ259" i="16"/>
  <c r="D260" i="15"/>
  <c r="BA14" i="15"/>
  <c r="L260" i="14"/>
  <c r="AL260" i="14"/>
  <c r="AN260" i="14"/>
  <c r="S31" i="20"/>
  <c r="T32" i="20"/>
  <c r="S7" i="20"/>
  <c r="T11" i="20"/>
  <c r="T45" i="20"/>
  <c r="H7" i="20"/>
  <c r="S8" i="20"/>
  <c r="H9" i="20"/>
  <c r="S10" i="20"/>
  <c r="H10" i="20"/>
  <c r="BA14" i="16"/>
  <c r="F260" i="16"/>
  <c r="N260" i="16"/>
  <c r="AZ260" i="16"/>
  <c r="V260" i="16"/>
  <c r="AD260" i="16"/>
  <c r="AJ260" i="16"/>
  <c r="AL260" i="16"/>
  <c r="AR260" i="16"/>
  <c r="AT260" i="16"/>
  <c r="H260" i="15"/>
  <c r="J260" i="15"/>
  <c r="R260" i="15"/>
  <c r="X260" i="15"/>
  <c r="Z260" i="15"/>
  <c r="AH260" i="15"/>
  <c r="AN260" i="15"/>
  <c r="AP260" i="15"/>
  <c r="AV260" i="15"/>
  <c r="AZ259" i="14"/>
  <c r="F260" i="14"/>
  <c r="P260" i="14"/>
  <c r="V260" i="14"/>
  <c r="AB260" i="14"/>
  <c r="AP260" i="14"/>
  <c r="AR260" i="14"/>
  <c r="O24" i="17"/>
  <c r="O34" i="17"/>
  <c r="O40" i="17"/>
  <c r="O56" i="17"/>
  <c r="O62" i="17"/>
  <c r="O45" i="17"/>
  <c r="O51" i="17"/>
  <c r="AV24" i="17"/>
  <c r="AV56" i="17"/>
  <c r="AV62" i="17"/>
  <c r="AV45" i="17"/>
  <c r="AV51" i="17"/>
  <c r="AV34" i="17"/>
  <c r="AV40" i="17"/>
  <c r="AN24" i="17"/>
  <c r="AN34" i="17"/>
  <c r="AN40" i="17"/>
  <c r="AN45" i="17"/>
  <c r="AN51" i="17"/>
  <c r="AN56" i="17"/>
  <c r="AN62" i="17"/>
  <c r="G22" i="17"/>
  <c r="G21" i="17"/>
  <c r="AH33" i="17"/>
  <c r="AH55" i="17"/>
  <c r="AH44" i="17"/>
  <c r="AH23" i="17"/>
  <c r="P33" i="17"/>
  <c r="P23" i="17"/>
  <c r="P44" i="17"/>
  <c r="P55" i="17"/>
  <c r="S24" i="17"/>
  <c r="S34" i="17"/>
  <c r="S40" i="17"/>
  <c r="S56" i="17"/>
  <c r="S62" i="17"/>
  <c r="S45" i="17"/>
  <c r="S51" i="17"/>
  <c r="H39" i="17"/>
  <c r="H35" i="17"/>
  <c r="AO45" i="18"/>
  <c r="AO56" i="18"/>
  <c r="AO62" i="18"/>
  <c r="AO24" i="18"/>
  <c r="AO34" i="18"/>
  <c r="AO40" i="18"/>
  <c r="AN22" i="18"/>
  <c r="AN21" i="18"/>
  <c r="Z35" i="18"/>
  <c r="Z39" i="18"/>
  <c r="X45" i="18"/>
  <c r="X51" i="18"/>
  <c r="X56" i="18"/>
  <c r="X62" i="18"/>
  <c r="X24" i="18"/>
  <c r="X34" i="18"/>
  <c r="X40" i="18"/>
  <c r="AV24" i="18"/>
  <c r="AV56" i="18"/>
  <c r="AV62" i="18"/>
  <c r="AV34" i="18"/>
  <c r="AV40" i="18"/>
  <c r="AV45" i="18"/>
  <c r="AV51" i="18"/>
  <c r="AE45" i="18"/>
  <c r="AE51" i="18"/>
  <c r="AE56" i="18"/>
  <c r="AE62" i="18"/>
  <c r="AE24" i="18"/>
  <c r="AE34" i="18"/>
  <c r="AE40" i="18"/>
  <c r="V45" i="18"/>
  <c r="V51" i="18"/>
  <c r="V24" i="18"/>
  <c r="V34" i="18"/>
  <c r="V40" i="18"/>
  <c r="V56" i="18"/>
  <c r="V62" i="18"/>
  <c r="F33" i="18"/>
  <c r="F44" i="18"/>
  <c r="F55" i="18"/>
  <c r="F23" i="18"/>
  <c r="AZ10" i="18"/>
  <c r="S33" i="18"/>
  <c r="S44" i="18"/>
  <c r="S23" i="18"/>
  <c r="S55" i="18"/>
  <c r="O24" i="18"/>
  <c r="O34" i="18"/>
  <c r="O40" i="18"/>
  <c r="O56" i="18"/>
  <c r="O62" i="18"/>
  <c r="O45" i="18"/>
  <c r="O51" i="18"/>
  <c r="AX33" i="17"/>
  <c r="AX23" i="17"/>
  <c r="AX55" i="17"/>
  <c r="AX44" i="17"/>
  <c r="AY22" i="17"/>
  <c r="AM33" i="17"/>
  <c r="AM23" i="17"/>
  <c r="AM44" i="17"/>
  <c r="AM55" i="17"/>
  <c r="AN33" i="17"/>
  <c r="AN23" i="17"/>
  <c r="AN44" i="17"/>
  <c r="AN55" i="17"/>
  <c r="Y22" i="17"/>
  <c r="F22" i="17"/>
  <c r="F21" i="17"/>
  <c r="AX22" i="18"/>
  <c r="AX21" i="18"/>
  <c r="AB33" i="17"/>
  <c r="AB44" i="17"/>
  <c r="AB55" i="17"/>
  <c r="AB23" i="17"/>
  <c r="V22" i="17"/>
  <c r="T10" i="17"/>
  <c r="T13" i="17"/>
  <c r="AY23" i="17"/>
  <c r="AY33" i="17"/>
  <c r="AY55" i="17"/>
  <c r="AY44" i="17"/>
  <c r="AQ22" i="17"/>
  <c r="AE22" i="17"/>
  <c r="AC22" i="17"/>
  <c r="W33" i="17"/>
  <c r="W23" i="17"/>
  <c r="W55" i="17"/>
  <c r="W44" i="17"/>
  <c r="AR33" i="17"/>
  <c r="AR23" i="17"/>
  <c r="AR55" i="17"/>
  <c r="AR44" i="17"/>
  <c r="M22" i="17"/>
  <c r="AP33" i="17"/>
  <c r="AP23" i="17"/>
  <c r="AP55" i="17"/>
  <c r="AP44" i="17"/>
  <c r="N22" i="17"/>
  <c r="H57" i="17"/>
  <c r="H61" i="17"/>
  <c r="Q22" i="17"/>
  <c r="AL55" i="18"/>
  <c r="AL23" i="18"/>
  <c r="AL33" i="18"/>
  <c r="AL44" i="18"/>
  <c r="W45" i="18"/>
  <c r="W56" i="18"/>
  <c r="W62" i="18"/>
  <c r="W24" i="18"/>
  <c r="W34" i="18"/>
  <c r="W40" i="18"/>
  <c r="AS24" i="18"/>
  <c r="AS34" i="18"/>
  <c r="AS40" i="18"/>
  <c r="AS45" i="18"/>
  <c r="AS56" i="18"/>
  <c r="AS62" i="18"/>
  <c r="AQ35" i="18"/>
  <c r="AQ39" i="18"/>
  <c r="AL45" i="18"/>
  <c r="AL51" i="18"/>
  <c r="AL56" i="18"/>
  <c r="AL62" i="18"/>
  <c r="AL24" i="18"/>
  <c r="AL34" i="18"/>
  <c r="AL40" i="18"/>
  <c r="D33" i="18"/>
  <c r="D44" i="18"/>
  <c r="D23" i="18"/>
  <c r="D55" i="18"/>
  <c r="AU24" i="18"/>
  <c r="AU34" i="18"/>
  <c r="AU40" i="18"/>
  <c r="AU45" i="18"/>
  <c r="AU51" i="18"/>
  <c r="AU56" i="18"/>
  <c r="AU62" i="18"/>
  <c r="AS39" i="18"/>
  <c r="AJ55" i="18"/>
  <c r="AJ23" i="18"/>
  <c r="AJ33" i="18"/>
  <c r="AJ44" i="18"/>
  <c r="AC22" i="18"/>
  <c r="AC21" i="18"/>
  <c r="AZ21" i="18"/>
  <c r="AO33" i="17"/>
  <c r="AO44" i="17"/>
  <c r="AO55" i="17"/>
  <c r="AO23" i="17"/>
  <c r="R24" i="18"/>
  <c r="R56" i="18"/>
  <c r="R62" i="18"/>
  <c r="R34" i="18"/>
  <c r="R40" i="18"/>
  <c r="R45" i="18"/>
  <c r="R51" i="18"/>
  <c r="J24" i="18"/>
  <c r="J34" i="18"/>
  <c r="J40" i="18"/>
  <c r="J45" i="18"/>
  <c r="J51" i="18"/>
  <c r="J56" i="18"/>
  <c r="J62" i="18"/>
  <c r="Q24" i="18"/>
  <c r="Q34" i="18"/>
  <c r="Q40" i="18"/>
  <c r="Q56" i="18"/>
  <c r="Q62" i="18"/>
  <c r="Q45" i="18"/>
  <c r="Q51" i="18"/>
  <c r="I24" i="18"/>
  <c r="I34" i="18"/>
  <c r="I40" i="18"/>
  <c r="I56" i="18"/>
  <c r="I62" i="18"/>
  <c r="I45" i="18"/>
  <c r="I51" i="18"/>
  <c r="K24" i="18"/>
  <c r="K56" i="18"/>
  <c r="K62" i="18"/>
  <c r="K34" i="18"/>
  <c r="K40" i="18"/>
  <c r="K45" i="18"/>
  <c r="K51" i="18"/>
  <c r="P24" i="18"/>
  <c r="P34" i="18"/>
  <c r="P40" i="18"/>
  <c r="P56" i="18"/>
  <c r="P62" i="18"/>
  <c r="P45" i="18"/>
  <c r="P51" i="18"/>
  <c r="H24" i="18"/>
  <c r="H56" i="18"/>
  <c r="H62" i="18"/>
  <c r="H34" i="18"/>
  <c r="H40" i="18"/>
  <c r="H45" i="18"/>
  <c r="H51" i="18"/>
  <c r="O33" i="18"/>
  <c r="O44" i="18"/>
  <c r="O23" i="18"/>
  <c r="O55" i="18"/>
  <c r="AO24" i="17"/>
  <c r="AO56" i="17"/>
  <c r="AO62" i="17"/>
  <c r="AO34" i="17"/>
  <c r="AO40" i="17"/>
  <c r="AO45" i="17"/>
  <c r="AO51" i="17"/>
  <c r="AF40" i="17"/>
  <c r="AF35" i="17"/>
  <c r="Y33" i="17"/>
  <c r="Y44" i="17"/>
  <c r="Y55" i="17"/>
  <c r="Y23" i="17"/>
  <c r="AY22" i="18"/>
  <c r="AY21" i="18"/>
  <c r="Z33" i="17"/>
  <c r="Z55" i="17"/>
  <c r="Z23" i="17"/>
  <c r="Z44" i="17"/>
  <c r="AU33" i="17"/>
  <c r="AU23" i="17"/>
  <c r="AU55" i="17"/>
  <c r="AU44" i="17"/>
  <c r="AE33" i="17"/>
  <c r="AE44" i="17"/>
  <c r="AE55" i="17"/>
  <c r="AE23" i="17"/>
  <c r="X24" i="17"/>
  <c r="X34" i="17"/>
  <c r="X40" i="17"/>
  <c r="X45" i="17"/>
  <c r="X51" i="17"/>
  <c r="X56" i="17"/>
  <c r="X62" i="17"/>
  <c r="AJ24" i="17"/>
  <c r="AJ34" i="17"/>
  <c r="AJ40" i="17"/>
  <c r="AJ45" i="17"/>
  <c r="AJ51" i="17"/>
  <c r="AJ56" i="17"/>
  <c r="AJ62" i="17"/>
  <c r="K24" i="17"/>
  <c r="K34" i="17"/>
  <c r="K40" i="17"/>
  <c r="K56" i="17"/>
  <c r="K62" i="17"/>
  <c r="K45" i="17"/>
  <c r="K51" i="17"/>
  <c r="W24" i="17"/>
  <c r="W34" i="17"/>
  <c r="W40" i="17"/>
  <c r="W45" i="17"/>
  <c r="W51" i="17"/>
  <c r="W56" i="17"/>
  <c r="W62" i="17"/>
  <c r="X55" i="18"/>
  <c r="X23" i="18"/>
  <c r="X33" i="18"/>
  <c r="X44" i="18"/>
  <c r="AG55" i="18"/>
  <c r="AG23" i="18"/>
  <c r="AG33" i="18"/>
  <c r="AG44" i="18"/>
  <c r="W35" i="18"/>
  <c r="W39" i="18"/>
  <c r="O33" i="17"/>
  <c r="O44" i="17"/>
  <c r="O55" i="17"/>
  <c r="O23" i="17"/>
  <c r="AT24" i="18"/>
  <c r="AT34" i="18"/>
  <c r="AT40" i="18"/>
  <c r="AT45" i="18"/>
  <c r="AT51" i="18"/>
  <c r="AT56" i="18"/>
  <c r="AT62" i="18"/>
  <c r="AH45" i="18"/>
  <c r="AH51" i="18"/>
  <c r="AH56" i="18"/>
  <c r="AH62" i="18"/>
  <c r="AH24" i="18"/>
  <c r="AH34" i="18"/>
  <c r="AH40" i="18"/>
  <c r="AA24" i="17"/>
  <c r="AA34" i="17"/>
  <c r="AA40" i="17"/>
  <c r="AA45" i="17"/>
  <c r="AA51" i="17"/>
  <c r="AA56" i="17"/>
  <c r="AA62" i="17"/>
  <c r="AO57" i="18"/>
  <c r="AO61" i="18"/>
  <c r="AK22" i="18"/>
  <c r="AK21" i="18"/>
  <c r="D22" i="17"/>
  <c r="AD22" i="17"/>
  <c r="AS22" i="17"/>
  <c r="AI22" i="17"/>
  <c r="N33" i="18"/>
  <c r="N23" i="18"/>
  <c r="N44" i="18"/>
  <c r="N55" i="18"/>
  <c r="U33" i="18"/>
  <c r="U44" i="18"/>
  <c r="U23" i="18"/>
  <c r="U55" i="18"/>
  <c r="M33" i="18"/>
  <c r="M44" i="18"/>
  <c r="M23" i="18"/>
  <c r="M55" i="18"/>
  <c r="AM39" i="18"/>
  <c r="T33" i="18"/>
  <c r="T44" i="18"/>
  <c r="T23" i="18"/>
  <c r="T55" i="18"/>
  <c r="L33" i="18"/>
  <c r="L23" i="18"/>
  <c r="L44" i="18"/>
  <c r="L55" i="18"/>
  <c r="AZ260" i="15"/>
  <c r="AT33" i="17"/>
  <c r="AT23" i="17"/>
  <c r="AT55" i="17"/>
  <c r="AT44" i="17"/>
  <c r="AX22" i="17"/>
  <c r="AM22" i="17"/>
  <c r="AT22" i="17"/>
  <c r="AK33" i="17"/>
  <c r="AK44" i="17"/>
  <c r="AK55" i="17"/>
  <c r="AK23" i="17"/>
  <c r="J22" i="17"/>
  <c r="J21" i="17"/>
  <c r="AZ10" i="17"/>
  <c r="D13" i="17"/>
  <c r="AI33" i="17"/>
  <c r="AI44" i="17"/>
  <c r="AI23" i="17"/>
  <c r="AI55" i="17"/>
  <c r="AB22" i="17"/>
  <c r="V33" i="17"/>
  <c r="V55" i="17"/>
  <c r="V23" i="17"/>
  <c r="V44" i="17"/>
  <c r="AW22" i="17"/>
  <c r="AG22" i="17"/>
  <c r="AG21" i="17"/>
  <c r="AD33" i="17"/>
  <c r="AD23" i="17"/>
  <c r="AD55" i="17"/>
  <c r="AD44" i="17"/>
  <c r="AC33" i="17"/>
  <c r="AC44" i="17"/>
  <c r="AC55" i="17"/>
  <c r="AC23" i="17"/>
  <c r="R22" i="17"/>
  <c r="AR22" i="17"/>
  <c r="M33" i="17"/>
  <c r="M23" i="17"/>
  <c r="M55" i="17"/>
  <c r="M44" i="17"/>
  <c r="AP22" i="17"/>
  <c r="L22" i="17"/>
  <c r="Q33" i="17"/>
  <c r="Q23" i="17"/>
  <c r="Q55" i="17"/>
  <c r="Q44" i="17"/>
  <c r="AH55" i="18"/>
  <c r="AH23" i="18"/>
  <c r="AH33" i="18"/>
  <c r="AH44" i="18"/>
  <c r="W57" i="18"/>
  <c r="W61" i="18"/>
  <c r="N33" i="17"/>
  <c r="N23" i="17"/>
  <c r="N44" i="17"/>
  <c r="N55" i="17"/>
  <c r="AE55" i="18"/>
  <c r="AE23" i="18"/>
  <c r="AE33" i="18"/>
  <c r="AE44" i="18"/>
  <c r="Z57" i="18"/>
  <c r="Z61" i="18"/>
  <c r="AW33" i="17"/>
  <c r="AW23" i="17"/>
  <c r="AW44" i="17"/>
  <c r="AW55" i="17"/>
  <c r="AU33" i="18"/>
  <c r="AU44" i="18"/>
  <c r="AU55" i="18"/>
  <c r="AU23" i="18"/>
  <c r="AO39" i="18"/>
  <c r="AR22" i="18"/>
  <c r="AR21" i="18"/>
  <c r="AI45" i="18"/>
  <c r="AI51" i="18"/>
  <c r="AI56" i="18"/>
  <c r="AI62" i="18"/>
  <c r="AI24" i="18"/>
  <c r="AI34" i="18"/>
  <c r="AI40" i="18"/>
  <c r="AB55" i="18"/>
  <c r="AB23" i="18"/>
  <c r="AB33" i="18"/>
  <c r="AB44" i="18"/>
  <c r="D23" i="17"/>
  <c r="D55" i="17"/>
  <c r="D44" i="17"/>
  <c r="D33" i="17"/>
  <c r="R33" i="18"/>
  <c r="R23" i="18"/>
  <c r="R44" i="18"/>
  <c r="R55" i="18"/>
  <c r="J33" i="18"/>
  <c r="J23" i="18"/>
  <c r="J44" i="18"/>
  <c r="J55" i="18"/>
  <c r="Q33" i="18"/>
  <c r="Q44" i="18"/>
  <c r="Q23" i="18"/>
  <c r="Q55" i="18"/>
  <c r="I33" i="18"/>
  <c r="I44" i="18"/>
  <c r="I23" i="18"/>
  <c r="I55" i="18"/>
  <c r="F30" i="18"/>
  <c r="G27" i="18"/>
  <c r="AM57" i="18"/>
  <c r="AM61" i="18"/>
  <c r="K33" i="18"/>
  <c r="K23" i="18"/>
  <c r="K44" i="18"/>
  <c r="K55" i="18"/>
  <c r="P33" i="18"/>
  <c r="P44" i="18"/>
  <c r="P23" i="18"/>
  <c r="P55" i="18"/>
  <c r="H33" i="18"/>
  <c r="H44" i="18"/>
  <c r="H55" i="18"/>
  <c r="H23" i="18"/>
  <c r="G24" i="18"/>
  <c r="G56" i="18"/>
  <c r="G62" i="18"/>
  <c r="G34" i="18"/>
  <c r="G40" i="18"/>
  <c r="G45" i="18"/>
  <c r="G51" i="18"/>
  <c r="AL21" i="17"/>
  <c r="AL22" i="17"/>
  <c r="AQ33" i="17"/>
  <c r="AQ23" i="17"/>
  <c r="AQ55" i="17"/>
  <c r="AQ44" i="17"/>
  <c r="AV33" i="17"/>
  <c r="AV23" i="17"/>
  <c r="AV55" i="17"/>
  <c r="AV44" i="17"/>
  <c r="AS33" i="17"/>
  <c r="AS23" i="17"/>
  <c r="AS44" i="17"/>
  <c r="AS55" i="17"/>
  <c r="AK22" i="17"/>
  <c r="I22" i="17"/>
  <c r="I21" i="17"/>
  <c r="AH22" i="17"/>
  <c r="Z22" i="17"/>
  <c r="T46" i="17"/>
  <c r="E30" i="17"/>
  <c r="F27" i="17"/>
  <c r="AU22" i="17"/>
  <c r="X33" i="17"/>
  <c r="X23" i="17"/>
  <c r="X44" i="17"/>
  <c r="X55" i="17"/>
  <c r="P22" i="17"/>
  <c r="AJ33" i="17"/>
  <c r="AJ23" i="17"/>
  <c r="AJ55" i="17"/>
  <c r="AJ44" i="17"/>
  <c r="S33" i="17"/>
  <c r="S44" i="17"/>
  <c r="S55" i="17"/>
  <c r="S23" i="17"/>
  <c r="K33" i="17"/>
  <c r="K44" i="17"/>
  <c r="K55" i="17"/>
  <c r="K23" i="17"/>
  <c r="AF46" i="17"/>
  <c r="L33" i="17"/>
  <c r="L23" i="17"/>
  <c r="L44" i="17"/>
  <c r="L55" i="17"/>
  <c r="AW22" i="18"/>
  <c r="AW21" i="18"/>
  <c r="AP55" i="18"/>
  <c r="AP23" i="18"/>
  <c r="AP33" i="18"/>
  <c r="AP44" i="18"/>
  <c r="AD22" i="18"/>
  <c r="AD21" i="18"/>
  <c r="AA22" i="18"/>
  <c r="AA21" i="18"/>
  <c r="R33" i="17"/>
  <c r="R23" i="17"/>
  <c r="R44" i="17"/>
  <c r="R55" i="17"/>
  <c r="AT33" i="18"/>
  <c r="AT44" i="18"/>
  <c r="AT55" i="18"/>
  <c r="AT23" i="18"/>
  <c r="AQ57" i="18"/>
  <c r="AQ61" i="18"/>
  <c r="AI55" i="18"/>
  <c r="AI23" i="18"/>
  <c r="AI33" i="18"/>
  <c r="AI44" i="18"/>
  <c r="Y55" i="18"/>
  <c r="Y23" i="18"/>
  <c r="Y33" i="18"/>
  <c r="Y44" i="18"/>
  <c r="AA33" i="17"/>
  <c r="AA23" i="17"/>
  <c r="AA44" i="17"/>
  <c r="AA55" i="17"/>
  <c r="AS57" i="18"/>
  <c r="AS61" i="18"/>
  <c r="AV33" i="18"/>
  <c r="AV44" i="18"/>
  <c r="AV55" i="18"/>
  <c r="AV23" i="18"/>
  <c r="AM45" i="18"/>
  <c r="AM51" i="18"/>
  <c r="AM56" i="18"/>
  <c r="AM62" i="18"/>
  <c r="AM24" i="18"/>
  <c r="AM34" i="18"/>
  <c r="AM40" i="18"/>
  <c r="AF55" i="18"/>
  <c r="AF23" i="18"/>
  <c r="AF33" i="18"/>
  <c r="AF44" i="18"/>
  <c r="Y45" i="18"/>
  <c r="Y51" i="18"/>
  <c r="Y56" i="18"/>
  <c r="Y62" i="18"/>
  <c r="Y24" i="18"/>
  <c r="Y34" i="18"/>
  <c r="Y40" i="18"/>
  <c r="V23" i="18"/>
  <c r="V33" i="18"/>
  <c r="V44" i="18"/>
  <c r="V55" i="18"/>
  <c r="N24" i="18"/>
  <c r="N56" i="18"/>
  <c r="N62" i="18"/>
  <c r="N34" i="18"/>
  <c r="N40" i="18"/>
  <c r="N45" i="18"/>
  <c r="N51" i="18"/>
  <c r="F24" i="18"/>
  <c r="F34" i="18"/>
  <c r="F40" i="18"/>
  <c r="F56" i="18"/>
  <c r="F62" i="18"/>
  <c r="F45" i="18"/>
  <c r="F51" i="18"/>
  <c r="U24" i="18"/>
  <c r="U34" i="18"/>
  <c r="U40" i="18"/>
  <c r="U56" i="18"/>
  <c r="U62" i="18"/>
  <c r="U45" i="18"/>
  <c r="U51" i="18"/>
  <c r="M24" i="18"/>
  <c r="M34" i="18"/>
  <c r="M40" i="18"/>
  <c r="M45" i="18"/>
  <c r="M51" i="18"/>
  <c r="M56" i="18"/>
  <c r="M62" i="18"/>
  <c r="E21" i="18"/>
  <c r="E22" i="18"/>
  <c r="AM46" i="18"/>
  <c r="AM50" i="18"/>
  <c r="S24" i="18"/>
  <c r="S34" i="18"/>
  <c r="S40" i="18"/>
  <c r="S56" i="18"/>
  <c r="S62" i="18"/>
  <c r="S45" i="18"/>
  <c r="S51" i="18"/>
  <c r="T24" i="18"/>
  <c r="T56" i="18"/>
  <c r="T62" i="18"/>
  <c r="T34" i="18"/>
  <c r="T40" i="18"/>
  <c r="T45" i="18"/>
  <c r="T51" i="18"/>
  <c r="L24" i="18"/>
  <c r="L56" i="18"/>
  <c r="L62" i="18"/>
  <c r="L34" i="18"/>
  <c r="L40" i="18"/>
  <c r="L45" i="18"/>
  <c r="L51" i="18"/>
  <c r="G33" i="18"/>
  <c r="G44" i="18"/>
  <c r="G23" i="18"/>
  <c r="G55" i="18"/>
  <c r="AF35" i="18"/>
  <c r="AF39" i="18"/>
  <c r="AT57" i="18"/>
  <c r="AT61" i="18"/>
  <c r="AP35" i="18"/>
  <c r="AP39" i="18"/>
  <c r="K50" i="17"/>
  <c r="K46" i="17"/>
  <c r="F30" i="17"/>
  <c r="G27" i="17"/>
  <c r="AV50" i="17"/>
  <c r="AV46" i="17"/>
  <c r="R50" i="18"/>
  <c r="R46" i="18"/>
  <c r="AB46" i="18"/>
  <c r="AB50" i="18"/>
  <c r="AH46" i="18"/>
  <c r="AH50" i="18"/>
  <c r="AG33" i="17"/>
  <c r="AG44" i="17"/>
  <c r="AG55" i="17"/>
  <c r="AG23" i="17"/>
  <c r="AT24" i="17"/>
  <c r="AT56" i="17"/>
  <c r="AT62" i="17"/>
  <c r="AT45" i="17"/>
  <c r="AT51" i="17"/>
  <c r="AT34" i="17"/>
  <c r="AT40" i="17"/>
  <c r="T57" i="18"/>
  <c r="T61" i="18"/>
  <c r="U50" i="18"/>
  <c r="U46" i="18"/>
  <c r="O50" i="17"/>
  <c r="O46" i="17"/>
  <c r="D57" i="18"/>
  <c r="D61" i="18"/>
  <c r="AR50" i="17"/>
  <c r="AR46" i="17"/>
  <c r="W50" i="17"/>
  <c r="W46" i="17"/>
  <c r="V24" i="17"/>
  <c r="V34" i="17"/>
  <c r="V40" i="17"/>
  <c r="V56" i="17"/>
  <c r="V62" i="17"/>
  <c r="V45" i="17"/>
  <c r="V51" i="17"/>
  <c r="AB39" i="17"/>
  <c r="AH61" i="17"/>
  <c r="G50" i="18"/>
  <c r="G46" i="18"/>
  <c r="E24" i="18"/>
  <c r="E34" i="18"/>
  <c r="E40" i="18"/>
  <c r="E56" i="18"/>
  <c r="E62" i="18"/>
  <c r="E45" i="18"/>
  <c r="E51" i="18"/>
  <c r="AZ22" i="18"/>
  <c r="V35" i="18"/>
  <c r="V39" i="18"/>
  <c r="AV50" i="18"/>
  <c r="AV46" i="18"/>
  <c r="AA57" i="17"/>
  <c r="AA61" i="17"/>
  <c r="Y46" i="18"/>
  <c r="Y50" i="18"/>
  <c r="AI46" i="18"/>
  <c r="AI50" i="18"/>
  <c r="AT50" i="18"/>
  <c r="AT46" i="18"/>
  <c r="AD55" i="18"/>
  <c r="AD23" i="18"/>
  <c r="AD33" i="18"/>
  <c r="AD44" i="18"/>
  <c r="L61" i="17"/>
  <c r="K39" i="17"/>
  <c r="K35" i="17"/>
  <c r="S39" i="17"/>
  <c r="S35" i="17"/>
  <c r="AJ39" i="17"/>
  <c r="AJ35" i="17"/>
  <c r="I23" i="17"/>
  <c r="I55" i="17"/>
  <c r="I33" i="17"/>
  <c r="I44" i="17"/>
  <c r="AS50" i="17"/>
  <c r="AV57" i="17"/>
  <c r="AV61" i="17"/>
  <c r="AQ61" i="17"/>
  <c r="AL33" i="17"/>
  <c r="AL55" i="17"/>
  <c r="AL23" i="17"/>
  <c r="AL44" i="17"/>
  <c r="H50" i="18"/>
  <c r="H46" i="18"/>
  <c r="P50" i="18"/>
  <c r="P46" i="18"/>
  <c r="G30" i="18"/>
  <c r="H27" i="18"/>
  <c r="I50" i="18"/>
  <c r="I46" i="18"/>
  <c r="Q50" i="18"/>
  <c r="Q46" i="18"/>
  <c r="D61" i="17"/>
  <c r="AB35" i="18"/>
  <c r="AB39" i="18"/>
  <c r="AR45" i="18"/>
  <c r="AR51" i="18"/>
  <c r="AR56" i="18"/>
  <c r="AR62" i="18"/>
  <c r="AR24" i="18"/>
  <c r="AR34" i="18"/>
  <c r="AR40" i="18"/>
  <c r="AU57" i="18"/>
  <c r="AU61" i="18"/>
  <c r="AW50" i="17"/>
  <c r="AE57" i="18"/>
  <c r="AE61" i="18"/>
  <c r="N39" i="17"/>
  <c r="AH35" i="18"/>
  <c r="AH39" i="18"/>
  <c r="Q61" i="17"/>
  <c r="AP24" i="17"/>
  <c r="AP56" i="17"/>
  <c r="AP62" i="17"/>
  <c r="AP45" i="17"/>
  <c r="AP51" i="17"/>
  <c r="AP34" i="17"/>
  <c r="AP40" i="17"/>
  <c r="M39" i="17"/>
  <c r="AC61" i="17"/>
  <c r="AD61" i="17"/>
  <c r="AG24" i="17"/>
  <c r="AG56" i="17"/>
  <c r="AG62" i="17"/>
  <c r="AG45" i="17"/>
  <c r="AG51" i="17"/>
  <c r="AG34" i="17"/>
  <c r="AG40" i="17"/>
  <c r="V57" i="17"/>
  <c r="V61" i="17"/>
  <c r="AK61" i="17"/>
  <c r="AM24" i="17"/>
  <c r="AM34" i="17"/>
  <c r="AM40" i="17"/>
  <c r="AM45" i="17"/>
  <c r="AM51" i="17"/>
  <c r="AM56" i="17"/>
  <c r="AM62" i="17"/>
  <c r="L50" i="18"/>
  <c r="L46" i="18"/>
  <c r="AM35" i="18"/>
  <c r="M39" i="18"/>
  <c r="M35" i="18"/>
  <c r="U39" i="18"/>
  <c r="U35" i="18"/>
  <c r="N39" i="18"/>
  <c r="N35" i="18"/>
  <c r="D56" i="17"/>
  <c r="D62" i="17"/>
  <c r="D45" i="17"/>
  <c r="D51" i="17"/>
  <c r="D24" i="17"/>
  <c r="D34" i="17"/>
  <c r="D40" i="17"/>
  <c r="O39" i="17"/>
  <c r="O35" i="17"/>
  <c r="AG35" i="18"/>
  <c r="AG39" i="18"/>
  <c r="X35" i="18"/>
  <c r="X39" i="18"/>
  <c r="AE61" i="17"/>
  <c r="AU61" i="17"/>
  <c r="AY56" i="18"/>
  <c r="AY62" i="18"/>
  <c r="AY45" i="18"/>
  <c r="AY51" i="18"/>
  <c r="AY24" i="18"/>
  <c r="AY34" i="18"/>
  <c r="AY40" i="18"/>
  <c r="Y39" i="17"/>
  <c r="AO57" i="17"/>
  <c r="AO61" i="17"/>
  <c r="AC45" i="18"/>
  <c r="AC51" i="18"/>
  <c r="AC56" i="18"/>
  <c r="AC62" i="18"/>
  <c r="AC24" i="18"/>
  <c r="AC34" i="18"/>
  <c r="AC40" i="18"/>
  <c r="AJ57" i="18"/>
  <c r="AJ61" i="18"/>
  <c r="AR57" i="17"/>
  <c r="AR61" i="17"/>
  <c r="W57" i="17"/>
  <c r="W61" i="17"/>
  <c r="AE24" i="17"/>
  <c r="AE56" i="17"/>
  <c r="AE62" i="17"/>
  <c r="AE45" i="17"/>
  <c r="AE51" i="17"/>
  <c r="AE34" i="17"/>
  <c r="AE40" i="17"/>
  <c r="AY39" i="17"/>
  <c r="AX23" i="18"/>
  <c r="AX55" i="18"/>
  <c r="AX44" i="18"/>
  <c r="AX33" i="18"/>
  <c r="Y24" i="17"/>
  <c r="Y45" i="17"/>
  <c r="Y51" i="17"/>
  <c r="Y34" i="17"/>
  <c r="Y40" i="17"/>
  <c r="Y56" i="17"/>
  <c r="Y62" i="17"/>
  <c r="AN35" i="17"/>
  <c r="AN39" i="17"/>
  <c r="AM35" i="17"/>
  <c r="AM39" i="17"/>
  <c r="S50" i="18"/>
  <c r="S46" i="18"/>
  <c r="F57" i="18"/>
  <c r="F61" i="18"/>
  <c r="P39" i="17"/>
  <c r="AH39" i="17"/>
  <c r="V50" i="18"/>
  <c r="V46" i="18"/>
  <c r="Y57" i="18"/>
  <c r="Y61" i="18"/>
  <c r="AA45" i="18"/>
  <c r="AA51" i="18"/>
  <c r="AA56" i="18"/>
  <c r="AA62" i="18"/>
  <c r="AA24" i="18"/>
  <c r="AA34" i="18"/>
  <c r="AA40" i="18"/>
  <c r="L39" i="17"/>
  <c r="AH24" i="17"/>
  <c r="AH45" i="17"/>
  <c r="AH51" i="17"/>
  <c r="AH34" i="17"/>
  <c r="AH40" i="17"/>
  <c r="AH56" i="17"/>
  <c r="AH62" i="17"/>
  <c r="AQ50" i="17"/>
  <c r="H57" i="18"/>
  <c r="H61" i="18"/>
  <c r="J50" i="18"/>
  <c r="J46" i="18"/>
  <c r="L24" i="17"/>
  <c r="L34" i="17"/>
  <c r="L40" i="17"/>
  <c r="L56" i="17"/>
  <c r="L62" i="17"/>
  <c r="L45" i="17"/>
  <c r="L51" i="17"/>
  <c r="E22" i="17"/>
  <c r="E21" i="17"/>
  <c r="AT57" i="17"/>
  <c r="AT61" i="17"/>
  <c r="X46" i="18"/>
  <c r="X50" i="18"/>
  <c r="AY23" i="18"/>
  <c r="AY55" i="18"/>
  <c r="AY44" i="18"/>
  <c r="AY33" i="18"/>
  <c r="O57" i="18"/>
  <c r="O61" i="18"/>
  <c r="AS51" i="18"/>
  <c r="AS46" i="18"/>
  <c r="AL35" i="18"/>
  <c r="AL39" i="18"/>
  <c r="AP61" i="17"/>
  <c r="AC24" i="17"/>
  <c r="AC56" i="17"/>
  <c r="AC62" i="17"/>
  <c r="AC34" i="17"/>
  <c r="AC40" i="17"/>
  <c r="AC45" i="17"/>
  <c r="AC51" i="17"/>
  <c r="AY57" i="17"/>
  <c r="AY61" i="17"/>
  <c r="F56" i="17"/>
  <c r="F62" i="17"/>
  <c r="F45" i="17"/>
  <c r="F51" i="17"/>
  <c r="F24" i="17"/>
  <c r="F34" i="17"/>
  <c r="F40" i="17"/>
  <c r="AX61" i="17"/>
  <c r="AF57" i="18"/>
  <c r="AF61" i="18"/>
  <c r="AV35" i="18"/>
  <c r="AV39" i="18"/>
  <c r="Y35" i="18"/>
  <c r="Y39" i="18"/>
  <c r="AI35" i="18"/>
  <c r="AI39" i="18"/>
  <c r="AT35" i="18"/>
  <c r="AT39" i="18"/>
  <c r="R39" i="17"/>
  <c r="AD45" i="18"/>
  <c r="AD51" i="18"/>
  <c r="AD56" i="18"/>
  <c r="AD62" i="18"/>
  <c r="AD24" i="18"/>
  <c r="AD34" i="18"/>
  <c r="AD40" i="18"/>
  <c r="AP57" i="18"/>
  <c r="AP61" i="18"/>
  <c r="L50" i="17"/>
  <c r="L46" i="17"/>
  <c r="AJ50" i="17"/>
  <c r="AJ46" i="17"/>
  <c r="P24" i="17"/>
  <c r="P34" i="17"/>
  <c r="P40" i="17"/>
  <c r="P56" i="17"/>
  <c r="P62" i="17"/>
  <c r="P45" i="17"/>
  <c r="P51" i="17"/>
  <c r="X39" i="17"/>
  <c r="X35" i="17"/>
  <c r="I56" i="17"/>
  <c r="I62" i="17"/>
  <c r="I45" i="17"/>
  <c r="I51" i="17"/>
  <c r="I24" i="17"/>
  <c r="I34" i="17"/>
  <c r="I40" i="17"/>
  <c r="H39" i="18"/>
  <c r="H35" i="18"/>
  <c r="P39" i="18"/>
  <c r="P35" i="18"/>
  <c r="K39" i="18"/>
  <c r="K35" i="18"/>
  <c r="I39" i="18"/>
  <c r="I35" i="18"/>
  <c r="Q39" i="18"/>
  <c r="Q35" i="18"/>
  <c r="J39" i="18"/>
  <c r="J35" i="18"/>
  <c r="R39" i="18"/>
  <c r="R35" i="18"/>
  <c r="AU50" i="18"/>
  <c r="AU46" i="18"/>
  <c r="AE46" i="18"/>
  <c r="AE50" i="18"/>
  <c r="N57" i="17"/>
  <c r="N61" i="17"/>
  <c r="M50" i="17"/>
  <c r="AR24" i="17"/>
  <c r="AR56" i="17"/>
  <c r="AR62" i="17"/>
  <c r="AR45" i="17"/>
  <c r="AR51" i="17"/>
  <c r="AR34" i="17"/>
  <c r="AR40" i="17"/>
  <c r="AC50" i="17"/>
  <c r="AC46" i="17"/>
  <c r="AW24" i="17"/>
  <c r="AW56" i="17"/>
  <c r="AW62" i="17"/>
  <c r="AW34" i="17"/>
  <c r="AW40" i="17"/>
  <c r="AW45" i="17"/>
  <c r="AW51" i="17"/>
  <c r="V39" i="17"/>
  <c r="AI50" i="17"/>
  <c r="J33" i="17"/>
  <c r="J23" i="17"/>
  <c r="J44" i="17"/>
  <c r="J55" i="17"/>
  <c r="AK50" i="17"/>
  <c r="AX24" i="17"/>
  <c r="AX56" i="17"/>
  <c r="AX62" i="17"/>
  <c r="AX45" i="17"/>
  <c r="AX51" i="17"/>
  <c r="AX34" i="17"/>
  <c r="AX40" i="17"/>
  <c r="AT39" i="17"/>
  <c r="AT35" i="17"/>
  <c r="T50" i="18"/>
  <c r="T46" i="18"/>
  <c r="M57" i="18"/>
  <c r="M61" i="18"/>
  <c r="U57" i="18"/>
  <c r="U61" i="18"/>
  <c r="N57" i="18"/>
  <c r="N61" i="18"/>
  <c r="AI24" i="17"/>
  <c r="AI56" i="17"/>
  <c r="AI62" i="17"/>
  <c r="AI45" i="17"/>
  <c r="AI51" i="17"/>
  <c r="AI34" i="17"/>
  <c r="AI40" i="17"/>
  <c r="AK55" i="18"/>
  <c r="AK23" i="18"/>
  <c r="AK33" i="18"/>
  <c r="AK44" i="18"/>
  <c r="AE50" i="17"/>
  <c r="AE46" i="17"/>
  <c r="Z61" i="17"/>
  <c r="O50" i="18"/>
  <c r="O46" i="18"/>
  <c r="AO50" i="17"/>
  <c r="AO46" i="17"/>
  <c r="AJ46" i="18"/>
  <c r="AJ50" i="18"/>
  <c r="D50" i="18"/>
  <c r="D46" i="18"/>
  <c r="W51" i="18"/>
  <c r="W46" i="18"/>
  <c r="AL57" i="18"/>
  <c r="AL61" i="18"/>
  <c r="N24" i="17"/>
  <c r="N34" i="17"/>
  <c r="N40" i="17"/>
  <c r="N45" i="17"/>
  <c r="N51" i="17"/>
  <c r="N56" i="17"/>
  <c r="N62" i="17"/>
  <c r="AP39" i="17"/>
  <c r="AP35" i="17"/>
  <c r="AQ24" i="17"/>
  <c r="AQ56" i="17"/>
  <c r="AQ62" i="17"/>
  <c r="AQ34" i="17"/>
  <c r="AQ40" i="17"/>
  <c r="AQ45" i="17"/>
  <c r="AQ51" i="17"/>
  <c r="AB61" i="17"/>
  <c r="AX56" i="18"/>
  <c r="AX62" i="18"/>
  <c r="AX45" i="18"/>
  <c r="AX51" i="18"/>
  <c r="AX24" i="18"/>
  <c r="AX34" i="18"/>
  <c r="AX40" i="18"/>
  <c r="AN57" i="17"/>
  <c r="AN61" i="17"/>
  <c r="AM57" i="17"/>
  <c r="AM61" i="17"/>
  <c r="AY24" i="17"/>
  <c r="AY56" i="17"/>
  <c r="AY62" i="17"/>
  <c r="AY34" i="17"/>
  <c r="AY40" i="17"/>
  <c r="AY45" i="17"/>
  <c r="AY51" i="17"/>
  <c r="AX39" i="17"/>
  <c r="AX35" i="17"/>
  <c r="S39" i="18"/>
  <c r="S35" i="18"/>
  <c r="F50" i="18"/>
  <c r="F46" i="18"/>
  <c r="AN55" i="18"/>
  <c r="AN23" i="18"/>
  <c r="AN33" i="18"/>
  <c r="AN44" i="18"/>
  <c r="P57" i="17"/>
  <c r="P61" i="17"/>
  <c r="G23" i="17"/>
  <c r="G55" i="17"/>
  <c r="G44" i="17"/>
  <c r="G33" i="17"/>
  <c r="AV57" i="18"/>
  <c r="AV61" i="18"/>
  <c r="AA39" i="17"/>
  <c r="AA35" i="17"/>
  <c r="AI57" i="18"/>
  <c r="AI61" i="18"/>
  <c r="R50" i="17"/>
  <c r="AW56" i="18"/>
  <c r="AW62" i="18"/>
  <c r="AW45" i="18"/>
  <c r="AW51" i="18"/>
  <c r="AW24" i="18"/>
  <c r="AW34" i="18"/>
  <c r="AW40" i="18"/>
  <c r="S50" i="17"/>
  <c r="S46" i="17"/>
  <c r="X50" i="17"/>
  <c r="X46" i="17"/>
  <c r="AS61" i="17"/>
  <c r="AL24" i="17"/>
  <c r="AL34" i="17"/>
  <c r="AL40" i="17"/>
  <c r="AL56" i="17"/>
  <c r="AL62" i="17"/>
  <c r="AL45" i="17"/>
  <c r="AL51" i="17"/>
  <c r="K50" i="18"/>
  <c r="K46" i="18"/>
  <c r="D50" i="17"/>
  <c r="AR55" i="18"/>
  <c r="AR23" i="18"/>
  <c r="AR33" i="18"/>
  <c r="AR44" i="18"/>
  <c r="AW57" i="17"/>
  <c r="AW61" i="17"/>
  <c r="Q50" i="17"/>
  <c r="AD50" i="17"/>
  <c r="AI57" i="17"/>
  <c r="AI61" i="17"/>
  <c r="L57" i="18"/>
  <c r="L61" i="18"/>
  <c r="M50" i="18"/>
  <c r="M46" i="18"/>
  <c r="AD24" i="17"/>
  <c r="AD34" i="17"/>
  <c r="AD40" i="17"/>
  <c r="AD45" i="17"/>
  <c r="AD51" i="17"/>
  <c r="AD56" i="17"/>
  <c r="AD62" i="17"/>
  <c r="AG46" i="18"/>
  <c r="AG50" i="18"/>
  <c r="AU50" i="17"/>
  <c r="Z50" i="17"/>
  <c r="Y50" i="17"/>
  <c r="Y46" i="17"/>
  <c r="AC55" i="18"/>
  <c r="AC23" i="18"/>
  <c r="AC33" i="18"/>
  <c r="AC44" i="18"/>
  <c r="G39" i="18"/>
  <c r="G35" i="18"/>
  <c r="E33" i="18"/>
  <c r="E44" i="18"/>
  <c r="E23" i="18"/>
  <c r="AZ23" i="18"/>
  <c r="E55" i="18"/>
  <c r="AA50" i="17"/>
  <c r="AA46" i="17"/>
  <c r="G57" i="18"/>
  <c r="G61" i="18"/>
  <c r="V57" i="18"/>
  <c r="V61" i="18"/>
  <c r="AF46" i="18"/>
  <c r="AF50" i="18"/>
  <c r="R61" i="17"/>
  <c r="AA55" i="18"/>
  <c r="AA23" i="18"/>
  <c r="AA33" i="18"/>
  <c r="AA44" i="18"/>
  <c r="AP46" i="18"/>
  <c r="AP50" i="18"/>
  <c r="AW23" i="18"/>
  <c r="AW55" i="18"/>
  <c r="AW44" i="18"/>
  <c r="AW33" i="18"/>
  <c r="K57" i="17"/>
  <c r="K61" i="17"/>
  <c r="S57" i="17"/>
  <c r="S61" i="17"/>
  <c r="AJ57" i="17"/>
  <c r="AJ61" i="17"/>
  <c r="X57" i="17"/>
  <c r="X61" i="17"/>
  <c r="AU24" i="17"/>
  <c r="AU56" i="17"/>
  <c r="AU62" i="17"/>
  <c r="AU34" i="17"/>
  <c r="AU40" i="17"/>
  <c r="AU45" i="17"/>
  <c r="AU51" i="17"/>
  <c r="Z24" i="17"/>
  <c r="Z34" i="17"/>
  <c r="Z40" i="17"/>
  <c r="Z56" i="17"/>
  <c r="Z62" i="17"/>
  <c r="Z45" i="17"/>
  <c r="Z51" i="17"/>
  <c r="AK24" i="17"/>
  <c r="AK34" i="17"/>
  <c r="AK40" i="17"/>
  <c r="AK45" i="17"/>
  <c r="AK51" i="17"/>
  <c r="AK56" i="17"/>
  <c r="AK62" i="17"/>
  <c r="AS39" i="17"/>
  <c r="AV39" i="17"/>
  <c r="AV35" i="17"/>
  <c r="AQ39" i="17"/>
  <c r="AQ35" i="17"/>
  <c r="P57" i="18"/>
  <c r="P61" i="18"/>
  <c r="K57" i="18"/>
  <c r="K61" i="18"/>
  <c r="I57" i="18"/>
  <c r="I61" i="18"/>
  <c r="Q57" i="18"/>
  <c r="Q61" i="18"/>
  <c r="J57" i="18"/>
  <c r="J61" i="18"/>
  <c r="R57" i="18"/>
  <c r="R61" i="18"/>
  <c r="D39" i="17"/>
  <c r="D35" i="17"/>
  <c r="AB57" i="18"/>
  <c r="AB61" i="18"/>
  <c r="AO35" i="18"/>
  <c r="AU39" i="18"/>
  <c r="AU35" i="18"/>
  <c r="AW39" i="17"/>
  <c r="AW35" i="17"/>
  <c r="AE35" i="18"/>
  <c r="AE39" i="18"/>
  <c r="N50" i="17"/>
  <c r="N46" i="17"/>
  <c r="AH57" i="18"/>
  <c r="AH61" i="18"/>
  <c r="Q39" i="17"/>
  <c r="M57" i="17"/>
  <c r="M61" i="17"/>
  <c r="R24" i="17"/>
  <c r="R34" i="17"/>
  <c r="R40" i="17"/>
  <c r="R45" i="17"/>
  <c r="R51" i="17"/>
  <c r="R56" i="17"/>
  <c r="R62" i="17"/>
  <c r="AC39" i="17"/>
  <c r="AC35" i="17"/>
  <c r="AD35" i="17"/>
  <c r="AD39" i="17"/>
  <c r="V50" i="17"/>
  <c r="V46" i="17"/>
  <c r="AB24" i="17"/>
  <c r="AB34" i="17"/>
  <c r="AB40" i="17"/>
  <c r="AB45" i="17"/>
  <c r="AB51" i="17"/>
  <c r="AB56" i="17"/>
  <c r="AB62" i="17"/>
  <c r="AI35" i="17"/>
  <c r="AI39" i="17"/>
  <c r="J24" i="17"/>
  <c r="J34" i="17"/>
  <c r="J40" i="17"/>
  <c r="J45" i="17"/>
  <c r="J51" i="17"/>
  <c r="J56" i="17"/>
  <c r="J62" i="17"/>
  <c r="AK35" i="17"/>
  <c r="AK39" i="17"/>
  <c r="AT50" i="17"/>
  <c r="AT46" i="17"/>
  <c r="L39" i="18"/>
  <c r="L35" i="18"/>
  <c r="T35" i="18"/>
  <c r="T39" i="18"/>
  <c r="N50" i="18"/>
  <c r="N46" i="18"/>
  <c r="AS24" i="17"/>
  <c r="AS56" i="17"/>
  <c r="AS62" i="17"/>
  <c r="AS34" i="17"/>
  <c r="AS40" i="17"/>
  <c r="AS45" i="17"/>
  <c r="AS51" i="17"/>
  <c r="AK45" i="18"/>
  <c r="AK51" i="18"/>
  <c r="AK56" i="18"/>
  <c r="AK62" i="18"/>
  <c r="AK24" i="18"/>
  <c r="AK34" i="18"/>
  <c r="AK40" i="18"/>
  <c r="O57" i="17"/>
  <c r="O61" i="17"/>
  <c r="AG57" i="18"/>
  <c r="AG61" i="18"/>
  <c r="X57" i="18"/>
  <c r="X61" i="18"/>
  <c r="AE39" i="17"/>
  <c r="AE35" i="17"/>
  <c r="AU39" i="17"/>
  <c r="Z39" i="17"/>
  <c r="Z35" i="17"/>
  <c r="Y57" i="17"/>
  <c r="Y61" i="17"/>
  <c r="O39" i="18"/>
  <c r="O35" i="18"/>
  <c r="AO39" i="17"/>
  <c r="AO35" i="17"/>
  <c r="AJ35" i="18"/>
  <c r="AJ39" i="18"/>
  <c r="AS35" i="18"/>
  <c r="D39" i="18"/>
  <c r="D35" i="18"/>
  <c r="AL46" i="18"/>
  <c r="AL50" i="18"/>
  <c r="Q24" i="17"/>
  <c r="Q34" i="17"/>
  <c r="Q40" i="17"/>
  <c r="Q45" i="17"/>
  <c r="Q51" i="17"/>
  <c r="Q56" i="17"/>
  <c r="Q62" i="17"/>
  <c r="AP50" i="17"/>
  <c r="AP46" i="17"/>
  <c r="M24" i="17"/>
  <c r="M34" i="17"/>
  <c r="M40" i="17"/>
  <c r="M45" i="17"/>
  <c r="M51" i="17"/>
  <c r="M56" i="17"/>
  <c r="M62" i="17"/>
  <c r="AR39" i="17"/>
  <c r="AR35" i="17"/>
  <c r="W35" i="17"/>
  <c r="W39" i="17"/>
  <c r="AY50" i="17"/>
  <c r="AY46" i="17"/>
  <c r="U22" i="17"/>
  <c r="U21" i="17"/>
  <c r="AB50" i="17"/>
  <c r="AB46" i="17"/>
  <c r="F23" i="17"/>
  <c r="F55" i="17"/>
  <c r="F44" i="17"/>
  <c r="F33" i="17"/>
  <c r="AN50" i="17"/>
  <c r="AN46" i="17"/>
  <c r="AM50" i="17"/>
  <c r="AM46" i="17"/>
  <c r="AX50" i="17"/>
  <c r="AX46" i="17"/>
  <c r="S57" i="18"/>
  <c r="S61" i="18"/>
  <c r="F39" i="18"/>
  <c r="F35" i="18"/>
  <c r="AN45" i="18"/>
  <c r="AN51" i="18"/>
  <c r="AN56" i="18"/>
  <c r="AN62" i="18"/>
  <c r="AN24" i="18"/>
  <c r="AN34" i="18"/>
  <c r="AN40" i="18"/>
  <c r="AO51" i="18"/>
  <c r="AO46" i="18"/>
  <c r="P50" i="17"/>
  <c r="P46" i="17"/>
  <c r="AH50" i="17"/>
  <c r="AH46" i="17"/>
  <c r="G56" i="17"/>
  <c r="G62" i="17"/>
  <c r="G45" i="17"/>
  <c r="G51" i="17"/>
  <c r="G24" i="17"/>
  <c r="G34" i="17"/>
  <c r="G40" i="17"/>
  <c r="F46" i="17"/>
  <c r="F50" i="17"/>
  <c r="G46" i="17"/>
  <c r="G50" i="17"/>
  <c r="AK35" i="18"/>
  <c r="AK39" i="18"/>
  <c r="F57" i="17"/>
  <c r="F61" i="17"/>
  <c r="U33" i="17"/>
  <c r="U44" i="17"/>
  <c r="U55" i="17"/>
  <c r="U23" i="17"/>
  <c r="Q35" i="17"/>
  <c r="AS35" i="17"/>
  <c r="AW57" i="18"/>
  <c r="AW61" i="18"/>
  <c r="AA46" i="18"/>
  <c r="AA50" i="18"/>
  <c r="E50" i="18"/>
  <c r="E46" i="18"/>
  <c r="AC46" i="18"/>
  <c r="AC50" i="18"/>
  <c r="AU46" i="17"/>
  <c r="Q46" i="17"/>
  <c r="AR46" i="18"/>
  <c r="AR50" i="18"/>
  <c r="G57" i="17"/>
  <c r="G61" i="17"/>
  <c r="AN46" i="18"/>
  <c r="AN50" i="18"/>
  <c r="AK46" i="17"/>
  <c r="V35" i="17"/>
  <c r="M46" i="17"/>
  <c r="AY39" i="18"/>
  <c r="AY35" i="18"/>
  <c r="E23" i="17"/>
  <c r="E55" i="17"/>
  <c r="E44" i="17"/>
  <c r="E33" i="17"/>
  <c r="AZ21" i="17"/>
  <c r="L35" i="17"/>
  <c r="P35" i="17"/>
  <c r="AX57" i="18"/>
  <c r="AX61" i="18"/>
  <c r="AU57" i="17"/>
  <c r="AK57" i="17"/>
  <c r="AD57" i="17"/>
  <c r="M35" i="17"/>
  <c r="D57" i="17"/>
  <c r="AQ57" i="17"/>
  <c r="AB35" i="17"/>
  <c r="AG39" i="17"/>
  <c r="AG35" i="17"/>
  <c r="AW46" i="18"/>
  <c r="AW50" i="18"/>
  <c r="AC57" i="18"/>
  <c r="AC61" i="18"/>
  <c r="AR57" i="18"/>
  <c r="AR61" i="18"/>
  <c r="J50" i="17"/>
  <c r="J46" i="17"/>
  <c r="AX46" i="18"/>
  <c r="AX50" i="18"/>
  <c r="I57" i="17"/>
  <c r="I61" i="17"/>
  <c r="AG50" i="17"/>
  <c r="AG46" i="17"/>
  <c r="U24" i="17"/>
  <c r="U45" i="17"/>
  <c r="U51" i="17"/>
  <c r="U34" i="17"/>
  <c r="U40" i="17"/>
  <c r="U56" i="17"/>
  <c r="U62" i="17"/>
  <c r="AU35" i="17"/>
  <c r="AA35" i="18"/>
  <c r="AA39" i="18"/>
  <c r="R57" i="17"/>
  <c r="E39" i="18"/>
  <c r="E35" i="18"/>
  <c r="AC35" i="18"/>
  <c r="AC39" i="18"/>
  <c r="AR35" i="18"/>
  <c r="AR39" i="18"/>
  <c r="D46" i="17"/>
  <c r="AS57" i="17"/>
  <c r="AN35" i="18"/>
  <c r="AN39" i="18"/>
  <c r="AK57" i="18"/>
  <c r="AK61" i="18"/>
  <c r="J35" i="17"/>
  <c r="J39" i="17"/>
  <c r="R35" i="17"/>
  <c r="AX57" i="17"/>
  <c r="AP57" i="17"/>
  <c r="AY46" i="18"/>
  <c r="AY50" i="18"/>
  <c r="E56" i="17"/>
  <c r="E62" i="17"/>
  <c r="E45" i="17"/>
  <c r="E51" i="17"/>
  <c r="E24" i="17"/>
  <c r="E34" i="17"/>
  <c r="E40" i="17"/>
  <c r="Y35" i="17"/>
  <c r="AZ22" i="17"/>
  <c r="AW46" i="17"/>
  <c r="I27" i="18"/>
  <c r="H30" i="18"/>
  <c r="AL57" i="17"/>
  <c r="AL61" i="17"/>
  <c r="I46" i="17"/>
  <c r="I50" i="17"/>
  <c r="L57" i="17"/>
  <c r="AD57" i="18"/>
  <c r="AD61" i="18"/>
  <c r="G30" i="17"/>
  <c r="H27" i="17"/>
  <c r="AA57" i="18"/>
  <c r="AA61" i="18"/>
  <c r="AN57" i="18"/>
  <c r="AN61" i="18"/>
  <c r="AB57" i="17"/>
  <c r="Z57" i="17"/>
  <c r="AL50" i="17"/>
  <c r="AL46" i="17"/>
  <c r="AS46" i="17"/>
  <c r="AD35" i="18"/>
  <c r="AD39" i="18"/>
  <c r="F39" i="17"/>
  <c r="F35" i="17"/>
  <c r="AW39" i="18"/>
  <c r="AW35" i="18"/>
  <c r="E57" i="18"/>
  <c r="E61" i="18"/>
  <c r="Z46" i="17"/>
  <c r="AD46" i="17"/>
  <c r="R46" i="17"/>
  <c r="G39" i="17"/>
  <c r="G35" i="17"/>
  <c r="AK46" i="18"/>
  <c r="AK50" i="18"/>
  <c r="J57" i="17"/>
  <c r="J61" i="17"/>
  <c r="AI46" i="17"/>
  <c r="AY57" i="18"/>
  <c r="AY61" i="18"/>
  <c r="AQ46" i="17"/>
  <c r="AH35" i="17"/>
  <c r="AX39" i="18"/>
  <c r="AX35" i="18"/>
  <c r="AY35" i="17"/>
  <c r="AE57" i="17"/>
  <c r="AZ24" i="17"/>
  <c r="AC57" i="17"/>
  <c r="Q57" i="17"/>
  <c r="N35" i="17"/>
  <c r="AL39" i="17"/>
  <c r="AL35" i="17"/>
  <c r="I39" i="17"/>
  <c r="I35" i="17"/>
  <c r="AD46" i="18"/>
  <c r="AD50" i="18"/>
  <c r="AZ24" i="18"/>
  <c r="AH57" i="17"/>
  <c r="AG57" i="17"/>
  <c r="AG61" i="17"/>
  <c r="AZ23" i="17"/>
  <c r="E39" i="17"/>
  <c r="E35" i="17"/>
  <c r="U57" i="17"/>
  <c r="U61" i="17"/>
  <c r="I30" i="18"/>
  <c r="J27" i="18"/>
  <c r="E46" i="17"/>
  <c r="E50" i="17"/>
  <c r="U50" i="17"/>
  <c r="U46" i="17"/>
  <c r="H30" i="17"/>
  <c r="I27" i="17"/>
  <c r="E57" i="17"/>
  <c r="E61" i="17"/>
  <c r="U39" i="17"/>
  <c r="U35" i="17"/>
  <c r="I30" i="17"/>
  <c r="J27" i="17"/>
  <c r="K27" i="18"/>
  <c r="J30" i="18"/>
  <c r="J30" i="17"/>
  <c r="K27" i="17"/>
  <c r="L27" i="18"/>
  <c r="K30" i="18"/>
  <c r="K30" i="17"/>
  <c r="L27" i="17"/>
  <c r="M27" i="18"/>
  <c r="L30" i="18"/>
  <c r="M27" i="17"/>
  <c r="L30" i="17"/>
  <c r="M30" i="18"/>
  <c r="N27" i="18"/>
  <c r="O27" i="18"/>
  <c r="N30" i="18"/>
  <c r="N27" i="17"/>
  <c r="M30" i="17"/>
  <c r="N30" i="17"/>
  <c r="O27" i="17"/>
  <c r="O30" i="18"/>
  <c r="P27" i="18"/>
  <c r="P30" i="18"/>
  <c r="Q27" i="18"/>
  <c r="O30" i="17"/>
  <c r="P27" i="17"/>
  <c r="Q27" i="17"/>
  <c r="P30" i="17"/>
  <c r="Q30" i="18"/>
  <c r="R27" i="18"/>
  <c r="S27" i="18"/>
  <c r="R30" i="18"/>
  <c r="R27" i="17"/>
  <c r="Q30" i="17"/>
  <c r="R30" i="17"/>
  <c r="S27" i="17"/>
  <c r="S30" i="18"/>
  <c r="T27" i="18"/>
  <c r="T30" i="18"/>
  <c r="U27" i="18"/>
  <c r="S30" i="17"/>
  <c r="T27" i="17"/>
  <c r="U30" i="18"/>
  <c r="V27" i="18"/>
  <c r="U27" i="17"/>
  <c r="T30" i="17"/>
  <c r="V30" i="18"/>
  <c r="W27" i="18"/>
  <c r="U30" i="17"/>
  <c r="V27" i="17"/>
  <c r="W30" i="18"/>
  <c r="X27" i="18"/>
  <c r="W27" i="17"/>
  <c r="V30" i="17"/>
  <c r="X30" i="18"/>
  <c r="Y27" i="18"/>
  <c r="X27" i="17"/>
  <c r="W30" i="17"/>
  <c r="Y30" i="18"/>
  <c r="Z27" i="18"/>
  <c r="X30" i="17"/>
  <c r="Y27" i="17"/>
  <c r="Y30" i="17"/>
  <c r="Z27" i="17"/>
  <c r="Z30" i="18"/>
  <c r="AA27" i="18"/>
  <c r="AA30" i="18"/>
  <c r="AB27" i="18"/>
  <c r="AA27" i="17"/>
  <c r="Z30" i="17"/>
  <c r="AB30" i="18"/>
  <c r="AC27" i="18"/>
  <c r="AB27" i="17"/>
  <c r="AA30" i="17"/>
  <c r="AC30" i="18"/>
  <c r="AD27" i="18"/>
  <c r="AB30" i="17"/>
  <c r="AC27" i="17"/>
  <c r="AD27" i="17"/>
  <c r="AC30" i="17"/>
  <c r="AD30" i="18"/>
  <c r="AE27" i="18"/>
  <c r="AE30" i="18"/>
  <c r="AF27" i="18"/>
  <c r="AE27" i="17"/>
  <c r="AD30" i="17"/>
  <c r="AF30" i="18"/>
  <c r="AG27" i="18"/>
  <c r="AE30" i="17"/>
  <c r="AF27" i="17"/>
  <c r="AG30" i="18"/>
  <c r="AH27" i="18"/>
  <c r="AG27" i="17"/>
  <c r="AF30" i="17"/>
  <c r="AH30" i="18"/>
  <c r="AI27" i="18"/>
  <c r="AG30" i="17"/>
  <c r="AH27" i="17"/>
  <c r="AI27" i="17"/>
  <c r="AH30" i="17"/>
  <c r="AI30" i="18"/>
  <c r="AJ27" i="18"/>
  <c r="AJ30" i="18"/>
  <c r="AK27" i="18"/>
  <c r="AJ27" i="17"/>
  <c r="AI30" i="17"/>
  <c r="AK30" i="18"/>
  <c r="AL27" i="18"/>
  <c r="AK27" i="17"/>
  <c r="AJ30" i="17"/>
  <c r="AL30" i="18"/>
  <c r="AM27" i="18"/>
  <c r="AK30" i="17"/>
  <c r="AL27" i="17"/>
  <c r="AM27" i="17"/>
  <c r="AL30" i="17"/>
  <c r="AM30" i="18"/>
  <c r="AN27" i="18"/>
  <c r="AN30" i="18"/>
  <c r="AO27" i="18"/>
  <c r="AM30" i="17"/>
  <c r="AN27" i="17"/>
  <c r="AO27" i="17"/>
  <c r="AN30" i="17"/>
  <c r="AO30" i="18"/>
  <c r="AP27" i="18"/>
  <c r="AP30" i="18"/>
  <c r="AQ27" i="18"/>
  <c r="AO30" i="17"/>
  <c r="AP27" i="17"/>
  <c r="AP30" i="17"/>
  <c r="AQ27" i="17"/>
  <c r="AQ30" i="18"/>
  <c r="AR27" i="18"/>
  <c r="AS27" i="18"/>
  <c r="AR30" i="18"/>
  <c r="AQ30" i="17"/>
  <c r="AR27" i="17"/>
  <c r="AR30" i="17"/>
  <c r="AS27" i="17"/>
  <c r="AT27" i="18"/>
  <c r="AS30" i="18"/>
  <c r="AS30" i="17"/>
  <c r="AT27" i="17"/>
  <c r="AT30" i="18"/>
  <c r="AU27" i="18"/>
  <c r="AT30" i="17"/>
  <c r="AU27" i="17"/>
  <c r="AV27" i="18"/>
  <c r="AU30" i="18"/>
  <c r="AW27" i="18"/>
  <c r="AV30" i="18"/>
  <c r="AU30" i="17"/>
  <c r="AV27" i="17"/>
  <c r="AV30" i="17"/>
  <c r="AW27" i="17"/>
  <c r="AW30" i="18"/>
  <c r="AX27" i="18"/>
  <c r="AW30" i="17"/>
  <c r="AX27" i="17"/>
  <c r="AX30" i="18"/>
  <c r="AY27" i="18"/>
  <c r="AY30" i="18"/>
  <c r="AZ30" i="18"/>
  <c r="AX30" i="17"/>
  <c r="AY27" i="17"/>
  <c r="AY30" i="17"/>
  <c r="AZ30" i="17"/>
  <c r="G30" i="7"/>
  <c r="F30" i="7"/>
  <c r="E30" i="7"/>
  <c r="D30" i="7"/>
  <c r="C30" i="7"/>
  <c r="F19" i="7"/>
  <c r="D19" i="7"/>
  <c r="H11" i="7"/>
  <c r="H10" i="7"/>
  <c r="H9" i="7"/>
  <c r="H8" i="7"/>
  <c r="H7" i="7"/>
  <c r="H6" i="7"/>
  <c r="G12" i="5"/>
  <c r="G9" i="5"/>
  <c r="H9" i="5"/>
  <c r="D16" i="5"/>
  <c r="P36" i="6"/>
  <c r="P30" i="6"/>
  <c r="G21" i="5"/>
  <c r="G6" i="5"/>
  <c r="G7" i="5"/>
  <c r="H7" i="5"/>
  <c r="G8" i="5"/>
  <c r="G16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H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H6" i="5"/>
  <c r="G107" i="5"/>
  <c r="H8" i="5"/>
</calcChain>
</file>

<file path=xl/sharedStrings.xml><?xml version="1.0" encoding="utf-8"?>
<sst xmlns="http://schemas.openxmlformats.org/spreadsheetml/2006/main" count="2632" uniqueCount="414">
  <si>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</si>
  <si>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</si>
  <si>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</si>
  <si>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</si>
  <si>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</si>
  <si>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</si>
  <si>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</si>
  <si>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</si>
  <si>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</si>
  <si>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</si>
  <si>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</si>
  <si>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</si>
  <si>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</si>
  <si>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</si>
  <si>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</si>
  <si>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</si>
  <si>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</si>
  <si>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</si>
  <si>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</si>
  <si>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</si>
  <si>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</si>
  <si>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</si>
  <si>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</si>
  <si>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</si>
  <si>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</si>
  <si>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</si>
  <si>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</si>
  <si>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</si>
  <si>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</si>
  <si>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</si>
  <si>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</si>
  <si>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</si>
  <si>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</si>
  <si>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</si>
  <si>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</si>
  <si>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</si>
  <si>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</si>
  <si>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</si>
  <si>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</si>
  <si>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</si>
  <si>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</si>
  <si>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</si>
  <si>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</si>
  <si>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</si>
  <si>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</si>
  <si>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</si>
  <si>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</si>
  <si>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</si>
  <si>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</si>
  <si>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</si>
  <si>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</si>
  <si>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</si>
  <si>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</si>
  <si>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</si>
  <si>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</si>
  <si>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</si>
  <si>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</si>
  <si>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</si>
  <si>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</si>
  <si>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</si>
  <si>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</si>
  <si>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</si>
  <si>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</si>
  <si>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</si>
  <si>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</si>
  <si>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</si>
  <si>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</si>
  <si>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</si>
  <si>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</si>
  <si>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</si>
  <si>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</si>
  <si>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</si>
  <si>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</si>
  <si>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</si>
  <si>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</si>
  <si>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</si>
  <si>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</si>
  <si>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</si>
  <si>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</si>
  <si>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</si>
  <si>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</si>
  <si>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</si>
  <si>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</si>
  <si>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</si>
  <si>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</si>
  <si>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</si>
  <si>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</si>
  <si>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</si>
  <si>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</si>
  <si>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</si>
  <si>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</si>
  <si>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</si>
  <si>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</si>
  <si>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</si>
  <si>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</si>
  <si>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</si>
  <si>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</si>
  <si>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</si>
  <si>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</si>
  <si>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</si>
  <si>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</si>
  <si>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</si>
  <si>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</si>
  <si>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</si>
  <si>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</si>
  <si>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</si>
  <si>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</si>
  <si>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</si>
  <si>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</si>
  <si>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</si>
  <si>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</si>
  <si>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</si>
  <si>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</si>
  <si>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</si>
  <si>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</si>
  <si>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</si>
  <si>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</si>
  <si>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</si>
  <si>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</si>
  <si>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</si>
  <si>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</si>
  <si>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</si>
  <si>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</si>
  <si>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</si>
  <si>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</si>
  <si>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</si>
  <si>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</si>
  <si>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</si>
  <si>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</si>
  <si>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</si>
  <si>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</si>
  <si>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</si>
  <si>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</si>
  <si>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</si>
  <si>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</si>
  <si>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</si>
  <si>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</si>
  <si>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</si>
  <si>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</si>
  <si>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</si>
  <si>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</si>
  <si>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</si>
  <si>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</si>
  <si>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</si>
  <si>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</si>
  <si>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</si>
  <si>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</si>
  <si>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</si>
  <si>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</si>
  <si>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</si>
  <si>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</si>
  <si>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</si>
  <si>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</si>
  <si>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</si>
  <si>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</si>
  <si>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</si>
  <si>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</si>
  <si>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</si>
  <si>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</si>
  <si>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</si>
  <si>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</si>
  <si>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</si>
  <si>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</si>
  <si>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</si>
  <si>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</si>
  <si>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</si>
  <si>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</si>
  <si>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</si>
  <si>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</si>
  <si>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</si>
  <si>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</si>
  <si>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</si>
  <si>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</si>
  <si>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</si>
  <si>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</si>
  <si>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</si>
  <si>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</si>
  <si>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</si>
  <si>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</si>
  <si>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</si>
  <si>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</si>
  <si>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</si>
  <si>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</si>
  <si>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</si>
  <si>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</si>
  <si>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</si>
  <si>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</si>
  <si>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</si>
  <si>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</si>
  <si>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</si>
  <si>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</si>
  <si>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</si>
  <si>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</si>
  <si>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</si>
  <si>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</si>
  <si>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</si>
  <si>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</si>
  <si>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</si>
  <si>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</si>
  <si>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</si>
  <si>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</si>
  <si>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</si>
  <si>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</si>
  <si>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</si>
  <si>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</si>
  <si>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</si>
  <si>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</si>
  <si>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</si>
  <si>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</si>
  <si>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</si>
  <si>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</si>
  <si>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</si>
  <si>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</si>
  <si>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</si>
  <si>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</si>
  <si>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</si>
  <si>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</si>
  <si>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</si>
  <si>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</si>
  <si>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</si>
  <si>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</si>
  <si>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</si>
  <si>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</si>
  <si>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</si>
  <si>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</si>
  <si>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</si>
  <si>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</si>
  <si>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</si>
  <si>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</si>
  <si>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</si>
  <si>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</si>
  <si>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</si>
  <si>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</si>
  <si>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</si>
  <si>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</si>
  <si>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</si>
  <si>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</si>
  <si>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</si>
  <si>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</si>
  <si>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</si>
  <si>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</si>
  <si>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</si>
  <si>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</si>
  <si>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</si>
  <si>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</si>
  <si>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</si>
  <si>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</si>
  <si>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</si>
  <si>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</si>
  <si>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</si>
  <si>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</si>
  <si>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</si>
  <si>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</si>
  <si>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</si>
  <si>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</si>
  <si>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</si>
  <si>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</si>
  <si>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</si>
  <si>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</si>
  <si>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</si>
  <si>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</si>
  <si>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</si>
  <si>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</si>
  <si>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</si>
  <si>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</si>
  <si>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</si>
  <si>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</si>
  <si>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</si>
  <si>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</si>
  <si>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</si>
  <si>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</si>
  <si>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</si>
  <si>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</si>
  <si>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</si>
  <si>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</si>
  <si>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</si>
  <si>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</si>
  <si>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</si>
  <si>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</si>
  <si>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</si>
  <si>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</si>
  <si>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</si>
  <si>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</si>
  <si>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</si>
  <si>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</si>
  <si>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</si>
  <si>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</si>
  <si>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</si>
  <si>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</si>
  <si>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</si>
  <si>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</si>
  <si>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</si>
  <si>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</si>
  <si>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</si>
  <si>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</si>
  <si>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</si>
  <si>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</si>
  <si>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</si>
  <si>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</si>
  <si>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</si>
  <si>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</si>
  <si>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</si>
  <si>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</si>
  <si>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</si>
  <si>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</si>
  <si>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</si>
  <si>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</si>
  <si>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</si>
  <si>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</si>
  <si>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</si>
  <si>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</si>
  <si>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</si>
  <si>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</si>
  <si>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</si>
  <si>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</si>
  <si>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</si>
  <si>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</si>
  <si>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</si>
  <si>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</si>
  <si>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</si>
  <si>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</si>
  <si>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</si>
  <si>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</si>
  <si>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</si>
  <si>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</si>
  <si>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</si>
  <si>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</si>
  <si>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</si>
  <si>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</si>
  <si>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</si>
  <si>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</si>
  <si>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</si>
  <si>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</si>
  <si>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</si>
  <si>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</si>
  <si>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</si>
  <si>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</si>
  <si>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</si>
  <si>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</si>
  <si>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Yes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</si>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</sst>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4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1">
    <xf numFmtId="0" fontId="0" fillId="0" borderId="0"/>
  </cellStyleXfs>
  <cellXfs count="203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5" borderId="0" xfId="0" applyFill="1"/>
    <xf numFmtId="0" fontId="0" fillId="0" borderId="0" xfId="0" applyFill="1"/>
    <xf numFmtId="0" fontId="2" fillId="0" borderId="0" xfId="0" applyFont="1"/>
    <xf numFmtId="0" fontId="2" fillId="0" borderId="0" xfId="0" applyFont="1" applyFill="1"/>
    <xf numFmtId="0" fontId="0" fillId="6" borderId="0" xfId="0" applyFill="1"/>
    <xf numFmtId="0" fontId="0" fillId="0" borderId="0" xfId="0" applyFill="1" applyBorder="1"/>
    <xf numFmtId="0" fontId="0" fillId="0" borderId="5" xfId="0" applyBorder="1"/>
    <xf numFmtId="0" fontId="0" fillId="0" borderId="11" xfId="0" applyBorder="1"/>
    <xf numFmtId="0" fontId="0" fillId="0" borderId="6" xfId="0" applyBorder="1"/>
    <xf numFmtId="0" fontId="0" fillId="0" borderId="0" xfId="0" applyBorder="1"/>
    <xf numFmtId="0" fontId="0" fillId="0" borderId="0" xfId="0" applyAlignment="1">
      <alignment horizontal="center"/>
    </xf>
    <xf numFmtId="0" fontId="0" fillId="0" borderId="0" xfId="0" applyBorder="1" applyAlignment="1">
      <alignment horizontal="right"/>
    </xf>
    <xf numFmtId="0" fontId="0" fillId="0" borderId="8" xfId="0" applyFill="1" applyBorder="1"/>
    <xf numFmtId="0" fontId="0" fillId="5" borderId="13" xfId="0" applyFill="1" applyBorder="1" applyAlignment="1">
      <alignment horizontal="right"/>
    </xf>
    <xf numFmtId="0" fontId="0" fillId="7" borderId="8" xfId="0" applyFill="1" applyBorder="1"/>
    <xf numFmtId="0" fontId="0" fillId="0" borderId="13" xfId="0" applyBorder="1"/>
    <xf numFmtId="0" fontId="0" fillId="5" borderId="0" xfId="0" applyFill="1" applyAlignment="1">
      <alignment horizontal="right"/>
    </xf>
    <xf numFmtId="0" fontId="0" fillId="7" borderId="0" xfId="0" applyFill="1" applyBorder="1"/>
    <xf numFmtId="0" fontId="0" fillId="2" borderId="0" xfId="0" applyFill="1" applyBorder="1"/>
    <xf numFmtId="0" fontId="0" fillId="7" borderId="13" xfId="0" applyFill="1" applyBorder="1"/>
    <xf numFmtId="0" fontId="0" fillId="5" borderId="9" xfId="0" applyFill="1" applyBorder="1" applyAlignment="1">
      <alignment horizontal="right"/>
    </xf>
    <xf numFmtId="0" fontId="0" fillId="7" borderId="9" xfId="0" applyFill="1" applyBorder="1"/>
    <xf numFmtId="0" fontId="0" fillId="0" borderId="9" xfId="0" applyBorder="1"/>
    <xf numFmtId="0" fontId="0" fillId="0" borderId="8" xfId="0" applyBorder="1"/>
    <xf numFmtId="0" fontId="0" fillId="5" borderId="1" xfId="0" applyFill="1" applyBorder="1" applyAlignment="1">
      <alignment horizontal="right"/>
    </xf>
    <xf numFmtId="0" fontId="0" fillId="3" borderId="0" xfId="0" applyFill="1" applyBorder="1"/>
    <xf numFmtId="0" fontId="0" fillId="0" borderId="3" xfId="0" applyBorder="1"/>
    <xf numFmtId="0" fontId="0" fillId="8" borderId="8" xfId="0" applyFill="1" applyBorder="1"/>
    <xf numFmtId="0" fontId="0" fillId="8" borderId="0" xfId="0" applyFill="1" applyBorder="1"/>
    <xf numFmtId="0" fontId="0" fillId="5" borderId="6" xfId="0" applyFill="1" applyBorder="1" applyAlignment="1">
      <alignment horizontal="right"/>
    </xf>
    <xf numFmtId="0" fontId="0" fillId="9" borderId="8" xfId="0" applyFill="1" applyBorder="1" applyAlignment="1">
      <alignment horizontal="right"/>
    </xf>
    <xf numFmtId="0" fontId="0" fillId="5" borderId="13" xfId="0" applyFill="1" applyBorder="1"/>
    <xf numFmtId="10" fontId="0" fillId="0" borderId="13" xfId="0" applyNumberFormat="1" applyBorder="1"/>
    <xf numFmtId="0" fontId="0" fillId="5" borderId="9" xfId="0" applyFill="1" applyBorder="1"/>
    <xf numFmtId="0" fontId="0" fillId="5" borderId="8" xfId="0" applyFill="1" applyBorder="1"/>
    <xf numFmtId="0" fontId="0" fillId="6" borderId="9" xfId="0" applyFill="1" applyBorder="1"/>
    <xf numFmtId="0" fontId="0" fillId="0" borderId="9" xfId="0" applyFill="1" applyBorder="1"/>
    <xf numFmtId="0" fontId="0" fillId="0" borderId="10" xfId="0" applyFill="1" applyBorder="1"/>
    <xf numFmtId="0" fontId="0" fillId="6" borderId="8" xfId="0" applyFill="1" applyBorder="1"/>
    <xf numFmtId="0" fontId="0" fillId="0" borderId="15" xfId="0" applyFill="1" applyBorder="1"/>
    <xf numFmtId="0" fontId="0" fillId="0" borderId="0" xfId="0" applyFill="1" applyBorder="1" applyAlignment="1">
      <alignment horizontal="left"/>
    </xf>
    <xf numFmtId="0" fontId="0" fillId="7" borderId="13" xfId="0" applyFill="1" applyBorder="1" applyAlignment="1">
      <alignment horizontal="right"/>
    </xf>
    <xf numFmtId="0" fontId="0" fillId="0" borderId="13" xfId="0" applyFill="1" applyBorder="1"/>
    <xf numFmtId="0" fontId="4" fillId="0" borderId="9" xfId="0" applyFont="1" applyFill="1" applyBorder="1"/>
    <xf numFmtId="0" fontId="4" fillId="0" borderId="0" xfId="0" applyFont="1" applyFill="1" applyBorder="1" applyAlignment="1">
      <alignment horizontal="right"/>
    </xf>
    <xf numFmtId="0" fontId="4" fillId="0" borderId="0" xfId="0" applyFont="1" applyFill="1" applyBorder="1"/>
    <xf numFmtId="0" fontId="4" fillId="0" borderId="0" xfId="0" applyFont="1" applyFill="1" applyBorder="1" applyAlignment="1"/>
    <xf numFmtId="0" fontId="4" fillId="5" borderId="13" xfId="0" applyFont="1" applyFill="1" applyBorder="1" applyAlignment="1">
      <alignment horizontal="right"/>
    </xf>
    <xf numFmtId="0" fontId="4" fillId="7" borderId="13" xfId="0" applyFont="1" applyFill="1" applyBorder="1" applyAlignment="1"/>
    <xf numFmtId="0" fontId="0" fillId="0" borderId="5" xfId="0" applyFill="1" applyBorder="1"/>
    <xf numFmtId="0" fontId="1" fillId="0" borderId="0" xfId="0" applyFont="1" applyBorder="1"/>
    <xf numFmtId="0" fontId="0" fillId="0" borderId="9" xfId="0" applyFill="1" applyBorder="1" applyAlignment="1">
      <alignment horizontal="right"/>
    </xf>
    <xf numFmtId="10" fontId="0" fillId="5" borderId="13" xfId="0" applyNumberFormat="1" applyFill="1" applyBorder="1"/>
    <xf numFmtId="0" fontId="0" fillId="5" borderId="0" xfId="0" applyFill="1" applyBorder="1" applyAlignment="1">
      <alignment horizontal="right"/>
    </xf>
    <xf numFmtId="10" fontId="0" fillId="0" borderId="0" xfId="0" applyNumberFormat="1" applyFill="1" applyBorder="1"/>
    <xf numFmtId="0" fontId="0" fillId="0" borderId="12" xfId="0" applyFill="1" applyBorder="1"/>
    <xf numFmtId="0" fontId="0" fillId="5" borderId="8" xfId="0" applyFill="1" applyBorder="1" applyAlignment="1">
      <alignment horizontal="right"/>
    </xf>
    <xf numFmtId="10" fontId="0" fillId="0" borderId="8" xfId="0" applyNumberFormat="1" applyFill="1" applyBorder="1"/>
    <xf numFmtId="0" fontId="0" fillId="6" borderId="9" xfId="0" applyFill="1" applyBorder="1" applyAlignment="1">
      <alignment horizontal="right"/>
    </xf>
    <xf numFmtId="0" fontId="0" fillId="6" borderId="8" xfId="0" applyFill="1" applyBorder="1" applyAlignment="1">
      <alignment horizontal="right"/>
    </xf>
    <xf numFmtId="0" fontId="0" fillId="0" borderId="8" xfId="0" applyNumberFormat="1" applyFill="1" applyBorder="1"/>
    <xf numFmtId="0" fontId="1" fillId="0" borderId="0" xfId="0" applyFont="1" applyFill="1" applyBorder="1" applyAlignment="1"/>
    <xf numFmtId="0" fontId="0" fillId="0" borderId="2" xfId="0" applyBorder="1"/>
    <xf numFmtId="0" fontId="0" fillId="5" borderId="0" xfId="0" applyFill="1" applyBorder="1"/>
    <xf numFmtId="0" fontId="0" fillId="0" borderId="7" xfId="0" applyBorder="1"/>
    <xf numFmtId="0" fontId="0" fillId="0" borderId="4" xfId="0" applyBorder="1"/>
    <xf numFmtId="0" fontId="0" fillId="0" borderId="3" xfId="0" applyFill="1" applyBorder="1"/>
    <xf numFmtId="0" fontId="0" fillId="6" borderId="13" xfId="0" applyFill="1" applyBorder="1" applyAlignment="1">
      <alignment horizontal="right"/>
    </xf>
    <xf numFmtId="0" fontId="0" fillId="10" borderId="0" xfId="0" applyFill="1"/>
    <xf numFmtId="0" fontId="4" fillId="10" borderId="0" xfId="0" applyFont="1" applyFill="1"/>
    <xf numFmtId="0" fontId="4" fillId="0" borderId="0" xfId="0" applyFont="1" applyFill="1"/>
    <xf numFmtId="0" fontId="4" fillId="5" borderId="0" xfId="0" applyFont="1" applyFill="1"/>
    <xf numFmtId="0" fontId="0" fillId="6" borderId="0" xfId="0" applyNumberFormat="1" applyFill="1" applyAlignment="1"/>
    <xf numFmtId="0" fontId="0" fillId="0" borderId="0" xfId="0" applyAlignment="1">
      <alignment horizontal="right"/>
    </xf>
    <xf numFmtId="0" fontId="0" fillId="6" borderId="0" xfId="0" applyFill="1" applyBorder="1"/>
    <xf numFmtId="0" fontId="0" fillId="0" borderId="0" xfId="0" applyNumberForma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NumberFormat="1" applyFont="1" applyAlignment="1">
      <alignment horizontal="left"/>
    </xf>
    <xf numFmtId="1" fontId="0" fillId="0" borderId="10" xfId="0" applyNumberFormat="1" applyBorder="1"/>
    <xf numFmtId="164" fontId="0" fillId="0" borderId="10" xfId="0" applyNumberFormat="1" applyBorder="1"/>
    <xf numFmtId="1" fontId="0" fillId="0" borderId="12" xfId="0" applyNumberFormat="1" applyBorder="1"/>
    <xf numFmtId="164" fontId="0" fillId="0" borderId="12" xfId="0" applyNumberFormat="1" applyBorder="1"/>
    <xf numFmtId="1" fontId="0" fillId="0" borderId="15" xfId="0" applyNumberFormat="1" applyBorder="1"/>
    <xf numFmtId="164" fontId="0" fillId="0" borderId="15" xfId="0" applyNumberFormat="1" applyBorder="1"/>
    <xf numFmtId="164" fontId="0" fillId="0" borderId="13" xfId="0" applyNumberFormat="1" applyBorder="1"/>
    <xf numFmtId="1" fontId="0" fillId="0" borderId="5" xfId="0" applyNumberFormat="1" applyBorder="1"/>
    <xf numFmtId="1" fontId="0" fillId="0" borderId="10" xfId="0" applyNumberFormat="1" applyFill="1" applyBorder="1"/>
    <xf numFmtId="1" fontId="0" fillId="0" borderId="12" xfId="0" applyNumberFormat="1" applyFill="1" applyBorder="1"/>
    <xf numFmtId="1" fontId="0" fillId="0" borderId="15" xfId="0" applyNumberFormat="1" applyFill="1" applyBorder="1"/>
    <xf numFmtId="0" fontId="0" fillId="0" borderId="9" xfId="0" applyBorder="1" applyAlignment="1">
      <alignment horizontal="right"/>
    </xf>
    <xf numFmtId="164" fontId="0" fillId="0" borderId="0" xfId="0" applyNumberFormat="1"/>
    <xf numFmtId="0" fontId="13" fillId="0" borderId="0" xfId="0" applyFont="1"/>
    <xf numFmtId="164" fontId="0" fillId="0" borderId="27" xfId="0" applyNumberFormat="1" applyBorder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7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2:F12"/>
  <sheetViews>
    <sheetView showGridLines="0" workbookViewId="0"/>
  </sheetViews>
  <sheetFormatPr baseColWidth="10" defaultColWidth="8.83203125" defaultRowHeight="12" x14ac:dyDescent="0"/>
  <cols>
    <col min="1" max="1" width="4.6640625" customWidth="1" collapsed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196" t="s">
        <v>165</v>
      </c>
      <c r="E4" s="197"/>
      <c r="F4" s="198"/>
    </row>
    <row r="5" spans="2:6">
      <c r="B5" s="6"/>
      <c r="C5" s="7" t="s">
        <v>111</v>
      </c>
      <c r="D5" s="199">
        <v>2019</v>
      </c>
      <c r="E5" s="200"/>
      <c r="F5" s="201"/>
    </row>
    <row r="6" spans="2:6">
      <c r="B6" s="3"/>
      <c r="C6" s="3"/>
      <c r="D6" s="3"/>
      <c r="E6" s="3"/>
      <c r="F6" s="3"/>
    </row>
    <row r="8" spans="2:6">
      <c r="B8">
        <v>2</v>
      </c>
      <c r="C8" t="s">
        <v>337</v>
      </c>
      <c r="D8">
        <v>3</v>
      </c>
      <c r="E8" t="s">
        <v>338</v>
      </c>
    </row>
    <row r="10" spans="2:6">
      <c r="C10" t="s">
        <v>10</v>
      </c>
      <c r="E10" t="s">
        <v>22</v>
      </c>
    </row>
    <row r="11" spans="2:6">
      <c r="C11" t="s">
        <v>12</v>
      </c>
      <c r="E11" t="s">
        <v>46</v>
      </c>
    </row>
    <row r="12" spans="2:6">
      <c r="E12" t="s">
        <v>59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workbookViewId="0"/>
  </sheetViews>
  <sheetFormatPr baseColWidth="10" defaultColWidth="8.83203125" defaultRowHeight="12" x14ac:dyDescent="0"/>
  <cols>
    <col min="1" max="1" width="4.6640625" style="9" customWidth="1" collapsed="1"/>
    <col min="2" max="2" width="8" style="9" bestFit="1" customWidth="1" collapsed="1"/>
    <col min="3" max="3" width="15.6640625" style="9" bestFit="1" customWidth="1" collapsed="1"/>
    <col min="4" max="4" width="8.6640625" style="9" customWidth="1" collapsed="1"/>
    <col min="5" max="5" width="4.5" style="9" customWidth="1" collapsed="1"/>
    <col min="6" max="6" width="3.33203125" style="9" bestFit="1" customWidth="1" collapsed="1"/>
    <col min="7" max="7" width="8.6640625" style="9" customWidth="1" collapsed="1"/>
    <col min="8" max="8" width="9.5" style="9" customWidth="1" collapsed="1"/>
    <col min="9" max="16384" width="8.83203125" style="9" collapsed="1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>
        <v>0</v>
      </c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>
        <v>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>
        <v>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>
        <v>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>
        <v>0</v>
      </c>
      <c r="D10" s="15">
        <v>600</v>
      </c>
      <c r="E10" s="15" t="s">
        <v>166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>
        <v>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>
        <v>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>
        <v>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>
        <v>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>
        <v>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2</v>
      </c>
      <c r="E16" s="21" t="s">
        <v>16</v>
      </c>
      <c r="F16" s="12"/>
      <c r="G16" s="21">
        <f>COUNTIF(G6:G15,"&gt;0")</f>
        <v>2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>
        <v>0</v>
      </c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>
        <v>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>
        <v>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>
        <v>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>
        <v>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>
        <v>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>
        <v>0</v>
      </c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>
        <v>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>
        <v>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>
        <v>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>
        <v>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>
        <v>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>
        <v>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>
        <v>0</v>
      </c>
      <c r="D39" s="14">
        <v>3500</v>
      </c>
      <c r="E39" s="15" t="s">
        <v>166</v>
      </c>
      <c r="F39" s="15" t="s">
        <v>6</v>
      </c>
      <c r="G39" s="15">
        <f t="shared" si="3"/>
        <v>3500</v>
      </c>
      <c r="H39" s="17" t="str">
        <f t="shared" si="4"/>
        <v/>
      </c>
    </row>
    <row r="40" spans="2:8">
      <c r="B40" s="14" t="s">
        <v>23</v>
      </c>
      <c r="C40" s="84">
        <v>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>
        <v>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>
        <v>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>
        <v>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>
        <v>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>
        <v>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>
        <v>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>
        <v>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>
        <v>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>
        <v>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>
        <v>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>
        <v>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>
        <v>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>
        <v>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>
        <v>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>
        <v>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>
        <v>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>
        <v>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>
        <v>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>
        <v>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>
        <v>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>
        <v>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>
        <v>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>
        <v>0</v>
      </c>
      <c r="D63" s="15">
        <v>2250</v>
      </c>
      <c r="E63" s="15" t="s">
        <v>166</v>
      </c>
      <c r="F63" s="15" t="s">
        <v>6</v>
      </c>
      <c r="G63" s="15">
        <f t="shared" si="3"/>
        <v>2250</v>
      </c>
      <c r="H63" s="17" t="str">
        <f t="shared" si="4"/>
        <v/>
      </c>
    </row>
    <row r="64" spans="2:8">
      <c r="B64" s="14" t="s">
        <v>47</v>
      </c>
      <c r="C64" s="85">
        <v>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>
        <v>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>
        <v>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>
        <v>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>
        <v>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>
        <v>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>
        <v>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>
        <v>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>
        <v>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>
        <v>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>
        <v>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>
        <v>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>
        <v>0</v>
      </c>
      <c r="D76" s="15">
        <v>6000</v>
      </c>
      <c r="E76" s="15" t="s">
        <v>166</v>
      </c>
      <c r="F76" s="15" t="s">
        <v>6</v>
      </c>
      <c r="G76" s="15">
        <f t="shared" si="5"/>
        <v>6000</v>
      </c>
      <c r="H76" s="17" t="str">
        <f t="shared" si="6"/>
        <v/>
      </c>
    </row>
    <row r="77" spans="2:8">
      <c r="B77" s="14" t="s">
        <v>60</v>
      </c>
      <c r="C77" s="85">
        <v>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>
        <v>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>
        <v>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>
        <v>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>
        <v>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>
        <v>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>
        <v>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>
        <v>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>
        <v>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>
        <v>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>
        <v>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>
        <v>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>
        <v>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>
        <v>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>
        <v>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>
        <v>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>
        <v>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>
        <v>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>
        <v>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>
        <v>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>
        <v>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>
        <v>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>
        <v>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>
        <v>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>
        <v>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>
        <v>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>
        <v>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>
        <v>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>
        <v>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>
        <v>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/>
  </sheetViews>
  <sheetFormatPr baseColWidth="10" defaultColWidth="8.83203125" defaultRowHeight="12" x14ac:dyDescent="0"/>
  <cols>
    <col min="1" max="1" width="4.6640625" style="29" customWidth="1" collapsed="1"/>
    <col min="2" max="2" width="16.6640625" style="29" customWidth="1" collapsed="1"/>
    <col min="3" max="14" width="8.6640625" style="29" customWidth="1" collapsed="1"/>
    <col min="15" max="16384" width="8.83203125" style="29" collapsed="1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2225.6582932727615</v>
      </c>
      <c r="D6" s="87">
        <v>2225.6582932727615</v>
      </c>
      <c r="E6" s="87">
        <v>2225.6582932727615</v>
      </c>
      <c r="F6" s="87">
        <v>2225.6582932727615</v>
      </c>
      <c r="G6" s="87">
        <v>2225.6582932727615</v>
      </c>
      <c r="H6" s="87">
        <v>2225.6582932727615</v>
      </c>
      <c r="I6" s="87">
        <v>2225.6582932727615</v>
      </c>
      <c r="J6" s="87">
        <v>2225.6582932727615</v>
      </c>
      <c r="K6" s="87">
        <v>2225.6582932727615</v>
      </c>
      <c r="L6" s="87">
        <v>2225.6582932727615</v>
      </c>
      <c r="M6" s="87">
        <v>2225.6582932727615</v>
      </c>
      <c r="N6" s="87">
        <v>2225.6582932727615</v>
      </c>
    </row>
    <row r="7" spans="2:14">
      <c r="B7" s="36" t="s">
        <v>105</v>
      </c>
      <c r="C7" s="88">
        <v>9.2088493382806612E-21</v>
      </c>
      <c r="D7" s="89">
        <v>9.2088493382806612E-21</v>
      </c>
      <c r="E7" s="89">
        <v>9.2088493382806612E-21</v>
      </c>
      <c r="F7" s="89">
        <v>9.2088493382806612E-21</v>
      </c>
      <c r="G7" s="89">
        <v>9.2088493382806612E-21</v>
      </c>
      <c r="H7" s="89">
        <v>9.2088493382806612E-21</v>
      </c>
      <c r="I7" s="89">
        <v>9.2088493382806612E-21</v>
      </c>
      <c r="J7" s="89">
        <v>9.2088493382806612E-21</v>
      </c>
      <c r="K7" s="89">
        <v>9.2088493382806612E-21</v>
      </c>
      <c r="L7" s="89">
        <v>9.2088493382806612E-21</v>
      </c>
      <c r="M7" s="89">
        <v>9.2088493382806612E-21</v>
      </c>
      <c r="N7" s="89">
        <v>9.2088493382806612E-21</v>
      </c>
    </row>
    <row r="8" spans="2:14">
      <c r="B8" s="36" t="s">
        <v>106</v>
      </c>
      <c r="C8" s="88">
        <v>198.53169090873666</v>
      </c>
      <c r="D8" s="89">
        <v>198.53169090873666</v>
      </c>
      <c r="E8" s="89">
        <v>198.53169090873666</v>
      </c>
      <c r="F8" s="89">
        <v>198.53169090873666</v>
      </c>
      <c r="G8" s="89">
        <v>198.53169090873666</v>
      </c>
      <c r="H8" s="89">
        <v>198.53169090873666</v>
      </c>
      <c r="I8" s="89">
        <v>198.53169090873666</v>
      </c>
      <c r="J8" s="89">
        <v>198.53169090873666</v>
      </c>
      <c r="K8" s="89">
        <v>198.53169090873666</v>
      </c>
      <c r="L8" s="89">
        <v>198.53169090873666</v>
      </c>
      <c r="M8" s="89">
        <v>198.53169090873666</v>
      </c>
      <c r="N8" s="89">
        <v>198.53169090873666</v>
      </c>
    </row>
    <row r="9" spans="2:14">
      <c r="B9" s="36" t="s">
        <v>107</v>
      </c>
      <c r="C9" s="88">
        <v>814.93203885649552</v>
      </c>
      <c r="D9" s="89">
        <v>814.93203885649552</v>
      </c>
      <c r="E9" s="89">
        <v>814.93203885649552</v>
      </c>
      <c r="F9" s="89">
        <v>814.93203885649552</v>
      </c>
      <c r="G9" s="89">
        <v>814.93203885649552</v>
      </c>
      <c r="H9" s="89">
        <v>814.93203885649552</v>
      </c>
      <c r="I9" s="89">
        <v>814.93203885649552</v>
      </c>
      <c r="J9" s="89">
        <v>814.93203885649552</v>
      </c>
      <c r="K9" s="89">
        <v>814.93203885649552</v>
      </c>
      <c r="L9" s="89">
        <v>814.93203885649552</v>
      </c>
      <c r="M9" s="89">
        <v>814.93203885649552</v>
      </c>
      <c r="N9" s="89">
        <v>814.93203885649552</v>
      </c>
    </row>
    <row r="10" spans="2:14">
      <c r="B10" s="36" t="s">
        <v>108</v>
      </c>
      <c r="C10" s="88">
        <v>6.3904184257212316E-21</v>
      </c>
      <c r="D10" s="89">
        <v>6.3904184257212316E-21</v>
      </c>
      <c r="E10" s="89">
        <v>6.3904184257212316E-21</v>
      </c>
      <c r="F10" s="89">
        <v>6.3904184257212316E-21</v>
      </c>
      <c r="G10" s="89">
        <v>6.3904184257212316E-21</v>
      </c>
      <c r="H10" s="89">
        <v>6.3904184257212316E-21</v>
      </c>
      <c r="I10" s="89">
        <v>6.3904184257212316E-21</v>
      </c>
      <c r="J10" s="89">
        <v>6.3904184257212316E-21</v>
      </c>
      <c r="K10" s="89">
        <v>6.3904184257212316E-21</v>
      </c>
      <c r="L10" s="89">
        <v>6.3904184257212316E-21</v>
      </c>
      <c r="M10" s="89">
        <v>6.3904184257212316E-21</v>
      </c>
      <c r="N10" s="89">
        <v>6.3904184257212316E-21</v>
      </c>
    </row>
    <row r="11" spans="2:14">
      <c r="B11" s="37" t="s">
        <v>109</v>
      </c>
      <c r="C11" s="88">
        <v>1.6416359334505972E-20</v>
      </c>
      <c r="D11" s="89">
        <v>1.6416359334505972E-20</v>
      </c>
      <c r="E11" s="89">
        <v>1.6416359334505972E-20</v>
      </c>
      <c r="F11" s="89">
        <v>1.6416359334505972E-20</v>
      </c>
      <c r="G11" s="89">
        <v>1.6416359334505972E-20</v>
      </c>
      <c r="H11" s="89">
        <v>1.6416359334505972E-20</v>
      </c>
      <c r="I11" s="89">
        <v>1.6416359334505972E-20</v>
      </c>
      <c r="J11" s="89">
        <v>1.6416359334505972E-20</v>
      </c>
      <c r="K11" s="89">
        <v>1.6416359334505972E-20</v>
      </c>
      <c r="L11" s="89">
        <v>1.6416359334505972E-20</v>
      </c>
      <c r="M11" s="89">
        <v>1.6416359334505972E-20</v>
      </c>
      <c r="N11" s="89">
        <v>1.6416359334505972E-20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90">
        <v>1.2</v>
      </c>
      <c r="D17" s="90">
        <v>0.5609407124182022</v>
      </c>
      <c r="E17" s="90">
        <v>1</v>
      </c>
      <c r="F17" s="90">
        <v>0.78224311414856618</v>
      </c>
      <c r="G17" s="90">
        <v>0.8</v>
      </c>
      <c r="H17" s="90">
        <v>1.0035455158789301</v>
      </c>
      <c r="I17" s="29" t="s">
        <v>110</v>
      </c>
    </row>
    <row r="18" spans="2:33">
      <c r="B18" s="36" t="s">
        <v>105</v>
      </c>
      <c r="C18" s="91">
        <v>1.2</v>
      </c>
      <c r="D18" s="91">
        <v>0.63755171656026588</v>
      </c>
      <c r="E18" s="91">
        <v>1</v>
      </c>
      <c r="F18" s="91">
        <v>0.76603251596610666</v>
      </c>
      <c r="G18" s="91">
        <v>0.8</v>
      </c>
      <c r="H18" s="91">
        <v>0.89451331537194734</v>
      </c>
      <c r="I18" s="29" t="s">
        <v>110</v>
      </c>
    </row>
    <row r="19" spans="2:33">
      <c r="B19" s="36" t="s">
        <v>106</v>
      </c>
      <c r="C19" s="91">
        <v>1.2</v>
      </c>
      <c r="D19" s="91">
        <v>0.68190168350024405</v>
      </c>
      <c r="E19" s="91">
        <v>1</v>
      </c>
      <c r="F19" s="91">
        <v>0.83846073912563779</v>
      </c>
      <c r="G19" s="91">
        <v>0.8</v>
      </c>
      <c r="H19" s="91">
        <v>0.99501979475103131</v>
      </c>
      <c r="I19" s="29" t="s">
        <v>110</v>
      </c>
    </row>
    <row r="20" spans="2:33">
      <c r="B20" s="36" t="s">
        <v>107</v>
      </c>
      <c r="C20" s="91">
        <v>1.2</v>
      </c>
      <c r="D20" s="91">
        <v>0.64538692917413876</v>
      </c>
      <c r="E20" s="91">
        <v>1</v>
      </c>
      <c r="F20" s="91">
        <v>0.81797773693688636</v>
      </c>
      <c r="G20" s="91">
        <v>0.8</v>
      </c>
      <c r="H20" s="91">
        <v>0.99056854469963407</v>
      </c>
    </row>
    <row r="21" spans="2:33">
      <c r="B21" s="36" t="s">
        <v>108</v>
      </c>
      <c r="C21" s="91">
        <v>1.2</v>
      </c>
      <c r="D21" s="91">
        <v>0.71649172264073968</v>
      </c>
      <c r="E21" s="91">
        <v>1</v>
      </c>
      <c r="F21" s="91">
        <v>0.74536847227877989</v>
      </c>
      <c r="G21" s="91">
        <v>0.8</v>
      </c>
      <c r="H21" s="91">
        <v>0.77424522191682021</v>
      </c>
    </row>
    <row r="22" spans="2:33">
      <c r="B22" s="37" t="s">
        <v>109</v>
      </c>
      <c r="C22" s="91">
        <v>1.2</v>
      </c>
      <c r="D22" s="91">
        <v>0.6980021029093908</v>
      </c>
      <c r="E22" s="91">
        <v>1</v>
      </c>
      <c r="F22" s="91">
        <v>0.76156504023225335</v>
      </c>
      <c r="G22" s="91">
        <v>0.8</v>
      </c>
      <c r="H22" s="91">
        <v>0.82512797755511591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2014</v>
      </c>
      <c r="E28" s="49"/>
      <c r="F28" s="45">
        <f>basic_info!$D$5-4</f>
        <v>2015</v>
      </c>
      <c r="G28" s="49"/>
      <c r="H28" s="45">
        <f>basic_info!$D$5-3</f>
        <v>2016</v>
      </c>
      <c r="I28" s="49"/>
      <c r="J28" s="45">
        <f>basic_info!$D$5-2</f>
        <v>2017</v>
      </c>
      <c r="K28" s="49"/>
      <c r="L28" s="45">
        <f>basic_info!$D$5-1</f>
        <v>2018</v>
      </c>
      <c r="N28" s="45">
        <f>basic_info!$D$5</f>
        <v>2019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2019</v>
      </c>
      <c r="D30" s="44">
        <v>0.67168145499527454</v>
      </c>
      <c r="E30" s="35">
        <v>8000</v>
      </c>
      <c r="F30" s="47">
        <v>0.80404254385936813</v>
      </c>
      <c r="G30" s="46">
        <v>0</v>
      </c>
      <c r="H30" s="47">
        <v>0.7527505289227433</v>
      </c>
      <c r="I30" s="46">
        <v>0</v>
      </c>
      <c r="J30" s="47">
        <v>0.88199853992657917</v>
      </c>
      <c r="K30" s="46">
        <v>1061.069</v>
      </c>
      <c r="L30" s="47">
        <v>0.85067072108996544</v>
      </c>
      <c r="M30" s="46">
        <v>0.85067072108996544</v>
      </c>
      <c r="N30" s="60"/>
      <c r="O30" s="71" t="s">
        <v>162</v>
      </c>
      <c r="P30" s="41">
        <f>M30+K30+I30+E30+G30</f>
        <v>9061.9196707210904</v>
      </c>
      <c r="Q30" s="70"/>
    </row>
    <row r="31" spans="2:33">
      <c r="B31" s="36"/>
      <c r="C31" s="47">
        <f>basic_info!$D$5+1</f>
        <v>2020</v>
      </c>
      <c r="D31" s="76"/>
      <c r="E31" s="75"/>
      <c r="F31" s="69">
        <v>0.74553772844970234</v>
      </c>
      <c r="G31" s="79">
        <v>1145.3</v>
      </c>
      <c r="H31" s="61">
        <v>0.69965863319312305</v>
      </c>
      <c r="I31" s="62">
        <v>0</v>
      </c>
      <c r="J31" s="61">
        <v>0.87457866977723531</v>
      </c>
      <c r="K31" s="62">
        <v>1061.069</v>
      </c>
      <c r="L31" s="61">
        <v>0.79998380292338289</v>
      </c>
      <c r="M31" s="62">
        <v>0.79998380292338289</v>
      </c>
      <c r="N31" s="63">
        <v>0.87461334533313895</v>
      </c>
      <c r="O31" s="89">
        <v>0.87461334533313895</v>
      </c>
      <c r="P31" s="63">
        <f>O31+M31+K31+I31+G31</f>
        <v>2208.0435971482566</v>
      </c>
    </row>
    <row r="32" spans="2:33">
      <c r="B32" s="36"/>
      <c r="C32" s="47">
        <f>basic_info!$D$5+2</f>
        <v>2021</v>
      </c>
      <c r="D32" s="76"/>
      <c r="E32" s="75"/>
      <c r="F32" s="75"/>
      <c r="G32" s="75"/>
      <c r="H32" s="69">
        <v>0.67052111424505711</v>
      </c>
      <c r="I32" s="79">
        <v>2000</v>
      </c>
      <c r="J32" s="61">
        <v>0.82996059621196905</v>
      </c>
      <c r="K32" s="62">
        <v>1061.069</v>
      </c>
      <c r="L32" s="61">
        <v>0.81109959679484855</v>
      </c>
      <c r="M32" s="62">
        <v>0.81109959679484855</v>
      </c>
      <c r="N32" s="63">
        <v>0.85598770293106174</v>
      </c>
      <c r="O32" s="89">
        <v>0.85598770293106174</v>
      </c>
      <c r="P32" s="63">
        <f>O32+M32+K32+I32</f>
        <v>3062.736087299726</v>
      </c>
    </row>
    <row r="33" spans="2:17">
      <c r="B33" s="36"/>
      <c r="C33" s="47">
        <f>basic_info!$D$5+3</f>
        <v>2022</v>
      </c>
      <c r="D33" s="76"/>
      <c r="E33" s="75"/>
      <c r="F33" s="75"/>
      <c r="G33" s="75"/>
      <c r="H33" s="75"/>
      <c r="I33" s="75"/>
      <c r="J33" s="69">
        <v>0.77235281866490846</v>
      </c>
      <c r="K33" s="79">
        <v>1061.069</v>
      </c>
      <c r="L33" s="61">
        <v>0.74817568762620479</v>
      </c>
      <c r="M33" s="62">
        <v>0.74817568762620479</v>
      </c>
      <c r="N33" s="63">
        <v>0.80283888711486584</v>
      </c>
      <c r="O33" s="89">
        <v>0.80283888711486584</v>
      </c>
      <c r="P33" s="63">
        <f>O33+M33+K33</f>
        <v>1062.6200145747409</v>
      </c>
    </row>
    <row r="34" spans="2:17">
      <c r="B34" s="36"/>
      <c r="C34" s="47">
        <f>basic_info!$D$5+4</f>
        <v>2023</v>
      </c>
      <c r="D34" s="76"/>
      <c r="E34" s="75"/>
      <c r="F34" s="75"/>
      <c r="G34" s="75"/>
      <c r="H34" s="75"/>
      <c r="I34" s="75"/>
      <c r="J34" s="75"/>
      <c r="K34" s="75"/>
      <c r="L34" s="69">
        <v>0.76104814894497397</v>
      </c>
      <c r="M34" s="79">
        <v>0.76104814894497397</v>
      </c>
      <c r="N34" s="63">
        <v>0.79273633468025484</v>
      </c>
      <c r="O34" s="89">
        <v>0.79273633468025484</v>
      </c>
      <c r="P34" s="63">
        <f>O34+M34</f>
        <v>1.5537844836252288</v>
      </c>
    </row>
    <row r="35" spans="2:17">
      <c r="B35" s="37"/>
      <c r="C35" s="72">
        <f>basic_info!$D$5+5</f>
        <v>2024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0.74555828573405758</v>
      </c>
      <c r="O35" s="89">
        <v>0.74555828573405758</v>
      </c>
      <c r="P35" s="65">
        <f>O35</f>
        <v>0.74555828573405758</v>
      </c>
    </row>
    <row r="36" spans="2:17">
      <c r="B36" s="41" t="s">
        <v>113</v>
      </c>
      <c r="C36" s="36">
        <f>basic_info!$D$5</f>
        <v>2019</v>
      </c>
      <c r="D36" s="44">
        <v>0.87392979428172113</v>
      </c>
      <c r="E36" s="35">
        <v>12000</v>
      </c>
      <c r="F36" s="73">
        <v>1.0036399921766941</v>
      </c>
      <c r="G36" s="74">
        <v>0</v>
      </c>
      <c r="H36" s="73">
        <v>1.0042666663707007</v>
      </c>
      <c r="I36" s="74">
        <v>0</v>
      </c>
      <c r="J36" s="73">
        <v>1.0512236928821403</v>
      </c>
      <c r="K36" s="74">
        <v>0</v>
      </c>
      <c r="L36" s="66">
        <v>1.0686812583458234</v>
      </c>
      <c r="M36" s="67">
        <v>1.0686812583458234</v>
      </c>
      <c r="N36" s="68"/>
      <c r="O36" s="71" t="s">
        <v>162</v>
      </c>
      <c r="P36" s="41">
        <f>M36+K36+I36+E36+G36</f>
        <v>12001.068681258346</v>
      </c>
      <c r="Q36" s="70"/>
    </row>
    <row r="37" spans="2:17">
      <c r="B37" s="36"/>
      <c r="C37" s="47">
        <f>basic_info!$D$5+1</f>
        <v>2020</v>
      </c>
      <c r="D37" s="76"/>
      <c r="E37" s="75"/>
      <c r="F37" s="69">
        <v>0.93049090272188195</v>
      </c>
      <c r="G37" s="79">
        <v>298.27199999999999</v>
      </c>
      <c r="H37" s="61">
        <v>0.94087785036126215</v>
      </c>
      <c r="I37" s="62">
        <v>15000</v>
      </c>
      <c r="J37" s="61">
        <v>1.0674782123792534</v>
      </c>
      <c r="K37" s="62">
        <v>0</v>
      </c>
      <c r="L37" s="61">
        <v>1.0255380813967128</v>
      </c>
      <c r="M37" s="62">
        <v>1.0255380813967128</v>
      </c>
      <c r="N37" s="61">
        <v>1.064074118420409</v>
      </c>
      <c r="O37" s="89">
        <v>1.064074118420409</v>
      </c>
      <c r="P37" s="63">
        <f>O37+M37+K37+I37+G37</f>
        <v>15300.361612199818</v>
      </c>
    </row>
    <row r="38" spans="2:17">
      <c r="B38" s="36"/>
      <c r="C38" s="47">
        <f>basic_info!$D$5+2</f>
        <v>2021</v>
      </c>
      <c r="D38" s="76"/>
      <c r="E38" s="75"/>
      <c r="F38" s="75"/>
      <c r="G38" s="75"/>
      <c r="H38" s="69">
        <v>0.88851178684830667</v>
      </c>
      <c r="I38" s="79">
        <v>20000</v>
      </c>
      <c r="J38" s="61">
        <v>0.9979103092184296</v>
      </c>
      <c r="K38" s="62">
        <v>16262.2045658647</v>
      </c>
      <c r="L38" s="61">
        <v>0.98917274591614612</v>
      </c>
      <c r="M38" s="62">
        <v>0.98917274591614612</v>
      </c>
      <c r="N38" s="61">
        <v>1.0530186656760385</v>
      </c>
      <c r="O38" s="89">
        <v>1.0530186656760385</v>
      </c>
      <c r="P38" s="63">
        <f>O38+M38+K38+I38</f>
        <v>36264.246757276291</v>
      </c>
    </row>
    <row r="39" spans="2:17">
      <c r="B39" s="36"/>
      <c r="C39" s="47">
        <f>basic_info!$D$5+3</f>
        <v>2022</v>
      </c>
      <c r="D39" s="76"/>
      <c r="E39" s="75"/>
      <c r="F39" s="75"/>
      <c r="G39" s="75"/>
      <c r="H39" s="75"/>
      <c r="I39" s="75"/>
      <c r="J39" s="69">
        <v>0.91683839964866642</v>
      </c>
      <c r="K39" s="79">
        <v>16262.2045658647</v>
      </c>
      <c r="L39" s="61">
        <v>0.95076571483281835</v>
      </c>
      <c r="M39" s="62">
        <v>0.95076571483281835</v>
      </c>
      <c r="N39" s="61">
        <v>0.99685742648302889</v>
      </c>
      <c r="O39" s="89">
        <v>0.99685742648302889</v>
      </c>
      <c r="P39" s="63">
        <f>O39+M39+K39</f>
        <v>16264.152189006016</v>
      </c>
    </row>
    <row r="40" spans="2:17">
      <c r="B40" s="36"/>
      <c r="C40" s="47">
        <f>basic_info!$D$5+4</f>
        <v>2023</v>
      </c>
      <c r="D40" s="76"/>
      <c r="E40" s="75"/>
      <c r="F40" s="75"/>
      <c r="G40" s="75"/>
      <c r="H40" s="75"/>
      <c r="I40" s="75"/>
      <c r="J40" s="75"/>
      <c r="K40" s="75"/>
      <c r="L40" s="69">
        <v>0.92028542885184295</v>
      </c>
      <c r="M40" s="79">
        <v>0.92028542885184295</v>
      </c>
      <c r="N40" s="61">
        <v>0.97101189850230707</v>
      </c>
      <c r="O40" s="89">
        <v>0.97101189850230707</v>
      </c>
      <c r="P40" s="63">
        <f>O40+M40</f>
        <v>1.89129732735415</v>
      </c>
    </row>
    <row r="41" spans="2:17">
      <c r="B41" s="37"/>
      <c r="C41" s="72">
        <f>basic_info!$D$5+5</f>
        <v>2024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0.91845404595136637</v>
      </c>
      <c r="O41" s="89">
        <v>0.91845404595136637</v>
      </c>
      <c r="P41" s="64">
        <f>O41</f>
        <v>0.91845404595136637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2">
        <v>8.3333333333333321</v>
      </c>
      <c r="D47" s="92">
        <v>8.3333333333333321</v>
      </c>
      <c r="E47" s="92">
        <v>8.3333333333333321</v>
      </c>
      <c r="F47" s="92">
        <v>8.3333333333333321</v>
      </c>
      <c r="G47" s="92">
        <v>8.3333333333333321</v>
      </c>
      <c r="H47" s="92">
        <v>8.3333333333333321</v>
      </c>
      <c r="I47" s="92">
        <v>8.3333333333333321</v>
      </c>
      <c r="J47" s="92">
        <v>8.3333333333333321</v>
      </c>
      <c r="K47" s="92">
        <v>8.3333333333333321</v>
      </c>
      <c r="L47" s="92">
        <v>8.3333333333333321</v>
      </c>
      <c r="M47" s="92">
        <v>8.3333333333333321</v>
      </c>
      <c r="N47" s="92">
        <v>8.3333333333333321</v>
      </c>
      <c r="O47" s="33">
        <f>SUM(C47:N47)</f>
        <v>99.999999999999957</v>
      </c>
    </row>
    <row r="48" spans="2:17">
      <c r="B48" s="37" t="s">
        <v>113</v>
      </c>
      <c r="C48" s="92">
        <v>8.3333333333333357</v>
      </c>
      <c r="D48" s="92">
        <v>8.3333333333333357</v>
      </c>
      <c r="E48" s="92">
        <v>8.3333333333333357</v>
      </c>
      <c r="F48" s="92">
        <v>8.3333333333333357</v>
      </c>
      <c r="G48" s="92">
        <v>8.3333333333333357</v>
      </c>
      <c r="H48" s="92">
        <v>8.3333333333333357</v>
      </c>
      <c r="I48" s="92">
        <v>8.3333333333333357</v>
      </c>
      <c r="J48" s="92">
        <v>8.3333333333333357</v>
      </c>
      <c r="K48" s="92">
        <v>8.3333333333333357</v>
      </c>
      <c r="L48" s="92">
        <v>8.3333333333333357</v>
      </c>
      <c r="M48" s="92">
        <v>8.3333333333333357</v>
      </c>
      <c r="N48" s="92">
        <v>8.3333333333333357</v>
      </c>
      <c r="O48" s="33">
        <f>SUM(C48:N48)</f>
        <v>100.00000000000006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>
      <selection activeCell="B35" sqref="B35"/>
    </sheetView>
  </sheetViews>
  <sheetFormatPr baseColWidth="10" defaultColWidth="8.83203125" defaultRowHeight="12" x14ac:dyDescent="0"/>
  <cols>
    <col min="1" max="1" width="4.6640625" style="29" customWidth="1" collapsed="1"/>
    <col min="2" max="2" width="17.33203125" style="29" customWidth="1" collapsed="1"/>
    <col min="3" max="16384" width="8.83203125" style="29" collapsed="1"/>
  </cols>
  <sheetData>
    <row r="2" spans="2:17">
      <c r="B2" s="28" t="s">
        <v>114</v>
      </c>
    </row>
    <row r="3" spans="2:17">
      <c r="B3" s="30" t="s">
        <v>144</v>
      </c>
    </row>
    <row r="4" spans="2:17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>
      <c r="B5" s="45" t="s">
        <v>115</v>
      </c>
      <c r="C5" s="45" t="s">
        <v>10</v>
      </c>
      <c r="D5" s="45" t="s">
        <v>12</v>
      </c>
      <c r="E5" s="45" t="s">
        <v>22</v>
      </c>
      <c r="F5" s="45" t="s">
        <v>46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>
      <c r="B6" s="45" t="s">
        <v>163</v>
      </c>
      <c r="C6" s="93">
        <v>7.4400089007342862E-23</v>
      </c>
      <c r="D6" s="93">
        <v>56.513302059008524</v>
      </c>
      <c r="E6" s="93">
        <v>0</v>
      </c>
      <c r="F6" s="93">
        <v>6.3387734149351934E-23</v>
      </c>
      <c r="G6" s="93">
        <v>43.486697940991476</v>
      </c>
      <c r="H6" s="97">
        <f>SUM($C$6:$G$6)</f>
        <v>100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>
      <c r="B7" s="45" t="s">
        <v>105</v>
      </c>
      <c r="C7" s="93">
        <v>33.238984159386483</v>
      </c>
      <c r="D7" s="93">
        <v>50.141522344519665</v>
      </c>
      <c r="E7" s="93">
        <v>0</v>
      </c>
      <c r="F7" s="93">
        <v>16.619493496093867</v>
      </c>
      <c r="G7" s="93">
        <v>0</v>
      </c>
      <c r="H7" s="97">
        <f>SUM($C$7:$G$7)</f>
        <v>100.00000000000001</v>
      </c>
      <c r="I7" s="49"/>
      <c r="J7" s="49"/>
      <c r="K7" s="49"/>
      <c r="L7" s="49"/>
      <c r="M7" s="49"/>
      <c r="N7" s="49"/>
      <c r="O7" s="50"/>
      <c r="P7" s="50"/>
      <c r="Q7" s="50"/>
    </row>
    <row r="8" spans="2:17">
      <c r="B8" s="45" t="s">
        <v>106</v>
      </c>
      <c r="C8" s="93">
        <v>2.7409399340912981E-22</v>
      </c>
      <c r="D8" s="93">
        <v>3.86272240516419E-21</v>
      </c>
      <c r="E8" s="93">
        <v>100</v>
      </c>
      <c r="F8" s="93">
        <v>7.7089160653493868E-22</v>
      </c>
      <c r="G8" s="93">
        <v>3.2521988755806951E-22</v>
      </c>
      <c r="H8" s="97">
        <f>SUM($C$8:$G$8)</f>
        <v>100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>
      <c r="B9" s="45" t="s">
        <v>107</v>
      </c>
      <c r="C9" s="93">
        <v>73.625771400755582</v>
      </c>
      <c r="D9" s="93">
        <v>1.0094393483407316E-21</v>
      </c>
      <c r="E9" s="93">
        <v>0</v>
      </c>
      <c r="F9" s="93">
        <v>26.374228599244425</v>
      </c>
      <c r="G9" s="93">
        <v>0</v>
      </c>
      <c r="H9" s="97">
        <f>SUM($C$9:$G$9)</f>
        <v>100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>
      <c r="B10" s="45" t="s">
        <v>108</v>
      </c>
      <c r="C10" s="93">
        <v>39.672167014666442</v>
      </c>
      <c r="D10" s="93">
        <v>60.327832985333551</v>
      </c>
      <c r="E10" s="93">
        <v>0</v>
      </c>
      <c r="F10" s="93">
        <v>0</v>
      </c>
      <c r="G10" s="93">
        <v>0</v>
      </c>
      <c r="H10" s="97">
        <f>SUM($C$10:$G$10)</f>
        <v>100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>
      <c r="B11" s="45" t="s">
        <v>109</v>
      </c>
      <c r="C11" s="94">
        <v>26.069002470913826</v>
      </c>
      <c r="D11" s="94">
        <v>9.3997524960018151</v>
      </c>
      <c r="E11" s="94">
        <v>0</v>
      </c>
      <c r="F11" s="94">
        <v>32.629794408146807</v>
      </c>
      <c r="G11" s="94">
        <v>31.901450624937539</v>
      </c>
      <c r="H11" s="96">
        <f>SUM($C$11:$G$11)</f>
        <v>99.999999999999986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>
      <c r="C13" s="49"/>
      <c r="D13" s="49"/>
      <c r="E13" s="49"/>
      <c r="F13" s="49"/>
      <c r="G13" s="49"/>
      <c r="H13" s="49"/>
      <c r="I13" s="50"/>
      <c r="J13" s="50"/>
      <c r="K13" s="50"/>
    </row>
    <row r="14" spans="2:17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>
      <c r="B16" s="31"/>
      <c r="C16" s="31"/>
      <c r="D16" s="31"/>
      <c r="E16" s="31"/>
      <c r="F16" s="31"/>
      <c r="G16" s="50"/>
      <c r="H16" s="50"/>
      <c r="I16" s="50"/>
      <c r="J16" s="50"/>
      <c r="M16" s="50"/>
      <c r="N16" s="50"/>
      <c r="O16" s="50"/>
    </row>
    <row r="17" spans="2:16">
      <c r="B17" s="45" t="s">
        <v>118</v>
      </c>
      <c r="C17" s="45" t="s">
        <v>10</v>
      </c>
      <c r="D17" s="45"/>
      <c r="E17" s="45" t="s">
        <v>12</v>
      </c>
      <c r="F17" s="45"/>
      <c r="G17" s="50"/>
      <c r="H17" s="50"/>
      <c r="I17" s="50"/>
      <c r="J17" s="50"/>
      <c r="M17" s="50"/>
      <c r="N17" s="50"/>
      <c r="O17" s="50"/>
    </row>
    <row r="18" spans="2:16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50"/>
      <c r="H18" s="50"/>
      <c r="I18" s="50"/>
      <c r="J18" s="50"/>
      <c r="K18" s="50"/>
      <c r="M18" s="50"/>
      <c r="N18" s="50"/>
      <c r="O18" s="50"/>
    </row>
    <row r="19" spans="2:16">
      <c r="B19" s="45" t="s">
        <v>120</v>
      </c>
      <c r="C19" s="94">
        <v>48.12350277815964</v>
      </c>
      <c r="D19" s="44">
        <f>100-$C$19</f>
        <v>51.87649722184036</v>
      </c>
      <c r="E19" s="94">
        <v>47.390438404321756</v>
      </c>
      <c r="F19" s="33">
        <f>100-$E$19</f>
        <v>52.609561595678244</v>
      </c>
      <c r="M19" s="50"/>
      <c r="N19" s="50"/>
      <c r="O19" s="50"/>
    </row>
    <row r="20" spans="2:16">
      <c r="B20" s="54"/>
      <c r="C20" s="54"/>
      <c r="D20" s="54"/>
      <c r="E20" s="54"/>
      <c r="F20" s="54"/>
      <c r="G20" s="50"/>
      <c r="H20" s="50"/>
      <c r="I20" s="50"/>
      <c r="J20" s="50"/>
      <c r="M20" s="50"/>
      <c r="N20" s="50"/>
      <c r="O20" s="50"/>
    </row>
    <row r="21" spans="2:16">
      <c r="I21" s="50"/>
      <c r="J21" s="50"/>
      <c r="K21" s="50"/>
    </row>
    <row r="22" spans="2:16">
      <c r="B22" s="52" t="s">
        <v>114</v>
      </c>
      <c r="I22" s="50"/>
      <c r="J22" s="50"/>
      <c r="K22" s="50"/>
    </row>
    <row r="23" spans="2:16">
      <c r="B23" s="55" t="s">
        <v>145</v>
      </c>
      <c r="I23" s="50"/>
      <c r="J23" s="50"/>
      <c r="K23" s="50"/>
    </row>
    <row r="24" spans="2:16">
      <c r="B24" s="31"/>
      <c r="C24" s="31"/>
      <c r="D24" s="31"/>
      <c r="E24" s="31"/>
      <c r="F24" s="31"/>
      <c r="G24" s="31"/>
      <c r="N24" s="50"/>
      <c r="O24" s="50"/>
      <c r="P24" s="50"/>
    </row>
    <row r="25" spans="2:16">
      <c r="B25" s="45" t="s">
        <v>121</v>
      </c>
      <c r="C25" s="45" t="s">
        <v>122</v>
      </c>
      <c r="D25" s="45" t="s">
        <v>10</v>
      </c>
      <c r="E25" s="45"/>
      <c r="F25" s="45" t="s">
        <v>12</v>
      </c>
      <c r="G25" s="45"/>
      <c r="N25" s="50"/>
      <c r="O25" s="50"/>
      <c r="P25" s="50"/>
    </row>
    <row r="26" spans="2:16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N26" s="50"/>
      <c r="O26" s="50"/>
      <c r="P26" s="50"/>
    </row>
    <row r="27" spans="2:16">
      <c r="B27" s="45" t="s">
        <v>22</v>
      </c>
      <c r="C27" s="93">
        <v>14.780859366671002</v>
      </c>
      <c r="D27" s="93">
        <v>46.639200979238112</v>
      </c>
      <c r="E27" s="93">
        <v>40.778532746287077</v>
      </c>
      <c r="F27" s="93">
        <v>5.0917531461846437</v>
      </c>
      <c r="G27" s="95">
        <v>3.5082851497400624</v>
      </c>
      <c r="N27" s="50"/>
      <c r="O27" s="50"/>
      <c r="P27" s="50"/>
    </row>
    <row r="28" spans="2:16">
      <c r="B28" s="45" t="s">
        <v>46</v>
      </c>
      <c r="C28" s="93">
        <v>17.911831230090183</v>
      </c>
      <c r="D28" s="93">
        <v>53.360799020761881</v>
      </c>
      <c r="E28" s="93">
        <v>59.22146725371293</v>
      </c>
      <c r="F28" s="93">
        <v>0</v>
      </c>
      <c r="G28" s="95">
        <v>0</v>
      </c>
      <c r="N28" s="50"/>
      <c r="O28" s="50"/>
      <c r="P28" s="50"/>
    </row>
    <row r="29" spans="2:16">
      <c r="B29" s="45" t="s">
        <v>59</v>
      </c>
      <c r="C29" s="93">
        <v>67.307309403238818</v>
      </c>
      <c r="D29" s="93">
        <v>0</v>
      </c>
      <c r="E29" s="93">
        <v>0</v>
      </c>
      <c r="F29" s="93">
        <v>94.908246853815356</v>
      </c>
      <c r="G29" s="95">
        <v>96.491714850259939</v>
      </c>
      <c r="N29" s="50"/>
      <c r="O29" s="50"/>
      <c r="P29" s="50"/>
    </row>
    <row r="30" spans="2:16">
      <c r="B30" s="45" t="s">
        <v>150</v>
      </c>
      <c r="C30" s="98">
        <f>SUM($C$27:$C$29)</f>
        <v>100</v>
      </c>
      <c r="D30" s="98">
        <f>SUM($D$27:$D$29)</f>
        <v>100</v>
      </c>
      <c r="E30" s="98">
        <f>SUM($E$27:$E$29)</f>
        <v>100</v>
      </c>
      <c r="F30" s="98">
        <f>SUM($F$27:$F$29)</f>
        <v>100</v>
      </c>
      <c r="G30" s="96">
        <f>SUM($G$27:$G$29)</f>
        <v>100</v>
      </c>
      <c r="N30" s="50"/>
      <c r="O30" s="50"/>
      <c r="P30" s="50"/>
    </row>
    <row r="31" spans="2:16">
      <c r="B31" s="54"/>
      <c r="C31" s="54"/>
      <c r="D31" s="54"/>
      <c r="E31" s="54"/>
      <c r="F31" s="54"/>
      <c r="G31" s="54"/>
      <c r="N31" s="50"/>
      <c r="O31" s="50"/>
      <c r="P31" s="50"/>
    </row>
    <row r="32" spans="2:16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>
        <v>38.780710782095845</v>
      </c>
      <c r="D37" s="93">
        <v>38.780710782095845</v>
      </c>
      <c r="E37" s="93">
        <v>38.780710782095845</v>
      </c>
      <c r="F37" s="93">
        <v>38.780710782095845</v>
      </c>
      <c r="G37" s="93">
        <v>38.780710782095845</v>
      </c>
      <c r="H37" s="93">
        <v>38.780710782095845</v>
      </c>
      <c r="I37" s="93">
        <v>38.780710782095845</v>
      </c>
      <c r="J37" s="93">
        <v>38.780710782095845</v>
      </c>
      <c r="K37" s="93">
        <v>38.780710782095845</v>
      </c>
      <c r="L37" s="93">
        <v>38.780710782095845</v>
      </c>
      <c r="M37" s="93">
        <v>38.780710782095845</v>
      </c>
      <c r="N37" s="95">
        <v>38.780710782095845</v>
      </c>
    </row>
    <row r="38" spans="2:14">
      <c r="B38" s="45" t="s">
        <v>46</v>
      </c>
      <c r="C38" s="93">
        <v>40.883965219406008</v>
      </c>
      <c r="D38" s="93">
        <v>40.883965219406008</v>
      </c>
      <c r="E38" s="93">
        <v>40.883965219406008</v>
      </c>
      <c r="F38" s="93">
        <v>40.883965219406008</v>
      </c>
      <c r="G38" s="93">
        <v>40.883965219406008</v>
      </c>
      <c r="H38" s="93">
        <v>40.883965219406008</v>
      </c>
      <c r="I38" s="93">
        <v>40.883965219406008</v>
      </c>
      <c r="J38" s="93">
        <v>40.883965219406008</v>
      </c>
      <c r="K38" s="93">
        <v>40.883965219406008</v>
      </c>
      <c r="L38" s="93">
        <v>40.883965219406008</v>
      </c>
      <c r="M38" s="93">
        <v>40.883965219406008</v>
      </c>
      <c r="N38" s="95">
        <v>40.883965219406008</v>
      </c>
    </row>
    <row r="39" spans="2:14">
      <c r="B39" s="45" t="s">
        <v>59</v>
      </c>
      <c r="C39" s="94">
        <v>43.459628191933312</v>
      </c>
      <c r="D39" s="94">
        <v>43.459628191933312</v>
      </c>
      <c r="E39" s="94">
        <v>43.459628191933312</v>
      </c>
      <c r="F39" s="94">
        <v>43.459628191933312</v>
      </c>
      <c r="G39" s="94">
        <v>43.459628191933312</v>
      </c>
      <c r="H39" s="94">
        <v>43.459628191933312</v>
      </c>
      <c r="I39" s="94">
        <v>43.459628191933312</v>
      </c>
      <c r="J39" s="94">
        <v>43.459628191933312</v>
      </c>
      <c r="K39" s="94">
        <v>43.459628191933312</v>
      </c>
      <c r="L39" s="94">
        <v>43.459628191933312</v>
      </c>
      <c r="M39" s="94">
        <v>43.459628191933312</v>
      </c>
      <c r="N39" s="89">
        <v>43.459628191933312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C27:G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/>
  </sheetViews>
  <sheetFormatPr baseColWidth="10" defaultColWidth="8.83203125" defaultRowHeight="12" x14ac:dyDescent="0"/>
  <cols>
    <col min="1" max="2" width="4.6640625" style="29" customWidth="1" collapsed="1"/>
    <col min="3" max="3" width="12.6640625" style="29" customWidth="1" collapsed="1"/>
    <col min="4" max="15" width="8.6640625" style="29" customWidth="1" collapsed="1"/>
    <col min="16" max="16384" width="8.83203125" style="29" collapsed="1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9">
        <v>1.7</v>
      </c>
      <c r="E6" s="89">
        <v>1.7</v>
      </c>
      <c r="F6" s="89">
        <v>1.7</v>
      </c>
      <c r="G6" s="89">
        <v>1.7</v>
      </c>
      <c r="H6" s="89">
        <v>1.7</v>
      </c>
      <c r="I6" s="89">
        <v>1.7</v>
      </c>
      <c r="J6" s="89">
        <v>1.7</v>
      </c>
      <c r="K6" s="89">
        <v>1.7</v>
      </c>
      <c r="L6" s="89">
        <v>1.7</v>
      </c>
      <c r="M6" s="89">
        <v>1.7</v>
      </c>
      <c r="N6" s="89">
        <v>1.7</v>
      </c>
      <c r="O6" s="89">
        <v>1.7</v>
      </c>
    </row>
    <row r="7" spans="2:15">
      <c r="C7" s="36" t="s">
        <v>127</v>
      </c>
      <c r="D7" s="89">
        <v>2</v>
      </c>
      <c r="E7" s="89">
        <v>2</v>
      </c>
      <c r="F7" s="89">
        <v>2</v>
      </c>
      <c r="G7" s="89">
        <v>2</v>
      </c>
      <c r="H7" s="89">
        <v>2</v>
      </c>
      <c r="I7" s="89">
        <v>2</v>
      </c>
      <c r="J7" s="89">
        <v>2</v>
      </c>
      <c r="K7" s="89">
        <v>2</v>
      </c>
      <c r="L7" s="89">
        <v>2</v>
      </c>
      <c r="M7" s="89">
        <v>2</v>
      </c>
      <c r="N7" s="89">
        <v>2</v>
      </c>
      <c r="O7" s="89">
        <v>2</v>
      </c>
    </row>
    <row r="8" spans="2:15">
      <c r="C8" s="36" t="s">
        <v>128</v>
      </c>
      <c r="D8" s="89">
        <v>2.25</v>
      </c>
      <c r="E8" s="89">
        <v>2.25</v>
      </c>
      <c r="F8" s="89">
        <v>2.25</v>
      </c>
      <c r="G8" s="89">
        <v>2.25</v>
      </c>
      <c r="H8" s="89">
        <v>2.25</v>
      </c>
      <c r="I8" s="89">
        <v>2.25</v>
      </c>
      <c r="J8" s="89">
        <v>2.25</v>
      </c>
      <c r="K8" s="89">
        <v>2.25</v>
      </c>
      <c r="L8" s="89">
        <v>2.25</v>
      </c>
      <c r="M8" s="89">
        <v>2.25</v>
      </c>
      <c r="N8" s="89">
        <v>2.25</v>
      </c>
      <c r="O8" s="89">
        <v>2.25</v>
      </c>
    </row>
    <row r="9" spans="2:15">
      <c r="C9" s="36" t="s">
        <v>129</v>
      </c>
      <c r="D9" s="89">
        <v>2.25</v>
      </c>
      <c r="E9" s="89">
        <v>2.25</v>
      </c>
      <c r="F9" s="89">
        <v>2.25</v>
      </c>
      <c r="G9" s="89">
        <v>2.25</v>
      </c>
      <c r="H9" s="89">
        <v>2.25</v>
      </c>
      <c r="I9" s="89">
        <v>2.25</v>
      </c>
      <c r="J9" s="89">
        <v>2.25</v>
      </c>
      <c r="K9" s="89">
        <v>2.25</v>
      </c>
      <c r="L9" s="89">
        <v>2.25</v>
      </c>
      <c r="M9" s="89">
        <v>2.25</v>
      </c>
      <c r="N9" s="89">
        <v>2.25</v>
      </c>
      <c r="O9" s="89">
        <v>2.25</v>
      </c>
    </row>
    <row r="10" spans="2:15">
      <c r="C10" s="36" t="s">
        <v>130</v>
      </c>
      <c r="D10" s="89">
        <v>2.5</v>
      </c>
      <c r="E10" s="89">
        <v>2.5</v>
      </c>
      <c r="F10" s="89">
        <v>2.5</v>
      </c>
      <c r="G10" s="89">
        <v>2.5</v>
      </c>
      <c r="H10" s="89">
        <v>2.5</v>
      </c>
      <c r="I10" s="89">
        <v>2.5</v>
      </c>
      <c r="J10" s="89">
        <v>2.5</v>
      </c>
      <c r="K10" s="89">
        <v>2.5</v>
      </c>
      <c r="L10" s="89">
        <v>2.5</v>
      </c>
      <c r="M10" s="89">
        <v>2.5</v>
      </c>
      <c r="N10" s="89">
        <v>2.5</v>
      </c>
      <c r="O10" s="89">
        <v>2.5</v>
      </c>
    </row>
    <row r="11" spans="2:15">
      <c r="C11" s="36" t="s">
        <v>131</v>
      </c>
      <c r="D11" s="89">
        <v>2.6</v>
      </c>
      <c r="E11" s="89">
        <v>2.6</v>
      </c>
      <c r="F11" s="89">
        <v>2.6</v>
      </c>
      <c r="G11" s="89">
        <v>2.6</v>
      </c>
      <c r="H11" s="89">
        <v>2.6</v>
      </c>
      <c r="I11" s="89">
        <v>2.6</v>
      </c>
      <c r="J11" s="89">
        <v>2.6</v>
      </c>
      <c r="K11" s="89">
        <v>2.6</v>
      </c>
      <c r="L11" s="89">
        <v>2.6</v>
      </c>
      <c r="M11" s="89">
        <v>2.6</v>
      </c>
      <c r="N11" s="89">
        <v>2.6</v>
      </c>
      <c r="O11" s="89">
        <v>2.6</v>
      </c>
    </row>
    <row r="12" spans="2:15">
      <c r="C12" s="37" t="s">
        <v>132</v>
      </c>
      <c r="D12" s="89">
        <v>2.7</v>
      </c>
      <c r="E12" s="89">
        <v>2.7</v>
      </c>
      <c r="F12" s="89">
        <v>2.7</v>
      </c>
      <c r="G12" s="89">
        <v>2.7</v>
      </c>
      <c r="H12" s="89">
        <v>2.7</v>
      </c>
      <c r="I12" s="89">
        <v>2.7</v>
      </c>
      <c r="J12" s="89">
        <v>2.7</v>
      </c>
      <c r="K12" s="89">
        <v>2.7</v>
      </c>
      <c r="L12" s="89">
        <v>2.7</v>
      </c>
      <c r="M12" s="89">
        <v>2.7</v>
      </c>
      <c r="N12" s="89">
        <v>2.7</v>
      </c>
      <c r="O12" s="89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9">
        <v>3.5</v>
      </c>
      <c r="E15" s="89">
        <v>3.5</v>
      </c>
      <c r="F15" s="89">
        <v>3.5</v>
      </c>
      <c r="G15" s="89">
        <v>3.5</v>
      </c>
      <c r="H15" s="89">
        <v>3.5</v>
      </c>
      <c r="I15" s="89">
        <v>3.5</v>
      </c>
      <c r="J15" s="89">
        <v>3.5</v>
      </c>
      <c r="K15" s="89">
        <v>3.5</v>
      </c>
      <c r="L15" s="89">
        <v>3.5</v>
      </c>
      <c r="M15" s="89">
        <v>3.5</v>
      </c>
      <c r="N15" s="89">
        <v>3.5</v>
      </c>
      <c r="O15" s="89">
        <v>3.5</v>
      </c>
    </row>
    <row r="16" spans="2:15">
      <c r="C16" s="36" t="s">
        <v>127</v>
      </c>
      <c r="D16" s="89">
        <v>3.5</v>
      </c>
      <c r="E16" s="89">
        <v>3.5</v>
      </c>
      <c r="F16" s="89">
        <v>3.5</v>
      </c>
      <c r="G16" s="89">
        <v>3.5</v>
      </c>
      <c r="H16" s="89">
        <v>3.5</v>
      </c>
      <c r="I16" s="89">
        <v>3.5</v>
      </c>
      <c r="J16" s="89">
        <v>3.5</v>
      </c>
      <c r="K16" s="89">
        <v>3.5</v>
      </c>
      <c r="L16" s="89">
        <v>3.5</v>
      </c>
      <c r="M16" s="89">
        <v>3.5</v>
      </c>
      <c r="N16" s="89">
        <v>3.5</v>
      </c>
      <c r="O16" s="89">
        <v>3.5</v>
      </c>
    </row>
    <row r="17" spans="2:15">
      <c r="C17" s="36" t="s">
        <v>128</v>
      </c>
      <c r="D17" s="89">
        <v>3.5</v>
      </c>
      <c r="E17" s="89">
        <v>3.5</v>
      </c>
      <c r="F17" s="89">
        <v>3.5</v>
      </c>
      <c r="G17" s="89">
        <v>3.5</v>
      </c>
      <c r="H17" s="89">
        <v>3.5</v>
      </c>
      <c r="I17" s="89">
        <v>3.5</v>
      </c>
      <c r="J17" s="89">
        <v>3.5</v>
      </c>
      <c r="K17" s="89">
        <v>3.5</v>
      </c>
      <c r="L17" s="89">
        <v>3.5</v>
      </c>
      <c r="M17" s="89">
        <v>3.5</v>
      </c>
      <c r="N17" s="89">
        <v>3.5</v>
      </c>
      <c r="O17" s="89">
        <v>3.5</v>
      </c>
    </row>
    <row r="18" spans="2:15">
      <c r="C18" s="36" t="s">
        <v>129</v>
      </c>
      <c r="D18" s="89">
        <v>3.5</v>
      </c>
      <c r="E18" s="89">
        <v>3.5</v>
      </c>
      <c r="F18" s="89">
        <v>3.5</v>
      </c>
      <c r="G18" s="89">
        <v>3.5</v>
      </c>
      <c r="H18" s="89">
        <v>3.5</v>
      </c>
      <c r="I18" s="89">
        <v>3.5</v>
      </c>
      <c r="J18" s="89">
        <v>3.5</v>
      </c>
      <c r="K18" s="89">
        <v>3.5</v>
      </c>
      <c r="L18" s="89">
        <v>3.5</v>
      </c>
      <c r="M18" s="89">
        <v>3.5</v>
      </c>
      <c r="N18" s="89">
        <v>3.5</v>
      </c>
      <c r="O18" s="89">
        <v>3.5</v>
      </c>
    </row>
    <row r="19" spans="2:15">
      <c r="C19" s="36" t="s">
        <v>130</v>
      </c>
      <c r="D19" s="89">
        <v>3.5</v>
      </c>
      <c r="E19" s="89">
        <v>3.5</v>
      </c>
      <c r="F19" s="89">
        <v>3.5</v>
      </c>
      <c r="G19" s="89">
        <v>3.5</v>
      </c>
      <c r="H19" s="89">
        <v>3.5</v>
      </c>
      <c r="I19" s="89">
        <v>3.5</v>
      </c>
      <c r="J19" s="89">
        <v>3.5</v>
      </c>
      <c r="K19" s="89">
        <v>3.5</v>
      </c>
      <c r="L19" s="89">
        <v>3.5</v>
      </c>
      <c r="M19" s="89">
        <v>3.5</v>
      </c>
      <c r="N19" s="89">
        <v>3.5</v>
      </c>
      <c r="O19" s="89">
        <v>3.5</v>
      </c>
    </row>
    <row r="20" spans="2:15">
      <c r="C20" s="36" t="s">
        <v>131</v>
      </c>
      <c r="D20" s="89">
        <v>3.5</v>
      </c>
      <c r="E20" s="89">
        <v>3.5</v>
      </c>
      <c r="F20" s="89">
        <v>3.5</v>
      </c>
      <c r="G20" s="89">
        <v>3.5</v>
      </c>
      <c r="H20" s="89">
        <v>3.5</v>
      </c>
      <c r="I20" s="89">
        <v>3.5</v>
      </c>
      <c r="J20" s="89">
        <v>3.5</v>
      </c>
      <c r="K20" s="89">
        <v>3.5</v>
      </c>
      <c r="L20" s="89">
        <v>3.5</v>
      </c>
      <c r="M20" s="89">
        <v>3.5</v>
      </c>
      <c r="N20" s="89">
        <v>3.5</v>
      </c>
      <c r="O20" s="89">
        <v>3.5</v>
      </c>
    </row>
    <row r="21" spans="2:15">
      <c r="C21" s="37" t="s">
        <v>132</v>
      </c>
      <c r="D21" s="89">
        <v>3.5</v>
      </c>
      <c r="E21" s="89">
        <v>3.5</v>
      </c>
      <c r="F21" s="89">
        <v>3.5</v>
      </c>
      <c r="G21" s="89">
        <v>3.5</v>
      </c>
      <c r="H21" s="89">
        <v>3.5</v>
      </c>
      <c r="I21" s="89">
        <v>3.5</v>
      </c>
      <c r="J21" s="89">
        <v>3.5</v>
      </c>
      <c r="K21" s="89">
        <v>3.5</v>
      </c>
      <c r="L21" s="89">
        <v>3.5</v>
      </c>
      <c r="M21" s="89">
        <v>3.5</v>
      </c>
      <c r="N21" s="89">
        <v>3.5</v>
      </c>
      <c r="O21" s="89">
        <v>3.5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9">
        <v>3.8</v>
      </c>
      <c r="E24" s="89">
        <v>3.8</v>
      </c>
      <c r="F24" s="89">
        <v>3.8</v>
      </c>
      <c r="G24" s="89">
        <v>3.8</v>
      </c>
      <c r="H24" s="89">
        <v>3.8</v>
      </c>
      <c r="I24" s="89">
        <v>3.8</v>
      </c>
      <c r="J24" s="89">
        <v>3.8</v>
      </c>
      <c r="K24" s="89">
        <v>3.8</v>
      </c>
      <c r="L24" s="89">
        <v>3.8</v>
      </c>
      <c r="M24" s="89">
        <v>3.8</v>
      </c>
      <c r="N24" s="89">
        <v>3.8</v>
      </c>
      <c r="O24" s="89">
        <v>3.8</v>
      </c>
    </row>
    <row r="25" spans="2:15">
      <c r="C25" s="36" t="s">
        <v>127</v>
      </c>
      <c r="D25" s="89">
        <v>3.8</v>
      </c>
      <c r="E25" s="89">
        <v>3.8</v>
      </c>
      <c r="F25" s="89">
        <v>3.8</v>
      </c>
      <c r="G25" s="89">
        <v>3.8</v>
      </c>
      <c r="H25" s="89">
        <v>3.8</v>
      </c>
      <c r="I25" s="89">
        <v>3.8</v>
      </c>
      <c r="J25" s="89">
        <v>3.8</v>
      </c>
      <c r="K25" s="89">
        <v>3.8</v>
      </c>
      <c r="L25" s="89">
        <v>3.8</v>
      </c>
      <c r="M25" s="89">
        <v>3.8</v>
      </c>
      <c r="N25" s="89">
        <v>3.8</v>
      </c>
      <c r="O25" s="89">
        <v>3.8</v>
      </c>
    </row>
    <row r="26" spans="2:15">
      <c r="C26" s="36" t="s">
        <v>128</v>
      </c>
      <c r="D26" s="89">
        <v>3.8</v>
      </c>
      <c r="E26" s="89">
        <v>3.8</v>
      </c>
      <c r="F26" s="89">
        <v>3.8</v>
      </c>
      <c r="G26" s="89">
        <v>3.8</v>
      </c>
      <c r="H26" s="89">
        <v>3.8</v>
      </c>
      <c r="I26" s="89">
        <v>3.8</v>
      </c>
      <c r="J26" s="89">
        <v>3.8</v>
      </c>
      <c r="K26" s="89">
        <v>3.8</v>
      </c>
      <c r="L26" s="89">
        <v>3.8</v>
      </c>
      <c r="M26" s="89">
        <v>3.8</v>
      </c>
      <c r="N26" s="89">
        <v>3.8</v>
      </c>
      <c r="O26" s="89">
        <v>3.8</v>
      </c>
    </row>
    <row r="27" spans="2:15">
      <c r="C27" s="36" t="s">
        <v>129</v>
      </c>
      <c r="D27" s="89">
        <v>3.8</v>
      </c>
      <c r="E27" s="89">
        <v>3.8</v>
      </c>
      <c r="F27" s="89">
        <v>3.8</v>
      </c>
      <c r="G27" s="89">
        <v>3.8</v>
      </c>
      <c r="H27" s="89">
        <v>3.8</v>
      </c>
      <c r="I27" s="89">
        <v>3.8</v>
      </c>
      <c r="J27" s="89">
        <v>3.8</v>
      </c>
      <c r="K27" s="89">
        <v>3.8</v>
      </c>
      <c r="L27" s="89">
        <v>3.8</v>
      </c>
      <c r="M27" s="89">
        <v>3.8</v>
      </c>
      <c r="N27" s="89">
        <v>3.8</v>
      </c>
      <c r="O27" s="89">
        <v>3.8</v>
      </c>
    </row>
    <row r="28" spans="2:15">
      <c r="C28" s="36" t="s">
        <v>130</v>
      </c>
      <c r="D28" s="89">
        <v>3.8</v>
      </c>
      <c r="E28" s="89">
        <v>3.8</v>
      </c>
      <c r="F28" s="89">
        <v>3.8</v>
      </c>
      <c r="G28" s="89">
        <v>3.8</v>
      </c>
      <c r="H28" s="89">
        <v>3.8</v>
      </c>
      <c r="I28" s="89">
        <v>3.8</v>
      </c>
      <c r="J28" s="89">
        <v>3.8</v>
      </c>
      <c r="K28" s="89">
        <v>3.8</v>
      </c>
      <c r="L28" s="89">
        <v>3.8</v>
      </c>
      <c r="M28" s="89">
        <v>3.8</v>
      </c>
      <c r="N28" s="89">
        <v>3.8</v>
      </c>
      <c r="O28" s="89">
        <v>3.8</v>
      </c>
    </row>
    <row r="29" spans="2:15">
      <c r="C29" s="36" t="s">
        <v>131</v>
      </c>
      <c r="D29" s="89">
        <v>3.8</v>
      </c>
      <c r="E29" s="89">
        <v>3.8</v>
      </c>
      <c r="F29" s="89">
        <v>3.8</v>
      </c>
      <c r="G29" s="89">
        <v>3.8</v>
      </c>
      <c r="H29" s="89">
        <v>3.8</v>
      </c>
      <c r="I29" s="89">
        <v>3.8</v>
      </c>
      <c r="J29" s="89">
        <v>3.8</v>
      </c>
      <c r="K29" s="89">
        <v>3.8</v>
      </c>
      <c r="L29" s="89">
        <v>3.8</v>
      </c>
      <c r="M29" s="89">
        <v>3.8</v>
      </c>
      <c r="N29" s="89">
        <v>3.8</v>
      </c>
      <c r="O29" s="89">
        <v>3.8</v>
      </c>
    </row>
    <row r="30" spans="2:15">
      <c r="C30" s="37" t="s">
        <v>132</v>
      </c>
      <c r="D30" s="89">
        <v>3.8</v>
      </c>
      <c r="E30" s="89">
        <v>3.8</v>
      </c>
      <c r="F30" s="89">
        <v>3.8</v>
      </c>
      <c r="G30" s="89">
        <v>3.8</v>
      </c>
      <c r="H30" s="89">
        <v>3.8</v>
      </c>
      <c r="I30" s="89">
        <v>3.8</v>
      </c>
      <c r="J30" s="89">
        <v>3.8</v>
      </c>
      <c r="K30" s="89">
        <v>3.8</v>
      </c>
      <c r="L30" s="89">
        <v>3.8</v>
      </c>
      <c r="M30" s="89">
        <v>3.8</v>
      </c>
      <c r="N30" s="89">
        <v>3.8</v>
      </c>
      <c r="O30" s="89">
        <v>3.8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9">
        <v>2.7</v>
      </c>
      <c r="E33" s="89">
        <v>2.7</v>
      </c>
      <c r="F33" s="89">
        <v>2.7</v>
      </c>
      <c r="G33" s="89">
        <v>2.7</v>
      </c>
      <c r="H33" s="89">
        <v>2.7</v>
      </c>
      <c r="I33" s="89">
        <v>2.7</v>
      </c>
      <c r="J33" s="89">
        <v>2.7</v>
      </c>
      <c r="K33" s="89">
        <v>2.7</v>
      </c>
      <c r="L33" s="89">
        <v>2.7</v>
      </c>
      <c r="M33" s="89">
        <v>2.7</v>
      </c>
      <c r="N33" s="89">
        <v>2.7</v>
      </c>
      <c r="O33" s="89">
        <v>2.7</v>
      </c>
    </row>
    <row r="34" spans="3:15">
      <c r="C34" s="36" t="s">
        <v>127</v>
      </c>
      <c r="D34" s="89">
        <v>2.4</v>
      </c>
      <c r="E34" s="89">
        <v>2.4</v>
      </c>
      <c r="F34" s="89">
        <v>2.4</v>
      </c>
      <c r="G34" s="89">
        <v>2.4</v>
      </c>
      <c r="H34" s="89">
        <v>2.4</v>
      </c>
      <c r="I34" s="89">
        <v>2.4</v>
      </c>
      <c r="J34" s="89">
        <v>2.4</v>
      </c>
      <c r="K34" s="89">
        <v>2.4</v>
      </c>
      <c r="L34" s="89">
        <v>2.4</v>
      </c>
      <c r="M34" s="89">
        <v>2.4</v>
      </c>
      <c r="N34" s="89">
        <v>2.4</v>
      </c>
      <c r="O34" s="89">
        <v>2.4</v>
      </c>
    </row>
    <row r="35" spans="3:15">
      <c r="C35" s="36" t="s">
        <v>128</v>
      </c>
      <c r="D35" s="89">
        <v>2.2999999999999998</v>
      </c>
      <c r="E35" s="89">
        <v>2.2999999999999998</v>
      </c>
      <c r="F35" s="89">
        <v>2.2999999999999998</v>
      </c>
      <c r="G35" s="89">
        <v>2.2999999999999998</v>
      </c>
      <c r="H35" s="89">
        <v>2.2999999999999998</v>
      </c>
      <c r="I35" s="89">
        <v>2.2999999999999998</v>
      </c>
      <c r="J35" s="89">
        <v>2.2999999999999998</v>
      </c>
      <c r="K35" s="89">
        <v>2.2999999999999998</v>
      </c>
      <c r="L35" s="89">
        <v>2.2999999999999998</v>
      </c>
      <c r="M35" s="89">
        <v>2.2999999999999998</v>
      </c>
      <c r="N35" s="89">
        <v>2.2999999999999998</v>
      </c>
      <c r="O35" s="89">
        <v>2.2999999999999998</v>
      </c>
    </row>
    <row r="36" spans="3:15">
      <c r="C36" s="36" t="s">
        <v>129</v>
      </c>
      <c r="D36" s="89">
        <v>2.5</v>
      </c>
      <c r="E36" s="89">
        <v>2.5</v>
      </c>
      <c r="F36" s="89">
        <v>2.5</v>
      </c>
      <c r="G36" s="89">
        <v>2.5</v>
      </c>
      <c r="H36" s="89">
        <v>2.5</v>
      </c>
      <c r="I36" s="89">
        <v>2.5</v>
      </c>
      <c r="J36" s="89">
        <v>2.5</v>
      </c>
      <c r="K36" s="89">
        <v>2.5</v>
      </c>
      <c r="L36" s="89">
        <v>2.5</v>
      </c>
      <c r="M36" s="89">
        <v>2.5</v>
      </c>
      <c r="N36" s="89">
        <v>2.5</v>
      </c>
      <c r="O36" s="89">
        <v>2.5</v>
      </c>
    </row>
    <row r="37" spans="3:15">
      <c r="C37" s="36" t="s">
        <v>130</v>
      </c>
      <c r="D37" s="89">
        <v>2.6</v>
      </c>
      <c r="E37" s="89">
        <v>2.6</v>
      </c>
      <c r="F37" s="89">
        <v>2.6</v>
      </c>
      <c r="G37" s="89">
        <v>2.6</v>
      </c>
      <c r="H37" s="89">
        <v>2.6</v>
      </c>
      <c r="I37" s="89">
        <v>2.6</v>
      </c>
      <c r="J37" s="89">
        <v>2.6</v>
      </c>
      <c r="K37" s="89">
        <v>2.6</v>
      </c>
      <c r="L37" s="89">
        <v>2.6</v>
      </c>
      <c r="M37" s="89">
        <v>2.6</v>
      </c>
      <c r="N37" s="89">
        <v>2.6</v>
      </c>
      <c r="O37" s="89">
        <v>2.6</v>
      </c>
    </row>
    <row r="38" spans="3:15">
      <c r="C38" s="36" t="s">
        <v>131</v>
      </c>
      <c r="D38" s="89">
        <v>2.8</v>
      </c>
      <c r="E38" s="89">
        <v>2.8</v>
      </c>
      <c r="F38" s="89">
        <v>2.8</v>
      </c>
      <c r="G38" s="89">
        <v>2.8</v>
      </c>
      <c r="H38" s="89">
        <v>2.8</v>
      </c>
      <c r="I38" s="89">
        <v>2.8</v>
      </c>
      <c r="J38" s="89">
        <v>2.8</v>
      </c>
      <c r="K38" s="89">
        <v>2.8</v>
      </c>
      <c r="L38" s="89">
        <v>2.8</v>
      </c>
      <c r="M38" s="89">
        <v>2.8</v>
      </c>
      <c r="N38" s="89">
        <v>2.8</v>
      </c>
      <c r="O38" s="89">
        <v>2.8</v>
      </c>
    </row>
    <row r="39" spans="3:15">
      <c r="C39" s="37" t="s">
        <v>132</v>
      </c>
      <c r="D39" s="89">
        <v>2.6</v>
      </c>
      <c r="E39" s="89">
        <v>2.6</v>
      </c>
      <c r="F39" s="89">
        <v>2.6</v>
      </c>
      <c r="G39" s="89">
        <v>2.6</v>
      </c>
      <c r="H39" s="89">
        <v>2.6</v>
      </c>
      <c r="I39" s="89">
        <v>2.6</v>
      </c>
      <c r="J39" s="89">
        <v>2.6</v>
      </c>
      <c r="K39" s="89">
        <v>2.6</v>
      </c>
      <c r="L39" s="89">
        <v>2.6</v>
      </c>
      <c r="M39" s="89">
        <v>2.6</v>
      </c>
      <c r="N39" s="89">
        <v>2.6</v>
      </c>
      <c r="O39" s="89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/>
  </sheetViews>
  <sheetFormatPr baseColWidth="10" defaultColWidth="8.83203125" defaultRowHeight="12" x14ac:dyDescent="0"/>
  <cols>
    <col min="1" max="1" width="4.6640625" customWidth="1"/>
    <col min="7" max="7" width="2.6640625" customWidth="1"/>
    <col min="8" max="8" width="11.1640625" customWidth="1"/>
    <col min="11" max="12" width="4.6640625" customWidth="1"/>
    <col min="18" max="18" width="2.6640625" customWidth="1"/>
    <col min="19" max="19" width="14.6640625" customWidth="1"/>
    <col min="20" max="20" width="16.6640625" customWidth="1"/>
    <col min="21" max="21" width="4.6640625" customWidth="1"/>
  </cols>
  <sheetData>
    <row r="1" spans="1:20">
      <c r="A1" s="174"/>
    </row>
    <row r="2" spans="1:20" ht="15">
      <c r="C2" s="202" t="s">
        <v>165</v>
      </c>
      <c r="D2" s="202"/>
      <c r="E2" s="202"/>
      <c r="F2" s="202"/>
      <c r="G2" s="202"/>
      <c r="H2" s="202"/>
    </row>
    <row r="3" spans="1:20" ht="15">
      <c r="C3" s="175" t="s">
        <v>413</v>
      </c>
      <c r="D3" s="175"/>
      <c r="E3" s="175"/>
      <c r="F3" s="175"/>
      <c r="G3" s="175"/>
    </row>
    <row r="5" spans="1:20" ht="15">
      <c r="A5" s="176" t="s">
        <v>352</v>
      </c>
      <c r="B5" s="177"/>
      <c r="G5" s="178"/>
      <c r="L5" s="176" t="s">
        <v>353</v>
      </c>
      <c r="M5" s="177"/>
      <c r="R5" s="178"/>
    </row>
    <row r="6" spans="1:20">
      <c r="A6" s="179" t="s">
        <v>354</v>
      </c>
      <c r="B6" s="177"/>
      <c r="G6" s="180"/>
      <c r="H6" s="108"/>
      <c r="L6" s="179" t="s">
        <v>355</v>
      </c>
      <c r="M6" s="177"/>
      <c r="S6" s="122"/>
    </row>
    <row r="7" spans="1:20">
      <c r="A7" s="177"/>
      <c r="B7" s="177" t="s">
        <v>356</v>
      </c>
      <c r="G7" s="180"/>
      <c r="H7" s="181">
        <f>SUM(ORA!$D$116:$O$116)</f>
        <v>66319.091466678627</v>
      </c>
      <c r="L7" s="177"/>
      <c r="M7" s="177" t="s">
        <v>356</v>
      </c>
      <c r="S7" s="182">
        <f>SUM(ORA!$D$127:$O$127)</f>
        <v>283858133.39118242</v>
      </c>
    </row>
    <row r="8" spans="1:20">
      <c r="A8" s="177"/>
      <c r="B8" s="177" t="s">
        <v>357</v>
      </c>
      <c r="G8" s="180"/>
      <c r="H8" s="183">
        <f>SUM(POJ!$D$116:$O$116)</f>
        <v>44261.179033925073</v>
      </c>
      <c r="L8" s="177"/>
      <c r="M8" s="177" t="s">
        <v>357</v>
      </c>
      <c r="S8" s="184">
        <f>SUM(POJ!$D$127:$O$127)</f>
        <v>309828253.23747551</v>
      </c>
    </row>
    <row r="9" spans="1:20">
      <c r="A9" s="177"/>
      <c r="B9" s="177" t="s">
        <v>358</v>
      </c>
      <c r="G9" s="180"/>
      <c r="H9" s="183">
        <f>SUM(ROJ!$D$116:$O$116)</f>
        <v>27318.147243388339</v>
      </c>
      <c r="L9" s="177"/>
      <c r="M9" s="177" t="s">
        <v>358</v>
      </c>
      <c r="S9" s="184">
        <f>SUM(ROJ!$D$127:$O$127)</f>
        <v>207617919.0497514</v>
      </c>
    </row>
    <row r="10" spans="1:20">
      <c r="A10" s="177"/>
      <c r="B10" s="177" t="s">
        <v>359</v>
      </c>
      <c r="G10" s="180"/>
      <c r="H10" s="185">
        <f>SUM(FCOJ!$D$116:$O$116)</f>
        <v>33443.676407091087</v>
      </c>
      <c r="L10" s="177"/>
      <c r="M10" s="177" t="s">
        <v>359</v>
      </c>
      <c r="S10" s="186">
        <f>SUM(FCOJ!$D$127:$O$127)</f>
        <v>167720088.61724985</v>
      </c>
    </row>
    <row r="11" spans="1:20">
      <c r="A11" s="177"/>
      <c r="B11" s="177"/>
      <c r="G11" s="180"/>
      <c r="M11" s="177" t="s">
        <v>360</v>
      </c>
      <c r="T11" s="187">
        <f>SUM($S$7:$S$10)</f>
        <v>969024394.29565918</v>
      </c>
    </row>
    <row r="12" spans="1:20">
      <c r="A12" s="179" t="s">
        <v>361</v>
      </c>
      <c r="B12" s="177"/>
      <c r="G12" s="180"/>
    </row>
    <row r="13" spans="1:20">
      <c r="A13" s="177"/>
      <c r="B13" s="177" t="s">
        <v>362</v>
      </c>
      <c r="G13" s="180"/>
      <c r="H13" s="188">
        <f>SUM(grove!$C$48:$AX$53)</f>
        <v>156120.37089837922</v>
      </c>
      <c r="L13" s="179" t="s">
        <v>363</v>
      </c>
      <c r="M13" s="177"/>
    </row>
    <row r="14" spans="1:20">
      <c r="A14" s="177"/>
      <c r="B14" s="177" t="s">
        <v>364</v>
      </c>
      <c r="G14" s="180"/>
      <c r="H14" s="181">
        <f>raw_materials!$P$30</f>
        <v>9061.9196707210904</v>
      </c>
      <c r="L14" s="177"/>
      <c r="M14" s="177" t="s">
        <v>365</v>
      </c>
      <c r="S14" s="182">
        <f>SUM(grove!$C$58:$AX$63)</f>
        <v>209566050.71553701</v>
      </c>
    </row>
    <row r="15" spans="1:20">
      <c r="A15" s="177"/>
      <c r="B15" s="177" t="s">
        <v>366</v>
      </c>
      <c r="G15" s="180"/>
      <c r="H15" s="185">
        <f>raw_materials!$P$36</f>
        <v>12001.068681258346</v>
      </c>
      <c r="L15" s="177"/>
      <c r="M15" s="177" t="s">
        <v>367</v>
      </c>
      <c r="S15" s="184">
        <f>(raw_materials!D30*raw_materials!E30+raw_materials!F30*raw_materials!G30+raw_materials!H30*raw_materials!I30+raw_materials!J30*raw_materials!K30+raw_materials!L30*raw_materials!M30)*2000</f>
        <v>12620073.178798543</v>
      </c>
    </row>
    <row r="16" spans="1:20">
      <c r="A16" s="177"/>
      <c r="B16" s="177" t="s">
        <v>368</v>
      </c>
      <c r="G16" s="180"/>
      <c r="H16" s="189">
        <v>44410.527123718581</v>
      </c>
      <c r="L16" s="177"/>
      <c r="M16" s="177" t="s">
        <v>369</v>
      </c>
      <c r="S16" s="184">
        <f>(raw_materials!D36*raw_materials!E36+raw_materials!F36*raw_materials!G36+raw_materials!H36*raw_materials!I36+raw_materials!J36*raw_materials!K36+raw_materials!L36*raw_materials!M36)*2000</f>
        <v>20976599.222025186</v>
      </c>
    </row>
    <row r="17" spans="1:21">
      <c r="A17" s="177"/>
      <c r="B17" s="177" t="s">
        <v>370</v>
      </c>
      <c r="G17" s="180"/>
      <c r="H17" s="190">
        <v>48883.786291742537</v>
      </c>
      <c r="L17" s="177"/>
      <c r="M17" s="177" t="s">
        <v>371</v>
      </c>
      <c r="S17" s="184">
        <v>30624918.866905052</v>
      </c>
    </row>
    <row r="18" spans="1:21">
      <c r="A18" s="177"/>
      <c r="B18" s="177" t="s">
        <v>372</v>
      </c>
      <c r="G18" s="180"/>
      <c r="H18" s="191">
        <v>27423.369862169948</v>
      </c>
      <c r="L18" s="177"/>
      <c r="M18" s="177" t="s">
        <v>373</v>
      </c>
      <c r="S18" s="186">
        <v>3829790.181229616</v>
      </c>
    </row>
    <row r="19" spans="1:21">
      <c r="A19" s="177"/>
      <c r="B19" s="177" t="s">
        <v>374</v>
      </c>
      <c r="G19" s="180"/>
      <c r="H19" s="190">
        <v>1499.3171964873447</v>
      </c>
      <c r="L19" s="177"/>
      <c r="M19" s="177" t="s">
        <v>375</v>
      </c>
      <c r="S19" s="192" t="s">
        <v>376</v>
      </c>
      <c r="T19" s="193">
        <f>SUM($S$14:$S$18)</f>
        <v>277617432.16449541</v>
      </c>
      <c r="U19" t="s">
        <v>377</v>
      </c>
    </row>
    <row r="20" spans="1:21">
      <c r="A20" s="177"/>
      <c r="B20" s="177" t="s">
        <v>378</v>
      </c>
      <c r="G20" s="180"/>
      <c r="H20" s="185">
        <v>3049.0785643114623</v>
      </c>
      <c r="L20" s="177"/>
      <c r="M20" s="177"/>
    </row>
    <row r="21" spans="1:21">
      <c r="A21" s="177"/>
      <c r="B21" s="177"/>
      <c r="G21" s="180"/>
      <c r="L21" s="179" t="s">
        <v>379</v>
      </c>
      <c r="M21" s="177"/>
      <c r="S21" s="122"/>
    </row>
    <row r="22" spans="1:21">
      <c r="A22" s="179" t="s">
        <v>380</v>
      </c>
      <c r="B22" s="177"/>
      <c r="G22" s="180"/>
      <c r="L22" s="177"/>
      <c r="M22" s="177" t="s">
        <v>381</v>
      </c>
      <c r="S22" s="184">
        <v>88821054.247437179</v>
      </c>
    </row>
    <row r="23" spans="1:21">
      <c r="A23" s="177"/>
      <c r="B23" s="177" t="s">
        <v>382</v>
      </c>
      <c r="G23" s="180"/>
      <c r="H23" s="181">
        <f>SUM(raw_materials!$O$31:$O$35)</f>
        <v>4.0717345557933786</v>
      </c>
      <c r="L23" s="177"/>
      <c r="M23" s="177" t="s">
        <v>383</v>
      </c>
      <c r="S23" s="184">
        <v>48883786.291742548</v>
      </c>
    </row>
    <row r="24" spans="1:21">
      <c r="A24" s="177"/>
      <c r="B24" s="177" t="s">
        <v>384</v>
      </c>
      <c r="G24" s="180"/>
      <c r="H24" s="185">
        <f>SUM(raw_materials!$O$37:$O$41)</f>
        <v>5.0034161550331504</v>
      </c>
      <c r="L24" s="177"/>
      <c r="M24" s="177" t="s">
        <v>385</v>
      </c>
      <c r="S24" s="186">
        <v>17825190.410410468</v>
      </c>
    </row>
    <row r="25" spans="1:21">
      <c r="A25" s="177"/>
      <c r="B25" s="177"/>
      <c r="G25" s="180"/>
      <c r="L25" s="177"/>
      <c r="M25" s="177" t="s">
        <v>386</v>
      </c>
      <c r="S25" s="192" t="s">
        <v>376</v>
      </c>
      <c r="T25" s="193">
        <f>SUM($S$22:$S$24)</f>
        <v>155530030.94959021</v>
      </c>
      <c r="U25" t="s">
        <v>377</v>
      </c>
    </row>
    <row r="26" spans="1:21">
      <c r="A26" s="179" t="s">
        <v>387</v>
      </c>
      <c r="B26" s="177"/>
      <c r="G26" s="180"/>
      <c r="L26" s="177"/>
      <c r="M26" s="177"/>
    </row>
    <row r="27" spans="1:21">
      <c r="A27" s="177"/>
      <c r="B27" s="177" t="s">
        <v>388</v>
      </c>
      <c r="G27" s="180"/>
      <c r="H27" s="181">
        <f>SUMIF(facilities!$C$6:$C$15,"&gt;0",facilities!$C$6:$C$15)</f>
        <v>0</v>
      </c>
      <c r="L27" s="179" t="s">
        <v>389</v>
      </c>
      <c r="M27" s="177"/>
    </row>
    <row r="28" spans="1:21">
      <c r="A28" s="177"/>
      <c r="B28" s="177" t="s">
        <v>390</v>
      </c>
      <c r="G28" s="180"/>
      <c r="H28" s="183">
        <f>SUMIF(facilities!$C$36:$C$106,"&gt;0",facilities!$C$36:$C$106)</f>
        <v>0</v>
      </c>
      <c r="L28" s="177"/>
      <c r="M28" s="177" t="s">
        <v>391</v>
      </c>
      <c r="S28" s="182">
        <v>16501896</v>
      </c>
    </row>
    <row r="29" spans="1:21">
      <c r="A29" s="177"/>
      <c r="B29" s="177" t="s">
        <v>392</v>
      </c>
      <c r="G29" s="180"/>
      <c r="H29" s="183">
        <f>SUMIF(facilities!$C$6:$C$15,"&lt;0",facilities!$C$6:$C$15)</f>
        <v>0</v>
      </c>
      <c r="L29" s="177"/>
      <c r="M29" s="177" t="s">
        <v>393</v>
      </c>
      <c r="S29" s="184">
        <v>24209283.735750005</v>
      </c>
    </row>
    <row r="30" spans="1:21">
      <c r="A30" s="177"/>
      <c r="B30" s="177" t="s">
        <v>394</v>
      </c>
      <c r="G30" s="180"/>
      <c r="H30" s="185">
        <f>SUMIF(facilities!$C$36:$C$106,"&lt;0",facilities!$C$36:$C$106)</f>
        <v>0</v>
      </c>
      <c r="L30" s="177"/>
      <c r="M30" s="177" t="s">
        <v>395</v>
      </c>
      <c r="S30" s="184">
        <v>6938948.6637473842</v>
      </c>
    </row>
    <row r="31" spans="1:21">
      <c r="L31" s="177"/>
      <c r="M31" s="177" t="s">
        <v>396</v>
      </c>
      <c r="S31" s="186">
        <f>SUM(ORA!D138:O138)+SUM(POJ!D138:O138)+SUM(ROJ!D138:O138)+SUM(FCOJ!D138:O138)</f>
        <v>116451586.38256751</v>
      </c>
    </row>
    <row r="32" spans="1:21">
      <c r="A32" s="179" t="s">
        <v>397</v>
      </c>
      <c r="B32" s="177"/>
      <c r="G32" s="180"/>
      <c r="L32" s="177"/>
      <c r="M32" s="177" t="s">
        <v>398</v>
      </c>
      <c r="S32" s="110" t="s">
        <v>376</v>
      </c>
      <c r="T32" s="193">
        <f>SUM($S$28:$S$31)</f>
        <v>164101714.78206491</v>
      </c>
      <c r="U32" t="s">
        <v>377</v>
      </c>
    </row>
    <row r="33" spans="1:21">
      <c r="A33" s="177"/>
      <c r="B33" s="177" t="s">
        <v>399</v>
      </c>
      <c r="G33" s="180"/>
      <c r="H33" s="181">
        <f>COUNTIF(facilities!$H$6:$H$15,"=new")</f>
        <v>0</v>
      </c>
      <c r="M33" s="177"/>
    </row>
    <row r="34" spans="1:21">
      <c r="A34" s="177"/>
      <c r="B34" s="177" t="s">
        <v>400</v>
      </c>
      <c r="G34" s="180"/>
      <c r="H34" s="183">
        <f>COUNTIF(facilities!$H$36:$H$106,"=new")</f>
        <v>0</v>
      </c>
      <c r="L34" s="179" t="s">
        <v>401</v>
      </c>
      <c r="M34" s="177"/>
    </row>
    <row r="35" spans="1:21">
      <c r="B35" s="177" t="s">
        <v>18</v>
      </c>
      <c r="H35" s="185">
        <f>SUMIF(facilities!$C$21:$C$30,"&gt;0",facilities!$C$21:$C$30)</f>
        <v>0</v>
      </c>
      <c r="L35" s="177"/>
      <c r="M35" s="177" t="s">
        <v>402</v>
      </c>
      <c r="S35" s="182">
        <v>26472500</v>
      </c>
    </row>
    <row r="36" spans="1:21">
      <c r="L36" s="177"/>
      <c r="M36" s="177" t="s">
        <v>403</v>
      </c>
      <c r="S36" s="184">
        <f>H33*12000000-H38*70/100*12000000</f>
        <v>0</v>
      </c>
    </row>
    <row r="37" spans="1:21">
      <c r="A37" s="179" t="s">
        <v>404</v>
      </c>
      <c r="L37" s="177"/>
      <c r="M37" s="177" t="s">
        <v>405</v>
      </c>
      <c r="S37" s="184">
        <f>H27*8000+H29*70/100*8000</f>
        <v>0</v>
      </c>
    </row>
    <row r="38" spans="1:21">
      <c r="B38" s="177" t="s">
        <v>399</v>
      </c>
      <c r="H38" s="181">
        <f>COUNTIF(facilities!$H$6:$H$15,"=sold")</f>
        <v>0</v>
      </c>
      <c r="L38" s="177"/>
      <c r="M38" s="177" t="s">
        <v>406</v>
      </c>
      <c r="S38" s="184">
        <v>30137500</v>
      </c>
    </row>
    <row r="39" spans="1:21">
      <c r="B39" s="177" t="s">
        <v>400</v>
      </c>
      <c r="H39" s="183">
        <f>COUNTIF(facilities!$H$36:$H$106,"=sold")</f>
        <v>0</v>
      </c>
      <c r="L39" s="177"/>
      <c r="M39" s="177" t="s">
        <v>407</v>
      </c>
      <c r="S39" s="184">
        <f>H34*9000000-H39*80/100*9000000</f>
        <v>0</v>
      </c>
    </row>
    <row r="40" spans="1:21">
      <c r="B40" s="177" t="s">
        <v>18</v>
      </c>
      <c r="H40" s="185">
        <f>-SUMIF(facilities!$C$21:$C$30,"&lt;0",facilities!$C$21:$C$30)</f>
        <v>0</v>
      </c>
      <c r="L40" s="177"/>
      <c r="M40" s="177" t="s">
        <v>408</v>
      </c>
      <c r="S40" s="184">
        <f>H28*6000+H30*80/100*6000</f>
        <v>0</v>
      </c>
    </row>
    <row r="41" spans="1:21">
      <c r="L41" s="177"/>
      <c r="M41" s="177" t="s">
        <v>409</v>
      </c>
      <c r="S41" s="184">
        <v>9220</v>
      </c>
    </row>
    <row r="42" spans="1:21">
      <c r="L42" s="177"/>
      <c r="M42" s="177" t="s">
        <v>410</v>
      </c>
      <c r="S42" s="186">
        <f>H35*100000-H40*60/100*100000</f>
        <v>0</v>
      </c>
    </row>
    <row r="43" spans="1:21">
      <c r="L43" s="177"/>
      <c r="M43" s="177" t="s">
        <v>411</v>
      </c>
      <c r="S43" s="172" t="s">
        <v>376</v>
      </c>
      <c r="T43" s="193">
        <f>SUM($S$35:$S$42)</f>
        <v>56619220</v>
      </c>
      <c r="U43" t="s">
        <v>377</v>
      </c>
    </row>
    <row r="44" spans="1:21">
      <c r="L44" s="177"/>
      <c r="S44" s="108"/>
    </row>
    <row r="45" spans="1:21" ht="13" thickBot="1">
      <c r="L45" s="194" t="s">
        <v>412</v>
      </c>
      <c r="M45" s="177"/>
      <c r="T45" s="195">
        <f>$T$11-$T$19-$T$25-$T$32-$T$43</f>
        <v>315155996.39950871</v>
      </c>
    </row>
    <row r="46" spans="1:21" ht="13" thickTop="1">
      <c r="M46" s="177"/>
    </row>
    <row r="316" spans="1:1">
      <c r="A316" s="174"/>
    </row>
    <row r="317" spans="1:1">
      <c r="A317" s="174"/>
    </row>
    <row r="318" spans="1:1">
      <c r="A318" s="174"/>
    </row>
    <row r="319" spans="1:1">
      <c r="A319" s="174"/>
    </row>
    <row r="320" spans="1:1">
      <c r="A320" s="174"/>
    </row>
    <row r="321" spans="1:1">
      <c r="A321" s="174"/>
    </row>
    <row r="322" spans="1:1">
      <c r="A322" s="174"/>
    </row>
    <row r="323" spans="1:1">
      <c r="A323" s="174"/>
    </row>
    <row r="325" spans="1:1">
      <c r="A325" s="174"/>
    </row>
    <row r="326" spans="1:1">
      <c r="A326" s="174"/>
    </row>
    <row r="327" spans="1:1">
      <c r="A327" s="174"/>
    </row>
    <row r="328" spans="1:1">
      <c r="A328" s="174"/>
    </row>
    <row r="329" spans="1:1">
      <c r="A329" s="174"/>
    </row>
    <row r="330" spans="1:1">
      <c r="A330" s="174"/>
    </row>
    <row r="331" spans="1:1">
      <c r="A331" s="174"/>
    </row>
    <row r="332" spans="1:1">
      <c r="A332" s="174"/>
    </row>
    <row r="334" spans="1:1">
      <c r="A334" s="174"/>
    </row>
    <row r="335" spans="1:1">
      <c r="A335" s="174"/>
    </row>
    <row r="336" spans="1:1">
      <c r="A336" s="174"/>
    </row>
    <row r="337" spans="1:1">
      <c r="A337" s="174"/>
    </row>
    <row r="338" spans="1:1">
      <c r="A338" s="174"/>
    </row>
    <row r="339" spans="1:1">
      <c r="A339" s="174"/>
    </row>
    <row r="340" spans="1:1">
      <c r="A340" s="174"/>
    </row>
    <row r="341" spans="1:1">
      <c r="A341" s="174"/>
    </row>
    <row r="343" spans="1:1">
      <c r="A343" s="174"/>
    </row>
    <row r="344" spans="1:1">
      <c r="A344" s="174"/>
    </row>
    <row r="345" spans="1:1">
      <c r="A345" s="174"/>
    </row>
    <row r="346" spans="1:1">
      <c r="A346" s="174"/>
    </row>
    <row r="347" spans="1:1">
      <c r="A347" s="174"/>
    </row>
    <row r="348" spans="1:1">
      <c r="A348" s="174"/>
    </row>
    <row r="349" spans="1:1">
      <c r="A349" s="174"/>
    </row>
    <row r="350" spans="1:1">
      <c r="A350" s="174"/>
    </row>
  </sheetData>
  <mergeCells count="1">
    <mergeCell ref="C2:H2"/>
  </mergeCell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33"/>
  <sheetViews>
    <sheetView workbookViewId="0">
      <selection activeCell="C38" sqref="C38:AX43"/>
    </sheetView>
  </sheetViews>
  <sheetFormatPr baseColWidth="10" defaultColWidth="8.83203125" defaultRowHeight="12" x14ac:dyDescent="0"/>
  <cols>
    <col min="1" max="1" width="4.6640625" customWidth="1"/>
    <col min="2" max="2" width="15.6640625" customWidth="1"/>
  </cols>
  <sheetData>
    <row r="2" spans="2:14">
      <c r="B2" s="1" t="s">
        <v>313</v>
      </c>
    </row>
    <row r="3" spans="2:14">
      <c r="B3" s="101" t="s">
        <v>314</v>
      </c>
    </row>
    <row r="4" spans="2:14">
      <c r="B4" s="167" t="s">
        <v>91</v>
      </c>
      <c r="C4" s="167" t="s">
        <v>92</v>
      </c>
      <c r="D4" s="167" t="s">
        <v>93</v>
      </c>
      <c r="E4" s="167" t="s">
        <v>94</v>
      </c>
      <c r="F4" s="167" t="s">
        <v>95</v>
      </c>
      <c r="G4" s="167" t="s">
        <v>96</v>
      </c>
      <c r="H4" s="167" t="s">
        <v>97</v>
      </c>
      <c r="I4" s="167" t="s">
        <v>98</v>
      </c>
      <c r="J4" s="167" t="s">
        <v>99</v>
      </c>
      <c r="K4" s="167" t="s">
        <v>100</v>
      </c>
      <c r="L4" s="167" t="s">
        <v>101</v>
      </c>
      <c r="M4" s="167" t="s">
        <v>102</v>
      </c>
      <c r="N4" s="167" t="s">
        <v>103</v>
      </c>
    </row>
    <row r="5" spans="2:14">
      <c r="B5" s="168" t="s">
        <v>104</v>
      </c>
      <c r="C5">
        <v>0.6721195314785251</v>
      </c>
      <c r="D5">
        <v>0.56103842242938495</v>
      </c>
      <c r="E5">
        <v>0.63788481600451508</v>
      </c>
      <c r="F5">
        <v>0.57979334965431384</v>
      </c>
      <c r="G5">
        <v>0.90383776677498762</v>
      </c>
      <c r="H5">
        <v>0.64748639476135506</v>
      </c>
      <c r="I5">
        <v>0.5154817784071124</v>
      </c>
      <c r="J5">
        <v>0.52600933410695039</v>
      </c>
      <c r="K5">
        <v>0.77148368062535533</v>
      </c>
      <c r="L5">
        <v>0.70541300252657391</v>
      </c>
      <c r="M5">
        <v>0.83539421895149968</v>
      </c>
      <c r="N5">
        <v>0.53721891793156118</v>
      </c>
    </row>
    <row r="6" spans="2:14">
      <c r="B6" s="168" t="s">
        <v>105</v>
      </c>
      <c r="C6">
        <v>0.74517152044969903</v>
      </c>
      <c r="D6">
        <v>0.83316882886012333</v>
      </c>
      <c r="E6">
        <v>0.76888472955692744</v>
      </c>
      <c r="F6">
        <v>0.70610323880165904</v>
      </c>
      <c r="G6">
        <v>0.7325169813212804</v>
      </c>
      <c r="H6">
        <v>0.64125680630887538</v>
      </c>
      <c r="I6">
        <v>0.6753213048000819</v>
      </c>
      <c r="J6">
        <v>0.64274353572606846</v>
      </c>
      <c r="K6">
        <v>0.73493327371952621</v>
      </c>
      <c r="L6">
        <v>0.73695633338081268</v>
      </c>
      <c r="M6">
        <v>0.63514012156231148</v>
      </c>
      <c r="N6">
        <v>0.62363782958248759</v>
      </c>
    </row>
    <row r="7" spans="2:14">
      <c r="B7" s="168" t="s">
        <v>106</v>
      </c>
      <c r="C7">
        <v>0.74386961211964875</v>
      </c>
      <c r="D7">
        <v>0.82346145141394622</v>
      </c>
      <c r="E7">
        <v>0.78177862571310974</v>
      </c>
      <c r="F7">
        <v>0.77777781611090335</v>
      </c>
      <c r="G7">
        <v>0.73364027347847993</v>
      </c>
      <c r="H7">
        <v>0.76778549522794537</v>
      </c>
      <c r="I7">
        <v>0.76474605183252553</v>
      </c>
      <c r="J7">
        <v>0.70338565289728427</v>
      </c>
      <c r="K7">
        <v>0.78451920937128605</v>
      </c>
      <c r="L7">
        <v>0.72174318567307116</v>
      </c>
      <c r="M7">
        <v>0.706665636488505</v>
      </c>
      <c r="N7">
        <v>0.76647399523048509</v>
      </c>
    </row>
    <row r="8" spans="2:14">
      <c r="B8" s="168" t="s">
        <v>107</v>
      </c>
      <c r="C8">
        <v>0.72960841232660523</v>
      </c>
      <c r="D8">
        <v>0.68581593589119205</v>
      </c>
      <c r="E8">
        <v>0.77003552701193201</v>
      </c>
      <c r="F8">
        <v>0.73338262458807535</v>
      </c>
      <c r="G8">
        <v>0.69411115142283453</v>
      </c>
      <c r="H8">
        <v>0.95807904474886652</v>
      </c>
      <c r="I8">
        <v>0.75562881490501299</v>
      </c>
      <c r="J8">
        <v>0.66548972771659909</v>
      </c>
      <c r="K8">
        <v>0.67174157871771867</v>
      </c>
      <c r="L8">
        <v>0.69305640245284117</v>
      </c>
      <c r="M8">
        <v>0.66103339800414951</v>
      </c>
      <c r="N8">
        <v>0.74981005386094068</v>
      </c>
    </row>
    <row r="9" spans="2:14">
      <c r="B9" s="168" t="s">
        <v>108</v>
      </c>
      <c r="C9">
        <v>2.0895816004276275</v>
      </c>
      <c r="D9">
        <v>2.0248726940155031</v>
      </c>
      <c r="E9">
        <v>2.0550284659862519</v>
      </c>
      <c r="F9">
        <v>2.05022399187088</v>
      </c>
      <c r="G9">
        <v>2.0263988888263702</v>
      </c>
      <c r="H9">
        <v>2.056339774131775</v>
      </c>
      <c r="I9">
        <v>2.059870389699936</v>
      </c>
      <c r="J9">
        <v>2.0629687285423279</v>
      </c>
      <c r="K9">
        <v>2.0313531553745272</v>
      </c>
      <c r="L9">
        <v>2.0369115447998047</v>
      </c>
      <c r="M9">
        <v>2.0568513667583468</v>
      </c>
      <c r="N9">
        <v>2.0809369301795959</v>
      </c>
    </row>
    <row r="10" spans="2:14">
      <c r="B10" s="168" t="s">
        <v>109</v>
      </c>
      <c r="C10">
        <v>0.6657151520252228</v>
      </c>
      <c r="D10">
        <v>0.62402575016021733</v>
      </c>
      <c r="E10">
        <v>0.68990816473960881</v>
      </c>
      <c r="F10">
        <v>0.6635682940483093</v>
      </c>
      <c r="G10">
        <v>0.64741578698158264</v>
      </c>
      <c r="H10">
        <v>0.62513966560363776</v>
      </c>
      <c r="I10">
        <v>0.6729189574718476</v>
      </c>
      <c r="J10">
        <v>0.68047829866409304</v>
      </c>
      <c r="K10">
        <v>0.62385862469673159</v>
      </c>
      <c r="L10">
        <v>0.63929259777069092</v>
      </c>
      <c r="M10">
        <v>0.62501582503318787</v>
      </c>
      <c r="N10">
        <v>0.665520703792572</v>
      </c>
    </row>
    <row r="11" spans="2:14">
      <c r="B11" s="169"/>
      <c r="C11" s="100"/>
      <c r="D11" s="100"/>
      <c r="E11" s="100"/>
      <c r="F11" s="100"/>
      <c r="G11" s="100"/>
    </row>
    <row r="12" spans="2:14">
      <c r="B12" s="102" t="s">
        <v>315</v>
      </c>
      <c r="C12" s="100"/>
      <c r="D12" s="100"/>
      <c r="E12" s="100"/>
      <c r="F12" s="100"/>
      <c r="G12" s="100"/>
    </row>
    <row r="13" spans="2:14">
      <c r="B13" s="168" t="s">
        <v>316</v>
      </c>
      <c r="C13" s="168" t="s">
        <v>92</v>
      </c>
      <c r="D13" s="168" t="s">
        <v>93</v>
      </c>
      <c r="E13" s="167" t="s">
        <v>94</v>
      </c>
      <c r="F13" s="167" t="s">
        <v>95</v>
      </c>
      <c r="G13" s="167" t="s">
        <v>96</v>
      </c>
      <c r="H13" s="167" t="s">
        <v>97</v>
      </c>
      <c r="I13" s="167" t="s">
        <v>98</v>
      </c>
      <c r="J13" s="167" t="s">
        <v>99</v>
      </c>
      <c r="K13" s="167" t="s">
        <v>100</v>
      </c>
      <c r="L13" s="167" t="s">
        <v>101</v>
      </c>
      <c r="M13" s="167" t="s">
        <v>102</v>
      </c>
      <c r="N13" s="167" t="s">
        <v>103</v>
      </c>
    </row>
    <row r="14" spans="2:14">
      <c r="B14" s="167" t="s">
        <v>317</v>
      </c>
      <c r="C14" s="100">
        <v>0.31051009110751271</v>
      </c>
      <c r="D14" s="100">
        <v>0.31166266531813069</v>
      </c>
      <c r="E14" s="100">
        <v>0.31281199639552021</v>
      </c>
      <c r="F14" s="100">
        <v>0.31395485033203696</v>
      </c>
      <c r="G14" s="100">
        <v>0.31508801134552766</v>
      </c>
      <c r="H14">
        <v>0.31620829092795333</v>
      </c>
      <c r="I14">
        <v>0.31731253681726823</v>
      </c>
      <c r="J14">
        <v>0.3183976418673094</v>
      </c>
      <c r="K14">
        <v>0.31946055279073809</v>
      </c>
      <c r="L14">
        <v>0.32049827875043246</v>
      </c>
      <c r="M14">
        <v>0.32150789977515692</v>
      </c>
      <c r="N14">
        <v>0.32248657497582739</v>
      </c>
    </row>
    <row r="15" spans="2:14">
      <c r="B15" s="167" t="s">
        <v>318</v>
      </c>
      <c r="C15">
        <v>1.1514189501531176</v>
      </c>
      <c r="D15">
        <v>1.1544717513009457</v>
      </c>
      <c r="E15">
        <v>1.1575159624241567</v>
      </c>
      <c r="F15">
        <v>1.1605430176688922</v>
      </c>
      <c r="G15">
        <v>1.1635443994548023</v>
      </c>
      <c r="H15">
        <v>1.1665116624419585</v>
      </c>
      <c r="I15">
        <v>1.169436457294498</v>
      </c>
      <c r="J15">
        <v>1.1723105541741283</v>
      </c>
      <c r="K15">
        <v>1.17512586589739</v>
      </c>
      <c r="L15">
        <v>1.1778744706915123</v>
      </c>
      <c r="M15">
        <v>1.1805486344848333</v>
      </c>
      <c r="N15">
        <v>1.1831408326690662</v>
      </c>
    </row>
    <row r="16" spans="2:14">
      <c r="B16" s="100"/>
    </row>
    <row r="17" spans="2:14">
      <c r="B17" s="101" t="s">
        <v>319</v>
      </c>
    </row>
    <row r="18" spans="2:14">
      <c r="B18" s="99" t="s">
        <v>91</v>
      </c>
      <c r="C18" s="99" t="s">
        <v>92</v>
      </c>
      <c r="D18" s="99" t="s">
        <v>93</v>
      </c>
      <c r="E18" s="99" t="s">
        <v>94</v>
      </c>
      <c r="F18" s="99" t="s">
        <v>95</v>
      </c>
      <c r="G18" s="99" t="s">
        <v>96</v>
      </c>
      <c r="H18" s="99" t="s">
        <v>97</v>
      </c>
      <c r="I18" s="99" t="s">
        <v>98</v>
      </c>
      <c r="J18" s="99" t="s">
        <v>99</v>
      </c>
      <c r="K18" s="99" t="s">
        <v>100</v>
      </c>
      <c r="L18" s="99" t="s">
        <v>101</v>
      </c>
      <c r="M18" s="99" t="s">
        <v>102</v>
      </c>
      <c r="N18" s="99" t="s">
        <v>103</v>
      </c>
    </row>
    <row r="19" spans="2:14">
      <c r="B19" s="170" t="s">
        <v>104</v>
      </c>
      <c r="C19">
        <f>C5</f>
        <v>0.6721195314785251</v>
      </c>
      <c r="D19">
        <f t="shared" ref="D19:N20" si="0">D5</f>
        <v>0.56103842242938495</v>
      </c>
      <c r="E19">
        <f t="shared" si="0"/>
        <v>0.63788481600451508</v>
      </c>
      <c r="F19">
        <f t="shared" si="0"/>
        <v>0.57979334965431384</v>
      </c>
      <c r="G19">
        <f t="shared" si="0"/>
        <v>0.90383776677498762</v>
      </c>
      <c r="H19">
        <f t="shared" si="0"/>
        <v>0.64748639476135506</v>
      </c>
      <c r="I19">
        <f t="shared" si="0"/>
        <v>0.5154817784071124</v>
      </c>
      <c r="J19">
        <f t="shared" si="0"/>
        <v>0.52600933410695039</v>
      </c>
      <c r="K19">
        <f t="shared" si="0"/>
        <v>0.77148368062535533</v>
      </c>
      <c r="L19">
        <f t="shared" si="0"/>
        <v>0.70541300252657391</v>
      </c>
      <c r="M19">
        <f t="shared" si="0"/>
        <v>0.83539421895149968</v>
      </c>
      <c r="N19">
        <f t="shared" si="0"/>
        <v>0.53721891793156118</v>
      </c>
    </row>
    <row r="20" spans="2:14">
      <c r="B20" s="170" t="s">
        <v>105</v>
      </c>
      <c r="C20">
        <f>C6</f>
        <v>0.74517152044969903</v>
      </c>
      <c r="D20">
        <f t="shared" si="0"/>
        <v>0.83316882886012333</v>
      </c>
      <c r="E20">
        <f t="shared" si="0"/>
        <v>0.76888472955692744</v>
      </c>
      <c r="F20">
        <f t="shared" si="0"/>
        <v>0.70610323880165904</v>
      </c>
      <c r="G20">
        <f t="shared" si="0"/>
        <v>0.7325169813212804</v>
      </c>
      <c r="H20">
        <f t="shared" si="0"/>
        <v>0.64125680630887538</v>
      </c>
      <c r="I20">
        <f t="shared" si="0"/>
        <v>0.6753213048000819</v>
      </c>
      <c r="J20">
        <f t="shared" si="0"/>
        <v>0.64274353572606846</v>
      </c>
      <c r="K20">
        <f t="shared" si="0"/>
        <v>0.73493327371952621</v>
      </c>
      <c r="L20">
        <f t="shared" si="0"/>
        <v>0.73695633338081268</v>
      </c>
      <c r="M20">
        <f t="shared" si="0"/>
        <v>0.63514012156231148</v>
      </c>
      <c r="N20">
        <f t="shared" si="0"/>
        <v>0.62363782958248759</v>
      </c>
    </row>
    <row r="21" spans="2:14">
      <c r="B21" s="170" t="s">
        <v>106</v>
      </c>
      <c r="C21">
        <f t="shared" ref="C21:N22" si="1">C7</f>
        <v>0.74386961211964875</v>
      </c>
      <c r="D21">
        <f t="shared" si="1"/>
        <v>0.82346145141394622</v>
      </c>
      <c r="E21">
        <f t="shared" si="1"/>
        <v>0.78177862571310974</v>
      </c>
      <c r="F21">
        <f t="shared" si="1"/>
        <v>0.77777781611090335</v>
      </c>
      <c r="G21">
        <f t="shared" si="1"/>
        <v>0.73364027347847993</v>
      </c>
      <c r="H21">
        <f t="shared" si="1"/>
        <v>0.76778549522794537</v>
      </c>
      <c r="I21">
        <f t="shared" si="1"/>
        <v>0.76474605183252553</v>
      </c>
      <c r="J21">
        <f t="shared" si="1"/>
        <v>0.70338565289728427</v>
      </c>
      <c r="K21">
        <f t="shared" si="1"/>
        <v>0.78451920937128605</v>
      </c>
      <c r="L21">
        <f t="shared" si="1"/>
        <v>0.72174318567307116</v>
      </c>
      <c r="M21">
        <f t="shared" si="1"/>
        <v>0.706665636488505</v>
      </c>
      <c r="N21">
        <f t="shared" si="1"/>
        <v>0.76647399523048509</v>
      </c>
    </row>
    <row r="22" spans="2:14">
      <c r="B22" s="170" t="s">
        <v>107</v>
      </c>
      <c r="C22">
        <f t="shared" si="1"/>
        <v>0.72960841232660523</v>
      </c>
      <c r="D22">
        <f t="shared" si="1"/>
        <v>0.68581593589119205</v>
      </c>
      <c r="E22">
        <f t="shared" si="1"/>
        <v>0.77003552701193201</v>
      </c>
      <c r="F22">
        <f t="shared" si="1"/>
        <v>0.73338262458807535</v>
      </c>
      <c r="G22">
        <f t="shared" si="1"/>
        <v>0.69411115142283453</v>
      </c>
      <c r="H22">
        <f t="shared" si="1"/>
        <v>0.95807904474886652</v>
      </c>
      <c r="I22">
        <f t="shared" si="1"/>
        <v>0.75562881490501299</v>
      </c>
      <c r="J22">
        <f t="shared" si="1"/>
        <v>0.66548972771659909</v>
      </c>
      <c r="K22">
        <f t="shared" si="1"/>
        <v>0.67174157871771867</v>
      </c>
      <c r="L22">
        <f t="shared" si="1"/>
        <v>0.69305640245284117</v>
      </c>
      <c r="M22">
        <f t="shared" si="1"/>
        <v>0.66103339800414951</v>
      </c>
      <c r="N22">
        <f t="shared" si="1"/>
        <v>0.74981005386094068</v>
      </c>
    </row>
    <row r="23" spans="2:14">
      <c r="B23" s="170" t="s">
        <v>108</v>
      </c>
      <c r="C23">
        <f>C9*C14</f>
        <v>0.64883617312536479</v>
      </c>
      <c r="D23">
        <f t="shared" ref="D23:N24" si="2">D9*D14</f>
        <v>0.63107722074677541</v>
      </c>
      <c r="E23">
        <f t="shared" si="2"/>
        <v>0.64283755709478285</v>
      </c>
      <c r="F23">
        <f t="shared" si="2"/>
        <v>0.64367776651497355</v>
      </c>
      <c r="G23">
        <f t="shared" si="2"/>
        <v>0.63849399607308799</v>
      </c>
      <c r="H23">
        <f t="shared" si="2"/>
        <v>0.65023168554538213</v>
      </c>
      <c r="I23">
        <f t="shared" si="2"/>
        <v>0.65362269887046154</v>
      </c>
      <c r="J23">
        <f t="shared" si="2"/>
        <v>0.65684437841387877</v>
      </c>
      <c r="K23">
        <f t="shared" si="2"/>
        <v>0.6489372019291566</v>
      </c>
      <c r="L23">
        <f t="shared" si="2"/>
        <v>0.65282664407522184</v>
      </c>
      <c r="M23">
        <f t="shared" si="2"/>
        <v>0.66129396307613708</v>
      </c>
      <c r="N23">
        <f t="shared" si="2"/>
        <v>0.67107422335433031</v>
      </c>
    </row>
    <row r="24" spans="2:14">
      <c r="B24" s="170" t="s">
        <v>109</v>
      </c>
      <c r="C24">
        <f>C10*C15</f>
        <v>0.76651704144590505</v>
      </c>
      <c r="D24">
        <f t="shared" si="2"/>
        <v>0.72042010064435247</v>
      </c>
      <c r="E24">
        <f t="shared" si="2"/>
        <v>0.79857971329285193</v>
      </c>
      <c r="F24">
        <f t="shared" si="2"/>
        <v>0.77009955040422373</v>
      </c>
      <c r="G24">
        <f t="shared" si="2"/>
        <v>0.7532970130610438</v>
      </c>
      <c r="H24">
        <f t="shared" si="2"/>
        <v>0.72923271058170946</v>
      </c>
      <c r="I24">
        <f t="shared" si="2"/>
        <v>0.78693596167218438</v>
      </c>
      <c r="J24">
        <f t="shared" si="2"/>
        <v>0.79773189141037093</v>
      </c>
      <c r="K24">
        <f t="shared" si="2"/>
        <v>0.73311240654430154</v>
      </c>
      <c r="L24">
        <f t="shared" si="2"/>
        <v>0.75300643021615443</v>
      </c>
      <c r="M24">
        <f t="shared" si="2"/>
        <v>0.73786157877434144</v>
      </c>
      <c r="N24">
        <f t="shared" si="2"/>
        <v>0.78740471964364667</v>
      </c>
    </row>
    <row r="25" spans="2:14">
      <c r="B25" s="169"/>
    </row>
    <row r="26" spans="2:14">
      <c r="B26" s="102" t="s">
        <v>320</v>
      </c>
    </row>
    <row r="27" spans="2:14">
      <c r="B27" s="99" t="s">
        <v>321</v>
      </c>
      <c r="C27" s="99" t="s">
        <v>92</v>
      </c>
      <c r="D27" s="99" t="s">
        <v>93</v>
      </c>
      <c r="E27" s="99" t="s">
        <v>94</v>
      </c>
      <c r="F27" s="99" t="s">
        <v>95</v>
      </c>
      <c r="G27" s="99" t="s">
        <v>96</v>
      </c>
      <c r="H27" s="99" t="s">
        <v>97</v>
      </c>
      <c r="I27" s="99" t="s">
        <v>98</v>
      </c>
      <c r="J27" s="99" t="s">
        <v>99</v>
      </c>
      <c r="K27" s="99" t="s">
        <v>100</v>
      </c>
      <c r="L27" s="99" t="s">
        <v>101</v>
      </c>
      <c r="M27" s="99" t="s">
        <v>102</v>
      </c>
      <c r="N27" s="99" t="s">
        <v>103</v>
      </c>
    </row>
    <row r="28" spans="2:14">
      <c r="B28" s="99" t="s">
        <v>104</v>
      </c>
      <c r="C28">
        <f>IF(C19&lt;=raw_materials!$D17,raw_materials!$C17,IF(C19&lt;=raw_materials!$F17,raw_materials!$E17,IF(C19&lt;=raw_materials!$H17,raw_materials!$G17,0)))</f>
        <v>1</v>
      </c>
      <c r="D28">
        <f>IF(D19&lt;=raw_materials!$D17,raw_materials!$C17,IF(D19&lt;=raw_materials!$F17,raw_materials!$E17,IF(D19&lt;=raw_materials!$H17,raw_materials!$G17,0)))</f>
        <v>1</v>
      </c>
      <c r="E28">
        <f>IF(E19&lt;=raw_materials!$D17,raw_materials!$C17,IF(E19&lt;=raw_materials!$F17,raw_materials!$E17,IF(E19&lt;=raw_materials!$H17,raw_materials!$G17,0)))</f>
        <v>1</v>
      </c>
      <c r="F28">
        <f>IF(F19&lt;=raw_materials!$D17,raw_materials!$C17,IF(F19&lt;=raw_materials!$F17,raw_materials!$E17,IF(F19&lt;=raw_materials!$H17,raw_materials!$G17,0)))</f>
        <v>1</v>
      </c>
      <c r="G28">
        <f>IF(G19&lt;=raw_materials!$D17,raw_materials!$C17,IF(G19&lt;=raw_materials!$F17,raw_materials!$E17,IF(G19&lt;=raw_materials!$H17,raw_materials!$G17,0)))</f>
        <v>0.8</v>
      </c>
      <c r="H28">
        <f>IF(H19&lt;=raw_materials!$D17,raw_materials!$C17,IF(H19&lt;=raw_materials!$F17,raw_materials!$E17,IF(H19&lt;=raw_materials!$H17,raw_materials!$G17,0)))</f>
        <v>1</v>
      </c>
      <c r="I28">
        <f>IF(I19&lt;=raw_materials!$D17,raw_materials!$C17,IF(I19&lt;=raw_materials!$F17,raw_materials!$E17,IF(I19&lt;=raw_materials!$H17,raw_materials!$G17,0)))</f>
        <v>1.2</v>
      </c>
      <c r="J28">
        <f>IF(J19&lt;=raw_materials!$D17,raw_materials!$C17,IF(J19&lt;=raw_materials!$F17,raw_materials!$E17,IF(J19&lt;=raw_materials!$H17,raw_materials!$G17,0)))</f>
        <v>1.2</v>
      </c>
      <c r="K28">
        <f>IF(K19&lt;=raw_materials!$D17,raw_materials!$C17,IF(K19&lt;=raw_materials!$F17,raw_materials!$E17,IF(K19&lt;=raw_materials!$H17,raw_materials!$G17,0)))</f>
        <v>1</v>
      </c>
      <c r="L28">
        <f>IF(L19&lt;=raw_materials!$D17,raw_materials!$C17,IF(L19&lt;=raw_materials!$F17,raw_materials!$E17,IF(L19&lt;=raw_materials!$H17,raw_materials!$G17,0)))</f>
        <v>1</v>
      </c>
      <c r="M28">
        <f>IF(M19&lt;=raw_materials!$D17,raw_materials!$C17,IF(M19&lt;=raw_materials!$F17,raw_materials!$E17,IF(M19&lt;=raw_materials!$H17,raw_materials!$G17,0)))</f>
        <v>0.8</v>
      </c>
      <c r="N28">
        <f>IF(N19&lt;=raw_materials!$D17,raw_materials!$C17,IF(N19&lt;=raw_materials!$F17,raw_materials!$E17,IF(N19&lt;=raw_materials!$H17,raw_materials!$G17,0)))</f>
        <v>1.2</v>
      </c>
    </row>
    <row r="29" spans="2:14">
      <c r="B29" s="99" t="s">
        <v>105</v>
      </c>
      <c r="C29">
        <f>IF(C20&lt;=raw_materials!$D18,raw_materials!$C18,IF(C20&lt;=raw_materials!$F18,raw_materials!$E18,IF(C20&lt;=raw_materials!$H18,raw_materials!$G18,0)))</f>
        <v>1</v>
      </c>
      <c r="D29">
        <f>IF(D20&lt;=raw_materials!$D18,raw_materials!$C18,IF(D20&lt;=raw_materials!$F18,raw_materials!$E18,IF(D20&lt;=raw_materials!$H18,raw_materials!$G18,0)))</f>
        <v>0.8</v>
      </c>
      <c r="E29">
        <f>IF(E20&lt;=raw_materials!$D18,raw_materials!$C18,IF(E20&lt;=raw_materials!$F18,raw_materials!$E18,IF(E20&lt;=raw_materials!$H18,raw_materials!$G18,0)))</f>
        <v>0.8</v>
      </c>
      <c r="F29">
        <f>IF(F20&lt;=raw_materials!$D18,raw_materials!$C18,IF(F20&lt;=raw_materials!$F18,raw_materials!$E18,IF(F20&lt;=raw_materials!$H18,raw_materials!$G18,0)))</f>
        <v>1</v>
      </c>
      <c r="G29">
        <f>IF(G20&lt;=raw_materials!$D18,raw_materials!$C18,IF(G20&lt;=raw_materials!$F18,raw_materials!$E18,IF(G20&lt;=raw_materials!$H18,raw_materials!$G18,0)))</f>
        <v>1</v>
      </c>
      <c r="H29">
        <f>IF(H20&lt;=raw_materials!$D18,raw_materials!$C18,IF(H20&lt;=raw_materials!$F18,raw_materials!$E18,IF(H20&lt;=raw_materials!$H18,raw_materials!$G18,0)))</f>
        <v>1</v>
      </c>
      <c r="I29">
        <f>IF(I20&lt;=raw_materials!$D18,raw_materials!$C18,IF(I20&lt;=raw_materials!$F18,raw_materials!$E18,IF(I20&lt;=raw_materials!$H18,raw_materials!$G18,0)))</f>
        <v>1</v>
      </c>
      <c r="J29">
        <f>IF(J20&lt;=raw_materials!$D18,raw_materials!$C18,IF(J20&lt;=raw_materials!$F18,raw_materials!$E18,IF(J20&lt;=raw_materials!$H18,raw_materials!$G18,0)))</f>
        <v>1</v>
      </c>
      <c r="K29">
        <f>IF(K20&lt;=raw_materials!$D18,raw_materials!$C18,IF(K20&lt;=raw_materials!$F18,raw_materials!$E18,IF(K20&lt;=raw_materials!$H18,raw_materials!$G18,0)))</f>
        <v>1</v>
      </c>
      <c r="L29">
        <f>IF(L20&lt;=raw_materials!$D18,raw_materials!$C18,IF(L20&lt;=raw_materials!$F18,raw_materials!$E18,IF(L20&lt;=raw_materials!$H18,raw_materials!$G18,0)))</f>
        <v>1</v>
      </c>
      <c r="M29">
        <f>IF(M20&lt;=raw_materials!$D18,raw_materials!$C18,IF(M20&lt;=raw_materials!$F18,raw_materials!$E18,IF(M20&lt;=raw_materials!$H18,raw_materials!$G18,0)))</f>
        <v>1.2</v>
      </c>
      <c r="N29">
        <f>IF(N20&lt;=raw_materials!$D18,raw_materials!$C18,IF(N20&lt;=raw_materials!$F18,raw_materials!$E18,IF(N20&lt;=raw_materials!$H18,raw_materials!$G18,0)))</f>
        <v>1.2</v>
      </c>
    </row>
    <row r="30" spans="2:14">
      <c r="B30" s="99" t="s">
        <v>106</v>
      </c>
      <c r="C30">
        <f>IF(C21&lt;=raw_materials!$D19,raw_materials!$C19,IF(C21&lt;=raw_materials!$F19,raw_materials!$E19,IF(C21&lt;=raw_materials!$H19,raw_materials!$G19,0)))</f>
        <v>1</v>
      </c>
      <c r="D30">
        <f>IF(D21&lt;=raw_materials!$D19,raw_materials!$C19,IF(D21&lt;=raw_materials!$F19,raw_materials!$E19,IF(D21&lt;=raw_materials!$H19,raw_materials!$G19,0)))</f>
        <v>1</v>
      </c>
      <c r="E30">
        <f>IF(E21&lt;=raw_materials!$D19,raw_materials!$C19,IF(E21&lt;=raw_materials!$F19,raw_materials!$E19,IF(E21&lt;=raw_materials!$H19,raw_materials!$G19,0)))</f>
        <v>1</v>
      </c>
      <c r="F30">
        <f>IF(F21&lt;=raw_materials!$D19,raw_materials!$C19,IF(F21&lt;=raw_materials!$F19,raw_materials!$E19,IF(F21&lt;=raw_materials!$H19,raw_materials!$G19,0)))</f>
        <v>1</v>
      </c>
      <c r="G30">
        <f>IF(G21&lt;=raw_materials!$D19,raw_materials!$C19,IF(G21&lt;=raw_materials!$F19,raw_materials!$E19,IF(G21&lt;=raw_materials!$H19,raw_materials!$G19,0)))</f>
        <v>1</v>
      </c>
      <c r="H30">
        <f>IF(H21&lt;=raw_materials!$D19,raw_materials!$C19,IF(H21&lt;=raw_materials!$F19,raw_materials!$E19,IF(H21&lt;=raw_materials!$H19,raw_materials!$G19,0)))</f>
        <v>1</v>
      </c>
      <c r="I30">
        <f>IF(I21&lt;=raw_materials!$D19,raw_materials!$C19,IF(I21&lt;=raw_materials!$F19,raw_materials!$E19,IF(I21&lt;=raw_materials!$H19,raw_materials!$G19,0)))</f>
        <v>1</v>
      </c>
      <c r="J30">
        <f>IF(J21&lt;=raw_materials!$D19,raw_materials!$C19,IF(J21&lt;=raw_materials!$F19,raw_materials!$E19,IF(J21&lt;=raw_materials!$H19,raw_materials!$G19,0)))</f>
        <v>1</v>
      </c>
      <c r="K30">
        <f>IF(K21&lt;=raw_materials!$D19,raw_materials!$C19,IF(K21&lt;=raw_materials!$F19,raw_materials!$E19,IF(K21&lt;=raw_materials!$H19,raw_materials!$G19,0)))</f>
        <v>1</v>
      </c>
      <c r="L30">
        <f>IF(L21&lt;=raw_materials!$D19,raw_materials!$C19,IF(L21&lt;=raw_materials!$F19,raw_materials!$E19,IF(L21&lt;=raw_materials!$H19,raw_materials!$G19,0)))</f>
        <v>1</v>
      </c>
      <c r="M30">
        <f>IF(M21&lt;=raw_materials!$D19,raw_materials!$C19,IF(M21&lt;=raw_materials!$F19,raw_materials!$E19,IF(M21&lt;=raw_materials!$H19,raw_materials!$G19,0)))</f>
        <v>1</v>
      </c>
      <c r="N30">
        <f>IF(N21&lt;=raw_materials!$D19,raw_materials!$C19,IF(N21&lt;=raw_materials!$F19,raw_materials!$E19,IF(N21&lt;=raw_materials!$H19,raw_materials!$G19,0)))</f>
        <v>1</v>
      </c>
    </row>
    <row r="31" spans="2:14">
      <c r="B31" s="99" t="s">
        <v>107</v>
      </c>
      <c r="C31">
        <f>IF(C22&lt;=raw_materials!$D20,raw_materials!$C20,IF(C22&lt;=raw_materials!$F20,raw_materials!$E20,IF(C22&lt;=raw_materials!$H20,raw_materials!$G20,0)))</f>
        <v>1</v>
      </c>
      <c r="D31">
        <f>IF(D22&lt;=raw_materials!$D20,raw_materials!$C20,IF(D22&lt;=raw_materials!$F20,raw_materials!$E20,IF(D22&lt;=raw_materials!$H20,raw_materials!$G20,0)))</f>
        <v>1</v>
      </c>
      <c r="E31">
        <f>IF(E22&lt;=raw_materials!$D20,raw_materials!$C20,IF(E22&lt;=raw_materials!$F20,raw_materials!$E20,IF(E22&lt;=raw_materials!$H20,raw_materials!$G20,0)))</f>
        <v>1</v>
      </c>
      <c r="F31">
        <f>IF(F22&lt;=raw_materials!$D20,raw_materials!$C20,IF(F22&lt;=raw_materials!$F20,raw_materials!$E20,IF(F22&lt;=raw_materials!$H20,raw_materials!$G20,0)))</f>
        <v>1</v>
      </c>
      <c r="G31">
        <f>IF(G22&lt;=raw_materials!$D20,raw_materials!$C20,IF(G22&lt;=raw_materials!$F20,raw_materials!$E20,IF(G22&lt;=raw_materials!$H20,raw_materials!$G20,0)))</f>
        <v>1</v>
      </c>
      <c r="H31">
        <f>IF(H22&lt;=raw_materials!$D20,raw_materials!$C20,IF(H22&lt;=raw_materials!$F20,raw_materials!$E20,IF(H22&lt;=raw_materials!$H20,raw_materials!$G20,0)))</f>
        <v>0.8</v>
      </c>
      <c r="I31">
        <f>IF(I22&lt;=raw_materials!$D20,raw_materials!$C20,IF(I22&lt;=raw_materials!$F20,raw_materials!$E20,IF(I22&lt;=raw_materials!$H20,raw_materials!$G20,0)))</f>
        <v>1</v>
      </c>
      <c r="J31">
        <f>IF(J22&lt;=raw_materials!$D20,raw_materials!$C20,IF(J22&lt;=raw_materials!$F20,raw_materials!$E20,IF(J22&lt;=raw_materials!$H20,raw_materials!$G20,0)))</f>
        <v>1</v>
      </c>
      <c r="K31">
        <f>IF(K22&lt;=raw_materials!$D20,raw_materials!$C20,IF(K22&lt;=raw_materials!$F20,raw_materials!$E20,IF(K22&lt;=raw_materials!$H20,raw_materials!$G20,0)))</f>
        <v>1</v>
      </c>
      <c r="L31">
        <f>IF(L22&lt;=raw_materials!$D20,raw_materials!$C20,IF(L22&lt;=raw_materials!$F20,raw_materials!$E20,IF(L22&lt;=raw_materials!$H20,raw_materials!$G20,0)))</f>
        <v>1</v>
      </c>
      <c r="M31">
        <f>IF(M22&lt;=raw_materials!$D20,raw_materials!$C20,IF(M22&lt;=raw_materials!$F20,raw_materials!$E20,IF(M22&lt;=raw_materials!$H20,raw_materials!$G20,0)))</f>
        <v>1</v>
      </c>
      <c r="N31">
        <f>IF(N22&lt;=raw_materials!$D20,raw_materials!$C20,IF(N22&lt;=raw_materials!$F20,raw_materials!$E20,IF(N22&lt;=raw_materials!$H20,raw_materials!$G20,0)))</f>
        <v>1</v>
      </c>
    </row>
    <row r="32" spans="2:14">
      <c r="B32" s="99" t="s">
        <v>108</v>
      </c>
      <c r="C32">
        <f>IF(C23&lt;=raw_materials!$D21,raw_materials!$C21,IF(C23&lt;=raw_materials!$F21,raw_materials!$E21,IF(C23&lt;=raw_materials!$H21,raw_materials!$G21,0)))</f>
        <v>1.2</v>
      </c>
      <c r="D32">
        <f>IF(D23&lt;=raw_materials!$D21,raw_materials!$C21,IF(D23&lt;=raw_materials!$F21,raw_materials!$E21,IF(D23&lt;=raw_materials!$H21,raw_materials!$G21,0)))</f>
        <v>1.2</v>
      </c>
      <c r="E32">
        <f>IF(E23&lt;=raw_materials!$D21,raw_materials!$C21,IF(E23&lt;=raw_materials!$F21,raw_materials!$E21,IF(E23&lt;=raw_materials!$H21,raw_materials!$G21,0)))</f>
        <v>1.2</v>
      </c>
      <c r="F32">
        <f>IF(F23&lt;=raw_materials!$D21,raw_materials!$C21,IF(F23&lt;=raw_materials!$F21,raw_materials!$E21,IF(F23&lt;=raw_materials!$H21,raw_materials!$G21,0)))</f>
        <v>1.2</v>
      </c>
      <c r="G32">
        <f>IF(G23&lt;=raw_materials!$D21,raw_materials!$C21,IF(G23&lt;=raw_materials!$F21,raw_materials!$E21,IF(G23&lt;=raw_materials!$H21,raw_materials!$G21,0)))</f>
        <v>1.2</v>
      </c>
      <c r="H32">
        <f>IF(H23&lt;=raw_materials!$D21,raw_materials!$C21,IF(H23&lt;=raw_materials!$F21,raw_materials!$E21,IF(H23&lt;=raw_materials!$H21,raw_materials!$G21,0)))</f>
        <v>1.2</v>
      </c>
      <c r="I32">
        <f>IF(I23&lt;=raw_materials!$D21,raw_materials!$C21,IF(I23&lt;=raw_materials!$F21,raw_materials!$E21,IF(I23&lt;=raw_materials!$H21,raw_materials!$G21,0)))</f>
        <v>1.2</v>
      </c>
      <c r="J32">
        <f>IF(J23&lt;=raw_materials!$D21,raw_materials!$C21,IF(J23&lt;=raw_materials!$F21,raw_materials!$E21,IF(J23&lt;=raw_materials!$H21,raw_materials!$G21,0)))</f>
        <v>1.2</v>
      </c>
      <c r="K32">
        <f>IF(K23&lt;=raw_materials!$D21,raw_materials!$C21,IF(K23&lt;=raw_materials!$F21,raw_materials!$E21,IF(K23&lt;=raw_materials!$H21,raw_materials!$G21,0)))</f>
        <v>1.2</v>
      </c>
      <c r="L32">
        <f>IF(L23&lt;=raw_materials!$D21,raw_materials!$C21,IF(L23&lt;=raw_materials!$F21,raw_materials!$E21,IF(L23&lt;=raw_materials!$H21,raw_materials!$G21,0)))</f>
        <v>1.2</v>
      </c>
      <c r="M32">
        <f>IF(M23&lt;=raw_materials!$D21,raw_materials!$C21,IF(M23&lt;=raw_materials!$F21,raw_materials!$E21,IF(M23&lt;=raw_materials!$H21,raw_materials!$G21,0)))</f>
        <v>1.2</v>
      </c>
      <c r="N32">
        <f>IF(N23&lt;=raw_materials!$D21,raw_materials!$C21,IF(N23&lt;=raw_materials!$F21,raw_materials!$E21,IF(N23&lt;=raw_materials!$H21,raw_materials!$G21,0)))</f>
        <v>1.2</v>
      </c>
    </row>
    <row r="33" spans="2:50">
      <c r="B33" s="99" t="s">
        <v>109</v>
      </c>
      <c r="C33">
        <f>IF(C24&lt;=raw_materials!$D22,raw_materials!$C22,IF(C24&lt;=raw_materials!$F22,raw_materials!$E22,IF(C24&lt;=raw_materials!$H22,raw_materials!$G22,0)))</f>
        <v>0.8</v>
      </c>
      <c r="D33">
        <f>IF(D24&lt;=raw_materials!$D22,raw_materials!$C22,IF(D24&lt;=raw_materials!$F22,raw_materials!$E22,IF(D24&lt;=raw_materials!$H22,raw_materials!$G22,0)))</f>
        <v>1</v>
      </c>
      <c r="E33">
        <f>IF(E24&lt;=raw_materials!$D22,raw_materials!$C22,IF(E24&lt;=raw_materials!$F22,raw_materials!$E22,IF(E24&lt;=raw_materials!$H22,raw_materials!$G22,0)))</f>
        <v>0.8</v>
      </c>
      <c r="F33">
        <f>IF(F24&lt;=raw_materials!$D22,raw_materials!$C22,IF(F24&lt;=raw_materials!$F22,raw_materials!$E22,IF(F24&lt;=raw_materials!$H22,raw_materials!$G22,0)))</f>
        <v>0.8</v>
      </c>
      <c r="G33">
        <f>IF(G24&lt;=raw_materials!$D22,raw_materials!$C22,IF(G24&lt;=raw_materials!$F22,raw_materials!$E22,IF(G24&lt;=raw_materials!$H22,raw_materials!$G22,0)))</f>
        <v>1</v>
      </c>
      <c r="H33">
        <f>IF(H24&lt;=raw_materials!$D22,raw_materials!$C22,IF(H24&lt;=raw_materials!$F22,raw_materials!$E22,IF(H24&lt;=raw_materials!$H22,raw_materials!$G22,0)))</f>
        <v>1</v>
      </c>
      <c r="I33">
        <f>IF(I24&lt;=raw_materials!$D22,raw_materials!$C22,IF(I24&lt;=raw_materials!$F22,raw_materials!$E22,IF(I24&lt;=raw_materials!$H22,raw_materials!$G22,0)))</f>
        <v>0.8</v>
      </c>
      <c r="J33">
        <f>IF(J24&lt;=raw_materials!$D22,raw_materials!$C22,IF(J24&lt;=raw_materials!$F22,raw_materials!$E22,IF(J24&lt;=raw_materials!$H22,raw_materials!$G22,0)))</f>
        <v>0.8</v>
      </c>
      <c r="K33">
        <f>IF(K24&lt;=raw_materials!$D22,raw_materials!$C22,IF(K24&lt;=raw_materials!$F22,raw_materials!$E22,IF(K24&lt;=raw_materials!$H22,raw_materials!$G22,0)))</f>
        <v>1</v>
      </c>
      <c r="L33">
        <f>IF(L24&lt;=raw_materials!$D22,raw_materials!$C22,IF(L24&lt;=raw_materials!$F22,raw_materials!$E22,IF(L24&lt;=raw_materials!$H22,raw_materials!$G22,0)))</f>
        <v>1</v>
      </c>
      <c r="M33">
        <f>IF(M24&lt;=raw_materials!$D22,raw_materials!$C22,IF(M24&lt;=raw_materials!$F22,raw_materials!$E22,IF(M24&lt;=raw_materials!$H22,raw_materials!$G22,0)))</f>
        <v>1</v>
      </c>
      <c r="N33">
        <f>IF(N24&lt;=raw_materials!$D22,raw_materials!$C22,IF(N24&lt;=raw_materials!$F22,raw_materials!$E22,IF(N24&lt;=raw_materials!$H22,raw_materials!$G22,0)))</f>
        <v>0.8</v>
      </c>
    </row>
    <row r="35" spans="2:50">
      <c r="B35" s="101" t="s">
        <v>322</v>
      </c>
    </row>
    <row r="36" spans="2:50">
      <c r="B36" s="167" t="s">
        <v>274</v>
      </c>
      <c r="C36" s="167" t="s">
        <v>92</v>
      </c>
      <c r="D36" s="100"/>
      <c r="E36" s="100"/>
      <c r="F36" s="100"/>
      <c r="G36" s="167" t="s">
        <v>93</v>
      </c>
      <c r="H36" s="100"/>
      <c r="I36" s="100"/>
      <c r="J36" s="100"/>
      <c r="K36" s="167" t="s">
        <v>94</v>
      </c>
      <c r="L36" s="100"/>
      <c r="M36" s="100"/>
      <c r="N36" s="100"/>
      <c r="O36" s="167" t="s">
        <v>95</v>
      </c>
      <c r="P36" s="100"/>
      <c r="Q36" s="100"/>
      <c r="R36" s="100"/>
      <c r="S36" s="167" t="s">
        <v>96</v>
      </c>
      <c r="T36" s="100"/>
      <c r="U36" s="100"/>
      <c r="V36" s="100"/>
      <c r="W36" s="167" t="s">
        <v>97</v>
      </c>
      <c r="X36" s="100"/>
      <c r="Y36" s="100"/>
      <c r="Z36" s="100"/>
      <c r="AA36" s="167" t="s">
        <v>98</v>
      </c>
      <c r="AB36" s="100"/>
      <c r="AC36" s="100"/>
      <c r="AD36" s="100"/>
      <c r="AE36" s="167" t="s">
        <v>99</v>
      </c>
      <c r="AF36" s="100"/>
      <c r="AG36" s="100"/>
      <c r="AH36" s="100"/>
      <c r="AI36" s="167" t="s">
        <v>100</v>
      </c>
      <c r="AJ36" s="100"/>
      <c r="AK36" s="100"/>
      <c r="AL36" s="100"/>
      <c r="AM36" s="167" t="s">
        <v>101</v>
      </c>
      <c r="AN36" s="100"/>
      <c r="AO36" s="100"/>
      <c r="AP36" s="100"/>
      <c r="AQ36" s="167" t="s">
        <v>102</v>
      </c>
      <c r="AR36" s="100"/>
      <c r="AS36" s="100"/>
      <c r="AT36" s="100"/>
      <c r="AU36" s="167" t="s">
        <v>103</v>
      </c>
      <c r="AV36" s="100"/>
      <c r="AW36" s="100"/>
      <c r="AX36" s="100"/>
    </row>
    <row r="37" spans="2:50">
      <c r="B37" s="167" t="s">
        <v>323</v>
      </c>
      <c r="C37" s="167">
        <v>1</v>
      </c>
      <c r="D37" s="167">
        <v>2</v>
      </c>
      <c r="E37" s="167">
        <v>3</v>
      </c>
      <c r="F37" s="167">
        <v>4</v>
      </c>
      <c r="G37" s="167">
        <v>1</v>
      </c>
      <c r="H37" s="167">
        <v>2</v>
      </c>
      <c r="I37" s="167">
        <v>3</v>
      </c>
      <c r="J37" s="167">
        <v>4</v>
      </c>
      <c r="K37" s="167">
        <v>1</v>
      </c>
      <c r="L37" s="167">
        <v>2</v>
      </c>
      <c r="M37" s="167">
        <v>3</v>
      </c>
      <c r="N37" s="167">
        <v>4</v>
      </c>
      <c r="O37" s="167">
        <v>1</v>
      </c>
      <c r="P37" s="167">
        <v>2</v>
      </c>
      <c r="Q37" s="167">
        <v>3</v>
      </c>
      <c r="R37" s="167">
        <v>4</v>
      </c>
      <c r="S37" s="167">
        <v>1</v>
      </c>
      <c r="T37" s="167">
        <v>2</v>
      </c>
      <c r="U37" s="167">
        <v>3</v>
      </c>
      <c r="V37" s="167">
        <v>4</v>
      </c>
      <c r="W37" s="167">
        <v>1</v>
      </c>
      <c r="X37" s="167">
        <v>2</v>
      </c>
      <c r="Y37" s="167">
        <v>3</v>
      </c>
      <c r="Z37" s="167">
        <v>4</v>
      </c>
      <c r="AA37" s="167">
        <v>1</v>
      </c>
      <c r="AB37" s="167">
        <v>2</v>
      </c>
      <c r="AC37" s="167">
        <v>3</v>
      </c>
      <c r="AD37" s="167">
        <v>4</v>
      </c>
      <c r="AE37" s="167">
        <v>1</v>
      </c>
      <c r="AF37" s="167">
        <v>2</v>
      </c>
      <c r="AG37" s="167">
        <v>3</v>
      </c>
      <c r="AH37" s="167">
        <v>4</v>
      </c>
      <c r="AI37" s="167">
        <v>1</v>
      </c>
      <c r="AJ37" s="167">
        <v>2</v>
      </c>
      <c r="AK37" s="167">
        <v>3</v>
      </c>
      <c r="AL37" s="167">
        <v>4</v>
      </c>
      <c r="AM37" s="167">
        <v>1</v>
      </c>
      <c r="AN37" s="167">
        <v>2</v>
      </c>
      <c r="AO37" s="167">
        <v>3</v>
      </c>
      <c r="AP37" s="167">
        <v>4</v>
      </c>
      <c r="AQ37" s="167">
        <v>1</v>
      </c>
      <c r="AR37" s="167">
        <v>2</v>
      </c>
      <c r="AS37" s="167">
        <v>3</v>
      </c>
      <c r="AT37" s="167">
        <v>4</v>
      </c>
      <c r="AU37" s="167">
        <v>1</v>
      </c>
      <c r="AV37" s="167">
        <v>2</v>
      </c>
      <c r="AW37" s="167">
        <v>3</v>
      </c>
      <c r="AX37" s="167">
        <v>4</v>
      </c>
    </row>
    <row r="38" spans="2:50">
      <c r="B38" s="167" t="s">
        <v>104</v>
      </c>
      <c r="C38">
        <v>25054.902514011505</v>
      </c>
      <c r="D38">
        <v>25109.81675262624</v>
      </c>
      <c r="E38">
        <v>25164.733912812586</v>
      </c>
      <c r="F38">
        <v>25219.64518704552</v>
      </c>
      <c r="G38">
        <v>25274.541764850626</v>
      </c>
      <c r="H38">
        <v>25329.41483434946</v>
      </c>
      <c r="I38">
        <v>25384.255583806131</v>
      </c>
      <c r="J38">
        <v>25439.055203174696</v>
      </c>
      <c r="K38">
        <v>25493.804885647136</v>
      </c>
      <c r="L38">
        <v>25548.495829201689</v>
      </c>
      <c r="M38">
        <v>10241.247695260481</v>
      </c>
      <c r="N38">
        <v>25657.666324691218</v>
      </c>
      <c r="O38">
        <v>25712.128310447646</v>
      </c>
      <c r="P38">
        <v>25766.496428023554</v>
      </c>
      <c r="Q38">
        <v>25820.761922544945</v>
      </c>
      <c r="R38">
        <v>25874.916053205223</v>
      </c>
      <c r="S38">
        <v>18150.265066365635</v>
      </c>
      <c r="T38">
        <v>10393.142135723308</v>
      </c>
      <c r="U38">
        <v>10414.649238940299</v>
      </c>
      <c r="V38">
        <v>10436.097879922701</v>
      </c>
      <c r="W38">
        <v>26143.711499307632</v>
      </c>
      <c r="X38">
        <v>26197.014871775551</v>
      </c>
      <c r="Y38">
        <v>26250.146217950878</v>
      </c>
      <c r="Z38">
        <v>26303.096964916222</v>
      </c>
      <c r="AA38">
        <v>26355.858567616488</v>
      </c>
      <c r="AB38">
        <v>26408.422510375025</v>
      </c>
      <c r="AC38">
        <v>26460.780308405316</v>
      </c>
      <c r="AD38">
        <v>26512.923509318131</v>
      </c>
      <c r="AE38">
        <v>26564.8436946238</v>
      </c>
      <c r="AF38">
        <v>26616.532481229282</v>
      </c>
      <c r="AG38">
        <v>26667.981522929855</v>
      </c>
      <c r="AH38">
        <v>26719.182511895149</v>
      </c>
      <c r="AI38">
        <v>18739.089026104397</v>
      </c>
      <c r="AJ38">
        <v>26820.807301044035</v>
      </c>
      <c r="AK38">
        <v>26871.21469072756</v>
      </c>
      <c r="AL38">
        <v>2692.1341209603565</v>
      </c>
      <c r="AM38">
        <v>26971.178763785614</v>
      </c>
      <c r="AN38">
        <v>27020.719306543244</v>
      </c>
      <c r="AO38">
        <v>27069.954839740756</v>
      </c>
      <c r="AP38">
        <v>9006.4267694727714</v>
      </c>
      <c r="AQ38">
        <v>11251.833789514638</v>
      </c>
      <c r="AR38">
        <v>11834.697513446952</v>
      </c>
      <c r="AS38">
        <v>11532.028806587266</v>
      </c>
      <c r="AT38">
        <v>27311.281008823513</v>
      </c>
      <c r="AU38">
        <v>27358.521424379818</v>
      </c>
      <c r="AV38">
        <v>27405.40232323145</v>
      </c>
      <c r="AW38">
        <v>27451.916146805794</v>
      </c>
      <c r="AX38">
        <v>27498.055397691911</v>
      </c>
    </row>
    <row r="39" spans="2:50">
      <c r="B39" s="167" t="s">
        <v>105</v>
      </c>
      <c r="C39">
        <v>15032.941508406904</v>
      </c>
      <c r="D39">
        <v>15065.890051575743</v>
      </c>
      <c r="E39">
        <v>15098.84034768755</v>
      </c>
      <c r="F39">
        <v>15131.787112227312</v>
      </c>
      <c r="G39">
        <v>6065.8900235641513</v>
      </c>
      <c r="H39">
        <v>10638.354230426772</v>
      </c>
      <c r="I39">
        <v>15230.553350283679</v>
      </c>
      <c r="J39">
        <v>15263.433121904818</v>
      </c>
      <c r="K39">
        <v>10707.398051971797</v>
      </c>
      <c r="L39">
        <v>15329.097497521014</v>
      </c>
      <c r="M39">
        <v>15361.87154289072</v>
      </c>
      <c r="N39">
        <v>6157.8399179258922</v>
      </c>
      <c r="O39">
        <v>15427.276986268587</v>
      </c>
      <c r="P39">
        <v>15459.897856814132</v>
      </c>
      <c r="Q39">
        <v>15492.457153526968</v>
      </c>
      <c r="R39">
        <v>15524.949631923135</v>
      </c>
      <c r="S39">
        <v>15557.370056884829</v>
      </c>
      <c r="T39">
        <v>15589.713203584963</v>
      </c>
      <c r="U39">
        <v>15621.973858410449</v>
      </c>
      <c r="V39">
        <v>15654.14681988405</v>
      </c>
      <c r="W39">
        <v>15686.226899584581</v>
      </c>
      <c r="X39">
        <v>15718.208923065331</v>
      </c>
      <c r="Y39">
        <v>15750.087730770527</v>
      </c>
      <c r="Z39">
        <v>15781.858178949733</v>
      </c>
      <c r="AA39">
        <v>15813.515140569893</v>
      </c>
      <c r="AB39">
        <v>15845.053506225015</v>
      </c>
      <c r="AC39">
        <v>15876.468185043188</v>
      </c>
      <c r="AD39">
        <v>15907.754105590879</v>
      </c>
      <c r="AE39">
        <v>15938.90621677428</v>
      </c>
      <c r="AF39">
        <v>15969.919488737569</v>
      </c>
      <c r="AG39">
        <v>16000.788913757913</v>
      </c>
      <c r="AH39">
        <v>16031.509507137089</v>
      </c>
      <c r="AI39">
        <v>16062.076308089485</v>
      </c>
      <c r="AJ39">
        <v>16092.48438062642</v>
      </c>
      <c r="AK39">
        <v>16122.728814436536</v>
      </c>
      <c r="AL39">
        <v>11306.963308033497</v>
      </c>
      <c r="AM39">
        <v>11327.895080789956</v>
      </c>
      <c r="AN39">
        <v>16212.431583925947</v>
      </c>
      <c r="AO39">
        <v>16241.972903844453</v>
      </c>
      <c r="AP39">
        <v>16271.326449160888</v>
      </c>
      <c r="AQ39">
        <v>16300.487481878417</v>
      </c>
      <c r="AR39">
        <v>16329.451295718105</v>
      </c>
      <c r="AS39">
        <v>16358.213216962538</v>
      </c>
      <c r="AT39">
        <v>16386.768605294106</v>
      </c>
      <c r="AU39">
        <v>16415.112854627889</v>
      </c>
      <c r="AV39">
        <v>16443.241393938872</v>
      </c>
      <c r="AW39">
        <v>16471.149688083475</v>
      </c>
      <c r="AX39">
        <v>16498.833238615145</v>
      </c>
    </row>
    <row r="40" spans="2:50">
      <c r="B40" s="167" t="s">
        <v>106</v>
      </c>
      <c r="C40">
        <v>5010.9805028023011</v>
      </c>
      <c r="D40">
        <v>5021.9633505252477</v>
      </c>
      <c r="E40">
        <v>5032.946782562517</v>
      </c>
      <c r="F40">
        <v>5043.9290374091042</v>
      </c>
      <c r="G40">
        <v>5054.9083529701256</v>
      </c>
      <c r="H40">
        <v>5065.8829668698918</v>
      </c>
      <c r="I40">
        <v>5076.851116761226</v>
      </c>
      <c r="J40">
        <v>2035.1244162539758</v>
      </c>
      <c r="K40">
        <v>5098.7609771294274</v>
      </c>
      <c r="L40">
        <v>5109.6991658403376</v>
      </c>
      <c r="M40">
        <v>5120.6238476302397</v>
      </c>
      <c r="N40">
        <v>5131.5332649382435</v>
      </c>
      <c r="O40">
        <v>5142.4256620895294</v>
      </c>
      <c r="P40">
        <v>5153.2992856047113</v>
      </c>
      <c r="Q40">
        <v>5164.1523845089887</v>
      </c>
      <c r="R40">
        <v>5174.9832106410449</v>
      </c>
      <c r="S40">
        <v>5185.7900189616103</v>
      </c>
      <c r="T40">
        <v>3637.5997475031577</v>
      </c>
      <c r="U40">
        <v>5207.3246194701496</v>
      </c>
      <c r="V40">
        <v>5218.0489399613498</v>
      </c>
      <c r="W40">
        <v>5228.7422998615266</v>
      </c>
      <c r="X40">
        <v>5239.40297435511</v>
      </c>
      <c r="Y40">
        <v>5250.0292435901756</v>
      </c>
      <c r="Z40">
        <v>5260.6193929832443</v>
      </c>
      <c r="AA40">
        <v>5271.1717135232975</v>
      </c>
      <c r="AB40">
        <v>5281.6845020750052</v>
      </c>
      <c r="AC40">
        <v>3704.5092431767439</v>
      </c>
      <c r="AD40">
        <v>5302.5847018636268</v>
      </c>
      <c r="AE40">
        <v>5312.9687389247601</v>
      </c>
      <c r="AF40">
        <v>5323.3064962458566</v>
      </c>
      <c r="AG40">
        <v>5333.5963045859717</v>
      </c>
      <c r="AH40">
        <v>5343.8365023790293</v>
      </c>
      <c r="AI40">
        <v>5354.0254360298286</v>
      </c>
      <c r="AJ40">
        <v>3754.9130221461646</v>
      </c>
      <c r="AK40">
        <v>5374.2429381455113</v>
      </c>
      <c r="AL40">
        <v>5384.2682419207131</v>
      </c>
      <c r="AM40">
        <v>5394.2357527571221</v>
      </c>
      <c r="AN40">
        <v>5404.1438613086484</v>
      </c>
      <c r="AO40">
        <v>5413.9909679481507</v>
      </c>
      <c r="AP40">
        <v>5423.7754830536296</v>
      </c>
      <c r="AQ40">
        <v>5433.4958272928061</v>
      </c>
      <c r="AR40">
        <v>5443.150431906035</v>
      </c>
      <c r="AS40">
        <v>5452.7377389875128</v>
      </c>
      <c r="AT40">
        <v>5462.2562017647024</v>
      </c>
      <c r="AU40">
        <v>5471.7042848759638</v>
      </c>
      <c r="AV40">
        <v>5481.0804646462902</v>
      </c>
      <c r="AW40">
        <v>5490.3832293611586</v>
      </c>
      <c r="AX40">
        <v>3849.7277556768672</v>
      </c>
    </row>
    <row r="41" spans="2:50">
      <c r="B41" s="167" t="s">
        <v>107</v>
      </c>
      <c r="C41">
        <v>2104.6118111769665</v>
      </c>
      <c r="D41">
        <v>3013.1780103151486</v>
      </c>
      <c r="E41">
        <v>3019.7680695375102</v>
      </c>
      <c r="F41">
        <v>3026.3574224454624</v>
      </c>
      <c r="G41">
        <v>2123.0615082474524</v>
      </c>
      <c r="H41">
        <v>3039.5297801219349</v>
      </c>
      <c r="I41">
        <v>3046.1106700567357</v>
      </c>
      <c r="J41">
        <v>3052.6866243809636</v>
      </c>
      <c r="K41">
        <v>2141.4796103943595</v>
      </c>
      <c r="L41">
        <v>1226.3277998016811</v>
      </c>
      <c r="M41">
        <v>3072.3743085781439</v>
      </c>
      <c r="N41">
        <v>3078.9199589629461</v>
      </c>
      <c r="O41">
        <v>3085.4553972537178</v>
      </c>
      <c r="P41">
        <v>3091.9795713628264</v>
      </c>
      <c r="Q41">
        <v>2168.9440014937754</v>
      </c>
      <c r="R41">
        <v>2173.4929484692389</v>
      </c>
      <c r="S41">
        <v>2178.031807963876</v>
      </c>
      <c r="T41">
        <v>3117.9426407169926</v>
      </c>
      <c r="U41">
        <v>3124.3947716820899</v>
      </c>
      <c r="V41">
        <v>3130.8293639768099</v>
      </c>
      <c r="W41">
        <v>2196.071765941841</v>
      </c>
      <c r="X41">
        <v>1257.4567138452264</v>
      </c>
      <c r="Y41">
        <v>2205.0122823078736</v>
      </c>
      <c r="Z41">
        <v>1262.5486543159786</v>
      </c>
      <c r="AA41">
        <v>3162.7030281139782</v>
      </c>
      <c r="AB41">
        <v>1267.6042804980013</v>
      </c>
      <c r="AC41">
        <v>3175.2936370086377</v>
      </c>
      <c r="AD41">
        <v>3181.5508211181759</v>
      </c>
      <c r="AE41">
        <v>3187.7812433548561</v>
      </c>
      <c r="AF41">
        <v>3193.9838977475138</v>
      </c>
      <c r="AG41">
        <v>3200.1577827515825</v>
      </c>
      <c r="AH41">
        <v>3206.3019014274178</v>
      </c>
      <c r="AI41">
        <v>3212.4152616178967</v>
      </c>
      <c r="AJ41">
        <v>3218.496876125284</v>
      </c>
      <c r="AK41">
        <v>3224.5457628873069</v>
      </c>
      <c r="AL41">
        <v>3230.5609451524278</v>
      </c>
      <c r="AM41">
        <v>1294.6165806617096</v>
      </c>
      <c r="AN41">
        <v>3242.486316785189</v>
      </c>
      <c r="AO41">
        <v>3248.3945807688906</v>
      </c>
      <c r="AP41">
        <v>3254.2652898321776</v>
      </c>
      <c r="AQ41">
        <v>3260.0974963756835</v>
      </c>
      <c r="AR41">
        <v>3265.8902591436208</v>
      </c>
      <c r="AS41">
        <v>3271.6426433925076</v>
      </c>
      <c r="AT41">
        <v>3277.3537210588215</v>
      </c>
      <c r="AU41">
        <v>3283.0225709255783</v>
      </c>
      <c r="AV41">
        <v>328.86482787877742</v>
      </c>
      <c r="AW41">
        <v>3294.2299376166952</v>
      </c>
      <c r="AX41">
        <v>3299.7666477230291</v>
      </c>
    </row>
    <row r="42" spans="2:50">
      <c r="B42" s="167" t="s">
        <v>108</v>
      </c>
      <c r="C42">
        <v>10000000</v>
      </c>
      <c r="D42">
        <v>10000000</v>
      </c>
      <c r="E42">
        <v>10000000</v>
      </c>
      <c r="F42">
        <v>10000000</v>
      </c>
      <c r="G42">
        <v>10000000</v>
      </c>
      <c r="H42">
        <v>10000000</v>
      </c>
      <c r="I42">
        <v>10000000</v>
      </c>
      <c r="J42">
        <v>10000000</v>
      </c>
      <c r="K42">
        <v>10000000</v>
      </c>
      <c r="L42">
        <v>10000000</v>
      </c>
      <c r="M42">
        <v>10000000</v>
      </c>
      <c r="N42">
        <v>10000000</v>
      </c>
      <c r="O42">
        <v>10000000</v>
      </c>
      <c r="P42">
        <v>10000000</v>
      </c>
      <c r="Q42">
        <v>10000000</v>
      </c>
      <c r="R42">
        <v>10000000</v>
      </c>
      <c r="S42">
        <v>10000000</v>
      </c>
      <c r="T42">
        <v>10000000</v>
      </c>
      <c r="U42">
        <v>10000000</v>
      </c>
      <c r="V42">
        <v>10000000</v>
      </c>
      <c r="W42">
        <v>10000000</v>
      </c>
      <c r="X42">
        <v>10000000</v>
      </c>
      <c r="Y42">
        <v>10000000</v>
      </c>
      <c r="Z42">
        <v>10000000</v>
      </c>
      <c r="AA42">
        <v>10000000</v>
      </c>
      <c r="AB42">
        <v>10000000</v>
      </c>
      <c r="AC42">
        <v>10000000</v>
      </c>
      <c r="AD42">
        <v>10000000</v>
      </c>
      <c r="AE42">
        <v>10000000</v>
      </c>
      <c r="AF42">
        <v>10000000</v>
      </c>
      <c r="AG42">
        <v>10000000</v>
      </c>
      <c r="AH42">
        <v>10000000</v>
      </c>
      <c r="AI42">
        <v>10000000</v>
      </c>
      <c r="AJ42">
        <v>10000000</v>
      </c>
      <c r="AK42">
        <v>10000000</v>
      </c>
      <c r="AL42">
        <v>10000000</v>
      </c>
      <c r="AM42">
        <v>10000000</v>
      </c>
      <c r="AN42">
        <v>10000000</v>
      </c>
      <c r="AO42">
        <v>10000000</v>
      </c>
      <c r="AP42">
        <v>10000000</v>
      </c>
      <c r="AQ42">
        <v>10000000</v>
      </c>
      <c r="AR42">
        <v>10000000</v>
      </c>
      <c r="AS42">
        <v>10000000</v>
      </c>
      <c r="AT42">
        <v>10000000</v>
      </c>
      <c r="AU42">
        <v>10000000</v>
      </c>
      <c r="AV42">
        <v>10000000</v>
      </c>
      <c r="AW42">
        <v>10000000</v>
      </c>
      <c r="AX42">
        <v>10000000</v>
      </c>
    </row>
    <row r="43" spans="2:50">
      <c r="B43" s="167" t="s">
        <v>109</v>
      </c>
      <c r="C43">
        <v>10000000</v>
      </c>
      <c r="D43">
        <v>10000000</v>
      </c>
      <c r="E43">
        <v>10000000</v>
      </c>
      <c r="F43">
        <v>10000000</v>
      </c>
      <c r="G43">
        <v>10000000</v>
      </c>
      <c r="H43">
        <v>10000000</v>
      </c>
      <c r="I43">
        <v>10000000</v>
      </c>
      <c r="J43">
        <v>10000000</v>
      </c>
      <c r="K43">
        <v>10000000</v>
      </c>
      <c r="L43">
        <v>10000000</v>
      </c>
      <c r="M43">
        <v>10000000</v>
      </c>
      <c r="N43">
        <v>10000000</v>
      </c>
      <c r="O43">
        <v>10000000</v>
      </c>
      <c r="P43">
        <v>10000000</v>
      </c>
      <c r="Q43">
        <v>10000000</v>
      </c>
      <c r="R43">
        <v>10000000</v>
      </c>
      <c r="S43">
        <v>10000000</v>
      </c>
      <c r="T43">
        <v>10000000</v>
      </c>
      <c r="U43">
        <v>10000000</v>
      </c>
      <c r="V43">
        <v>10000000</v>
      </c>
      <c r="W43">
        <v>10000000</v>
      </c>
      <c r="X43">
        <v>10000000</v>
      </c>
      <c r="Y43">
        <v>10000000</v>
      </c>
      <c r="Z43">
        <v>10000000</v>
      </c>
      <c r="AA43">
        <v>10000000</v>
      </c>
      <c r="AB43">
        <v>10000000</v>
      </c>
      <c r="AC43">
        <v>10000000</v>
      </c>
      <c r="AD43">
        <v>10000000</v>
      </c>
      <c r="AE43">
        <v>10000000</v>
      </c>
      <c r="AF43">
        <v>10000000</v>
      </c>
      <c r="AG43">
        <v>10000000</v>
      </c>
      <c r="AH43">
        <v>10000000</v>
      </c>
      <c r="AI43">
        <v>10000000</v>
      </c>
      <c r="AJ43">
        <v>10000000</v>
      </c>
      <c r="AK43">
        <v>10000000</v>
      </c>
      <c r="AL43">
        <v>10000000</v>
      </c>
      <c r="AM43">
        <v>10000000</v>
      </c>
      <c r="AN43">
        <v>10000000</v>
      </c>
      <c r="AO43">
        <v>10000000</v>
      </c>
      <c r="AP43">
        <v>10000000</v>
      </c>
      <c r="AQ43">
        <v>10000000</v>
      </c>
      <c r="AR43">
        <v>10000000</v>
      </c>
      <c r="AS43">
        <v>10000000</v>
      </c>
      <c r="AT43">
        <v>10000000</v>
      </c>
      <c r="AU43">
        <v>10000000</v>
      </c>
      <c r="AV43">
        <v>10000000</v>
      </c>
      <c r="AW43">
        <v>10000000</v>
      </c>
      <c r="AX43">
        <v>10000000</v>
      </c>
    </row>
    <row r="45" spans="2:50">
      <c r="B45" s="101" t="s">
        <v>324</v>
      </c>
    </row>
    <row r="46" spans="2:50">
      <c r="B46" s="99" t="s">
        <v>274</v>
      </c>
      <c r="C46" s="99" t="s">
        <v>92</v>
      </c>
      <c r="D46" s="100"/>
      <c r="E46" s="100"/>
      <c r="F46" s="100"/>
      <c r="G46" s="99" t="s">
        <v>93</v>
      </c>
      <c r="H46" s="100"/>
      <c r="I46" s="100"/>
      <c r="J46" s="100"/>
      <c r="K46" s="99" t="s">
        <v>94</v>
      </c>
      <c r="L46" s="100"/>
      <c r="M46" s="100"/>
      <c r="N46" s="100"/>
      <c r="O46" s="99" t="s">
        <v>95</v>
      </c>
      <c r="P46" s="100"/>
      <c r="Q46" s="100"/>
      <c r="R46" s="100"/>
      <c r="S46" s="99" t="s">
        <v>96</v>
      </c>
      <c r="T46" s="100"/>
      <c r="U46" s="100"/>
      <c r="V46" s="100"/>
      <c r="W46" s="99" t="s">
        <v>97</v>
      </c>
      <c r="X46" s="100"/>
      <c r="Y46" s="100"/>
      <c r="Z46" s="100"/>
      <c r="AA46" s="99" t="s">
        <v>98</v>
      </c>
      <c r="AB46" s="100"/>
      <c r="AC46" s="100"/>
      <c r="AD46" s="100"/>
      <c r="AE46" s="99" t="s">
        <v>99</v>
      </c>
      <c r="AF46" s="100"/>
      <c r="AG46" s="100"/>
      <c r="AH46" s="100"/>
      <c r="AI46" s="99" t="s">
        <v>100</v>
      </c>
      <c r="AJ46" s="100"/>
      <c r="AK46" s="100"/>
      <c r="AL46" s="100"/>
      <c r="AM46" s="99" t="s">
        <v>101</v>
      </c>
      <c r="AN46" s="100"/>
      <c r="AO46" s="100"/>
      <c r="AP46" s="100"/>
      <c r="AQ46" s="99" t="s">
        <v>102</v>
      </c>
      <c r="AR46" s="100"/>
      <c r="AS46" s="100"/>
      <c r="AT46" s="100"/>
      <c r="AU46" s="99" t="s">
        <v>103</v>
      </c>
      <c r="AV46" s="100"/>
      <c r="AW46" s="100"/>
    </row>
    <row r="47" spans="2:50">
      <c r="B47" s="99" t="s">
        <v>325</v>
      </c>
      <c r="C47" s="99">
        <v>1</v>
      </c>
      <c r="D47" s="99">
        <v>2</v>
      </c>
      <c r="E47" s="99">
        <v>3</v>
      </c>
      <c r="F47" s="99">
        <v>4</v>
      </c>
      <c r="G47" s="99">
        <v>1</v>
      </c>
      <c r="H47" s="99">
        <v>2</v>
      </c>
      <c r="I47" s="99">
        <v>3</v>
      </c>
      <c r="J47" s="99">
        <v>4</v>
      </c>
      <c r="K47" s="99">
        <v>1</v>
      </c>
      <c r="L47" s="99">
        <v>2</v>
      </c>
      <c r="M47" s="99">
        <v>3</v>
      </c>
      <c r="N47" s="99">
        <v>4</v>
      </c>
      <c r="O47" s="99">
        <v>1</v>
      </c>
      <c r="P47" s="99">
        <v>2</v>
      </c>
      <c r="Q47" s="99">
        <v>3</v>
      </c>
      <c r="R47" s="99">
        <v>4</v>
      </c>
      <c r="S47" s="99">
        <v>1</v>
      </c>
      <c r="T47" s="99">
        <v>2</v>
      </c>
      <c r="U47" s="99">
        <v>3</v>
      </c>
      <c r="V47" s="99">
        <v>4</v>
      </c>
      <c r="W47" s="99">
        <v>1</v>
      </c>
      <c r="X47" s="99">
        <v>2</v>
      </c>
      <c r="Y47" s="99">
        <v>3</v>
      </c>
      <c r="Z47" s="99">
        <v>4</v>
      </c>
      <c r="AA47" s="99">
        <v>1</v>
      </c>
      <c r="AB47" s="99">
        <v>2</v>
      </c>
      <c r="AC47" s="99">
        <v>3</v>
      </c>
      <c r="AD47" s="99">
        <v>4</v>
      </c>
      <c r="AE47" s="99">
        <v>1</v>
      </c>
      <c r="AF47" s="99">
        <v>2</v>
      </c>
      <c r="AG47" s="99">
        <v>3</v>
      </c>
      <c r="AH47" s="99">
        <v>4</v>
      </c>
      <c r="AI47" s="99">
        <v>1</v>
      </c>
      <c r="AJ47" s="99">
        <v>2</v>
      </c>
      <c r="AK47" s="99">
        <v>3</v>
      </c>
      <c r="AL47" s="99">
        <v>4</v>
      </c>
      <c r="AM47" s="99">
        <v>1</v>
      </c>
      <c r="AN47" s="99">
        <v>2</v>
      </c>
      <c r="AO47" s="99">
        <v>3</v>
      </c>
      <c r="AP47" s="99">
        <v>4</v>
      </c>
      <c r="AQ47" s="99">
        <v>1</v>
      </c>
      <c r="AR47" s="99">
        <v>2</v>
      </c>
      <c r="AS47" s="99">
        <v>3</v>
      </c>
      <c r="AT47" s="99">
        <v>4</v>
      </c>
      <c r="AU47" s="99">
        <v>1</v>
      </c>
      <c r="AV47" s="99">
        <v>2</v>
      </c>
      <c r="AW47" s="99">
        <v>3</v>
      </c>
      <c r="AX47" s="99">
        <v>4</v>
      </c>
    </row>
    <row r="48" spans="2:50">
      <c r="B48" s="99" t="s">
        <v>104</v>
      </c>
      <c r="C48">
        <v>2225.6582932727615</v>
      </c>
      <c r="D48">
        <v>2225.6582932727615</v>
      </c>
      <c r="E48">
        <v>2225.6582932727615</v>
      </c>
      <c r="F48">
        <v>2225.6582932727615</v>
      </c>
      <c r="G48">
        <v>2225.6582932727615</v>
      </c>
      <c r="H48">
        <v>2225.6582932727615</v>
      </c>
      <c r="I48">
        <v>2225.6582932727615</v>
      </c>
      <c r="J48">
        <v>2225.6582932727615</v>
      </c>
      <c r="K48">
        <v>2225.6582932727615</v>
      </c>
      <c r="L48">
        <v>2225.6582932727615</v>
      </c>
      <c r="M48">
        <v>2225.6582932727615</v>
      </c>
      <c r="N48">
        <v>2225.6582932727615</v>
      </c>
      <c r="O48">
        <v>2225.6582932727615</v>
      </c>
      <c r="P48">
        <v>2225.6582932727615</v>
      </c>
      <c r="Q48">
        <v>2225.6582932727615</v>
      </c>
      <c r="R48">
        <v>2225.6582932727615</v>
      </c>
      <c r="S48">
        <v>1780.5266346182093</v>
      </c>
      <c r="T48">
        <v>1780.5266346182093</v>
      </c>
      <c r="U48">
        <v>1780.5266346182093</v>
      </c>
      <c r="V48">
        <v>1780.5266346182093</v>
      </c>
      <c r="W48">
        <v>2225.6582932727615</v>
      </c>
      <c r="X48">
        <v>2225.6582932727615</v>
      </c>
      <c r="Y48">
        <v>2225.6582932727615</v>
      </c>
      <c r="Z48">
        <v>2225.6582932727615</v>
      </c>
      <c r="AA48">
        <v>2670.7899519273137</v>
      </c>
      <c r="AB48">
        <v>2670.7899519273137</v>
      </c>
      <c r="AC48">
        <v>2670.7899519273137</v>
      </c>
      <c r="AD48">
        <v>2670.7899519273137</v>
      </c>
      <c r="AE48">
        <v>2670.7899519273137</v>
      </c>
      <c r="AF48">
        <v>2670.7899519273137</v>
      </c>
      <c r="AG48">
        <v>2670.7899519273137</v>
      </c>
      <c r="AH48">
        <v>2670.7899519273137</v>
      </c>
      <c r="AI48">
        <v>2225.6582932727615</v>
      </c>
      <c r="AJ48">
        <v>2225.6582932727615</v>
      </c>
      <c r="AK48">
        <v>2225.6582932727615</v>
      </c>
      <c r="AL48">
        <v>2225.6582932727615</v>
      </c>
      <c r="AM48">
        <v>2225.6582932727615</v>
      </c>
      <c r="AN48">
        <v>2225.6582932727615</v>
      </c>
      <c r="AO48">
        <v>2225.6582932727615</v>
      </c>
      <c r="AP48">
        <v>2225.6582932727615</v>
      </c>
      <c r="AQ48">
        <v>1780.5266346182093</v>
      </c>
      <c r="AR48">
        <v>1780.5266346182093</v>
      </c>
      <c r="AS48">
        <v>1780.5266346182093</v>
      </c>
      <c r="AT48">
        <v>1780.5266346182093</v>
      </c>
      <c r="AU48">
        <v>2670.7899519273137</v>
      </c>
      <c r="AV48">
        <v>2670.7899519273137</v>
      </c>
      <c r="AW48">
        <v>2670.7899519273137</v>
      </c>
      <c r="AX48">
        <v>2670.7899519273137</v>
      </c>
    </row>
    <row r="49" spans="2:51">
      <c r="B49" s="99" t="s">
        <v>105</v>
      </c>
      <c r="C49">
        <v>9.2088493382806612E-21</v>
      </c>
      <c r="D49">
        <v>9.2088493382806612E-21</v>
      </c>
      <c r="E49">
        <v>9.2088493382806612E-21</v>
      </c>
      <c r="F49">
        <v>9.2088493382806612E-21</v>
      </c>
      <c r="G49">
        <v>7.3670794706245292E-21</v>
      </c>
      <c r="H49">
        <v>7.3670794706245292E-21</v>
      </c>
      <c r="I49">
        <v>7.3670794706245292E-21</v>
      </c>
      <c r="J49">
        <v>7.3670794706245292E-21</v>
      </c>
      <c r="K49">
        <v>7.3670794706245292E-21</v>
      </c>
      <c r="L49">
        <v>7.3670794706245292E-21</v>
      </c>
      <c r="M49">
        <v>7.3670794706245292E-21</v>
      </c>
      <c r="N49">
        <v>7.3670794706245292E-21</v>
      </c>
      <c r="O49">
        <v>9.2088493382806612E-21</v>
      </c>
      <c r="P49">
        <v>9.2088493382806612E-21</v>
      </c>
      <c r="Q49">
        <v>9.2088493382806612E-21</v>
      </c>
      <c r="R49">
        <v>9.2088493382806612E-21</v>
      </c>
      <c r="S49">
        <v>9.2088493382806612E-21</v>
      </c>
      <c r="T49">
        <v>9.2088493382806612E-21</v>
      </c>
      <c r="U49">
        <v>9.2088493382806612E-21</v>
      </c>
      <c r="V49">
        <v>9.2088493382806612E-21</v>
      </c>
      <c r="W49">
        <v>9.2088493382806612E-21</v>
      </c>
      <c r="X49">
        <v>9.2088493382806612E-21</v>
      </c>
      <c r="Y49">
        <v>9.2088493382806612E-21</v>
      </c>
      <c r="Z49">
        <v>9.2088493382806612E-21</v>
      </c>
      <c r="AA49">
        <v>9.2088493382806612E-21</v>
      </c>
      <c r="AB49">
        <v>9.2088493382806612E-21</v>
      </c>
      <c r="AC49">
        <v>9.2088493382806612E-21</v>
      </c>
      <c r="AD49">
        <v>9.2088493382806612E-21</v>
      </c>
      <c r="AE49">
        <v>9.2088493382806612E-21</v>
      </c>
      <c r="AF49">
        <v>9.2088493382806612E-21</v>
      </c>
      <c r="AG49">
        <v>9.2088493382806612E-21</v>
      </c>
      <c r="AH49">
        <v>9.2088493382806612E-21</v>
      </c>
      <c r="AI49">
        <v>9.2088493382806612E-21</v>
      </c>
      <c r="AJ49">
        <v>9.2088493382806612E-21</v>
      </c>
      <c r="AK49">
        <v>9.2088493382806612E-21</v>
      </c>
      <c r="AL49">
        <v>9.2088493382806612E-21</v>
      </c>
      <c r="AM49">
        <v>9.2088493382806612E-21</v>
      </c>
      <c r="AN49">
        <v>9.2088493382806612E-21</v>
      </c>
      <c r="AO49">
        <v>9.2088493382806612E-21</v>
      </c>
      <c r="AP49">
        <v>9.2088493382806612E-21</v>
      </c>
      <c r="AQ49">
        <v>1.1050619205936793E-20</v>
      </c>
      <c r="AR49">
        <v>1.1050619205936793E-20</v>
      </c>
      <c r="AS49">
        <v>1.1050619205936793E-20</v>
      </c>
      <c r="AT49">
        <v>1.1050619205936793E-20</v>
      </c>
      <c r="AU49">
        <v>1.1050619205936793E-20</v>
      </c>
      <c r="AV49">
        <v>1.1050619205936793E-20</v>
      </c>
      <c r="AW49">
        <v>1.1050619205936793E-20</v>
      </c>
      <c r="AX49">
        <v>1.1050619205936793E-20</v>
      </c>
    </row>
    <row r="50" spans="2:51">
      <c r="B50" s="99" t="s">
        <v>106</v>
      </c>
      <c r="C50">
        <v>198.53169090873666</v>
      </c>
      <c r="D50">
        <v>198.53169090873666</v>
      </c>
      <c r="E50">
        <v>198.53169090873666</v>
      </c>
      <c r="F50">
        <v>198.53169090873666</v>
      </c>
      <c r="G50">
        <v>198.53169090873666</v>
      </c>
      <c r="H50">
        <v>198.53169090873666</v>
      </c>
      <c r="I50">
        <v>198.53169090873666</v>
      </c>
      <c r="J50">
        <v>198.53169090873666</v>
      </c>
      <c r="K50">
        <v>198.53169090873666</v>
      </c>
      <c r="L50">
        <v>198.53169090873666</v>
      </c>
      <c r="M50">
        <v>198.53169090873666</v>
      </c>
      <c r="N50">
        <v>198.53169090873666</v>
      </c>
      <c r="O50">
        <v>198.53169090873666</v>
      </c>
      <c r="P50">
        <v>198.53169090873666</v>
      </c>
      <c r="Q50">
        <v>198.53169090873666</v>
      </c>
      <c r="R50">
        <v>198.53169090873666</v>
      </c>
      <c r="S50">
        <v>198.53169090873666</v>
      </c>
      <c r="T50">
        <v>198.53169090873666</v>
      </c>
      <c r="U50">
        <v>198.53169090873666</v>
      </c>
      <c r="V50">
        <v>198.53169090873666</v>
      </c>
      <c r="W50">
        <v>198.53169090873666</v>
      </c>
      <c r="X50">
        <v>198.53169090873666</v>
      </c>
      <c r="Y50">
        <v>198.53169090873666</v>
      </c>
      <c r="Z50">
        <v>198.53169090873666</v>
      </c>
      <c r="AA50">
        <v>198.53169090873666</v>
      </c>
      <c r="AB50">
        <v>198.53169090873666</v>
      </c>
      <c r="AC50">
        <v>198.53169090873666</v>
      </c>
      <c r="AD50">
        <v>198.53169090873666</v>
      </c>
      <c r="AE50">
        <v>198.53169090873666</v>
      </c>
      <c r="AF50">
        <v>198.53169090873666</v>
      </c>
      <c r="AG50">
        <v>198.53169090873666</v>
      </c>
      <c r="AH50">
        <v>198.53169090873666</v>
      </c>
      <c r="AI50">
        <v>198.53169090873666</v>
      </c>
      <c r="AJ50">
        <v>198.53169090873666</v>
      </c>
      <c r="AK50">
        <v>198.53169090873666</v>
      </c>
      <c r="AL50">
        <v>198.53169090873666</v>
      </c>
      <c r="AM50">
        <v>198.53169090873666</v>
      </c>
      <c r="AN50">
        <v>198.53169090873666</v>
      </c>
      <c r="AO50">
        <v>198.53169090873666</v>
      </c>
      <c r="AP50">
        <v>198.53169090873666</v>
      </c>
      <c r="AQ50">
        <v>198.53169090873666</v>
      </c>
      <c r="AR50">
        <v>198.53169090873666</v>
      </c>
      <c r="AS50">
        <v>198.53169090873666</v>
      </c>
      <c r="AT50">
        <v>198.53169090873666</v>
      </c>
      <c r="AU50">
        <v>198.53169090873666</v>
      </c>
      <c r="AV50">
        <v>198.53169090873666</v>
      </c>
      <c r="AW50">
        <v>198.53169090873666</v>
      </c>
      <c r="AX50">
        <v>198.53169090873666</v>
      </c>
      <c r="AY50" s="109"/>
    </row>
    <row r="51" spans="2:51">
      <c r="B51" s="99" t="s">
        <v>107</v>
      </c>
      <c r="C51">
        <v>814.93203885649552</v>
      </c>
      <c r="D51">
        <v>814.93203885649552</v>
      </c>
      <c r="E51">
        <v>814.93203885649552</v>
      </c>
      <c r="F51">
        <v>814.93203885649552</v>
      </c>
      <c r="G51">
        <v>814.93203885649552</v>
      </c>
      <c r="H51">
        <v>814.93203885649552</v>
      </c>
      <c r="I51">
        <v>814.93203885649552</v>
      </c>
      <c r="J51">
        <v>814.93203885649552</v>
      </c>
      <c r="K51">
        <v>814.93203885649552</v>
      </c>
      <c r="L51">
        <v>814.93203885649552</v>
      </c>
      <c r="M51">
        <v>814.93203885649552</v>
      </c>
      <c r="N51">
        <v>814.93203885649552</v>
      </c>
      <c r="O51">
        <v>814.93203885649552</v>
      </c>
      <c r="P51">
        <v>814.93203885649552</v>
      </c>
      <c r="Q51">
        <v>814.93203885649552</v>
      </c>
      <c r="R51">
        <v>814.93203885649552</v>
      </c>
      <c r="S51">
        <v>814.93203885649552</v>
      </c>
      <c r="T51">
        <v>814.93203885649552</v>
      </c>
      <c r="U51">
        <v>814.93203885649552</v>
      </c>
      <c r="V51">
        <v>814.93203885649552</v>
      </c>
      <c r="W51">
        <v>651.94563108519651</v>
      </c>
      <c r="X51">
        <v>651.94563108519651</v>
      </c>
      <c r="Y51">
        <v>651.94563108519651</v>
      </c>
      <c r="Z51">
        <v>651.94563108519651</v>
      </c>
      <c r="AA51">
        <v>814.93203885649552</v>
      </c>
      <c r="AB51">
        <v>814.93203885649552</v>
      </c>
      <c r="AC51">
        <v>814.93203885649552</v>
      </c>
      <c r="AD51">
        <v>814.93203885649552</v>
      </c>
      <c r="AE51">
        <v>814.93203885649552</v>
      </c>
      <c r="AF51">
        <v>814.93203885649552</v>
      </c>
      <c r="AG51">
        <v>814.93203885649552</v>
      </c>
      <c r="AH51">
        <v>814.93203885649552</v>
      </c>
      <c r="AI51">
        <v>814.93203885649552</v>
      </c>
      <c r="AJ51">
        <v>814.93203885649552</v>
      </c>
      <c r="AK51">
        <v>814.93203885649552</v>
      </c>
      <c r="AL51">
        <v>814.93203885649552</v>
      </c>
      <c r="AM51">
        <v>814.93203885649552</v>
      </c>
      <c r="AN51">
        <v>814.93203885649552</v>
      </c>
      <c r="AO51">
        <v>814.93203885649552</v>
      </c>
      <c r="AP51">
        <v>814.93203885649552</v>
      </c>
      <c r="AQ51">
        <v>814.93203885649552</v>
      </c>
      <c r="AR51">
        <v>814.93203885649552</v>
      </c>
      <c r="AS51">
        <v>814.93203885649552</v>
      </c>
      <c r="AT51">
        <v>814.93203885649552</v>
      </c>
      <c r="AU51">
        <v>814.93203885649552</v>
      </c>
      <c r="AV51">
        <v>328.86482787877742</v>
      </c>
      <c r="AW51">
        <v>814.93203885649552</v>
      </c>
      <c r="AX51">
        <v>814.93203885649552</v>
      </c>
      <c r="AY51" s="9"/>
    </row>
    <row r="52" spans="2:51">
      <c r="B52" s="99" t="s">
        <v>108</v>
      </c>
      <c r="C52">
        <v>7.668502110865478E-21</v>
      </c>
      <c r="D52">
        <v>7.668502110865478E-21</v>
      </c>
      <c r="E52">
        <v>7.668502110865478E-21</v>
      </c>
      <c r="F52">
        <v>7.668502110865478E-21</v>
      </c>
      <c r="G52">
        <v>7.668502110865478E-21</v>
      </c>
      <c r="H52">
        <v>7.668502110865478E-21</v>
      </c>
      <c r="I52">
        <v>7.668502110865478E-21</v>
      </c>
      <c r="J52">
        <v>7.668502110865478E-21</v>
      </c>
      <c r="K52">
        <v>7.668502110865478E-21</v>
      </c>
      <c r="L52">
        <v>7.668502110865478E-21</v>
      </c>
      <c r="M52">
        <v>7.668502110865478E-21</v>
      </c>
      <c r="N52">
        <v>7.668502110865478E-21</v>
      </c>
      <c r="O52">
        <v>7.668502110865478E-21</v>
      </c>
      <c r="P52">
        <v>7.668502110865478E-21</v>
      </c>
      <c r="Q52">
        <v>7.668502110865478E-21</v>
      </c>
      <c r="R52">
        <v>7.668502110865478E-21</v>
      </c>
      <c r="S52">
        <v>7.668502110865478E-21</v>
      </c>
      <c r="T52">
        <v>7.668502110865478E-21</v>
      </c>
      <c r="U52">
        <v>7.668502110865478E-21</v>
      </c>
      <c r="V52">
        <v>7.668502110865478E-21</v>
      </c>
      <c r="W52">
        <v>7.668502110865478E-21</v>
      </c>
      <c r="X52">
        <v>7.668502110865478E-21</v>
      </c>
      <c r="Y52">
        <v>7.668502110865478E-21</v>
      </c>
      <c r="Z52">
        <v>7.668502110865478E-21</v>
      </c>
      <c r="AA52">
        <v>7.668502110865478E-21</v>
      </c>
      <c r="AB52">
        <v>7.668502110865478E-21</v>
      </c>
      <c r="AC52">
        <v>7.668502110865478E-21</v>
      </c>
      <c r="AD52">
        <v>7.668502110865478E-21</v>
      </c>
      <c r="AE52">
        <v>7.668502110865478E-21</v>
      </c>
      <c r="AF52">
        <v>7.668502110865478E-21</v>
      </c>
      <c r="AG52">
        <v>7.668502110865478E-21</v>
      </c>
      <c r="AH52">
        <v>7.668502110865478E-21</v>
      </c>
      <c r="AI52">
        <v>7.668502110865478E-21</v>
      </c>
      <c r="AJ52">
        <v>7.668502110865478E-21</v>
      </c>
      <c r="AK52">
        <v>7.668502110865478E-21</v>
      </c>
      <c r="AL52">
        <v>7.668502110865478E-21</v>
      </c>
      <c r="AM52">
        <v>7.668502110865478E-21</v>
      </c>
      <c r="AN52">
        <v>7.668502110865478E-21</v>
      </c>
      <c r="AO52">
        <v>7.668502110865478E-21</v>
      </c>
      <c r="AP52">
        <v>7.668502110865478E-21</v>
      </c>
      <c r="AQ52">
        <v>7.668502110865478E-21</v>
      </c>
      <c r="AR52">
        <v>7.668502110865478E-21</v>
      </c>
      <c r="AS52">
        <v>7.668502110865478E-21</v>
      </c>
      <c r="AT52">
        <v>7.668502110865478E-21</v>
      </c>
      <c r="AU52">
        <v>7.668502110865478E-21</v>
      </c>
      <c r="AV52">
        <v>7.668502110865478E-21</v>
      </c>
      <c r="AW52">
        <v>7.668502110865478E-21</v>
      </c>
      <c r="AX52">
        <v>7.668502110865478E-21</v>
      </c>
    </row>
    <row r="53" spans="2:51">
      <c r="B53" s="99" t="s">
        <v>109</v>
      </c>
      <c r="C53">
        <v>1.3133087467604779E-20</v>
      </c>
      <c r="D53">
        <v>1.3133087467604779E-20</v>
      </c>
      <c r="E53">
        <v>1.3133087467604779E-20</v>
      </c>
      <c r="F53">
        <v>1.3133087467604779E-20</v>
      </c>
      <c r="G53">
        <v>1.6416359334505972E-20</v>
      </c>
      <c r="H53">
        <v>1.6416359334505972E-20</v>
      </c>
      <c r="I53">
        <v>1.6416359334505972E-20</v>
      </c>
      <c r="J53">
        <v>1.6416359334505972E-20</v>
      </c>
      <c r="K53">
        <v>1.3133087467604779E-20</v>
      </c>
      <c r="L53">
        <v>1.3133087467604779E-20</v>
      </c>
      <c r="M53">
        <v>1.3133087467604779E-20</v>
      </c>
      <c r="N53">
        <v>1.3133087467604779E-20</v>
      </c>
      <c r="O53">
        <v>1.3133087467604779E-20</v>
      </c>
      <c r="P53">
        <v>1.3133087467604779E-20</v>
      </c>
      <c r="Q53">
        <v>1.3133087467604779E-20</v>
      </c>
      <c r="R53">
        <v>1.3133087467604779E-20</v>
      </c>
      <c r="S53">
        <v>1.6416359334505972E-20</v>
      </c>
      <c r="T53">
        <v>1.6416359334505972E-20</v>
      </c>
      <c r="U53">
        <v>1.6416359334505972E-20</v>
      </c>
      <c r="V53">
        <v>1.6416359334505972E-20</v>
      </c>
      <c r="W53">
        <v>1.6416359334505972E-20</v>
      </c>
      <c r="X53">
        <v>1.6416359334505972E-20</v>
      </c>
      <c r="Y53">
        <v>1.6416359334505972E-20</v>
      </c>
      <c r="Z53">
        <v>1.6416359334505972E-20</v>
      </c>
      <c r="AA53">
        <v>1.3133087467604779E-20</v>
      </c>
      <c r="AB53">
        <v>1.3133087467604779E-20</v>
      </c>
      <c r="AC53">
        <v>1.3133087467604779E-20</v>
      </c>
      <c r="AD53">
        <v>1.3133087467604779E-20</v>
      </c>
      <c r="AE53">
        <v>1.3133087467604779E-20</v>
      </c>
      <c r="AF53">
        <v>1.3133087467604779E-20</v>
      </c>
      <c r="AG53">
        <v>1.3133087467604779E-20</v>
      </c>
      <c r="AH53">
        <v>1.3133087467604779E-20</v>
      </c>
      <c r="AI53">
        <v>1.6416359334505972E-20</v>
      </c>
      <c r="AJ53">
        <v>1.6416359334505972E-20</v>
      </c>
      <c r="AK53">
        <v>1.6416359334505972E-20</v>
      </c>
      <c r="AL53">
        <v>1.6416359334505972E-20</v>
      </c>
      <c r="AM53">
        <v>1.6416359334505972E-20</v>
      </c>
      <c r="AN53">
        <v>1.6416359334505972E-20</v>
      </c>
      <c r="AO53">
        <v>1.6416359334505972E-20</v>
      </c>
      <c r="AP53">
        <v>1.6416359334505972E-20</v>
      </c>
      <c r="AQ53">
        <v>1.6416359334505972E-20</v>
      </c>
      <c r="AR53">
        <v>1.6416359334505972E-20</v>
      </c>
      <c r="AS53">
        <v>1.6416359334505972E-20</v>
      </c>
      <c r="AT53">
        <v>1.6416359334505972E-20</v>
      </c>
      <c r="AU53">
        <v>1.3133087467604779E-20</v>
      </c>
      <c r="AV53">
        <v>1.3133087467604779E-20</v>
      </c>
      <c r="AW53">
        <v>1.3133087467604779E-20</v>
      </c>
      <c r="AX53">
        <v>1.3133087467604779E-20</v>
      </c>
    </row>
    <row r="55" spans="2:51">
      <c r="B55" s="53" t="s">
        <v>326</v>
      </c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</row>
    <row r="56" spans="2:51">
      <c r="B56" s="103" t="s">
        <v>274</v>
      </c>
      <c r="C56" s="103" t="s">
        <v>92</v>
      </c>
      <c r="D56" s="100"/>
      <c r="E56" s="100"/>
      <c r="F56" s="100"/>
      <c r="G56" s="103" t="s">
        <v>93</v>
      </c>
      <c r="H56" s="100"/>
      <c r="I56" s="100"/>
      <c r="J56" s="100"/>
      <c r="K56" s="103" t="s">
        <v>94</v>
      </c>
      <c r="L56" s="100"/>
      <c r="M56" s="100"/>
      <c r="N56" s="100"/>
      <c r="O56" s="103" t="s">
        <v>95</v>
      </c>
      <c r="P56" s="100"/>
      <c r="Q56" s="100"/>
      <c r="R56" s="100"/>
      <c r="S56" s="103" t="s">
        <v>96</v>
      </c>
      <c r="T56" s="100"/>
      <c r="U56" s="100"/>
      <c r="V56" s="100"/>
      <c r="W56" s="103" t="s">
        <v>97</v>
      </c>
      <c r="X56" s="100"/>
      <c r="Y56" s="100"/>
      <c r="Z56" s="100"/>
      <c r="AA56" s="103" t="s">
        <v>98</v>
      </c>
      <c r="AB56" s="100"/>
      <c r="AC56" s="100"/>
      <c r="AD56" s="100"/>
      <c r="AE56" s="103" t="s">
        <v>99</v>
      </c>
      <c r="AF56" s="100"/>
      <c r="AG56" s="100"/>
      <c r="AH56" s="100"/>
      <c r="AI56" s="103" t="s">
        <v>100</v>
      </c>
      <c r="AJ56" s="100"/>
      <c r="AK56" s="100"/>
      <c r="AL56" s="100"/>
      <c r="AM56" s="103" t="s">
        <v>101</v>
      </c>
      <c r="AN56" s="100"/>
      <c r="AO56" s="100"/>
      <c r="AP56" s="100"/>
      <c r="AQ56" s="103" t="s">
        <v>102</v>
      </c>
      <c r="AR56" s="100"/>
      <c r="AS56" s="100"/>
      <c r="AT56" s="100"/>
      <c r="AU56" s="103" t="s">
        <v>103</v>
      </c>
      <c r="AV56" s="100"/>
      <c r="AW56" s="100"/>
    </row>
    <row r="57" spans="2:51">
      <c r="B57" s="103" t="s">
        <v>325</v>
      </c>
      <c r="C57" s="103">
        <v>1</v>
      </c>
      <c r="D57" s="103">
        <v>2</v>
      </c>
      <c r="E57" s="103">
        <v>3</v>
      </c>
      <c r="F57" s="103">
        <v>4</v>
      </c>
      <c r="G57" s="103">
        <v>1</v>
      </c>
      <c r="H57" s="103">
        <v>2</v>
      </c>
      <c r="I57" s="103">
        <v>3</v>
      </c>
      <c r="J57" s="103">
        <v>4</v>
      </c>
      <c r="K57" s="103">
        <v>1</v>
      </c>
      <c r="L57" s="103">
        <v>2</v>
      </c>
      <c r="M57" s="103">
        <v>3</v>
      </c>
      <c r="N57" s="103">
        <v>4</v>
      </c>
      <c r="O57" s="103">
        <v>1</v>
      </c>
      <c r="P57" s="103">
        <v>2</v>
      </c>
      <c r="Q57" s="103">
        <v>3</v>
      </c>
      <c r="R57" s="103">
        <v>4</v>
      </c>
      <c r="S57" s="103">
        <v>1</v>
      </c>
      <c r="T57" s="103">
        <v>2</v>
      </c>
      <c r="U57" s="103">
        <v>3</v>
      </c>
      <c r="V57" s="103">
        <v>4</v>
      </c>
      <c r="W57" s="103">
        <v>1</v>
      </c>
      <c r="X57" s="103">
        <v>2</v>
      </c>
      <c r="Y57" s="103">
        <v>3</v>
      </c>
      <c r="Z57" s="103">
        <v>4</v>
      </c>
      <c r="AA57" s="103">
        <v>1</v>
      </c>
      <c r="AB57" s="103">
        <v>2</v>
      </c>
      <c r="AC57" s="103">
        <v>3</v>
      </c>
      <c r="AD57" s="103">
        <v>4</v>
      </c>
      <c r="AE57" s="103">
        <v>1</v>
      </c>
      <c r="AF57" s="103">
        <v>2</v>
      </c>
      <c r="AG57" s="103">
        <v>3</v>
      </c>
      <c r="AH57" s="103">
        <v>4</v>
      </c>
      <c r="AI57" s="103">
        <v>1</v>
      </c>
      <c r="AJ57" s="103">
        <v>2</v>
      </c>
      <c r="AK57" s="103">
        <v>3</v>
      </c>
      <c r="AL57" s="103">
        <v>4</v>
      </c>
      <c r="AM57" s="103">
        <v>1</v>
      </c>
      <c r="AN57" s="103">
        <v>2</v>
      </c>
      <c r="AO57" s="103">
        <v>3</v>
      </c>
      <c r="AP57" s="103">
        <v>4</v>
      </c>
      <c r="AQ57" s="103">
        <v>1</v>
      </c>
      <c r="AR57" s="103">
        <v>2</v>
      </c>
      <c r="AS57" s="103">
        <v>3</v>
      </c>
      <c r="AT57" s="103">
        <v>4</v>
      </c>
      <c r="AU57" s="103">
        <v>1</v>
      </c>
      <c r="AV57" s="103">
        <v>2</v>
      </c>
      <c r="AW57" s="103">
        <v>3</v>
      </c>
      <c r="AX57" s="103">
        <v>4</v>
      </c>
    </row>
    <row r="58" spans="2:51">
      <c r="B58" s="103" t="s">
        <v>104</v>
      </c>
      <c r="C58">
        <v>2991816.8186115646</v>
      </c>
      <c r="D58">
        <v>2991816.8186115646</v>
      </c>
      <c r="E58">
        <v>2991816.8186115646</v>
      </c>
      <c r="F58">
        <v>2991816.8186115646</v>
      </c>
      <c r="G58">
        <v>2497359.6354492554</v>
      </c>
      <c r="H58">
        <v>2497359.6354492554</v>
      </c>
      <c r="I58">
        <v>2497359.6354492554</v>
      </c>
      <c r="J58">
        <v>2497359.6354492554</v>
      </c>
      <c r="K58">
        <v>2839427.2617864371</v>
      </c>
      <c r="L58">
        <v>2839427.2617864371</v>
      </c>
      <c r="M58">
        <v>2839427.2617864371</v>
      </c>
      <c r="N58">
        <v>2839427.2617864371</v>
      </c>
      <c r="O58">
        <v>2580843.7540850351</v>
      </c>
      <c r="P58">
        <v>2580843.7540850351</v>
      </c>
      <c r="Q58">
        <v>2580843.7540850351</v>
      </c>
      <c r="R58">
        <v>2580843.7540850351</v>
      </c>
      <c r="S58">
        <v>3218614.4342334131</v>
      </c>
      <c r="T58">
        <v>3218614.4342334131</v>
      </c>
      <c r="U58">
        <v>3218614.4342334131</v>
      </c>
      <c r="V58">
        <v>3218614.4342334131</v>
      </c>
      <c r="W58">
        <v>2882166.928563782</v>
      </c>
      <c r="X58">
        <v>2882166.928563782</v>
      </c>
      <c r="Y58">
        <v>2882166.928563782</v>
      </c>
      <c r="Z58">
        <v>2882166.928563782</v>
      </c>
      <c r="AA58">
        <v>2753487.108342676</v>
      </c>
      <c r="AB58">
        <v>2753487.108342676</v>
      </c>
      <c r="AC58">
        <v>2753487.108342676</v>
      </c>
      <c r="AD58">
        <v>2753487.108342676</v>
      </c>
      <c r="AE58">
        <v>2809720.8883056403</v>
      </c>
      <c r="AF58">
        <v>2809720.8883056403</v>
      </c>
      <c r="AG58">
        <v>2809720.8883056403</v>
      </c>
      <c r="AH58">
        <v>2809720.8883056403</v>
      </c>
      <c r="AI58">
        <v>3434118.1038168333</v>
      </c>
      <c r="AJ58">
        <v>3434118.1038168333</v>
      </c>
      <c r="AK58">
        <v>3434118.1038168333</v>
      </c>
      <c r="AL58">
        <v>3434118.1038168333</v>
      </c>
      <c r="AM58">
        <v>3140016.5985114174</v>
      </c>
      <c r="AN58">
        <v>3140016.5985114174</v>
      </c>
      <c r="AO58">
        <v>3140016.5985114174</v>
      </c>
      <c r="AP58">
        <v>3140016.5985114174</v>
      </c>
      <c r="AQ58">
        <v>2974883.3144984422</v>
      </c>
      <c r="AR58">
        <v>2974883.3144984422</v>
      </c>
      <c r="AS58">
        <v>2974883.3144984422</v>
      </c>
      <c r="AT58">
        <v>2974883.3144984422</v>
      </c>
      <c r="AU58">
        <v>2869597.7759937556</v>
      </c>
      <c r="AV58">
        <v>2869597.7759937556</v>
      </c>
      <c r="AW58">
        <v>2869597.7759937556</v>
      </c>
      <c r="AX58">
        <v>2869597.7759937556</v>
      </c>
    </row>
    <row r="59" spans="2:51">
      <c r="B59" s="103" t="s">
        <v>105</v>
      </c>
      <c r="C59">
        <v>1.372434452599761E-17</v>
      </c>
      <c r="D59">
        <v>1.372434452599761E-17</v>
      </c>
      <c r="E59">
        <v>1.372434452599761E-17</v>
      </c>
      <c r="F59">
        <v>1.372434452599761E-17</v>
      </c>
      <c r="G59">
        <v>1.2276041949319392E-17</v>
      </c>
      <c r="H59">
        <v>1.2276041949319392E-17</v>
      </c>
      <c r="I59">
        <v>1.2276041949319392E-17</v>
      </c>
      <c r="J59">
        <v>1.2276041949319392E-17</v>
      </c>
      <c r="K59">
        <v>1.1328869812791067E-17</v>
      </c>
      <c r="L59">
        <v>1.1328869812791067E-17</v>
      </c>
      <c r="M59">
        <v>1.1328869812791067E-17</v>
      </c>
      <c r="N59">
        <v>1.1328869812791067E-17</v>
      </c>
      <c r="O59">
        <v>1.3004796686792979E-17</v>
      </c>
      <c r="P59">
        <v>1.3004796686792979E-17</v>
      </c>
      <c r="Q59">
        <v>1.3004796686792979E-17</v>
      </c>
      <c r="R59">
        <v>1.3004796686792979E-17</v>
      </c>
      <c r="S59">
        <v>1.3491277037439641E-17</v>
      </c>
      <c r="T59">
        <v>1.3491277037439641E-17</v>
      </c>
      <c r="U59">
        <v>1.3491277037439641E-17</v>
      </c>
      <c r="V59">
        <v>1.3491277037439641E-17</v>
      </c>
      <c r="W59">
        <v>1.1810474632890915E-17</v>
      </c>
      <c r="X59">
        <v>1.1810474632890915E-17</v>
      </c>
      <c r="Y59">
        <v>1.1810474632890915E-17</v>
      </c>
      <c r="Z59">
        <v>1.1810474632890915E-17</v>
      </c>
      <c r="AA59">
        <v>1.2437864301670134E-17</v>
      </c>
      <c r="AB59">
        <v>1.2437864301670134E-17</v>
      </c>
      <c r="AC59">
        <v>1.2437864301670134E-17</v>
      </c>
      <c r="AD59">
        <v>1.2437864301670134E-17</v>
      </c>
      <c r="AE59">
        <v>1.1837856767310357E-17</v>
      </c>
      <c r="AF59">
        <v>1.1837856767310357E-17</v>
      </c>
      <c r="AG59">
        <v>1.1837856767310357E-17</v>
      </c>
      <c r="AH59">
        <v>1.1837856767310357E-17</v>
      </c>
      <c r="AI59">
        <v>1.3535779582744998E-17</v>
      </c>
      <c r="AJ59">
        <v>1.3535779582744998E-17</v>
      </c>
      <c r="AK59">
        <v>1.3535779582744998E-17</v>
      </c>
      <c r="AL59">
        <v>1.3535779582744998E-17</v>
      </c>
      <c r="AM59">
        <v>1.357303968599128E-17</v>
      </c>
      <c r="AN59">
        <v>1.357303968599128E-17</v>
      </c>
      <c r="AO59">
        <v>1.357303968599128E-17</v>
      </c>
      <c r="AP59">
        <v>1.357303968599128E-17</v>
      </c>
      <c r="AQ59">
        <v>1.403738325159502E-17</v>
      </c>
      <c r="AR59">
        <v>1.403738325159502E-17</v>
      </c>
      <c r="AS59">
        <v>1.403738325159502E-17</v>
      </c>
      <c r="AT59">
        <v>1.403738325159502E-17</v>
      </c>
      <c r="AU59">
        <v>1.3783168354265949E-17</v>
      </c>
      <c r="AV59">
        <v>1.3783168354265949E-17</v>
      </c>
      <c r="AW59">
        <v>1.3783168354265949E-17</v>
      </c>
      <c r="AX59">
        <v>1.3783168354265949E-17</v>
      </c>
    </row>
    <row r="60" spans="2:51">
      <c r="B60" s="103" t="s">
        <v>106</v>
      </c>
      <c r="C60">
        <v>295363.38381947984</v>
      </c>
      <c r="D60">
        <v>295363.38381947984</v>
      </c>
      <c r="E60">
        <v>295363.38381947984</v>
      </c>
      <c r="F60">
        <v>295363.38381947984</v>
      </c>
      <c r="G60">
        <v>326966.38869474654</v>
      </c>
      <c r="H60">
        <v>326966.38869474654</v>
      </c>
      <c r="I60">
        <v>326966.38869474654</v>
      </c>
      <c r="J60">
        <v>326966.38869474654</v>
      </c>
      <c r="K60">
        <v>310415.6649582641</v>
      </c>
      <c r="L60">
        <v>310415.6649582641</v>
      </c>
      <c r="M60">
        <v>310415.6649582641</v>
      </c>
      <c r="N60">
        <v>310415.6649582641</v>
      </c>
      <c r="O60">
        <v>308827.0899676042</v>
      </c>
      <c r="P60">
        <v>308827.0899676042</v>
      </c>
      <c r="Q60">
        <v>308827.0899676042</v>
      </c>
      <c r="R60">
        <v>308827.0899676042</v>
      </c>
      <c r="S60">
        <v>291301.68802486121</v>
      </c>
      <c r="T60">
        <v>291301.68802486121</v>
      </c>
      <c r="U60">
        <v>291301.68802486121</v>
      </c>
      <c r="V60">
        <v>291301.68802486121</v>
      </c>
      <c r="W60">
        <v>304859.50524561148</v>
      </c>
      <c r="X60">
        <v>304859.50524561148</v>
      </c>
      <c r="Y60">
        <v>304859.50524561148</v>
      </c>
      <c r="Z60">
        <v>304859.50524561148</v>
      </c>
      <c r="AA60">
        <v>303652.65357218334</v>
      </c>
      <c r="AB60">
        <v>303652.65357218334</v>
      </c>
      <c r="AC60">
        <v>303652.65357218334</v>
      </c>
      <c r="AD60">
        <v>303652.65357218334</v>
      </c>
      <c r="AE60">
        <v>279288.68606128712</v>
      </c>
      <c r="AF60">
        <v>279288.68606128712</v>
      </c>
      <c r="AG60">
        <v>279288.68606128712</v>
      </c>
      <c r="AH60">
        <v>279288.68606128712</v>
      </c>
      <c r="AI60">
        <v>311503.85037373326</v>
      </c>
      <c r="AJ60">
        <v>311503.85037373326</v>
      </c>
      <c r="AK60">
        <v>311503.85037373326</v>
      </c>
      <c r="AL60">
        <v>311503.85037373326</v>
      </c>
      <c r="AM60">
        <v>286577.79010706622</v>
      </c>
      <c r="AN60">
        <v>286577.79010706622</v>
      </c>
      <c r="AO60">
        <v>286577.79010706622</v>
      </c>
      <c r="AP60">
        <v>286577.79010706622</v>
      </c>
      <c r="AQ60">
        <v>280591.04743832309</v>
      </c>
      <c r="AR60">
        <v>280591.04743832309</v>
      </c>
      <c r="AS60">
        <v>280591.04743832309</v>
      </c>
      <c r="AT60">
        <v>280591.04743832309</v>
      </c>
      <c r="AU60">
        <v>304338.75662136631</v>
      </c>
      <c r="AV60">
        <v>304338.75662136631</v>
      </c>
      <c r="AW60">
        <v>304338.75662136631</v>
      </c>
      <c r="AX60">
        <v>304338.75662136631</v>
      </c>
    </row>
    <row r="61" spans="2:51">
      <c r="B61" s="103" t="s">
        <v>107</v>
      </c>
      <c r="C61">
        <v>1189162.5420483421</v>
      </c>
      <c r="D61">
        <v>1189162.5420483421</v>
      </c>
      <c r="E61">
        <v>1189162.5420483421</v>
      </c>
      <c r="F61">
        <v>1189162.5420483421</v>
      </c>
      <c r="G61">
        <v>1117786.7578321695</v>
      </c>
      <c r="H61">
        <v>1117786.7578321695</v>
      </c>
      <c r="I61">
        <v>1117786.7578321695</v>
      </c>
      <c r="J61">
        <v>1117786.7578321695</v>
      </c>
      <c r="K61">
        <v>1255053.2440395395</v>
      </c>
      <c r="L61">
        <v>1255053.2440395395</v>
      </c>
      <c r="M61">
        <v>1255053.2440395395</v>
      </c>
      <c r="N61">
        <v>1255053.2440395395</v>
      </c>
      <c r="O61">
        <v>1195313.9950349762</v>
      </c>
      <c r="P61">
        <v>1195313.9950349762</v>
      </c>
      <c r="Q61">
        <v>1195313.9950349762</v>
      </c>
      <c r="R61">
        <v>1195313.9950349762</v>
      </c>
      <c r="S61">
        <v>1131306.8316440803</v>
      </c>
      <c r="T61">
        <v>1131306.8316440803</v>
      </c>
      <c r="U61">
        <v>1131306.8316440803</v>
      </c>
      <c r="V61">
        <v>1131306.8316440803</v>
      </c>
      <c r="W61">
        <v>1249230.894916604</v>
      </c>
      <c r="X61">
        <v>1249230.894916604</v>
      </c>
      <c r="Y61">
        <v>1249230.894916604</v>
      </c>
      <c r="Z61">
        <v>1249230.894916604</v>
      </c>
      <c r="AA61">
        <v>1231572.2614985192</v>
      </c>
      <c r="AB61">
        <v>1231572.2614985192</v>
      </c>
      <c r="AC61">
        <v>1231572.2614985192</v>
      </c>
      <c r="AD61">
        <v>1231572.2614985192</v>
      </c>
      <c r="AE61">
        <v>1084657.8012922844</v>
      </c>
      <c r="AF61">
        <v>1084657.8012922844</v>
      </c>
      <c r="AG61">
        <v>1084657.8012922844</v>
      </c>
      <c r="AH61">
        <v>1084657.8012922844</v>
      </c>
      <c r="AI61">
        <v>1094847.468658223</v>
      </c>
      <c r="AJ61">
        <v>1094847.468658223</v>
      </c>
      <c r="AK61">
        <v>1094847.468658223</v>
      </c>
      <c r="AL61">
        <v>1094847.468658223</v>
      </c>
      <c r="AM61">
        <v>1129587.7341868836</v>
      </c>
      <c r="AN61">
        <v>1129587.7341868836</v>
      </c>
      <c r="AO61">
        <v>1129587.7341868836</v>
      </c>
      <c r="AP61">
        <v>1129587.7341868836</v>
      </c>
      <c r="AQ61">
        <v>1077394.5895755177</v>
      </c>
      <c r="AR61">
        <v>1077394.5895755177</v>
      </c>
      <c r="AS61">
        <v>1077394.5895755177</v>
      </c>
      <c r="AT61">
        <v>1077394.5895755177</v>
      </c>
      <c r="AU61">
        <v>1222088.4718959904</v>
      </c>
      <c r="AV61">
        <v>493172.30860951013</v>
      </c>
      <c r="AW61">
        <v>1222088.4718959904</v>
      </c>
      <c r="AX61">
        <v>1222088.4718959904</v>
      </c>
    </row>
    <row r="62" spans="2:51">
      <c r="B62" s="103" t="s">
        <v>108</v>
      </c>
      <c r="C62">
        <v>9.9512031264354766E-18</v>
      </c>
      <c r="D62">
        <v>9.9512031264354766E-18</v>
      </c>
      <c r="E62">
        <v>9.9512031264354766E-18</v>
      </c>
      <c r="F62">
        <v>9.9512031264354766E-18</v>
      </c>
      <c r="G62">
        <v>9.6788339988315337E-18</v>
      </c>
      <c r="H62">
        <v>9.6788339988315337E-18</v>
      </c>
      <c r="I62">
        <v>9.6788339988315337E-18</v>
      </c>
      <c r="J62">
        <v>9.6788339988315337E-18</v>
      </c>
      <c r="K62">
        <v>9.8592023270498996E-18</v>
      </c>
      <c r="L62">
        <v>9.8592023270498996E-18</v>
      </c>
      <c r="M62">
        <v>9.8592023270498996E-18</v>
      </c>
      <c r="N62">
        <v>9.8592023270498996E-18</v>
      </c>
      <c r="O62">
        <v>9.872088622474503E-18</v>
      </c>
      <c r="P62">
        <v>9.872088622474503E-18</v>
      </c>
      <c r="Q62">
        <v>9.872088622474503E-18</v>
      </c>
      <c r="R62">
        <v>9.872088622474503E-18</v>
      </c>
      <c r="S62">
        <v>9.792585113322819E-18</v>
      </c>
      <c r="T62">
        <v>9.792585113322819E-18</v>
      </c>
      <c r="U62">
        <v>9.792585113322819E-18</v>
      </c>
      <c r="V62">
        <v>9.792585113322819E-18</v>
      </c>
      <c r="W62">
        <v>9.9726061063127617E-18</v>
      </c>
      <c r="X62">
        <v>9.9726061063127617E-18</v>
      </c>
      <c r="Y62">
        <v>9.9726061063127617E-18</v>
      </c>
      <c r="Z62">
        <v>9.9726061063127617E-18</v>
      </c>
      <c r="AA62">
        <v>1.002461409199545E-17</v>
      </c>
      <c r="AB62">
        <v>1.002461409199545E-17</v>
      </c>
      <c r="AC62">
        <v>1.002461409199545E-17</v>
      </c>
      <c r="AD62">
        <v>1.002461409199545E-17</v>
      </c>
      <c r="AE62">
        <v>1.0074025004753904E-17</v>
      </c>
      <c r="AF62">
        <v>1.0074025004753904E-17</v>
      </c>
      <c r="AG62">
        <v>1.0074025004753904E-17</v>
      </c>
      <c r="AH62">
        <v>1.0074025004753904E-17</v>
      </c>
      <c r="AI62">
        <v>9.9527526056257489E-18</v>
      </c>
      <c r="AJ62">
        <v>9.9527526056257489E-18</v>
      </c>
      <c r="AK62">
        <v>9.9527526056257489E-18</v>
      </c>
      <c r="AL62">
        <v>9.9527526056257489E-18</v>
      </c>
      <c r="AM62">
        <v>1.001240499624013E-17</v>
      </c>
      <c r="AN62">
        <v>1.001240499624013E-17</v>
      </c>
      <c r="AO62">
        <v>1.001240499624013E-17</v>
      </c>
      <c r="AP62">
        <v>1.001240499624013E-17</v>
      </c>
      <c r="AQ62">
        <v>1.0142268303503909E-17</v>
      </c>
      <c r="AR62">
        <v>1.0142268303503909E-17</v>
      </c>
      <c r="AS62">
        <v>1.0142268303503909E-17</v>
      </c>
      <c r="AT62">
        <v>1.0142268303503909E-17</v>
      </c>
      <c r="AU62">
        <v>1.0292268196680187E-17</v>
      </c>
      <c r="AV62">
        <v>1.0292268196680187E-17</v>
      </c>
      <c r="AW62">
        <v>1.0292268196680187E-17</v>
      </c>
      <c r="AX62">
        <v>1.0292268196680187E-17</v>
      </c>
    </row>
    <row r="63" spans="2:51">
      <c r="B63" s="103" t="s">
        <v>109</v>
      </c>
      <c r="C63">
        <v>2.0133470701437415E-17</v>
      </c>
      <c r="D63">
        <v>2.0133470701437415E-17</v>
      </c>
      <c r="E63">
        <v>2.0133470701437415E-17</v>
      </c>
      <c r="F63">
        <v>2.0133470701437415E-17</v>
      </c>
      <c r="G63">
        <v>2.3653350487957294E-17</v>
      </c>
      <c r="H63">
        <v>2.3653350487957294E-17</v>
      </c>
      <c r="I63">
        <v>2.3653350487957294E-17</v>
      </c>
      <c r="J63">
        <v>2.3653350487957294E-17</v>
      </c>
      <c r="K63">
        <v>2.0975634449059542E-17</v>
      </c>
      <c r="L63">
        <v>2.0975634449059542E-17</v>
      </c>
      <c r="M63">
        <v>2.0975634449059542E-17</v>
      </c>
      <c r="N63">
        <v>2.0975634449059542E-17</v>
      </c>
      <c r="O63">
        <v>2.022756950844357E-17</v>
      </c>
      <c r="P63">
        <v>2.022756950844357E-17</v>
      </c>
      <c r="Q63">
        <v>2.022756950844357E-17</v>
      </c>
      <c r="R63">
        <v>2.022756950844357E-17</v>
      </c>
      <c r="S63">
        <v>2.4732788904040265E-17</v>
      </c>
      <c r="T63">
        <v>2.4732788904040265E-17</v>
      </c>
      <c r="U63">
        <v>2.4732788904040265E-17</v>
      </c>
      <c r="V63">
        <v>2.4732788904040265E-17</v>
      </c>
      <c r="W63">
        <v>2.3942692430770275E-17</v>
      </c>
      <c r="X63">
        <v>2.3942692430770275E-17</v>
      </c>
      <c r="Y63">
        <v>2.3942692430770275E-17</v>
      </c>
      <c r="Z63">
        <v>2.3942692430770275E-17</v>
      </c>
      <c r="AA63">
        <v>2.0669797632088957E-17</v>
      </c>
      <c r="AB63">
        <v>2.0669797632088957E-17</v>
      </c>
      <c r="AC63">
        <v>2.0669797632088957E-17</v>
      </c>
      <c r="AD63">
        <v>2.0669797632088957E-17</v>
      </c>
      <c r="AE63">
        <v>2.0953365411180399E-17</v>
      </c>
      <c r="AF63">
        <v>2.0953365411180399E-17</v>
      </c>
      <c r="AG63">
        <v>2.0953365411180399E-17</v>
      </c>
      <c r="AH63">
        <v>2.0953365411180399E-17</v>
      </c>
      <c r="AI63">
        <v>2.4070073396831365E-17</v>
      </c>
      <c r="AJ63">
        <v>2.4070073396831365E-17</v>
      </c>
      <c r="AK63">
        <v>2.4070073396831365E-17</v>
      </c>
      <c r="AL63">
        <v>2.4070073396831365E-17</v>
      </c>
      <c r="AM63">
        <v>2.4723248279243971E-17</v>
      </c>
      <c r="AN63">
        <v>2.4723248279243971E-17</v>
      </c>
      <c r="AO63">
        <v>2.4723248279243971E-17</v>
      </c>
      <c r="AP63">
        <v>2.4723248279243971E-17</v>
      </c>
      <c r="AQ63">
        <v>2.4226001632570946E-17</v>
      </c>
      <c r="AR63">
        <v>2.4226001632570946E-17</v>
      </c>
      <c r="AS63">
        <v>2.4226001632570946E-17</v>
      </c>
      <c r="AT63">
        <v>2.4226001632570946E-17</v>
      </c>
      <c r="AU63">
        <v>2.0682110110969658E-17</v>
      </c>
      <c r="AV63">
        <v>2.0682110110969658E-17</v>
      </c>
      <c r="AW63">
        <v>2.0682110110969658E-17</v>
      </c>
      <c r="AX63">
        <v>2.0682110110969658E-17</v>
      </c>
    </row>
    <row r="64" spans="2:51">
      <c r="B64" s="100"/>
    </row>
    <row r="65" spans="1:14">
      <c r="B65" s="102" t="s">
        <v>327</v>
      </c>
    </row>
    <row r="66" spans="1:14">
      <c r="B66" s="99" t="s">
        <v>328</v>
      </c>
      <c r="C66" s="99" t="s">
        <v>92</v>
      </c>
      <c r="D66" s="99" t="s">
        <v>93</v>
      </c>
      <c r="E66" s="99" t="s">
        <v>94</v>
      </c>
      <c r="F66" s="99" t="s">
        <v>95</v>
      </c>
      <c r="G66" s="99" t="s">
        <v>96</v>
      </c>
      <c r="H66" s="99" t="s">
        <v>97</v>
      </c>
      <c r="I66" s="99" t="s">
        <v>98</v>
      </c>
      <c r="J66" s="99" t="s">
        <v>99</v>
      </c>
      <c r="K66" s="99" t="s">
        <v>100</v>
      </c>
      <c r="L66" s="99" t="s">
        <v>101</v>
      </c>
      <c r="M66" s="99" t="s">
        <v>102</v>
      </c>
      <c r="N66" s="99" t="s">
        <v>103</v>
      </c>
    </row>
    <row r="67" spans="1:14">
      <c r="B67" s="99" t="s">
        <v>329</v>
      </c>
      <c r="C67">
        <v>755.15997256009086</v>
      </c>
      <c r="D67">
        <v>755.15997256009086</v>
      </c>
      <c r="E67">
        <v>755.15997256009086</v>
      </c>
      <c r="F67">
        <v>755.15997256009086</v>
      </c>
      <c r="G67">
        <v>755.15997256009086</v>
      </c>
      <c r="H67">
        <v>755.15997256009086</v>
      </c>
      <c r="I67">
        <v>755.15997256009086</v>
      </c>
      <c r="J67">
        <v>755.15997256009086</v>
      </c>
      <c r="K67">
        <v>755.15997256009086</v>
      </c>
      <c r="L67">
        <v>755.15997256009086</v>
      </c>
      <c r="M67">
        <v>755.15997256009086</v>
      </c>
      <c r="N67">
        <v>755.15997256009086</v>
      </c>
    </row>
    <row r="68" spans="1:14">
      <c r="B68" s="99" t="s">
        <v>330</v>
      </c>
      <c r="C68">
        <v>1000.0890567715292</v>
      </c>
      <c r="D68">
        <v>1000.0890567715292</v>
      </c>
      <c r="E68">
        <v>1000.0890567715292</v>
      </c>
      <c r="F68">
        <v>1000.0890567715292</v>
      </c>
      <c r="G68">
        <v>1000.0890567715292</v>
      </c>
      <c r="H68">
        <v>1000.0890567715292</v>
      </c>
      <c r="I68">
        <v>1000.0890567715292</v>
      </c>
      <c r="J68">
        <v>1000.0890567715292</v>
      </c>
      <c r="K68">
        <v>1000.0890567715292</v>
      </c>
      <c r="L68">
        <v>1000.0890567715292</v>
      </c>
      <c r="M68">
        <v>1000.0890567715292</v>
      </c>
      <c r="N68">
        <v>1000.0890567715292</v>
      </c>
    </row>
    <row r="70" spans="1:14">
      <c r="B70" s="102" t="s">
        <v>331</v>
      </c>
    </row>
    <row r="71" spans="1:14">
      <c r="A71" s="103" t="s">
        <v>121</v>
      </c>
      <c r="B71" s="103" t="s">
        <v>332</v>
      </c>
      <c r="C71" s="103" t="s">
        <v>22</v>
      </c>
      <c r="D71" s="103" t="s">
        <v>46</v>
      </c>
      <c r="E71" s="103" t="s">
        <v>59</v>
      </c>
    </row>
    <row r="72" spans="1:14">
      <c r="A72" s="103" t="s">
        <v>104</v>
      </c>
      <c r="B72" s="103" t="s">
        <v>92</v>
      </c>
      <c r="C72">
        <v>47773.035434649915</v>
      </c>
      <c r="D72">
        <v>102110.11316500475</v>
      </c>
      <c r="E72">
        <v>169266.03316948022</v>
      </c>
    </row>
    <row r="73" spans="1:14">
      <c r="B73" s="103" t="s">
        <v>93</v>
      </c>
      <c r="C73">
        <v>47773.035434649915</v>
      </c>
      <c r="D73">
        <v>102110.11316500475</v>
      </c>
      <c r="E73">
        <v>169266.03316948022</v>
      </c>
    </row>
    <row r="74" spans="1:14">
      <c r="B74" s="103" t="s">
        <v>94</v>
      </c>
      <c r="C74">
        <v>47773.035434649915</v>
      </c>
      <c r="D74">
        <v>102110.11316500475</v>
      </c>
      <c r="E74">
        <v>169266.03316948022</v>
      </c>
    </row>
    <row r="75" spans="1:14">
      <c r="B75" s="103" t="s">
        <v>95</v>
      </c>
      <c r="C75">
        <v>47773.035434649915</v>
      </c>
      <c r="D75">
        <v>102110.11316500475</v>
      </c>
      <c r="E75">
        <v>169266.03316948022</v>
      </c>
    </row>
    <row r="76" spans="1:14">
      <c r="B76" s="103" t="s">
        <v>96</v>
      </c>
      <c r="C76">
        <v>47773.035434649915</v>
      </c>
      <c r="D76">
        <v>102110.11316500475</v>
      </c>
      <c r="E76">
        <v>169266.03316948022</v>
      </c>
    </row>
    <row r="77" spans="1:14">
      <c r="B77" s="103" t="s">
        <v>97</v>
      </c>
      <c r="C77">
        <v>47773.035434649915</v>
      </c>
      <c r="D77">
        <v>102110.11316500475</v>
      </c>
      <c r="E77">
        <v>169266.03316948022</v>
      </c>
    </row>
    <row r="78" spans="1:14">
      <c r="B78" s="103" t="s">
        <v>98</v>
      </c>
      <c r="C78">
        <v>47773.035434649915</v>
      </c>
      <c r="D78">
        <v>102110.11316500475</v>
      </c>
      <c r="E78">
        <v>169266.03316948022</v>
      </c>
    </row>
    <row r="79" spans="1:14">
      <c r="B79" s="103" t="s">
        <v>99</v>
      </c>
      <c r="C79">
        <v>47773.035434649915</v>
      </c>
      <c r="D79">
        <v>102110.11316500475</v>
      </c>
      <c r="E79">
        <v>169266.03316948022</v>
      </c>
    </row>
    <row r="80" spans="1:14">
      <c r="B80" s="103" t="s">
        <v>100</v>
      </c>
      <c r="C80">
        <v>47773.035434649915</v>
      </c>
      <c r="D80">
        <v>102110.11316500475</v>
      </c>
      <c r="E80">
        <v>169266.03316948022</v>
      </c>
    </row>
    <row r="81" spans="2:50">
      <c r="B81" s="103" t="s">
        <v>101</v>
      </c>
      <c r="C81">
        <v>47773.035434649915</v>
      </c>
      <c r="D81">
        <v>102110.11316500475</v>
      </c>
      <c r="E81">
        <v>169266.03316948022</v>
      </c>
    </row>
    <row r="82" spans="2:50">
      <c r="B82" s="103" t="s">
        <v>102</v>
      </c>
      <c r="C82">
        <v>47773.035434649915</v>
      </c>
      <c r="D82">
        <v>102110.11316500475</v>
      </c>
      <c r="E82">
        <v>169266.03316948022</v>
      </c>
    </row>
    <row r="83" spans="2:50">
      <c r="B83" s="103" t="s">
        <v>103</v>
      </c>
      <c r="C83">
        <v>47773.035434649915</v>
      </c>
      <c r="D83">
        <v>102110.11316500475</v>
      </c>
      <c r="E83">
        <v>169266.03316948022</v>
      </c>
    </row>
    <row r="85" spans="2:50">
      <c r="B85" s="101" t="s">
        <v>333</v>
      </c>
    </row>
    <row r="86" spans="2:50">
      <c r="B86" s="99" t="s">
        <v>274</v>
      </c>
      <c r="C86" s="99" t="s">
        <v>92</v>
      </c>
      <c r="D86" s="100"/>
      <c r="E86" s="100"/>
      <c r="F86" s="100"/>
      <c r="G86" s="99" t="s">
        <v>93</v>
      </c>
      <c r="H86" s="100"/>
      <c r="I86" s="100"/>
      <c r="J86" s="100"/>
      <c r="K86" s="99" t="s">
        <v>94</v>
      </c>
      <c r="L86" s="100"/>
      <c r="M86" s="100"/>
      <c r="N86" s="100"/>
      <c r="O86" s="99" t="s">
        <v>95</v>
      </c>
      <c r="P86" s="100"/>
      <c r="Q86" s="100"/>
      <c r="R86" s="100"/>
      <c r="S86" s="99" t="s">
        <v>96</v>
      </c>
      <c r="T86" s="100"/>
      <c r="U86" s="100"/>
      <c r="V86" s="100"/>
      <c r="W86" s="99" t="s">
        <v>97</v>
      </c>
      <c r="X86" s="100"/>
      <c r="Y86" s="100"/>
      <c r="Z86" s="100"/>
      <c r="AA86" s="99" t="s">
        <v>98</v>
      </c>
      <c r="AB86" s="100"/>
      <c r="AC86" s="100"/>
      <c r="AD86" s="100"/>
      <c r="AE86" s="99" t="s">
        <v>99</v>
      </c>
      <c r="AF86" s="100"/>
      <c r="AG86" s="100"/>
      <c r="AH86" s="100"/>
      <c r="AI86" s="99" t="s">
        <v>100</v>
      </c>
      <c r="AJ86" s="100"/>
      <c r="AK86" s="100"/>
      <c r="AL86" s="100"/>
      <c r="AM86" s="99" t="s">
        <v>101</v>
      </c>
      <c r="AN86" s="100"/>
      <c r="AO86" s="100"/>
      <c r="AP86" s="100"/>
      <c r="AQ86" s="99" t="s">
        <v>102</v>
      </c>
      <c r="AR86" s="100"/>
      <c r="AS86" s="100"/>
      <c r="AT86" s="100"/>
      <c r="AU86" s="99" t="s">
        <v>103</v>
      </c>
      <c r="AV86" s="100"/>
      <c r="AW86" s="100"/>
    </row>
    <row r="87" spans="2:50">
      <c r="B87" s="99" t="s">
        <v>334</v>
      </c>
      <c r="C87" s="99">
        <v>1</v>
      </c>
      <c r="D87" s="99">
        <v>2</v>
      </c>
      <c r="E87" s="99">
        <v>3</v>
      </c>
      <c r="F87" s="99">
        <v>4</v>
      </c>
      <c r="G87" s="99">
        <v>1</v>
      </c>
      <c r="H87" s="99">
        <v>2</v>
      </c>
      <c r="I87" s="99">
        <v>3</v>
      </c>
      <c r="J87" s="99">
        <v>4</v>
      </c>
      <c r="K87" s="99">
        <v>1</v>
      </c>
      <c r="L87" s="99">
        <v>2</v>
      </c>
      <c r="M87" s="99">
        <v>3</v>
      </c>
      <c r="N87" s="99">
        <v>4</v>
      </c>
      <c r="O87" s="99">
        <v>1</v>
      </c>
      <c r="P87" s="99">
        <v>2</v>
      </c>
      <c r="Q87" s="99">
        <v>3</v>
      </c>
      <c r="R87" s="99">
        <v>4</v>
      </c>
      <c r="S87" s="99">
        <v>1</v>
      </c>
      <c r="T87" s="99">
        <v>2</v>
      </c>
      <c r="U87" s="99">
        <v>3</v>
      </c>
      <c r="V87" s="99">
        <v>4</v>
      </c>
      <c r="W87" s="99">
        <v>1</v>
      </c>
      <c r="X87" s="99">
        <v>2</v>
      </c>
      <c r="Y87" s="99">
        <v>3</v>
      </c>
      <c r="Z87" s="99">
        <v>4</v>
      </c>
      <c r="AA87" s="99">
        <v>1</v>
      </c>
      <c r="AB87" s="99">
        <v>2</v>
      </c>
      <c r="AC87" s="99">
        <v>3</v>
      </c>
      <c r="AD87" s="99">
        <v>4</v>
      </c>
      <c r="AE87" s="99">
        <v>1</v>
      </c>
      <c r="AF87" s="99">
        <v>2</v>
      </c>
      <c r="AG87" s="99">
        <v>3</v>
      </c>
      <c r="AH87" s="99">
        <v>4</v>
      </c>
      <c r="AI87" s="99">
        <v>1</v>
      </c>
      <c r="AJ87" s="99">
        <v>2</v>
      </c>
      <c r="AK87" s="99">
        <v>3</v>
      </c>
      <c r="AL87" s="99">
        <v>4</v>
      </c>
      <c r="AM87" s="99">
        <v>1</v>
      </c>
      <c r="AN87" s="99">
        <v>2</v>
      </c>
      <c r="AO87" s="99">
        <v>3</v>
      </c>
      <c r="AP87" s="99">
        <v>4</v>
      </c>
      <c r="AQ87" s="99">
        <v>1</v>
      </c>
      <c r="AR87" s="99">
        <v>2</v>
      </c>
      <c r="AS87" s="99">
        <v>3</v>
      </c>
      <c r="AT87" s="99">
        <v>4</v>
      </c>
      <c r="AU87" s="99">
        <v>1</v>
      </c>
      <c r="AV87" s="99">
        <v>2</v>
      </c>
      <c r="AW87" s="99">
        <v>3</v>
      </c>
      <c r="AX87" s="99">
        <v>4</v>
      </c>
    </row>
    <row r="88" spans="2:50">
      <c r="B88" s="99" t="s">
        <v>104</v>
      </c>
      <c r="C88">
        <f>C48+$C$67/4</f>
        <v>2414.448286412784</v>
      </c>
      <c r="D88">
        <f>D48+$C$67/4</f>
        <v>2414.448286412784</v>
      </c>
      <c r="E88">
        <f>E48+$C$67/4</f>
        <v>2414.448286412784</v>
      </c>
      <c r="F88">
        <f>F48+$C$67/4</f>
        <v>2414.448286412784</v>
      </c>
      <c r="G88">
        <f>G48+$D$67/4</f>
        <v>2414.448286412784</v>
      </c>
      <c r="H88">
        <f>H48+$D$67/4</f>
        <v>2414.448286412784</v>
      </c>
      <c r="I88">
        <f>I48+$D$67/4</f>
        <v>2414.448286412784</v>
      </c>
      <c r="J88">
        <f>J48+$D$67/4</f>
        <v>2414.448286412784</v>
      </c>
      <c r="K88">
        <f>K48+$E$67/4</f>
        <v>2414.448286412784</v>
      </c>
      <c r="L88">
        <f>L48+$E$67/4</f>
        <v>2414.448286412784</v>
      </c>
      <c r="M88">
        <f>M48+$E$67/4</f>
        <v>2414.448286412784</v>
      </c>
      <c r="N88">
        <f>N48+$E$67/4</f>
        <v>2414.448286412784</v>
      </c>
      <c r="O88">
        <f>O48+$F$67/4</f>
        <v>2414.448286412784</v>
      </c>
      <c r="P88">
        <f>P48+$F$67/4</f>
        <v>2414.448286412784</v>
      </c>
      <c r="Q88">
        <f>Q48+$F$67/4</f>
        <v>2414.448286412784</v>
      </c>
      <c r="R88">
        <f>R48+$F$67/4</f>
        <v>2414.448286412784</v>
      </c>
      <c r="S88">
        <f>S48+$G$67/4</f>
        <v>1969.316627758232</v>
      </c>
      <c r="T88">
        <f>T48+$G$67/4</f>
        <v>1969.316627758232</v>
      </c>
      <c r="U88">
        <f>U48+$G$67/4</f>
        <v>1969.316627758232</v>
      </c>
      <c r="V88">
        <f>V48+$G$67/4</f>
        <v>1969.316627758232</v>
      </c>
      <c r="W88">
        <f>W48+$H$67/4</f>
        <v>2414.448286412784</v>
      </c>
      <c r="X88">
        <f>X48+$H$67/4</f>
        <v>2414.448286412784</v>
      </c>
      <c r="Y88">
        <f>Y48+$H$67/4</f>
        <v>2414.448286412784</v>
      </c>
      <c r="Z88">
        <f>Z48+$H$67/4</f>
        <v>2414.448286412784</v>
      </c>
      <c r="AA88">
        <f>AA48+$I$67/4</f>
        <v>2859.5799450673367</v>
      </c>
      <c r="AB88">
        <f>AB48+$I$67/4</f>
        <v>2859.5799450673367</v>
      </c>
      <c r="AC88">
        <f>AC48+$I$67/4</f>
        <v>2859.5799450673367</v>
      </c>
      <c r="AD88">
        <f>AD48+$I$67/4</f>
        <v>2859.5799450673367</v>
      </c>
      <c r="AE88">
        <f>AE48+$J$67/4</f>
        <v>2859.5799450673367</v>
      </c>
      <c r="AF88">
        <f>AF48+$J$67/4</f>
        <v>2859.5799450673367</v>
      </c>
      <c r="AG88">
        <f>AG48+$J$67/4</f>
        <v>2859.5799450673367</v>
      </c>
      <c r="AH88">
        <f>AH48+$J$67/4</f>
        <v>2859.5799450673367</v>
      </c>
      <c r="AI88">
        <f>AI48+$K$67/4</f>
        <v>2414.448286412784</v>
      </c>
      <c r="AJ88">
        <f>AJ48+$K$67/4</f>
        <v>2414.448286412784</v>
      </c>
      <c r="AK88">
        <f>AK48+$K$67/4</f>
        <v>2414.448286412784</v>
      </c>
      <c r="AL88">
        <f>AL48+$K$67/4</f>
        <v>2414.448286412784</v>
      </c>
      <c r="AM88">
        <f>AM48+$L$67/4</f>
        <v>2414.448286412784</v>
      </c>
      <c r="AN88">
        <f>AN48+$L$67/4</f>
        <v>2414.448286412784</v>
      </c>
      <c r="AO88">
        <f>AO48+$L$67/4</f>
        <v>2414.448286412784</v>
      </c>
      <c r="AP88">
        <f>AP48+$L$67/4</f>
        <v>2414.448286412784</v>
      </c>
      <c r="AQ88">
        <f>AQ48+$M$67/4</f>
        <v>1969.316627758232</v>
      </c>
      <c r="AR88">
        <f>AR48+$M$67/4</f>
        <v>1969.316627758232</v>
      </c>
      <c r="AS88">
        <f>AS48+$M$67/4</f>
        <v>1969.316627758232</v>
      </c>
      <c r="AT88">
        <f>AT48+$M$67/4</f>
        <v>1969.316627758232</v>
      </c>
      <c r="AU88">
        <f>AU48+$N$67/4</f>
        <v>2859.5799450673367</v>
      </c>
      <c r="AV88">
        <f>AV48+$N$67/4</f>
        <v>2859.5799450673367</v>
      </c>
      <c r="AW88">
        <f>AW48+$N$67/4</f>
        <v>2859.5799450673367</v>
      </c>
      <c r="AX88">
        <f>AX48+$N$67/4</f>
        <v>2859.5799450673367</v>
      </c>
    </row>
    <row r="89" spans="2:50">
      <c r="B89" s="99" t="s">
        <v>105</v>
      </c>
      <c r="C89">
        <f>C49</f>
        <v>9.2088493382806612E-21</v>
      </c>
      <c r="D89">
        <f t="shared" ref="D89:AX93" si="3">D49</f>
        <v>9.2088493382806612E-21</v>
      </c>
      <c r="E89">
        <f t="shared" si="3"/>
        <v>9.2088493382806612E-21</v>
      </c>
      <c r="F89">
        <f t="shared" si="3"/>
        <v>9.2088493382806612E-21</v>
      </c>
      <c r="G89">
        <f t="shared" si="3"/>
        <v>7.3670794706245292E-21</v>
      </c>
      <c r="H89">
        <f t="shared" si="3"/>
        <v>7.3670794706245292E-21</v>
      </c>
      <c r="I89">
        <f t="shared" si="3"/>
        <v>7.3670794706245292E-21</v>
      </c>
      <c r="J89">
        <f t="shared" si="3"/>
        <v>7.3670794706245292E-21</v>
      </c>
      <c r="K89">
        <f t="shared" si="3"/>
        <v>7.3670794706245292E-21</v>
      </c>
      <c r="L89">
        <f t="shared" si="3"/>
        <v>7.3670794706245292E-21</v>
      </c>
      <c r="M89">
        <f t="shared" si="3"/>
        <v>7.3670794706245292E-21</v>
      </c>
      <c r="N89">
        <f t="shared" si="3"/>
        <v>7.3670794706245292E-21</v>
      </c>
      <c r="O89">
        <f t="shared" si="3"/>
        <v>9.2088493382806612E-21</v>
      </c>
      <c r="P89">
        <f t="shared" si="3"/>
        <v>9.2088493382806612E-21</v>
      </c>
      <c r="Q89">
        <f t="shared" si="3"/>
        <v>9.2088493382806612E-21</v>
      </c>
      <c r="R89">
        <f t="shared" si="3"/>
        <v>9.2088493382806612E-21</v>
      </c>
      <c r="S89">
        <f t="shared" si="3"/>
        <v>9.2088493382806612E-21</v>
      </c>
      <c r="T89">
        <f t="shared" si="3"/>
        <v>9.2088493382806612E-21</v>
      </c>
      <c r="U89">
        <f t="shared" si="3"/>
        <v>9.2088493382806612E-21</v>
      </c>
      <c r="V89">
        <f t="shared" si="3"/>
        <v>9.2088493382806612E-21</v>
      </c>
      <c r="W89">
        <f t="shared" si="3"/>
        <v>9.2088493382806612E-21</v>
      </c>
      <c r="X89">
        <f t="shared" si="3"/>
        <v>9.2088493382806612E-21</v>
      </c>
      <c r="Y89">
        <f t="shared" si="3"/>
        <v>9.2088493382806612E-21</v>
      </c>
      <c r="Z89">
        <f t="shared" si="3"/>
        <v>9.2088493382806612E-21</v>
      </c>
      <c r="AA89">
        <f t="shared" si="3"/>
        <v>9.2088493382806612E-21</v>
      </c>
      <c r="AB89">
        <f t="shared" si="3"/>
        <v>9.2088493382806612E-21</v>
      </c>
      <c r="AC89">
        <f t="shared" si="3"/>
        <v>9.2088493382806612E-21</v>
      </c>
      <c r="AD89">
        <f t="shared" si="3"/>
        <v>9.2088493382806612E-21</v>
      </c>
      <c r="AE89">
        <f t="shared" si="3"/>
        <v>9.2088493382806612E-21</v>
      </c>
      <c r="AF89">
        <f t="shared" si="3"/>
        <v>9.2088493382806612E-21</v>
      </c>
      <c r="AG89">
        <f t="shared" si="3"/>
        <v>9.2088493382806612E-21</v>
      </c>
      <c r="AH89">
        <f t="shared" si="3"/>
        <v>9.2088493382806612E-21</v>
      </c>
      <c r="AI89">
        <f t="shared" si="3"/>
        <v>9.2088493382806612E-21</v>
      </c>
      <c r="AJ89">
        <f t="shared" si="3"/>
        <v>9.2088493382806612E-21</v>
      </c>
      <c r="AK89">
        <f t="shared" si="3"/>
        <v>9.2088493382806612E-21</v>
      </c>
      <c r="AL89">
        <f t="shared" si="3"/>
        <v>9.2088493382806612E-21</v>
      </c>
      <c r="AM89">
        <f t="shared" si="3"/>
        <v>9.2088493382806612E-21</v>
      </c>
      <c r="AN89">
        <f t="shared" si="3"/>
        <v>9.2088493382806612E-21</v>
      </c>
      <c r="AO89">
        <f t="shared" si="3"/>
        <v>9.2088493382806612E-21</v>
      </c>
      <c r="AP89">
        <f t="shared" si="3"/>
        <v>9.2088493382806612E-21</v>
      </c>
      <c r="AQ89">
        <f t="shared" si="3"/>
        <v>1.1050619205936793E-20</v>
      </c>
      <c r="AR89">
        <f t="shared" si="3"/>
        <v>1.1050619205936793E-20</v>
      </c>
      <c r="AS89">
        <f t="shared" si="3"/>
        <v>1.1050619205936793E-20</v>
      </c>
      <c r="AT89">
        <f t="shared" si="3"/>
        <v>1.1050619205936793E-20</v>
      </c>
      <c r="AU89">
        <f t="shared" si="3"/>
        <v>1.1050619205936793E-20</v>
      </c>
      <c r="AV89">
        <f t="shared" si="3"/>
        <v>1.1050619205936793E-20</v>
      </c>
      <c r="AW89">
        <f t="shared" si="3"/>
        <v>1.1050619205936793E-20</v>
      </c>
      <c r="AX89">
        <f t="shared" si="3"/>
        <v>1.1050619205936793E-20</v>
      </c>
    </row>
    <row r="90" spans="2:50">
      <c r="B90" s="99" t="s">
        <v>106</v>
      </c>
      <c r="C90">
        <f t="shared" ref="C90:R93" si="4">C50</f>
        <v>198.53169090873666</v>
      </c>
      <c r="D90">
        <f t="shared" si="4"/>
        <v>198.53169090873666</v>
      </c>
      <c r="E90">
        <f t="shared" si="4"/>
        <v>198.53169090873666</v>
      </c>
      <c r="F90">
        <f t="shared" si="4"/>
        <v>198.53169090873666</v>
      </c>
      <c r="G90">
        <f t="shared" si="4"/>
        <v>198.53169090873666</v>
      </c>
      <c r="H90">
        <f t="shared" si="4"/>
        <v>198.53169090873666</v>
      </c>
      <c r="I90">
        <f t="shared" si="4"/>
        <v>198.53169090873666</v>
      </c>
      <c r="J90">
        <f t="shared" si="4"/>
        <v>198.53169090873666</v>
      </c>
      <c r="K90">
        <f t="shared" si="4"/>
        <v>198.53169090873666</v>
      </c>
      <c r="L90">
        <f t="shared" si="4"/>
        <v>198.53169090873666</v>
      </c>
      <c r="M90">
        <f t="shared" si="4"/>
        <v>198.53169090873666</v>
      </c>
      <c r="N90">
        <f t="shared" si="4"/>
        <v>198.53169090873666</v>
      </c>
      <c r="O90">
        <f t="shared" si="4"/>
        <v>198.53169090873666</v>
      </c>
      <c r="P90">
        <f t="shared" si="4"/>
        <v>198.53169090873666</v>
      </c>
      <c r="Q90">
        <f t="shared" si="4"/>
        <v>198.53169090873666</v>
      </c>
      <c r="R90">
        <f t="shared" si="4"/>
        <v>198.53169090873666</v>
      </c>
      <c r="S90">
        <f t="shared" si="3"/>
        <v>198.53169090873666</v>
      </c>
      <c r="T90">
        <f t="shared" si="3"/>
        <v>198.53169090873666</v>
      </c>
      <c r="U90">
        <f t="shared" si="3"/>
        <v>198.53169090873666</v>
      </c>
      <c r="V90">
        <f t="shared" si="3"/>
        <v>198.53169090873666</v>
      </c>
      <c r="W90">
        <f t="shared" si="3"/>
        <v>198.53169090873666</v>
      </c>
      <c r="X90">
        <f t="shared" si="3"/>
        <v>198.53169090873666</v>
      </c>
      <c r="Y90">
        <f t="shared" si="3"/>
        <v>198.53169090873666</v>
      </c>
      <c r="Z90">
        <f t="shared" si="3"/>
        <v>198.53169090873666</v>
      </c>
      <c r="AA90">
        <f t="shared" si="3"/>
        <v>198.53169090873666</v>
      </c>
      <c r="AB90">
        <f t="shared" si="3"/>
        <v>198.53169090873666</v>
      </c>
      <c r="AC90">
        <f t="shared" si="3"/>
        <v>198.53169090873666</v>
      </c>
      <c r="AD90">
        <f t="shared" si="3"/>
        <v>198.53169090873666</v>
      </c>
      <c r="AE90">
        <f t="shared" si="3"/>
        <v>198.53169090873666</v>
      </c>
      <c r="AF90">
        <f t="shared" si="3"/>
        <v>198.53169090873666</v>
      </c>
      <c r="AG90">
        <f t="shared" si="3"/>
        <v>198.53169090873666</v>
      </c>
      <c r="AH90">
        <f t="shared" si="3"/>
        <v>198.53169090873666</v>
      </c>
      <c r="AI90">
        <f t="shared" si="3"/>
        <v>198.53169090873666</v>
      </c>
      <c r="AJ90">
        <f t="shared" si="3"/>
        <v>198.53169090873666</v>
      </c>
      <c r="AK90">
        <f t="shared" si="3"/>
        <v>198.53169090873666</v>
      </c>
      <c r="AL90">
        <f t="shared" si="3"/>
        <v>198.53169090873666</v>
      </c>
      <c r="AM90">
        <f t="shared" si="3"/>
        <v>198.53169090873666</v>
      </c>
      <c r="AN90">
        <f t="shared" si="3"/>
        <v>198.53169090873666</v>
      </c>
      <c r="AO90">
        <f t="shared" si="3"/>
        <v>198.53169090873666</v>
      </c>
      <c r="AP90">
        <f t="shared" si="3"/>
        <v>198.53169090873666</v>
      </c>
      <c r="AQ90">
        <f t="shared" si="3"/>
        <v>198.53169090873666</v>
      </c>
      <c r="AR90">
        <f t="shared" si="3"/>
        <v>198.53169090873666</v>
      </c>
      <c r="AS90">
        <f t="shared" si="3"/>
        <v>198.53169090873666</v>
      </c>
      <c r="AT90">
        <f t="shared" si="3"/>
        <v>198.53169090873666</v>
      </c>
      <c r="AU90">
        <f t="shared" si="3"/>
        <v>198.53169090873666</v>
      </c>
      <c r="AV90">
        <f t="shared" si="3"/>
        <v>198.53169090873666</v>
      </c>
      <c r="AW90">
        <f t="shared" si="3"/>
        <v>198.53169090873666</v>
      </c>
      <c r="AX90">
        <f t="shared" si="3"/>
        <v>198.53169090873666</v>
      </c>
    </row>
    <row r="91" spans="2:50">
      <c r="B91" s="99" t="s">
        <v>107</v>
      </c>
      <c r="C91">
        <f t="shared" si="4"/>
        <v>814.93203885649552</v>
      </c>
      <c r="D91">
        <f t="shared" si="3"/>
        <v>814.93203885649552</v>
      </c>
      <c r="E91">
        <f t="shared" si="3"/>
        <v>814.93203885649552</v>
      </c>
      <c r="F91">
        <f t="shared" si="3"/>
        <v>814.93203885649552</v>
      </c>
      <c r="G91">
        <f t="shared" si="3"/>
        <v>814.93203885649552</v>
      </c>
      <c r="H91">
        <f t="shared" si="3"/>
        <v>814.93203885649552</v>
      </c>
      <c r="I91">
        <f t="shared" si="3"/>
        <v>814.93203885649552</v>
      </c>
      <c r="J91">
        <f t="shared" si="3"/>
        <v>814.93203885649552</v>
      </c>
      <c r="K91">
        <f t="shared" si="3"/>
        <v>814.93203885649552</v>
      </c>
      <c r="L91">
        <f t="shared" si="3"/>
        <v>814.93203885649552</v>
      </c>
      <c r="M91">
        <f t="shared" si="3"/>
        <v>814.93203885649552</v>
      </c>
      <c r="N91">
        <f t="shared" si="3"/>
        <v>814.93203885649552</v>
      </c>
      <c r="O91">
        <f t="shared" si="3"/>
        <v>814.93203885649552</v>
      </c>
      <c r="P91">
        <f t="shared" si="3"/>
        <v>814.93203885649552</v>
      </c>
      <c r="Q91">
        <f t="shared" si="3"/>
        <v>814.93203885649552</v>
      </c>
      <c r="R91">
        <f t="shared" si="3"/>
        <v>814.93203885649552</v>
      </c>
      <c r="S91">
        <f t="shared" si="3"/>
        <v>814.93203885649552</v>
      </c>
      <c r="T91">
        <f t="shared" si="3"/>
        <v>814.93203885649552</v>
      </c>
      <c r="U91">
        <f t="shared" si="3"/>
        <v>814.93203885649552</v>
      </c>
      <c r="V91">
        <f t="shared" si="3"/>
        <v>814.93203885649552</v>
      </c>
      <c r="W91">
        <f t="shared" si="3"/>
        <v>651.94563108519651</v>
      </c>
      <c r="X91">
        <f t="shared" si="3"/>
        <v>651.94563108519651</v>
      </c>
      <c r="Y91">
        <f t="shared" si="3"/>
        <v>651.94563108519651</v>
      </c>
      <c r="Z91">
        <f t="shared" si="3"/>
        <v>651.94563108519651</v>
      </c>
      <c r="AA91">
        <f t="shared" si="3"/>
        <v>814.93203885649552</v>
      </c>
      <c r="AB91">
        <f t="shared" si="3"/>
        <v>814.93203885649552</v>
      </c>
      <c r="AC91">
        <f t="shared" si="3"/>
        <v>814.93203885649552</v>
      </c>
      <c r="AD91">
        <f t="shared" si="3"/>
        <v>814.93203885649552</v>
      </c>
      <c r="AE91">
        <f t="shared" si="3"/>
        <v>814.93203885649552</v>
      </c>
      <c r="AF91">
        <f t="shared" si="3"/>
        <v>814.93203885649552</v>
      </c>
      <c r="AG91">
        <f t="shared" si="3"/>
        <v>814.93203885649552</v>
      </c>
      <c r="AH91">
        <f t="shared" si="3"/>
        <v>814.93203885649552</v>
      </c>
      <c r="AI91">
        <f t="shared" si="3"/>
        <v>814.93203885649552</v>
      </c>
      <c r="AJ91">
        <f t="shared" si="3"/>
        <v>814.93203885649552</v>
      </c>
      <c r="AK91">
        <f t="shared" si="3"/>
        <v>814.93203885649552</v>
      </c>
      <c r="AL91">
        <f t="shared" si="3"/>
        <v>814.93203885649552</v>
      </c>
      <c r="AM91">
        <f t="shared" si="3"/>
        <v>814.93203885649552</v>
      </c>
      <c r="AN91">
        <f t="shared" si="3"/>
        <v>814.93203885649552</v>
      </c>
      <c r="AO91">
        <f t="shared" si="3"/>
        <v>814.93203885649552</v>
      </c>
      <c r="AP91">
        <f t="shared" si="3"/>
        <v>814.93203885649552</v>
      </c>
      <c r="AQ91">
        <f t="shared" si="3"/>
        <v>814.93203885649552</v>
      </c>
      <c r="AR91">
        <f t="shared" si="3"/>
        <v>814.93203885649552</v>
      </c>
      <c r="AS91">
        <f t="shared" si="3"/>
        <v>814.93203885649552</v>
      </c>
      <c r="AT91">
        <f t="shared" si="3"/>
        <v>814.93203885649552</v>
      </c>
      <c r="AU91">
        <f t="shared" si="3"/>
        <v>814.93203885649552</v>
      </c>
      <c r="AV91">
        <f t="shared" si="3"/>
        <v>328.86482787877742</v>
      </c>
      <c r="AW91">
        <f t="shared" si="3"/>
        <v>814.93203885649552</v>
      </c>
      <c r="AX91">
        <f t="shared" si="3"/>
        <v>814.93203885649552</v>
      </c>
    </row>
    <row r="92" spans="2:50">
      <c r="B92" s="99" t="s">
        <v>108</v>
      </c>
      <c r="C92">
        <f t="shared" si="4"/>
        <v>7.668502110865478E-21</v>
      </c>
      <c r="D92">
        <f t="shared" si="4"/>
        <v>7.668502110865478E-21</v>
      </c>
      <c r="E92">
        <f t="shared" si="4"/>
        <v>7.668502110865478E-21</v>
      </c>
      <c r="F92">
        <f t="shared" si="4"/>
        <v>7.668502110865478E-21</v>
      </c>
      <c r="G92">
        <f t="shared" si="4"/>
        <v>7.668502110865478E-21</v>
      </c>
      <c r="H92">
        <f t="shared" si="4"/>
        <v>7.668502110865478E-21</v>
      </c>
      <c r="I92">
        <f t="shared" si="4"/>
        <v>7.668502110865478E-21</v>
      </c>
      <c r="J92">
        <f t="shared" si="4"/>
        <v>7.668502110865478E-21</v>
      </c>
      <c r="K92">
        <f t="shared" si="4"/>
        <v>7.668502110865478E-21</v>
      </c>
      <c r="L92">
        <f t="shared" si="4"/>
        <v>7.668502110865478E-21</v>
      </c>
      <c r="M92">
        <f t="shared" si="4"/>
        <v>7.668502110865478E-21</v>
      </c>
      <c r="N92">
        <f t="shared" si="4"/>
        <v>7.668502110865478E-21</v>
      </c>
      <c r="O92">
        <f t="shared" si="4"/>
        <v>7.668502110865478E-21</v>
      </c>
      <c r="P92">
        <f t="shared" si="4"/>
        <v>7.668502110865478E-21</v>
      </c>
      <c r="Q92">
        <f t="shared" si="4"/>
        <v>7.668502110865478E-21</v>
      </c>
      <c r="R92">
        <f t="shared" si="4"/>
        <v>7.668502110865478E-21</v>
      </c>
      <c r="S92">
        <f t="shared" si="3"/>
        <v>7.668502110865478E-21</v>
      </c>
      <c r="T92">
        <f t="shared" si="3"/>
        <v>7.668502110865478E-21</v>
      </c>
      <c r="U92">
        <f t="shared" si="3"/>
        <v>7.668502110865478E-21</v>
      </c>
      <c r="V92">
        <f t="shared" si="3"/>
        <v>7.668502110865478E-21</v>
      </c>
      <c r="W92">
        <f t="shared" si="3"/>
        <v>7.668502110865478E-21</v>
      </c>
      <c r="X92">
        <f t="shared" si="3"/>
        <v>7.668502110865478E-21</v>
      </c>
      <c r="Y92">
        <f t="shared" si="3"/>
        <v>7.668502110865478E-21</v>
      </c>
      <c r="Z92">
        <f t="shared" si="3"/>
        <v>7.668502110865478E-21</v>
      </c>
      <c r="AA92">
        <f t="shared" si="3"/>
        <v>7.668502110865478E-21</v>
      </c>
      <c r="AB92">
        <f t="shared" si="3"/>
        <v>7.668502110865478E-21</v>
      </c>
      <c r="AC92">
        <f t="shared" si="3"/>
        <v>7.668502110865478E-21</v>
      </c>
      <c r="AD92">
        <f t="shared" si="3"/>
        <v>7.668502110865478E-21</v>
      </c>
      <c r="AE92">
        <f t="shared" si="3"/>
        <v>7.668502110865478E-21</v>
      </c>
      <c r="AF92">
        <f t="shared" si="3"/>
        <v>7.668502110865478E-21</v>
      </c>
      <c r="AG92">
        <f t="shared" si="3"/>
        <v>7.668502110865478E-21</v>
      </c>
      <c r="AH92">
        <f t="shared" si="3"/>
        <v>7.668502110865478E-21</v>
      </c>
      <c r="AI92">
        <f t="shared" si="3"/>
        <v>7.668502110865478E-21</v>
      </c>
      <c r="AJ92">
        <f t="shared" si="3"/>
        <v>7.668502110865478E-21</v>
      </c>
      <c r="AK92">
        <f t="shared" si="3"/>
        <v>7.668502110865478E-21</v>
      </c>
      <c r="AL92">
        <f t="shared" si="3"/>
        <v>7.668502110865478E-21</v>
      </c>
      <c r="AM92">
        <f t="shared" si="3"/>
        <v>7.668502110865478E-21</v>
      </c>
      <c r="AN92">
        <f t="shared" si="3"/>
        <v>7.668502110865478E-21</v>
      </c>
      <c r="AO92">
        <f t="shared" si="3"/>
        <v>7.668502110865478E-21</v>
      </c>
      <c r="AP92">
        <f t="shared" si="3"/>
        <v>7.668502110865478E-21</v>
      </c>
      <c r="AQ92">
        <f t="shared" si="3"/>
        <v>7.668502110865478E-21</v>
      </c>
      <c r="AR92">
        <f t="shared" si="3"/>
        <v>7.668502110865478E-21</v>
      </c>
      <c r="AS92">
        <f t="shared" si="3"/>
        <v>7.668502110865478E-21</v>
      </c>
      <c r="AT92">
        <f t="shared" si="3"/>
        <v>7.668502110865478E-21</v>
      </c>
      <c r="AU92">
        <f t="shared" si="3"/>
        <v>7.668502110865478E-21</v>
      </c>
      <c r="AV92">
        <f t="shared" si="3"/>
        <v>7.668502110865478E-21</v>
      </c>
      <c r="AW92">
        <f t="shared" si="3"/>
        <v>7.668502110865478E-21</v>
      </c>
      <c r="AX92">
        <f t="shared" si="3"/>
        <v>7.668502110865478E-21</v>
      </c>
    </row>
    <row r="93" spans="2:50">
      <c r="B93" s="99" t="s">
        <v>109</v>
      </c>
      <c r="C93">
        <f t="shared" si="4"/>
        <v>1.3133087467604779E-20</v>
      </c>
      <c r="D93">
        <f t="shared" si="4"/>
        <v>1.3133087467604779E-20</v>
      </c>
      <c r="E93">
        <f t="shared" si="4"/>
        <v>1.3133087467604779E-20</v>
      </c>
      <c r="F93">
        <f t="shared" si="4"/>
        <v>1.3133087467604779E-20</v>
      </c>
      <c r="G93">
        <f t="shared" si="4"/>
        <v>1.6416359334505972E-20</v>
      </c>
      <c r="H93">
        <f t="shared" si="4"/>
        <v>1.6416359334505972E-20</v>
      </c>
      <c r="I93">
        <f t="shared" si="4"/>
        <v>1.6416359334505972E-20</v>
      </c>
      <c r="J93">
        <f t="shared" si="4"/>
        <v>1.6416359334505972E-20</v>
      </c>
      <c r="K93">
        <f t="shared" si="4"/>
        <v>1.3133087467604779E-20</v>
      </c>
      <c r="L93">
        <f t="shared" si="4"/>
        <v>1.3133087467604779E-20</v>
      </c>
      <c r="M93">
        <f t="shared" si="4"/>
        <v>1.3133087467604779E-20</v>
      </c>
      <c r="N93">
        <f t="shared" si="4"/>
        <v>1.3133087467604779E-20</v>
      </c>
      <c r="O93">
        <f t="shared" si="4"/>
        <v>1.3133087467604779E-20</v>
      </c>
      <c r="P93">
        <f t="shared" si="4"/>
        <v>1.3133087467604779E-20</v>
      </c>
      <c r="Q93">
        <f t="shared" si="4"/>
        <v>1.3133087467604779E-20</v>
      </c>
      <c r="R93">
        <f t="shared" si="4"/>
        <v>1.3133087467604779E-20</v>
      </c>
      <c r="S93">
        <f t="shared" si="3"/>
        <v>1.6416359334505972E-20</v>
      </c>
      <c r="T93">
        <f t="shared" si="3"/>
        <v>1.6416359334505972E-20</v>
      </c>
      <c r="U93">
        <f t="shared" si="3"/>
        <v>1.6416359334505972E-20</v>
      </c>
      <c r="V93">
        <f t="shared" si="3"/>
        <v>1.6416359334505972E-20</v>
      </c>
      <c r="W93">
        <f t="shared" si="3"/>
        <v>1.6416359334505972E-20</v>
      </c>
      <c r="X93">
        <f t="shared" si="3"/>
        <v>1.6416359334505972E-20</v>
      </c>
      <c r="Y93">
        <f t="shared" si="3"/>
        <v>1.6416359334505972E-20</v>
      </c>
      <c r="Z93">
        <f t="shared" si="3"/>
        <v>1.6416359334505972E-20</v>
      </c>
      <c r="AA93">
        <f t="shared" si="3"/>
        <v>1.3133087467604779E-20</v>
      </c>
      <c r="AB93">
        <f t="shared" si="3"/>
        <v>1.3133087467604779E-20</v>
      </c>
      <c r="AC93">
        <f t="shared" si="3"/>
        <v>1.3133087467604779E-20</v>
      </c>
      <c r="AD93">
        <f t="shared" si="3"/>
        <v>1.3133087467604779E-20</v>
      </c>
      <c r="AE93">
        <f t="shared" si="3"/>
        <v>1.3133087467604779E-20</v>
      </c>
      <c r="AF93">
        <f t="shared" si="3"/>
        <v>1.3133087467604779E-20</v>
      </c>
      <c r="AG93">
        <f t="shared" si="3"/>
        <v>1.3133087467604779E-20</v>
      </c>
      <c r="AH93">
        <f t="shared" si="3"/>
        <v>1.3133087467604779E-20</v>
      </c>
      <c r="AI93">
        <f t="shared" si="3"/>
        <v>1.6416359334505972E-20</v>
      </c>
      <c r="AJ93">
        <f t="shared" si="3"/>
        <v>1.6416359334505972E-20</v>
      </c>
      <c r="AK93">
        <f t="shared" si="3"/>
        <v>1.6416359334505972E-20</v>
      </c>
      <c r="AL93">
        <f t="shared" si="3"/>
        <v>1.6416359334505972E-20</v>
      </c>
      <c r="AM93">
        <f t="shared" si="3"/>
        <v>1.6416359334505972E-20</v>
      </c>
      <c r="AN93">
        <f t="shared" si="3"/>
        <v>1.6416359334505972E-20</v>
      </c>
      <c r="AO93">
        <f t="shared" si="3"/>
        <v>1.6416359334505972E-20</v>
      </c>
      <c r="AP93">
        <f t="shared" si="3"/>
        <v>1.6416359334505972E-20</v>
      </c>
      <c r="AQ93">
        <f t="shared" si="3"/>
        <v>1.6416359334505972E-20</v>
      </c>
      <c r="AR93">
        <f t="shared" si="3"/>
        <v>1.6416359334505972E-20</v>
      </c>
      <c r="AS93">
        <f t="shared" si="3"/>
        <v>1.6416359334505972E-20</v>
      </c>
      <c r="AT93">
        <f t="shared" si="3"/>
        <v>1.6416359334505972E-20</v>
      </c>
      <c r="AU93">
        <f t="shared" si="3"/>
        <v>1.3133087467604779E-20</v>
      </c>
      <c r="AV93">
        <f t="shared" si="3"/>
        <v>1.3133087467604779E-20</v>
      </c>
      <c r="AW93">
        <f t="shared" si="3"/>
        <v>1.3133087467604779E-20</v>
      </c>
      <c r="AX93">
        <f t="shared" si="3"/>
        <v>1.3133087467604779E-20</v>
      </c>
    </row>
    <row r="94" spans="2:50">
      <c r="B94" s="100"/>
    </row>
    <row r="95" spans="2:50">
      <c r="B95" s="53" t="s">
        <v>335</v>
      </c>
    </row>
    <row r="96" spans="2:50">
      <c r="B96" s="29"/>
      <c r="C96" s="103" t="s">
        <v>92</v>
      </c>
      <c r="D96" s="100"/>
      <c r="E96" s="100"/>
      <c r="F96" s="100"/>
      <c r="G96" s="103" t="s">
        <v>93</v>
      </c>
      <c r="H96" s="100"/>
      <c r="I96" s="100"/>
      <c r="J96" s="100"/>
      <c r="K96" s="103" t="s">
        <v>94</v>
      </c>
      <c r="L96" s="100"/>
      <c r="M96" s="100"/>
      <c r="N96" s="100"/>
      <c r="O96" s="103" t="s">
        <v>95</v>
      </c>
      <c r="P96" s="100"/>
      <c r="Q96" s="100"/>
      <c r="R96" s="100"/>
      <c r="S96" s="103" t="s">
        <v>96</v>
      </c>
      <c r="T96" s="100"/>
      <c r="U96" s="100"/>
      <c r="V96" s="100"/>
      <c r="W96" s="103" t="s">
        <v>97</v>
      </c>
      <c r="X96" s="100"/>
      <c r="Y96" s="100"/>
      <c r="Z96" s="100"/>
      <c r="AA96" s="103" t="s">
        <v>98</v>
      </c>
      <c r="AB96" s="100"/>
      <c r="AC96" s="100"/>
      <c r="AD96" s="100"/>
      <c r="AE96" s="103" t="s">
        <v>99</v>
      </c>
      <c r="AF96" s="100"/>
      <c r="AG96" s="100"/>
      <c r="AH96" s="100"/>
      <c r="AI96" s="103" t="s">
        <v>100</v>
      </c>
      <c r="AJ96" s="100"/>
      <c r="AK96" s="100"/>
      <c r="AL96" s="100"/>
      <c r="AM96" s="103" t="s">
        <v>101</v>
      </c>
      <c r="AN96" s="100"/>
      <c r="AO96" s="100"/>
      <c r="AP96" s="100"/>
      <c r="AQ96" s="103" t="s">
        <v>102</v>
      </c>
      <c r="AR96" s="100"/>
      <c r="AS96" s="100"/>
      <c r="AT96" s="100"/>
      <c r="AU96" s="103" t="s">
        <v>103</v>
      </c>
      <c r="AV96" s="100"/>
      <c r="AW96" s="100"/>
    </row>
    <row r="97" spans="1:50">
      <c r="A97" s="171" t="s">
        <v>121</v>
      </c>
      <c r="B97" s="171" t="s">
        <v>336</v>
      </c>
      <c r="C97" s="103">
        <v>1</v>
      </c>
      <c r="D97" s="103">
        <v>2</v>
      </c>
      <c r="E97" s="103">
        <v>3</v>
      </c>
      <c r="F97" s="103">
        <v>4</v>
      </c>
      <c r="G97" s="103">
        <v>1</v>
      </c>
      <c r="H97" s="103">
        <v>2</v>
      </c>
      <c r="I97" s="103">
        <v>3</v>
      </c>
      <c r="J97" s="103">
        <v>4</v>
      </c>
      <c r="K97" s="103">
        <v>1</v>
      </c>
      <c r="L97" s="103">
        <v>2</v>
      </c>
      <c r="M97" s="103">
        <v>3</v>
      </c>
      <c r="N97" s="103">
        <v>4</v>
      </c>
      <c r="O97" s="103">
        <v>1</v>
      </c>
      <c r="P97" s="103">
        <v>2</v>
      </c>
      <c r="Q97" s="103">
        <v>3</v>
      </c>
      <c r="R97" s="103">
        <v>4</v>
      </c>
      <c r="S97" s="103">
        <v>1</v>
      </c>
      <c r="T97" s="103">
        <v>2</v>
      </c>
      <c r="U97" s="103">
        <v>3</v>
      </c>
      <c r="V97" s="103">
        <v>4</v>
      </c>
      <c r="W97" s="103">
        <v>1</v>
      </c>
      <c r="X97" s="103">
        <v>2</v>
      </c>
      <c r="Y97" s="103">
        <v>3</v>
      </c>
      <c r="Z97" s="103">
        <v>4</v>
      </c>
      <c r="AA97" s="103">
        <v>1</v>
      </c>
      <c r="AB97" s="103">
        <v>2</v>
      </c>
      <c r="AC97" s="103">
        <v>3</v>
      </c>
      <c r="AD97" s="103">
        <v>4</v>
      </c>
      <c r="AE97" s="103">
        <v>1</v>
      </c>
      <c r="AF97" s="103">
        <v>2</v>
      </c>
      <c r="AG97" s="103">
        <v>3</v>
      </c>
      <c r="AH97" s="103">
        <v>4</v>
      </c>
      <c r="AI97" s="103">
        <v>1</v>
      </c>
      <c r="AJ97" s="103">
        <v>2</v>
      </c>
      <c r="AK97" s="103">
        <v>3</v>
      </c>
      <c r="AL97" s="103">
        <v>4</v>
      </c>
      <c r="AM97" s="103">
        <v>1</v>
      </c>
      <c r="AN97" s="103">
        <v>2</v>
      </c>
      <c r="AO97" s="103">
        <v>3</v>
      </c>
      <c r="AP97" s="103">
        <v>4</v>
      </c>
      <c r="AQ97" s="103">
        <v>1</v>
      </c>
      <c r="AR97" s="103">
        <v>2</v>
      </c>
      <c r="AS97" s="103">
        <v>3</v>
      </c>
      <c r="AT97" s="103">
        <v>4</v>
      </c>
      <c r="AU97" s="103">
        <v>1</v>
      </c>
      <c r="AV97" s="103">
        <v>2</v>
      </c>
      <c r="AW97" s="103">
        <v>3</v>
      </c>
      <c r="AX97" s="103">
        <v>4</v>
      </c>
    </row>
    <row r="98" spans="1:50">
      <c r="A98" s="103" t="s">
        <v>104</v>
      </c>
      <c r="B98" s="103" t="s">
        <v>10</v>
      </c>
      <c r="C98">
        <v>1.0231659865494706E-18</v>
      </c>
      <c r="D98">
        <v>1.0231659865494706E-18</v>
      </c>
      <c r="E98">
        <v>1.0231659865494706E-18</v>
      </c>
      <c r="F98">
        <v>1.0231659865494706E-18</v>
      </c>
      <c r="G98">
        <v>1.0231659865494706E-18</v>
      </c>
      <c r="H98">
        <v>1.0231659865494706E-18</v>
      </c>
      <c r="I98">
        <v>1.0231659865494706E-18</v>
      </c>
      <c r="J98">
        <v>1.0231659865494706E-18</v>
      </c>
      <c r="K98">
        <v>1.0231659865494706E-18</v>
      </c>
      <c r="L98">
        <v>1.0231659865494706E-18</v>
      </c>
      <c r="M98">
        <v>1.0231659865494706E-18</v>
      </c>
      <c r="N98">
        <v>1.0231659865494706E-18</v>
      </c>
      <c r="O98">
        <v>1.0231659865494706E-18</v>
      </c>
      <c r="P98">
        <v>1.0231659865494706E-18</v>
      </c>
      <c r="Q98">
        <v>1.0231659865494706E-18</v>
      </c>
      <c r="R98">
        <v>1.0231659865494706E-18</v>
      </c>
      <c r="S98">
        <v>8.3453342182042752E-19</v>
      </c>
      <c r="T98">
        <v>8.3453342182042752E-19</v>
      </c>
      <c r="U98">
        <v>8.3453342182042752E-19</v>
      </c>
      <c r="V98">
        <v>8.3453342182042752E-19</v>
      </c>
      <c r="W98">
        <v>1.0231659865494706E-18</v>
      </c>
      <c r="X98">
        <v>1.0231659865494706E-18</v>
      </c>
      <c r="Y98">
        <v>1.0231659865494706E-18</v>
      </c>
      <c r="Z98">
        <v>1.0231659865494706E-18</v>
      </c>
      <c r="AA98">
        <v>1.2117985512785143E-18</v>
      </c>
      <c r="AB98">
        <v>1.2117985512785143E-18</v>
      </c>
      <c r="AC98">
        <v>1.2117985512785143E-18</v>
      </c>
      <c r="AD98">
        <v>1.2117985512785143E-18</v>
      </c>
      <c r="AE98">
        <v>1.2117985512785143E-18</v>
      </c>
      <c r="AF98">
        <v>1.2117985512785143E-18</v>
      </c>
      <c r="AG98">
        <v>1.2117985512785143E-18</v>
      </c>
      <c r="AH98">
        <v>1.2117985512785143E-18</v>
      </c>
      <c r="AI98">
        <v>1.0231659865494706E-18</v>
      </c>
      <c r="AJ98">
        <v>1.0231659865494706E-18</v>
      </c>
      <c r="AK98">
        <v>1.0231659865494706E-18</v>
      </c>
      <c r="AL98">
        <v>1.0231659865494706E-18</v>
      </c>
      <c r="AM98">
        <v>1.0231659865494706E-18</v>
      </c>
      <c r="AN98">
        <v>1.0231659865494706E-18</v>
      </c>
      <c r="AO98">
        <v>1.0231659865494706E-18</v>
      </c>
      <c r="AP98">
        <v>1.0231659865494706E-18</v>
      </c>
      <c r="AQ98">
        <v>8.3453342182042752E-19</v>
      </c>
      <c r="AR98">
        <v>8.3453342182042752E-19</v>
      </c>
      <c r="AS98">
        <v>8.3453342182042752E-19</v>
      </c>
      <c r="AT98">
        <v>8.3453342182042752E-19</v>
      </c>
      <c r="AU98">
        <v>1.2117985512785143E-18</v>
      </c>
      <c r="AV98">
        <v>1.2117985512785143E-18</v>
      </c>
      <c r="AW98">
        <v>1.2117985512785143E-18</v>
      </c>
      <c r="AX98">
        <v>1.2117985512785143E-18</v>
      </c>
    </row>
    <row r="99" spans="1:50">
      <c r="B99" s="103" t="s">
        <v>12</v>
      </c>
      <c r="C99">
        <v>348516.61902587482</v>
      </c>
      <c r="D99">
        <v>348516.61902587482</v>
      </c>
      <c r="E99">
        <v>348516.61902587482</v>
      </c>
      <c r="F99">
        <v>348516.61902587482</v>
      </c>
      <c r="G99">
        <v>348516.61902587482</v>
      </c>
      <c r="H99">
        <v>348516.61902587482</v>
      </c>
      <c r="I99">
        <v>348516.61902587482</v>
      </c>
      <c r="J99">
        <v>348516.61902587482</v>
      </c>
      <c r="K99">
        <v>348516.61902587482</v>
      </c>
      <c r="L99">
        <v>348516.61902587482</v>
      </c>
      <c r="M99">
        <v>348516.61902587482</v>
      </c>
      <c r="N99">
        <v>348516.61902587482</v>
      </c>
      <c r="O99">
        <v>348516.61902587482</v>
      </c>
      <c r="P99">
        <v>348516.61902587482</v>
      </c>
      <c r="Q99">
        <v>348516.61902587482</v>
      </c>
      <c r="R99">
        <v>348516.61902587482</v>
      </c>
      <c r="S99">
        <v>284263.52171636315</v>
      </c>
      <c r="T99">
        <v>284263.52171636315</v>
      </c>
      <c r="U99">
        <v>284263.52171636315</v>
      </c>
      <c r="V99">
        <v>284263.52171636315</v>
      </c>
      <c r="W99">
        <v>348516.61902587482</v>
      </c>
      <c r="X99">
        <v>348516.61902587482</v>
      </c>
      <c r="Y99">
        <v>348516.61902587482</v>
      </c>
      <c r="Z99">
        <v>348516.61902587482</v>
      </c>
      <c r="AA99">
        <v>412769.7163353865</v>
      </c>
      <c r="AB99">
        <v>412769.7163353865</v>
      </c>
      <c r="AC99">
        <v>412769.7163353865</v>
      </c>
      <c r="AD99">
        <v>412769.7163353865</v>
      </c>
      <c r="AE99">
        <v>412769.7163353865</v>
      </c>
      <c r="AF99">
        <v>412769.7163353865</v>
      </c>
      <c r="AG99">
        <v>412769.7163353865</v>
      </c>
      <c r="AH99">
        <v>412769.7163353865</v>
      </c>
      <c r="AI99">
        <v>348516.61902587482</v>
      </c>
      <c r="AJ99">
        <v>348516.61902587482</v>
      </c>
      <c r="AK99">
        <v>348516.61902587482</v>
      </c>
      <c r="AL99">
        <v>348516.61902587482</v>
      </c>
      <c r="AM99">
        <v>348516.61902587482</v>
      </c>
      <c r="AN99">
        <v>348516.61902587482</v>
      </c>
      <c r="AO99">
        <v>348516.61902587482</v>
      </c>
      <c r="AP99">
        <v>348516.61902587482</v>
      </c>
      <c r="AQ99">
        <v>284263.52171636315</v>
      </c>
      <c r="AR99">
        <v>284263.52171636315</v>
      </c>
      <c r="AS99">
        <v>284263.52171636315</v>
      </c>
      <c r="AT99">
        <v>284263.52171636315</v>
      </c>
      <c r="AU99">
        <v>412769.7163353865</v>
      </c>
      <c r="AV99">
        <v>412769.7163353865</v>
      </c>
      <c r="AW99">
        <v>412769.7163353865</v>
      </c>
      <c r="AX99">
        <v>412769.7163353865</v>
      </c>
    </row>
    <row r="100" spans="1:50">
      <c r="B100" s="103" t="s">
        <v>22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</row>
    <row r="101" spans="1:50">
      <c r="B101" s="103" t="s">
        <v>46</v>
      </c>
      <c r="C101">
        <v>8.7239512403122291E-19</v>
      </c>
      <c r="D101">
        <v>8.7239512403122291E-19</v>
      </c>
      <c r="E101">
        <v>8.7239512403122291E-19</v>
      </c>
      <c r="F101">
        <v>8.7239512403122291E-19</v>
      </c>
      <c r="G101">
        <v>8.7239512403122291E-19</v>
      </c>
      <c r="H101">
        <v>8.7239512403122291E-19</v>
      </c>
      <c r="I101">
        <v>8.7239512403122291E-19</v>
      </c>
      <c r="J101">
        <v>8.7239512403122291E-19</v>
      </c>
      <c r="K101">
        <v>8.7239512403122291E-19</v>
      </c>
      <c r="L101">
        <v>8.7239512403122291E-19</v>
      </c>
      <c r="M101">
        <v>8.7239512403122291E-19</v>
      </c>
      <c r="N101">
        <v>8.7239512403122291E-19</v>
      </c>
      <c r="O101">
        <v>8.7239512403122291E-19</v>
      </c>
      <c r="P101">
        <v>8.7239512403122291E-19</v>
      </c>
      <c r="Q101">
        <v>8.7239512403122291E-19</v>
      </c>
      <c r="R101">
        <v>8.7239512403122291E-19</v>
      </c>
      <c r="S101">
        <v>7.1155892358432256E-19</v>
      </c>
      <c r="T101">
        <v>7.1155892358432256E-19</v>
      </c>
      <c r="U101">
        <v>7.1155892358432256E-19</v>
      </c>
      <c r="V101">
        <v>7.1155892358432256E-19</v>
      </c>
      <c r="W101">
        <v>8.7239512403122291E-19</v>
      </c>
      <c r="X101">
        <v>8.7239512403122291E-19</v>
      </c>
      <c r="Y101">
        <v>8.7239512403122291E-19</v>
      </c>
      <c r="Z101">
        <v>8.7239512403122291E-19</v>
      </c>
      <c r="AA101">
        <v>1.0332313244781235E-18</v>
      </c>
      <c r="AB101">
        <v>1.0332313244781235E-18</v>
      </c>
      <c r="AC101">
        <v>1.0332313244781235E-18</v>
      </c>
      <c r="AD101">
        <v>1.0332313244781235E-18</v>
      </c>
      <c r="AE101">
        <v>1.0332313244781235E-18</v>
      </c>
      <c r="AF101">
        <v>1.0332313244781235E-18</v>
      </c>
      <c r="AG101">
        <v>1.0332313244781235E-18</v>
      </c>
      <c r="AH101">
        <v>1.0332313244781235E-18</v>
      </c>
      <c r="AI101">
        <v>8.7239512403122291E-19</v>
      </c>
      <c r="AJ101">
        <v>8.7239512403122291E-19</v>
      </c>
      <c r="AK101">
        <v>8.7239512403122291E-19</v>
      </c>
      <c r="AL101">
        <v>8.7239512403122291E-19</v>
      </c>
      <c r="AM101">
        <v>8.7239512403122291E-19</v>
      </c>
      <c r="AN101">
        <v>8.7239512403122291E-19</v>
      </c>
      <c r="AO101">
        <v>8.7239512403122291E-19</v>
      </c>
      <c r="AP101">
        <v>8.7239512403122291E-19</v>
      </c>
      <c r="AQ101">
        <v>7.1155892358432256E-19</v>
      </c>
      <c r="AR101">
        <v>7.1155892358432256E-19</v>
      </c>
      <c r="AS101">
        <v>7.1155892358432256E-19</v>
      </c>
      <c r="AT101">
        <v>7.1155892358432256E-19</v>
      </c>
      <c r="AU101">
        <v>1.0332313244781235E-18</v>
      </c>
      <c r="AV101">
        <v>1.0332313244781235E-18</v>
      </c>
      <c r="AW101">
        <v>1.0332313244781235E-18</v>
      </c>
      <c r="AX101">
        <v>1.0332313244781235E-18</v>
      </c>
    </row>
    <row r="102" spans="1:50">
      <c r="B102" s="103" t="s">
        <v>59</v>
      </c>
      <c r="C102">
        <v>264023.90550999349</v>
      </c>
      <c r="D102">
        <v>264023.90550999349</v>
      </c>
      <c r="E102">
        <v>264023.90550999349</v>
      </c>
      <c r="F102">
        <v>264023.90550999349</v>
      </c>
      <c r="G102">
        <v>264023.90550999349</v>
      </c>
      <c r="H102">
        <v>264023.90550999349</v>
      </c>
      <c r="I102">
        <v>264023.90550999349</v>
      </c>
      <c r="J102">
        <v>264023.90550999349</v>
      </c>
      <c r="K102">
        <v>264023.90550999349</v>
      </c>
      <c r="L102">
        <v>264023.90550999349</v>
      </c>
      <c r="M102">
        <v>264023.90550999349</v>
      </c>
      <c r="N102">
        <v>264023.90550999349</v>
      </c>
      <c r="O102">
        <v>264023.90550999349</v>
      </c>
      <c r="P102">
        <v>264023.90550999349</v>
      </c>
      <c r="Q102">
        <v>264023.90550999349</v>
      </c>
      <c r="R102">
        <v>264023.90550999349</v>
      </c>
      <c r="S102">
        <v>215348.02388292126</v>
      </c>
      <c r="T102">
        <v>215348.02388292126</v>
      </c>
      <c r="U102">
        <v>215348.02388292126</v>
      </c>
      <c r="V102">
        <v>215348.02388292126</v>
      </c>
      <c r="W102">
        <v>264023.90550999349</v>
      </c>
      <c r="X102">
        <v>264023.90550999349</v>
      </c>
      <c r="Y102">
        <v>264023.90550999349</v>
      </c>
      <c r="Z102">
        <v>264023.90550999349</v>
      </c>
      <c r="AA102">
        <v>312699.78713706584</v>
      </c>
      <c r="AB102">
        <v>312699.78713706584</v>
      </c>
      <c r="AC102">
        <v>312699.78713706584</v>
      </c>
      <c r="AD102">
        <v>312699.78713706584</v>
      </c>
      <c r="AE102">
        <v>312699.78713706584</v>
      </c>
      <c r="AF102">
        <v>312699.78713706584</v>
      </c>
      <c r="AG102">
        <v>312699.78713706584</v>
      </c>
      <c r="AH102">
        <v>312699.78713706584</v>
      </c>
      <c r="AI102">
        <v>264023.90550999349</v>
      </c>
      <c r="AJ102">
        <v>264023.90550999349</v>
      </c>
      <c r="AK102">
        <v>264023.90550999349</v>
      </c>
      <c r="AL102">
        <v>264023.90550999349</v>
      </c>
      <c r="AM102">
        <v>264023.90550999349</v>
      </c>
      <c r="AN102">
        <v>264023.90550999349</v>
      </c>
      <c r="AO102">
        <v>264023.90550999349</v>
      </c>
      <c r="AP102">
        <v>264023.90550999349</v>
      </c>
      <c r="AQ102">
        <v>215348.02388292126</v>
      </c>
      <c r="AR102">
        <v>215348.02388292126</v>
      </c>
      <c r="AS102">
        <v>215348.02388292126</v>
      </c>
      <c r="AT102">
        <v>215348.02388292126</v>
      </c>
      <c r="AU102">
        <v>312699.78713706584</v>
      </c>
      <c r="AV102">
        <v>312699.78713706584</v>
      </c>
      <c r="AW102">
        <v>312699.78713706584</v>
      </c>
      <c r="AX102">
        <v>312699.78713706584</v>
      </c>
    </row>
    <row r="103" spans="1:50">
      <c r="B103" t="s">
        <v>278</v>
      </c>
      <c r="C103" s="103">
        <f>SUM(C$98:C$102)</f>
        <v>612540.52453586832</v>
      </c>
      <c r="D103" s="103">
        <f t="shared" ref="D103:AX103" si="5">SUM(D$98:D$102)</f>
        <v>612540.52453586832</v>
      </c>
      <c r="E103" s="103">
        <f t="shared" si="5"/>
        <v>612540.52453586832</v>
      </c>
      <c r="F103" s="103">
        <f t="shared" si="5"/>
        <v>612540.52453586832</v>
      </c>
      <c r="G103" s="103">
        <f t="shared" si="5"/>
        <v>612540.52453586832</v>
      </c>
      <c r="H103" s="103">
        <f t="shared" si="5"/>
        <v>612540.52453586832</v>
      </c>
      <c r="I103" s="103">
        <f t="shared" si="5"/>
        <v>612540.52453586832</v>
      </c>
      <c r="J103" s="103">
        <f t="shared" si="5"/>
        <v>612540.52453586832</v>
      </c>
      <c r="K103" s="103">
        <f t="shared" si="5"/>
        <v>612540.52453586832</v>
      </c>
      <c r="L103" s="103">
        <f t="shared" si="5"/>
        <v>612540.52453586832</v>
      </c>
      <c r="M103" s="103">
        <f t="shared" si="5"/>
        <v>612540.52453586832</v>
      </c>
      <c r="N103" s="103">
        <f t="shared" si="5"/>
        <v>612540.52453586832</v>
      </c>
      <c r="O103" s="103">
        <f t="shared" si="5"/>
        <v>612540.52453586832</v>
      </c>
      <c r="P103" s="103">
        <f t="shared" si="5"/>
        <v>612540.52453586832</v>
      </c>
      <c r="Q103" s="103">
        <f t="shared" si="5"/>
        <v>612540.52453586832</v>
      </c>
      <c r="R103" s="103">
        <f t="shared" si="5"/>
        <v>612540.52453586832</v>
      </c>
      <c r="S103" s="103">
        <f t="shared" si="5"/>
        <v>499611.54559928441</v>
      </c>
      <c r="T103" s="103">
        <f t="shared" si="5"/>
        <v>499611.54559928441</v>
      </c>
      <c r="U103" s="103">
        <f t="shared" si="5"/>
        <v>499611.54559928441</v>
      </c>
      <c r="V103" s="103">
        <f t="shared" si="5"/>
        <v>499611.54559928441</v>
      </c>
      <c r="W103" s="103">
        <f t="shared" si="5"/>
        <v>612540.52453586832</v>
      </c>
      <c r="X103" s="103">
        <f t="shared" si="5"/>
        <v>612540.52453586832</v>
      </c>
      <c r="Y103" s="103">
        <f t="shared" si="5"/>
        <v>612540.52453586832</v>
      </c>
      <c r="Z103" s="103">
        <f t="shared" si="5"/>
        <v>612540.52453586832</v>
      </c>
      <c r="AA103" s="103">
        <f t="shared" si="5"/>
        <v>725469.50347245228</v>
      </c>
      <c r="AB103" s="103">
        <f t="shared" si="5"/>
        <v>725469.50347245228</v>
      </c>
      <c r="AC103" s="103">
        <f t="shared" si="5"/>
        <v>725469.50347245228</v>
      </c>
      <c r="AD103" s="103">
        <f t="shared" si="5"/>
        <v>725469.50347245228</v>
      </c>
      <c r="AE103" s="103">
        <f t="shared" si="5"/>
        <v>725469.50347245228</v>
      </c>
      <c r="AF103" s="103">
        <f t="shared" si="5"/>
        <v>725469.50347245228</v>
      </c>
      <c r="AG103" s="103">
        <f t="shared" si="5"/>
        <v>725469.50347245228</v>
      </c>
      <c r="AH103" s="103">
        <f t="shared" si="5"/>
        <v>725469.50347245228</v>
      </c>
      <c r="AI103" s="103">
        <f t="shared" si="5"/>
        <v>612540.52453586832</v>
      </c>
      <c r="AJ103" s="103">
        <f t="shared" si="5"/>
        <v>612540.52453586832</v>
      </c>
      <c r="AK103" s="103">
        <f t="shared" si="5"/>
        <v>612540.52453586832</v>
      </c>
      <c r="AL103" s="103">
        <f t="shared" si="5"/>
        <v>612540.52453586832</v>
      </c>
      <c r="AM103" s="103">
        <f t="shared" si="5"/>
        <v>612540.52453586832</v>
      </c>
      <c r="AN103" s="103">
        <f t="shared" si="5"/>
        <v>612540.52453586832</v>
      </c>
      <c r="AO103" s="103">
        <f t="shared" si="5"/>
        <v>612540.52453586832</v>
      </c>
      <c r="AP103" s="103">
        <f t="shared" si="5"/>
        <v>612540.52453586832</v>
      </c>
      <c r="AQ103" s="103">
        <f t="shared" si="5"/>
        <v>499611.54559928441</v>
      </c>
      <c r="AR103" s="103">
        <f t="shared" si="5"/>
        <v>499611.54559928441</v>
      </c>
      <c r="AS103" s="103">
        <f t="shared" si="5"/>
        <v>499611.54559928441</v>
      </c>
      <c r="AT103" s="103">
        <f t="shared" si="5"/>
        <v>499611.54559928441</v>
      </c>
      <c r="AU103" s="103">
        <f t="shared" si="5"/>
        <v>725469.50347245228</v>
      </c>
      <c r="AV103" s="103">
        <f t="shared" si="5"/>
        <v>725469.50347245228</v>
      </c>
      <c r="AW103" s="103">
        <f t="shared" si="5"/>
        <v>725469.50347245228</v>
      </c>
      <c r="AX103" s="103">
        <f t="shared" si="5"/>
        <v>725469.50347245228</v>
      </c>
    </row>
    <row r="104" spans="1:50">
      <c r="A104" s="103" t="s">
        <v>105</v>
      </c>
      <c r="B104" s="103" t="s">
        <v>10</v>
      </c>
      <c r="C104">
        <v>2.3636485806061029E-19</v>
      </c>
      <c r="D104">
        <v>2.3636485806061029E-19</v>
      </c>
      <c r="E104">
        <v>2.3636485806061029E-19</v>
      </c>
      <c r="F104">
        <v>2.3636485806061029E-19</v>
      </c>
      <c r="G104">
        <v>1.890918864484882E-19</v>
      </c>
      <c r="H104">
        <v>1.890918864484882E-19</v>
      </c>
      <c r="I104">
        <v>1.890918864484882E-19</v>
      </c>
      <c r="J104">
        <v>1.890918864484882E-19</v>
      </c>
      <c r="K104">
        <v>1.890918864484882E-19</v>
      </c>
      <c r="L104">
        <v>1.890918864484882E-19</v>
      </c>
      <c r="M104">
        <v>1.890918864484882E-19</v>
      </c>
      <c r="N104">
        <v>1.890918864484882E-19</v>
      </c>
      <c r="O104">
        <v>2.3636485806061029E-19</v>
      </c>
      <c r="P104">
        <v>2.3636485806061029E-19</v>
      </c>
      <c r="Q104">
        <v>2.3636485806061029E-19</v>
      </c>
      <c r="R104">
        <v>2.3636485806061029E-19</v>
      </c>
      <c r="S104">
        <v>2.3636485806061029E-19</v>
      </c>
      <c r="T104">
        <v>2.3636485806061029E-19</v>
      </c>
      <c r="U104">
        <v>2.3636485806061029E-19</v>
      </c>
      <c r="V104">
        <v>2.3636485806061029E-19</v>
      </c>
      <c r="W104">
        <v>2.3636485806061029E-19</v>
      </c>
      <c r="X104">
        <v>2.3636485806061029E-19</v>
      </c>
      <c r="Y104">
        <v>2.3636485806061029E-19</v>
      </c>
      <c r="Z104">
        <v>2.3636485806061029E-19</v>
      </c>
      <c r="AA104">
        <v>2.3636485806061029E-19</v>
      </c>
      <c r="AB104">
        <v>2.3636485806061029E-19</v>
      </c>
      <c r="AC104">
        <v>2.3636485806061029E-19</v>
      </c>
      <c r="AD104">
        <v>2.3636485806061029E-19</v>
      </c>
      <c r="AE104">
        <v>2.3636485806061029E-19</v>
      </c>
      <c r="AF104">
        <v>2.3636485806061029E-19</v>
      </c>
      <c r="AG104">
        <v>2.3636485806061029E-19</v>
      </c>
      <c r="AH104">
        <v>2.3636485806061029E-19</v>
      </c>
      <c r="AI104">
        <v>2.3636485806061029E-19</v>
      </c>
      <c r="AJ104">
        <v>2.3636485806061029E-19</v>
      </c>
      <c r="AK104">
        <v>2.3636485806061029E-19</v>
      </c>
      <c r="AL104">
        <v>2.3636485806061029E-19</v>
      </c>
      <c r="AM104">
        <v>2.3636485806061029E-19</v>
      </c>
      <c r="AN104">
        <v>2.3636485806061029E-19</v>
      </c>
      <c r="AO104">
        <v>2.3636485806061029E-19</v>
      </c>
      <c r="AP104">
        <v>2.3636485806061029E-19</v>
      </c>
      <c r="AQ104">
        <v>2.8363782967273231E-19</v>
      </c>
      <c r="AR104">
        <v>2.8363782967273231E-19</v>
      </c>
      <c r="AS104">
        <v>2.8363782967273231E-19</v>
      </c>
      <c r="AT104">
        <v>2.8363782967273231E-19</v>
      </c>
      <c r="AU104">
        <v>2.8363782967273231E-19</v>
      </c>
      <c r="AV104">
        <v>2.8363782967273231E-19</v>
      </c>
      <c r="AW104">
        <v>2.8363782967273231E-19</v>
      </c>
      <c r="AX104">
        <v>2.8363782967273231E-19</v>
      </c>
    </row>
    <row r="105" spans="1:50">
      <c r="B105" s="103" t="s">
        <v>12</v>
      </c>
      <c r="C105">
        <v>2.2246909023885606E-18</v>
      </c>
      <c r="D105">
        <v>2.2246909023885606E-18</v>
      </c>
      <c r="E105">
        <v>2.2246909023885606E-18</v>
      </c>
      <c r="F105">
        <v>2.2246909023885606E-18</v>
      </c>
      <c r="G105">
        <v>1.7797527219108486E-18</v>
      </c>
      <c r="H105">
        <v>1.7797527219108486E-18</v>
      </c>
      <c r="I105">
        <v>1.7797527219108486E-18</v>
      </c>
      <c r="J105">
        <v>1.7797527219108486E-18</v>
      </c>
      <c r="K105">
        <v>1.7797527219108486E-18</v>
      </c>
      <c r="L105">
        <v>1.7797527219108486E-18</v>
      </c>
      <c r="M105">
        <v>1.7797527219108486E-18</v>
      </c>
      <c r="N105">
        <v>1.7797527219108486E-18</v>
      </c>
      <c r="O105">
        <v>2.2246909023885606E-18</v>
      </c>
      <c r="P105">
        <v>2.2246909023885606E-18</v>
      </c>
      <c r="Q105">
        <v>2.2246909023885606E-18</v>
      </c>
      <c r="R105">
        <v>2.2246909023885606E-18</v>
      </c>
      <c r="S105">
        <v>2.2246909023885606E-18</v>
      </c>
      <c r="T105">
        <v>2.2246909023885606E-18</v>
      </c>
      <c r="U105">
        <v>2.2246909023885606E-18</v>
      </c>
      <c r="V105">
        <v>2.2246909023885606E-18</v>
      </c>
      <c r="W105">
        <v>2.2246909023885606E-18</v>
      </c>
      <c r="X105">
        <v>2.2246909023885606E-18</v>
      </c>
      <c r="Y105">
        <v>2.2246909023885606E-18</v>
      </c>
      <c r="Z105">
        <v>2.2246909023885606E-18</v>
      </c>
      <c r="AA105">
        <v>2.2246909023885606E-18</v>
      </c>
      <c r="AB105">
        <v>2.2246909023885606E-18</v>
      </c>
      <c r="AC105">
        <v>2.2246909023885606E-18</v>
      </c>
      <c r="AD105">
        <v>2.2246909023885606E-18</v>
      </c>
      <c r="AE105">
        <v>2.2246909023885606E-18</v>
      </c>
      <c r="AF105">
        <v>2.2246909023885606E-18</v>
      </c>
      <c r="AG105">
        <v>2.2246909023885606E-18</v>
      </c>
      <c r="AH105">
        <v>2.2246909023885606E-18</v>
      </c>
      <c r="AI105">
        <v>2.2246909023885606E-18</v>
      </c>
      <c r="AJ105">
        <v>2.2246909023885606E-18</v>
      </c>
      <c r="AK105">
        <v>2.2246909023885606E-18</v>
      </c>
      <c r="AL105">
        <v>2.2246909023885606E-18</v>
      </c>
      <c r="AM105">
        <v>2.2246909023885606E-18</v>
      </c>
      <c r="AN105">
        <v>2.2246909023885606E-18</v>
      </c>
      <c r="AO105">
        <v>2.2246909023885606E-18</v>
      </c>
      <c r="AP105">
        <v>2.2246909023885606E-18</v>
      </c>
      <c r="AQ105">
        <v>2.6696290828662726E-18</v>
      </c>
      <c r="AR105">
        <v>2.6696290828662726E-18</v>
      </c>
      <c r="AS105">
        <v>2.6696290828662726E-18</v>
      </c>
      <c r="AT105">
        <v>2.6696290828662726E-18</v>
      </c>
      <c r="AU105">
        <v>2.6696290828662726E-18</v>
      </c>
      <c r="AV105">
        <v>2.6696290828662726E-18</v>
      </c>
      <c r="AW105">
        <v>2.6696290828662726E-18</v>
      </c>
      <c r="AX105">
        <v>2.6696290828662726E-18</v>
      </c>
    </row>
    <row r="106" spans="1:50">
      <c r="B106" s="103" t="s">
        <v>22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</row>
    <row r="107" spans="1:50">
      <c r="B107" s="103" t="s">
        <v>46</v>
      </c>
      <c r="C107">
        <v>1.1818243910243402E-19</v>
      </c>
      <c r="D107">
        <v>1.1818243910243402E-19</v>
      </c>
      <c r="E107">
        <v>1.1818243910243402E-19</v>
      </c>
      <c r="F107">
        <v>1.1818243910243402E-19</v>
      </c>
      <c r="G107">
        <v>9.4545951281947225E-20</v>
      </c>
      <c r="H107">
        <v>9.4545951281947225E-20</v>
      </c>
      <c r="I107">
        <v>9.4545951281947225E-20</v>
      </c>
      <c r="J107">
        <v>9.4545951281947225E-20</v>
      </c>
      <c r="K107">
        <v>9.4545951281947225E-20</v>
      </c>
      <c r="L107">
        <v>9.4545951281947225E-20</v>
      </c>
      <c r="M107">
        <v>9.4545951281947225E-20</v>
      </c>
      <c r="N107">
        <v>9.4545951281947225E-20</v>
      </c>
      <c r="O107">
        <v>1.1818243910243402E-19</v>
      </c>
      <c r="P107">
        <v>1.1818243910243402E-19</v>
      </c>
      <c r="Q107">
        <v>1.1818243910243402E-19</v>
      </c>
      <c r="R107">
        <v>1.1818243910243402E-19</v>
      </c>
      <c r="S107">
        <v>1.1818243910243402E-19</v>
      </c>
      <c r="T107">
        <v>1.1818243910243402E-19</v>
      </c>
      <c r="U107">
        <v>1.1818243910243402E-19</v>
      </c>
      <c r="V107">
        <v>1.1818243910243402E-19</v>
      </c>
      <c r="W107">
        <v>1.1818243910243402E-19</v>
      </c>
      <c r="X107">
        <v>1.1818243910243402E-19</v>
      </c>
      <c r="Y107">
        <v>1.1818243910243402E-19</v>
      </c>
      <c r="Z107">
        <v>1.1818243910243402E-19</v>
      </c>
      <c r="AA107">
        <v>1.1818243910243402E-19</v>
      </c>
      <c r="AB107">
        <v>1.1818243910243402E-19</v>
      </c>
      <c r="AC107">
        <v>1.1818243910243402E-19</v>
      </c>
      <c r="AD107">
        <v>1.1818243910243402E-19</v>
      </c>
      <c r="AE107">
        <v>1.1818243910243402E-19</v>
      </c>
      <c r="AF107">
        <v>1.1818243910243402E-19</v>
      </c>
      <c r="AG107">
        <v>1.1818243910243402E-19</v>
      </c>
      <c r="AH107">
        <v>1.1818243910243402E-19</v>
      </c>
      <c r="AI107">
        <v>1.1818243910243402E-19</v>
      </c>
      <c r="AJ107">
        <v>1.1818243910243402E-19</v>
      </c>
      <c r="AK107">
        <v>1.1818243910243402E-19</v>
      </c>
      <c r="AL107">
        <v>1.1818243910243402E-19</v>
      </c>
      <c r="AM107">
        <v>1.1818243910243402E-19</v>
      </c>
      <c r="AN107">
        <v>1.1818243910243402E-19</v>
      </c>
      <c r="AO107">
        <v>1.1818243910243402E-19</v>
      </c>
      <c r="AP107">
        <v>1.1818243910243402E-19</v>
      </c>
      <c r="AQ107">
        <v>1.4181892692292083E-19</v>
      </c>
      <c r="AR107">
        <v>1.4181892692292083E-19</v>
      </c>
      <c r="AS107">
        <v>1.4181892692292083E-19</v>
      </c>
      <c r="AT107">
        <v>1.4181892692292083E-19</v>
      </c>
      <c r="AU107">
        <v>1.4181892692292083E-19</v>
      </c>
      <c r="AV107">
        <v>1.4181892692292083E-19</v>
      </c>
      <c r="AW107">
        <v>1.4181892692292083E-19</v>
      </c>
      <c r="AX107">
        <v>1.4181892692292083E-19</v>
      </c>
    </row>
    <row r="108" spans="1:50">
      <c r="B108" s="103" t="s">
        <v>59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</row>
    <row r="109" spans="1:50">
      <c r="B109" s="100" t="s">
        <v>278</v>
      </c>
      <c r="C109" s="103">
        <f>SUM(C$104:C$108)</f>
        <v>2.5792381995516051E-18</v>
      </c>
      <c r="D109" s="103">
        <f t="shared" ref="D109:AX109" si="6">SUM(D$104:D$108)</f>
        <v>2.5792381995516051E-18</v>
      </c>
      <c r="E109" s="103">
        <f t="shared" si="6"/>
        <v>2.5792381995516051E-18</v>
      </c>
      <c r="F109" s="103">
        <f t="shared" si="6"/>
        <v>2.5792381995516051E-18</v>
      </c>
      <c r="G109" s="103">
        <f t="shared" si="6"/>
        <v>2.0633905596412842E-18</v>
      </c>
      <c r="H109" s="103">
        <f t="shared" si="6"/>
        <v>2.0633905596412842E-18</v>
      </c>
      <c r="I109" s="103">
        <f t="shared" si="6"/>
        <v>2.0633905596412842E-18</v>
      </c>
      <c r="J109" s="103">
        <f t="shared" si="6"/>
        <v>2.0633905596412842E-18</v>
      </c>
      <c r="K109" s="103">
        <f t="shared" si="6"/>
        <v>2.0633905596412842E-18</v>
      </c>
      <c r="L109" s="103">
        <f t="shared" si="6"/>
        <v>2.0633905596412842E-18</v>
      </c>
      <c r="M109" s="103">
        <f t="shared" si="6"/>
        <v>2.0633905596412842E-18</v>
      </c>
      <c r="N109" s="103">
        <f t="shared" si="6"/>
        <v>2.0633905596412842E-18</v>
      </c>
      <c r="O109" s="103">
        <f t="shared" si="6"/>
        <v>2.5792381995516051E-18</v>
      </c>
      <c r="P109" s="103">
        <f t="shared" si="6"/>
        <v>2.5792381995516051E-18</v>
      </c>
      <c r="Q109" s="103">
        <f t="shared" si="6"/>
        <v>2.5792381995516051E-18</v>
      </c>
      <c r="R109" s="103">
        <f t="shared" si="6"/>
        <v>2.5792381995516051E-18</v>
      </c>
      <c r="S109" s="103">
        <f t="shared" si="6"/>
        <v>2.5792381995516051E-18</v>
      </c>
      <c r="T109" s="103">
        <f t="shared" si="6"/>
        <v>2.5792381995516051E-18</v>
      </c>
      <c r="U109" s="103">
        <f t="shared" si="6"/>
        <v>2.5792381995516051E-18</v>
      </c>
      <c r="V109" s="103">
        <f t="shared" si="6"/>
        <v>2.5792381995516051E-18</v>
      </c>
      <c r="W109" s="103">
        <f t="shared" si="6"/>
        <v>2.5792381995516051E-18</v>
      </c>
      <c r="X109" s="103">
        <f t="shared" si="6"/>
        <v>2.5792381995516051E-18</v>
      </c>
      <c r="Y109" s="103">
        <f t="shared" si="6"/>
        <v>2.5792381995516051E-18</v>
      </c>
      <c r="Z109" s="103">
        <f t="shared" si="6"/>
        <v>2.5792381995516051E-18</v>
      </c>
      <c r="AA109" s="103">
        <f t="shared" si="6"/>
        <v>2.5792381995516051E-18</v>
      </c>
      <c r="AB109" s="103">
        <f t="shared" si="6"/>
        <v>2.5792381995516051E-18</v>
      </c>
      <c r="AC109" s="103">
        <f t="shared" si="6"/>
        <v>2.5792381995516051E-18</v>
      </c>
      <c r="AD109" s="103">
        <f t="shared" si="6"/>
        <v>2.5792381995516051E-18</v>
      </c>
      <c r="AE109" s="103">
        <f t="shared" si="6"/>
        <v>2.5792381995516051E-18</v>
      </c>
      <c r="AF109" s="103">
        <f t="shared" si="6"/>
        <v>2.5792381995516051E-18</v>
      </c>
      <c r="AG109" s="103">
        <f t="shared" si="6"/>
        <v>2.5792381995516051E-18</v>
      </c>
      <c r="AH109" s="103">
        <f t="shared" si="6"/>
        <v>2.5792381995516051E-18</v>
      </c>
      <c r="AI109" s="103">
        <f t="shared" si="6"/>
        <v>2.5792381995516051E-18</v>
      </c>
      <c r="AJ109" s="103">
        <f t="shared" si="6"/>
        <v>2.5792381995516051E-18</v>
      </c>
      <c r="AK109" s="103">
        <f t="shared" si="6"/>
        <v>2.5792381995516051E-18</v>
      </c>
      <c r="AL109" s="103">
        <f t="shared" si="6"/>
        <v>2.5792381995516051E-18</v>
      </c>
      <c r="AM109" s="103">
        <f t="shared" si="6"/>
        <v>2.5792381995516051E-18</v>
      </c>
      <c r="AN109" s="103">
        <f t="shared" si="6"/>
        <v>2.5792381995516051E-18</v>
      </c>
      <c r="AO109" s="103">
        <f t="shared" si="6"/>
        <v>2.5792381995516051E-18</v>
      </c>
      <c r="AP109" s="103">
        <f t="shared" si="6"/>
        <v>2.5792381995516051E-18</v>
      </c>
      <c r="AQ109" s="103">
        <f t="shared" si="6"/>
        <v>3.0950858394619256E-18</v>
      </c>
      <c r="AR109" s="103">
        <f t="shared" si="6"/>
        <v>3.0950858394619256E-18</v>
      </c>
      <c r="AS109" s="103">
        <f t="shared" si="6"/>
        <v>3.0950858394619256E-18</v>
      </c>
      <c r="AT109" s="103">
        <f t="shared" si="6"/>
        <v>3.0950858394619256E-18</v>
      </c>
      <c r="AU109" s="103">
        <f t="shared" si="6"/>
        <v>3.0950858394619256E-18</v>
      </c>
      <c r="AV109" s="103">
        <f t="shared" si="6"/>
        <v>3.0950858394619256E-18</v>
      </c>
      <c r="AW109" s="103">
        <f t="shared" si="6"/>
        <v>3.0950858394619256E-18</v>
      </c>
      <c r="AX109" s="103">
        <f t="shared" si="6"/>
        <v>3.0950858394619256E-18</v>
      </c>
    </row>
    <row r="110" spans="1:50">
      <c r="A110" s="103" t="s">
        <v>106</v>
      </c>
      <c r="B110" s="103" t="s">
        <v>10</v>
      </c>
      <c r="C110">
        <v>1.4497602363003114E-19</v>
      </c>
      <c r="D110">
        <v>1.4497602363003114E-19</v>
      </c>
      <c r="E110">
        <v>1.4497602363003114E-19</v>
      </c>
      <c r="F110">
        <v>1.4497602363003114E-19</v>
      </c>
      <c r="G110">
        <v>1.4497602363003114E-19</v>
      </c>
      <c r="H110">
        <v>1.4497602363003114E-19</v>
      </c>
      <c r="I110">
        <v>1.4497602363003114E-19</v>
      </c>
      <c r="J110">
        <v>1.4497602363003114E-19</v>
      </c>
      <c r="K110">
        <v>1.4497602363003114E-19</v>
      </c>
      <c r="L110">
        <v>1.4497602363003114E-19</v>
      </c>
      <c r="M110">
        <v>1.4497602363003114E-19</v>
      </c>
      <c r="N110">
        <v>1.4497602363003114E-19</v>
      </c>
      <c r="O110">
        <v>1.4497602363003114E-19</v>
      </c>
      <c r="P110">
        <v>1.4497602363003114E-19</v>
      </c>
      <c r="Q110">
        <v>1.4497602363003114E-19</v>
      </c>
      <c r="R110">
        <v>1.4497602363003114E-19</v>
      </c>
      <c r="S110">
        <v>1.4497602363003114E-19</v>
      </c>
      <c r="T110">
        <v>1.4497602363003114E-19</v>
      </c>
      <c r="U110">
        <v>1.4497602363003114E-19</v>
      </c>
      <c r="V110">
        <v>1.4497602363003114E-19</v>
      </c>
      <c r="W110">
        <v>1.4497602363003114E-19</v>
      </c>
      <c r="X110">
        <v>1.4497602363003114E-19</v>
      </c>
      <c r="Y110">
        <v>1.4497602363003114E-19</v>
      </c>
      <c r="Z110">
        <v>1.4497602363003114E-19</v>
      </c>
      <c r="AA110">
        <v>1.4497602363003114E-19</v>
      </c>
      <c r="AB110">
        <v>1.4497602363003114E-19</v>
      </c>
      <c r="AC110">
        <v>1.4497602363003114E-19</v>
      </c>
      <c r="AD110">
        <v>1.4497602363003114E-19</v>
      </c>
      <c r="AE110">
        <v>1.4497602363003114E-19</v>
      </c>
      <c r="AF110">
        <v>1.4497602363003114E-19</v>
      </c>
      <c r="AG110">
        <v>1.4497602363003114E-19</v>
      </c>
      <c r="AH110">
        <v>1.4497602363003114E-19</v>
      </c>
      <c r="AI110">
        <v>1.4497602363003114E-19</v>
      </c>
      <c r="AJ110">
        <v>1.4497602363003114E-19</v>
      </c>
      <c r="AK110">
        <v>1.4497602363003114E-19</v>
      </c>
      <c r="AL110">
        <v>1.4497602363003114E-19</v>
      </c>
      <c r="AM110">
        <v>1.4497602363003114E-19</v>
      </c>
      <c r="AN110">
        <v>1.4497602363003114E-19</v>
      </c>
      <c r="AO110">
        <v>1.4497602363003114E-19</v>
      </c>
      <c r="AP110">
        <v>1.4497602363003114E-19</v>
      </c>
      <c r="AQ110">
        <v>1.4497602363003114E-19</v>
      </c>
      <c r="AR110">
        <v>1.4497602363003114E-19</v>
      </c>
      <c r="AS110">
        <v>1.4497602363003114E-19</v>
      </c>
      <c r="AT110">
        <v>1.4497602363003114E-19</v>
      </c>
      <c r="AU110">
        <v>1.4497602363003114E-19</v>
      </c>
      <c r="AV110">
        <v>1.4497602363003114E-19</v>
      </c>
      <c r="AW110">
        <v>1.4497602363003114E-19</v>
      </c>
      <c r="AX110">
        <v>1.4497602363003114E-19</v>
      </c>
    </row>
    <row r="111" spans="1:50">
      <c r="B111" s="103" t="s">
        <v>12</v>
      </c>
      <c r="C111">
        <v>1.9469366915723747E-18</v>
      </c>
      <c r="D111">
        <v>1.9469366915723747E-18</v>
      </c>
      <c r="E111">
        <v>1.9469366915723747E-18</v>
      </c>
      <c r="F111">
        <v>1.9469366915723747E-18</v>
      </c>
      <c r="G111">
        <v>1.9469366915723747E-18</v>
      </c>
      <c r="H111">
        <v>1.9469366915723747E-18</v>
      </c>
      <c r="I111">
        <v>1.9469366915723747E-18</v>
      </c>
      <c r="J111">
        <v>1.9469366915723747E-18</v>
      </c>
      <c r="K111">
        <v>1.9469366915723747E-18</v>
      </c>
      <c r="L111">
        <v>1.9469366915723747E-18</v>
      </c>
      <c r="M111">
        <v>1.9469366915723747E-18</v>
      </c>
      <c r="N111">
        <v>1.9469366915723747E-18</v>
      </c>
      <c r="O111">
        <v>1.9469366915723747E-18</v>
      </c>
      <c r="P111">
        <v>1.9469366915723747E-18</v>
      </c>
      <c r="Q111">
        <v>1.9469366915723747E-18</v>
      </c>
      <c r="R111">
        <v>1.9469366915723747E-18</v>
      </c>
      <c r="S111">
        <v>1.9469366915723747E-18</v>
      </c>
      <c r="T111">
        <v>1.9469366915723747E-18</v>
      </c>
      <c r="U111">
        <v>1.9469366915723747E-18</v>
      </c>
      <c r="V111">
        <v>1.9469366915723747E-18</v>
      </c>
      <c r="W111">
        <v>1.9469366915723747E-18</v>
      </c>
      <c r="X111">
        <v>1.9469366915723747E-18</v>
      </c>
      <c r="Y111">
        <v>1.9469366915723747E-18</v>
      </c>
      <c r="Z111">
        <v>1.9469366915723747E-18</v>
      </c>
      <c r="AA111">
        <v>1.9469366915723747E-18</v>
      </c>
      <c r="AB111">
        <v>1.9469366915723747E-18</v>
      </c>
      <c r="AC111">
        <v>1.9469366915723747E-18</v>
      </c>
      <c r="AD111">
        <v>1.9469366915723747E-18</v>
      </c>
      <c r="AE111">
        <v>1.9469366915723747E-18</v>
      </c>
      <c r="AF111">
        <v>1.9469366915723747E-18</v>
      </c>
      <c r="AG111">
        <v>1.9469366915723747E-18</v>
      </c>
      <c r="AH111">
        <v>1.9469366915723747E-18</v>
      </c>
      <c r="AI111">
        <v>1.9469366915723747E-18</v>
      </c>
      <c r="AJ111">
        <v>1.9469366915723747E-18</v>
      </c>
      <c r="AK111">
        <v>1.9469366915723747E-18</v>
      </c>
      <c r="AL111">
        <v>1.9469366915723747E-18</v>
      </c>
      <c r="AM111">
        <v>1.9469366915723747E-18</v>
      </c>
      <c r="AN111">
        <v>1.9469366915723747E-18</v>
      </c>
      <c r="AO111">
        <v>1.9469366915723747E-18</v>
      </c>
      <c r="AP111">
        <v>1.9469366915723747E-18</v>
      </c>
      <c r="AQ111">
        <v>1.9469366915723747E-18</v>
      </c>
      <c r="AR111">
        <v>1.9469366915723747E-18</v>
      </c>
      <c r="AS111">
        <v>1.9469366915723747E-18</v>
      </c>
      <c r="AT111">
        <v>1.9469366915723747E-18</v>
      </c>
      <c r="AU111">
        <v>1.9469366915723747E-18</v>
      </c>
      <c r="AV111">
        <v>1.9469366915723747E-18</v>
      </c>
      <c r="AW111">
        <v>1.9469366915723747E-18</v>
      </c>
      <c r="AX111">
        <v>1.9469366915723747E-18</v>
      </c>
    </row>
    <row r="112" spans="1:50">
      <c r="B112" s="103" t="s">
        <v>22</v>
      </c>
      <c r="C112">
        <v>4192.9893119925182</v>
      </c>
      <c r="D112">
        <v>4192.9893119925182</v>
      </c>
      <c r="E112">
        <v>4192.9893119925182</v>
      </c>
      <c r="F112">
        <v>4192.9893119925182</v>
      </c>
      <c r="G112">
        <v>4192.9893119925182</v>
      </c>
      <c r="H112">
        <v>4192.9893119925182</v>
      </c>
      <c r="I112">
        <v>4192.9893119925182</v>
      </c>
      <c r="J112">
        <v>4192.9893119925182</v>
      </c>
      <c r="K112">
        <v>4192.9893119925182</v>
      </c>
      <c r="L112">
        <v>4192.9893119925182</v>
      </c>
      <c r="M112">
        <v>4192.9893119925182</v>
      </c>
      <c r="N112">
        <v>4192.9893119925182</v>
      </c>
      <c r="O112">
        <v>4192.9893119925182</v>
      </c>
      <c r="P112">
        <v>4192.9893119925182</v>
      </c>
      <c r="Q112">
        <v>4192.9893119925182</v>
      </c>
      <c r="R112">
        <v>4192.9893119925182</v>
      </c>
      <c r="S112">
        <v>4192.9893119925182</v>
      </c>
      <c r="T112">
        <v>4192.9893119925182</v>
      </c>
      <c r="U112">
        <v>4192.9893119925182</v>
      </c>
      <c r="V112">
        <v>4192.9893119925182</v>
      </c>
      <c r="W112">
        <v>4192.9893119925182</v>
      </c>
      <c r="X112">
        <v>4192.9893119925182</v>
      </c>
      <c r="Y112">
        <v>4192.9893119925182</v>
      </c>
      <c r="Z112">
        <v>4192.9893119925182</v>
      </c>
      <c r="AA112">
        <v>4192.9893119925182</v>
      </c>
      <c r="AB112">
        <v>4192.9893119925182</v>
      </c>
      <c r="AC112">
        <v>4192.9893119925182</v>
      </c>
      <c r="AD112">
        <v>4192.9893119925182</v>
      </c>
      <c r="AE112">
        <v>4192.9893119925182</v>
      </c>
      <c r="AF112">
        <v>4192.9893119925182</v>
      </c>
      <c r="AG112">
        <v>4192.9893119925182</v>
      </c>
      <c r="AH112">
        <v>4192.9893119925182</v>
      </c>
      <c r="AI112">
        <v>4192.9893119925182</v>
      </c>
      <c r="AJ112">
        <v>4192.9893119925182</v>
      </c>
      <c r="AK112">
        <v>4192.9893119925182</v>
      </c>
      <c r="AL112">
        <v>4192.9893119925182</v>
      </c>
      <c r="AM112">
        <v>4192.9893119925182</v>
      </c>
      <c r="AN112">
        <v>4192.9893119925182</v>
      </c>
      <c r="AO112">
        <v>4192.9893119925182</v>
      </c>
      <c r="AP112">
        <v>4192.9893119925182</v>
      </c>
      <c r="AQ112">
        <v>4192.9893119925182</v>
      </c>
      <c r="AR112">
        <v>4192.9893119925182</v>
      </c>
      <c r="AS112">
        <v>4192.9893119925182</v>
      </c>
      <c r="AT112">
        <v>4192.9893119925182</v>
      </c>
      <c r="AU112">
        <v>4192.9893119925182</v>
      </c>
      <c r="AV112">
        <v>4192.9893119925182</v>
      </c>
      <c r="AW112">
        <v>4192.9893119925182</v>
      </c>
      <c r="AX112">
        <v>4192.9893119925182</v>
      </c>
    </row>
    <row r="113" spans="1:50">
      <c r="B113" s="103" t="s">
        <v>46</v>
      </c>
      <c r="C113">
        <v>4.0202232069640145E-19</v>
      </c>
      <c r="D113">
        <v>4.0202232069640145E-19</v>
      </c>
      <c r="E113">
        <v>4.0202232069640145E-19</v>
      </c>
      <c r="F113">
        <v>4.0202232069640145E-19</v>
      </c>
      <c r="G113">
        <v>4.0202232069640145E-19</v>
      </c>
      <c r="H113">
        <v>4.0202232069640145E-19</v>
      </c>
      <c r="I113">
        <v>4.0202232069640145E-19</v>
      </c>
      <c r="J113">
        <v>4.0202232069640145E-19</v>
      </c>
      <c r="K113">
        <v>4.0202232069640145E-19</v>
      </c>
      <c r="L113">
        <v>4.0202232069640145E-19</v>
      </c>
      <c r="M113">
        <v>4.0202232069640145E-19</v>
      </c>
      <c r="N113">
        <v>4.0202232069640145E-19</v>
      </c>
      <c r="O113">
        <v>4.0202232069640145E-19</v>
      </c>
      <c r="P113">
        <v>4.0202232069640145E-19</v>
      </c>
      <c r="Q113">
        <v>4.0202232069640145E-19</v>
      </c>
      <c r="R113">
        <v>4.0202232069640145E-19</v>
      </c>
      <c r="S113">
        <v>4.0202232069640145E-19</v>
      </c>
      <c r="T113">
        <v>4.0202232069640145E-19</v>
      </c>
      <c r="U113">
        <v>4.0202232069640145E-19</v>
      </c>
      <c r="V113">
        <v>4.0202232069640145E-19</v>
      </c>
      <c r="W113">
        <v>4.0202232069640145E-19</v>
      </c>
      <c r="X113">
        <v>4.0202232069640145E-19</v>
      </c>
      <c r="Y113">
        <v>4.0202232069640145E-19</v>
      </c>
      <c r="Z113">
        <v>4.0202232069640145E-19</v>
      </c>
      <c r="AA113">
        <v>4.0202232069640145E-19</v>
      </c>
      <c r="AB113">
        <v>4.0202232069640145E-19</v>
      </c>
      <c r="AC113">
        <v>4.0202232069640145E-19</v>
      </c>
      <c r="AD113">
        <v>4.0202232069640145E-19</v>
      </c>
      <c r="AE113">
        <v>4.0202232069640145E-19</v>
      </c>
      <c r="AF113">
        <v>4.0202232069640145E-19</v>
      </c>
      <c r="AG113">
        <v>4.0202232069640145E-19</v>
      </c>
      <c r="AH113">
        <v>4.0202232069640145E-19</v>
      </c>
      <c r="AI113">
        <v>4.0202232069640145E-19</v>
      </c>
      <c r="AJ113">
        <v>4.0202232069640145E-19</v>
      </c>
      <c r="AK113">
        <v>4.0202232069640145E-19</v>
      </c>
      <c r="AL113">
        <v>4.0202232069640145E-19</v>
      </c>
      <c r="AM113">
        <v>4.0202232069640145E-19</v>
      </c>
      <c r="AN113">
        <v>4.0202232069640145E-19</v>
      </c>
      <c r="AO113">
        <v>4.0202232069640145E-19</v>
      </c>
      <c r="AP113">
        <v>4.0202232069640145E-19</v>
      </c>
      <c r="AQ113">
        <v>4.0202232069640145E-19</v>
      </c>
      <c r="AR113">
        <v>4.0202232069640145E-19</v>
      </c>
      <c r="AS113">
        <v>4.0202232069640145E-19</v>
      </c>
      <c r="AT113">
        <v>4.0202232069640145E-19</v>
      </c>
      <c r="AU113">
        <v>4.0202232069640145E-19</v>
      </c>
      <c r="AV113">
        <v>4.0202232069640145E-19</v>
      </c>
      <c r="AW113">
        <v>4.0202232069640145E-19</v>
      </c>
      <c r="AX113">
        <v>4.0202232069640145E-19</v>
      </c>
    </row>
    <row r="114" spans="1:50">
      <c r="B114" s="103" t="s">
        <v>59</v>
      </c>
      <c r="C114">
        <v>2.2883642695456174E-19</v>
      </c>
      <c r="D114">
        <v>2.2883642695456174E-19</v>
      </c>
      <c r="E114">
        <v>2.2883642695456174E-19</v>
      </c>
      <c r="F114">
        <v>2.2883642695456174E-19</v>
      </c>
      <c r="G114">
        <v>2.2883642695456174E-19</v>
      </c>
      <c r="H114">
        <v>2.2883642695456174E-19</v>
      </c>
      <c r="I114">
        <v>2.2883642695456174E-19</v>
      </c>
      <c r="J114">
        <v>2.2883642695456174E-19</v>
      </c>
      <c r="K114">
        <v>2.2883642695456174E-19</v>
      </c>
      <c r="L114">
        <v>2.2883642695456174E-19</v>
      </c>
      <c r="M114">
        <v>2.2883642695456174E-19</v>
      </c>
      <c r="N114">
        <v>2.2883642695456174E-19</v>
      </c>
      <c r="O114">
        <v>2.2883642695456174E-19</v>
      </c>
      <c r="P114">
        <v>2.2883642695456174E-19</v>
      </c>
      <c r="Q114">
        <v>2.2883642695456174E-19</v>
      </c>
      <c r="R114">
        <v>2.2883642695456174E-19</v>
      </c>
      <c r="S114">
        <v>2.2883642695456174E-19</v>
      </c>
      <c r="T114">
        <v>2.2883642695456174E-19</v>
      </c>
      <c r="U114">
        <v>2.2883642695456174E-19</v>
      </c>
      <c r="V114">
        <v>2.2883642695456174E-19</v>
      </c>
      <c r="W114">
        <v>2.2883642695456174E-19</v>
      </c>
      <c r="X114">
        <v>2.2883642695456174E-19</v>
      </c>
      <c r="Y114">
        <v>2.2883642695456174E-19</v>
      </c>
      <c r="Z114">
        <v>2.2883642695456174E-19</v>
      </c>
      <c r="AA114">
        <v>2.2883642695456174E-19</v>
      </c>
      <c r="AB114">
        <v>2.2883642695456174E-19</v>
      </c>
      <c r="AC114">
        <v>2.2883642695456174E-19</v>
      </c>
      <c r="AD114">
        <v>2.2883642695456174E-19</v>
      </c>
      <c r="AE114">
        <v>2.2883642695456174E-19</v>
      </c>
      <c r="AF114">
        <v>2.2883642695456174E-19</v>
      </c>
      <c r="AG114">
        <v>2.2883642695456174E-19</v>
      </c>
      <c r="AH114">
        <v>2.2883642695456174E-19</v>
      </c>
      <c r="AI114">
        <v>2.2883642695456174E-19</v>
      </c>
      <c r="AJ114">
        <v>2.2883642695456174E-19</v>
      </c>
      <c r="AK114">
        <v>2.2883642695456174E-19</v>
      </c>
      <c r="AL114">
        <v>2.2883642695456174E-19</v>
      </c>
      <c r="AM114">
        <v>2.2883642695456174E-19</v>
      </c>
      <c r="AN114">
        <v>2.2883642695456174E-19</v>
      </c>
      <c r="AO114">
        <v>2.2883642695456174E-19</v>
      </c>
      <c r="AP114">
        <v>2.2883642695456174E-19</v>
      </c>
      <c r="AQ114">
        <v>2.2883642695456174E-19</v>
      </c>
      <c r="AR114">
        <v>2.2883642695456174E-19</v>
      </c>
      <c r="AS114">
        <v>2.2883642695456174E-19</v>
      </c>
      <c r="AT114">
        <v>2.2883642695456174E-19</v>
      </c>
      <c r="AU114">
        <v>2.2883642695456174E-19</v>
      </c>
      <c r="AV114">
        <v>2.2883642695456174E-19</v>
      </c>
      <c r="AW114">
        <v>2.2883642695456174E-19</v>
      </c>
      <c r="AX114">
        <v>2.2883642695456174E-19</v>
      </c>
    </row>
    <row r="115" spans="1:50">
      <c r="B115" t="s">
        <v>278</v>
      </c>
      <c r="C115" s="103">
        <f>SUM(C$110:C$114)</f>
        <v>4192.9893119925182</v>
      </c>
      <c r="D115" s="103">
        <f t="shared" ref="D115:AX115" si="7">SUM(D$110:D$114)</f>
        <v>4192.9893119925182</v>
      </c>
      <c r="E115" s="103">
        <f t="shared" si="7"/>
        <v>4192.9893119925182</v>
      </c>
      <c r="F115" s="103">
        <f t="shared" si="7"/>
        <v>4192.9893119925182</v>
      </c>
      <c r="G115" s="103">
        <f t="shared" si="7"/>
        <v>4192.9893119925182</v>
      </c>
      <c r="H115" s="103">
        <f t="shared" si="7"/>
        <v>4192.9893119925182</v>
      </c>
      <c r="I115" s="103">
        <f t="shared" si="7"/>
        <v>4192.9893119925182</v>
      </c>
      <c r="J115" s="103">
        <f t="shared" si="7"/>
        <v>4192.9893119925182</v>
      </c>
      <c r="K115" s="103">
        <f t="shared" si="7"/>
        <v>4192.9893119925182</v>
      </c>
      <c r="L115" s="103">
        <f t="shared" si="7"/>
        <v>4192.9893119925182</v>
      </c>
      <c r="M115" s="103">
        <f t="shared" si="7"/>
        <v>4192.9893119925182</v>
      </c>
      <c r="N115" s="103">
        <f t="shared" si="7"/>
        <v>4192.9893119925182</v>
      </c>
      <c r="O115" s="103">
        <f t="shared" si="7"/>
        <v>4192.9893119925182</v>
      </c>
      <c r="P115" s="103">
        <f t="shared" si="7"/>
        <v>4192.9893119925182</v>
      </c>
      <c r="Q115" s="103">
        <f t="shared" si="7"/>
        <v>4192.9893119925182</v>
      </c>
      <c r="R115" s="103">
        <f t="shared" si="7"/>
        <v>4192.9893119925182</v>
      </c>
      <c r="S115" s="103">
        <f t="shared" si="7"/>
        <v>4192.9893119925182</v>
      </c>
      <c r="T115" s="103">
        <f t="shared" si="7"/>
        <v>4192.9893119925182</v>
      </c>
      <c r="U115" s="103">
        <f t="shared" si="7"/>
        <v>4192.9893119925182</v>
      </c>
      <c r="V115" s="103">
        <f t="shared" si="7"/>
        <v>4192.9893119925182</v>
      </c>
      <c r="W115" s="103">
        <f t="shared" si="7"/>
        <v>4192.9893119925182</v>
      </c>
      <c r="X115" s="103">
        <f t="shared" si="7"/>
        <v>4192.9893119925182</v>
      </c>
      <c r="Y115" s="103">
        <f t="shared" si="7"/>
        <v>4192.9893119925182</v>
      </c>
      <c r="Z115" s="103">
        <f t="shared" si="7"/>
        <v>4192.9893119925182</v>
      </c>
      <c r="AA115" s="103">
        <f t="shared" si="7"/>
        <v>4192.9893119925182</v>
      </c>
      <c r="AB115" s="103">
        <f t="shared" si="7"/>
        <v>4192.9893119925182</v>
      </c>
      <c r="AC115" s="103">
        <f t="shared" si="7"/>
        <v>4192.9893119925182</v>
      </c>
      <c r="AD115" s="103">
        <f t="shared" si="7"/>
        <v>4192.9893119925182</v>
      </c>
      <c r="AE115" s="103">
        <f t="shared" si="7"/>
        <v>4192.9893119925182</v>
      </c>
      <c r="AF115" s="103">
        <f t="shared" si="7"/>
        <v>4192.9893119925182</v>
      </c>
      <c r="AG115" s="103">
        <f t="shared" si="7"/>
        <v>4192.9893119925182</v>
      </c>
      <c r="AH115" s="103">
        <f t="shared" si="7"/>
        <v>4192.9893119925182</v>
      </c>
      <c r="AI115" s="103">
        <f t="shared" si="7"/>
        <v>4192.9893119925182</v>
      </c>
      <c r="AJ115" s="103">
        <f t="shared" si="7"/>
        <v>4192.9893119925182</v>
      </c>
      <c r="AK115" s="103">
        <f t="shared" si="7"/>
        <v>4192.9893119925182</v>
      </c>
      <c r="AL115" s="103">
        <f t="shared" si="7"/>
        <v>4192.9893119925182</v>
      </c>
      <c r="AM115" s="103">
        <f t="shared" si="7"/>
        <v>4192.9893119925182</v>
      </c>
      <c r="AN115" s="103">
        <f t="shared" si="7"/>
        <v>4192.9893119925182</v>
      </c>
      <c r="AO115" s="103">
        <f t="shared" si="7"/>
        <v>4192.9893119925182</v>
      </c>
      <c r="AP115" s="103">
        <f t="shared" si="7"/>
        <v>4192.9893119925182</v>
      </c>
      <c r="AQ115" s="103">
        <f t="shared" si="7"/>
        <v>4192.9893119925182</v>
      </c>
      <c r="AR115" s="103">
        <f t="shared" si="7"/>
        <v>4192.9893119925182</v>
      </c>
      <c r="AS115" s="103">
        <f t="shared" si="7"/>
        <v>4192.9893119925182</v>
      </c>
      <c r="AT115" s="103">
        <f t="shared" si="7"/>
        <v>4192.9893119925182</v>
      </c>
      <c r="AU115" s="103">
        <f t="shared" si="7"/>
        <v>4192.9893119925182</v>
      </c>
      <c r="AV115" s="103">
        <f t="shared" si="7"/>
        <v>4192.9893119925182</v>
      </c>
      <c r="AW115" s="103">
        <f t="shared" si="7"/>
        <v>4192.9893119925182</v>
      </c>
      <c r="AX115" s="103">
        <f t="shared" si="7"/>
        <v>4192.9893119925182</v>
      </c>
    </row>
    <row r="116" spans="1:50">
      <c r="A116" s="103" t="s">
        <v>107</v>
      </c>
      <c r="B116" s="103" t="s">
        <v>10</v>
      </c>
      <c r="C116">
        <v>11616</v>
      </c>
      <c r="D116">
        <v>11616</v>
      </c>
      <c r="E116">
        <v>11616</v>
      </c>
      <c r="F116">
        <v>11616</v>
      </c>
      <c r="G116">
        <v>11616</v>
      </c>
      <c r="H116">
        <v>11616</v>
      </c>
      <c r="I116">
        <v>11616</v>
      </c>
      <c r="J116">
        <v>11616</v>
      </c>
      <c r="K116">
        <v>11616</v>
      </c>
      <c r="L116">
        <v>11616</v>
      </c>
      <c r="M116">
        <v>11616</v>
      </c>
      <c r="N116">
        <v>11616</v>
      </c>
      <c r="O116">
        <v>11616</v>
      </c>
      <c r="P116">
        <v>11616</v>
      </c>
      <c r="Q116">
        <v>11616</v>
      </c>
      <c r="R116">
        <v>11616</v>
      </c>
      <c r="S116">
        <v>11616</v>
      </c>
      <c r="T116">
        <v>11616</v>
      </c>
      <c r="U116">
        <v>11616</v>
      </c>
      <c r="V116">
        <v>11616</v>
      </c>
      <c r="W116">
        <v>9292.8000000000011</v>
      </c>
      <c r="X116">
        <v>9292.8000000000011</v>
      </c>
      <c r="Y116">
        <v>9292.8000000000011</v>
      </c>
      <c r="Z116">
        <v>9292.8000000000011</v>
      </c>
      <c r="AA116">
        <v>11616</v>
      </c>
      <c r="AB116">
        <v>11616</v>
      </c>
      <c r="AC116">
        <v>11616</v>
      </c>
      <c r="AD116">
        <v>11616</v>
      </c>
      <c r="AE116">
        <v>11616</v>
      </c>
      <c r="AF116">
        <v>11616</v>
      </c>
      <c r="AG116">
        <v>11616</v>
      </c>
      <c r="AH116">
        <v>11616</v>
      </c>
      <c r="AI116">
        <v>11616</v>
      </c>
      <c r="AJ116">
        <v>11616</v>
      </c>
      <c r="AK116">
        <v>11616</v>
      </c>
      <c r="AL116">
        <v>11616</v>
      </c>
      <c r="AM116">
        <v>11616</v>
      </c>
      <c r="AN116">
        <v>11616</v>
      </c>
      <c r="AO116">
        <v>11616</v>
      </c>
      <c r="AP116">
        <v>11616</v>
      </c>
      <c r="AQ116">
        <v>11616</v>
      </c>
      <c r="AR116">
        <v>11616</v>
      </c>
      <c r="AS116">
        <v>11616</v>
      </c>
      <c r="AT116">
        <v>11616</v>
      </c>
      <c r="AU116">
        <v>11616</v>
      </c>
      <c r="AV116">
        <v>4687.6225973397686</v>
      </c>
      <c r="AW116">
        <v>11616</v>
      </c>
      <c r="AX116">
        <v>11616</v>
      </c>
    </row>
    <row r="117" spans="1:50">
      <c r="B117" s="103" t="s">
        <v>12</v>
      </c>
      <c r="C117">
        <v>3.4041845662162366E-18</v>
      </c>
      <c r="D117">
        <v>3.4041845662162366E-18</v>
      </c>
      <c r="E117">
        <v>3.4041845662162366E-18</v>
      </c>
      <c r="F117">
        <v>3.4041845662162366E-18</v>
      </c>
      <c r="G117">
        <v>3.4041845662162366E-18</v>
      </c>
      <c r="H117">
        <v>3.4041845662162366E-18</v>
      </c>
      <c r="I117">
        <v>3.4041845662162366E-18</v>
      </c>
      <c r="J117">
        <v>3.4041845662162366E-18</v>
      </c>
      <c r="K117">
        <v>3.4041845662162366E-18</v>
      </c>
      <c r="L117">
        <v>3.4041845662162366E-18</v>
      </c>
      <c r="M117">
        <v>3.4041845662162366E-18</v>
      </c>
      <c r="N117">
        <v>3.4041845662162366E-18</v>
      </c>
      <c r="O117">
        <v>3.4041845662162366E-18</v>
      </c>
      <c r="P117">
        <v>3.4041845662162366E-18</v>
      </c>
      <c r="Q117">
        <v>3.4041845662162366E-18</v>
      </c>
      <c r="R117">
        <v>3.4041845662162366E-18</v>
      </c>
      <c r="S117">
        <v>3.4041845662162366E-18</v>
      </c>
      <c r="T117">
        <v>3.4041845662162366E-18</v>
      </c>
      <c r="U117">
        <v>3.4041845662162366E-18</v>
      </c>
      <c r="V117">
        <v>3.4041845662162366E-18</v>
      </c>
      <c r="W117">
        <v>2.7233476529729896E-18</v>
      </c>
      <c r="X117">
        <v>2.7233476529729896E-18</v>
      </c>
      <c r="Y117">
        <v>2.7233476529729896E-18</v>
      </c>
      <c r="Z117">
        <v>2.7233476529729896E-18</v>
      </c>
      <c r="AA117">
        <v>3.4041845662162366E-18</v>
      </c>
      <c r="AB117">
        <v>3.4041845662162366E-18</v>
      </c>
      <c r="AC117">
        <v>3.4041845662162366E-18</v>
      </c>
      <c r="AD117">
        <v>3.4041845662162366E-18</v>
      </c>
      <c r="AE117">
        <v>3.4041845662162366E-18</v>
      </c>
      <c r="AF117">
        <v>3.4041845662162366E-18</v>
      </c>
      <c r="AG117">
        <v>3.4041845662162366E-18</v>
      </c>
      <c r="AH117">
        <v>3.4041845662162366E-18</v>
      </c>
      <c r="AI117">
        <v>3.4041845662162366E-18</v>
      </c>
      <c r="AJ117">
        <v>3.4041845662162366E-18</v>
      </c>
      <c r="AK117">
        <v>3.4041845662162366E-18</v>
      </c>
      <c r="AL117">
        <v>3.4041845662162366E-18</v>
      </c>
      <c r="AM117">
        <v>3.4041845662162366E-18</v>
      </c>
      <c r="AN117">
        <v>3.4041845662162366E-18</v>
      </c>
      <c r="AO117">
        <v>3.4041845662162366E-18</v>
      </c>
      <c r="AP117">
        <v>3.4041845662162366E-18</v>
      </c>
      <c r="AQ117">
        <v>3.4041845662162366E-18</v>
      </c>
      <c r="AR117">
        <v>3.4041845662162366E-18</v>
      </c>
      <c r="AS117">
        <v>3.4041845662162366E-18</v>
      </c>
      <c r="AT117">
        <v>3.4041845662162366E-18</v>
      </c>
      <c r="AU117">
        <v>3.4041845662162366E-18</v>
      </c>
      <c r="AV117">
        <v>1.3737545194654364E-18</v>
      </c>
      <c r="AW117">
        <v>3.4041845662162366E-18</v>
      </c>
      <c r="AX117">
        <v>3.4041845662162366E-18</v>
      </c>
    </row>
    <row r="118" spans="1:50">
      <c r="B118" s="103" t="s">
        <v>22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</row>
    <row r="119" spans="1:50">
      <c r="B119" s="103" t="s">
        <v>46</v>
      </c>
      <c r="C119">
        <v>614.70563112957734</v>
      </c>
      <c r="D119">
        <v>614.70563112957734</v>
      </c>
      <c r="E119">
        <v>614.70563112957734</v>
      </c>
      <c r="F119">
        <v>614.70563112957734</v>
      </c>
      <c r="G119">
        <v>614.70563112957734</v>
      </c>
      <c r="H119">
        <v>614.70563112957734</v>
      </c>
      <c r="I119">
        <v>614.70563112957734</v>
      </c>
      <c r="J119">
        <v>614.70563112957734</v>
      </c>
      <c r="K119">
        <v>614.70563112957734</v>
      </c>
      <c r="L119">
        <v>614.70563112957734</v>
      </c>
      <c r="M119">
        <v>614.70563112957734</v>
      </c>
      <c r="N119">
        <v>614.70563112957734</v>
      </c>
      <c r="O119">
        <v>614.70563112957734</v>
      </c>
      <c r="P119">
        <v>614.70563112957734</v>
      </c>
      <c r="Q119">
        <v>614.70563112957734</v>
      </c>
      <c r="R119">
        <v>614.70563112957734</v>
      </c>
      <c r="S119">
        <v>614.70563112957734</v>
      </c>
      <c r="T119">
        <v>614.70563112957734</v>
      </c>
      <c r="U119">
        <v>614.70563112957734</v>
      </c>
      <c r="V119">
        <v>614.70563112957734</v>
      </c>
      <c r="W119">
        <v>491.76450490366182</v>
      </c>
      <c r="X119">
        <v>491.76450490366182</v>
      </c>
      <c r="Y119">
        <v>491.76450490366182</v>
      </c>
      <c r="Z119">
        <v>491.76450490366182</v>
      </c>
      <c r="AA119">
        <v>614.70563112957734</v>
      </c>
      <c r="AB119">
        <v>614.70563112957734</v>
      </c>
      <c r="AC119">
        <v>614.70563112957734</v>
      </c>
      <c r="AD119">
        <v>614.70563112957734</v>
      </c>
      <c r="AE119">
        <v>614.70563112957734</v>
      </c>
      <c r="AF119">
        <v>614.70563112957734</v>
      </c>
      <c r="AG119">
        <v>614.70563112957734</v>
      </c>
      <c r="AH119">
        <v>614.70563112957734</v>
      </c>
      <c r="AI119">
        <v>614.70563112957734</v>
      </c>
      <c r="AJ119">
        <v>614.70563112957734</v>
      </c>
      <c r="AK119">
        <v>614.70563112957734</v>
      </c>
      <c r="AL119">
        <v>614.70563112957734</v>
      </c>
      <c r="AM119">
        <v>614.70563112957734</v>
      </c>
      <c r="AN119">
        <v>614.70563112957734</v>
      </c>
      <c r="AO119">
        <v>614.70563112957734</v>
      </c>
      <c r="AP119">
        <v>614.70563112957734</v>
      </c>
      <c r="AQ119">
        <v>614.70563112957734</v>
      </c>
      <c r="AR119">
        <v>614.70563112957734</v>
      </c>
      <c r="AS119">
        <v>614.70563112957734</v>
      </c>
      <c r="AT119">
        <v>614.70563112957734</v>
      </c>
      <c r="AU119">
        <v>614.70563112957734</v>
      </c>
      <c r="AV119">
        <v>248.06370585356495</v>
      </c>
      <c r="AW119">
        <v>614.70563112957734</v>
      </c>
      <c r="AX119">
        <v>614.70563112957734</v>
      </c>
    </row>
    <row r="120" spans="1:50">
      <c r="B120" s="103" t="s">
        <v>59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</row>
    <row r="121" spans="1:50">
      <c r="B121" t="s">
        <v>278</v>
      </c>
      <c r="C121" s="103">
        <f>SUM(C$116:C$120)</f>
        <v>12230.705631129578</v>
      </c>
      <c r="D121" s="103">
        <f t="shared" ref="D121:AX121" si="8">SUM(D$116:D$120)</f>
        <v>12230.705631129578</v>
      </c>
      <c r="E121" s="103">
        <f t="shared" si="8"/>
        <v>12230.705631129578</v>
      </c>
      <c r="F121" s="103">
        <f t="shared" si="8"/>
        <v>12230.705631129578</v>
      </c>
      <c r="G121" s="103">
        <f t="shared" si="8"/>
        <v>12230.705631129578</v>
      </c>
      <c r="H121" s="103">
        <f t="shared" si="8"/>
        <v>12230.705631129578</v>
      </c>
      <c r="I121" s="103">
        <f t="shared" si="8"/>
        <v>12230.705631129578</v>
      </c>
      <c r="J121" s="103">
        <f t="shared" si="8"/>
        <v>12230.705631129578</v>
      </c>
      <c r="K121" s="103">
        <f t="shared" si="8"/>
        <v>12230.705631129578</v>
      </c>
      <c r="L121" s="103">
        <f t="shared" si="8"/>
        <v>12230.705631129578</v>
      </c>
      <c r="M121" s="103">
        <f t="shared" si="8"/>
        <v>12230.705631129578</v>
      </c>
      <c r="N121" s="103">
        <f t="shared" si="8"/>
        <v>12230.705631129578</v>
      </c>
      <c r="O121" s="103">
        <f t="shared" si="8"/>
        <v>12230.705631129578</v>
      </c>
      <c r="P121" s="103">
        <f t="shared" si="8"/>
        <v>12230.705631129578</v>
      </c>
      <c r="Q121" s="103">
        <f t="shared" si="8"/>
        <v>12230.705631129578</v>
      </c>
      <c r="R121" s="103">
        <f t="shared" si="8"/>
        <v>12230.705631129578</v>
      </c>
      <c r="S121" s="103">
        <f t="shared" si="8"/>
        <v>12230.705631129578</v>
      </c>
      <c r="T121" s="103">
        <f t="shared" si="8"/>
        <v>12230.705631129578</v>
      </c>
      <c r="U121" s="103">
        <f t="shared" si="8"/>
        <v>12230.705631129578</v>
      </c>
      <c r="V121" s="103">
        <f t="shared" si="8"/>
        <v>12230.705631129578</v>
      </c>
      <c r="W121" s="103">
        <f t="shared" si="8"/>
        <v>9784.564504903663</v>
      </c>
      <c r="X121" s="103">
        <f t="shared" si="8"/>
        <v>9784.564504903663</v>
      </c>
      <c r="Y121" s="103">
        <f t="shared" si="8"/>
        <v>9784.564504903663</v>
      </c>
      <c r="Z121" s="103">
        <f t="shared" si="8"/>
        <v>9784.564504903663</v>
      </c>
      <c r="AA121" s="103">
        <f t="shared" si="8"/>
        <v>12230.705631129578</v>
      </c>
      <c r="AB121" s="103">
        <f t="shared" si="8"/>
        <v>12230.705631129578</v>
      </c>
      <c r="AC121" s="103">
        <f t="shared" si="8"/>
        <v>12230.705631129578</v>
      </c>
      <c r="AD121" s="103">
        <f t="shared" si="8"/>
        <v>12230.705631129578</v>
      </c>
      <c r="AE121" s="103">
        <f t="shared" si="8"/>
        <v>12230.705631129578</v>
      </c>
      <c r="AF121" s="103">
        <f t="shared" si="8"/>
        <v>12230.705631129578</v>
      </c>
      <c r="AG121" s="103">
        <f t="shared" si="8"/>
        <v>12230.705631129578</v>
      </c>
      <c r="AH121" s="103">
        <f t="shared" si="8"/>
        <v>12230.705631129578</v>
      </c>
      <c r="AI121" s="103">
        <f t="shared" si="8"/>
        <v>12230.705631129578</v>
      </c>
      <c r="AJ121" s="103">
        <f t="shared" si="8"/>
        <v>12230.705631129578</v>
      </c>
      <c r="AK121" s="103">
        <f t="shared" si="8"/>
        <v>12230.705631129578</v>
      </c>
      <c r="AL121" s="103">
        <f t="shared" si="8"/>
        <v>12230.705631129578</v>
      </c>
      <c r="AM121" s="103">
        <f t="shared" si="8"/>
        <v>12230.705631129578</v>
      </c>
      <c r="AN121" s="103">
        <f t="shared" si="8"/>
        <v>12230.705631129578</v>
      </c>
      <c r="AO121" s="103">
        <f t="shared" si="8"/>
        <v>12230.705631129578</v>
      </c>
      <c r="AP121" s="103">
        <f t="shared" si="8"/>
        <v>12230.705631129578</v>
      </c>
      <c r="AQ121" s="103">
        <f t="shared" si="8"/>
        <v>12230.705631129578</v>
      </c>
      <c r="AR121" s="103">
        <f t="shared" si="8"/>
        <v>12230.705631129578</v>
      </c>
      <c r="AS121" s="103">
        <f t="shared" si="8"/>
        <v>12230.705631129578</v>
      </c>
      <c r="AT121" s="103">
        <f t="shared" si="8"/>
        <v>12230.705631129578</v>
      </c>
      <c r="AU121" s="103">
        <f t="shared" si="8"/>
        <v>12230.705631129578</v>
      </c>
      <c r="AV121" s="103">
        <f t="shared" si="8"/>
        <v>4935.6863031933335</v>
      </c>
      <c r="AW121" s="103">
        <f t="shared" si="8"/>
        <v>12230.705631129578</v>
      </c>
      <c r="AX121" s="103">
        <f t="shared" si="8"/>
        <v>12230.705631129578</v>
      </c>
    </row>
    <row r="122" spans="1:50">
      <c r="A122" s="103" t="s">
        <v>108</v>
      </c>
      <c r="B122" s="103" t="s">
        <v>10</v>
      </c>
      <c r="C122">
        <v>1.7328110004138141E-18</v>
      </c>
      <c r="D122">
        <v>1.7328110004138141E-18</v>
      </c>
      <c r="E122">
        <v>1.7328110004138141E-18</v>
      </c>
      <c r="F122">
        <v>1.7328110004138141E-18</v>
      </c>
      <c r="G122">
        <v>1.7328110004138141E-18</v>
      </c>
      <c r="H122">
        <v>1.7328110004138141E-18</v>
      </c>
      <c r="I122">
        <v>1.7328110004138141E-18</v>
      </c>
      <c r="J122">
        <v>1.7328110004138141E-18</v>
      </c>
      <c r="K122">
        <v>1.7328110004138141E-18</v>
      </c>
      <c r="L122">
        <v>1.7328110004138141E-18</v>
      </c>
      <c r="M122">
        <v>1.7328110004138141E-18</v>
      </c>
      <c r="N122">
        <v>1.7328110004138141E-18</v>
      </c>
      <c r="O122">
        <v>1.7328110004138141E-18</v>
      </c>
      <c r="P122">
        <v>1.7328110004138141E-18</v>
      </c>
      <c r="Q122">
        <v>1.7328110004138141E-18</v>
      </c>
      <c r="R122">
        <v>1.7328110004138141E-18</v>
      </c>
      <c r="S122">
        <v>1.7328110004138141E-18</v>
      </c>
      <c r="T122">
        <v>1.7328110004138141E-18</v>
      </c>
      <c r="U122">
        <v>1.7328110004138141E-18</v>
      </c>
      <c r="V122">
        <v>1.7328110004138141E-18</v>
      </c>
      <c r="W122">
        <v>1.7328110004138141E-18</v>
      </c>
      <c r="X122">
        <v>1.7328110004138141E-18</v>
      </c>
      <c r="Y122">
        <v>1.7328110004138141E-18</v>
      </c>
      <c r="Z122">
        <v>1.7328110004138141E-18</v>
      </c>
      <c r="AA122">
        <v>1.7328110004138141E-18</v>
      </c>
      <c r="AB122">
        <v>1.7328110004138141E-18</v>
      </c>
      <c r="AC122">
        <v>1.7328110004138141E-18</v>
      </c>
      <c r="AD122">
        <v>1.7328110004138141E-18</v>
      </c>
      <c r="AE122">
        <v>1.7328110004138141E-18</v>
      </c>
      <c r="AF122">
        <v>1.7328110004138141E-18</v>
      </c>
      <c r="AG122">
        <v>1.7328110004138141E-18</v>
      </c>
      <c r="AH122">
        <v>1.7328110004138141E-18</v>
      </c>
      <c r="AI122">
        <v>1.7328110004138141E-18</v>
      </c>
      <c r="AJ122">
        <v>1.7328110004138141E-18</v>
      </c>
      <c r="AK122">
        <v>1.7328110004138141E-18</v>
      </c>
      <c r="AL122">
        <v>1.7328110004138141E-18</v>
      </c>
      <c r="AM122">
        <v>1.7328110004138141E-18</v>
      </c>
      <c r="AN122">
        <v>1.7328110004138141E-18</v>
      </c>
      <c r="AO122">
        <v>1.7328110004138141E-18</v>
      </c>
      <c r="AP122">
        <v>1.7328110004138141E-18</v>
      </c>
      <c r="AQ122">
        <v>1.7328110004138141E-18</v>
      </c>
      <c r="AR122">
        <v>1.7328110004138141E-18</v>
      </c>
      <c r="AS122">
        <v>1.7328110004138141E-18</v>
      </c>
      <c r="AT122">
        <v>1.7328110004138141E-18</v>
      </c>
      <c r="AU122">
        <v>1.7328110004138141E-18</v>
      </c>
      <c r="AV122">
        <v>1.7328110004138141E-18</v>
      </c>
      <c r="AW122">
        <v>1.7328110004138141E-18</v>
      </c>
      <c r="AX122">
        <v>1.7328110004138141E-18</v>
      </c>
    </row>
    <row r="123" spans="1:50">
      <c r="B123" s="103" t="s">
        <v>12</v>
      </c>
      <c r="C123">
        <v>1.1816345134908107E-18</v>
      </c>
      <c r="D123">
        <v>1.1816345134908107E-18</v>
      </c>
      <c r="E123">
        <v>1.1816345134908107E-18</v>
      </c>
      <c r="F123">
        <v>1.1816345134908107E-18</v>
      </c>
      <c r="G123">
        <v>1.1816345134908107E-18</v>
      </c>
      <c r="H123">
        <v>1.1816345134908107E-18</v>
      </c>
      <c r="I123">
        <v>1.1816345134908107E-18</v>
      </c>
      <c r="J123">
        <v>1.1816345134908107E-18</v>
      </c>
      <c r="K123">
        <v>1.1816345134908107E-18</v>
      </c>
      <c r="L123">
        <v>1.1816345134908107E-18</v>
      </c>
      <c r="M123">
        <v>1.1816345134908107E-18</v>
      </c>
      <c r="N123">
        <v>1.1816345134908107E-18</v>
      </c>
      <c r="O123">
        <v>1.1816345134908107E-18</v>
      </c>
      <c r="P123">
        <v>1.1816345134908107E-18</v>
      </c>
      <c r="Q123">
        <v>1.1816345134908107E-18</v>
      </c>
      <c r="R123">
        <v>1.1816345134908107E-18</v>
      </c>
      <c r="S123">
        <v>1.1816345134908107E-18</v>
      </c>
      <c r="T123">
        <v>1.1816345134908107E-18</v>
      </c>
      <c r="U123">
        <v>1.1816345134908107E-18</v>
      </c>
      <c r="V123">
        <v>1.1816345134908107E-18</v>
      </c>
      <c r="W123">
        <v>1.1816345134908107E-18</v>
      </c>
      <c r="X123">
        <v>1.1816345134908107E-18</v>
      </c>
      <c r="Y123">
        <v>1.1816345134908107E-18</v>
      </c>
      <c r="Z123">
        <v>1.1816345134908107E-18</v>
      </c>
      <c r="AA123">
        <v>1.1816345134908107E-18</v>
      </c>
      <c r="AB123">
        <v>1.1816345134908107E-18</v>
      </c>
      <c r="AC123">
        <v>1.1816345134908107E-18</v>
      </c>
      <c r="AD123">
        <v>1.1816345134908107E-18</v>
      </c>
      <c r="AE123">
        <v>1.1816345134908107E-18</v>
      </c>
      <c r="AF123">
        <v>1.1816345134908107E-18</v>
      </c>
      <c r="AG123">
        <v>1.1816345134908107E-18</v>
      </c>
      <c r="AH123">
        <v>1.1816345134908107E-18</v>
      </c>
      <c r="AI123">
        <v>1.1816345134908107E-18</v>
      </c>
      <c r="AJ123">
        <v>1.1816345134908107E-18</v>
      </c>
      <c r="AK123">
        <v>1.1816345134908107E-18</v>
      </c>
      <c r="AL123">
        <v>1.1816345134908107E-18</v>
      </c>
      <c r="AM123">
        <v>1.1816345134908107E-18</v>
      </c>
      <c r="AN123">
        <v>1.1816345134908107E-18</v>
      </c>
      <c r="AO123">
        <v>1.1816345134908107E-18</v>
      </c>
      <c r="AP123">
        <v>1.1816345134908107E-18</v>
      </c>
      <c r="AQ123">
        <v>1.1816345134908107E-18</v>
      </c>
      <c r="AR123">
        <v>1.1816345134908107E-18</v>
      </c>
      <c r="AS123">
        <v>1.1816345134908107E-18</v>
      </c>
      <c r="AT123">
        <v>1.1816345134908107E-18</v>
      </c>
      <c r="AU123">
        <v>1.1816345134908107E-18</v>
      </c>
      <c r="AV123">
        <v>1.1816345134908107E-18</v>
      </c>
      <c r="AW123">
        <v>1.1816345134908107E-18</v>
      </c>
      <c r="AX123">
        <v>1.1816345134908107E-18</v>
      </c>
    </row>
    <row r="124" spans="1:50">
      <c r="B124" s="103" t="s">
        <v>22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</row>
    <row r="125" spans="1:50">
      <c r="B125" s="103" t="s">
        <v>46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</row>
    <row r="126" spans="1:50">
      <c r="B126" s="103" t="s">
        <v>59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</row>
    <row r="127" spans="1:50">
      <c r="B127" t="s">
        <v>278</v>
      </c>
      <c r="C127" s="103">
        <f>SUM(C$122:C$126)</f>
        <v>2.9144455139046247E-18</v>
      </c>
      <c r="D127" s="103">
        <f t="shared" ref="D127:AX127" si="9">SUM(D$122:D$126)</f>
        <v>2.9144455139046247E-18</v>
      </c>
      <c r="E127" s="103">
        <f t="shared" si="9"/>
        <v>2.9144455139046247E-18</v>
      </c>
      <c r="F127" s="103">
        <f t="shared" si="9"/>
        <v>2.9144455139046247E-18</v>
      </c>
      <c r="G127" s="103">
        <f t="shared" si="9"/>
        <v>2.9144455139046247E-18</v>
      </c>
      <c r="H127" s="103">
        <f t="shared" si="9"/>
        <v>2.9144455139046247E-18</v>
      </c>
      <c r="I127" s="103">
        <f t="shared" si="9"/>
        <v>2.9144455139046247E-18</v>
      </c>
      <c r="J127" s="103">
        <f t="shared" si="9"/>
        <v>2.9144455139046247E-18</v>
      </c>
      <c r="K127" s="103">
        <f t="shared" si="9"/>
        <v>2.9144455139046247E-18</v>
      </c>
      <c r="L127" s="103">
        <f t="shared" si="9"/>
        <v>2.9144455139046247E-18</v>
      </c>
      <c r="M127" s="103">
        <f t="shared" si="9"/>
        <v>2.9144455139046247E-18</v>
      </c>
      <c r="N127" s="103">
        <f t="shared" si="9"/>
        <v>2.9144455139046247E-18</v>
      </c>
      <c r="O127" s="103">
        <f t="shared" si="9"/>
        <v>2.9144455139046247E-18</v>
      </c>
      <c r="P127" s="103">
        <f t="shared" si="9"/>
        <v>2.9144455139046247E-18</v>
      </c>
      <c r="Q127" s="103">
        <f t="shared" si="9"/>
        <v>2.9144455139046247E-18</v>
      </c>
      <c r="R127" s="103">
        <f t="shared" si="9"/>
        <v>2.9144455139046247E-18</v>
      </c>
      <c r="S127" s="103">
        <f t="shared" si="9"/>
        <v>2.9144455139046247E-18</v>
      </c>
      <c r="T127" s="103">
        <f t="shared" si="9"/>
        <v>2.9144455139046247E-18</v>
      </c>
      <c r="U127" s="103">
        <f t="shared" si="9"/>
        <v>2.9144455139046247E-18</v>
      </c>
      <c r="V127" s="103">
        <f t="shared" si="9"/>
        <v>2.9144455139046247E-18</v>
      </c>
      <c r="W127" s="103">
        <f t="shared" si="9"/>
        <v>2.9144455139046247E-18</v>
      </c>
      <c r="X127" s="103">
        <f t="shared" si="9"/>
        <v>2.9144455139046247E-18</v>
      </c>
      <c r="Y127" s="103">
        <f t="shared" si="9"/>
        <v>2.9144455139046247E-18</v>
      </c>
      <c r="Z127" s="103">
        <f t="shared" si="9"/>
        <v>2.9144455139046247E-18</v>
      </c>
      <c r="AA127" s="103">
        <f t="shared" si="9"/>
        <v>2.9144455139046247E-18</v>
      </c>
      <c r="AB127" s="103">
        <f t="shared" si="9"/>
        <v>2.9144455139046247E-18</v>
      </c>
      <c r="AC127" s="103">
        <f t="shared" si="9"/>
        <v>2.9144455139046247E-18</v>
      </c>
      <c r="AD127" s="103">
        <f t="shared" si="9"/>
        <v>2.9144455139046247E-18</v>
      </c>
      <c r="AE127" s="103">
        <f t="shared" si="9"/>
        <v>2.9144455139046247E-18</v>
      </c>
      <c r="AF127" s="103">
        <f t="shared" si="9"/>
        <v>2.9144455139046247E-18</v>
      </c>
      <c r="AG127" s="103">
        <f t="shared" si="9"/>
        <v>2.9144455139046247E-18</v>
      </c>
      <c r="AH127" s="103">
        <f t="shared" si="9"/>
        <v>2.9144455139046247E-18</v>
      </c>
      <c r="AI127" s="103">
        <f t="shared" si="9"/>
        <v>2.9144455139046247E-18</v>
      </c>
      <c r="AJ127" s="103">
        <f t="shared" si="9"/>
        <v>2.9144455139046247E-18</v>
      </c>
      <c r="AK127" s="103">
        <f t="shared" si="9"/>
        <v>2.9144455139046247E-18</v>
      </c>
      <c r="AL127" s="103">
        <f t="shared" si="9"/>
        <v>2.9144455139046247E-18</v>
      </c>
      <c r="AM127" s="103">
        <f t="shared" si="9"/>
        <v>2.9144455139046247E-18</v>
      </c>
      <c r="AN127" s="103">
        <f t="shared" si="9"/>
        <v>2.9144455139046247E-18</v>
      </c>
      <c r="AO127" s="103">
        <f t="shared" si="9"/>
        <v>2.9144455139046247E-18</v>
      </c>
      <c r="AP127" s="103">
        <f t="shared" si="9"/>
        <v>2.9144455139046247E-18</v>
      </c>
      <c r="AQ127" s="103">
        <f t="shared" si="9"/>
        <v>2.9144455139046247E-18</v>
      </c>
      <c r="AR127" s="103">
        <f t="shared" si="9"/>
        <v>2.9144455139046247E-18</v>
      </c>
      <c r="AS127" s="103">
        <f t="shared" si="9"/>
        <v>2.9144455139046247E-18</v>
      </c>
      <c r="AT127" s="103">
        <f t="shared" si="9"/>
        <v>2.9144455139046247E-18</v>
      </c>
      <c r="AU127" s="103">
        <f t="shared" si="9"/>
        <v>2.9144455139046247E-18</v>
      </c>
      <c r="AV127" s="103">
        <f t="shared" si="9"/>
        <v>2.9144455139046247E-18</v>
      </c>
      <c r="AW127" s="103">
        <f t="shared" si="9"/>
        <v>2.9144455139046247E-18</v>
      </c>
      <c r="AX127" s="103">
        <f t="shared" si="9"/>
        <v>2.9144455139046247E-18</v>
      </c>
    </row>
    <row r="128" spans="1:50">
      <c r="A128" s="103" t="s">
        <v>109</v>
      </c>
      <c r="B128" s="103" t="s">
        <v>10</v>
      </c>
      <c r="C128">
        <v>1.9500510517126798E-18</v>
      </c>
      <c r="D128">
        <v>1.9500510517126798E-18</v>
      </c>
      <c r="E128">
        <v>1.9500510517126798E-18</v>
      </c>
      <c r="F128">
        <v>1.9500510517126798E-18</v>
      </c>
      <c r="G128">
        <v>2.4375638146408496E-18</v>
      </c>
      <c r="H128">
        <v>2.4375638146408496E-18</v>
      </c>
      <c r="I128">
        <v>2.4375638146408496E-18</v>
      </c>
      <c r="J128">
        <v>2.4375638146408496E-18</v>
      </c>
      <c r="K128">
        <v>1.9500510517126798E-18</v>
      </c>
      <c r="L128">
        <v>1.9500510517126798E-18</v>
      </c>
      <c r="M128">
        <v>1.9500510517126798E-18</v>
      </c>
      <c r="N128">
        <v>1.9500510517126798E-18</v>
      </c>
      <c r="O128">
        <v>1.9500510517126798E-18</v>
      </c>
      <c r="P128">
        <v>1.9500510517126798E-18</v>
      </c>
      <c r="Q128">
        <v>1.9500510517126798E-18</v>
      </c>
      <c r="R128">
        <v>1.9500510517126798E-18</v>
      </c>
      <c r="S128">
        <v>2.4375638146408496E-18</v>
      </c>
      <c r="T128">
        <v>2.4375638146408496E-18</v>
      </c>
      <c r="U128">
        <v>2.4375638146408496E-18</v>
      </c>
      <c r="V128">
        <v>2.4375638146408496E-18</v>
      </c>
      <c r="W128">
        <v>2.4375638146408496E-18</v>
      </c>
      <c r="X128">
        <v>2.4375638146408496E-18</v>
      </c>
      <c r="Y128">
        <v>2.4375638146408496E-18</v>
      </c>
      <c r="Z128">
        <v>2.4375638146408496E-18</v>
      </c>
      <c r="AA128">
        <v>1.9500510517126798E-18</v>
      </c>
      <c r="AB128">
        <v>1.9500510517126798E-18</v>
      </c>
      <c r="AC128">
        <v>1.9500510517126798E-18</v>
      </c>
      <c r="AD128">
        <v>1.9500510517126798E-18</v>
      </c>
      <c r="AE128">
        <v>1.9500510517126798E-18</v>
      </c>
      <c r="AF128">
        <v>1.9500510517126798E-18</v>
      </c>
      <c r="AG128">
        <v>1.9500510517126798E-18</v>
      </c>
      <c r="AH128">
        <v>1.9500510517126798E-18</v>
      </c>
      <c r="AI128">
        <v>2.4375638146408496E-18</v>
      </c>
      <c r="AJ128">
        <v>2.4375638146408496E-18</v>
      </c>
      <c r="AK128">
        <v>2.4375638146408496E-18</v>
      </c>
      <c r="AL128">
        <v>2.4375638146408496E-18</v>
      </c>
      <c r="AM128">
        <v>2.4375638146408496E-18</v>
      </c>
      <c r="AN128">
        <v>2.4375638146408496E-18</v>
      </c>
      <c r="AO128">
        <v>2.4375638146408496E-18</v>
      </c>
      <c r="AP128">
        <v>2.4375638146408496E-18</v>
      </c>
      <c r="AQ128">
        <v>2.4375638146408496E-18</v>
      </c>
      <c r="AR128">
        <v>2.4375638146408496E-18</v>
      </c>
      <c r="AS128">
        <v>2.4375638146408496E-18</v>
      </c>
      <c r="AT128">
        <v>2.4375638146408496E-18</v>
      </c>
      <c r="AU128">
        <v>1.9500510517126798E-18</v>
      </c>
      <c r="AV128">
        <v>1.9500510517126798E-18</v>
      </c>
      <c r="AW128">
        <v>1.9500510517126798E-18</v>
      </c>
      <c r="AX128">
        <v>1.9500510517126798E-18</v>
      </c>
    </row>
    <row r="129" spans="2:50">
      <c r="B129" s="103" t="s">
        <v>12</v>
      </c>
      <c r="C129">
        <v>3.1531029848591793E-19</v>
      </c>
      <c r="D129">
        <v>3.1531029848591793E-19</v>
      </c>
      <c r="E129">
        <v>3.1531029848591793E-19</v>
      </c>
      <c r="F129">
        <v>3.1531029848591793E-19</v>
      </c>
      <c r="G129">
        <v>3.9413787310739739E-19</v>
      </c>
      <c r="H129">
        <v>3.9413787310739739E-19</v>
      </c>
      <c r="I129">
        <v>3.9413787310739739E-19</v>
      </c>
      <c r="J129">
        <v>3.9413787310739739E-19</v>
      </c>
      <c r="K129">
        <v>3.1531029848591793E-19</v>
      </c>
      <c r="L129">
        <v>3.1531029848591793E-19</v>
      </c>
      <c r="M129">
        <v>3.1531029848591793E-19</v>
      </c>
      <c r="N129">
        <v>3.1531029848591793E-19</v>
      </c>
      <c r="O129">
        <v>3.1531029848591793E-19</v>
      </c>
      <c r="P129">
        <v>3.1531029848591793E-19</v>
      </c>
      <c r="Q129">
        <v>3.1531029848591793E-19</v>
      </c>
      <c r="R129">
        <v>3.1531029848591793E-19</v>
      </c>
      <c r="S129">
        <v>3.9413787310739739E-19</v>
      </c>
      <c r="T129">
        <v>3.9413787310739739E-19</v>
      </c>
      <c r="U129">
        <v>3.9413787310739739E-19</v>
      </c>
      <c r="V129">
        <v>3.9413787310739739E-19</v>
      </c>
      <c r="W129">
        <v>3.9413787310739739E-19</v>
      </c>
      <c r="X129">
        <v>3.9413787310739739E-19</v>
      </c>
      <c r="Y129">
        <v>3.9413787310739739E-19</v>
      </c>
      <c r="Z129">
        <v>3.9413787310739739E-19</v>
      </c>
      <c r="AA129">
        <v>3.1531029848591793E-19</v>
      </c>
      <c r="AB129">
        <v>3.1531029848591793E-19</v>
      </c>
      <c r="AC129">
        <v>3.1531029848591793E-19</v>
      </c>
      <c r="AD129">
        <v>3.1531029848591793E-19</v>
      </c>
      <c r="AE129">
        <v>3.1531029848591793E-19</v>
      </c>
      <c r="AF129">
        <v>3.1531029848591793E-19</v>
      </c>
      <c r="AG129">
        <v>3.1531029848591793E-19</v>
      </c>
      <c r="AH129">
        <v>3.1531029848591793E-19</v>
      </c>
      <c r="AI129">
        <v>3.9413787310739739E-19</v>
      </c>
      <c r="AJ129">
        <v>3.9413787310739739E-19</v>
      </c>
      <c r="AK129">
        <v>3.9413787310739739E-19</v>
      </c>
      <c r="AL129">
        <v>3.9413787310739739E-19</v>
      </c>
      <c r="AM129">
        <v>3.9413787310739739E-19</v>
      </c>
      <c r="AN129">
        <v>3.9413787310739739E-19</v>
      </c>
      <c r="AO129">
        <v>3.9413787310739739E-19</v>
      </c>
      <c r="AP129">
        <v>3.9413787310739739E-19</v>
      </c>
      <c r="AQ129">
        <v>3.9413787310739739E-19</v>
      </c>
      <c r="AR129">
        <v>3.9413787310739739E-19</v>
      </c>
      <c r="AS129">
        <v>3.9413787310739739E-19</v>
      </c>
      <c r="AT129">
        <v>3.9413787310739739E-19</v>
      </c>
      <c r="AU129">
        <v>3.1531029848591793E-19</v>
      </c>
      <c r="AV129">
        <v>3.1531029848591793E-19</v>
      </c>
      <c r="AW129">
        <v>3.1531029848591793E-19</v>
      </c>
      <c r="AX129">
        <v>3.1531029848591793E-19</v>
      </c>
    </row>
    <row r="130" spans="2:50">
      <c r="B130" s="103" t="s">
        <v>22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</row>
    <row r="131" spans="2:50">
      <c r="B131" s="103" t="s">
        <v>46</v>
      </c>
      <c r="C131">
        <v>2.4427063868580761E-18</v>
      </c>
      <c r="D131">
        <v>2.4427063868580761E-18</v>
      </c>
      <c r="E131">
        <v>2.4427063868580761E-18</v>
      </c>
      <c r="F131">
        <v>2.4427063868580761E-18</v>
      </c>
      <c r="G131">
        <v>3.053382983572595E-18</v>
      </c>
      <c r="H131">
        <v>3.053382983572595E-18</v>
      </c>
      <c r="I131">
        <v>3.053382983572595E-18</v>
      </c>
      <c r="J131">
        <v>3.053382983572595E-18</v>
      </c>
      <c r="K131">
        <v>2.4427063868580761E-18</v>
      </c>
      <c r="L131">
        <v>2.4427063868580761E-18</v>
      </c>
      <c r="M131">
        <v>2.4427063868580761E-18</v>
      </c>
      <c r="N131">
        <v>2.4427063868580761E-18</v>
      </c>
      <c r="O131">
        <v>2.4427063868580761E-18</v>
      </c>
      <c r="P131">
        <v>2.4427063868580761E-18</v>
      </c>
      <c r="Q131">
        <v>2.4427063868580761E-18</v>
      </c>
      <c r="R131">
        <v>2.4427063868580761E-18</v>
      </c>
      <c r="S131">
        <v>3.053382983572595E-18</v>
      </c>
      <c r="T131">
        <v>3.053382983572595E-18</v>
      </c>
      <c r="U131">
        <v>3.053382983572595E-18</v>
      </c>
      <c r="V131">
        <v>3.053382983572595E-18</v>
      </c>
      <c r="W131">
        <v>3.053382983572595E-18</v>
      </c>
      <c r="X131">
        <v>3.053382983572595E-18</v>
      </c>
      <c r="Y131">
        <v>3.053382983572595E-18</v>
      </c>
      <c r="Z131">
        <v>3.053382983572595E-18</v>
      </c>
      <c r="AA131">
        <v>2.4427063868580761E-18</v>
      </c>
      <c r="AB131">
        <v>2.4427063868580761E-18</v>
      </c>
      <c r="AC131">
        <v>2.4427063868580761E-18</v>
      </c>
      <c r="AD131">
        <v>2.4427063868580761E-18</v>
      </c>
      <c r="AE131">
        <v>2.4427063868580761E-18</v>
      </c>
      <c r="AF131">
        <v>2.4427063868580761E-18</v>
      </c>
      <c r="AG131">
        <v>2.4427063868580761E-18</v>
      </c>
      <c r="AH131">
        <v>2.4427063868580761E-18</v>
      </c>
      <c r="AI131">
        <v>3.053382983572595E-18</v>
      </c>
      <c r="AJ131">
        <v>3.053382983572595E-18</v>
      </c>
      <c r="AK131">
        <v>3.053382983572595E-18</v>
      </c>
      <c r="AL131">
        <v>3.053382983572595E-18</v>
      </c>
      <c r="AM131">
        <v>3.053382983572595E-18</v>
      </c>
      <c r="AN131">
        <v>3.053382983572595E-18</v>
      </c>
      <c r="AO131">
        <v>3.053382983572595E-18</v>
      </c>
      <c r="AP131">
        <v>3.053382983572595E-18</v>
      </c>
      <c r="AQ131">
        <v>3.053382983572595E-18</v>
      </c>
      <c r="AR131">
        <v>3.053382983572595E-18</v>
      </c>
      <c r="AS131">
        <v>3.053382983572595E-18</v>
      </c>
      <c r="AT131">
        <v>3.053382983572595E-18</v>
      </c>
      <c r="AU131">
        <v>2.4427063868580761E-18</v>
      </c>
      <c r="AV131">
        <v>2.4427063868580761E-18</v>
      </c>
      <c r="AW131">
        <v>2.4427063868580761E-18</v>
      </c>
      <c r="AX131">
        <v>2.4427063868580761E-18</v>
      </c>
    </row>
    <row r="132" spans="2:50">
      <c r="B132" s="103" t="s">
        <v>59</v>
      </c>
      <c r="C132">
        <v>1.053528235806401E-18</v>
      </c>
      <c r="D132">
        <v>1.053528235806401E-18</v>
      </c>
      <c r="E132">
        <v>1.053528235806401E-18</v>
      </c>
      <c r="F132">
        <v>1.053528235806401E-18</v>
      </c>
      <c r="G132">
        <v>1.3169102947580009E-18</v>
      </c>
      <c r="H132">
        <v>1.3169102947580009E-18</v>
      </c>
      <c r="I132">
        <v>1.3169102947580009E-18</v>
      </c>
      <c r="J132">
        <v>1.3169102947580009E-18</v>
      </c>
      <c r="K132">
        <v>1.053528235806401E-18</v>
      </c>
      <c r="L132">
        <v>1.053528235806401E-18</v>
      </c>
      <c r="M132">
        <v>1.053528235806401E-18</v>
      </c>
      <c r="N132">
        <v>1.053528235806401E-18</v>
      </c>
      <c r="O132">
        <v>1.053528235806401E-18</v>
      </c>
      <c r="P132">
        <v>1.053528235806401E-18</v>
      </c>
      <c r="Q132">
        <v>1.053528235806401E-18</v>
      </c>
      <c r="R132">
        <v>1.053528235806401E-18</v>
      </c>
      <c r="S132">
        <v>1.3169102947580009E-18</v>
      </c>
      <c r="T132">
        <v>1.3169102947580009E-18</v>
      </c>
      <c r="U132">
        <v>1.3169102947580009E-18</v>
      </c>
      <c r="V132">
        <v>1.3169102947580009E-18</v>
      </c>
      <c r="W132">
        <v>1.3169102947580009E-18</v>
      </c>
      <c r="X132">
        <v>1.3169102947580009E-18</v>
      </c>
      <c r="Y132">
        <v>1.3169102947580009E-18</v>
      </c>
      <c r="Z132">
        <v>1.3169102947580009E-18</v>
      </c>
      <c r="AA132">
        <v>1.053528235806401E-18</v>
      </c>
      <c r="AB132">
        <v>1.053528235806401E-18</v>
      </c>
      <c r="AC132">
        <v>1.053528235806401E-18</v>
      </c>
      <c r="AD132">
        <v>1.053528235806401E-18</v>
      </c>
      <c r="AE132">
        <v>1.053528235806401E-18</v>
      </c>
      <c r="AF132">
        <v>1.053528235806401E-18</v>
      </c>
      <c r="AG132">
        <v>1.053528235806401E-18</v>
      </c>
      <c r="AH132">
        <v>1.053528235806401E-18</v>
      </c>
      <c r="AI132">
        <v>1.3169102947580009E-18</v>
      </c>
      <c r="AJ132">
        <v>1.3169102947580009E-18</v>
      </c>
      <c r="AK132">
        <v>1.3169102947580009E-18</v>
      </c>
      <c r="AL132">
        <v>1.3169102947580009E-18</v>
      </c>
      <c r="AM132">
        <v>1.3169102947580009E-18</v>
      </c>
      <c r="AN132">
        <v>1.3169102947580009E-18</v>
      </c>
      <c r="AO132">
        <v>1.3169102947580009E-18</v>
      </c>
      <c r="AP132">
        <v>1.3169102947580009E-18</v>
      </c>
      <c r="AQ132">
        <v>1.3169102947580009E-18</v>
      </c>
      <c r="AR132">
        <v>1.3169102947580009E-18</v>
      </c>
      <c r="AS132">
        <v>1.3169102947580009E-18</v>
      </c>
      <c r="AT132">
        <v>1.3169102947580009E-18</v>
      </c>
      <c r="AU132">
        <v>1.053528235806401E-18</v>
      </c>
      <c r="AV132">
        <v>1.053528235806401E-18</v>
      </c>
      <c r="AW132">
        <v>1.053528235806401E-18</v>
      </c>
      <c r="AX132">
        <v>1.053528235806401E-18</v>
      </c>
    </row>
    <row r="133" spans="2:50">
      <c r="B133" t="s">
        <v>278</v>
      </c>
      <c r="C133" s="103">
        <f>SUM(C$128:C$132)</f>
        <v>5.7615959728630753E-18</v>
      </c>
      <c r="D133" s="103">
        <f t="shared" ref="D133:AX133" si="10">SUM(D$128:D$132)</f>
        <v>5.7615959728630753E-18</v>
      </c>
      <c r="E133" s="103">
        <f t="shared" si="10"/>
        <v>5.7615959728630753E-18</v>
      </c>
      <c r="F133" s="103">
        <f t="shared" si="10"/>
        <v>5.7615959728630753E-18</v>
      </c>
      <c r="G133" s="103">
        <f t="shared" si="10"/>
        <v>7.2019949660788424E-18</v>
      </c>
      <c r="H133" s="103">
        <f t="shared" si="10"/>
        <v>7.2019949660788424E-18</v>
      </c>
      <c r="I133" s="103">
        <f t="shared" si="10"/>
        <v>7.2019949660788424E-18</v>
      </c>
      <c r="J133" s="103">
        <f t="shared" si="10"/>
        <v>7.2019949660788424E-18</v>
      </c>
      <c r="K133" s="103">
        <f t="shared" si="10"/>
        <v>5.7615959728630753E-18</v>
      </c>
      <c r="L133" s="103">
        <f t="shared" si="10"/>
        <v>5.7615959728630753E-18</v>
      </c>
      <c r="M133" s="103">
        <f t="shared" si="10"/>
        <v>5.7615959728630753E-18</v>
      </c>
      <c r="N133" s="103">
        <f t="shared" si="10"/>
        <v>5.7615959728630753E-18</v>
      </c>
      <c r="O133" s="103">
        <f t="shared" si="10"/>
        <v>5.7615959728630753E-18</v>
      </c>
      <c r="P133" s="103">
        <f t="shared" si="10"/>
        <v>5.7615959728630753E-18</v>
      </c>
      <c r="Q133" s="103">
        <f t="shared" si="10"/>
        <v>5.7615959728630753E-18</v>
      </c>
      <c r="R133" s="103">
        <f t="shared" si="10"/>
        <v>5.7615959728630753E-18</v>
      </c>
      <c r="S133" s="103">
        <f t="shared" si="10"/>
        <v>7.2019949660788424E-18</v>
      </c>
      <c r="T133" s="103">
        <f t="shared" si="10"/>
        <v>7.2019949660788424E-18</v>
      </c>
      <c r="U133" s="103">
        <f t="shared" si="10"/>
        <v>7.2019949660788424E-18</v>
      </c>
      <c r="V133" s="103">
        <f t="shared" si="10"/>
        <v>7.2019949660788424E-18</v>
      </c>
      <c r="W133" s="103">
        <f t="shared" si="10"/>
        <v>7.2019949660788424E-18</v>
      </c>
      <c r="X133" s="103">
        <f t="shared" si="10"/>
        <v>7.2019949660788424E-18</v>
      </c>
      <c r="Y133" s="103">
        <f t="shared" si="10"/>
        <v>7.2019949660788424E-18</v>
      </c>
      <c r="Z133" s="103">
        <f t="shared" si="10"/>
        <v>7.2019949660788424E-18</v>
      </c>
      <c r="AA133" s="103">
        <f t="shared" si="10"/>
        <v>5.7615959728630753E-18</v>
      </c>
      <c r="AB133" s="103">
        <f t="shared" si="10"/>
        <v>5.7615959728630753E-18</v>
      </c>
      <c r="AC133" s="103">
        <f t="shared" si="10"/>
        <v>5.7615959728630753E-18</v>
      </c>
      <c r="AD133" s="103">
        <f t="shared" si="10"/>
        <v>5.7615959728630753E-18</v>
      </c>
      <c r="AE133" s="103">
        <f t="shared" si="10"/>
        <v>5.7615959728630753E-18</v>
      </c>
      <c r="AF133" s="103">
        <f t="shared" si="10"/>
        <v>5.7615959728630753E-18</v>
      </c>
      <c r="AG133" s="103">
        <f t="shared" si="10"/>
        <v>5.7615959728630753E-18</v>
      </c>
      <c r="AH133" s="103">
        <f t="shared" si="10"/>
        <v>5.7615959728630753E-18</v>
      </c>
      <c r="AI133" s="103">
        <f t="shared" si="10"/>
        <v>7.2019949660788424E-18</v>
      </c>
      <c r="AJ133" s="103">
        <f t="shared" si="10"/>
        <v>7.2019949660788424E-18</v>
      </c>
      <c r="AK133" s="103">
        <f t="shared" si="10"/>
        <v>7.2019949660788424E-18</v>
      </c>
      <c r="AL133" s="103">
        <f t="shared" si="10"/>
        <v>7.2019949660788424E-18</v>
      </c>
      <c r="AM133" s="103">
        <f t="shared" si="10"/>
        <v>7.2019949660788424E-18</v>
      </c>
      <c r="AN133" s="103">
        <f t="shared" si="10"/>
        <v>7.2019949660788424E-18</v>
      </c>
      <c r="AO133" s="103">
        <f t="shared" si="10"/>
        <v>7.2019949660788424E-18</v>
      </c>
      <c r="AP133" s="103">
        <f t="shared" si="10"/>
        <v>7.2019949660788424E-18</v>
      </c>
      <c r="AQ133" s="103">
        <f t="shared" si="10"/>
        <v>7.2019949660788424E-18</v>
      </c>
      <c r="AR133" s="103">
        <f t="shared" si="10"/>
        <v>7.2019949660788424E-18</v>
      </c>
      <c r="AS133" s="103">
        <f t="shared" si="10"/>
        <v>7.2019949660788424E-18</v>
      </c>
      <c r="AT133" s="103">
        <f t="shared" si="10"/>
        <v>7.2019949660788424E-18</v>
      </c>
      <c r="AU133" s="103">
        <f t="shared" si="10"/>
        <v>5.7615959728630753E-18</v>
      </c>
      <c r="AV133" s="103">
        <f t="shared" si="10"/>
        <v>5.7615959728630753E-18</v>
      </c>
      <c r="AW133" s="103">
        <f t="shared" si="10"/>
        <v>5.7615959728630753E-18</v>
      </c>
      <c r="AX133" s="103">
        <f t="shared" si="10"/>
        <v>5.7615959728630753E-18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customWidth="1"/>
    <col min="2" max="2" width="17.6640625" customWidth="1"/>
    <col min="52" max="52" width="10.6640625" customWidth="1"/>
  </cols>
  <sheetData>
    <row r="1" spans="1:52">
      <c r="A1" s="1" t="s">
        <v>118</v>
      </c>
    </row>
    <row r="2" spans="1:52">
      <c r="A2" t="s">
        <v>303</v>
      </c>
      <c r="B2" s="105" t="s">
        <v>10</v>
      </c>
      <c r="E2" s="108"/>
    </row>
    <row r="3" spans="1:52">
      <c r="A3" t="s">
        <v>286</v>
      </c>
      <c r="B3" s="105">
        <v>600</v>
      </c>
      <c r="E3" s="108"/>
    </row>
    <row r="4" spans="1:52">
      <c r="A4" s="1"/>
      <c r="C4" s="9" t="s">
        <v>287</v>
      </c>
    </row>
    <row r="5" spans="1:52">
      <c r="B5" s="104"/>
      <c r="C5" s="109">
        <v>0</v>
      </c>
      <c r="D5" s="109">
        <v>1</v>
      </c>
      <c r="E5" s="109">
        <v>2</v>
      </c>
      <c r="F5" s="109">
        <v>3</v>
      </c>
      <c r="G5" s="109">
        <v>4</v>
      </c>
      <c r="H5" s="109">
        <v>5</v>
      </c>
      <c r="I5" s="109">
        <v>6</v>
      </c>
      <c r="J5" s="109">
        <v>7</v>
      </c>
      <c r="K5" s="109">
        <v>8</v>
      </c>
      <c r="L5" s="109">
        <v>9</v>
      </c>
      <c r="M5" s="109">
        <v>10</v>
      </c>
      <c r="N5" s="109">
        <v>11</v>
      </c>
      <c r="O5" s="109">
        <v>12</v>
      </c>
      <c r="P5" s="109">
        <v>13</v>
      </c>
      <c r="Q5" s="109">
        <v>14</v>
      </c>
      <c r="R5" s="109">
        <v>15</v>
      </c>
      <c r="S5" s="109">
        <v>16</v>
      </c>
      <c r="T5" s="109">
        <v>17</v>
      </c>
      <c r="U5" s="109">
        <v>18</v>
      </c>
      <c r="V5" s="109">
        <v>19</v>
      </c>
      <c r="W5" s="109">
        <v>20</v>
      </c>
      <c r="X5" s="109">
        <v>21</v>
      </c>
      <c r="Y5" s="109">
        <v>22</v>
      </c>
      <c r="Z5" s="109">
        <v>23</v>
      </c>
      <c r="AA5" s="109">
        <v>24</v>
      </c>
      <c r="AB5" s="109">
        <v>25</v>
      </c>
      <c r="AC5" s="109">
        <v>26</v>
      </c>
      <c r="AD5" s="109">
        <v>27</v>
      </c>
      <c r="AE5" s="109">
        <v>28</v>
      </c>
      <c r="AF5" s="109">
        <v>29</v>
      </c>
      <c r="AG5" s="109">
        <v>30</v>
      </c>
      <c r="AH5" s="109">
        <v>31</v>
      </c>
      <c r="AI5" s="109">
        <v>32</v>
      </c>
      <c r="AJ5" s="109">
        <v>33</v>
      </c>
      <c r="AK5" s="109">
        <v>34</v>
      </c>
      <c r="AL5" s="109">
        <v>35</v>
      </c>
      <c r="AM5" s="109">
        <v>36</v>
      </c>
      <c r="AN5" s="109">
        <v>37</v>
      </c>
      <c r="AO5" s="109">
        <v>38</v>
      </c>
      <c r="AP5" s="109">
        <v>39</v>
      </c>
      <c r="AQ5" s="109">
        <v>40</v>
      </c>
      <c r="AR5" s="109">
        <v>41</v>
      </c>
      <c r="AS5" s="109">
        <v>42</v>
      </c>
      <c r="AT5" s="109">
        <v>43</v>
      </c>
      <c r="AU5" s="109">
        <v>44</v>
      </c>
      <c r="AV5" s="109">
        <v>45</v>
      </c>
      <c r="AW5" s="109">
        <v>46</v>
      </c>
      <c r="AX5" s="109">
        <v>47</v>
      </c>
      <c r="AY5" s="109">
        <v>48</v>
      </c>
    </row>
    <row r="6" spans="1:52">
      <c r="A6" s="1" t="s">
        <v>304</v>
      </c>
      <c r="B6" s="111"/>
      <c r="C6" s="110" t="s">
        <v>288</v>
      </c>
      <c r="D6" s="109" t="s">
        <v>289</v>
      </c>
      <c r="E6" s="109" t="s">
        <v>289</v>
      </c>
      <c r="F6" s="109" t="s">
        <v>289</v>
      </c>
      <c r="G6" s="109" t="s">
        <v>289</v>
      </c>
      <c r="H6" s="109" t="s">
        <v>289</v>
      </c>
      <c r="I6" s="109" t="s">
        <v>289</v>
      </c>
      <c r="J6" s="109" t="s">
        <v>289</v>
      </c>
      <c r="K6" s="109" t="s">
        <v>289</v>
      </c>
      <c r="L6" s="109" t="s">
        <v>289</v>
      </c>
      <c r="M6" s="109" t="s">
        <v>289</v>
      </c>
      <c r="N6" s="109" t="s">
        <v>289</v>
      </c>
      <c r="O6" s="109" t="s">
        <v>289</v>
      </c>
      <c r="P6" s="109" t="s">
        <v>289</v>
      </c>
      <c r="Q6" s="109" t="s">
        <v>289</v>
      </c>
      <c r="R6" s="109" t="s">
        <v>289</v>
      </c>
      <c r="S6" s="109" t="s">
        <v>289</v>
      </c>
      <c r="T6" s="109" t="s">
        <v>289</v>
      </c>
      <c r="U6" s="109" t="s">
        <v>289</v>
      </c>
      <c r="V6" s="109" t="s">
        <v>289</v>
      </c>
      <c r="W6" s="109" t="s">
        <v>289</v>
      </c>
      <c r="X6" s="109" t="s">
        <v>289</v>
      </c>
      <c r="Y6" s="109" t="s">
        <v>289</v>
      </c>
      <c r="Z6" s="109" t="s">
        <v>289</v>
      </c>
      <c r="AA6" s="109" t="s">
        <v>289</v>
      </c>
      <c r="AB6" s="109" t="s">
        <v>289</v>
      </c>
      <c r="AC6" s="109" t="s">
        <v>289</v>
      </c>
      <c r="AD6" s="109" t="s">
        <v>289</v>
      </c>
      <c r="AE6" s="109" t="s">
        <v>289</v>
      </c>
      <c r="AF6" s="109" t="s">
        <v>289</v>
      </c>
      <c r="AG6" s="109" t="s">
        <v>289</v>
      </c>
      <c r="AH6" s="109" t="s">
        <v>289</v>
      </c>
      <c r="AI6" s="109" t="s">
        <v>289</v>
      </c>
      <c r="AJ6" s="109" t="s">
        <v>289</v>
      </c>
      <c r="AK6" s="109" t="s">
        <v>289</v>
      </c>
      <c r="AL6" s="109" t="s">
        <v>289</v>
      </c>
      <c r="AM6" s="109" t="s">
        <v>289</v>
      </c>
      <c r="AN6" s="109" t="s">
        <v>289</v>
      </c>
      <c r="AO6" s="109" t="s">
        <v>289</v>
      </c>
      <c r="AP6" s="109" t="s">
        <v>289</v>
      </c>
      <c r="AQ6" s="109" t="s">
        <v>289</v>
      </c>
      <c r="AR6" s="109" t="s">
        <v>289</v>
      </c>
      <c r="AS6" s="109" t="s">
        <v>289</v>
      </c>
      <c r="AT6" s="109" t="s">
        <v>289</v>
      </c>
      <c r="AU6" s="109" t="s">
        <v>289</v>
      </c>
      <c r="AV6" s="109" t="s">
        <v>289</v>
      </c>
      <c r="AW6" s="109" t="s">
        <v>289</v>
      </c>
      <c r="AX6" s="109" t="s">
        <v>289</v>
      </c>
      <c r="AY6" s="9" t="s">
        <v>290</v>
      </c>
      <c r="AZ6" s="139" t="s">
        <v>150</v>
      </c>
    </row>
    <row r="7" spans="1:52">
      <c r="A7" s="112" t="s">
        <v>125</v>
      </c>
      <c r="B7" s="140">
        <v>1</v>
      </c>
      <c r="C7" s="141" t="s">
        <v>293</v>
      </c>
      <c r="D7" s="141">
        <v>600</v>
      </c>
      <c r="E7" s="141">
        <v>600</v>
      </c>
      <c r="F7" s="141">
        <v>600</v>
      </c>
      <c r="G7" s="141">
        <v>600</v>
      </c>
      <c r="H7" s="141">
        <v>600</v>
      </c>
      <c r="I7" s="141">
        <v>600</v>
      </c>
      <c r="J7" s="141">
        <v>600</v>
      </c>
      <c r="K7" s="141">
        <v>600</v>
      </c>
      <c r="L7" s="141">
        <v>600</v>
      </c>
      <c r="M7" s="141">
        <v>600</v>
      </c>
      <c r="N7" s="141">
        <v>600</v>
      </c>
      <c r="O7" s="141">
        <v>600</v>
      </c>
      <c r="P7" s="141">
        <v>600</v>
      </c>
      <c r="Q7" s="141">
        <v>600</v>
      </c>
      <c r="R7" s="141">
        <v>600</v>
      </c>
      <c r="S7" s="141">
        <v>600</v>
      </c>
      <c r="T7" s="141">
        <v>600</v>
      </c>
      <c r="U7" s="141">
        <v>600</v>
      </c>
      <c r="V7" s="141">
        <v>600</v>
      </c>
      <c r="W7" s="141">
        <v>600</v>
      </c>
      <c r="X7" s="141">
        <v>480.00000000000011</v>
      </c>
      <c r="Y7" s="141">
        <v>480.00000000000011</v>
      </c>
      <c r="Z7" s="141">
        <v>480.00000000000011</v>
      </c>
      <c r="AA7" s="141">
        <v>480.00000000000011</v>
      </c>
      <c r="AB7" s="141">
        <v>600</v>
      </c>
      <c r="AC7" s="141">
        <v>600</v>
      </c>
      <c r="AD7" s="141">
        <v>600</v>
      </c>
      <c r="AE7" s="141">
        <v>600</v>
      </c>
      <c r="AF7" s="141">
        <v>600</v>
      </c>
      <c r="AG7" s="141">
        <v>600</v>
      </c>
      <c r="AH7" s="141">
        <v>600</v>
      </c>
      <c r="AI7" s="141">
        <v>600</v>
      </c>
      <c r="AJ7" s="141">
        <v>600</v>
      </c>
      <c r="AK7" s="141">
        <v>600</v>
      </c>
      <c r="AL7" s="141">
        <v>600</v>
      </c>
      <c r="AM7" s="141">
        <v>600</v>
      </c>
      <c r="AN7" s="141">
        <v>600</v>
      </c>
      <c r="AO7" s="141">
        <v>600</v>
      </c>
      <c r="AP7" s="141">
        <v>600</v>
      </c>
      <c r="AQ7" s="141">
        <v>600</v>
      </c>
      <c r="AR7" s="141">
        <v>600</v>
      </c>
      <c r="AS7" s="141">
        <v>600</v>
      </c>
      <c r="AT7" s="141">
        <v>600</v>
      </c>
      <c r="AU7" s="141">
        <v>600</v>
      </c>
      <c r="AV7" s="141">
        <v>600</v>
      </c>
      <c r="AW7" s="141">
        <v>242.12926639151698</v>
      </c>
      <c r="AX7" s="141">
        <v>600</v>
      </c>
      <c r="AY7" s="141">
        <v>600</v>
      </c>
      <c r="AZ7" s="104"/>
    </row>
    <row r="8" spans="1:52">
      <c r="A8" s="142"/>
      <c r="B8" s="143"/>
      <c r="C8" s="142"/>
      <c r="D8" s="142"/>
      <c r="E8" s="142"/>
      <c r="F8" s="142"/>
      <c r="G8" s="142"/>
      <c r="H8" s="142"/>
      <c r="I8" s="142"/>
      <c r="J8" s="142"/>
      <c r="K8" s="142"/>
      <c r="L8" s="142"/>
      <c r="M8" s="142"/>
      <c r="N8" s="142"/>
      <c r="O8" s="142"/>
      <c r="P8" s="142"/>
      <c r="Q8" s="142"/>
      <c r="R8" s="142"/>
      <c r="S8" s="142"/>
      <c r="T8" s="142"/>
      <c r="U8" s="142"/>
      <c r="V8" s="142"/>
      <c r="W8" s="142"/>
      <c r="X8" s="142"/>
      <c r="Y8" s="142"/>
      <c r="Z8" s="142"/>
      <c r="AA8" s="142"/>
      <c r="AB8" s="142"/>
      <c r="AC8" s="142"/>
      <c r="AD8" s="142"/>
      <c r="AE8" s="142"/>
      <c r="AF8" s="142"/>
      <c r="AG8" s="142"/>
      <c r="AH8" s="142"/>
      <c r="AI8" s="142"/>
      <c r="AJ8" s="142"/>
      <c r="AK8" s="142"/>
      <c r="AL8" s="142"/>
      <c r="AM8" s="142"/>
      <c r="AN8" s="142"/>
      <c r="AO8" s="142"/>
      <c r="AP8" s="142"/>
      <c r="AQ8" s="142"/>
      <c r="AR8" s="142"/>
      <c r="AS8" s="142"/>
      <c r="AT8" s="142"/>
      <c r="AU8" s="142"/>
      <c r="AV8" s="142"/>
      <c r="AW8" s="142"/>
      <c r="AX8" s="142"/>
      <c r="AY8" s="142"/>
      <c r="AZ8" s="144"/>
    </row>
    <row r="9" spans="1:52">
      <c r="A9" s="1" t="s">
        <v>294</v>
      </c>
      <c r="B9" s="145"/>
      <c r="C9" s="104"/>
      <c r="D9" s="104"/>
      <c r="E9" s="104"/>
      <c r="F9" s="104"/>
      <c r="G9" s="104"/>
      <c r="H9" s="104"/>
      <c r="I9" s="104"/>
      <c r="J9" s="104"/>
      <c r="K9" s="104"/>
      <c r="L9" s="104"/>
      <c r="M9" s="104"/>
      <c r="N9" s="104"/>
      <c r="O9" s="104"/>
      <c r="P9" s="104"/>
      <c r="Q9" s="104"/>
      <c r="R9" s="104"/>
      <c r="S9" s="104"/>
      <c r="T9" s="104"/>
      <c r="U9" s="104"/>
      <c r="V9" s="104"/>
      <c r="W9" s="104"/>
      <c r="X9" s="104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O9" s="104"/>
      <c r="AP9" s="104"/>
      <c r="AQ9" s="104"/>
      <c r="AR9" s="104"/>
      <c r="AS9" s="104"/>
      <c r="AT9" s="104"/>
      <c r="AU9" s="104"/>
      <c r="AV9" s="104"/>
      <c r="AW9" s="104"/>
      <c r="AX9" s="104"/>
      <c r="AY9" s="104"/>
      <c r="AZ9" s="104"/>
    </row>
    <row r="10" spans="1:52">
      <c r="A10" s="146" t="s">
        <v>125</v>
      </c>
      <c r="B10" s="147">
        <v>1</v>
      </c>
      <c r="C10" s="141" t="s">
        <v>293</v>
      </c>
      <c r="D10" s="141">
        <f t="shared" ref="D10:AY10" si="0">MAX(SUM(D$14:D$16)+D$7-$B$3,0)</f>
        <v>0</v>
      </c>
      <c r="E10" s="141">
        <f t="shared" si="0"/>
        <v>0</v>
      </c>
      <c r="F10" s="141">
        <f t="shared" si="0"/>
        <v>0</v>
      </c>
      <c r="G10" s="141">
        <f t="shared" si="0"/>
        <v>0</v>
      </c>
      <c r="H10" s="141">
        <f t="shared" si="0"/>
        <v>0</v>
      </c>
      <c r="I10" s="141">
        <f t="shared" si="0"/>
        <v>0</v>
      </c>
      <c r="J10" s="141">
        <f t="shared" si="0"/>
        <v>0</v>
      </c>
      <c r="K10" s="141">
        <f t="shared" si="0"/>
        <v>0</v>
      </c>
      <c r="L10" s="141">
        <f t="shared" si="0"/>
        <v>0</v>
      </c>
      <c r="M10" s="141">
        <f t="shared" si="0"/>
        <v>0</v>
      </c>
      <c r="N10" s="141">
        <f t="shared" si="0"/>
        <v>0</v>
      </c>
      <c r="O10" s="141">
        <f t="shared" si="0"/>
        <v>0</v>
      </c>
      <c r="P10" s="141">
        <f t="shared" si="0"/>
        <v>0</v>
      </c>
      <c r="Q10" s="141">
        <f t="shared" si="0"/>
        <v>0</v>
      </c>
      <c r="R10" s="141">
        <f t="shared" si="0"/>
        <v>0</v>
      </c>
      <c r="S10" s="141">
        <f t="shared" si="0"/>
        <v>0</v>
      </c>
      <c r="T10" s="141">
        <f t="shared" si="0"/>
        <v>0</v>
      </c>
      <c r="U10" s="141">
        <f t="shared" si="0"/>
        <v>0</v>
      </c>
      <c r="V10" s="141">
        <f t="shared" si="0"/>
        <v>0</v>
      </c>
      <c r="W10" s="141">
        <f t="shared" si="0"/>
        <v>0</v>
      </c>
      <c r="X10" s="141">
        <f t="shared" si="0"/>
        <v>0</v>
      </c>
      <c r="Y10" s="141">
        <f t="shared" si="0"/>
        <v>0</v>
      </c>
      <c r="Z10" s="141">
        <f t="shared" si="0"/>
        <v>360.00000000000023</v>
      </c>
      <c r="AA10" s="141">
        <f t="shared" si="0"/>
        <v>0</v>
      </c>
      <c r="AB10" s="141">
        <f t="shared" si="0"/>
        <v>0</v>
      </c>
      <c r="AC10" s="141">
        <f t="shared" si="0"/>
        <v>0</v>
      </c>
      <c r="AD10" s="141">
        <f t="shared" si="0"/>
        <v>0</v>
      </c>
      <c r="AE10" s="141">
        <f t="shared" si="0"/>
        <v>0</v>
      </c>
      <c r="AF10" s="141">
        <f t="shared" si="0"/>
        <v>0</v>
      </c>
      <c r="AG10" s="141">
        <f t="shared" si="0"/>
        <v>0</v>
      </c>
      <c r="AH10" s="141">
        <f t="shared" si="0"/>
        <v>0</v>
      </c>
      <c r="AI10" s="141">
        <f t="shared" si="0"/>
        <v>0</v>
      </c>
      <c r="AJ10" s="141">
        <f t="shared" si="0"/>
        <v>0</v>
      </c>
      <c r="AK10" s="141">
        <f t="shared" si="0"/>
        <v>0</v>
      </c>
      <c r="AL10" s="141">
        <f t="shared" si="0"/>
        <v>0</v>
      </c>
      <c r="AM10" s="141">
        <f t="shared" si="0"/>
        <v>0</v>
      </c>
      <c r="AN10" s="141">
        <f t="shared" si="0"/>
        <v>0</v>
      </c>
      <c r="AO10" s="141">
        <f t="shared" si="0"/>
        <v>0</v>
      </c>
      <c r="AP10" s="141">
        <f t="shared" si="0"/>
        <v>0</v>
      </c>
      <c r="AQ10" s="141">
        <f t="shared" si="0"/>
        <v>600</v>
      </c>
      <c r="AR10" s="141">
        <f t="shared" si="0"/>
        <v>0</v>
      </c>
      <c r="AS10" s="141">
        <f t="shared" si="0"/>
        <v>0</v>
      </c>
      <c r="AT10" s="141">
        <f t="shared" si="0"/>
        <v>0</v>
      </c>
      <c r="AU10" s="141">
        <f t="shared" si="0"/>
        <v>0</v>
      </c>
      <c r="AV10" s="141">
        <f t="shared" si="0"/>
        <v>0</v>
      </c>
      <c r="AW10" s="141">
        <f t="shared" si="0"/>
        <v>0</v>
      </c>
      <c r="AX10" s="141">
        <f t="shared" si="0"/>
        <v>0</v>
      </c>
      <c r="AY10" s="141">
        <f t="shared" si="0"/>
        <v>0</v>
      </c>
      <c r="AZ10" s="148">
        <f>SUM($D10:$AY10)</f>
        <v>960.00000000000023</v>
      </c>
    </row>
    <row r="11" spans="1:52">
      <c r="C11" s="108"/>
    </row>
    <row r="12" spans="1:52">
      <c r="A12" s="149" t="s">
        <v>295</v>
      </c>
      <c r="B12" s="143"/>
      <c r="C12" s="108"/>
    </row>
    <row r="13" spans="1:52">
      <c r="A13" s="119" t="s">
        <v>125</v>
      </c>
      <c r="B13" s="120">
        <v>1</v>
      </c>
      <c r="C13" s="121">
        <v>600</v>
      </c>
      <c r="D13" s="135">
        <f t="shared" ref="D13:AY13" si="1">D$7-D$10</f>
        <v>600</v>
      </c>
      <c r="E13" s="135">
        <f t="shared" si="1"/>
        <v>600</v>
      </c>
      <c r="F13" s="135">
        <f t="shared" si="1"/>
        <v>600</v>
      </c>
      <c r="G13" s="135">
        <f t="shared" si="1"/>
        <v>600</v>
      </c>
      <c r="H13" s="135">
        <f t="shared" si="1"/>
        <v>600</v>
      </c>
      <c r="I13" s="135">
        <f t="shared" si="1"/>
        <v>600</v>
      </c>
      <c r="J13" s="135">
        <f t="shared" si="1"/>
        <v>600</v>
      </c>
      <c r="K13" s="135">
        <f t="shared" si="1"/>
        <v>600</v>
      </c>
      <c r="L13" s="135">
        <f t="shared" si="1"/>
        <v>600</v>
      </c>
      <c r="M13" s="135">
        <f t="shared" si="1"/>
        <v>600</v>
      </c>
      <c r="N13" s="135">
        <f t="shared" si="1"/>
        <v>600</v>
      </c>
      <c r="O13" s="135">
        <f t="shared" si="1"/>
        <v>600</v>
      </c>
      <c r="P13" s="135">
        <f t="shared" si="1"/>
        <v>600</v>
      </c>
      <c r="Q13" s="135">
        <f t="shared" si="1"/>
        <v>600</v>
      </c>
      <c r="R13" s="135">
        <f t="shared" si="1"/>
        <v>600</v>
      </c>
      <c r="S13" s="135">
        <f t="shared" si="1"/>
        <v>600</v>
      </c>
      <c r="T13" s="135">
        <f t="shared" si="1"/>
        <v>600</v>
      </c>
      <c r="U13" s="135">
        <f t="shared" si="1"/>
        <v>600</v>
      </c>
      <c r="V13" s="135">
        <f t="shared" si="1"/>
        <v>600</v>
      </c>
      <c r="W13" s="135">
        <f t="shared" si="1"/>
        <v>600</v>
      </c>
      <c r="X13" s="135">
        <f t="shared" si="1"/>
        <v>480.00000000000011</v>
      </c>
      <c r="Y13" s="135">
        <f t="shared" si="1"/>
        <v>480.00000000000011</v>
      </c>
      <c r="Z13" s="135">
        <f t="shared" si="1"/>
        <v>119.99999999999989</v>
      </c>
      <c r="AA13" s="135">
        <f t="shared" si="1"/>
        <v>480.00000000000011</v>
      </c>
      <c r="AB13" s="135">
        <f t="shared" si="1"/>
        <v>600</v>
      </c>
      <c r="AC13" s="135">
        <f t="shared" si="1"/>
        <v>600</v>
      </c>
      <c r="AD13" s="135">
        <f t="shared" si="1"/>
        <v>600</v>
      </c>
      <c r="AE13" s="135">
        <f t="shared" si="1"/>
        <v>600</v>
      </c>
      <c r="AF13" s="135">
        <f t="shared" si="1"/>
        <v>600</v>
      </c>
      <c r="AG13" s="135">
        <f t="shared" si="1"/>
        <v>600</v>
      </c>
      <c r="AH13" s="135">
        <f t="shared" si="1"/>
        <v>600</v>
      </c>
      <c r="AI13" s="135">
        <f t="shared" si="1"/>
        <v>600</v>
      </c>
      <c r="AJ13" s="135">
        <f t="shared" si="1"/>
        <v>600</v>
      </c>
      <c r="AK13" s="135">
        <f t="shared" si="1"/>
        <v>600</v>
      </c>
      <c r="AL13" s="135">
        <f t="shared" si="1"/>
        <v>600</v>
      </c>
      <c r="AM13" s="135">
        <f t="shared" si="1"/>
        <v>600</v>
      </c>
      <c r="AN13" s="135">
        <f t="shared" si="1"/>
        <v>600</v>
      </c>
      <c r="AO13" s="135">
        <f t="shared" si="1"/>
        <v>600</v>
      </c>
      <c r="AP13" s="135">
        <f t="shared" si="1"/>
        <v>600</v>
      </c>
      <c r="AQ13" s="135">
        <f t="shared" si="1"/>
        <v>0</v>
      </c>
      <c r="AR13" s="135">
        <f t="shared" si="1"/>
        <v>600</v>
      </c>
      <c r="AS13" s="135">
        <f t="shared" si="1"/>
        <v>600</v>
      </c>
      <c r="AT13" s="135">
        <f t="shared" si="1"/>
        <v>600</v>
      </c>
      <c r="AU13" s="135">
        <f t="shared" si="1"/>
        <v>600</v>
      </c>
      <c r="AV13" s="135">
        <f t="shared" si="1"/>
        <v>600</v>
      </c>
      <c r="AW13" s="135">
        <f t="shared" si="1"/>
        <v>242.12926639151698</v>
      </c>
      <c r="AX13" s="135">
        <f t="shared" si="1"/>
        <v>600</v>
      </c>
      <c r="AY13" s="135">
        <f t="shared" si="1"/>
        <v>600</v>
      </c>
      <c r="AZ13" s="107"/>
    </row>
    <row r="14" spans="1:52">
      <c r="A14" s="108"/>
      <c r="B14" s="117">
        <v>2</v>
      </c>
      <c r="C14" s="108">
        <v>0</v>
      </c>
      <c r="D14" s="104">
        <f>IF(C$20="Yes",C13,0)</f>
        <v>0</v>
      </c>
      <c r="E14" s="104">
        <f t="shared" ref="E14:AY17" si="2">IF(D$20="Yes",D13,0)</f>
        <v>0</v>
      </c>
      <c r="F14" s="104">
        <f t="shared" si="2"/>
        <v>0</v>
      </c>
      <c r="G14" s="104">
        <f t="shared" si="2"/>
        <v>0</v>
      </c>
      <c r="H14" s="104">
        <f t="shared" si="2"/>
        <v>0</v>
      </c>
      <c r="I14" s="104">
        <f t="shared" si="2"/>
        <v>0</v>
      </c>
      <c r="J14" s="104">
        <f t="shared" si="2"/>
        <v>0</v>
      </c>
      <c r="K14" s="104">
        <f t="shared" si="2"/>
        <v>0</v>
      </c>
      <c r="L14" s="104">
        <f t="shared" si="2"/>
        <v>0</v>
      </c>
      <c r="M14" s="104">
        <f t="shared" si="2"/>
        <v>0</v>
      </c>
      <c r="N14" s="104">
        <f t="shared" si="2"/>
        <v>0</v>
      </c>
      <c r="O14" s="104">
        <f t="shared" si="2"/>
        <v>0</v>
      </c>
      <c r="P14" s="104">
        <f t="shared" si="2"/>
        <v>0</v>
      </c>
      <c r="Q14" s="104">
        <f t="shared" si="2"/>
        <v>0</v>
      </c>
      <c r="R14" s="104">
        <f t="shared" si="2"/>
        <v>0</v>
      </c>
      <c r="S14" s="104">
        <f t="shared" si="2"/>
        <v>0</v>
      </c>
      <c r="T14" s="104">
        <f t="shared" si="2"/>
        <v>0</v>
      </c>
      <c r="U14" s="104">
        <f t="shared" si="2"/>
        <v>0</v>
      </c>
      <c r="V14" s="104">
        <f t="shared" si="2"/>
        <v>0</v>
      </c>
      <c r="W14" s="104">
        <f t="shared" si="2"/>
        <v>0</v>
      </c>
      <c r="X14" s="104">
        <f t="shared" si="2"/>
        <v>0</v>
      </c>
      <c r="Y14" s="104">
        <f t="shared" si="2"/>
        <v>0</v>
      </c>
      <c r="Z14" s="104">
        <f t="shared" si="2"/>
        <v>480.00000000000011</v>
      </c>
      <c r="AA14" s="104">
        <f t="shared" si="2"/>
        <v>0</v>
      </c>
      <c r="AB14" s="104">
        <f t="shared" si="2"/>
        <v>0</v>
      </c>
      <c r="AC14" s="104">
        <f t="shared" si="2"/>
        <v>0</v>
      </c>
      <c r="AD14" s="104">
        <f t="shared" si="2"/>
        <v>0</v>
      </c>
      <c r="AE14" s="104">
        <f t="shared" si="2"/>
        <v>0</v>
      </c>
      <c r="AF14" s="104">
        <f t="shared" si="2"/>
        <v>0</v>
      </c>
      <c r="AG14" s="104">
        <f t="shared" si="2"/>
        <v>0</v>
      </c>
      <c r="AH14" s="104">
        <f t="shared" si="2"/>
        <v>0</v>
      </c>
      <c r="AI14" s="104">
        <f t="shared" si="2"/>
        <v>0</v>
      </c>
      <c r="AJ14" s="104">
        <f t="shared" si="2"/>
        <v>0</v>
      </c>
      <c r="AK14" s="104">
        <f t="shared" si="2"/>
        <v>0</v>
      </c>
      <c r="AL14" s="104">
        <f t="shared" si="2"/>
        <v>0</v>
      </c>
      <c r="AM14" s="104">
        <f t="shared" si="2"/>
        <v>0</v>
      </c>
      <c r="AN14" s="104">
        <f t="shared" si="2"/>
        <v>0</v>
      </c>
      <c r="AO14" s="104">
        <f t="shared" si="2"/>
        <v>0</v>
      </c>
      <c r="AP14" s="104">
        <f t="shared" si="2"/>
        <v>0</v>
      </c>
      <c r="AQ14" s="104">
        <f t="shared" si="2"/>
        <v>600</v>
      </c>
      <c r="AR14" s="104">
        <f t="shared" si="2"/>
        <v>0</v>
      </c>
      <c r="AS14" s="104">
        <f t="shared" si="2"/>
        <v>0</v>
      </c>
      <c r="AT14" s="104">
        <f t="shared" si="2"/>
        <v>0</v>
      </c>
      <c r="AU14" s="104">
        <f t="shared" si="2"/>
        <v>0</v>
      </c>
      <c r="AV14" s="104">
        <f t="shared" si="2"/>
        <v>0</v>
      </c>
      <c r="AW14" s="104">
        <f t="shared" si="2"/>
        <v>0</v>
      </c>
      <c r="AX14" s="104">
        <f t="shared" si="2"/>
        <v>0</v>
      </c>
      <c r="AY14" s="104">
        <f t="shared" si="2"/>
        <v>0</v>
      </c>
      <c r="AZ14" s="107"/>
    </row>
    <row r="15" spans="1:52">
      <c r="A15" s="108"/>
      <c r="B15" s="124">
        <v>3</v>
      </c>
      <c r="C15" s="108">
        <v>0</v>
      </c>
      <c r="D15" s="104">
        <f>IF(C$20="Yes",C14,0)</f>
        <v>0</v>
      </c>
      <c r="E15" s="104">
        <f t="shared" si="2"/>
        <v>0</v>
      </c>
      <c r="F15" s="104">
        <f t="shared" si="2"/>
        <v>0</v>
      </c>
      <c r="G15" s="104">
        <f t="shared" si="2"/>
        <v>0</v>
      </c>
      <c r="H15" s="104">
        <f t="shared" si="2"/>
        <v>0</v>
      </c>
      <c r="I15" s="104">
        <f t="shared" si="2"/>
        <v>0</v>
      </c>
      <c r="J15" s="104">
        <f t="shared" si="2"/>
        <v>0</v>
      </c>
      <c r="K15" s="104">
        <f t="shared" si="2"/>
        <v>0</v>
      </c>
      <c r="L15" s="104">
        <f t="shared" si="2"/>
        <v>0</v>
      </c>
      <c r="M15" s="104">
        <f t="shared" si="2"/>
        <v>0</v>
      </c>
      <c r="N15" s="104">
        <f t="shared" si="2"/>
        <v>0</v>
      </c>
      <c r="O15" s="104">
        <f t="shared" si="2"/>
        <v>0</v>
      </c>
      <c r="P15" s="104">
        <f t="shared" si="2"/>
        <v>0</v>
      </c>
      <c r="Q15" s="104">
        <f t="shared" si="2"/>
        <v>0</v>
      </c>
      <c r="R15" s="104">
        <f t="shared" si="2"/>
        <v>0</v>
      </c>
      <c r="S15" s="104">
        <f t="shared" si="2"/>
        <v>0</v>
      </c>
      <c r="T15" s="104">
        <f t="shared" si="2"/>
        <v>0</v>
      </c>
      <c r="U15" s="104">
        <f t="shared" si="2"/>
        <v>0</v>
      </c>
      <c r="V15" s="104">
        <f t="shared" si="2"/>
        <v>0</v>
      </c>
      <c r="W15" s="104">
        <f t="shared" si="2"/>
        <v>0</v>
      </c>
      <c r="X15" s="104">
        <f t="shared" si="2"/>
        <v>0</v>
      </c>
      <c r="Y15" s="104">
        <f t="shared" si="2"/>
        <v>0</v>
      </c>
      <c r="Z15" s="104">
        <f t="shared" si="2"/>
        <v>0</v>
      </c>
      <c r="AA15" s="104">
        <f t="shared" si="2"/>
        <v>0</v>
      </c>
      <c r="AB15" s="104">
        <f t="shared" si="2"/>
        <v>0</v>
      </c>
      <c r="AC15" s="104">
        <f t="shared" si="2"/>
        <v>0</v>
      </c>
      <c r="AD15" s="104">
        <f t="shared" si="2"/>
        <v>0</v>
      </c>
      <c r="AE15" s="104">
        <f t="shared" si="2"/>
        <v>0</v>
      </c>
      <c r="AF15" s="104">
        <f t="shared" si="2"/>
        <v>0</v>
      </c>
      <c r="AG15" s="104">
        <f t="shared" si="2"/>
        <v>0</v>
      </c>
      <c r="AH15" s="104">
        <f t="shared" si="2"/>
        <v>0</v>
      </c>
      <c r="AI15" s="104">
        <f t="shared" si="2"/>
        <v>0</v>
      </c>
      <c r="AJ15" s="104">
        <f t="shared" si="2"/>
        <v>0</v>
      </c>
      <c r="AK15" s="104">
        <f t="shared" si="2"/>
        <v>0</v>
      </c>
      <c r="AL15" s="104">
        <f t="shared" si="2"/>
        <v>0</v>
      </c>
      <c r="AM15" s="104">
        <f t="shared" si="2"/>
        <v>0</v>
      </c>
      <c r="AN15" s="104">
        <f t="shared" si="2"/>
        <v>0</v>
      </c>
      <c r="AO15" s="104">
        <f t="shared" si="2"/>
        <v>0</v>
      </c>
      <c r="AP15" s="104">
        <f t="shared" si="2"/>
        <v>0</v>
      </c>
      <c r="AQ15" s="104">
        <f t="shared" si="2"/>
        <v>0</v>
      </c>
      <c r="AR15" s="104">
        <f t="shared" si="2"/>
        <v>0</v>
      </c>
      <c r="AS15" s="104">
        <f t="shared" si="2"/>
        <v>0</v>
      </c>
      <c r="AT15" s="104">
        <f t="shared" si="2"/>
        <v>0</v>
      </c>
      <c r="AU15" s="104">
        <f t="shared" si="2"/>
        <v>0</v>
      </c>
      <c r="AV15" s="104">
        <f t="shared" si="2"/>
        <v>0</v>
      </c>
      <c r="AW15" s="104">
        <f t="shared" si="2"/>
        <v>0</v>
      </c>
      <c r="AX15" s="104">
        <f t="shared" si="2"/>
        <v>0</v>
      </c>
      <c r="AY15" s="104">
        <f t="shared" si="2"/>
        <v>0</v>
      </c>
      <c r="AZ15" s="107"/>
    </row>
    <row r="16" spans="1:52">
      <c r="A16" s="108"/>
      <c r="B16" s="127">
        <v>4</v>
      </c>
      <c r="C16" s="108">
        <v>0</v>
      </c>
      <c r="D16" s="104">
        <f>IF(C$20="Yes",C15,0)</f>
        <v>0</v>
      </c>
      <c r="E16" s="104">
        <f t="shared" si="2"/>
        <v>0</v>
      </c>
      <c r="F16" s="104">
        <f t="shared" si="2"/>
        <v>0</v>
      </c>
      <c r="G16" s="104">
        <f t="shared" si="2"/>
        <v>0</v>
      </c>
      <c r="H16" s="104">
        <f t="shared" si="2"/>
        <v>0</v>
      </c>
      <c r="I16" s="104">
        <f t="shared" si="2"/>
        <v>0</v>
      </c>
      <c r="J16" s="104">
        <f t="shared" si="2"/>
        <v>0</v>
      </c>
      <c r="K16" s="104">
        <f t="shared" si="2"/>
        <v>0</v>
      </c>
      <c r="L16" s="104">
        <f t="shared" si="2"/>
        <v>0</v>
      </c>
      <c r="M16" s="104">
        <f t="shared" si="2"/>
        <v>0</v>
      </c>
      <c r="N16" s="104">
        <f t="shared" si="2"/>
        <v>0</v>
      </c>
      <c r="O16" s="104">
        <f t="shared" si="2"/>
        <v>0</v>
      </c>
      <c r="P16" s="104">
        <f t="shared" si="2"/>
        <v>0</v>
      </c>
      <c r="Q16" s="104">
        <f t="shared" si="2"/>
        <v>0</v>
      </c>
      <c r="R16" s="104">
        <f t="shared" si="2"/>
        <v>0</v>
      </c>
      <c r="S16" s="104">
        <f t="shared" si="2"/>
        <v>0</v>
      </c>
      <c r="T16" s="104">
        <f t="shared" si="2"/>
        <v>0</v>
      </c>
      <c r="U16" s="104">
        <f t="shared" si="2"/>
        <v>0</v>
      </c>
      <c r="V16" s="104">
        <f t="shared" si="2"/>
        <v>0</v>
      </c>
      <c r="W16" s="104">
        <f t="shared" si="2"/>
        <v>0</v>
      </c>
      <c r="X16" s="104">
        <f t="shared" si="2"/>
        <v>0</v>
      </c>
      <c r="Y16" s="104">
        <f t="shared" si="2"/>
        <v>0</v>
      </c>
      <c r="Z16" s="104">
        <f t="shared" si="2"/>
        <v>0</v>
      </c>
      <c r="AA16" s="104">
        <f t="shared" si="2"/>
        <v>0</v>
      </c>
      <c r="AB16" s="104">
        <f t="shared" si="2"/>
        <v>0</v>
      </c>
      <c r="AC16" s="104">
        <f t="shared" si="2"/>
        <v>0</v>
      </c>
      <c r="AD16" s="104">
        <f t="shared" si="2"/>
        <v>0</v>
      </c>
      <c r="AE16" s="104">
        <f t="shared" si="2"/>
        <v>0</v>
      </c>
      <c r="AF16" s="104">
        <f t="shared" si="2"/>
        <v>0</v>
      </c>
      <c r="AG16" s="104">
        <f t="shared" si="2"/>
        <v>0</v>
      </c>
      <c r="AH16" s="104">
        <f t="shared" si="2"/>
        <v>0</v>
      </c>
      <c r="AI16" s="104">
        <f t="shared" si="2"/>
        <v>0</v>
      </c>
      <c r="AJ16" s="104">
        <f t="shared" si="2"/>
        <v>0</v>
      </c>
      <c r="AK16" s="104">
        <f t="shared" si="2"/>
        <v>0</v>
      </c>
      <c r="AL16" s="104">
        <f t="shared" si="2"/>
        <v>0</v>
      </c>
      <c r="AM16" s="104">
        <f t="shared" si="2"/>
        <v>0</v>
      </c>
      <c r="AN16" s="104">
        <f t="shared" si="2"/>
        <v>0</v>
      </c>
      <c r="AO16" s="104">
        <f t="shared" si="2"/>
        <v>0</v>
      </c>
      <c r="AP16" s="104">
        <f t="shared" si="2"/>
        <v>0</v>
      </c>
      <c r="AQ16" s="104">
        <f t="shared" si="2"/>
        <v>0</v>
      </c>
      <c r="AR16" s="104">
        <f t="shared" si="2"/>
        <v>0</v>
      </c>
      <c r="AS16" s="104">
        <f t="shared" si="2"/>
        <v>0</v>
      </c>
      <c r="AT16" s="104">
        <f t="shared" si="2"/>
        <v>0</v>
      </c>
      <c r="AU16" s="104">
        <f t="shared" si="2"/>
        <v>0</v>
      </c>
      <c r="AV16" s="104">
        <f t="shared" si="2"/>
        <v>0</v>
      </c>
      <c r="AW16" s="104">
        <f t="shared" si="2"/>
        <v>0</v>
      </c>
      <c r="AX16" s="104">
        <f t="shared" si="2"/>
        <v>0</v>
      </c>
      <c r="AY16" s="104">
        <f t="shared" si="2"/>
        <v>0</v>
      </c>
      <c r="AZ16" s="125"/>
    </row>
    <row r="17" spans="1:52">
      <c r="A17" s="122"/>
      <c r="B17" s="129" t="s">
        <v>296</v>
      </c>
      <c r="C17" s="122">
        <v>0</v>
      </c>
      <c r="D17" s="111">
        <f>IF(C$20="Yes",C16,0)</f>
        <v>0</v>
      </c>
      <c r="E17" s="111">
        <f t="shared" si="2"/>
        <v>0</v>
      </c>
      <c r="F17" s="111">
        <f t="shared" si="2"/>
        <v>0</v>
      </c>
      <c r="G17" s="111">
        <f t="shared" si="2"/>
        <v>0</v>
      </c>
      <c r="H17" s="111">
        <f t="shared" si="2"/>
        <v>0</v>
      </c>
      <c r="I17" s="111">
        <f t="shared" si="2"/>
        <v>0</v>
      </c>
      <c r="J17" s="111">
        <f t="shared" si="2"/>
        <v>0</v>
      </c>
      <c r="K17" s="111">
        <f t="shared" si="2"/>
        <v>0</v>
      </c>
      <c r="L17" s="111">
        <f t="shared" si="2"/>
        <v>0</v>
      </c>
      <c r="M17" s="111">
        <f t="shared" si="2"/>
        <v>0</v>
      </c>
      <c r="N17" s="111">
        <f t="shared" si="2"/>
        <v>0</v>
      </c>
      <c r="O17" s="111">
        <f t="shared" si="2"/>
        <v>0</v>
      </c>
      <c r="P17" s="111">
        <f t="shared" si="2"/>
        <v>0</v>
      </c>
      <c r="Q17" s="111">
        <f t="shared" si="2"/>
        <v>0</v>
      </c>
      <c r="R17" s="111">
        <f t="shared" si="2"/>
        <v>0</v>
      </c>
      <c r="S17" s="111">
        <f t="shared" si="2"/>
        <v>0</v>
      </c>
      <c r="T17" s="111">
        <f t="shared" si="2"/>
        <v>0</v>
      </c>
      <c r="U17" s="111">
        <f t="shared" si="2"/>
        <v>0</v>
      </c>
      <c r="V17" s="111">
        <f t="shared" si="2"/>
        <v>0</v>
      </c>
      <c r="W17" s="111">
        <f t="shared" si="2"/>
        <v>0</v>
      </c>
      <c r="X17" s="111">
        <f t="shared" si="2"/>
        <v>0</v>
      </c>
      <c r="Y17" s="111">
        <f t="shared" si="2"/>
        <v>0</v>
      </c>
      <c r="Z17" s="111">
        <f t="shared" si="2"/>
        <v>0</v>
      </c>
      <c r="AA17" s="111">
        <f t="shared" si="2"/>
        <v>0</v>
      </c>
      <c r="AB17" s="111">
        <f t="shared" si="2"/>
        <v>0</v>
      </c>
      <c r="AC17" s="111">
        <f t="shared" si="2"/>
        <v>0</v>
      </c>
      <c r="AD17" s="111">
        <f t="shared" si="2"/>
        <v>0</v>
      </c>
      <c r="AE17" s="111">
        <f t="shared" si="2"/>
        <v>0</v>
      </c>
      <c r="AF17" s="111">
        <f t="shared" si="2"/>
        <v>0</v>
      </c>
      <c r="AG17" s="111">
        <f t="shared" si="2"/>
        <v>0</v>
      </c>
      <c r="AH17" s="111">
        <f t="shared" si="2"/>
        <v>0</v>
      </c>
      <c r="AI17" s="111">
        <f t="shared" si="2"/>
        <v>0</v>
      </c>
      <c r="AJ17" s="111">
        <f t="shared" si="2"/>
        <v>0</v>
      </c>
      <c r="AK17" s="111">
        <f t="shared" si="2"/>
        <v>0</v>
      </c>
      <c r="AL17" s="111">
        <f t="shared" si="2"/>
        <v>0</v>
      </c>
      <c r="AM17" s="111">
        <f t="shared" si="2"/>
        <v>0</v>
      </c>
      <c r="AN17" s="111">
        <f t="shared" si="2"/>
        <v>0</v>
      </c>
      <c r="AO17" s="111">
        <f t="shared" si="2"/>
        <v>0</v>
      </c>
      <c r="AP17" s="111">
        <f t="shared" si="2"/>
        <v>0</v>
      </c>
      <c r="AQ17" s="111">
        <f t="shared" si="2"/>
        <v>0</v>
      </c>
      <c r="AR17" s="111">
        <f t="shared" si="2"/>
        <v>0</v>
      </c>
      <c r="AS17" s="111">
        <f t="shared" si="2"/>
        <v>0</v>
      </c>
      <c r="AT17" s="111">
        <f t="shared" si="2"/>
        <v>0</v>
      </c>
      <c r="AU17" s="111">
        <f t="shared" si="2"/>
        <v>0</v>
      </c>
      <c r="AV17" s="111">
        <f t="shared" si="2"/>
        <v>0</v>
      </c>
      <c r="AW17" s="111">
        <f t="shared" si="2"/>
        <v>0</v>
      </c>
      <c r="AX17" s="111">
        <f t="shared" si="2"/>
        <v>0</v>
      </c>
      <c r="AY17" s="111">
        <f t="shared" si="2"/>
        <v>0</v>
      </c>
      <c r="AZ17" s="148">
        <f>SUM($D$17:$AY$17)</f>
        <v>0</v>
      </c>
    </row>
    <row r="18" spans="1:52">
      <c r="A18" s="104"/>
      <c r="B18" s="150"/>
      <c r="C18" s="135"/>
      <c r="D18" s="135"/>
      <c r="E18" s="135"/>
      <c r="F18" s="135"/>
      <c r="G18" s="135"/>
      <c r="H18" s="135"/>
      <c r="I18" s="135"/>
      <c r="J18" s="135"/>
      <c r="K18" s="135"/>
      <c r="L18" s="135"/>
      <c r="M18" s="135"/>
      <c r="N18" s="135"/>
      <c r="O18" s="135"/>
      <c r="P18" s="135"/>
      <c r="Q18" s="135"/>
      <c r="R18" s="135"/>
      <c r="S18" s="135"/>
      <c r="T18" s="135"/>
      <c r="U18" s="135"/>
      <c r="V18" s="135"/>
      <c r="W18" s="135"/>
      <c r="X18" s="135"/>
      <c r="Y18" s="135"/>
      <c r="Z18" s="135"/>
      <c r="AA18" s="135"/>
      <c r="AB18" s="135"/>
      <c r="AC18" s="135"/>
      <c r="AD18" s="135"/>
      <c r="AE18" s="135"/>
      <c r="AF18" s="135"/>
      <c r="AG18" s="135"/>
      <c r="AH18" s="135"/>
      <c r="AI18" s="135"/>
      <c r="AJ18" s="135"/>
      <c r="AK18" s="135"/>
      <c r="AL18" s="135"/>
      <c r="AM18" s="135"/>
      <c r="AN18" s="135"/>
      <c r="AO18" s="135"/>
      <c r="AP18" s="135"/>
      <c r="AQ18" s="135"/>
      <c r="AR18" s="135"/>
      <c r="AS18" s="135"/>
      <c r="AT18" s="135"/>
      <c r="AU18" s="135"/>
      <c r="AV18" s="135"/>
      <c r="AW18" s="135"/>
      <c r="AX18" s="135"/>
      <c r="AY18" s="135"/>
      <c r="AZ18" s="104"/>
    </row>
    <row r="19" spans="1:52">
      <c r="A19" s="1" t="s">
        <v>116</v>
      </c>
      <c r="B19" s="104"/>
      <c r="C19" s="104"/>
      <c r="D19" s="104"/>
      <c r="E19" s="104"/>
      <c r="F19" s="104"/>
      <c r="G19" s="104"/>
      <c r="H19" s="104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F19" s="104"/>
      <c r="AG19" s="104"/>
      <c r="AH19" s="104"/>
      <c r="AI19" s="104"/>
      <c r="AJ19" s="104"/>
      <c r="AK19" s="104"/>
      <c r="AL19" s="104"/>
      <c r="AM19" s="104"/>
      <c r="AN19" s="104"/>
      <c r="AO19" s="104"/>
      <c r="AP19" s="104"/>
      <c r="AQ19" s="104"/>
      <c r="AR19" s="104"/>
      <c r="AS19" s="104"/>
      <c r="AT19" s="104"/>
      <c r="AU19" s="104"/>
      <c r="AV19" s="104"/>
      <c r="AW19" s="104"/>
      <c r="AX19" s="104"/>
      <c r="AY19" s="104"/>
    </row>
    <row r="20" spans="1:52" s="108" customFormat="1">
      <c r="A20" s="112" t="s">
        <v>305</v>
      </c>
      <c r="B20" s="151" t="s">
        <v>306</v>
      </c>
      <c r="C20" s="114"/>
      <c r="D20" s="114"/>
      <c r="E20" s="114"/>
      <c r="F20" s="114"/>
      <c r="G20" s="114"/>
      <c r="H20" s="114"/>
      <c r="I20" s="114"/>
      <c r="J20" s="114"/>
      <c r="K20" s="114"/>
      <c r="L20" s="114"/>
      <c r="M20" s="114"/>
      <c r="N20" s="114"/>
      <c r="O20" s="114"/>
      <c r="P20" s="114"/>
      <c r="Q20" s="114"/>
      <c r="R20" s="114"/>
      <c r="S20" s="114"/>
      <c r="T20" s="114"/>
      <c r="U20" s="114"/>
      <c r="V20" s="114"/>
      <c r="W20" s="114"/>
      <c r="X20" s="114"/>
      <c r="Y20" s="114" t="s">
        <v>339</v>
      </c>
      <c r="Z20" s="114"/>
      <c r="AA20" s="114"/>
      <c r="AB20" s="114"/>
      <c r="AC20" s="114"/>
      <c r="AD20" s="114"/>
      <c r="AE20" s="114"/>
      <c r="AF20" s="114"/>
      <c r="AG20" s="114"/>
      <c r="AH20" s="114"/>
      <c r="AI20" s="114"/>
      <c r="AJ20" s="114"/>
      <c r="AK20" s="114"/>
      <c r="AL20" s="114"/>
      <c r="AM20" s="114"/>
      <c r="AN20" s="114"/>
      <c r="AO20" s="114"/>
      <c r="AP20" s="114" t="s">
        <v>339</v>
      </c>
      <c r="AQ20" s="114"/>
      <c r="AR20" s="114"/>
      <c r="AS20" s="114"/>
      <c r="AT20" s="114"/>
      <c r="AU20" s="114"/>
      <c r="AV20" s="114"/>
      <c r="AW20" s="114"/>
      <c r="AX20" s="114"/>
      <c r="AY20" s="114"/>
      <c r="AZ20" s="105"/>
    </row>
    <row r="21" spans="1:52" s="108" customFormat="1">
      <c r="A21" s="152" t="s">
        <v>133</v>
      </c>
      <c r="B21" s="153">
        <f>shipping_manufacturing!$C$19/100</f>
        <v>0.48123502778159638</v>
      </c>
      <c r="C21" s="153" t="s">
        <v>293</v>
      </c>
      <c r="D21" s="104">
        <f>IF(C$20="Yes",0,SUM(C$13:C$16)*$B$21)</f>
        <v>288.74101666895785</v>
      </c>
      <c r="E21" s="104">
        <f t="shared" ref="E21:AY21" si="3">IF(D$20="Yes",0,SUM(D$13:D$16)*$B$21)</f>
        <v>288.74101666895785</v>
      </c>
      <c r="F21" s="104">
        <f t="shared" si="3"/>
        <v>288.74101666895785</v>
      </c>
      <c r="G21" s="104">
        <f t="shared" si="3"/>
        <v>288.74101666895785</v>
      </c>
      <c r="H21" s="104">
        <f t="shared" si="3"/>
        <v>288.74101666895785</v>
      </c>
      <c r="I21" s="104">
        <f t="shared" si="3"/>
        <v>288.74101666895785</v>
      </c>
      <c r="J21" s="104">
        <f t="shared" si="3"/>
        <v>288.74101666895785</v>
      </c>
      <c r="K21" s="104">
        <f t="shared" si="3"/>
        <v>288.74101666895785</v>
      </c>
      <c r="L21" s="104">
        <f t="shared" si="3"/>
        <v>288.74101666895785</v>
      </c>
      <c r="M21" s="104">
        <f t="shared" si="3"/>
        <v>288.74101666895785</v>
      </c>
      <c r="N21" s="104">
        <f t="shared" si="3"/>
        <v>288.74101666895785</v>
      </c>
      <c r="O21" s="104">
        <f t="shared" si="3"/>
        <v>288.74101666895785</v>
      </c>
      <c r="P21" s="104">
        <f t="shared" si="3"/>
        <v>288.74101666895785</v>
      </c>
      <c r="Q21" s="104">
        <f t="shared" si="3"/>
        <v>288.74101666895785</v>
      </c>
      <c r="R21" s="104">
        <f t="shared" si="3"/>
        <v>288.74101666895785</v>
      </c>
      <c r="S21" s="104">
        <f t="shared" si="3"/>
        <v>288.74101666895785</v>
      </c>
      <c r="T21" s="104">
        <f t="shared" si="3"/>
        <v>288.74101666895785</v>
      </c>
      <c r="U21" s="104">
        <f t="shared" si="3"/>
        <v>288.74101666895785</v>
      </c>
      <c r="V21" s="104">
        <f t="shared" si="3"/>
        <v>288.74101666895785</v>
      </c>
      <c r="W21" s="104">
        <f t="shared" si="3"/>
        <v>288.74101666895785</v>
      </c>
      <c r="X21" s="104">
        <f t="shared" si="3"/>
        <v>288.74101666895785</v>
      </c>
      <c r="Y21" s="104">
        <f t="shared" si="3"/>
        <v>230.99281333516632</v>
      </c>
      <c r="Z21" s="104">
        <f t="shared" si="3"/>
        <v>0</v>
      </c>
      <c r="AA21" s="104">
        <f t="shared" si="3"/>
        <v>288.74101666895785</v>
      </c>
      <c r="AB21" s="104">
        <f t="shared" si="3"/>
        <v>230.99281333516632</v>
      </c>
      <c r="AC21" s="104">
        <f t="shared" si="3"/>
        <v>288.74101666895785</v>
      </c>
      <c r="AD21" s="104">
        <f t="shared" si="3"/>
        <v>288.74101666895785</v>
      </c>
      <c r="AE21" s="104">
        <f t="shared" si="3"/>
        <v>288.74101666895785</v>
      </c>
      <c r="AF21" s="104">
        <f t="shared" si="3"/>
        <v>288.74101666895785</v>
      </c>
      <c r="AG21" s="104">
        <f t="shared" si="3"/>
        <v>288.74101666895785</v>
      </c>
      <c r="AH21" s="104">
        <f t="shared" si="3"/>
        <v>288.74101666895785</v>
      </c>
      <c r="AI21" s="104">
        <f t="shared" si="3"/>
        <v>288.74101666895785</v>
      </c>
      <c r="AJ21" s="104">
        <f t="shared" si="3"/>
        <v>288.74101666895785</v>
      </c>
      <c r="AK21" s="104">
        <f t="shared" si="3"/>
        <v>288.74101666895785</v>
      </c>
      <c r="AL21" s="104">
        <f t="shared" si="3"/>
        <v>288.74101666895785</v>
      </c>
      <c r="AM21" s="104">
        <f t="shared" si="3"/>
        <v>288.74101666895785</v>
      </c>
      <c r="AN21" s="104">
        <f t="shared" si="3"/>
        <v>288.74101666895785</v>
      </c>
      <c r="AO21" s="104">
        <f t="shared" si="3"/>
        <v>288.74101666895785</v>
      </c>
      <c r="AP21" s="104">
        <f t="shared" si="3"/>
        <v>288.74101666895785</v>
      </c>
      <c r="AQ21" s="104">
        <f t="shared" si="3"/>
        <v>0</v>
      </c>
      <c r="AR21" s="104">
        <f t="shared" si="3"/>
        <v>288.74101666895785</v>
      </c>
      <c r="AS21" s="104">
        <f t="shared" si="3"/>
        <v>288.74101666895785</v>
      </c>
      <c r="AT21" s="104">
        <f t="shared" si="3"/>
        <v>288.74101666895785</v>
      </c>
      <c r="AU21" s="104">
        <f t="shared" si="3"/>
        <v>288.74101666895785</v>
      </c>
      <c r="AV21" s="104">
        <f t="shared" si="3"/>
        <v>288.74101666895785</v>
      </c>
      <c r="AW21" s="104">
        <f t="shared" si="3"/>
        <v>288.74101666895785</v>
      </c>
      <c r="AX21" s="104">
        <f t="shared" si="3"/>
        <v>116.52108423865923</v>
      </c>
      <c r="AY21" s="104">
        <f t="shared" si="3"/>
        <v>288.74101666895785</v>
      </c>
      <c r="AZ21" s="154">
        <f>SUM($D21:$AY21)</f>
        <v>12994.370427674192</v>
      </c>
    </row>
    <row r="22" spans="1:52" s="108" customFormat="1">
      <c r="A22" s="155" t="s">
        <v>123</v>
      </c>
      <c r="B22" s="156">
        <f>1-$B$21</f>
        <v>0.51876497221840356</v>
      </c>
      <c r="C22" s="156" t="s">
        <v>293</v>
      </c>
      <c r="D22" s="111">
        <f>IF(C$20="Yes",0,SUM(C$13:C$16)*$B$22)</f>
        <v>311.25898333104215</v>
      </c>
      <c r="E22" s="111">
        <f t="shared" ref="E22:AY22" si="4">IF(D$20="Yes",0,SUM(D$13:D$16)*$B$22)</f>
        <v>311.25898333104215</v>
      </c>
      <c r="F22" s="111">
        <f t="shared" si="4"/>
        <v>311.25898333104215</v>
      </c>
      <c r="G22" s="111">
        <f t="shared" si="4"/>
        <v>311.25898333104215</v>
      </c>
      <c r="H22" s="111">
        <f t="shared" si="4"/>
        <v>311.25898333104215</v>
      </c>
      <c r="I22" s="111">
        <f t="shared" si="4"/>
        <v>311.25898333104215</v>
      </c>
      <c r="J22" s="111">
        <f t="shared" si="4"/>
        <v>311.25898333104215</v>
      </c>
      <c r="K22" s="111">
        <f t="shared" si="4"/>
        <v>311.25898333104215</v>
      </c>
      <c r="L22" s="111">
        <f t="shared" si="4"/>
        <v>311.25898333104215</v>
      </c>
      <c r="M22" s="111">
        <f t="shared" si="4"/>
        <v>311.25898333104215</v>
      </c>
      <c r="N22" s="111">
        <f t="shared" si="4"/>
        <v>311.25898333104215</v>
      </c>
      <c r="O22" s="111">
        <f t="shared" si="4"/>
        <v>311.25898333104215</v>
      </c>
      <c r="P22" s="111">
        <f t="shared" si="4"/>
        <v>311.25898333104215</v>
      </c>
      <c r="Q22" s="111">
        <f t="shared" si="4"/>
        <v>311.25898333104215</v>
      </c>
      <c r="R22" s="111">
        <f t="shared" si="4"/>
        <v>311.25898333104215</v>
      </c>
      <c r="S22" s="111">
        <f t="shared" si="4"/>
        <v>311.25898333104215</v>
      </c>
      <c r="T22" s="111">
        <f t="shared" si="4"/>
        <v>311.25898333104215</v>
      </c>
      <c r="U22" s="111">
        <f t="shared" si="4"/>
        <v>311.25898333104215</v>
      </c>
      <c r="V22" s="111">
        <f t="shared" si="4"/>
        <v>311.25898333104215</v>
      </c>
      <c r="W22" s="111">
        <f t="shared" si="4"/>
        <v>311.25898333104215</v>
      </c>
      <c r="X22" s="111">
        <f t="shared" si="4"/>
        <v>311.25898333104215</v>
      </c>
      <c r="Y22" s="111">
        <f t="shared" si="4"/>
        <v>249.00718666483377</v>
      </c>
      <c r="Z22" s="111">
        <f t="shared" si="4"/>
        <v>0</v>
      </c>
      <c r="AA22" s="111">
        <f t="shared" si="4"/>
        <v>311.25898333104215</v>
      </c>
      <c r="AB22" s="111">
        <f t="shared" si="4"/>
        <v>249.00718666483377</v>
      </c>
      <c r="AC22" s="111">
        <f t="shared" si="4"/>
        <v>311.25898333104215</v>
      </c>
      <c r="AD22" s="111">
        <f t="shared" si="4"/>
        <v>311.25898333104215</v>
      </c>
      <c r="AE22" s="111">
        <f t="shared" si="4"/>
        <v>311.25898333104215</v>
      </c>
      <c r="AF22" s="111">
        <f t="shared" si="4"/>
        <v>311.25898333104215</v>
      </c>
      <c r="AG22" s="111">
        <f t="shared" si="4"/>
        <v>311.25898333104215</v>
      </c>
      <c r="AH22" s="111">
        <f t="shared" si="4"/>
        <v>311.25898333104215</v>
      </c>
      <c r="AI22" s="111">
        <f t="shared" si="4"/>
        <v>311.25898333104215</v>
      </c>
      <c r="AJ22" s="111">
        <f t="shared" si="4"/>
        <v>311.25898333104215</v>
      </c>
      <c r="AK22" s="111">
        <f t="shared" si="4"/>
        <v>311.25898333104215</v>
      </c>
      <c r="AL22" s="111">
        <f t="shared" si="4"/>
        <v>311.25898333104215</v>
      </c>
      <c r="AM22" s="111">
        <f t="shared" si="4"/>
        <v>311.25898333104215</v>
      </c>
      <c r="AN22" s="111">
        <f t="shared" si="4"/>
        <v>311.25898333104215</v>
      </c>
      <c r="AO22" s="111">
        <f t="shared" si="4"/>
        <v>311.25898333104215</v>
      </c>
      <c r="AP22" s="111">
        <f t="shared" si="4"/>
        <v>311.25898333104215</v>
      </c>
      <c r="AQ22" s="111">
        <f t="shared" si="4"/>
        <v>0</v>
      </c>
      <c r="AR22" s="111">
        <f t="shared" si="4"/>
        <v>311.25898333104215</v>
      </c>
      <c r="AS22" s="111">
        <f t="shared" si="4"/>
        <v>311.25898333104215</v>
      </c>
      <c r="AT22" s="111">
        <f t="shared" si="4"/>
        <v>311.25898333104215</v>
      </c>
      <c r="AU22" s="111">
        <f t="shared" si="4"/>
        <v>311.25898333104215</v>
      </c>
      <c r="AV22" s="111">
        <f t="shared" si="4"/>
        <v>311.25898333104215</v>
      </c>
      <c r="AW22" s="111">
        <f t="shared" si="4"/>
        <v>311.25898333104215</v>
      </c>
      <c r="AX22" s="111">
        <f t="shared" si="4"/>
        <v>125.60818215285774</v>
      </c>
      <c r="AY22" s="111">
        <f t="shared" si="4"/>
        <v>311.25898333104215</v>
      </c>
      <c r="AZ22" s="138">
        <f t="shared" ref="AZ22:AZ30" si="5">SUM($D22:$AY22)</f>
        <v>14007.75883871732</v>
      </c>
    </row>
    <row r="23" spans="1:52">
      <c r="A23" s="157" t="s">
        <v>307</v>
      </c>
      <c r="B23" s="121">
        <v>2000</v>
      </c>
      <c r="C23" t="s">
        <v>293</v>
      </c>
      <c r="D23">
        <f>D$21*$B$23</f>
        <v>577482.03333791567</v>
      </c>
      <c r="E23">
        <f t="shared" ref="E23:AY23" si="6">E$21*$B$23</f>
        <v>577482.03333791567</v>
      </c>
      <c r="F23">
        <f t="shared" si="6"/>
        <v>577482.03333791567</v>
      </c>
      <c r="G23">
        <f t="shared" si="6"/>
        <v>577482.03333791567</v>
      </c>
      <c r="H23">
        <f t="shared" si="6"/>
        <v>577482.03333791567</v>
      </c>
      <c r="I23">
        <f t="shared" si="6"/>
        <v>577482.03333791567</v>
      </c>
      <c r="J23">
        <f t="shared" si="6"/>
        <v>577482.03333791567</v>
      </c>
      <c r="K23">
        <f t="shared" si="6"/>
        <v>577482.03333791567</v>
      </c>
      <c r="L23">
        <f t="shared" si="6"/>
        <v>577482.03333791567</v>
      </c>
      <c r="M23">
        <f t="shared" si="6"/>
        <v>577482.03333791567</v>
      </c>
      <c r="N23">
        <f t="shared" si="6"/>
        <v>577482.03333791567</v>
      </c>
      <c r="O23">
        <f t="shared" si="6"/>
        <v>577482.03333791567</v>
      </c>
      <c r="P23">
        <f t="shared" si="6"/>
        <v>577482.03333791567</v>
      </c>
      <c r="Q23">
        <f t="shared" si="6"/>
        <v>577482.03333791567</v>
      </c>
      <c r="R23">
        <f t="shared" si="6"/>
        <v>577482.03333791567</v>
      </c>
      <c r="S23">
        <f t="shared" si="6"/>
        <v>577482.03333791567</v>
      </c>
      <c r="T23">
        <f t="shared" si="6"/>
        <v>577482.03333791567</v>
      </c>
      <c r="U23">
        <f t="shared" si="6"/>
        <v>577482.03333791567</v>
      </c>
      <c r="V23">
        <f t="shared" si="6"/>
        <v>577482.03333791567</v>
      </c>
      <c r="W23">
        <f t="shared" si="6"/>
        <v>577482.03333791567</v>
      </c>
      <c r="X23">
        <f t="shared" si="6"/>
        <v>577482.03333791567</v>
      </c>
      <c r="Y23">
        <f t="shared" si="6"/>
        <v>461985.62667033263</v>
      </c>
      <c r="Z23">
        <f t="shared" si="6"/>
        <v>0</v>
      </c>
      <c r="AA23">
        <f t="shared" si="6"/>
        <v>577482.03333791567</v>
      </c>
      <c r="AB23">
        <f t="shared" si="6"/>
        <v>461985.62667033263</v>
      </c>
      <c r="AC23">
        <f t="shared" si="6"/>
        <v>577482.03333791567</v>
      </c>
      <c r="AD23">
        <f t="shared" si="6"/>
        <v>577482.03333791567</v>
      </c>
      <c r="AE23">
        <f t="shared" si="6"/>
        <v>577482.03333791567</v>
      </c>
      <c r="AF23">
        <f t="shared" si="6"/>
        <v>577482.03333791567</v>
      </c>
      <c r="AG23">
        <f t="shared" si="6"/>
        <v>577482.03333791567</v>
      </c>
      <c r="AH23">
        <f t="shared" si="6"/>
        <v>577482.03333791567</v>
      </c>
      <c r="AI23">
        <f t="shared" si="6"/>
        <v>577482.03333791567</v>
      </c>
      <c r="AJ23">
        <f t="shared" si="6"/>
        <v>577482.03333791567</v>
      </c>
      <c r="AK23">
        <f t="shared" si="6"/>
        <v>577482.03333791567</v>
      </c>
      <c r="AL23">
        <f t="shared" si="6"/>
        <v>577482.03333791567</v>
      </c>
      <c r="AM23">
        <f t="shared" si="6"/>
        <v>577482.03333791567</v>
      </c>
      <c r="AN23">
        <f t="shared" si="6"/>
        <v>577482.03333791567</v>
      </c>
      <c r="AO23">
        <f t="shared" si="6"/>
        <v>577482.03333791567</v>
      </c>
      <c r="AP23">
        <f t="shared" si="6"/>
        <v>577482.03333791567</v>
      </c>
      <c r="AQ23">
        <f t="shared" si="6"/>
        <v>0</v>
      </c>
      <c r="AR23">
        <f t="shared" si="6"/>
        <v>577482.03333791567</v>
      </c>
      <c r="AS23">
        <f t="shared" si="6"/>
        <v>577482.03333791567</v>
      </c>
      <c r="AT23">
        <f t="shared" si="6"/>
        <v>577482.03333791567</v>
      </c>
      <c r="AU23">
        <f t="shared" si="6"/>
        <v>577482.03333791567</v>
      </c>
      <c r="AV23">
        <f t="shared" si="6"/>
        <v>577482.03333791567</v>
      </c>
      <c r="AW23">
        <f t="shared" si="6"/>
        <v>577482.03333791567</v>
      </c>
      <c r="AX23">
        <f t="shared" si="6"/>
        <v>233042.16847731845</v>
      </c>
      <c r="AY23">
        <f t="shared" si="6"/>
        <v>577482.03333791567</v>
      </c>
      <c r="AZ23" s="136">
        <f t="shared" si="5"/>
        <v>25988740.855348375</v>
      </c>
    </row>
    <row r="24" spans="1:52" s="108" customFormat="1">
      <c r="A24" s="158" t="s">
        <v>308</v>
      </c>
      <c r="B24" s="159">
        <v>1000</v>
      </c>
      <c r="C24" s="153" t="s">
        <v>293</v>
      </c>
      <c r="D24" s="104">
        <f>D$22*$B$24</f>
        <v>311258.98333104217</v>
      </c>
      <c r="E24" s="104">
        <f t="shared" ref="E24:AY24" si="7">E$22*$B$24</f>
        <v>311258.98333104217</v>
      </c>
      <c r="F24" s="104">
        <f t="shared" si="7"/>
        <v>311258.98333104217</v>
      </c>
      <c r="G24" s="104">
        <f t="shared" si="7"/>
        <v>311258.98333104217</v>
      </c>
      <c r="H24" s="104">
        <f t="shared" si="7"/>
        <v>311258.98333104217</v>
      </c>
      <c r="I24" s="104">
        <f t="shared" si="7"/>
        <v>311258.98333104217</v>
      </c>
      <c r="J24" s="104">
        <f t="shared" si="7"/>
        <v>311258.98333104217</v>
      </c>
      <c r="K24" s="104">
        <f t="shared" si="7"/>
        <v>311258.98333104217</v>
      </c>
      <c r="L24" s="104">
        <f t="shared" si="7"/>
        <v>311258.98333104217</v>
      </c>
      <c r="M24" s="104">
        <f t="shared" si="7"/>
        <v>311258.98333104217</v>
      </c>
      <c r="N24" s="104">
        <f t="shared" si="7"/>
        <v>311258.98333104217</v>
      </c>
      <c r="O24" s="104">
        <f t="shared" si="7"/>
        <v>311258.98333104217</v>
      </c>
      <c r="P24" s="104">
        <f t="shared" si="7"/>
        <v>311258.98333104217</v>
      </c>
      <c r="Q24" s="104">
        <f t="shared" si="7"/>
        <v>311258.98333104217</v>
      </c>
      <c r="R24" s="104">
        <f t="shared" si="7"/>
        <v>311258.98333104217</v>
      </c>
      <c r="S24" s="104">
        <f t="shared" si="7"/>
        <v>311258.98333104217</v>
      </c>
      <c r="T24" s="104">
        <f t="shared" si="7"/>
        <v>311258.98333104217</v>
      </c>
      <c r="U24" s="104">
        <f t="shared" si="7"/>
        <v>311258.98333104217</v>
      </c>
      <c r="V24" s="104">
        <f t="shared" si="7"/>
        <v>311258.98333104217</v>
      </c>
      <c r="W24" s="104">
        <f t="shared" si="7"/>
        <v>311258.98333104217</v>
      </c>
      <c r="X24" s="104">
        <f t="shared" si="7"/>
        <v>311258.98333104217</v>
      </c>
      <c r="Y24" s="104">
        <f t="shared" si="7"/>
        <v>249007.18666483377</v>
      </c>
      <c r="Z24" s="104">
        <f t="shared" si="7"/>
        <v>0</v>
      </c>
      <c r="AA24" s="104">
        <f t="shared" si="7"/>
        <v>311258.98333104217</v>
      </c>
      <c r="AB24" s="104">
        <f t="shared" si="7"/>
        <v>249007.18666483377</v>
      </c>
      <c r="AC24" s="104">
        <f t="shared" si="7"/>
        <v>311258.98333104217</v>
      </c>
      <c r="AD24" s="104">
        <f t="shared" si="7"/>
        <v>311258.98333104217</v>
      </c>
      <c r="AE24" s="104">
        <f t="shared" si="7"/>
        <v>311258.98333104217</v>
      </c>
      <c r="AF24" s="104">
        <f t="shared" si="7"/>
        <v>311258.98333104217</v>
      </c>
      <c r="AG24" s="104">
        <f t="shared" si="7"/>
        <v>311258.98333104217</v>
      </c>
      <c r="AH24" s="104">
        <f t="shared" si="7"/>
        <v>311258.98333104217</v>
      </c>
      <c r="AI24" s="104">
        <f t="shared" si="7"/>
        <v>311258.98333104217</v>
      </c>
      <c r="AJ24" s="104">
        <f t="shared" si="7"/>
        <v>311258.98333104217</v>
      </c>
      <c r="AK24" s="104">
        <f t="shared" si="7"/>
        <v>311258.98333104217</v>
      </c>
      <c r="AL24" s="104">
        <f t="shared" si="7"/>
        <v>311258.98333104217</v>
      </c>
      <c r="AM24" s="104">
        <f t="shared" si="7"/>
        <v>311258.98333104217</v>
      </c>
      <c r="AN24" s="104">
        <f t="shared" si="7"/>
        <v>311258.98333104217</v>
      </c>
      <c r="AO24" s="104">
        <f t="shared" si="7"/>
        <v>311258.98333104217</v>
      </c>
      <c r="AP24" s="104">
        <f t="shared" si="7"/>
        <v>311258.98333104217</v>
      </c>
      <c r="AQ24" s="104">
        <f t="shared" si="7"/>
        <v>0</v>
      </c>
      <c r="AR24" s="104">
        <f t="shared" si="7"/>
        <v>311258.98333104217</v>
      </c>
      <c r="AS24" s="104">
        <f t="shared" si="7"/>
        <v>311258.98333104217</v>
      </c>
      <c r="AT24" s="104">
        <f t="shared" si="7"/>
        <v>311258.98333104217</v>
      </c>
      <c r="AU24" s="104">
        <f t="shared" si="7"/>
        <v>311258.98333104217</v>
      </c>
      <c r="AV24" s="104">
        <f t="shared" si="7"/>
        <v>311258.98333104217</v>
      </c>
      <c r="AW24" s="104">
        <f t="shared" si="7"/>
        <v>311258.98333104217</v>
      </c>
      <c r="AX24" s="104">
        <f t="shared" si="7"/>
        <v>125608.18215285774</v>
      </c>
      <c r="AY24" s="104">
        <f t="shared" si="7"/>
        <v>311258.98333104217</v>
      </c>
      <c r="AZ24" s="138">
        <f t="shared" si="5"/>
        <v>14007758.838717328</v>
      </c>
    </row>
    <row r="25" spans="1:52">
      <c r="C25" s="135"/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5"/>
      <c r="Q25" s="135"/>
      <c r="R25" s="135"/>
      <c r="S25" s="135"/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5"/>
      <c r="AG25" s="135"/>
      <c r="AH25" s="135"/>
      <c r="AI25" s="135"/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5"/>
      <c r="AW25" s="135"/>
      <c r="AX25" s="135"/>
      <c r="AY25" s="135"/>
      <c r="AZ25" s="104"/>
    </row>
    <row r="26" spans="1:52">
      <c r="A26" s="160" t="s">
        <v>18</v>
      </c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104"/>
      <c r="AM26" s="104"/>
      <c r="AN26" s="104"/>
      <c r="AO26" s="104"/>
      <c r="AP26" s="104"/>
      <c r="AQ26" s="104"/>
      <c r="AR26" s="104"/>
      <c r="AS26" s="104"/>
      <c r="AT26" s="104"/>
      <c r="AU26" s="104"/>
      <c r="AV26" s="104"/>
      <c r="AW26" s="104"/>
      <c r="AX26" s="104"/>
      <c r="AY26" s="104"/>
      <c r="AZ26" s="104"/>
    </row>
    <row r="27" spans="1:52">
      <c r="B27" s="132" t="s">
        <v>309</v>
      </c>
      <c r="C27" s="121">
        <v>1</v>
      </c>
      <c r="D27" s="121">
        <f>C$27-C$28+C$29</f>
        <v>21</v>
      </c>
      <c r="E27" s="121">
        <f t="shared" ref="E27:AY27" si="8">D27-D28+D29</f>
        <v>1</v>
      </c>
      <c r="F27" s="121">
        <f t="shared" si="8"/>
        <v>21</v>
      </c>
      <c r="G27" s="121">
        <f t="shared" si="8"/>
        <v>1</v>
      </c>
      <c r="H27" s="121">
        <f t="shared" si="8"/>
        <v>21</v>
      </c>
      <c r="I27" s="121">
        <f t="shared" si="8"/>
        <v>1</v>
      </c>
      <c r="J27" s="121">
        <f t="shared" si="8"/>
        <v>21</v>
      </c>
      <c r="K27" s="121">
        <f t="shared" si="8"/>
        <v>1</v>
      </c>
      <c r="L27" s="121">
        <f t="shared" si="8"/>
        <v>21</v>
      </c>
      <c r="M27" s="121">
        <f t="shared" si="8"/>
        <v>1</v>
      </c>
      <c r="N27" s="121">
        <f t="shared" si="8"/>
        <v>21</v>
      </c>
      <c r="O27" s="121">
        <f t="shared" si="8"/>
        <v>1</v>
      </c>
      <c r="P27" s="121">
        <f t="shared" si="8"/>
        <v>21</v>
      </c>
      <c r="Q27" s="121">
        <f t="shared" si="8"/>
        <v>1</v>
      </c>
      <c r="R27" s="121">
        <f t="shared" si="8"/>
        <v>21</v>
      </c>
      <c r="S27" s="121">
        <f t="shared" si="8"/>
        <v>1</v>
      </c>
      <c r="T27" s="121">
        <f t="shared" si="8"/>
        <v>21</v>
      </c>
      <c r="U27" s="121">
        <f t="shared" si="8"/>
        <v>1</v>
      </c>
      <c r="V27" s="121">
        <f t="shared" si="8"/>
        <v>21</v>
      </c>
      <c r="W27" s="121">
        <f t="shared" si="8"/>
        <v>1</v>
      </c>
      <c r="X27" s="121">
        <f t="shared" si="8"/>
        <v>21</v>
      </c>
      <c r="Y27" s="121">
        <f t="shared" si="8"/>
        <v>1</v>
      </c>
      <c r="Z27" s="121">
        <f t="shared" si="8"/>
        <v>21</v>
      </c>
      <c r="AA27" s="121">
        <f t="shared" si="8"/>
        <v>22</v>
      </c>
      <c r="AB27" s="121">
        <f t="shared" si="8"/>
        <v>1</v>
      </c>
      <c r="AC27" s="121">
        <f t="shared" si="8"/>
        <v>21</v>
      </c>
      <c r="AD27" s="121">
        <f t="shared" si="8"/>
        <v>1</v>
      </c>
      <c r="AE27" s="121">
        <f t="shared" si="8"/>
        <v>21</v>
      </c>
      <c r="AF27" s="121">
        <f t="shared" si="8"/>
        <v>1</v>
      </c>
      <c r="AG27" s="121">
        <f t="shared" si="8"/>
        <v>21</v>
      </c>
      <c r="AH27" s="121">
        <f t="shared" si="8"/>
        <v>1</v>
      </c>
      <c r="AI27" s="121">
        <f t="shared" si="8"/>
        <v>21</v>
      </c>
      <c r="AJ27" s="121">
        <f t="shared" si="8"/>
        <v>1</v>
      </c>
      <c r="AK27" s="121">
        <f t="shared" si="8"/>
        <v>21</v>
      </c>
      <c r="AL27" s="121">
        <f t="shared" si="8"/>
        <v>1</v>
      </c>
      <c r="AM27" s="121">
        <f t="shared" si="8"/>
        <v>21</v>
      </c>
      <c r="AN27" s="121">
        <f t="shared" si="8"/>
        <v>1</v>
      </c>
      <c r="AO27" s="121">
        <f t="shared" si="8"/>
        <v>21</v>
      </c>
      <c r="AP27" s="121">
        <f t="shared" si="8"/>
        <v>1</v>
      </c>
      <c r="AQ27" s="121">
        <f t="shared" si="8"/>
        <v>21</v>
      </c>
      <c r="AR27" s="121">
        <f t="shared" si="8"/>
        <v>22</v>
      </c>
      <c r="AS27" s="121">
        <f t="shared" si="8"/>
        <v>1</v>
      </c>
      <c r="AT27" s="121">
        <f t="shared" si="8"/>
        <v>21</v>
      </c>
      <c r="AU27" s="121">
        <f t="shared" si="8"/>
        <v>1</v>
      </c>
      <c r="AV27" s="121">
        <f t="shared" si="8"/>
        <v>21</v>
      </c>
      <c r="AW27" s="121">
        <f t="shared" si="8"/>
        <v>1</v>
      </c>
      <c r="AX27" s="121">
        <f t="shared" si="8"/>
        <v>21</v>
      </c>
      <c r="AY27" s="161">
        <f t="shared" si="8"/>
        <v>13</v>
      </c>
      <c r="AZ27" s="104"/>
    </row>
    <row r="28" spans="1:52">
      <c r="B28" s="162" t="s">
        <v>310</v>
      </c>
      <c r="C28" s="108">
        <v>1</v>
      </c>
      <c r="D28" s="108">
        <v>21</v>
      </c>
      <c r="E28" s="108">
        <v>1</v>
      </c>
      <c r="F28" s="108">
        <v>21</v>
      </c>
      <c r="G28" s="108">
        <v>1</v>
      </c>
      <c r="H28" s="108">
        <v>21</v>
      </c>
      <c r="I28" s="108">
        <v>1</v>
      </c>
      <c r="J28" s="108">
        <v>21</v>
      </c>
      <c r="K28" s="108">
        <v>1</v>
      </c>
      <c r="L28" s="108">
        <v>21</v>
      </c>
      <c r="M28" s="108">
        <v>1</v>
      </c>
      <c r="N28" s="108">
        <v>21</v>
      </c>
      <c r="O28" s="108">
        <v>1</v>
      </c>
      <c r="P28" s="108">
        <v>21</v>
      </c>
      <c r="Q28" s="108">
        <v>1</v>
      </c>
      <c r="R28" s="108">
        <v>21</v>
      </c>
      <c r="S28" s="108">
        <v>1</v>
      </c>
      <c r="T28" s="108">
        <v>21</v>
      </c>
      <c r="U28" s="108">
        <v>1</v>
      </c>
      <c r="V28" s="108">
        <v>21</v>
      </c>
      <c r="W28" s="108">
        <v>1</v>
      </c>
      <c r="X28" s="108">
        <v>21</v>
      </c>
      <c r="Y28" s="108">
        <v>1</v>
      </c>
      <c r="Z28" s="108">
        <v>0</v>
      </c>
      <c r="AA28" s="108">
        <v>21</v>
      </c>
      <c r="AB28" s="108">
        <v>1</v>
      </c>
      <c r="AC28" s="108">
        <v>21</v>
      </c>
      <c r="AD28" s="108">
        <v>1</v>
      </c>
      <c r="AE28" s="108">
        <v>21</v>
      </c>
      <c r="AF28" s="108">
        <v>1</v>
      </c>
      <c r="AG28" s="108">
        <v>21</v>
      </c>
      <c r="AH28" s="108">
        <v>1</v>
      </c>
      <c r="AI28" s="108">
        <v>21</v>
      </c>
      <c r="AJ28" s="108">
        <v>1</v>
      </c>
      <c r="AK28" s="108">
        <v>21</v>
      </c>
      <c r="AL28" s="108">
        <v>1</v>
      </c>
      <c r="AM28" s="108">
        <v>21</v>
      </c>
      <c r="AN28" s="108">
        <v>1</v>
      </c>
      <c r="AO28" s="108">
        <v>21</v>
      </c>
      <c r="AP28" s="108">
        <v>1</v>
      </c>
      <c r="AQ28" s="108">
        <v>0</v>
      </c>
      <c r="AR28" s="108">
        <v>21</v>
      </c>
      <c r="AS28" s="108">
        <v>1</v>
      </c>
      <c r="AT28" s="108">
        <v>21</v>
      </c>
      <c r="AU28" s="108">
        <v>1</v>
      </c>
      <c r="AV28" s="108">
        <v>21</v>
      </c>
      <c r="AW28" s="108">
        <v>1</v>
      </c>
      <c r="AX28" s="108">
        <v>9</v>
      </c>
      <c r="AY28" s="163">
        <v>13</v>
      </c>
      <c r="AZ28" s="104"/>
    </row>
    <row r="29" spans="1:52">
      <c r="B29" s="133" t="s">
        <v>311</v>
      </c>
      <c r="C29" s="122">
        <v>21</v>
      </c>
      <c r="D29" s="122">
        <f>C$28</f>
        <v>1</v>
      </c>
      <c r="E29" s="122">
        <f t="shared" ref="E29:AY29" si="9">D$28</f>
        <v>21</v>
      </c>
      <c r="F29" s="122">
        <f t="shared" si="9"/>
        <v>1</v>
      </c>
      <c r="G29" s="122">
        <f t="shared" si="9"/>
        <v>21</v>
      </c>
      <c r="H29" s="122">
        <f t="shared" si="9"/>
        <v>1</v>
      </c>
      <c r="I29" s="122">
        <f t="shared" si="9"/>
        <v>21</v>
      </c>
      <c r="J29" s="122">
        <f t="shared" si="9"/>
        <v>1</v>
      </c>
      <c r="K29" s="122">
        <f t="shared" si="9"/>
        <v>21</v>
      </c>
      <c r="L29" s="122">
        <f t="shared" si="9"/>
        <v>1</v>
      </c>
      <c r="M29" s="122">
        <f t="shared" si="9"/>
        <v>21</v>
      </c>
      <c r="N29" s="122">
        <f t="shared" si="9"/>
        <v>1</v>
      </c>
      <c r="O29" s="122">
        <f t="shared" si="9"/>
        <v>21</v>
      </c>
      <c r="P29" s="122">
        <f t="shared" si="9"/>
        <v>1</v>
      </c>
      <c r="Q29" s="122">
        <f t="shared" si="9"/>
        <v>21</v>
      </c>
      <c r="R29" s="122">
        <f t="shared" si="9"/>
        <v>1</v>
      </c>
      <c r="S29" s="122">
        <f t="shared" si="9"/>
        <v>21</v>
      </c>
      <c r="T29" s="122">
        <f t="shared" si="9"/>
        <v>1</v>
      </c>
      <c r="U29" s="122">
        <f t="shared" si="9"/>
        <v>21</v>
      </c>
      <c r="V29" s="122">
        <f t="shared" si="9"/>
        <v>1</v>
      </c>
      <c r="W29" s="122">
        <f t="shared" si="9"/>
        <v>21</v>
      </c>
      <c r="X29" s="122">
        <f t="shared" si="9"/>
        <v>1</v>
      </c>
      <c r="Y29" s="122">
        <f t="shared" si="9"/>
        <v>21</v>
      </c>
      <c r="Z29" s="122">
        <f t="shared" si="9"/>
        <v>1</v>
      </c>
      <c r="AA29" s="122">
        <f t="shared" si="9"/>
        <v>0</v>
      </c>
      <c r="AB29" s="122">
        <f t="shared" si="9"/>
        <v>21</v>
      </c>
      <c r="AC29" s="122">
        <f t="shared" si="9"/>
        <v>1</v>
      </c>
      <c r="AD29" s="122">
        <f t="shared" si="9"/>
        <v>21</v>
      </c>
      <c r="AE29" s="122">
        <f t="shared" si="9"/>
        <v>1</v>
      </c>
      <c r="AF29" s="122">
        <f t="shared" si="9"/>
        <v>21</v>
      </c>
      <c r="AG29" s="122">
        <f t="shared" si="9"/>
        <v>1</v>
      </c>
      <c r="AH29" s="122">
        <f t="shared" si="9"/>
        <v>21</v>
      </c>
      <c r="AI29" s="122">
        <f t="shared" si="9"/>
        <v>1</v>
      </c>
      <c r="AJ29" s="122">
        <f t="shared" si="9"/>
        <v>21</v>
      </c>
      <c r="AK29" s="122">
        <f t="shared" si="9"/>
        <v>1</v>
      </c>
      <c r="AL29" s="122">
        <f t="shared" si="9"/>
        <v>21</v>
      </c>
      <c r="AM29" s="122">
        <f t="shared" si="9"/>
        <v>1</v>
      </c>
      <c r="AN29" s="122">
        <f t="shared" si="9"/>
        <v>21</v>
      </c>
      <c r="AO29" s="122">
        <f t="shared" si="9"/>
        <v>1</v>
      </c>
      <c r="AP29" s="122">
        <f t="shared" si="9"/>
        <v>21</v>
      </c>
      <c r="AQ29" s="122">
        <f t="shared" si="9"/>
        <v>1</v>
      </c>
      <c r="AR29" s="122">
        <f t="shared" si="9"/>
        <v>0</v>
      </c>
      <c r="AS29" s="122">
        <f t="shared" si="9"/>
        <v>21</v>
      </c>
      <c r="AT29" s="122">
        <f t="shared" si="9"/>
        <v>1</v>
      </c>
      <c r="AU29" s="122">
        <f t="shared" si="9"/>
        <v>21</v>
      </c>
      <c r="AV29" s="122">
        <f t="shared" si="9"/>
        <v>1</v>
      </c>
      <c r="AW29" s="122">
        <f t="shared" si="9"/>
        <v>21</v>
      </c>
      <c r="AX29" s="122">
        <f t="shared" si="9"/>
        <v>1</v>
      </c>
      <c r="AY29" s="164">
        <f t="shared" si="9"/>
        <v>9</v>
      </c>
      <c r="AZ29" s="165"/>
    </row>
    <row r="30" spans="1:52">
      <c r="A30" s="166" t="s">
        <v>312</v>
      </c>
      <c r="B30" s="141">
        <v>10</v>
      </c>
      <c r="C30" s="114" t="s">
        <v>293</v>
      </c>
      <c r="D30" s="114">
        <f>D$27*$B$30</f>
        <v>210</v>
      </c>
      <c r="E30" s="114">
        <f t="shared" ref="E30:AY30" si="10">E$27*$B$30</f>
        <v>10</v>
      </c>
      <c r="F30" s="114">
        <f t="shared" si="10"/>
        <v>210</v>
      </c>
      <c r="G30" s="114">
        <f t="shared" si="10"/>
        <v>10</v>
      </c>
      <c r="H30" s="114">
        <f t="shared" si="10"/>
        <v>210</v>
      </c>
      <c r="I30" s="114">
        <f t="shared" si="10"/>
        <v>10</v>
      </c>
      <c r="J30" s="114">
        <f t="shared" si="10"/>
        <v>210</v>
      </c>
      <c r="K30" s="114">
        <f t="shared" si="10"/>
        <v>10</v>
      </c>
      <c r="L30" s="114">
        <f t="shared" si="10"/>
        <v>210</v>
      </c>
      <c r="M30" s="114">
        <f t="shared" si="10"/>
        <v>10</v>
      </c>
      <c r="N30" s="114">
        <f t="shared" si="10"/>
        <v>210</v>
      </c>
      <c r="O30" s="114">
        <f t="shared" si="10"/>
        <v>10</v>
      </c>
      <c r="P30" s="114">
        <f t="shared" si="10"/>
        <v>210</v>
      </c>
      <c r="Q30" s="114">
        <f t="shared" si="10"/>
        <v>10</v>
      </c>
      <c r="R30" s="114">
        <f>R$27*$B$30</f>
        <v>210</v>
      </c>
      <c r="S30" s="114">
        <f t="shared" si="10"/>
        <v>10</v>
      </c>
      <c r="T30" s="114">
        <f t="shared" si="10"/>
        <v>210</v>
      </c>
      <c r="U30" s="114">
        <f t="shared" si="10"/>
        <v>10</v>
      </c>
      <c r="V30" s="114">
        <f t="shared" si="10"/>
        <v>210</v>
      </c>
      <c r="W30" s="114">
        <f t="shared" si="10"/>
        <v>10</v>
      </c>
      <c r="X30" s="114">
        <f t="shared" si="10"/>
        <v>210</v>
      </c>
      <c r="Y30" s="114">
        <f t="shared" si="10"/>
        <v>10</v>
      </c>
      <c r="Z30" s="114">
        <f t="shared" si="10"/>
        <v>210</v>
      </c>
      <c r="AA30" s="114">
        <f t="shared" si="10"/>
        <v>220</v>
      </c>
      <c r="AB30" s="114">
        <f t="shared" si="10"/>
        <v>10</v>
      </c>
      <c r="AC30" s="114">
        <f t="shared" si="10"/>
        <v>210</v>
      </c>
      <c r="AD30" s="114">
        <f t="shared" si="10"/>
        <v>10</v>
      </c>
      <c r="AE30" s="114">
        <f>AE$27*$B$30</f>
        <v>210</v>
      </c>
      <c r="AF30" s="114">
        <f t="shared" si="10"/>
        <v>10</v>
      </c>
      <c r="AG30" s="114">
        <f t="shared" si="10"/>
        <v>210</v>
      </c>
      <c r="AH30" s="114">
        <f t="shared" si="10"/>
        <v>10</v>
      </c>
      <c r="AI30" s="114">
        <f t="shared" si="10"/>
        <v>210</v>
      </c>
      <c r="AJ30" s="114">
        <f t="shared" si="10"/>
        <v>10</v>
      </c>
      <c r="AK30" s="114">
        <f t="shared" si="10"/>
        <v>210</v>
      </c>
      <c r="AL30" s="114">
        <f t="shared" si="10"/>
        <v>10</v>
      </c>
      <c r="AM30" s="114">
        <f t="shared" si="10"/>
        <v>210</v>
      </c>
      <c r="AN30" s="114">
        <f t="shared" si="10"/>
        <v>10</v>
      </c>
      <c r="AO30" s="114">
        <f t="shared" si="10"/>
        <v>210</v>
      </c>
      <c r="AP30" s="114">
        <f t="shared" si="10"/>
        <v>10</v>
      </c>
      <c r="AQ30" s="114">
        <f t="shared" si="10"/>
        <v>210</v>
      </c>
      <c r="AR30" s="114">
        <f t="shared" si="10"/>
        <v>220</v>
      </c>
      <c r="AS30" s="114">
        <f t="shared" si="10"/>
        <v>10</v>
      </c>
      <c r="AT30" s="114">
        <f t="shared" si="10"/>
        <v>210</v>
      </c>
      <c r="AU30" s="114">
        <f t="shared" si="10"/>
        <v>10</v>
      </c>
      <c r="AV30" s="114">
        <f t="shared" si="10"/>
        <v>210</v>
      </c>
      <c r="AW30" s="114">
        <f t="shared" si="10"/>
        <v>10</v>
      </c>
      <c r="AX30" s="114">
        <f t="shared" si="10"/>
        <v>210</v>
      </c>
      <c r="AY30" s="114">
        <f t="shared" si="10"/>
        <v>130</v>
      </c>
      <c r="AZ30" s="138">
        <f t="shared" si="5"/>
        <v>5620</v>
      </c>
    </row>
    <row r="32" spans="1:52">
      <c r="A32" s="1" t="s">
        <v>300</v>
      </c>
    </row>
    <row r="33" spans="1:52">
      <c r="A33" s="132" t="s">
        <v>22</v>
      </c>
      <c r="B33" s="132" t="s">
        <v>341</v>
      </c>
      <c r="C33" s="121"/>
      <c r="D33" s="121">
        <f>D$21*shipping_manufacturing!$D$27/100</f>
        <v>134.66650307373067</v>
      </c>
      <c r="E33" s="121">
        <f>E$21*shipping_manufacturing!$D$27/100</f>
        <v>134.66650307373067</v>
      </c>
      <c r="F33" s="121">
        <f>F$21*shipping_manufacturing!$D$27/100</f>
        <v>134.66650307373067</v>
      </c>
      <c r="G33" s="121">
        <f>G$21*shipping_manufacturing!$D$27/100</f>
        <v>134.66650307373067</v>
      </c>
      <c r="H33" s="121">
        <f>H$21*shipping_manufacturing!$D$27/100</f>
        <v>134.66650307373067</v>
      </c>
      <c r="I33" s="121">
        <f>I$21*shipping_manufacturing!$D$27/100</f>
        <v>134.66650307373067</v>
      </c>
      <c r="J33" s="121">
        <f>J$21*shipping_manufacturing!$D$27/100</f>
        <v>134.66650307373067</v>
      </c>
      <c r="K33" s="121">
        <f>K$21*shipping_manufacturing!$D$27/100</f>
        <v>134.66650307373067</v>
      </c>
      <c r="L33" s="121">
        <f>L$21*shipping_manufacturing!$D$27/100</f>
        <v>134.66650307373067</v>
      </c>
      <c r="M33" s="121">
        <f>M$21*shipping_manufacturing!$D$27/100</f>
        <v>134.66650307373067</v>
      </c>
      <c r="N33" s="121">
        <f>N$21*shipping_manufacturing!$D$27/100</f>
        <v>134.66650307373067</v>
      </c>
      <c r="O33" s="121">
        <f>O$21*shipping_manufacturing!$D$27/100</f>
        <v>134.66650307373067</v>
      </c>
      <c r="P33" s="121">
        <f>P$21*shipping_manufacturing!$D$27/100</f>
        <v>134.66650307373067</v>
      </c>
      <c r="Q33" s="121">
        <f>Q$21*shipping_manufacturing!$D$27/100</f>
        <v>134.66650307373067</v>
      </c>
      <c r="R33" s="121">
        <f>R$21*shipping_manufacturing!$D$27/100</f>
        <v>134.66650307373067</v>
      </c>
      <c r="S33" s="121">
        <f>S$21*shipping_manufacturing!$D$27/100</f>
        <v>134.66650307373067</v>
      </c>
      <c r="T33" s="121">
        <f>T$21*shipping_manufacturing!$D$27/100</f>
        <v>134.66650307373067</v>
      </c>
      <c r="U33" s="121">
        <f>U$21*shipping_manufacturing!$D$27/100</f>
        <v>134.66650307373067</v>
      </c>
      <c r="V33" s="121">
        <f>V$21*shipping_manufacturing!$D$27/100</f>
        <v>134.66650307373067</v>
      </c>
      <c r="W33" s="121">
        <f>W$21*shipping_manufacturing!$D$27/100</f>
        <v>134.66650307373067</v>
      </c>
      <c r="X33" s="121">
        <f>X$21*shipping_manufacturing!$D$27/100</f>
        <v>134.66650307373067</v>
      </c>
      <c r="Y33" s="121">
        <f>Y$21*shipping_manufacturing!$D$27/100</f>
        <v>107.73320245898456</v>
      </c>
      <c r="Z33" s="121">
        <f>Z$21*shipping_manufacturing!$D$27/100</f>
        <v>0</v>
      </c>
      <c r="AA33" s="121">
        <f>AA$21*shipping_manufacturing!$D$27/100</f>
        <v>134.66650307373067</v>
      </c>
      <c r="AB33" s="121">
        <f>AB$21*shipping_manufacturing!$D$27/100</f>
        <v>107.73320245898456</v>
      </c>
      <c r="AC33" s="121">
        <f>AC$21*shipping_manufacturing!$D$27/100</f>
        <v>134.66650307373067</v>
      </c>
      <c r="AD33" s="121">
        <f>AD$21*shipping_manufacturing!$D$27/100</f>
        <v>134.66650307373067</v>
      </c>
      <c r="AE33" s="121">
        <f>AE$21*shipping_manufacturing!$D$27/100</f>
        <v>134.66650307373067</v>
      </c>
      <c r="AF33" s="121">
        <f>AF$21*shipping_manufacturing!$D$27/100</f>
        <v>134.66650307373067</v>
      </c>
      <c r="AG33" s="121">
        <f>AG$21*shipping_manufacturing!$D$27/100</f>
        <v>134.66650307373067</v>
      </c>
      <c r="AH33" s="121">
        <f>AH$21*shipping_manufacturing!$D$27/100</f>
        <v>134.66650307373067</v>
      </c>
      <c r="AI33" s="121">
        <f>AI$21*shipping_manufacturing!$D$27/100</f>
        <v>134.66650307373067</v>
      </c>
      <c r="AJ33" s="121">
        <f>AJ$21*shipping_manufacturing!$D$27/100</f>
        <v>134.66650307373067</v>
      </c>
      <c r="AK33" s="121">
        <f>AK$21*shipping_manufacturing!$D$27/100</f>
        <v>134.66650307373067</v>
      </c>
      <c r="AL33" s="121">
        <f>AL$21*shipping_manufacturing!$D$27/100</f>
        <v>134.66650307373067</v>
      </c>
      <c r="AM33" s="121">
        <f>AM$21*shipping_manufacturing!$D$27/100</f>
        <v>134.66650307373067</v>
      </c>
      <c r="AN33" s="121">
        <f>AN$21*shipping_manufacturing!$D$27/100</f>
        <v>134.66650307373067</v>
      </c>
      <c r="AO33" s="121">
        <f>AO$21*shipping_manufacturing!$D$27/100</f>
        <v>134.66650307373067</v>
      </c>
      <c r="AP33" s="121">
        <f>AP$21*shipping_manufacturing!$D$27/100</f>
        <v>134.66650307373067</v>
      </c>
      <c r="AQ33" s="121">
        <f>AQ$21*shipping_manufacturing!$D$27/100</f>
        <v>0</v>
      </c>
      <c r="AR33" s="121">
        <f>AR$21*shipping_manufacturing!$D$27/100</f>
        <v>134.66650307373067</v>
      </c>
      <c r="AS33" s="121">
        <f>AS$21*shipping_manufacturing!$D$27/100</f>
        <v>134.66650307373067</v>
      </c>
      <c r="AT33" s="121">
        <f>AT$21*shipping_manufacturing!$D$27/100</f>
        <v>134.66650307373067</v>
      </c>
      <c r="AU33" s="121">
        <f>AU$21*shipping_manufacturing!$D$27/100</f>
        <v>134.66650307373067</v>
      </c>
      <c r="AV33" s="121">
        <f>AV$21*shipping_manufacturing!$D$27/100</f>
        <v>134.66650307373067</v>
      </c>
      <c r="AW33" s="121">
        <f>AW$21*shipping_manufacturing!$D$27/100</f>
        <v>134.66650307373067</v>
      </c>
      <c r="AX33" s="121">
        <f>AX$21*shipping_manufacturing!$D$27/100</f>
        <v>54.344502661255618</v>
      </c>
      <c r="AY33" s="121">
        <f>AY$21*shipping_manufacturing!$D$27/100</f>
        <v>134.66650307373067</v>
      </c>
    </row>
    <row r="34" spans="1:52">
      <c r="A34" s="110" t="s">
        <v>340</v>
      </c>
      <c r="B34" s="162" t="s">
        <v>342</v>
      </c>
      <c r="C34" s="108"/>
      <c r="D34" s="108">
        <f>D$22*shipping_manufacturing!$E$27/100</f>
        <v>126.92684644340925</v>
      </c>
      <c r="E34" s="108">
        <f>E$22*shipping_manufacturing!$E$27/100</f>
        <v>126.92684644340925</v>
      </c>
      <c r="F34" s="108">
        <f>F$22*shipping_manufacturing!$E$27/100</f>
        <v>126.92684644340925</v>
      </c>
      <c r="G34" s="108">
        <f>G$22*shipping_manufacturing!$E$27/100</f>
        <v>126.92684644340925</v>
      </c>
      <c r="H34" s="108">
        <f>H$22*shipping_manufacturing!$E$27/100</f>
        <v>126.92684644340925</v>
      </c>
      <c r="I34" s="108">
        <f>I$22*shipping_manufacturing!$E$27/100</f>
        <v>126.92684644340925</v>
      </c>
      <c r="J34" s="108">
        <f>J$22*shipping_manufacturing!$E$27/100</f>
        <v>126.92684644340925</v>
      </c>
      <c r="K34" s="108">
        <f>K$22*shipping_manufacturing!$E$27/100</f>
        <v>126.92684644340925</v>
      </c>
      <c r="L34" s="108">
        <f>L$22*shipping_manufacturing!$E$27/100</f>
        <v>126.92684644340925</v>
      </c>
      <c r="M34" s="108">
        <f>M$22*shipping_manufacturing!$E$27/100</f>
        <v>126.92684644340925</v>
      </c>
      <c r="N34" s="108">
        <f>N$22*shipping_manufacturing!$E$27/100</f>
        <v>126.92684644340925</v>
      </c>
      <c r="O34" s="108">
        <f>O$22*shipping_manufacturing!$E$27/100</f>
        <v>126.92684644340925</v>
      </c>
      <c r="P34" s="108">
        <f>P$22*shipping_manufacturing!$E$27/100</f>
        <v>126.92684644340925</v>
      </c>
      <c r="Q34" s="108">
        <f>Q$22*shipping_manufacturing!$E$27/100</f>
        <v>126.92684644340925</v>
      </c>
      <c r="R34" s="108">
        <f>R$22*shipping_manufacturing!$E$27/100</f>
        <v>126.92684644340925</v>
      </c>
      <c r="S34" s="108">
        <f>S$22*shipping_manufacturing!$E$27/100</f>
        <v>126.92684644340925</v>
      </c>
      <c r="T34" s="108">
        <f>T$22*shipping_manufacturing!$E$27/100</f>
        <v>126.92684644340925</v>
      </c>
      <c r="U34" s="108">
        <f>U$22*shipping_manufacturing!$E$27/100</f>
        <v>126.92684644340925</v>
      </c>
      <c r="V34" s="108">
        <f>V$22*shipping_manufacturing!$E$27/100</f>
        <v>126.92684644340925</v>
      </c>
      <c r="W34" s="108">
        <f>W$22*shipping_manufacturing!$E$27/100</f>
        <v>126.92684644340925</v>
      </c>
      <c r="X34" s="108">
        <f>X$22*shipping_manufacturing!$E$27/100</f>
        <v>126.92684644340925</v>
      </c>
      <c r="Y34" s="108">
        <f>Y$22*shipping_manufacturing!$E$27/100</f>
        <v>101.54147715472742</v>
      </c>
      <c r="Z34" s="108">
        <f>Z$22*shipping_manufacturing!$E$27/100</f>
        <v>0</v>
      </c>
      <c r="AA34" s="108">
        <f>AA$22*shipping_manufacturing!$E$27/100</f>
        <v>126.92684644340925</v>
      </c>
      <c r="AB34" s="108">
        <f>AB$22*shipping_manufacturing!$E$27/100</f>
        <v>101.54147715472742</v>
      </c>
      <c r="AC34" s="108">
        <f>AC$22*shipping_manufacturing!$E$27/100</f>
        <v>126.92684644340925</v>
      </c>
      <c r="AD34" s="108">
        <f>AD$22*shipping_manufacturing!$E$27/100</f>
        <v>126.92684644340925</v>
      </c>
      <c r="AE34" s="108">
        <f>AE$22*shipping_manufacturing!$E$27/100</f>
        <v>126.92684644340925</v>
      </c>
      <c r="AF34" s="108">
        <f>AF$22*shipping_manufacturing!$E$27/100</f>
        <v>126.92684644340925</v>
      </c>
      <c r="AG34" s="108">
        <f>AG$22*shipping_manufacturing!$E$27/100</f>
        <v>126.92684644340925</v>
      </c>
      <c r="AH34" s="108">
        <f>AH$22*shipping_manufacturing!$E$27/100</f>
        <v>126.92684644340925</v>
      </c>
      <c r="AI34" s="108">
        <f>AI$22*shipping_manufacturing!$E$27/100</f>
        <v>126.92684644340925</v>
      </c>
      <c r="AJ34" s="108">
        <f>AJ$22*shipping_manufacturing!$E$27/100</f>
        <v>126.92684644340925</v>
      </c>
      <c r="AK34" s="108">
        <f>AK$22*shipping_manufacturing!$E$27/100</f>
        <v>126.92684644340925</v>
      </c>
      <c r="AL34" s="108">
        <f>AL$22*shipping_manufacturing!$E$27/100</f>
        <v>126.92684644340925</v>
      </c>
      <c r="AM34" s="108">
        <f>AM$22*shipping_manufacturing!$E$27/100</f>
        <v>126.92684644340925</v>
      </c>
      <c r="AN34" s="108">
        <f>AN$22*shipping_manufacturing!$E$27/100</f>
        <v>126.92684644340925</v>
      </c>
      <c r="AO34" s="108">
        <f>AO$22*shipping_manufacturing!$E$27/100</f>
        <v>126.92684644340925</v>
      </c>
      <c r="AP34" s="108">
        <f>AP$22*shipping_manufacturing!$E$27/100</f>
        <v>126.92684644340925</v>
      </c>
      <c r="AQ34" s="108">
        <f>AQ$22*shipping_manufacturing!$E$27/100</f>
        <v>0</v>
      </c>
      <c r="AR34" s="108">
        <f>AR$22*shipping_manufacturing!$E$27/100</f>
        <v>126.92684644340925</v>
      </c>
      <c r="AS34" s="108">
        <f>AS$22*shipping_manufacturing!$E$27/100</f>
        <v>126.92684644340925</v>
      </c>
      <c r="AT34" s="108">
        <f>AT$22*shipping_manufacturing!$E$27/100</f>
        <v>126.92684644340925</v>
      </c>
      <c r="AU34" s="108">
        <f>AU$22*shipping_manufacturing!$E$27/100</f>
        <v>126.92684644340925</v>
      </c>
      <c r="AV34" s="108">
        <f>AV$22*shipping_manufacturing!$E$27/100</f>
        <v>126.92684644340925</v>
      </c>
      <c r="AW34" s="108">
        <f>AW$22*shipping_manufacturing!$E$27/100</f>
        <v>126.92684644340925</v>
      </c>
      <c r="AX34" s="108">
        <f>AX$22*shipping_manufacturing!$E$27/100</f>
        <v>51.221173691219008</v>
      </c>
      <c r="AY34" s="108">
        <f>AY$22*shipping_manufacturing!$E$27/100</f>
        <v>126.92684644340925</v>
      </c>
    </row>
    <row r="35" spans="1:52">
      <c r="A35" s="108">
        <v>1225</v>
      </c>
      <c r="B35" s="162" t="s">
        <v>343</v>
      </c>
      <c r="C35" s="108"/>
      <c r="D35" s="108">
        <f>SUM(D33:D34)</f>
        <v>261.59334951713993</v>
      </c>
      <c r="E35" s="108">
        <f t="shared" ref="E35:AY35" si="11">SUM(E33:E34)</f>
        <v>261.59334951713993</v>
      </c>
      <c r="F35" s="108">
        <f t="shared" si="11"/>
        <v>261.59334951713993</v>
      </c>
      <c r="G35" s="108">
        <f t="shared" si="11"/>
        <v>261.59334951713993</v>
      </c>
      <c r="H35" s="108">
        <f t="shared" si="11"/>
        <v>261.59334951713993</v>
      </c>
      <c r="I35" s="108">
        <f t="shared" si="11"/>
        <v>261.59334951713993</v>
      </c>
      <c r="J35" s="108">
        <f t="shared" si="11"/>
        <v>261.59334951713993</v>
      </c>
      <c r="K35" s="108">
        <f t="shared" si="11"/>
        <v>261.59334951713993</v>
      </c>
      <c r="L35" s="108">
        <f t="shared" si="11"/>
        <v>261.59334951713993</v>
      </c>
      <c r="M35" s="108">
        <f t="shared" si="11"/>
        <v>261.59334951713993</v>
      </c>
      <c r="N35" s="108">
        <f t="shared" si="11"/>
        <v>261.59334951713993</v>
      </c>
      <c r="O35" s="108">
        <f t="shared" si="11"/>
        <v>261.59334951713993</v>
      </c>
      <c r="P35" s="108">
        <f t="shared" si="11"/>
        <v>261.59334951713993</v>
      </c>
      <c r="Q35" s="108">
        <f t="shared" si="11"/>
        <v>261.59334951713993</v>
      </c>
      <c r="R35" s="108">
        <f t="shared" si="11"/>
        <v>261.59334951713993</v>
      </c>
      <c r="S35" s="108">
        <f t="shared" si="11"/>
        <v>261.59334951713993</v>
      </c>
      <c r="T35" s="108">
        <f t="shared" si="11"/>
        <v>261.59334951713993</v>
      </c>
      <c r="U35" s="108">
        <f t="shared" si="11"/>
        <v>261.59334951713993</v>
      </c>
      <c r="V35" s="108">
        <f t="shared" si="11"/>
        <v>261.59334951713993</v>
      </c>
      <c r="W35" s="108">
        <f t="shared" si="11"/>
        <v>261.59334951713993</v>
      </c>
      <c r="X35" s="108">
        <f t="shared" si="11"/>
        <v>261.59334951713993</v>
      </c>
      <c r="Y35" s="108">
        <f t="shared" si="11"/>
        <v>209.27467961371198</v>
      </c>
      <c r="Z35" s="108">
        <f t="shared" si="11"/>
        <v>0</v>
      </c>
      <c r="AA35" s="108">
        <f t="shared" si="11"/>
        <v>261.59334951713993</v>
      </c>
      <c r="AB35" s="108">
        <f t="shared" si="11"/>
        <v>209.27467961371198</v>
      </c>
      <c r="AC35" s="108">
        <f t="shared" si="11"/>
        <v>261.59334951713993</v>
      </c>
      <c r="AD35" s="108">
        <f t="shared" si="11"/>
        <v>261.59334951713993</v>
      </c>
      <c r="AE35" s="108">
        <f t="shared" si="11"/>
        <v>261.59334951713993</v>
      </c>
      <c r="AF35" s="108">
        <f t="shared" si="11"/>
        <v>261.59334951713993</v>
      </c>
      <c r="AG35" s="108">
        <f t="shared" si="11"/>
        <v>261.59334951713993</v>
      </c>
      <c r="AH35" s="108">
        <f t="shared" si="11"/>
        <v>261.59334951713993</v>
      </c>
      <c r="AI35" s="108">
        <f t="shared" si="11"/>
        <v>261.59334951713993</v>
      </c>
      <c r="AJ35" s="108">
        <f t="shared" si="11"/>
        <v>261.59334951713993</v>
      </c>
      <c r="AK35" s="108">
        <f t="shared" si="11"/>
        <v>261.59334951713993</v>
      </c>
      <c r="AL35" s="108">
        <f t="shared" si="11"/>
        <v>261.59334951713993</v>
      </c>
      <c r="AM35" s="108">
        <f t="shared" si="11"/>
        <v>261.59334951713993</v>
      </c>
      <c r="AN35" s="108">
        <f t="shared" si="11"/>
        <v>261.59334951713993</v>
      </c>
      <c r="AO35" s="108">
        <f t="shared" si="11"/>
        <v>261.59334951713993</v>
      </c>
      <c r="AP35" s="108">
        <f t="shared" si="11"/>
        <v>261.59334951713993</v>
      </c>
      <c r="AQ35" s="108">
        <f t="shared" si="11"/>
        <v>0</v>
      </c>
      <c r="AR35" s="108">
        <f t="shared" si="11"/>
        <v>261.59334951713993</v>
      </c>
      <c r="AS35" s="108">
        <f t="shared" si="11"/>
        <v>261.59334951713993</v>
      </c>
      <c r="AT35" s="108">
        <f t="shared" si="11"/>
        <v>261.59334951713993</v>
      </c>
      <c r="AU35" s="108">
        <f t="shared" si="11"/>
        <v>261.59334951713993</v>
      </c>
      <c r="AV35" s="108">
        <f t="shared" si="11"/>
        <v>261.59334951713993</v>
      </c>
      <c r="AW35" s="108">
        <f t="shared" si="11"/>
        <v>261.59334951713993</v>
      </c>
      <c r="AX35" s="108">
        <f t="shared" si="11"/>
        <v>105.56567635247463</v>
      </c>
      <c r="AY35" s="108">
        <f t="shared" si="11"/>
        <v>261.59334951713993</v>
      </c>
    </row>
    <row r="36" spans="1:52">
      <c r="A36" s="108"/>
      <c r="B36" s="162" t="s">
        <v>344</v>
      </c>
      <c r="C36" s="108"/>
      <c r="D36" s="108">
        <v>134.66650307373067</v>
      </c>
      <c r="E36" s="108"/>
      <c r="F36" s="108">
        <v>134.66650307373067</v>
      </c>
      <c r="G36" s="108"/>
      <c r="H36" s="108">
        <v>134.66650307373067</v>
      </c>
      <c r="I36" s="108"/>
      <c r="J36" s="108">
        <v>134.66650307373067</v>
      </c>
      <c r="K36" s="108"/>
      <c r="L36" s="108">
        <v>134.66650307373067</v>
      </c>
      <c r="M36" s="108"/>
      <c r="N36" s="108">
        <v>134.66650307373067</v>
      </c>
      <c r="O36" s="108"/>
      <c r="P36" s="108">
        <v>134.66650307373067</v>
      </c>
      <c r="Q36" s="108"/>
      <c r="R36" s="108">
        <v>134.66650307373067</v>
      </c>
      <c r="S36" s="108"/>
      <c r="T36" s="108">
        <v>134.66650307373067</v>
      </c>
      <c r="U36" s="108"/>
      <c r="V36" s="108">
        <v>134.66650307373067</v>
      </c>
      <c r="W36" s="108"/>
      <c r="X36" s="108">
        <v>134.66650307373067</v>
      </c>
      <c r="Y36" s="108"/>
      <c r="Z36" s="108"/>
      <c r="AA36" s="108">
        <v>134.66650307373067</v>
      </c>
      <c r="AB36" s="108"/>
      <c r="AC36" s="108">
        <v>134.66650307373067</v>
      </c>
      <c r="AD36" s="108"/>
      <c r="AE36" s="108">
        <v>134.66650307373067</v>
      </c>
      <c r="AF36" s="108"/>
      <c r="AG36" s="108">
        <v>134.66650307373067</v>
      </c>
      <c r="AH36" s="108"/>
      <c r="AI36" s="108">
        <v>134.66650307373067</v>
      </c>
      <c r="AJ36" s="108"/>
      <c r="AK36" s="108">
        <v>134.66650307373067</v>
      </c>
      <c r="AL36" s="108"/>
      <c r="AM36" s="108">
        <v>134.66650307373067</v>
      </c>
      <c r="AN36" s="108"/>
      <c r="AO36" s="108">
        <v>134.66650307373067</v>
      </c>
      <c r="AP36" s="108"/>
      <c r="AQ36" s="108"/>
      <c r="AR36" s="108">
        <v>134.66650307373067</v>
      </c>
      <c r="AS36" s="108"/>
      <c r="AT36" s="108">
        <v>134.66650307373067</v>
      </c>
      <c r="AU36" s="108"/>
      <c r="AV36" s="108">
        <v>134.66650307373067</v>
      </c>
      <c r="AW36" s="108"/>
      <c r="AX36" s="108">
        <v>54.344502661255625</v>
      </c>
      <c r="AY36" s="108">
        <v>77.218994666131877</v>
      </c>
    </row>
    <row r="37" spans="1:52">
      <c r="A37" s="108"/>
      <c r="B37" s="162" t="s">
        <v>345</v>
      </c>
      <c r="C37" s="108"/>
      <c r="D37" s="108">
        <v>126.92684644340925</v>
      </c>
      <c r="E37" s="108"/>
      <c r="F37" s="108">
        <v>126.92684644340925</v>
      </c>
      <c r="G37" s="108"/>
      <c r="H37" s="108">
        <v>126.92684644340925</v>
      </c>
      <c r="I37" s="108"/>
      <c r="J37" s="108">
        <v>126.92684644340925</v>
      </c>
      <c r="K37" s="108"/>
      <c r="L37" s="108">
        <v>126.92684644340925</v>
      </c>
      <c r="M37" s="108"/>
      <c r="N37" s="108">
        <v>126.92684644340925</v>
      </c>
      <c r="O37" s="108"/>
      <c r="P37" s="108">
        <v>126.92684644340925</v>
      </c>
      <c r="Q37" s="108"/>
      <c r="R37" s="108">
        <v>126.92684644340925</v>
      </c>
      <c r="S37" s="108"/>
      <c r="T37" s="108">
        <v>126.92684644340925</v>
      </c>
      <c r="U37" s="108"/>
      <c r="V37" s="108">
        <v>126.92684644340925</v>
      </c>
      <c r="W37" s="108"/>
      <c r="X37" s="108">
        <v>126.92684644340925</v>
      </c>
      <c r="Y37" s="108"/>
      <c r="Z37" s="108"/>
      <c r="AA37" s="108">
        <v>126.92684644340925</v>
      </c>
      <c r="AB37" s="108"/>
      <c r="AC37" s="108">
        <v>126.92684644340925</v>
      </c>
      <c r="AD37" s="108"/>
      <c r="AE37" s="108">
        <v>126.92684644340925</v>
      </c>
      <c r="AF37" s="108"/>
      <c r="AG37" s="108">
        <v>126.92684644340925</v>
      </c>
      <c r="AH37" s="108"/>
      <c r="AI37" s="108">
        <v>126.92684644340925</v>
      </c>
      <c r="AJ37" s="108"/>
      <c r="AK37" s="108">
        <v>126.92684644340925</v>
      </c>
      <c r="AL37" s="108"/>
      <c r="AM37" s="108">
        <v>126.92684644340925</v>
      </c>
      <c r="AN37" s="108"/>
      <c r="AO37" s="108">
        <v>126.92684644340925</v>
      </c>
      <c r="AP37" s="108"/>
      <c r="AQ37" s="108"/>
      <c r="AR37" s="108">
        <v>126.92684644340925</v>
      </c>
      <c r="AS37" s="108"/>
      <c r="AT37" s="108">
        <v>126.92684644340925</v>
      </c>
      <c r="AU37" s="108"/>
      <c r="AV37" s="108">
        <v>126.92684644340925</v>
      </c>
      <c r="AW37" s="108"/>
      <c r="AX37" s="108">
        <v>51.221173691219001</v>
      </c>
      <c r="AY37" s="108">
        <v>72.781005333868109</v>
      </c>
    </row>
    <row r="38" spans="1:52">
      <c r="A38" s="108"/>
      <c r="B38" s="162" t="s">
        <v>346</v>
      </c>
      <c r="C38" s="108"/>
      <c r="D38" s="108">
        <v>9</v>
      </c>
      <c r="E38" s="108"/>
      <c r="F38" s="108">
        <v>9</v>
      </c>
      <c r="G38" s="108"/>
      <c r="H38" s="108">
        <v>9</v>
      </c>
      <c r="I38" s="108"/>
      <c r="J38" s="108">
        <v>9</v>
      </c>
      <c r="K38" s="108"/>
      <c r="L38" s="108">
        <v>9</v>
      </c>
      <c r="M38" s="108"/>
      <c r="N38" s="108">
        <v>9</v>
      </c>
      <c r="O38" s="108"/>
      <c r="P38" s="108">
        <v>9</v>
      </c>
      <c r="Q38" s="108"/>
      <c r="R38" s="108">
        <v>9</v>
      </c>
      <c r="S38" s="108"/>
      <c r="T38" s="108">
        <v>9</v>
      </c>
      <c r="U38" s="108"/>
      <c r="V38" s="108">
        <v>9</v>
      </c>
      <c r="W38" s="108"/>
      <c r="X38" s="108">
        <v>9</v>
      </c>
      <c r="Y38" s="108"/>
      <c r="Z38" s="108"/>
      <c r="AA38" s="108">
        <v>9</v>
      </c>
      <c r="AB38" s="108"/>
      <c r="AC38" s="108">
        <v>9</v>
      </c>
      <c r="AD38" s="108"/>
      <c r="AE38" s="108">
        <v>9</v>
      </c>
      <c r="AF38" s="108"/>
      <c r="AG38" s="108">
        <v>9</v>
      </c>
      <c r="AH38" s="108"/>
      <c r="AI38" s="108">
        <v>9</v>
      </c>
      <c r="AJ38" s="108"/>
      <c r="AK38" s="108">
        <v>9</v>
      </c>
      <c r="AL38" s="108"/>
      <c r="AM38" s="108">
        <v>9</v>
      </c>
      <c r="AN38" s="108"/>
      <c r="AO38" s="108">
        <v>9</v>
      </c>
      <c r="AP38" s="108"/>
      <c r="AQ38" s="108"/>
      <c r="AR38" s="108">
        <v>9</v>
      </c>
      <c r="AS38" s="108"/>
      <c r="AT38" s="108">
        <v>9</v>
      </c>
      <c r="AU38" s="108"/>
      <c r="AV38" s="108">
        <v>9</v>
      </c>
      <c r="AW38" s="108"/>
      <c r="AX38" s="108">
        <v>4</v>
      </c>
      <c r="AY38" s="108">
        <v>5</v>
      </c>
    </row>
    <row r="39" spans="1:52">
      <c r="A39" s="108"/>
      <c r="B39" s="162" t="s">
        <v>347</v>
      </c>
      <c r="C39" s="108"/>
      <c r="D39" s="108">
        <f>D33-D36</f>
        <v>0</v>
      </c>
      <c r="E39" s="108">
        <f t="shared" ref="E39:AY39" si="12">E33-E36</f>
        <v>134.66650307373067</v>
      </c>
      <c r="F39" s="108">
        <f t="shared" si="12"/>
        <v>0</v>
      </c>
      <c r="G39" s="108">
        <f t="shared" si="12"/>
        <v>134.66650307373067</v>
      </c>
      <c r="H39" s="108">
        <f t="shared" si="12"/>
        <v>0</v>
      </c>
      <c r="I39" s="108">
        <f t="shared" si="12"/>
        <v>134.66650307373067</v>
      </c>
      <c r="J39" s="108">
        <f t="shared" si="12"/>
        <v>0</v>
      </c>
      <c r="K39" s="108">
        <f t="shared" si="12"/>
        <v>134.66650307373067</v>
      </c>
      <c r="L39" s="108">
        <f t="shared" si="12"/>
        <v>0</v>
      </c>
      <c r="M39" s="108">
        <f t="shared" si="12"/>
        <v>134.66650307373067</v>
      </c>
      <c r="N39" s="108">
        <f t="shared" si="12"/>
        <v>0</v>
      </c>
      <c r="O39" s="108">
        <f t="shared" si="12"/>
        <v>134.66650307373067</v>
      </c>
      <c r="P39" s="108">
        <f t="shared" si="12"/>
        <v>0</v>
      </c>
      <c r="Q39" s="108">
        <f t="shared" si="12"/>
        <v>134.66650307373067</v>
      </c>
      <c r="R39" s="108">
        <f t="shared" si="12"/>
        <v>0</v>
      </c>
      <c r="S39" s="108">
        <f t="shared" si="12"/>
        <v>134.66650307373067</v>
      </c>
      <c r="T39" s="108">
        <f t="shared" si="12"/>
        <v>0</v>
      </c>
      <c r="U39" s="108">
        <f t="shared" si="12"/>
        <v>134.66650307373067</v>
      </c>
      <c r="V39" s="108">
        <f t="shared" si="12"/>
        <v>0</v>
      </c>
      <c r="W39" s="108">
        <f t="shared" si="12"/>
        <v>134.66650307373067</v>
      </c>
      <c r="X39" s="108">
        <f t="shared" si="12"/>
        <v>0</v>
      </c>
      <c r="Y39" s="108">
        <f t="shared" si="12"/>
        <v>107.73320245898456</v>
      </c>
      <c r="Z39" s="108">
        <f t="shared" si="12"/>
        <v>0</v>
      </c>
      <c r="AA39" s="108">
        <f t="shared" si="12"/>
        <v>0</v>
      </c>
      <c r="AB39" s="108">
        <f t="shared" si="12"/>
        <v>107.73320245898456</v>
      </c>
      <c r="AC39" s="108">
        <f t="shared" si="12"/>
        <v>0</v>
      </c>
      <c r="AD39" s="108">
        <f t="shared" si="12"/>
        <v>134.66650307373067</v>
      </c>
      <c r="AE39" s="108">
        <f t="shared" si="12"/>
        <v>0</v>
      </c>
      <c r="AF39" s="108">
        <f t="shared" si="12"/>
        <v>134.66650307373067</v>
      </c>
      <c r="AG39" s="108">
        <f t="shared" si="12"/>
        <v>0</v>
      </c>
      <c r="AH39" s="108">
        <f t="shared" si="12"/>
        <v>134.66650307373067</v>
      </c>
      <c r="AI39" s="108">
        <f t="shared" si="12"/>
        <v>0</v>
      </c>
      <c r="AJ39" s="108">
        <f t="shared" si="12"/>
        <v>134.66650307373067</v>
      </c>
      <c r="AK39" s="108">
        <f t="shared" si="12"/>
        <v>0</v>
      </c>
      <c r="AL39" s="108">
        <f t="shared" si="12"/>
        <v>134.66650307373067</v>
      </c>
      <c r="AM39" s="108">
        <f t="shared" si="12"/>
        <v>0</v>
      </c>
      <c r="AN39" s="108">
        <f t="shared" si="12"/>
        <v>134.66650307373067</v>
      </c>
      <c r="AO39" s="108">
        <f t="shared" si="12"/>
        <v>0</v>
      </c>
      <c r="AP39" s="108">
        <f t="shared" si="12"/>
        <v>134.66650307373067</v>
      </c>
      <c r="AQ39" s="108">
        <f t="shared" si="12"/>
        <v>0</v>
      </c>
      <c r="AR39" s="108">
        <f t="shared" si="12"/>
        <v>0</v>
      </c>
      <c r="AS39" s="108">
        <f t="shared" si="12"/>
        <v>134.66650307373067</v>
      </c>
      <c r="AT39" s="108">
        <f t="shared" si="12"/>
        <v>0</v>
      </c>
      <c r="AU39" s="108">
        <f t="shared" si="12"/>
        <v>134.66650307373067</v>
      </c>
      <c r="AV39" s="108">
        <f t="shared" si="12"/>
        <v>0</v>
      </c>
      <c r="AW39" s="108">
        <f t="shared" si="12"/>
        <v>134.66650307373067</v>
      </c>
      <c r="AX39" s="108">
        <f t="shared" si="12"/>
        <v>0</v>
      </c>
      <c r="AY39" s="108">
        <f t="shared" si="12"/>
        <v>57.447508407598789</v>
      </c>
    </row>
    <row r="40" spans="1:52">
      <c r="A40" s="108"/>
      <c r="B40" s="162" t="s">
        <v>348</v>
      </c>
      <c r="C40" s="108"/>
      <c r="D40" s="108">
        <f>D34-D37</f>
        <v>0</v>
      </c>
      <c r="E40" s="108">
        <f t="shared" ref="E40:AY40" si="13">E34-E37</f>
        <v>126.92684644340925</v>
      </c>
      <c r="F40" s="108">
        <f t="shared" si="13"/>
        <v>0</v>
      </c>
      <c r="G40" s="108">
        <f t="shared" si="13"/>
        <v>126.92684644340925</v>
      </c>
      <c r="H40" s="108">
        <f t="shared" si="13"/>
        <v>0</v>
      </c>
      <c r="I40" s="108">
        <f t="shared" si="13"/>
        <v>126.92684644340925</v>
      </c>
      <c r="J40" s="108">
        <f t="shared" si="13"/>
        <v>0</v>
      </c>
      <c r="K40" s="108">
        <f t="shared" si="13"/>
        <v>126.92684644340925</v>
      </c>
      <c r="L40" s="108">
        <f t="shared" si="13"/>
        <v>0</v>
      </c>
      <c r="M40" s="108">
        <f t="shared" si="13"/>
        <v>126.92684644340925</v>
      </c>
      <c r="N40" s="108">
        <f t="shared" si="13"/>
        <v>0</v>
      </c>
      <c r="O40" s="108">
        <f t="shared" si="13"/>
        <v>126.92684644340925</v>
      </c>
      <c r="P40" s="108">
        <f t="shared" si="13"/>
        <v>0</v>
      </c>
      <c r="Q40" s="108">
        <f t="shared" si="13"/>
        <v>126.92684644340925</v>
      </c>
      <c r="R40" s="108">
        <f t="shared" si="13"/>
        <v>0</v>
      </c>
      <c r="S40" s="108">
        <f t="shared" si="13"/>
        <v>126.92684644340925</v>
      </c>
      <c r="T40" s="108">
        <f t="shared" si="13"/>
        <v>0</v>
      </c>
      <c r="U40" s="108">
        <f t="shared" si="13"/>
        <v>126.92684644340925</v>
      </c>
      <c r="V40" s="108">
        <f t="shared" si="13"/>
        <v>0</v>
      </c>
      <c r="W40" s="108">
        <f t="shared" si="13"/>
        <v>126.92684644340925</v>
      </c>
      <c r="X40" s="108">
        <f t="shared" si="13"/>
        <v>0</v>
      </c>
      <c r="Y40" s="108">
        <f t="shared" si="13"/>
        <v>101.54147715472742</v>
      </c>
      <c r="Z40" s="108">
        <f t="shared" si="13"/>
        <v>0</v>
      </c>
      <c r="AA40" s="108">
        <f t="shared" si="13"/>
        <v>0</v>
      </c>
      <c r="AB40" s="108">
        <f t="shared" si="13"/>
        <v>101.54147715472742</v>
      </c>
      <c r="AC40" s="108">
        <f t="shared" si="13"/>
        <v>0</v>
      </c>
      <c r="AD40" s="108">
        <f t="shared" si="13"/>
        <v>126.92684644340925</v>
      </c>
      <c r="AE40" s="108">
        <f t="shared" si="13"/>
        <v>0</v>
      </c>
      <c r="AF40" s="108">
        <f t="shared" si="13"/>
        <v>126.92684644340925</v>
      </c>
      <c r="AG40" s="108">
        <f t="shared" si="13"/>
        <v>0</v>
      </c>
      <c r="AH40" s="108">
        <f t="shared" si="13"/>
        <v>126.92684644340925</v>
      </c>
      <c r="AI40" s="108">
        <f t="shared" si="13"/>
        <v>0</v>
      </c>
      <c r="AJ40" s="108">
        <f t="shared" si="13"/>
        <v>126.92684644340925</v>
      </c>
      <c r="AK40" s="108">
        <f t="shared" si="13"/>
        <v>0</v>
      </c>
      <c r="AL40" s="108">
        <f t="shared" si="13"/>
        <v>126.92684644340925</v>
      </c>
      <c r="AM40" s="108">
        <f t="shared" si="13"/>
        <v>0</v>
      </c>
      <c r="AN40" s="108">
        <f t="shared" si="13"/>
        <v>126.92684644340925</v>
      </c>
      <c r="AO40" s="108">
        <f t="shared" si="13"/>
        <v>0</v>
      </c>
      <c r="AP40" s="108">
        <f t="shared" si="13"/>
        <v>126.92684644340925</v>
      </c>
      <c r="AQ40" s="108">
        <f t="shared" si="13"/>
        <v>0</v>
      </c>
      <c r="AR40" s="108">
        <f t="shared" si="13"/>
        <v>0</v>
      </c>
      <c r="AS40" s="108">
        <f t="shared" si="13"/>
        <v>126.92684644340925</v>
      </c>
      <c r="AT40" s="108">
        <f t="shared" si="13"/>
        <v>0</v>
      </c>
      <c r="AU40" s="108">
        <f t="shared" si="13"/>
        <v>126.92684644340925</v>
      </c>
      <c r="AV40" s="108">
        <f t="shared" si="13"/>
        <v>0</v>
      </c>
      <c r="AW40" s="108">
        <f t="shared" si="13"/>
        <v>126.92684644340925</v>
      </c>
      <c r="AX40" s="108">
        <f t="shared" si="13"/>
        <v>0</v>
      </c>
      <c r="AY40" s="108">
        <f t="shared" si="13"/>
        <v>54.145841109541138</v>
      </c>
    </row>
    <row r="41" spans="1:52">
      <c r="A41" s="108"/>
      <c r="B41" s="162" t="s">
        <v>349</v>
      </c>
      <c r="C41" s="108"/>
      <c r="D41" s="108">
        <v>1</v>
      </c>
      <c r="E41" s="108">
        <v>1</v>
      </c>
      <c r="F41" s="108">
        <v>2</v>
      </c>
      <c r="G41" s="108">
        <v>1</v>
      </c>
      <c r="H41" s="108">
        <v>1</v>
      </c>
      <c r="I41" s="108">
        <v>1</v>
      </c>
      <c r="J41" s="108">
        <v>2</v>
      </c>
      <c r="K41" s="108">
        <v>2</v>
      </c>
      <c r="L41" s="108">
        <v>1</v>
      </c>
      <c r="M41" s="108">
        <v>2</v>
      </c>
      <c r="N41" s="108">
        <v>1</v>
      </c>
      <c r="O41" s="108">
        <v>2</v>
      </c>
      <c r="P41" s="108">
        <v>1</v>
      </c>
      <c r="Q41" s="108">
        <v>1</v>
      </c>
      <c r="R41" s="108">
        <v>3</v>
      </c>
      <c r="S41" s="108">
        <v>1</v>
      </c>
      <c r="T41" s="108">
        <v>2</v>
      </c>
      <c r="U41" s="108">
        <v>1</v>
      </c>
      <c r="V41" s="108">
        <v>3</v>
      </c>
      <c r="W41" s="108">
        <v>1</v>
      </c>
      <c r="X41" s="108">
        <v>1</v>
      </c>
      <c r="Y41" s="108">
        <v>1</v>
      </c>
      <c r="Z41" s="108">
        <v>1</v>
      </c>
      <c r="AA41" s="108">
        <v>3</v>
      </c>
      <c r="AB41" s="108">
        <v>1</v>
      </c>
      <c r="AC41" s="108">
        <v>2</v>
      </c>
      <c r="AD41" s="108">
        <v>1</v>
      </c>
      <c r="AE41" s="108">
        <v>3</v>
      </c>
      <c r="AF41" s="108">
        <v>2</v>
      </c>
      <c r="AG41" s="108">
        <v>2</v>
      </c>
      <c r="AH41" s="108">
        <v>1</v>
      </c>
      <c r="AI41" s="108">
        <v>2</v>
      </c>
      <c r="AJ41" s="108">
        <v>1</v>
      </c>
      <c r="AK41" s="108">
        <v>2</v>
      </c>
      <c r="AL41" s="108">
        <v>1</v>
      </c>
      <c r="AM41" s="108">
        <v>2</v>
      </c>
      <c r="AN41" s="108">
        <v>3</v>
      </c>
      <c r="AO41" s="108">
        <v>1</v>
      </c>
      <c r="AP41" s="108">
        <v>1</v>
      </c>
      <c r="AQ41" s="108">
        <v>1</v>
      </c>
      <c r="AR41" s="108">
        <v>2</v>
      </c>
      <c r="AS41" s="108">
        <v>2</v>
      </c>
      <c r="AT41" s="108">
        <v>2</v>
      </c>
      <c r="AU41" s="108">
        <v>1</v>
      </c>
      <c r="AV41" s="108">
        <v>1</v>
      </c>
      <c r="AW41" s="108">
        <v>2</v>
      </c>
      <c r="AX41" s="108">
        <v>2</v>
      </c>
      <c r="AY41" s="108">
        <v>1</v>
      </c>
    </row>
    <row r="42" spans="1:52">
      <c r="A42" s="108"/>
      <c r="B42" s="173" t="s">
        <v>350</v>
      </c>
      <c r="C42" s="108"/>
      <c r="D42" s="108">
        <v>396900</v>
      </c>
      <c r="E42" s="108">
        <v>0</v>
      </c>
      <c r="F42" s="108">
        <v>396900</v>
      </c>
      <c r="G42" s="108">
        <v>0</v>
      </c>
      <c r="H42" s="108">
        <v>396900</v>
      </c>
      <c r="I42" s="108">
        <v>0</v>
      </c>
      <c r="J42" s="108">
        <v>396900</v>
      </c>
      <c r="K42" s="108">
        <v>0</v>
      </c>
      <c r="L42" s="108">
        <v>396900</v>
      </c>
      <c r="M42" s="108">
        <v>0</v>
      </c>
      <c r="N42" s="108">
        <v>396900</v>
      </c>
      <c r="O42" s="108">
        <v>0</v>
      </c>
      <c r="P42" s="108">
        <v>396900</v>
      </c>
      <c r="Q42" s="108">
        <v>0</v>
      </c>
      <c r="R42" s="108">
        <v>396900</v>
      </c>
      <c r="S42" s="108">
        <v>0</v>
      </c>
      <c r="T42" s="108">
        <v>396900</v>
      </c>
      <c r="U42" s="108">
        <v>0</v>
      </c>
      <c r="V42" s="108">
        <v>396900</v>
      </c>
      <c r="W42" s="108">
        <v>0</v>
      </c>
      <c r="X42" s="108">
        <v>396900</v>
      </c>
      <c r="Y42" s="108">
        <v>0</v>
      </c>
      <c r="Z42" s="108">
        <v>0</v>
      </c>
      <c r="AA42" s="108">
        <v>396900</v>
      </c>
      <c r="AB42" s="108">
        <v>0</v>
      </c>
      <c r="AC42" s="108">
        <v>396900</v>
      </c>
      <c r="AD42" s="108">
        <v>0</v>
      </c>
      <c r="AE42" s="108">
        <v>396900</v>
      </c>
      <c r="AF42" s="108">
        <v>0</v>
      </c>
      <c r="AG42" s="108">
        <v>396900</v>
      </c>
      <c r="AH42" s="108">
        <v>0</v>
      </c>
      <c r="AI42" s="108">
        <v>396900</v>
      </c>
      <c r="AJ42" s="108">
        <v>0</v>
      </c>
      <c r="AK42" s="108">
        <v>396900</v>
      </c>
      <c r="AL42" s="108">
        <v>0</v>
      </c>
      <c r="AM42" s="108">
        <v>396900</v>
      </c>
      <c r="AN42" s="108">
        <v>0</v>
      </c>
      <c r="AO42" s="108">
        <v>396900</v>
      </c>
      <c r="AP42" s="108">
        <v>0</v>
      </c>
      <c r="AQ42" s="108">
        <v>0</v>
      </c>
      <c r="AR42" s="108">
        <v>396900</v>
      </c>
      <c r="AS42" s="108">
        <v>0</v>
      </c>
      <c r="AT42" s="108">
        <v>396900</v>
      </c>
      <c r="AU42" s="108">
        <v>0</v>
      </c>
      <c r="AV42" s="108">
        <v>396900</v>
      </c>
      <c r="AW42" s="108">
        <v>0</v>
      </c>
      <c r="AX42" s="108">
        <v>176400</v>
      </c>
      <c r="AY42" s="108">
        <v>220500</v>
      </c>
      <c r="AZ42">
        <f>SUM($D$42:$AY$42)</f>
        <v>9128700</v>
      </c>
    </row>
    <row r="43" spans="1:52">
      <c r="A43" s="108"/>
      <c r="B43" s="173" t="s">
        <v>351</v>
      </c>
      <c r="C43" s="108"/>
      <c r="D43" s="108">
        <v>0</v>
      </c>
      <c r="E43" s="108">
        <v>208293.70455302269</v>
      </c>
      <c r="F43" s="108">
        <v>0</v>
      </c>
      <c r="G43" s="108">
        <v>208293.70455302269</v>
      </c>
      <c r="H43" s="108">
        <v>0</v>
      </c>
      <c r="I43" s="108">
        <v>208293.70455302269</v>
      </c>
      <c r="J43" s="108">
        <v>0</v>
      </c>
      <c r="K43" s="108">
        <v>208293.70455302269</v>
      </c>
      <c r="L43" s="108">
        <v>0</v>
      </c>
      <c r="M43" s="108">
        <v>208293.70455302269</v>
      </c>
      <c r="N43" s="108">
        <v>0</v>
      </c>
      <c r="O43" s="108">
        <v>208293.70455302269</v>
      </c>
      <c r="P43" s="108">
        <v>0</v>
      </c>
      <c r="Q43" s="108">
        <v>208293.70455302269</v>
      </c>
      <c r="R43" s="108">
        <v>0</v>
      </c>
      <c r="S43" s="108">
        <v>208293.70455302269</v>
      </c>
      <c r="T43" s="108">
        <v>0</v>
      </c>
      <c r="U43" s="108">
        <v>208293.70455302269</v>
      </c>
      <c r="V43" s="108">
        <v>0</v>
      </c>
      <c r="W43" s="108">
        <v>208293.70455302269</v>
      </c>
      <c r="X43" s="108">
        <v>0</v>
      </c>
      <c r="Y43" s="108">
        <v>166634.96364241818</v>
      </c>
      <c r="Z43" s="108">
        <v>0</v>
      </c>
      <c r="AA43" s="108">
        <v>0</v>
      </c>
      <c r="AB43" s="108">
        <v>166634.96364241818</v>
      </c>
      <c r="AC43" s="108">
        <v>0</v>
      </c>
      <c r="AD43" s="108">
        <v>208293.70455302269</v>
      </c>
      <c r="AE43" s="108">
        <v>0</v>
      </c>
      <c r="AF43" s="108">
        <v>208293.70455302269</v>
      </c>
      <c r="AG43" s="108">
        <v>0</v>
      </c>
      <c r="AH43" s="108">
        <v>208293.70455302269</v>
      </c>
      <c r="AI43" s="108">
        <v>0</v>
      </c>
      <c r="AJ43" s="108">
        <v>208293.70455302269</v>
      </c>
      <c r="AK43" s="108">
        <v>0</v>
      </c>
      <c r="AL43" s="108">
        <v>208293.70455302269</v>
      </c>
      <c r="AM43" s="108">
        <v>0</v>
      </c>
      <c r="AN43" s="108">
        <v>208293.70455302269</v>
      </c>
      <c r="AO43" s="108">
        <v>0</v>
      </c>
      <c r="AP43" s="108">
        <v>208293.70455302269</v>
      </c>
      <c r="AQ43" s="108">
        <v>0</v>
      </c>
      <c r="AR43" s="108">
        <v>0</v>
      </c>
      <c r="AS43" s="108">
        <v>208293.70455302269</v>
      </c>
      <c r="AT43" s="108">
        <v>0</v>
      </c>
      <c r="AU43" s="108">
        <v>208293.70455302269</v>
      </c>
      <c r="AV43" s="108">
        <v>0</v>
      </c>
      <c r="AW43" s="108">
        <v>208293.70455302269</v>
      </c>
      <c r="AX43" s="108">
        <v>0</v>
      </c>
      <c r="AY43" s="108">
        <v>88856.204553022675</v>
      </c>
      <c r="AZ43">
        <f>SUM($D$43:$AY$43)</f>
        <v>4588000.2228983128</v>
      </c>
    </row>
    <row r="44" spans="1:52">
      <c r="A44" s="132" t="s">
        <v>46</v>
      </c>
      <c r="B44" s="132" t="s">
        <v>341</v>
      </c>
      <c r="C44" s="121"/>
      <c r="D44" s="121">
        <f>D$21*shipping_manufacturing!$D$28/100</f>
        <v>154.07451359522716</v>
      </c>
      <c r="E44" s="121">
        <f>E$21*shipping_manufacturing!$D$28/100</f>
        <v>154.07451359522716</v>
      </c>
      <c r="F44" s="121">
        <f>F$21*shipping_manufacturing!$D$28/100</f>
        <v>154.07451359522716</v>
      </c>
      <c r="G44" s="121">
        <f>G$21*shipping_manufacturing!$D$28/100</f>
        <v>154.07451359522716</v>
      </c>
      <c r="H44" s="121">
        <f>H$21*shipping_manufacturing!$D$28/100</f>
        <v>154.07451359522716</v>
      </c>
      <c r="I44" s="121">
        <f>I$21*shipping_manufacturing!$D$28/100</f>
        <v>154.07451359522716</v>
      </c>
      <c r="J44" s="121">
        <f>J$21*shipping_manufacturing!$D$28/100</f>
        <v>154.07451359522716</v>
      </c>
      <c r="K44" s="121">
        <f>K$21*shipping_manufacturing!$D$28/100</f>
        <v>154.07451359522716</v>
      </c>
      <c r="L44" s="121">
        <f>L$21*shipping_manufacturing!$D$28/100</f>
        <v>154.07451359522716</v>
      </c>
      <c r="M44" s="121">
        <f>M$21*shipping_manufacturing!$D$28/100</f>
        <v>154.07451359522716</v>
      </c>
      <c r="N44" s="121">
        <f>N$21*shipping_manufacturing!$D$28/100</f>
        <v>154.07451359522716</v>
      </c>
      <c r="O44" s="121">
        <f>O$21*shipping_manufacturing!$D$28/100</f>
        <v>154.07451359522716</v>
      </c>
      <c r="P44" s="121">
        <f>P$21*shipping_manufacturing!$D$28/100</f>
        <v>154.07451359522716</v>
      </c>
      <c r="Q44" s="121">
        <f>Q$21*shipping_manufacturing!$D$28/100</f>
        <v>154.07451359522716</v>
      </c>
      <c r="R44" s="121">
        <f>R$21*shipping_manufacturing!$D$28/100</f>
        <v>154.07451359522716</v>
      </c>
      <c r="S44" s="121">
        <f>S$21*shipping_manufacturing!$D$28/100</f>
        <v>154.07451359522716</v>
      </c>
      <c r="T44" s="121">
        <f>T$21*shipping_manufacturing!$D$28/100</f>
        <v>154.07451359522716</v>
      </c>
      <c r="U44" s="121">
        <f>U$21*shipping_manufacturing!$D$28/100</f>
        <v>154.07451359522716</v>
      </c>
      <c r="V44" s="121">
        <f>V$21*shipping_manufacturing!$D$28/100</f>
        <v>154.07451359522716</v>
      </c>
      <c r="W44" s="121">
        <f>W$21*shipping_manufacturing!$D$28/100</f>
        <v>154.07451359522716</v>
      </c>
      <c r="X44" s="121">
        <f>X$21*shipping_manufacturing!$D$28/100</f>
        <v>154.07451359522716</v>
      </c>
      <c r="Y44" s="121">
        <f>Y$21*shipping_manufacturing!$D$28/100</f>
        <v>123.25961087618174</v>
      </c>
      <c r="Z44" s="121">
        <f>Z$21*shipping_manufacturing!$D$28/100</f>
        <v>0</v>
      </c>
      <c r="AA44" s="121">
        <f>AA$21*shipping_manufacturing!$D$28/100</f>
        <v>154.07451359522716</v>
      </c>
      <c r="AB44" s="121">
        <f>AB$21*shipping_manufacturing!$D$28/100</f>
        <v>123.25961087618174</v>
      </c>
      <c r="AC44" s="121">
        <f>AC$21*shipping_manufacturing!$D$28/100</f>
        <v>154.07451359522716</v>
      </c>
      <c r="AD44" s="121">
        <f>AD$21*shipping_manufacturing!$D$28/100</f>
        <v>154.07451359522716</v>
      </c>
      <c r="AE44" s="121">
        <f>AE$21*shipping_manufacturing!$D$28/100</f>
        <v>154.07451359522716</v>
      </c>
      <c r="AF44" s="121">
        <f>AF$21*shipping_manufacturing!$D$28/100</f>
        <v>154.07451359522716</v>
      </c>
      <c r="AG44" s="121">
        <f>AG$21*shipping_manufacturing!$D$28/100</f>
        <v>154.07451359522716</v>
      </c>
      <c r="AH44" s="121">
        <f>AH$21*shipping_manufacturing!$D$28/100</f>
        <v>154.07451359522716</v>
      </c>
      <c r="AI44" s="121">
        <f>AI$21*shipping_manufacturing!$D$28/100</f>
        <v>154.07451359522716</v>
      </c>
      <c r="AJ44" s="121">
        <f>AJ$21*shipping_manufacturing!$D$28/100</f>
        <v>154.07451359522716</v>
      </c>
      <c r="AK44" s="121">
        <f>AK$21*shipping_manufacturing!$D$28/100</f>
        <v>154.07451359522716</v>
      </c>
      <c r="AL44" s="121">
        <f>AL$21*shipping_manufacturing!$D$28/100</f>
        <v>154.07451359522716</v>
      </c>
      <c r="AM44" s="121">
        <f>AM$21*shipping_manufacturing!$D$28/100</f>
        <v>154.07451359522716</v>
      </c>
      <c r="AN44" s="121">
        <f>AN$21*shipping_manufacturing!$D$28/100</f>
        <v>154.07451359522716</v>
      </c>
      <c r="AO44" s="121">
        <f>AO$21*shipping_manufacturing!$D$28/100</f>
        <v>154.07451359522716</v>
      </c>
      <c r="AP44" s="121">
        <f>AP$21*shipping_manufacturing!$D$28/100</f>
        <v>154.07451359522716</v>
      </c>
      <c r="AQ44" s="121">
        <f>AQ$21*shipping_manufacturing!$D$28/100</f>
        <v>0</v>
      </c>
      <c r="AR44" s="121">
        <f>AR$21*shipping_manufacturing!$D$28/100</f>
        <v>154.07451359522716</v>
      </c>
      <c r="AS44" s="121">
        <f>AS$21*shipping_manufacturing!$D$28/100</f>
        <v>154.07451359522716</v>
      </c>
      <c r="AT44" s="121">
        <f>AT$21*shipping_manufacturing!$D$28/100</f>
        <v>154.07451359522716</v>
      </c>
      <c r="AU44" s="121">
        <f>AU$21*shipping_manufacturing!$D$28/100</f>
        <v>154.07451359522716</v>
      </c>
      <c r="AV44" s="121">
        <f>AV$21*shipping_manufacturing!$D$28/100</f>
        <v>154.07451359522716</v>
      </c>
      <c r="AW44" s="121">
        <f>AW$21*shipping_manufacturing!$D$28/100</f>
        <v>154.07451359522716</v>
      </c>
      <c r="AX44" s="121">
        <f>AX$21*shipping_manufacturing!$D$28/100</f>
        <v>62.176581577403603</v>
      </c>
      <c r="AY44" s="121">
        <f>AY$21*shipping_manufacturing!$D$28/100</f>
        <v>154.07451359522716</v>
      </c>
    </row>
    <row r="45" spans="1:52">
      <c r="A45" s="110" t="s">
        <v>340</v>
      </c>
      <c r="B45" s="162" t="s">
        <v>342</v>
      </c>
      <c r="C45" s="108"/>
      <c r="D45" s="108">
        <f>D$22*shipping_manufacturing!$E$28/100</f>
        <v>184.33213688763291</v>
      </c>
      <c r="E45" s="108">
        <f>E$22*shipping_manufacturing!$E$28/100</f>
        <v>184.33213688763291</v>
      </c>
      <c r="F45" s="108">
        <f>F$22*shipping_manufacturing!$E$28/100</f>
        <v>184.33213688763291</v>
      </c>
      <c r="G45" s="108">
        <f>G$22*shipping_manufacturing!$E$28/100</f>
        <v>184.33213688763291</v>
      </c>
      <c r="H45" s="108">
        <f>H$22*shipping_manufacturing!$E$28/100</f>
        <v>184.33213688763291</v>
      </c>
      <c r="I45" s="108">
        <f>I$22*shipping_manufacturing!$E$28/100</f>
        <v>184.33213688763291</v>
      </c>
      <c r="J45" s="108">
        <f>J$22*shipping_manufacturing!$E$28/100</f>
        <v>184.33213688763291</v>
      </c>
      <c r="K45" s="108">
        <f>K$22*shipping_manufacturing!$E$28/100</f>
        <v>184.33213688763291</v>
      </c>
      <c r="L45" s="108">
        <f>L$22*shipping_manufacturing!$E$28/100</f>
        <v>184.33213688763291</v>
      </c>
      <c r="M45" s="108">
        <f>M$22*shipping_manufacturing!$E$28/100</f>
        <v>184.33213688763291</v>
      </c>
      <c r="N45" s="108">
        <f>N$22*shipping_manufacturing!$E$28/100</f>
        <v>184.33213688763291</v>
      </c>
      <c r="O45" s="108">
        <f>O$22*shipping_manufacturing!$E$28/100</f>
        <v>184.33213688763291</v>
      </c>
      <c r="P45" s="108">
        <f>P$22*shipping_manufacturing!$E$28/100</f>
        <v>184.33213688763291</v>
      </c>
      <c r="Q45" s="108">
        <f>Q$22*shipping_manufacturing!$E$28/100</f>
        <v>184.33213688763291</v>
      </c>
      <c r="R45" s="108">
        <f>R$22*shipping_manufacturing!$E$28/100</f>
        <v>184.33213688763291</v>
      </c>
      <c r="S45" s="108">
        <f>S$22*shipping_manufacturing!$E$28/100</f>
        <v>184.33213688763291</v>
      </c>
      <c r="T45" s="108">
        <f>T$22*shipping_manufacturing!$E$28/100</f>
        <v>184.33213688763291</v>
      </c>
      <c r="U45" s="108">
        <f>U$22*shipping_manufacturing!$E$28/100</f>
        <v>184.33213688763291</v>
      </c>
      <c r="V45" s="108">
        <f>V$22*shipping_manufacturing!$E$28/100</f>
        <v>184.33213688763291</v>
      </c>
      <c r="W45" s="108">
        <f>W$22*shipping_manufacturing!$E$28/100</f>
        <v>184.33213688763291</v>
      </c>
      <c r="X45" s="108">
        <f>X$22*shipping_manufacturing!$E$28/100</f>
        <v>184.33213688763291</v>
      </c>
      <c r="Y45" s="108">
        <f>Y$22*shipping_manufacturing!$E$28/100</f>
        <v>147.46570951010636</v>
      </c>
      <c r="Z45" s="108">
        <f>Z$22*shipping_manufacturing!$E$28/100</f>
        <v>0</v>
      </c>
      <c r="AA45" s="108">
        <f>AA$22*shipping_manufacturing!$E$28/100</f>
        <v>184.33213688763291</v>
      </c>
      <c r="AB45" s="108">
        <f>AB$22*shipping_manufacturing!$E$28/100</f>
        <v>147.46570951010636</v>
      </c>
      <c r="AC45" s="108">
        <f>AC$22*shipping_manufacturing!$E$28/100</f>
        <v>184.33213688763291</v>
      </c>
      <c r="AD45" s="108">
        <f>AD$22*shipping_manufacturing!$E$28/100</f>
        <v>184.33213688763291</v>
      </c>
      <c r="AE45" s="108">
        <f>AE$22*shipping_manufacturing!$E$28/100</f>
        <v>184.33213688763291</v>
      </c>
      <c r="AF45" s="108">
        <f>AF$22*shipping_manufacturing!$E$28/100</f>
        <v>184.33213688763291</v>
      </c>
      <c r="AG45" s="108">
        <f>AG$22*shipping_manufacturing!$E$28/100</f>
        <v>184.33213688763291</v>
      </c>
      <c r="AH45" s="108">
        <f>AH$22*shipping_manufacturing!$E$28/100</f>
        <v>184.33213688763291</v>
      </c>
      <c r="AI45" s="108">
        <f>AI$22*shipping_manufacturing!$E$28/100</f>
        <v>184.33213688763291</v>
      </c>
      <c r="AJ45" s="108">
        <f>AJ$22*shipping_manufacturing!$E$28/100</f>
        <v>184.33213688763291</v>
      </c>
      <c r="AK45" s="108">
        <f>AK$22*shipping_manufacturing!$E$28/100</f>
        <v>184.33213688763291</v>
      </c>
      <c r="AL45" s="108">
        <f>AL$22*shipping_manufacturing!$E$28/100</f>
        <v>184.33213688763291</v>
      </c>
      <c r="AM45" s="108">
        <f>AM$22*shipping_manufacturing!$E$28/100</f>
        <v>184.33213688763291</v>
      </c>
      <c r="AN45" s="108">
        <f>AN$22*shipping_manufacturing!$E$28/100</f>
        <v>184.33213688763291</v>
      </c>
      <c r="AO45" s="108">
        <f>AO$22*shipping_manufacturing!$E$28/100</f>
        <v>184.33213688763291</v>
      </c>
      <c r="AP45" s="108">
        <f>AP$22*shipping_manufacturing!$E$28/100</f>
        <v>184.33213688763291</v>
      </c>
      <c r="AQ45" s="108">
        <f>AQ$22*shipping_manufacturing!$E$28/100</f>
        <v>0</v>
      </c>
      <c r="AR45" s="108">
        <f>AR$22*shipping_manufacturing!$E$28/100</f>
        <v>184.33213688763291</v>
      </c>
      <c r="AS45" s="108">
        <f>AS$22*shipping_manufacturing!$E$28/100</f>
        <v>184.33213688763291</v>
      </c>
      <c r="AT45" s="108">
        <f>AT$22*shipping_manufacturing!$E$28/100</f>
        <v>184.33213688763291</v>
      </c>
      <c r="AU45" s="108">
        <f>AU$22*shipping_manufacturing!$E$28/100</f>
        <v>184.33213688763291</v>
      </c>
      <c r="AV45" s="108">
        <f>AV$22*shipping_manufacturing!$E$28/100</f>
        <v>184.33213688763291</v>
      </c>
      <c r="AW45" s="108">
        <f>AW$22*shipping_manufacturing!$E$28/100</f>
        <v>184.33213688763291</v>
      </c>
      <c r="AX45" s="108">
        <f>AX$22*shipping_manufacturing!$E$28/100</f>
        <v>74.387008461638729</v>
      </c>
      <c r="AY45" s="108">
        <f>AY$22*shipping_manufacturing!$E$28/100</f>
        <v>184.33213688763291</v>
      </c>
    </row>
    <row r="46" spans="1:52">
      <c r="A46" s="108">
        <v>89</v>
      </c>
      <c r="B46" s="162" t="s">
        <v>343</v>
      </c>
      <c r="C46" s="108"/>
      <c r="D46" s="108">
        <f>SUM(D44:D45)</f>
        <v>338.40665048286007</v>
      </c>
      <c r="E46" s="108">
        <f t="shared" ref="E46:AY46" si="14">SUM(E44:E45)</f>
        <v>338.40665048286007</v>
      </c>
      <c r="F46" s="108">
        <f t="shared" si="14"/>
        <v>338.40665048286007</v>
      </c>
      <c r="G46" s="108">
        <f t="shared" si="14"/>
        <v>338.40665048286007</v>
      </c>
      <c r="H46" s="108">
        <f t="shared" si="14"/>
        <v>338.40665048286007</v>
      </c>
      <c r="I46" s="108">
        <f t="shared" si="14"/>
        <v>338.40665048286007</v>
      </c>
      <c r="J46" s="108">
        <f t="shared" si="14"/>
        <v>338.40665048286007</v>
      </c>
      <c r="K46" s="108">
        <f t="shared" si="14"/>
        <v>338.40665048286007</v>
      </c>
      <c r="L46" s="108">
        <f t="shared" si="14"/>
        <v>338.40665048286007</v>
      </c>
      <c r="M46" s="108">
        <f t="shared" si="14"/>
        <v>338.40665048286007</v>
      </c>
      <c r="N46" s="108">
        <f t="shared" si="14"/>
        <v>338.40665048286007</v>
      </c>
      <c r="O46" s="108">
        <f t="shared" si="14"/>
        <v>338.40665048286007</v>
      </c>
      <c r="P46" s="108">
        <f t="shared" si="14"/>
        <v>338.40665048286007</v>
      </c>
      <c r="Q46" s="108">
        <f t="shared" si="14"/>
        <v>338.40665048286007</v>
      </c>
      <c r="R46" s="108">
        <f t="shared" si="14"/>
        <v>338.40665048286007</v>
      </c>
      <c r="S46" s="108">
        <f t="shared" si="14"/>
        <v>338.40665048286007</v>
      </c>
      <c r="T46" s="108">
        <f t="shared" si="14"/>
        <v>338.40665048286007</v>
      </c>
      <c r="U46" s="108">
        <f t="shared" si="14"/>
        <v>338.40665048286007</v>
      </c>
      <c r="V46" s="108">
        <f t="shared" si="14"/>
        <v>338.40665048286007</v>
      </c>
      <c r="W46" s="108">
        <f t="shared" si="14"/>
        <v>338.40665048286007</v>
      </c>
      <c r="X46" s="108">
        <f t="shared" si="14"/>
        <v>338.40665048286007</v>
      </c>
      <c r="Y46" s="108">
        <f t="shared" si="14"/>
        <v>270.7253203862881</v>
      </c>
      <c r="Z46" s="108">
        <f t="shared" si="14"/>
        <v>0</v>
      </c>
      <c r="AA46" s="108">
        <f t="shared" si="14"/>
        <v>338.40665048286007</v>
      </c>
      <c r="AB46" s="108">
        <f t="shared" si="14"/>
        <v>270.7253203862881</v>
      </c>
      <c r="AC46" s="108">
        <f t="shared" si="14"/>
        <v>338.40665048286007</v>
      </c>
      <c r="AD46" s="108">
        <f t="shared" si="14"/>
        <v>338.40665048286007</v>
      </c>
      <c r="AE46" s="108">
        <f t="shared" si="14"/>
        <v>338.40665048286007</v>
      </c>
      <c r="AF46" s="108">
        <f t="shared" si="14"/>
        <v>338.40665048286007</v>
      </c>
      <c r="AG46" s="108">
        <f t="shared" si="14"/>
        <v>338.40665048286007</v>
      </c>
      <c r="AH46" s="108">
        <f t="shared" si="14"/>
        <v>338.40665048286007</v>
      </c>
      <c r="AI46" s="108">
        <f t="shared" si="14"/>
        <v>338.40665048286007</v>
      </c>
      <c r="AJ46" s="108">
        <f t="shared" si="14"/>
        <v>338.40665048286007</v>
      </c>
      <c r="AK46" s="108">
        <f t="shared" si="14"/>
        <v>338.40665048286007</v>
      </c>
      <c r="AL46" s="108">
        <f t="shared" si="14"/>
        <v>338.40665048286007</v>
      </c>
      <c r="AM46" s="108">
        <f t="shared" si="14"/>
        <v>338.40665048286007</v>
      </c>
      <c r="AN46" s="108">
        <f t="shared" si="14"/>
        <v>338.40665048286007</v>
      </c>
      <c r="AO46" s="108">
        <f t="shared" si="14"/>
        <v>338.40665048286007</v>
      </c>
      <c r="AP46" s="108">
        <f t="shared" si="14"/>
        <v>338.40665048286007</v>
      </c>
      <c r="AQ46" s="108">
        <f t="shared" si="14"/>
        <v>0</v>
      </c>
      <c r="AR46" s="108">
        <f t="shared" si="14"/>
        <v>338.40665048286007</v>
      </c>
      <c r="AS46" s="108">
        <f t="shared" si="14"/>
        <v>338.40665048286007</v>
      </c>
      <c r="AT46" s="108">
        <f t="shared" si="14"/>
        <v>338.40665048286007</v>
      </c>
      <c r="AU46" s="108">
        <f t="shared" si="14"/>
        <v>338.40665048286007</v>
      </c>
      <c r="AV46" s="108">
        <f t="shared" si="14"/>
        <v>338.40665048286007</v>
      </c>
      <c r="AW46" s="108">
        <f t="shared" si="14"/>
        <v>338.40665048286007</v>
      </c>
      <c r="AX46" s="108">
        <f t="shared" si="14"/>
        <v>136.56359003904234</v>
      </c>
      <c r="AY46" s="108">
        <f t="shared" si="14"/>
        <v>338.40665048286007</v>
      </c>
    </row>
    <row r="47" spans="1:52">
      <c r="A47" s="108"/>
      <c r="B47" s="162" t="s">
        <v>344</v>
      </c>
      <c r="C47" s="108"/>
      <c r="D47" s="108">
        <v>154.07451359522719</v>
      </c>
      <c r="E47" s="108">
        <v>13.658819651627757</v>
      </c>
      <c r="F47" s="108">
        <v>154.07451359522719</v>
      </c>
      <c r="G47" s="108">
        <v>13.658819651627757</v>
      </c>
      <c r="H47" s="108">
        <v>154.07451359522719</v>
      </c>
      <c r="I47" s="108">
        <v>13.658819651627757</v>
      </c>
      <c r="J47" s="108">
        <v>154.07451359522719</v>
      </c>
      <c r="K47" s="108">
        <v>13.658819651627757</v>
      </c>
      <c r="L47" s="108">
        <v>154.07451359522719</v>
      </c>
      <c r="M47" s="108">
        <v>13.658819651627757</v>
      </c>
      <c r="N47" s="108">
        <v>154.07451359522719</v>
      </c>
      <c r="O47" s="108">
        <v>13.658819651627757</v>
      </c>
      <c r="P47" s="108">
        <v>154.07451359522719</v>
      </c>
      <c r="Q47" s="108">
        <v>13.658819651627757</v>
      </c>
      <c r="R47" s="108">
        <v>154.07451359522719</v>
      </c>
      <c r="S47" s="108">
        <v>13.658819651627757</v>
      </c>
      <c r="T47" s="108">
        <v>154.07451359522719</v>
      </c>
      <c r="U47" s="108">
        <v>13.658819651627757</v>
      </c>
      <c r="V47" s="108">
        <v>154.07451359522719</v>
      </c>
      <c r="W47" s="108">
        <v>13.658819651627757</v>
      </c>
      <c r="X47" s="108">
        <v>154.07451359522719</v>
      </c>
      <c r="Y47" s="108">
        <v>13.658819651627756</v>
      </c>
      <c r="Z47" s="108"/>
      <c r="AA47" s="108">
        <v>154.07451359522719</v>
      </c>
      <c r="AB47" s="108">
        <v>13.658819651627756</v>
      </c>
      <c r="AC47" s="108">
        <v>154.07451359522719</v>
      </c>
      <c r="AD47" s="108">
        <v>13.658819651627757</v>
      </c>
      <c r="AE47" s="108">
        <v>154.07451359522719</v>
      </c>
      <c r="AF47" s="108">
        <v>13.658819651627757</v>
      </c>
      <c r="AG47" s="108">
        <v>154.07451359522719</v>
      </c>
      <c r="AH47" s="108">
        <v>13.658819651627757</v>
      </c>
      <c r="AI47" s="108">
        <v>154.07451359522719</v>
      </c>
      <c r="AJ47" s="108">
        <v>13.658819651627757</v>
      </c>
      <c r="AK47" s="108">
        <v>154.07451359522719</v>
      </c>
      <c r="AL47" s="108">
        <v>13.658819651627757</v>
      </c>
      <c r="AM47" s="108">
        <v>154.07451359522719</v>
      </c>
      <c r="AN47" s="108">
        <v>13.658819651627757</v>
      </c>
      <c r="AO47" s="108">
        <v>154.07451359522719</v>
      </c>
      <c r="AP47" s="108">
        <v>13.658819651627757</v>
      </c>
      <c r="AQ47" s="108"/>
      <c r="AR47" s="108">
        <v>154.07451359522719</v>
      </c>
      <c r="AS47" s="108">
        <v>13.658819651627757</v>
      </c>
      <c r="AT47" s="108">
        <v>154.07451359522719</v>
      </c>
      <c r="AU47" s="108">
        <v>13.658819651627757</v>
      </c>
      <c r="AV47" s="108">
        <v>154.07451359522719</v>
      </c>
      <c r="AW47" s="108">
        <v>13.658819651627757</v>
      </c>
      <c r="AX47" s="108">
        <v>62.176581577403596</v>
      </c>
      <c r="AY47" s="108">
        <v>109.27055721302204</v>
      </c>
    </row>
    <row r="48" spans="1:52">
      <c r="A48" s="108"/>
      <c r="B48" s="162" t="s">
        <v>345</v>
      </c>
      <c r="C48" s="108"/>
      <c r="D48" s="108">
        <v>184.33213688763288</v>
      </c>
      <c r="E48" s="108">
        <v>16.341180348372244</v>
      </c>
      <c r="F48" s="108">
        <v>184.33213688763288</v>
      </c>
      <c r="G48" s="108">
        <v>16.341180348372244</v>
      </c>
      <c r="H48" s="108">
        <v>184.33213688763288</v>
      </c>
      <c r="I48" s="108">
        <v>16.341180348372244</v>
      </c>
      <c r="J48" s="108">
        <v>184.33213688763288</v>
      </c>
      <c r="K48" s="108">
        <v>16.341180348372244</v>
      </c>
      <c r="L48" s="108">
        <v>184.33213688763288</v>
      </c>
      <c r="M48" s="108">
        <v>16.341180348372244</v>
      </c>
      <c r="N48" s="108">
        <v>184.33213688763288</v>
      </c>
      <c r="O48" s="108">
        <v>16.341180348372244</v>
      </c>
      <c r="P48" s="108">
        <v>184.33213688763288</v>
      </c>
      <c r="Q48" s="108">
        <v>16.341180348372244</v>
      </c>
      <c r="R48" s="108">
        <v>184.33213688763288</v>
      </c>
      <c r="S48" s="108">
        <v>16.341180348372244</v>
      </c>
      <c r="T48" s="108">
        <v>184.33213688763288</v>
      </c>
      <c r="U48" s="108">
        <v>16.341180348372244</v>
      </c>
      <c r="V48" s="108">
        <v>184.33213688763288</v>
      </c>
      <c r="W48" s="108">
        <v>16.341180348372244</v>
      </c>
      <c r="X48" s="108">
        <v>184.33213688763288</v>
      </c>
      <c r="Y48" s="108">
        <v>16.341180348372244</v>
      </c>
      <c r="Z48" s="108"/>
      <c r="AA48" s="108">
        <v>184.33213688763288</v>
      </c>
      <c r="AB48" s="108">
        <v>16.341180348372244</v>
      </c>
      <c r="AC48" s="108">
        <v>184.33213688763288</v>
      </c>
      <c r="AD48" s="108">
        <v>16.341180348372244</v>
      </c>
      <c r="AE48" s="108">
        <v>184.33213688763288</v>
      </c>
      <c r="AF48" s="108">
        <v>16.341180348372244</v>
      </c>
      <c r="AG48" s="108">
        <v>184.33213688763288</v>
      </c>
      <c r="AH48" s="108">
        <v>16.341180348372244</v>
      </c>
      <c r="AI48" s="108">
        <v>184.33213688763288</v>
      </c>
      <c r="AJ48" s="108">
        <v>16.341180348372244</v>
      </c>
      <c r="AK48" s="108">
        <v>184.33213688763288</v>
      </c>
      <c r="AL48" s="108">
        <v>16.341180348372244</v>
      </c>
      <c r="AM48" s="108">
        <v>184.33213688763288</v>
      </c>
      <c r="AN48" s="108">
        <v>16.341180348372244</v>
      </c>
      <c r="AO48" s="108">
        <v>184.33213688763288</v>
      </c>
      <c r="AP48" s="108">
        <v>16.341180348372244</v>
      </c>
      <c r="AQ48" s="108"/>
      <c r="AR48" s="108">
        <v>184.33213688763288</v>
      </c>
      <c r="AS48" s="108">
        <v>16.341180348372244</v>
      </c>
      <c r="AT48" s="108">
        <v>184.33213688763288</v>
      </c>
      <c r="AU48" s="108">
        <v>16.341180348372244</v>
      </c>
      <c r="AV48" s="108">
        <v>184.33213688763288</v>
      </c>
      <c r="AW48" s="108">
        <v>16.341180348372244</v>
      </c>
      <c r="AX48" s="108">
        <v>74.387008461638729</v>
      </c>
      <c r="AY48" s="108">
        <v>130.72944278697796</v>
      </c>
    </row>
    <row r="49" spans="1:52">
      <c r="A49" s="108"/>
      <c r="B49" s="162" t="s">
        <v>346</v>
      </c>
      <c r="C49" s="108"/>
      <c r="D49" s="108">
        <v>12</v>
      </c>
      <c r="E49" s="108">
        <v>1</v>
      </c>
      <c r="F49" s="108">
        <v>12</v>
      </c>
      <c r="G49" s="108">
        <v>1</v>
      </c>
      <c r="H49" s="108">
        <v>12</v>
      </c>
      <c r="I49" s="108">
        <v>1</v>
      </c>
      <c r="J49" s="108">
        <v>12</v>
      </c>
      <c r="K49" s="108">
        <v>1</v>
      </c>
      <c r="L49" s="108">
        <v>12</v>
      </c>
      <c r="M49" s="108">
        <v>1</v>
      </c>
      <c r="N49" s="108">
        <v>12</v>
      </c>
      <c r="O49" s="108">
        <v>1</v>
      </c>
      <c r="P49" s="108">
        <v>12</v>
      </c>
      <c r="Q49" s="108">
        <v>1</v>
      </c>
      <c r="R49" s="108">
        <v>12</v>
      </c>
      <c r="S49" s="108">
        <v>1</v>
      </c>
      <c r="T49" s="108">
        <v>12</v>
      </c>
      <c r="U49" s="108">
        <v>1</v>
      </c>
      <c r="V49" s="108">
        <v>12</v>
      </c>
      <c r="W49" s="108">
        <v>1</v>
      </c>
      <c r="X49" s="108">
        <v>12</v>
      </c>
      <c r="Y49" s="108">
        <v>1</v>
      </c>
      <c r="Z49" s="108"/>
      <c r="AA49" s="108">
        <v>12</v>
      </c>
      <c r="AB49" s="108">
        <v>1</v>
      </c>
      <c r="AC49" s="108">
        <v>12</v>
      </c>
      <c r="AD49" s="108">
        <v>1</v>
      </c>
      <c r="AE49" s="108">
        <v>12</v>
      </c>
      <c r="AF49" s="108">
        <v>1</v>
      </c>
      <c r="AG49" s="108">
        <v>12</v>
      </c>
      <c r="AH49" s="108">
        <v>1</v>
      </c>
      <c r="AI49" s="108">
        <v>12</v>
      </c>
      <c r="AJ49" s="108">
        <v>1</v>
      </c>
      <c r="AK49" s="108">
        <v>12</v>
      </c>
      <c r="AL49" s="108">
        <v>1</v>
      </c>
      <c r="AM49" s="108">
        <v>12</v>
      </c>
      <c r="AN49" s="108">
        <v>1</v>
      </c>
      <c r="AO49" s="108">
        <v>12</v>
      </c>
      <c r="AP49" s="108">
        <v>1</v>
      </c>
      <c r="AQ49" s="108"/>
      <c r="AR49" s="108">
        <v>12</v>
      </c>
      <c r="AS49" s="108">
        <v>1</v>
      </c>
      <c r="AT49" s="108">
        <v>12</v>
      </c>
      <c r="AU49" s="108">
        <v>1</v>
      </c>
      <c r="AV49" s="108">
        <v>12</v>
      </c>
      <c r="AW49" s="108">
        <v>1</v>
      </c>
      <c r="AX49" s="108">
        <v>5</v>
      </c>
      <c r="AY49" s="108">
        <v>8</v>
      </c>
    </row>
    <row r="50" spans="1:52">
      <c r="A50" s="108"/>
      <c r="B50" s="162" t="s">
        <v>347</v>
      </c>
      <c r="C50" s="108"/>
      <c r="D50" s="108">
        <f>D44-D47</f>
        <v>0</v>
      </c>
      <c r="E50" s="108">
        <f t="shared" ref="E50:AY50" si="15">E44-E47</f>
        <v>140.41569394359939</v>
      </c>
      <c r="F50" s="108">
        <f t="shared" si="15"/>
        <v>0</v>
      </c>
      <c r="G50" s="108">
        <f t="shared" si="15"/>
        <v>140.41569394359939</v>
      </c>
      <c r="H50" s="108">
        <f t="shared" si="15"/>
        <v>0</v>
      </c>
      <c r="I50" s="108">
        <f t="shared" si="15"/>
        <v>140.41569394359939</v>
      </c>
      <c r="J50" s="108">
        <f t="shared" si="15"/>
        <v>0</v>
      </c>
      <c r="K50" s="108">
        <f t="shared" si="15"/>
        <v>140.41569394359939</v>
      </c>
      <c r="L50" s="108">
        <f t="shared" si="15"/>
        <v>0</v>
      </c>
      <c r="M50" s="108">
        <f t="shared" si="15"/>
        <v>140.41569394359939</v>
      </c>
      <c r="N50" s="108">
        <f t="shared" si="15"/>
        <v>0</v>
      </c>
      <c r="O50" s="108">
        <f t="shared" si="15"/>
        <v>140.41569394359939</v>
      </c>
      <c r="P50" s="108">
        <f t="shared" si="15"/>
        <v>0</v>
      </c>
      <c r="Q50" s="108">
        <f t="shared" si="15"/>
        <v>140.41569394359939</v>
      </c>
      <c r="R50" s="108">
        <f t="shared" si="15"/>
        <v>0</v>
      </c>
      <c r="S50" s="108">
        <f t="shared" si="15"/>
        <v>140.41569394359939</v>
      </c>
      <c r="T50" s="108">
        <f t="shared" si="15"/>
        <v>0</v>
      </c>
      <c r="U50" s="108">
        <f t="shared" si="15"/>
        <v>140.41569394359939</v>
      </c>
      <c r="V50" s="108">
        <f t="shared" si="15"/>
        <v>0</v>
      </c>
      <c r="W50" s="108">
        <f t="shared" si="15"/>
        <v>140.41569394359939</v>
      </c>
      <c r="X50" s="108">
        <f t="shared" si="15"/>
        <v>0</v>
      </c>
      <c r="Y50" s="108">
        <f t="shared" si="15"/>
        <v>109.60079122455399</v>
      </c>
      <c r="Z50" s="108">
        <f t="shared" si="15"/>
        <v>0</v>
      </c>
      <c r="AA50" s="108">
        <f t="shared" si="15"/>
        <v>0</v>
      </c>
      <c r="AB50" s="108">
        <f t="shared" si="15"/>
        <v>109.60079122455399</v>
      </c>
      <c r="AC50" s="108">
        <f t="shared" si="15"/>
        <v>0</v>
      </c>
      <c r="AD50" s="108">
        <f t="shared" si="15"/>
        <v>140.41569394359939</v>
      </c>
      <c r="AE50" s="108">
        <f t="shared" si="15"/>
        <v>0</v>
      </c>
      <c r="AF50" s="108">
        <f t="shared" si="15"/>
        <v>140.41569394359939</v>
      </c>
      <c r="AG50" s="108">
        <f t="shared" si="15"/>
        <v>0</v>
      </c>
      <c r="AH50" s="108">
        <f t="shared" si="15"/>
        <v>140.41569394359939</v>
      </c>
      <c r="AI50" s="108">
        <f t="shared" si="15"/>
        <v>0</v>
      </c>
      <c r="AJ50" s="108">
        <f t="shared" si="15"/>
        <v>140.41569394359939</v>
      </c>
      <c r="AK50" s="108">
        <f t="shared" si="15"/>
        <v>0</v>
      </c>
      <c r="AL50" s="108">
        <f t="shared" si="15"/>
        <v>140.41569394359939</v>
      </c>
      <c r="AM50" s="108">
        <f t="shared" si="15"/>
        <v>0</v>
      </c>
      <c r="AN50" s="108">
        <f t="shared" si="15"/>
        <v>140.41569394359939</v>
      </c>
      <c r="AO50" s="108">
        <f t="shared" si="15"/>
        <v>0</v>
      </c>
      <c r="AP50" s="108">
        <f t="shared" si="15"/>
        <v>140.41569394359939</v>
      </c>
      <c r="AQ50" s="108">
        <f t="shared" si="15"/>
        <v>0</v>
      </c>
      <c r="AR50" s="108">
        <f t="shared" si="15"/>
        <v>0</v>
      </c>
      <c r="AS50" s="108">
        <f t="shared" si="15"/>
        <v>140.41569394359939</v>
      </c>
      <c r="AT50" s="108">
        <f t="shared" si="15"/>
        <v>0</v>
      </c>
      <c r="AU50" s="108">
        <f t="shared" si="15"/>
        <v>140.41569394359939</v>
      </c>
      <c r="AV50" s="108">
        <f t="shared" si="15"/>
        <v>0</v>
      </c>
      <c r="AW50" s="108">
        <f t="shared" si="15"/>
        <v>140.41569394359939</v>
      </c>
      <c r="AX50" s="108">
        <f t="shared" si="15"/>
        <v>0</v>
      </c>
      <c r="AY50" s="108">
        <f t="shared" si="15"/>
        <v>44.803956382205115</v>
      </c>
    </row>
    <row r="51" spans="1:52">
      <c r="A51" s="108"/>
      <c r="B51" s="162" t="s">
        <v>348</v>
      </c>
      <c r="C51" s="108"/>
      <c r="D51" s="108">
        <f>D45-D48</f>
        <v>0</v>
      </c>
      <c r="E51" s="108">
        <f t="shared" ref="E51:AY51" si="16">E45-E48</f>
        <v>167.99095653926068</v>
      </c>
      <c r="F51" s="108">
        <f t="shared" si="16"/>
        <v>0</v>
      </c>
      <c r="G51" s="108">
        <f t="shared" si="16"/>
        <v>167.99095653926068</v>
      </c>
      <c r="H51" s="108">
        <f t="shared" si="16"/>
        <v>0</v>
      </c>
      <c r="I51" s="108">
        <f t="shared" si="16"/>
        <v>167.99095653926068</v>
      </c>
      <c r="J51" s="108">
        <f t="shared" si="16"/>
        <v>0</v>
      </c>
      <c r="K51" s="108">
        <f t="shared" si="16"/>
        <v>167.99095653926068</v>
      </c>
      <c r="L51" s="108">
        <f t="shared" si="16"/>
        <v>0</v>
      </c>
      <c r="M51" s="108">
        <f t="shared" si="16"/>
        <v>167.99095653926068</v>
      </c>
      <c r="N51" s="108">
        <f t="shared" si="16"/>
        <v>0</v>
      </c>
      <c r="O51" s="108">
        <f t="shared" si="16"/>
        <v>167.99095653926068</v>
      </c>
      <c r="P51" s="108">
        <f t="shared" si="16"/>
        <v>0</v>
      </c>
      <c r="Q51" s="108">
        <f t="shared" si="16"/>
        <v>167.99095653926068</v>
      </c>
      <c r="R51" s="108">
        <f t="shared" si="16"/>
        <v>0</v>
      </c>
      <c r="S51" s="108">
        <f t="shared" si="16"/>
        <v>167.99095653926068</v>
      </c>
      <c r="T51" s="108">
        <f t="shared" si="16"/>
        <v>0</v>
      </c>
      <c r="U51" s="108">
        <f t="shared" si="16"/>
        <v>167.99095653926068</v>
      </c>
      <c r="V51" s="108">
        <f t="shared" si="16"/>
        <v>0</v>
      </c>
      <c r="W51" s="108">
        <f t="shared" si="16"/>
        <v>167.99095653926068</v>
      </c>
      <c r="X51" s="108">
        <f t="shared" si="16"/>
        <v>0</v>
      </c>
      <c r="Y51" s="108">
        <f t="shared" si="16"/>
        <v>131.12452916173413</v>
      </c>
      <c r="Z51" s="108">
        <f t="shared" si="16"/>
        <v>0</v>
      </c>
      <c r="AA51" s="108">
        <f t="shared" si="16"/>
        <v>0</v>
      </c>
      <c r="AB51" s="108">
        <f t="shared" si="16"/>
        <v>131.12452916173413</v>
      </c>
      <c r="AC51" s="108">
        <f t="shared" si="16"/>
        <v>0</v>
      </c>
      <c r="AD51" s="108">
        <f t="shared" si="16"/>
        <v>167.99095653926068</v>
      </c>
      <c r="AE51" s="108">
        <f t="shared" si="16"/>
        <v>0</v>
      </c>
      <c r="AF51" s="108">
        <f t="shared" si="16"/>
        <v>167.99095653926068</v>
      </c>
      <c r="AG51" s="108">
        <f t="shared" si="16"/>
        <v>0</v>
      </c>
      <c r="AH51" s="108">
        <f t="shared" si="16"/>
        <v>167.99095653926068</v>
      </c>
      <c r="AI51" s="108">
        <f t="shared" si="16"/>
        <v>0</v>
      </c>
      <c r="AJ51" s="108">
        <f t="shared" si="16"/>
        <v>167.99095653926068</v>
      </c>
      <c r="AK51" s="108">
        <f t="shared" si="16"/>
        <v>0</v>
      </c>
      <c r="AL51" s="108">
        <f t="shared" si="16"/>
        <v>167.99095653926068</v>
      </c>
      <c r="AM51" s="108">
        <f t="shared" si="16"/>
        <v>0</v>
      </c>
      <c r="AN51" s="108">
        <f t="shared" si="16"/>
        <v>167.99095653926068</v>
      </c>
      <c r="AO51" s="108">
        <f t="shared" si="16"/>
        <v>0</v>
      </c>
      <c r="AP51" s="108">
        <f t="shared" si="16"/>
        <v>167.99095653926068</v>
      </c>
      <c r="AQ51" s="108">
        <f t="shared" si="16"/>
        <v>0</v>
      </c>
      <c r="AR51" s="108">
        <f t="shared" si="16"/>
        <v>0</v>
      </c>
      <c r="AS51" s="108">
        <f t="shared" si="16"/>
        <v>167.99095653926068</v>
      </c>
      <c r="AT51" s="108">
        <f t="shared" si="16"/>
        <v>0</v>
      </c>
      <c r="AU51" s="108">
        <f t="shared" si="16"/>
        <v>167.99095653926068</v>
      </c>
      <c r="AV51" s="108">
        <f t="shared" si="16"/>
        <v>0</v>
      </c>
      <c r="AW51" s="108">
        <f t="shared" si="16"/>
        <v>167.99095653926068</v>
      </c>
      <c r="AX51" s="108">
        <f t="shared" si="16"/>
        <v>0</v>
      </c>
      <c r="AY51" s="108">
        <f t="shared" si="16"/>
        <v>53.602694100654958</v>
      </c>
    </row>
    <row r="52" spans="1:52">
      <c r="A52" s="108"/>
      <c r="B52" s="162" t="s">
        <v>349</v>
      </c>
      <c r="C52" s="108"/>
      <c r="D52" s="108">
        <v>1</v>
      </c>
      <c r="E52" s="108">
        <v>1</v>
      </c>
      <c r="F52" s="108">
        <v>2</v>
      </c>
      <c r="G52" s="108">
        <v>1</v>
      </c>
      <c r="H52" s="108">
        <v>1</v>
      </c>
      <c r="I52" s="108">
        <v>1</v>
      </c>
      <c r="J52" s="108">
        <v>1</v>
      </c>
      <c r="K52" s="108">
        <v>1</v>
      </c>
      <c r="L52" s="108">
        <v>1</v>
      </c>
      <c r="M52" s="108">
        <v>2</v>
      </c>
      <c r="N52" s="108">
        <v>2</v>
      </c>
      <c r="O52" s="108">
        <v>2</v>
      </c>
      <c r="P52" s="108">
        <v>1</v>
      </c>
      <c r="Q52" s="108">
        <v>2</v>
      </c>
      <c r="R52" s="108">
        <v>1</v>
      </c>
      <c r="S52" s="108">
        <v>1</v>
      </c>
      <c r="T52" s="108">
        <v>3</v>
      </c>
      <c r="U52" s="108">
        <v>2</v>
      </c>
      <c r="V52" s="108">
        <v>2</v>
      </c>
      <c r="W52" s="108">
        <v>1</v>
      </c>
      <c r="X52" s="108">
        <v>1</v>
      </c>
      <c r="Y52" s="108">
        <v>2</v>
      </c>
      <c r="Z52" s="108">
        <v>2</v>
      </c>
      <c r="AA52" s="108">
        <v>2</v>
      </c>
      <c r="AB52" s="108">
        <v>2</v>
      </c>
      <c r="AC52" s="108">
        <v>1</v>
      </c>
      <c r="AD52" s="108">
        <v>1</v>
      </c>
      <c r="AE52" s="108">
        <v>1</v>
      </c>
      <c r="AF52" s="108">
        <v>2</v>
      </c>
      <c r="AG52" s="108">
        <v>1</v>
      </c>
      <c r="AH52" s="108">
        <v>2</v>
      </c>
      <c r="AI52" s="108">
        <v>3</v>
      </c>
      <c r="AJ52" s="108">
        <v>1</v>
      </c>
      <c r="AK52" s="108">
        <v>1</v>
      </c>
      <c r="AL52" s="108">
        <v>3</v>
      </c>
      <c r="AM52" s="108">
        <v>2</v>
      </c>
      <c r="AN52" s="108">
        <v>1</v>
      </c>
      <c r="AO52" s="108">
        <v>2</v>
      </c>
      <c r="AP52" s="108">
        <v>3</v>
      </c>
      <c r="AQ52" s="108">
        <v>1</v>
      </c>
      <c r="AR52" s="108">
        <v>1</v>
      </c>
      <c r="AS52" s="108">
        <v>1</v>
      </c>
      <c r="AT52" s="108">
        <v>2</v>
      </c>
      <c r="AU52" s="108">
        <v>1</v>
      </c>
      <c r="AV52" s="108">
        <v>2</v>
      </c>
      <c r="AW52" s="108">
        <v>1</v>
      </c>
      <c r="AX52" s="108">
        <v>1</v>
      </c>
      <c r="AY52" s="108">
        <v>1</v>
      </c>
    </row>
    <row r="53" spans="1:52">
      <c r="A53" s="108"/>
      <c r="B53" s="173" t="s">
        <v>350</v>
      </c>
      <c r="C53" s="108"/>
      <c r="D53" s="108">
        <v>38448</v>
      </c>
      <c r="E53" s="108">
        <v>3204</v>
      </c>
      <c r="F53" s="108">
        <v>38448</v>
      </c>
      <c r="G53" s="108">
        <v>3204</v>
      </c>
      <c r="H53" s="108">
        <v>38448</v>
      </c>
      <c r="I53" s="108">
        <v>3204</v>
      </c>
      <c r="J53" s="108">
        <v>38448</v>
      </c>
      <c r="K53" s="108">
        <v>3204</v>
      </c>
      <c r="L53" s="108">
        <v>38448</v>
      </c>
      <c r="M53" s="108">
        <v>3204</v>
      </c>
      <c r="N53" s="108">
        <v>38448</v>
      </c>
      <c r="O53" s="108">
        <v>3204</v>
      </c>
      <c r="P53" s="108">
        <v>38448</v>
      </c>
      <c r="Q53" s="108">
        <v>3204</v>
      </c>
      <c r="R53" s="108">
        <v>38448</v>
      </c>
      <c r="S53" s="108">
        <v>3204</v>
      </c>
      <c r="T53" s="108">
        <v>38448</v>
      </c>
      <c r="U53" s="108">
        <v>3204</v>
      </c>
      <c r="V53" s="108">
        <v>38448</v>
      </c>
      <c r="W53" s="108">
        <v>3204</v>
      </c>
      <c r="X53" s="108">
        <v>38448</v>
      </c>
      <c r="Y53" s="108">
        <v>3204</v>
      </c>
      <c r="Z53" s="108">
        <v>0</v>
      </c>
      <c r="AA53" s="108">
        <v>38448</v>
      </c>
      <c r="AB53" s="108">
        <v>3204</v>
      </c>
      <c r="AC53" s="108">
        <v>38448</v>
      </c>
      <c r="AD53" s="108">
        <v>3204</v>
      </c>
      <c r="AE53" s="108">
        <v>38448</v>
      </c>
      <c r="AF53" s="108">
        <v>3204</v>
      </c>
      <c r="AG53" s="108">
        <v>38448</v>
      </c>
      <c r="AH53" s="108">
        <v>3204</v>
      </c>
      <c r="AI53" s="108">
        <v>38448</v>
      </c>
      <c r="AJ53" s="108">
        <v>3204</v>
      </c>
      <c r="AK53" s="108">
        <v>38448</v>
      </c>
      <c r="AL53" s="108">
        <v>3204</v>
      </c>
      <c r="AM53" s="108">
        <v>38448</v>
      </c>
      <c r="AN53" s="108">
        <v>3204</v>
      </c>
      <c r="AO53" s="108">
        <v>38448</v>
      </c>
      <c r="AP53" s="108">
        <v>3204</v>
      </c>
      <c r="AQ53" s="108">
        <v>0</v>
      </c>
      <c r="AR53" s="108">
        <v>38448</v>
      </c>
      <c r="AS53" s="108">
        <v>3204</v>
      </c>
      <c r="AT53" s="108">
        <v>38448</v>
      </c>
      <c r="AU53" s="108">
        <v>3204</v>
      </c>
      <c r="AV53" s="108">
        <v>38448</v>
      </c>
      <c r="AW53" s="108">
        <v>3204</v>
      </c>
      <c r="AX53" s="108">
        <v>16020</v>
      </c>
      <c r="AY53" s="108">
        <v>25632</v>
      </c>
      <c r="AZ53">
        <f>SUM($D$53:$AY$53)</f>
        <v>957996</v>
      </c>
    </row>
    <row r="54" spans="1:52">
      <c r="A54" s="108"/>
      <c r="B54" s="173" t="s">
        <v>351</v>
      </c>
      <c r="C54" s="108"/>
      <c r="D54" s="108">
        <v>0</v>
      </c>
      <c r="E54" s="108">
        <v>17841.324730433458</v>
      </c>
      <c r="F54" s="108">
        <v>0</v>
      </c>
      <c r="G54" s="108">
        <v>17841.324730433458</v>
      </c>
      <c r="H54" s="108">
        <v>0</v>
      </c>
      <c r="I54" s="108">
        <v>17841.324730433458</v>
      </c>
      <c r="J54" s="108">
        <v>0</v>
      </c>
      <c r="K54" s="108">
        <v>17841.324730433458</v>
      </c>
      <c r="L54" s="108">
        <v>0</v>
      </c>
      <c r="M54" s="108">
        <v>17841.324730433458</v>
      </c>
      <c r="N54" s="108">
        <v>0</v>
      </c>
      <c r="O54" s="108">
        <v>17841.324730433458</v>
      </c>
      <c r="P54" s="108">
        <v>0</v>
      </c>
      <c r="Q54" s="108">
        <v>17841.324730433458</v>
      </c>
      <c r="R54" s="108">
        <v>0</v>
      </c>
      <c r="S54" s="108">
        <v>17841.324730433458</v>
      </c>
      <c r="T54" s="108">
        <v>0</v>
      </c>
      <c r="U54" s="108">
        <v>17841.324730433458</v>
      </c>
      <c r="V54" s="108">
        <v>0</v>
      </c>
      <c r="W54" s="108">
        <v>17841.324730433458</v>
      </c>
      <c r="X54" s="108">
        <v>0</v>
      </c>
      <c r="Y54" s="108">
        <v>13925.959784346767</v>
      </c>
      <c r="Z54" s="108">
        <v>0</v>
      </c>
      <c r="AA54" s="108">
        <v>0</v>
      </c>
      <c r="AB54" s="108">
        <v>13925.959784346767</v>
      </c>
      <c r="AC54" s="108">
        <v>0</v>
      </c>
      <c r="AD54" s="108">
        <v>17841.324730433458</v>
      </c>
      <c r="AE54" s="108">
        <v>0</v>
      </c>
      <c r="AF54" s="108">
        <v>17841.324730433458</v>
      </c>
      <c r="AG54" s="108">
        <v>0</v>
      </c>
      <c r="AH54" s="108">
        <v>17841.324730433458</v>
      </c>
      <c r="AI54" s="108">
        <v>0</v>
      </c>
      <c r="AJ54" s="108">
        <v>17841.324730433458</v>
      </c>
      <c r="AK54" s="108">
        <v>0</v>
      </c>
      <c r="AL54" s="108">
        <v>17841.324730433458</v>
      </c>
      <c r="AM54" s="108">
        <v>0</v>
      </c>
      <c r="AN54" s="108">
        <v>17841.324730433458</v>
      </c>
      <c r="AO54" s="108">
        <v>0</v>
      </c>
      <c r="AP54" s="108">
        <v>17841.324730433458</v>
      </c>
      <c r="AQ54" s="108">
        <v>0</v>
      </c>
      <c r="AR54" s="108">
        <v>0</v>
      </c>
      <c r="AS54" s="108">
        <v>17841.324730433458</v>
      </c>
      <c r="AT54" s="108">
        <v>0</v>
      </c>
      <c r="AU54" s="108">
        <v>17841.324730433458</v>
      </c>
      <c r="AV54" s="108">
        <v>0</v>
      </c>
      <c r="AW54" s="108">
        <v>17841.324730433458</v>
      </c>
      <c r="AX54" s="108">
        <v>0</v>
      </c>
      <c r="AY54" s="108">
        <v>5692.8247304334554</v>
      </c>
      <c r="AZ54">
        <f>SUM($D$54:$AY$54)</f>
        <v>390371.23890779627</v>
      </c>
    </row>
    <row r="55" spans="1:52">
      <c r="A55" s="132" t="s">
        <v>59</v>
      </c>
      <c r="B55" s="132" t="s">
        <v>341</v>
      </c>
      <c r="C55" s="121"/>
      <c r="D55" s="121">
        <f>D$21*shipping_manufacturing!$D$29/100</f>
        <v>0</v>
      </c>
      <c r="E55" s="121">
        <f>E$21*shipping_manufacturing!$D$29/100</f>
        <v>0</v>
      </c>
      <c r="F55" s="121">
        <f>F$21*shipping_manufacturing!$D$29/100</f>
        <v>0</v>
      </c>
      <c r="G55" s="121">
        <f>G$21*shipping_manufacturing!$D$29/100</f>
        <v>0</v>
      </c>
      <c r="H55" s="121">
        <f>H$21*shipping_manufacturing!$D$29/100</f>
        <v>0</v>
      </c>
      <c r="I55" s="121">
        <f>I$21*shipping_manufacturing!$D$29/100</f>
        <v>0</v>
      </c>
      <c r="J55" s="121">
        <f>J$21*shipping_manufacturing!$D$29/100</f>
        <v>0</v>
      </c>
      <c r="K55" s="121">
        <f>K$21*shipping_manufacturing!$D$29/100</f>
        <v>0</v>
      </c>
      <c r="L55" s="121">
        <f>L$21*shipping_manufacturing!$D$29/100</f>
        <v>0</v>
      </c>
      <c r="M55" s="121">
        <f>M$21*shipping_manufacturing!$D$29/100</f>
        <v>0</v>
      </c>
      <c r="N55" s="121">
        <f>N$21*shipping_manufacturing!$D$29/100</f>
        <v>0</v>
      </c>
      <c r="O55" s="121">
        <f>O$21*shipping_manufacturing!$D$29/100</f>
        <v>0</v>
      </c>
      <c r="P55" s="121">
        <f>P$21*shipping_manufacturing!$D$29/100</f>
        <v>0</v>
      </c>
      <c r="Q55" s="121">
        <f>Q$21*shipping_manufacturing!$D$29/100</f>
        <v>0</v>
      </c>
      <c r="R55" s="121">
        <f>R$21*shipping_manufacturing!$D$29/100</f>
        <v>0</v>
      </c>
      <c r="S55" s="121">
        <f>S$21*shipping_manufacturing!$D$29/100</f>
        <v>0</v>
      </c>
      <c r="T55" s="121">
        <f>T$21*shipping_manufacturing!$D$29/100</f>
        <v>0</v>
      </c>
      <c r="U55" s="121">
        <f>U$21*shipping_manufacturing!$D$29/100</f>
        <v>0</v>
      </c>
      <c r="V55" s="121">
        <f>V$21*shipping_manufacturing!$D$29/100</f>
        <v>0</v>
      </c>
      <c r="W55" s="121">
        <f>W$21*shipping_manufacturing!$D$29/100</f>
        <v>0</v>
      </c>
      <c r="X55" s="121">
        <f>X$21*shipping_manufacturing!$D$29/100</f>
        <v>0</v>
      </c>
      <c r="Y55" s="121">
        <f>Y$21*shipping_manufacturing!$D$29/100</f>
        <v>0</v>
      </c>
      <c r="Z55" s="121">
        <f>Z$21*shipping_manufacturing!$D$29/100</f>
        <v>0</v>
      </c>
      <c r="AA55" s="121">
        <f>AA$21*shipping_manufacturing!$D$29/100</f>
        <v>0</v>
      </c>
      <c r="AB55" s="121">
        <f>AB$21*shipping_manufacturing!$D$29/100</f>
        <v>0</v>
      </c>
      <c r="AC55" s="121">
        <f>AC$21*shipping_manufacturing!$D$29/100</f>
        <v>0</v>
      </c>
      <c r="AD55" s="121">
        <f>AD$21*shipping_manufacturing!$D$29/100</f>
        <v>0</v>
      </c>
      <c r="AE55" s="121">
        <f>AE$21*shipping_manufacturing!$D$29/100</f>
        <v>0</v>
      </c>
      <c r="AF55" s="121">
        <f>AF$21*shipping_manufacturing!$D$29/100</f>
        <v>0</v>
      </c>
      <c r="AG55" s="121">
        <f>AG$21*shipping_manufacturing!$D$29/100</f>
        <v>0</v>
      </c>
      <c r="AH55" s="121">
        <f>AH$21*shipping_manufacturing!$D$29/100</f>
        <v>0</v>
      </c>
      <c r="AI55" s="121">
        <f>AI$21*shipping_manufacturing!$D$29/100</f>
        <v>0</v>
      </c>
      <c r="AJ55" s="121">
        <f>AJ$21*shipping_manufacturing!$D$29/100</f>
        <v>0</v>
      </c>
      <c r="AK55" s="121">
        <f>AK$21*shipping_manufacturing!$D$29/100</f>
        <v>0</v>
      </c>
      <c r="AL55" s="121">
        <f>AL$21*shipping_manufacturing!$D$29/100</f>
        <v>0</v>
      </c>
      <c r="AM55" s="121">
        <f>AM$21*shipping_manufacturing!$D$29/100</f>
        <v>0</v>
      </c>
      <c r="AN55" s="121">
        <f>AN$21*shipping_manufacturing!$D$29/100</f>
        <v>0</v>
      </c>
      <c r="AO55" s="121">
        <f>AO$21*shipping_manufacturing!$D$29/100</f>
        <v>0</v>
      </c>
      <c r="AP55" s="121">
        <f>AP$21*shipping_manufacturing!$D$29/100</f>
        <v>0</v>
      </c>
      <c r="AQ55" s="121">
        <f>AQ$21*shipping_manufacturing!$D$29/100</f>
        <v>0</v>
      </c>
      <c r="AR55" s="121">
        <f>AR$21*shipping_manufacturing!$D$29/100</f>
        <v>0</v>
      </c>
      <c r="AS55" s="121">
        <f>AS$21*shipping_manufacturing!$D$29/100</f>
        <v>0</v>
      </c>
      <c r="AT55" s="121">
        <f>AT$21*shipping_manufacturing!$D$29/100</f>
        <v>0</v>
      </c>
      <c r="AU55" s="121">
        <f>AU$21*shipping_manufacturing!$D$29/100</f>
        <v>0</v>
      </c>
      <c r="AV55" s="121">
        <f>AV$21*shipping_manufacturing!$D$29/100</f>
        <v>0</v>
      </c>
      <c r="AW55" s="121">
        <f>AW$21*shipping_manufacturing!$D$29/100</f>
        <v>0</v>
      </c>
      <c r="AX55" s="121">
        <f>AX$21*shipping_manufacturing!$D$29/100</f>
        <v>0</v>
      </c>
      <c r="AY55" s="121">
        <f>AY$21*shipping_manufacturing!$D$29/100</f>
        <v>0</v>
      </c>
    </row>
    <row r="56" spans="1:52">
      <c r="A56" s="110" t="s">
        <v>340</v>
      </c>
      <c r="B56" s="162" t="s">
        <v>342</v>
      </c>
      <c r="C56" s="108"/>
      <c r="D56" s="108">
        <f>D$22*shipping_manufacturing!$E$29/100</f>
        <v>0</v>
      </c>
      <c r="E56" s="108">
        <f>E$22*shipping_manufacturing!$E$29/100</f>
        <v>0</v>
      </c>
      <c r="F56" s="108">
        <f>F$22*shipping_manufacturing!$E$29/100</f>
        <v>0</v>
      </c>
      <c r="G56" s="108">
        <f>G$22*shipping_manufacturing!$E$29/100</f>
        <v>0</v>
      </c>
      <c r="H56" s="108">
        <f>H$22*shipping_manufacturing!$E$29/100</f>
        <v>0</v>
      </c>
      <c r="I56" s="108">
        <f>I$22*shipping_manufacturing!$E$29/100</f>
        <v>0</v>
      </c>
      <c r="J56" s="108">
        <f>J$22*shipping_manufacturing!$E$29/100</f>
        <v>0</v>
      </c>
      <c r="K56" s="108">
        <f>K$22*shipping_manufacturing!$E$29/100</f>
        <v>0</v>
      </c>
      <c r="L56" s="108">
        <f>L$22*shipping_manufacturing!$E$29/100</f>
        <v>0</v>
      </c>
      <c r="M56" s="108">
        <f>M$22*shipping_manufacturing!$E$29/100</f>
        <v>0</v>
      </c>
      <c r="N56" s="108">
        <f>N$22*shipping_manufacturing!$E$29/100</f>
        <v>0</v>
      </c>
      <c r="O56" s="108">
        <f>O$22*shipping_manufacturing!$E$29/100</f>
        <v>0</v>
      </c>
      <c r="P56" s="108">
        <f>P$22*shipping_manufacturing!$E$29/100</f>
        <v>0</v>
      </c>
      <c r="Q56" s="108">
        <f>Q$22*shipping_manufacturing!$E$29/100</f>
        <v>0</v>
      </c>
      <c r="R56" s="108">
        <f>R$22*shipping_manufacturing!$E$29/100</f>
        <v>0</v>
      </c>
      <c r="S56" s="108">
        <f>S$22*shipping_manufacturing!$E$29/100</f>
        <v>0</v>
      </c>
      <c r="T56" s="108">
        <f>T$22*shipping_manufacturing!$E$29/100</f>
        <v>0</v>
      </c>
      <c r="U56" s="108">
        <f>U$22*shipping_manufacturing!$E$29/100</f>
        <v>0</v>
      </c>
      <c r="V56" s="108">
        <f>V$22*shipping_manufacturing!$E$29/100</f>
        <v>0</v>
      </c>
      <c r="W56" s="108">
        <f>W$22*shipping_manufacturing!$E$29/100</f>
        <v>0</v>
      </c>
      <c r="X56" s="108">
        <f>X$22*shipping_manufacturing!$E$29/100</f>
        <v>0</v>
      </c>
      <c r="Y56" s="108">
        <f>Y$22*shipping_manufacturing!$E$29/100</f>
        <v>0</v>
      </c>
      <c r="Z56" s="108">
        <f>Z$22*shipping_manufacturing!$E$29/100</f>
        <v>0</v>
      </c>
      <c r="AA56" s="108">
        <f>AA$22*shipping_manufacturing!$E$29/100</f>
        <v>0</v>
      </c>
      <c r="AB56" s="108">
        <f>AB$22*shipping_manufacturing!$E$29/100</f>
        <v>0</v>
      </c>
      <c r="AC56" s="108">
        <f>AC$22*shipping_manufacturing!$E$29/100</f>
        <v>0</v>
      </c>
      <c r="AD56" s="108">
        <f>AD$22*shipping_manufacturing!$E$29/100</f>
        <v>0</v>
      </c>
      <c r="AE56" s="108">
        <f>AE$22*shipping_manufacturing!$E$29/100</f>
        <v>0</v>
      </c>
      <c r="AF56" s="108">
        <f>AF$22*shipping_manufacturing!$E$29/100</f>
        <v>0</v>
      </c>
      <c r="AG56" s="108">
        <f>AG$22*shipping_manufacturing!$E$29/100</f>
        <v>0</v>
      </c>
      <c r="AH56" s="108">
        <f>AH$22*shipping_manufacturing!$E$29/100</f>
        <v>0</v>
      </c>
      <c r="AI56" s="108">
        <f>AI$22*shipping_manufacturing!$E$29/100</f>
        <v>0</v>
      </c>
      <c r="AJ56" s="108">
        <f>AJ$22*shipping_manufacturing!$E$29/100</f>
        <v>0</v>
      </c>
      <c r="AK56" s="108">
        <f>AK$22*shipping_manufacturing!$E$29/100</f>
        <v>0</v>
      </c>
      <c r="AL56" s="108">
        <f>AL$22*shipping_manufacturing!$E$29/100</f>
        <v>0</v>
      </c>
      <c r="AM56" s="108">
        <f>AM$22*shipping_manufacturing!$E$29/100</f>
        <v>0</v>
      </c>
      <c r="AN56" s="108">
        <f>AN$22*shipping_manufacturing!$E$29/100</f>
        <v>0</v>
      </c>
      <c r="AO56" s="108">
        <f>AO$22*shipping_manufacturing!$E$29/100</f>
        <v>0</v>
      </c>
      <c r="AP56" s="108">
        <f>AP$22*shipping_manufacturing!$E$29/100</f>
        <v>0</v>
      </c>
      <c r="AQ56" s="108">
        <f>AQ$22*shipping_manufacturing!$E$29/100</f>
        <v>0</v>
      </c>
      <c r="AR56" s="108">
        <f>AR$22*shipping_manufacturing!$E$29/100</f>
        <v>0</v>
      </c>
      <c r="AS56" s="108">
        <f>AS$22*shipping_manufacturing!$E$29/100</f>
        <v>0</v>
      </c>
      <c r="AT56" s="108">
        <f>AT$22*shipping_manufacturing!$E$29/100</f>
        <v>0</v>
      </c>
      <c r="AU56" s="108">
        <f>AU$22*shipping_manufacturing!$E$29/100</f>
        <v>0</v>
      </c>
      <c r="AV56" s="108">
        <f>AV$22*shipping_manufacturing!$E$29/100</f>
        <v>0</v>
      </c>
      <c r="AW56" s="108">
        <f>AW$22*shipping_manufacturing!$E$29/100</f>
        <v>0</v>
      </c>
      <c r="AX56" s="108">
        <f>AX$22*shipping_manufacturing!$E$29/100</f>
        <v>0</v>
      </c>
      <c r="AY56" s="108">
        <f>AY$22*shipping_manufacturing!$E$29/100</f>
        <v>0</v>
      </c>
    </row>
    <row r="57" spans="1:52">
      <c r="A57" s="108">
        <v>2339</v>
      </c>
      <c r="B57" s="162" t="s">
        <v>343</v>
      </c>
      <c r="C57" s="108"/>
      <c r="D57" s="108">
        <f>SUM(D55:D56)</f>
        <v>0</v>
      </c>
      <c r="E57" s="108">
        <f t="shared" ref="E57:AY57" si="17">SUM(E55:E56)</f>
        <v>0</v>
      </c>
      <c r="F57" s="108">
        <f t="shared" si="17"/>
        <v>0</v>
      </c>
      <c r="G57" s="108">
        <f t="shared" si="17"/>
        <v>0</v>
      </c>
      <c r="H57" s="108">
        <f t="shared" si="17"/>
        <v>0</v>
      </c>
      <c r="I57" s="108">
        <f t="shared" si="17"/>
        <v>0</v>
      </c>
      <c r="J57" s="108">
        <f t="shared" si="17"/>
        <v>0</v>
      </c>
      <c r="K57" s="108">
        <f t="shared" si="17"/>
        <v>0</v>
      </c>
      <c r="L57" s="108">
        <f t="shared" si="17"/>
        <v>0</v>
      </c>
      <c r="M57" s="108">
        <f t="shared" si="17"/>
        <v>0</v>
      </c>
      <c r="N57" s="108">
        <f t="shared" si="17"/>
        <v>0</v>
      </c>
      <c r="O57" s="108">
        <f t="shared" si="17"/>
        <v>0</v>
      </c>
      <c r="P57" s="108">
        <f t="shared" si="17"/>
        <v>0</v>
      </c>
      <c r="Q57" s="108">
        <f t="shared" si="17"/>
        <v>0</v>
      </c>
      <c r="R57" s="108">
        <f t="shared" si="17"/>
        <v>0</v>
      </c>
      <c r="S57" s="108">
        <f t="shared" si="17"/>
        <v>0</v>
      </c>
      <c r="T57" s="108">
        <f t="shared" si="17"/>
        <v>0</v>
      </c>
      <c r="U57" s="108">
        <f t="shared" si="17"/>
        <v>0</v>
      </c>
      <c r="V57" s="108">
        <f t="shared" si="17"/>
        <v>0</v>
      </c>
      <c r="W57" s="108">
        <f t="shared" si="17"/>
        <v>0</v>
      </c>
      <c r="X57" s="108">
        <f t="shared" si="17"/>
        <v>0</v>
      </c>
      <c r="Y57" s="108">
        <f t="shared" si="17"/>
        <v>0</v>
      </c>
      <c r="Z57" s="108">
        <f t="shared" si="17"/>
        <v>0</v>
      </c>
      <c r="AA57" s="108">
        <f t="shared" si="17"/>
        <v>0</v>
      </c>
      <c r="AB57" s="108">
        <f t="shared" si="17"/>
        <v>0</v>
      </c>
      <c r="AC57" s="108">
        <f t="shared" si="17"/>
        <v>0</v>
      </c>
      <c r="AD57" s="108">
        <f t="shared" si="17"/>
        <v>0</v>
      </c>
      <c r="AE57" s="108">
        <f t="shared" si="17"/>
        <v>0</v>
      </c>
      <c r="AF57" s="108">
        <f t="shared" si="17"/>
        <v>0</v>
      </c>
      <c r="AG57" s="108">
        <f t="shared" si="17"/>
        <v>0</v>
      </c>
      <c r="AH57" s="108">
        <f t="shared" si="17"/>
        <v>0</v>
      </c>
      <c r="AI57" s="108">
        <f t="shared" si="17"/>
        <v>0</v>
      </c>
      <c r="AJ57" s="108">
        <f t="shared" si="17"/>
        <v>0</v>
      </c>
      <c r="AK57" s="108">
        <f t="shared" si="17"/>
        <v>0</v>
      </c>
      <c r="AL57" s="108">
        <f t="shared" si="17"/>
        <v>0</v>
      </c>
      <c r="AM57" s="108">
        <f t="shared" si="17"/>
        <v>0</v>
      </c>
      <c r="AN57" s="108">
        <f t="shared" si="17"/>
        <v>0</v>
      </c>
      <c r="AO57" s="108">
        <f t="shared" si="17"/>
        <v>0</v>
      </c>
      <c r="AP57" s="108">
        <f t="shared" si="17"/>
        <v>0</v>
      </c>
      <c r="AQ57" s="108">
        <f t="shared" si="17"/>
        <v>0</v>
      </c>
      <c r="AR57" s="108">
        <f t="shared" si="17"/>
        <v>0</v>
      </c>
      <c r="AS57" s="108">
        <f t="shared" si="17"/>
        <v>0</v>
      </c>
      <c r="AT57" s="108">
        <f t="shared" si="17"/>
        <v>0</v>
      </c>
      <c r="AU57" s="108">
        <f t="shared" si="17"/>
        <v>0</v>
      </c>
      <c r="AV57" s="108">
        <f t="shared" si="17"/>
        <v>0</v>
      </c>
      <c r="AW57" s="108">
        <f t="shared" si="17"/>
        <v>0</v>
      </c>
      <c r="AX57" s="108">
        <f t="shared" si="17"/>
        <v>0</v>
      </c>
      <c r="AY57" s="108">
        <f t="shared" si="17"/>
        <v>0</v>
      </c>
    </row>
    <row r="58" spans="1:52">
      <c r="A58" s="108"/>
      <c r="B58" s="162" t="s">
        <v>344</v>
      </c>
      <c r="C58" s="108"/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</row>
    <row r="59" spans="1:52">
      <c r="A59" s="108"/>
      <c r="B59" s="162" t="s">
        <v>345</v>
      </c>
      <c r="C59" s="108"/>
      <c r="D59" s="108"/>
      <c r="E59" s="108"/>
      <c r="F59" s="108"/>
      <c r="G59" s="108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8"/>
      <c r="AL59" s="108"/>
      <c r="AM59" s="108"/>
      <c r="AN59" s="108"/>
      <c r="AO59" s="108"/>
      <c r="AP59" s="108"/>
      <c r="AQ59" s="108"/>
      <c r="AR59" s="108"/>
      <c r="AS59" s="108"/>
      <c r="AT59" s="108"/>
      <c r="AU59" s="108"/>
      <c r="AV59" s="108"/>
      <c r="AW59" s="108"/>
      <c r="AX59" s="108"/>
      <c r="AY59" s="108"/>
    </row>
    <row r="60" spans="1:52">
      <c r="A60" s="108"/>
      <c r="B60" s="162" t="s">
        <v>346</v>
      </c>
      <c r="C60" s="108"/>
      <c r="D60" s="108"/>
      <c r="E60" s="108"/>
      <c r="F60" s="108"/>
      <c r="G60" s="108"/>
      <c r="H60" s="108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8"/>
      <c r="AL60" s="108"/>
      <c r="AM60" s="108"/>
      <c r="AN60" s="108"/>
      <c r="AO60" s="108"/>
      <c r="AP60" s="108"/>
      <c r="AQ60" s="108"/>
      <c r="AR60" s="108"/>
      <c r="AS60" s="108"/>
      <c r="AT60" s="108"/>
      <c r="AU60" s="108"/>
      <c r="AV60" s="108"/>
      <c r="AW60" s="108"/>
      <c r="AX60" s="108"/>
      <c r="AY60" s="108"/>
    </row>
    <row r="61" spans="1:52">
      <c r="A61" s="108"/>
      <c r="B61" s="162" t="s">
        <v>347</v>
      </c>
      <c r="C61" s="108"/>
      <c r="D61" s="108">
        <f>D55-D58</f>
        <v>0</v>
      </c>
      <c r="E61" s="108">
        <f t="shared" ref="E61:AY61" si="18">E55-E58</f>
        <v>0</v>
      </c>
      <c r="F61" s="108">
        <f t="shared" si="18"/>
        <v>0</v>
      </c>
      <c r="G61" s="108">
        <f t="shared" si="18"/>
        <v>0</v>
      </c>
      <c r="H61" s="108">
        <f t="shared" si="18"/>
        <v>0</v>
      </c>
      <c r="I61" s="108">
        <f t="shared" si="18"/>
        <v>0</v>
      </c>
      <c r="J61" s="108">
        <f t="shared" si="18"/>
        <v>0</v>
      </c>
      <c r="K61" s="108">
        <f t="shared" si="18"/>
        <v>0</v>
      </c>
      <c r="L61" s="108">
        <f t="shared" si="18"/>
        <v>0</v>
      </c>
      <c r="M61" s="108">
        <f t="shared" si="18"/>
        <v>0</v>
      </c>
      <c r="N61" s="108">
        <f t="shared" si="18"/>
        <v>0</v>
      </c>
      <c r="O61" s="108">
        <f t="shared" si="18"/>
        <v>0</v>
      </c>
      <c r="P61" s="108">
        <f t="shared" si="18"/>
        <v>0</v>
      </c>
      <c r="Q61" s="108">
        <f t="shared" si="18"/>
        <v>0</v>
      </c>
      <c r="R61" s="108">
        <f t="shared" si="18"/>
        <v>0</v>
      </c>
      <c r="S61" s="108">
        <f t="shared" si="18"/>
        <v>0</v>
      </c>
      <c r="T61" s="108">
        <f t="shared" si="18"/>
        <v>0</v>
      </c>
      <c r="U61" s="108">
        <f t="shared" si="18"/>
        <v>0</v>
      </c>
      <c r="V61" s="108">
        <f t="shared" si="18"/>
        <v>0</v>
      </c>
      <c r="W61" s="108">
        <f t="shared" si="18"/>
        <v>0</v>
      </c>
      <c r="X61" s="108">
        <f t="shared" si="18"/>
        <v>0</v>
      </c>
      <c r="Y61" s="108">
        <f t="shared" si="18"/>
        <v>0</v>
      </c>
      <c r="Z61" s="108">
        <f t="shared" si="18"/>
        <v>0</v>
      </c>
      <c r="AA61" s="108">
        <f t="shared" si="18"/>
        <v>0</v>
      </c>
      <c r="AB61" s="108">
        <f t="shared" si="18"/>
        <v>0</v>
      </c>
      <c r="AC61" s="108">
        <f t="shared" si="18"/>
        <v>0</v>
      </c>
      <c r="AD61" s="108">
        <f t="shared" si="18"/>
        <v>0</v>
      </c>
      <c r="AE61" s="108">
        <f t="shared" si="18"/>
        <v>0</v>
      </c>
      <c r="AF61" s="108">
        <f t="shared" si="18"/>
        <v>0</v>
      </c>
      <c r="AG61" s="108">
        <f t="shared" si="18"/>
        <v>0</v>
      </c>
      <c r="AH61" s="108">
        <f t="shared" si="18"/>
        <v>0</v>
      </c>
      <c r="AI61" s="108">
        <f t="shared" si="18"/>
        <v>0</v>
      </c>
      <c r="AJ61" s="108">
        <f t="shared" si="18"/>
        <v>0</v>
      </c>
      <c r="AK61" s="108">
        <f t="shared" si="18"/>
        <v>0</v>
      </c>
      <c r="AL61" s="108">
        <f t="shared" si="18"/>
        <v>0</v>
      </c>
      <c r="AM61" s="108">
        <f t="shared" si="18"/>
        <v>0</v>
      </c>
      <c r="AN61" s="108">
        <f t="shared" si="18"/>
        <v>0</v>
      </c>
      <c r="AO61" s="108">
        <f t="shared" si="18"/>
        <v>0</v>
      </c>
      <c r="AP61" s="108">
        <f t="shared" si="18"/>
        <v>0</v>
      </c>
      <c r="AQ61" s="108">
        <f t="shared" si="18"/>
        <v>0</v>
      </c>
      <c r="AR61" s="108">
        <f t="shared" si="18"/>
        <v>0</v>
      </c>
      <c r="AS61" s="108">
        <f t="shared" si="18"/>
        <v>0</v>
      </c>
      <c r="AT61" s="108">
        <f t="shared" si="18"/>
        <v>0</v>
      </c>
      <c r="AU61" s="108">
        <f t="shared" si="18"/>
        <v>0</v>
      </c>
      <c r="AV61" s="108">
        <f t="shared" si="18"/>
        <v>0</v>
      </c>
      <c r="AW61" s="108">
        <f t="shared" si="18"/>
        <v>0</v>
      </c>
      <c r="AX61" s="108">
        <f t="shared" si="18"/>
        <v>0</v>
      </c>
      <c r="AY61" s="108">
        <f t="shared" si="18"/>
        <v>0</v>
      </c>
    </row>
    <row r="62" spans="1:52">
      <c r="A62" s="108"/>
      <c r="B62" s="162" t="s">
        <v>348</v>
      </c>
      <c r="C62" s="108"/>
      <c r="D62" s="108">
        <f>D56-D59</f>
        <v>0</v>
      </c>
      <c r="E62" s="108">
        <f t="shared" ref="E62:AY62" si="19">E56-E59</f>
        <v>0</v>
      </c>
      <c r="F62" s="108">
        <f t="shared" si="19"/>
        <v>0</v>
      </c>
      <c r="G62" s="108">
        <f t="shared" si="19"/>
        <v>0</v>
      </c>
      <c r="H62" s="108">
        <f t="shared" si="19"/>
        <v>0</v>
      </c>
      <c r="I62" s="108">
        <f t="shared" si="19"/>
        <v>0</v>
      </c>
      <c r="J62" s="108">
        <f t="shared" si="19"/>
        <v>0</v>
      </c>
      <c r="K62" s="108">
        <f t="shared" si="19"/>
        <v>0</v>
      </c>
      <c r="L62" s="108">
        <f t="shared" si="19"/>
        <v>0</v>
      </c>
      <c r="M62" s="108">
        <f t="shared" si="19"/>
        <v>0</v>
      </c>
      <c r="N62" s="108">
        <f t="shared" si="19"/>
        <v>0</v>
      </c>
      <c r="O62" s="108">
        <f t="shared" si="19"/>
        <v>0</v>
      </c>
      <c r="P62" s="108">
        <f t="shared" si="19"/>
        <v>0</v>
      </c>
      <c r="Q62" s="108">
        <f t="shared" si="19"/>
        <v>0</v>
      </c>
      <c r="R62" s="108">
        <f t="shared" si="19"/>
        <v>0</v>
      </c>
      <c r="S62" s="108">
        <f t="shared" si="19"/>
        <v>0</v>
      </c>
      <c r="T62" s="108">
        <f t="shared" si="19"/>
        <v>0</v>
      </c>
      <c r="U62" s="108">
        <f t="shared" si="19"/>
        <v>0</v>
      </c>
      <c r="V62" s="108">
        <f t="shared" si="19"/>
        <v>0</v>
      </c>
      <c r="W62" s="108">
        <f t="shared" si="19"/>
        <v>0</v>
      </c>
      <c r="X62" s="108">
        <f t="shared" si="19"/>
        <v>0</v>
      </c>
      <c r="Y62" s="108">
        <f t="shared" si="19"/>
        <v>0</v>
      </c>
      <c r="Z62" s="108">
        <f t="shared" si="19"/>
        <v>0</v>
      </c>
      <c r="AA62" s="108">
        <f t="shared" si="19"/>
        <v>0</v>
      </c>
      <c r="AB62" s="108">
        <f t="shared" si="19"/>
        <v>0</v>
      </c>
      <c r="AC62" s="108">
        <f t="shared" si="19"/>
        <v>0</v>
      </c>
      <c r="AD62" s="108">
        <f t="shared" si="19"/>
        <v>0</v>
      </c>
      <c r="AE62" s="108">
        <f t="shared" si="19"/>
        <v>0</v>
      </c>
      <c r="AF62" s="108">
        <f t="shared" si="19"/>
        <v>0</v>
      </c>
      <c r="AG62" s="108">
        <f t="shared" si="19"/>
        <v>0</v>
      </c>
      <c r="AH62" s="108">
        <f t="shared" si="19"/>
        <v>0</v>
      </c>
      <c r="AI62" s="108">
        <f t="shared" si="19"/>
        <v>0</v>
      </c>
      <c r="AJ62" s="108">
        <f t="shared" si="19"/>
        <v>0</v>
      </c>
      <c r="AK62" s="108">
        <f t="shared" si="19"/>
        <v>0</v>
      </c>
      <c r="AL62" s="108">
        <f t="shared" si="19"/>
        <v>0</v>
      </c>
      <c r="AM62" s="108">
        <f t="shared" si="19"/>
        <v>0</v>
      </c>
      <c r="AN62" s="108">
        <f t="shared" si="19"/>
        <v>0</v>
      </c>
      <c r="AO62" s="108">
        <f t="shared" si="19"/>
        <v>0</v>
      </c>
      <c r="AP62" s="108">
        <f t="shared" si="19"/>
        <v>0</v>
      </c>
      <c r="AQ62" s="108">
        <f t="shared" si="19"/>
        <v>0</v>
      </c>
      <c r="AR62" s="108">
        <f t="shared" si="19"/>
        <v>0</v>
      </c>
      <c r="AS62" s="108">
        <f t="shared" si="19"/>
        <v>0</v>
      </c>
      <c r="AT62" s="108">
        <f t="shared" si="19"/>
        <v>0</v>
      </c>
      <c r="AU62" s="108">
        <f t="shared" si="19"/>
        <v>0</v>
      </c>
      <c r="AV62" s="108">
        <f t="shared" si="19"/>
        <v>0</v>
      </c>
      <c r="AW62" s="108">
        <f t="shared" si="19"/>
        <v>0</v>
      </c>
      <c r="AX62" s="108">
        <f t="shared" si="19"/>
        <v>0</v>
      </c>
      <c r="AY62" s="108">
        <f t="shared" si="19"/>
        <v>0</v>
      </c>
    </row>
    <row r="63" spans="1:52">
      <c r="A63" s="108"/>
      <c r="B63" s="162" t="s">
        <v>349</v>
      </c>
      <c r="C63" s="108"/>
      <c r="D63" s="108">
        <v>4</v>
      </c>
      <c r="E63" s="108">
        <v>2</v>
      </c>
      <c r="F63" s="108">
        <v>2</v>
      </c>
      <c r="G63" s="108">
        <v>3</v>
      </c>
      <c r="H63" s="108">
        <v>3</v>
      </c>
      <c r="I63" s="108">
        <v>2</v>
      </c>
      <c r="J63" s="108">
        <v>2</v>
      </c>
      <c r="K63" s="108">
        <v>2</v>
      </c>
      <c r="L63" s="108">
        <v>2</v>
      </c>
      <c r="M63" s="108">
        <v>2</v>
      </c>
      <c r="N63" s="108">
        <v>2</v>
      </c>
      <c r="O63" s="108">
        <v>3</v>
      </c>
      <c r="P63" s="108">
        <v>3</v>
      </c>
      <c r="Q63" s="108">
        <v>2</v>
      </c>
      <c r="R63" s="108">
        <v>4</v>
      </c>
      <c r="S63" s="108">
        <v>3</v>
      </c>
      <c r="T63" s="108">
        <v>3</v>
      </c>
      <c r="U63" s="108">
        <v>3</v>
      </c>
      <c r="V63" s="108">
        <v>3</v>
      </c>
      <c r="W63" s="108">
        <v>2</v>
      </c>
      <c r="X63" s="108">
        <v>2</v>
      </c>
      <c r="Y63" s="108">
        <v>2</v>
      </c>
      <c r="Z63" s="108">
        <v>2</v>
      </c>
      <c r="AA63" s="108">
        <v>3</v>
      </c>
      <c r="AB63" s="108">
        <v>2</v>
      </c>
      <c r="AC63" s="108">
        <v>2</v>
      </c>
      <c r="AD63" s="108">
        <v>2</v>
      </c>
      <c r="AE63" s="108">
        <v>2</v>
      </c>
      <c r="AF63" s="108">
        <v>2</v>
      </c>
      <c r="AG63" s="108">
        <v>2</v>
      </c>
      <c r="AH63" s="108">
        <v>2</v>
      </c>
      <c r="AI63" s="108">
        <v>2</v>
      </c>
      <c r="AJ63" s="108">
        <v>2</v>
      </c>
      <c r="AK63" s="108">
        <v>2</v>
      </c>
      <c r="AL63" s="108">
        <v>3</v>
      </c>
      <c r="AM63" s="108">
        <v>3</v>
      </c>
      <c r="AN63" s="108">
        <v>2</v>
      </c>
      <c r="AO63" s="108">
        <v>2</v>
      </c>
      <c r="AP63" s="108">
        <v>2</v>
      </c>
      <c r="AQ63" s="108">
        <v>2</v>
      </c>
      <c r="AR63" s="108">
        <v>3</v>
      </c>
      <c r="AS63" s="108">
        <v>3</v>
      </c>
      <c r="AT63" s="108">
        <v>3</v>
      </c>
      <c r="AU63" s="108">
        <v>2</v>
      </c>
      <c r="AV63" s="108">
        <v>4</v>
      </c>
      <c r="AW63" s="108">
        <v>2</v>
      </c>
      <c r="AX63" s="108">
        <v>2</v>
      </c>
      <c r="AY63" s="108">
        <v>2</v>
      </c>
    </row>
    <row r="64" spans="1:52">
      <c r="A64" s="108"/>
      <c r="B64" s="173" t="s">
        <v>350</v>
      </c>
      <c r="C64" s="108"/>
      <c r="D64" s="108">
        <v>0</v>
      </c>
      <c r="E64" s="108">
        <v>0</v>
      </c>
      <c r="F64" s="108">
        <v>0</v>
      </c>
      <c r="G64" s="108">
        <v>0</v>
      </c>
      <c r="H64" s="108">
        <v>0</v>
      </c>
      <c r="I64" s="108">
        <v>0</v>
      </c>
      <c r="J64" s="108">
        <v>0</v>
      </c>
      <c r="K64" s="108">
        <v>0</v>
      </c>
      <c r="L64" s="108">
        <v>0</v>
      </c>
      <c r="M64" s="108">
        <v>0</v>
      </c>
      <c r="N64" s="108">
        <v>0</v>
      </c>
      <c r="O64" s="108">
        <v>0</v>
      </c>
      <c r="P64" s="108">
        <v>0</v>
      </c>
      <c r="Q64" s="108">
        <v>0</v>
      </c>
      <c r="R64" s="108">
        <v>0</v>
      </c>
      <c r="S64" s="108">
        <v>0</v>
      </c>
      <c r="T64" s="108">
        <v>0</v>
      </c>
      <c r="U64" s="108">
        <v>0</v>
      </c>
      <c r="V64" s="108">
        <v>0</v>
      </c>
      <c r="W64" s="108">
        <v>0</v>
      </c>
      <c r="X64" s="108">
        <v>0</v>
      </c>
      <c r="Y64" s="108">
        <v>0</v>
      </c>
      <c r="Z64" s="108">
        <v>0</v>
      </c>
      <c r="AA64" s="108">
        <v>0</v>
      </c>
      <c r="AB64" s="108">
        <v>0</v>
      </c>
      <c r="AC64" s="108">
        <v>0</v>
      </c>
      <c r="AD64" s="108">
        <v>0</v>
      </c>
      <c r="AE64" s="108">
        <v>0</v>
      </c>
      <c r="AF64" s="108">
        <v>0</v>
      </c>
      <c r="AG64" s="108">
        <v>0</v>
      </c>
      <c r="AH64" s="108">
        <v>0</v>
      </c>
      <c r="AI64" s="108">
        <v>0</v>
      </c>
      <c r="AJ64" s="108">
        <v>0</v>
      </c>
      <c r="AK64" s="108">
        <v>0</v>
      </c>
      <c r="AL64" s="108">
        <v>0</v>
      </c>
      <c r="AM64" s="108">
        <v>0</v>
      </c>
      <c r="AN64" s="108">
        <v>0</v>
      </c>
      <c r="AO64" s="108">
        <v>0</v>
      </c>
      <c r="AP64" s="108">
        <v>0</v>
      </c>
      <c r="AQ64" s="108">
        <v>0</v>
      </c>
      <c r="AR64" s="108">
        <v>0</v>
      </c>
      <c r="AS64" s="108">
        <v>0</v>
      </c>
      <c r="AT64" s="108">
        <v>0</v>
      </c>
      <c r="AU64" s="108">
        <v>0</v>
      </c>
      <c r="AV64" s="108">
        <v>0</v>
      </c>
      <c r="AW64" s="108">
        <v>0</v>
      </c>
      <c r="AX64" s="108">
        <v>0</v>
      </c>
      <c r="AY64" s="108">
        <v>0</v>
      </c>
      <c r="AZ64">
        <f>SUM($D$64:$AY$64)</f>
        <v>0</v>
      </c>
    </row>
    <row r="65" spans="1:52">
      <c r="A65" s="122"/>
      <c r="B65" s="137" t="s">
        <v>351</v>
      </c>
      <c r="C65" s="122"/>
      <c r="D65" s="122">
        <v>0</v>
      </c>
      <c r="E65" s="122">
        <v>0</v>
      </c>
      <c r="F65" s="122">
        <v>0</v>
      </c>
      <c r="G65" s="122">
        <v>0</v>
      </c>
      <c r="H65" s="122">
        <v>0</v>
      </c>
      <c r="I65" s="122">
        <v>0</v>
      </c>
      <c r="J65" s="122">
        <v>0</v>
      </c>
      <c r="K65" s="122">
        <v>0</v>
      </c>
      <c r="L65" s="122">
        <v>0</v>
      </c>
      <c r="M65" s="122">
        <v>0</v>
      </c>
      <c r="N65" s="122">
        <v>0</v>
      </c>
      <c r="O65" s="122">
        <v>0</v>
      </c>
      <c r="P65" s="122">
        <v>0</v>
      </c>
      <c r="Q65" s="122">
        <v>0</v>
      </c>
      <c r="R65" s="122">
        <v>0</v>
      </c>
      <c r="S65" s="122">
        <v>0</v>
      </c>
      <c r="T65" s="122">
        <v>0</v>
      </c>
      <c r="U65" s="122">
        <v>0</v>
      </c>
      <c r="V65" s="122">
        <v>0</v>
      </c>
      <c r="W65" s="122">
        <v>0</v>
      </c>
      <c r="X65" s="122">
        <v>0</v>
      </c>
      <c r="Y65" s="122">
        <v>0</v>
      </c>
      <c r="Z65" s="122">
        <v>0</v>
      </c>
      <c r="AA65" s="122">
        <v>0</v>
      </c>
      <c r="AB65" s="122">
        <v>0</v>
      </c>
      <c r="AC65" s="122">
        <v>0</v>
      </c>
      <c r="AD65" s="122">
        <v>0</v>
      </c>
      <c r="AE65" s="122">
        <v>0</v>
      </c>
      <c r="AF65" s="122">
        <v>0</v>
      </c>
      <c r="AG65" s="122">
        <v>0</v>
      </c>
      <c r="AH65" s="122">
        <v>0</v>
      </c>
      <c r="AI65" s="122">
        <v>0</v>
      </c>
      <c r="AJ65" s="122">
        <v>0</v>
      </c>
      <c r="AK65" s="122">
        <v>0</v>
      </c>
      <c r="AL65" s="122">
        <v>0</v>
      </c>
      <c r="AM65" s="122">
        <v>0</v>
      </c>
      <c r="AN65" s="122">
        <v>0</v>
      </c>
      <c r="AO65" s="122">
        <v>0</v>
      </c>
      <c r="AP65" s="122">
        <v>0</v>
      </c>
      <c r="AQ65" s="122">
        <v>0</v>
      </c>
      <c r="AR65" s="122">
        <v>0</v>
      </c>
      <c r="AS65" s="122">
        <v>0</v>
      </c>
      <c r="AT65" s="122">
        <v>0</v>
      </c>
      <c r="AU65" s="122">
        <v>0</v>
      </c>
      <c r="AV65" s="122">
        <v>0</v>
      </c>
      <c r="AW65" s="122">
        <v>0</v>
      </c>
      <c r="AX65" s="122">
        <v>0</v>
      </c>
      <c r="AY65" s="122">
        <v>0</v>
      </c>
      <c r="AZ65">
        <f>SUM($D$65:$AY$65)</f>
        <v>0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customWidth="1"/>
    <col min="2" max="2" width="17.6640625" customWidth="1"/>
    <col min="52" max="52" width="10.6640625" customWidth="1"/>
  </cols>
  <sheetData>
    <row r="1" spans="1:52">
      <c r="A1" s="1" t="s">
        <v>118</v>
      </c>
    </row>
    <row r="2" spans="1:52">
      <c r="A2" t="s">
        <v>303</v>
      </c>
      <c r="B2" s="105" t="s">
        <v>12</v>
      </c>
      <c r="E2" s="108"/>
    </row>
    <row r="3" spans="1:52">
      <c r="A3" t="s">
        <v>286</v>
      </c>
      <c r="B3" s="105">
        <v>3589</v>
      </c>
      <c r="E3" s="108"/>
    </row>
    <row r="4" spans="1:52">
      <c r="A4" s="1"/>
      <c r="C4" s="9" t="s">
        <v>287</v>
      </c>
    </row>
    <row r="5" spans="1:52">
      <c r="B5" s="104"/>
      <c r="C5" s="109">
        <v>0</v>
      </c>
      <c r="D5" s="109">
        <v>1</v>
      </c>
      <c r="E5" s="109">
        <v>2</v>
      </c>
      <c r="F5" s="109">
        <v>3</v>
      </c>
      <c r="G5" s="109">
        <v>4</v>
      </c>
      <c r="H5" s="109">
        <v>5</v>
      </c>
      <c r="I5" s="109">
        <v>6</v>
      </c>
      <c r="J5" s="109">
        <v>7</v>
      </c>
      <c r="K5" s="109">
        <v>8</v>
      </c>
      <c r="L5" s="109">
        <v>9</v>
      </c>
      <c r="M5" s="109">
        <v>10</v>
      </c>
      <c r="N5" s="109">
        <v>11</v>
      </c>
      <c r="O5" s="109">
        <v>12</v>
      </c>
      <c r="P5" s="109">
        <v>13</v>
      </c>
      <c r="Q5" s="109">
        <v>14</v>
      </c>
      <c r="R5" s="109">
        <v>15</v>
      </c>
      <c r="S5" s="109">
        <v>16</v>
      </c>
      <c r="T5" s="109">
        <v>17</v>
      </c>
      <c r="U5" s="109">
        <v>18</v>
      </c>
      <c r="V5" s="109">
        <v>19</v>
      </c>
      <c r="W5" s="109">
        <v>20</v>
      </c>
      <c r="X5" s="109">
        <v>21</v>
      </c>
      <c r="Y5" s="109">
        <v>22</v>
      </c>
      <c r="Z5" s="109">
        <v>23</v>
      </c>
      <c r="AA5" s="109">
        <v>24</v>
      </c>
      <c r="AB5" s="109">
        <v>25</v>
      </c>
      <c r="AC5" s="109">
        <v>26</v>
      </c>
      <c r="AD5" s="109">
        <v>27</v>
      </c>
      <c r="AE5" s="109">
        <v>28</v>
      </c>
      <c r="AF5" s="109">
        <v>29</v>
      </c>
      <c r="AG5" s="109">
        <v>30</v>
      </c>
      <c r="AH5" s="109">
        <v>31</v>
      </c>
      <c r="AI5" s="109">
        <v>32</v>
      </c>
      <c r="AJ5" s="109">
        <v>33</v>
      </c>
      <c r="AK5" s="109">
        <v>34</v>
      </c>
      <c r="AL5" s="109">
        <v>35</v>
      </c>
      <c r="AM5" s="109">
        <v>36</v>
      </c>
      <c r="AN5" s="109">
        <v>37</v>
      </c>
      <c r="AO5" s="109">
        <v>38</v>
      </c>
      <c r="AP5" s="109">
        <v>39</v>
      </c>
      <c r="AQ5" s="109">
        <v>40</v>
      </c>
      <c r="AR5" s="109">
        <v>41</v>
      </c>
      <c r="AS5" s="109">
        <v>42</v>
      </c>
      <c r="AT5" s="109">
        <v>43</v>
      </c>
      <c r="AU5" s="109">
        <v>44</v>
      </c>
      <c r="AV5" s="109">
        <v>45</v>
      </c>
      <c r="AW5" s="109">
        <v>46</v>
      </c>
      <c r="AX5" s="109">
        <v>47</v>
      </c>
      <c r="AY5" s="109">
        <v>48</v>
      </c>
    </row>
    <row r="6" spans="1:52">
      <c r="A6" s="1" t="s">
        <v>304</v>
      </c>
      <c r="B6" s="111"/>
      <c r="C6" s="110" t="s">
        <v>288</v>
      </c>
      <c r="D6" s="109" t="s">
        <v>289</v>
      </c>
      <c r="E6" s="109" t="s">
        <v>289</v>
      </c>
      <c r="F6" s="109" t="s">
        <v>289</v>
      </c>
      <c r="G6" s="109" t="s">
        <v>289</v>
      </c>
      <c r="H6" s="109" t="s">
        <v>289</v>
      </c>
      <c r="I6" s="109" t="s">
        <v>289</v>
      </c>
      <c r="J6" s="109" t="s">
        <v>289</v>
      </c>
      <c r="K6" s="109" t="s">
        <v>289</v>
      </c>
      <c r="L6" s="109" t="s">
        <v>289</v>
      </c>
      <c r="M6" s="109" t="s">
        <v>289</v>
      </c>
      <c r="N6" s="109" t="s">
        <v>289</v>
      </c>
      <c r="O6" s="109" t="s">
        <v>289</v>
      </c>
      <c r="P6" s="109" t="s">
        <v>289</v>
      </c>
      <c r="Q6" s="109" t="s">
        <v>289</v>
      </c>
      <c r="R6" s="109" t="s">
        <v>289</v>
      </c>
      <c r="S6" s="109" t="s">
        <v>289</v>
      </c>
      <c r="T6" s="109" t="s">
        <v>289</v>
      </c>
      <c r="U6" s="109" t="s">
        <v>289</v>
      </c>
      <c r="V6" s="109" t="s">
        <v>289</v>
      </c>
      <c r="W6" s="109" t="s">
        <v>289</v>
      </c>
      <c r="X6" s="109" t="s">
        <v>289</v>
      </c>
      <c r="Y6" s="109" t="s">
        <v>289</v>
      </c>
      <c r="Z6" s="109" t="s">
        <v>289</v>
      </c>
      <c r="AA6" s="109" t="s">
        <v>289</v>
      </c>
      <c r="AB6" s="109" t="s">
        <v>289</v>
      </c>
      <c r="AC6" s="109" t="s">
        <v>289</v>
      </c>
      <c r="AD6" s="109" t="s">
        <v>289</v>
      </c>
      <c r="AE6" s="109" t="s">
        <v>289</v>
      </c>
      <c r="AF6" s="109" t="s">
        <v>289</v>
      </c>
      <c r="AG6" s="109" t="s">
        <v>289</v>
      </c>
      <c r="AH6" s="109" t="s">
        <v>289</v>
      </c>
      <c r="AI6" s="109" t="s">
        <v>289</v>
      </c>
      <c r="AJ6" s="109" t="s">
        <v>289</v>
      </c>
      <c r="AK6" s="109" t="s">
        <v>289</v>
      </c>
      <c r="AL6" s="109" t="s">
        <v>289</v>
      </c>
      <c r="AM6" s="109" t="s">
        <v>289</v>
      </c>
      <c r="AN6" s="109" t="s">
        <v>289</v>
      </c>
      <c r="AO6" s="109" t="s">
        <v>289</v>
      </c>
      <c r="AP6" s="109" t="s">
        <v>289</v>
      </c>
      <c r="AQ6" s="109" t="s">
        <v>289</v>
      </c>
      <c r="AR6" s="109" t="s">
        <v>289</v>
      </c>
      <c r="AS6" s="109" t="s">
        <v>289</v>
      </c>
      <c r="AT6" s="109" t="s">
        <v>289</v>
      </c>
      <c r="AU6" s="109" t="s">
        <v>289</v>
      </c>
      <c r="AV6" s="109" t="s">
        <v>289</v>
      </c>
      <c r="AW6" s="109" t="s">
        <v>289</v>
      </c>
      <c r="AX6" s="109" t="s">
        <v>289</v>
      </c>
      <c r="AY6" s="9" t="s">
        <v>290</v>
      </c>
      <c r="AZ6" s="139" t="s">
        <v>150</v>
      </c>
    </row>
    <row r="7" spans="1:52">
      <c r="A7" s="112" t="s">
        <v>125</v>
      </c>
      <c r="B7" s="140">
        <v>1</v>
      </c>
      <c r="C7" s="141" t="s">
        <v>293</v>
      </c>
      <c r="D7" s="141">
        <v>1364.4844531590118</v>
      </c>
      <c r="E7" s="141">
        <v>1364.4844531590118</v>
      </c>
      <c r="F7" s="141">
        <v>1364.4844531590118</v>
      </c>
      <c r="G7" s="141">
        <v>1364.4844531590118</v>
      </c>
      <c r="H7" s="141">
        <v>1364.4844531590118</v>
      </c>
      <c r="I7" s="141">
        <v>1364.4844531590118</v>
      </c>
      <c r="J7" s="141">
        <v>1364.4844531590118</v>
      </c>
      <c r="K7" s="141">
        <v>1364.4844531590118</v>
      </c>
      <c r="L7" s="141">
        <v>1364.4844531590118</v>
      </c>
      <c r="M7" s="141">
        <v>1364.4844531590118</v>
      </c>
      <c r="N7" s="141">
        <v>1364.4844531590118</v>
      </c>
      <c r="O7" s="141">
        <v>1364.4844531590118</v>
      </c>
      <c r="P7" s="141">
        <v>1364.4844531590118</v>
      </c>
      <c r="Q7" s="141">
        <v>1364.4844531590118</v>
      </c>
      <c r="R7" s="141">
        <v>1364.4844531590118</v>
      </c>
      <c r="S7" s="141">
        <v>1364.4844531590118</v>
      </c>
      <c r="T7" s="141">
        <v>1112.92585434329</v>
      </c>
      <c r="U7" s="141">
        <v>1112.92585434329</v>
      </c>
      <c r="V7" s="141">
        <v>1112.92585434329</v>
      </c>
      <c r="W7" s="141">
        <v>1112.92585434329</v>
      </c>
      <c r="X7" s="141">
        <v>1364.4844531590118</v>
      </c>
      <c r="Y7" s="141">
        <v>1364.4844531590118</v>
      </c>
      <c r="Z7" s="141">
        <v>1364.4844531590118</v>
      </c>
      <c r="AA7" s="141">
        <v>1364.4844531590118</v>
      </c>
      <c r="AB7" s="141">
        <v>1616.0430519747338</v>
      </c>
      <c r="AC7" s="141">
        <v>1616.0430519747338</v>
      </c>
      <c r="AD7" s="141">
        <v>1616.0430519747338</v>
      </c>
      <c r="AE7" s="141">
        <v>1616.0430519747338</v>
      </c>
      <c r="AF7" s="141">
        <v>1616.0430519747338</v>
      </c>
      <c r="AG7" s="141">
        <v>1616.0430519747338</v>
      </c>
      <c r="AH7" s="141">
        <v>1616.0430519747338</v>
      </c>
      <c r="AI7" s="141">
        <v>1616.0430519747338</v>
      </c>
      <c r="AJ7" s="141">
        <v>1364.4844531590118</v>
      </c>
      <c r="AK7" s="141">
        <v>1364.4844531590118</v>
      </c>
      <c r="AL7" s="141">
        <v>1364.4844531590118</v>
      </c>
      <c r="AM7" s="141">
        <v>1364.4844531590118</v>
      </c>
      <c r="AN7" s="141">
        <v>1364.4844531590118</v>
      </c>
      <c r="AO7" s="141">
        <v>1364.4844531590118</v>
      </c>
      <c r="AP7" s="141">
        <v>1364.4844531590118</v>
      </c>
      <c r="AQ7" s="141">
        <v>1364.4844531590118</v>
      </c>
      <c r="AR7" s="141">
        <v>1112.92585434329</v>
      </c>
      <c r="AS7" s="141">
        <v>1112.92585434329</v>
      </c>
      <c r="AT7" s="141">
        <v>1112.92585434329</v>
      </c>
      <c r="AU7" s="141">
        <v>1112.92585434329</v>
      </c>
      <c r="AV7" s="141">
        <v>1616.0430519747338</v>
      </c>
      <c r="AW7" s="141">
        <v>1616.0430519747338</v>
      </c>
      <c r="AX7" s="141">
        <v>1616.0430519747338</v>
      </c>
      <c r="AY7" s="141">
        <v>1616.0430519747338</v>
      </c>
      <c r="AZ7" s="104"/>
    </row>
    <row r="8" spans="1:52">
      <c r="A8" s="142"/>
      <c r="B8" s="143"/>
      <c r="C8" s="142"/>
      <c r="D8" s="142"/>
      <c r="E8" s="142"/>
      <c r="F8" s="142"/>
      <c r="G8" s="142"/>
      <c r="H8" s="142"/>
      <c r="I8" s="142"/>
      <c r="J8" s="142"/>
      <c r="K8" s="142"/>
      <c r="L8" s="142"/>
      <c r="M8" s="142"/>
      <c r="N8" s="142"/>
      <c r="O8" s="142"/>
      <c r="P8" s="142"/>
      <c r="Q8" s="142"/>
      <c r="R8" s="142"/>
      <c r="S8" s="142"/>
      <c r="T8" s="142"/>
      <c r="U8" s="142"/>
      <c r="V8" s="142"/>
      <c r="W8" s="142"/>
      <c r="X8" s="142"/>
      <c r="Y8" s="142"/>
      <c r="Z8" s="142"/>
      <c r="AA8" s="142"/>
      <c r="AB8" s="142"/>
      <c r="AC8" s="142"/>
      <c r="AD8" s="142"/>
      <c r="AE8" s="142"/>
      <c r="AF8" s="142"/>
      <c r="AG8" s="142"/>
      <c r="AH8" s="142"/>
      <c r="AI8" s="142"/>
      <c r="AJ8" s="142"/>
      <c r="AK8" s="142"/>
      <c r="AL8" s="142"/>
      <c r="AM8" s="142"/>
      <c r="AN8" s="142"/>
      <c r="AO8" s="142"/>
      <c r="AP8" s="142"/>
      <c r="AQ8" s="142"/>
      <c r="AR8" s="142"/>
      <c r="AS8" s="142"/>
      <c r="AT8" s="142"/>
      <c r="AU8" s="142"/>
      <c r="AV8" s="142"/>
      <c r="AW8" s="142"/>
      <c r="AX8" s="142"/>
      <c r="AY8" s="142"/>
      <c r="AZ8" s="144"/>
    </row>
    <row r="9" spans="1:52">
      <c r="A9" s="1" t="s">
        <v>294</v>
      </c>
      <c r="B9" s="145"/>
      <c r="C9" s="104"/>
      <c r="D9" s="104"/>
      <c r="E9" s="104"/>
      <c r="F9" s="104"/>
      <c r="G9" s="104"/>
      <c r="H9" s="104"/>
      <c r="I9" s="104"/>
      <c r="J9" s="104"/>
      <c r="K9" s="104"/>
      <c r="L9" s="104"/>
      <c r="M9" s="104"/>
      <c r="N9" s="104"/>
      <c r="O9" s="104"/>
      <c r="P9" s="104"/>
      <c r="Q9" s="104"/>
      <c r="R9" s="104"/>
      <c r="S9" s="104"/>
      <c r="T9" s="104"/>
      <c r="U9" s="104"/>
      <c r="V9" s="104"/>
      <c r="W9" s="104"/>
      <c r="X9" s="104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O9" s="104"/>
      <c r="AP9" s="104"/>
      <c r="AQ9" s="104"/>
      <c r="AR9" s="104"/>
      <c r="AS9" s="104"/>
      <c r="AT9" s="104"/>
      <c r="AU9" s="104"/>
      <c r="AV9" s="104"/>
      <c r="AW9" s="104"/>
      <c r="AX9" s="104"/>
      <c r="AY9" s="104"/>
      <c r="AZ9" s="104"/>
    </row>
    <row r="10" spans="1:52">
      <c r="A10" s="146" t="s">
        <v>125</v>
      </c>
      <c r="B10" s="147">
        <v>1</v>
      </c>
      <c r="C10" s="141" t="s">
        <v>293</v>
      </c>
      <c r="D10" s="141">
        <f t="shared" ref="D10:AY10" si="0">MAX(SUM(D$14:D$16)+D$7-$B$3,0)</f>
        <v>0</v>
      </c>
      <c r="E10" s="141">
        <f t="shared" si="0"/>
        <v>0</v>
      </c>
      <c r="F10" s="141">
        <f t="shared" si="0"/>
        <v>0</v>
      </c>
      <c r="G10" s="141">
        <f t="shared" si="0"/>
        <v>0</v>
      </c>
      <c r="H10" s="141">
        <f t="shared" si="0"/>
        <v>0</v>
      </c>
      <c r="I10" s="141">
        <f t="shared" si="0"/>
        <v>0</v>
      </c>
      <c r="J10" s="141">
        <f t="shared" si="0"/>
        <v>0</v>
      </c>
      <c r="K10" s="141">
        <f t="shared" si="0"/>
        <v>0</v>
      </c>
      <c r="L10" s="141">
        <f t="shared" si="0"/>
        <v>0</v>
      </c>
      <c r="M10" s="141">
        <f t="shared" si="0"/>
        <v>0</v>
      </c>
      <c r="N10" s="141">
        <f t="shared" si="0"/>
        <v>0</v>
      </c>
      <c r="O10" s="141">
        <f t="shared" si="0"/>
        <v>0</v>
      </c>
      <c r="P10" s="141">
        <f t="shared" si="0"/>
        <v>0</v>
      </c>
      <c r="Q10" s="141">
        <f t="shared" si="0"/>
        <v>0</v>
      </c>
      <c r="R10" s="141">
        <f t="shared" si="0"/>
        <v>0</v>
      </c>
      <c r="S10" s="141">
        <f t="shared" si="0"/>
        <v>0</v>
      </c>
      <c r="T10" s="141">
        <f t="shared" si="0"/>
        <v>0</v>
      </c>
      <c r="U10" s="141">
        <f t="shared" si="0"/>
        <v>0</v>
      </c>
      <c r="V10" s="141">
        <f t="shared" si="0"/>
        <v>0</v>
      </c>
      <c r="W10" s="141">
        <f t="shared" si="0"/>
        <v>0</v>
      </c>
      <c r="X10" s="141">
        <f t="shared" si="0"/>
        <v>0</v>
      </c>
      <c r="Y10" s="141">
        <f t="shared" si="0"/>
        <v>0</v>
      </c>
      <c r="Z10" s="141">
        <f t="shared" si="0"/>
        <v>0</v>
      </c>
      <c r="AA10" s="141">
        <f t="shared" si="0"/>
        <v>0</v>
      </c>
      <c r="AB10" s="141">
        <f t="shared" si="0"/>
        <v>0</v>
      </c>
      <c r="AC10" s="141">
        <f t="shared" si="0"/>
        <v>0</v>
      </c>
      <c r="AD10" s="141">
        <f t="shared" si="0"/>
        <v>0</v>
      </c>
      <c r="AE10" s="141">
        <f t="shared" si="0"/>
        <v>0</v>
      </c>
      <c r="AF10" s="141">
        <f t="shared" si="0"/>
        <v>0</v>
      </c>
      <c r="AG10" s="141">
        <f t="shared" si="0"/>
        <v>0</v>
      </c>
      <c r="AH10" s="141">
        <f t="shared" si="0"/>
        <v>0</v>
      </c>
      <c r="AI10" s="141">
        <f t="shared" si="0"/>
        <v>0</v>
      </c>
      <c r="AJ10" s="141">
        <f t="shared" si="0"/>
        <v>0</v>
      </c>
      <c r="AK10" s="141">
        <f t="shared" si="0"/>
        <v>0</v>
      </c>
      <c r="AL10" s="141">
        <f t="shared" si="0"/>
        <v>0</v>
      </c>
      <c r="AM10" s="141">
        <f t="shared" si="0"/>
        <v>0</v>
      </c>
      <c r="AN10" s="141">
        <f t="shared" si="0"/>
        <v>0</v>
      </c>
      <c r="AO10" s="141">
        <f t="shared" si="0"/>
        <v>0</v>
      </c>
      <c r="AP10" s="141">
        <f t="shared" si="0"/>
        <v>0</v>
      </c>
      <c r="AQ10" s="141">
        <f t="shared" si="0"/>
        <v>0</v>
      </c>
      <c r="AR10" s="141">
        <f t="shared" si="0"/>
        <v>0</v>
      </c>
      <c r="AS10" s="141">
        <f t="shared" si="0"/>
        <v>0</v>
      </c>
      <c r="AT10" s="141">
        <f t="shared" si="0"/>
        <v>0</v>
      </c>
      <c r="AU10" s="141">
        <f t="shared" si="0"/>
        <v>0</v>
      </c>
      <c r="AV10" s="141">
        <f t="shared" si="0"/>
        <v>0</v>
      </c>
      <c r="AW10" s="141">
        <f t="shared" si="0"/>
        <v>0</v>
      </c>
      <c r="AX10" s="141">
        <f t="shared" si="0"/>
        <v>0</v>
      </c>
      <c r="AY10" s="141">
        <f t="shared" si="0"/>
        <v>0</v>
      </c>
      <c r="AZ10" s="148">
        <f>SUM($D10:$AY10)</f>
        <v>0</v>
      </c>
    </row>
    <row r="11" spans="1:52">
      <c r="C11" s="108"/>
    </row>
    <row r="12" spans="1:52">
      <c r="A12" s="149" t="s">
        <v>295</v>
      </c>
      <c r="B12" s="143"/>
      <c r="C12" s="108"/>
    </row>
    <row r="13" spans="1:52">
      <c r="A13" s="119" t="s">
        <v>125</v>
      </c>
      <c r="B13" s="120">
        <v>1</v>
      </c>
      <c r="C13" s="121">
        <v>1406.7390541488746</v>
      </c>
      <c r="D13" s="135">
        <f t="shared" ref="D13:AY13" si="1">D$7-D$10</f>
        <v>1364.4844531590118</v>
      </c>
      <c r="E13" s="135">
        <f t="shared" si="1"/>
        <v>1364.4844531590118</v>
      </c>
      <c r="F13" s="135">
        <f t="shared" si="1"/>
        <v>1364.4844531590118</v>
      </c>
      <c r="G13" s="135">
        <f t="shared" si="1"/>
        <v>1364.4844531590118</v>
      </c>
      <c r="H13" s="135">
        <f t="shared" si="1"/>
        <v>1364.4844531590118</v>
      </c>
      <c r="I13" s="135">
        <f t="shared" si="1"/>
        <v>1364.4844531590118</v>
      </c>
      <c r="J13" s="135">
        <f t="shared" si="1"/>
        <v>1364.4844531590118</v>
      </c>
      <c r="K13" s="135">
        <f t="shared" si="1"/>
        <v>1364.4844531590118</v>
      </c>
      <c r="L13" s="135">
        <f t="shared" si="1"/>
        <v>1364.4844531590118</v>
      </c>
      <c r="M13" s="135">
        <f t="shared" si="1"/>
        <v>1364.4844531590118</v>
      </c>
      <c r="N13" s="135">
        <f t="shared" si="1"/>
        <v>1364.4844531590118</v>
      </c>
      <c r="O13" s="135">
        <f t="shared" si="1"/>
        <v>1364.4844531590118</v>
      </c>
      <c r="P13" s="135">
        <f t="shared" si="1"/>
        <v>1364.4844531590118</v>
      </c>
      <c r="Q13" s="135">
        <f t="shared" si="1"/>
        <v>1364.4844531590118</v>
      </c>
      <c r="R13" s="135">
        <f t="shared" si="1"/>
        <v>1364.4844531590118</v>
      </c>
      <c r="S13" s="135">
        <f t="shared" si="1"/>
        <v>1364.4844531590118</v>
      </c>
      <c r="T13" s="135">
        <f t="shared" si="1"/>
        <v>1112.92585434329</v>
      </c>
      <c r="U13" s="135">
        <f t="shared" si="1"/>
        <v>1112.92585434329</v>
      </c>
      <c r="V13" s="135">
        <f t="shared" si="1"/>
        <v>1112.92585434329</v>
      </c>
      <c r="W13" s="135">
        <f t="shared" si="1"/>
        <v>1112.92585434329</v>
      </c>
      <c r="X13" s="135">
        <f t="shared" si="1"/>
        <v>1364.4844531590118</v>
      </c>
      <c r="Y13" s="135">
        <f t="shared" si="1"/>
        <v>1364.4844531590118</v>
      </c>
      <c r="Z13" s="135">
        <f t="shared" si="1"/>
        <v>1364.4844531590118</v>
      </c>
      <c r="AA13" s="135">
        <f t="shared" si="1"/>
        <v>1364.4844531590118</v>
      </c>
      <c r="AB13" s="135">
        <f t="shared" si="1"/>
        <v>1616.0430519747338</v>
      </c>
      <c r="AC13" s="135">
        <f t="shared" si="1"/>
        <v>1616.0430519747338</v>
      </c>
      <c r="AD13" s="135">
        <f t="shared" si="1"/>
        <v>1616.0430519747338</v>
      </c>
      <c r="AE13" s="135">
        <f t="shared" si="1"/>
        <v>1616.0430519747338</v>
      </c>
      <c r="AF13" s="135">
        <f t="shared" si="1"/>
        <v>1616.0430519747338</v>
      </c>
      <c r="AG13" s="135">
        <f t="shared" si="1"/>
        <v>1616.0430519747338</v>
      </c>
      <c r="AH13" s="135">
        <f t="shared" si="1"/>
        <v>1616.0430519747338</v>
      </c>
      <c r="AI13" s="135">
        <f t="shared" si="1"/>
        <v>1616.0430519747338</v>
      </c>
      <c r="AJ13" s="135">
        <f t="shared" si="1"/>
        <v>1364.4844531590118</v>
      </c>
      <c r="AK13" s="135">
        <f t="shared" si="1"/>
        <v>1364.4844531590118</v>
      </c>
      <c r="AL13" s="135">
        <f t="shared" si="1"/>
        <v>1364.4844531590118</v>
      </c>
      <c r="AM13" s="135">
        <f t="shared" si="1"/>
        <v>1364.4844531590118</v>
      </c>
      <c r="AN13" s="135">
        <f t="shared" si="1"/>
        <v>1364.4844531590118</v>
      </c>
      <c r="AO13" s="135">
        <f t="shared" si="1"/>
        <v>1364.4844531590118</v>
      </c>
      <c r="AP13" s="135">
        <f t="shared" si="1"/>
        <v>1364.4844531590118</v>
      </c>
      <c r="AQ13" s="135">
        <f t="shared" si="1"/>
        <v>1364.4844531590118</v>
      </c>
      <c r="AR13" s="135">
        <f t="shared" si="1"/>
        <v>1112.92585434329</v>
      </c>
      <c r="AS13" s="135">
        <f t="shared" si="1"/>
        <v>1112.92585434329</v>
      </c>
      <c r="AT13" s="135">
        <f t="shared" si="1"/>
        <v>1112.92585434329</v>
      </c>
      <c r="AU13" s="135">
        <f t="shared" si="1"/>
        <v>1112.92585434329</v>
      </c>
      <c r="AV13" s="135">
        <f t="shared" si="1"/>
        <v>1616.0430519747338</v>
      </c>
      <c r="AW13" s="135">
        <f t="shared" si="1"/>
        <v>1616.0430519747338</v>
      </c>
      <c r="AX13" s="135">
        <f t="shared" si="1"/>
        <v>1616.0430519747338</v>
      </c>
      <c r="AY13" s="135">
        <f t="shared" si="1"/>
        <v>1616.0430519747338</v>
      </c>
      <c r="AZ13" s="107"/>
    </row>
    <row r="14" spans="1:52">
      <c r="A14" s="108"/>
      <c r="B14" s="117">
        <v>2</v>
      </c>
      <c r="C14" s="108">
        <v>0</v>
      </c>
      <c r="D14" s="104">
        <f>IF(C$20="Yes",C13,0)</f>
        <v>0</v>
      </c>
      <c r="E14" s="104">
        <f t="shared" ref="E14:AY17" si="2">IF(D$20="Yes",D13,0)</f>
        <v>0</v>
      </c>
      <c r="F14" s="104">
        <f t="shared" si="2"/>
        <v>0</v>
      </c>
      <c r="G14" s="104">
        <f t="shared" si="2"/>
        <v>0</v>
      </c>
      <c r="H14" s="104">
        <f t="shared" si="2"/>
        <v>1364.4844531590118</v>
      </c>
      <c r="I14" s="104">
        <f t="shared" si="2"/>
        <v>0</v>
      </c>
      <c r="J14" s="104">
        <f t="shared" si="2"/>
        <v>0</v>
      </c>
      <c r="K14" s="104">
        <f t="shared" si="2"/>
        <v>0</v>
      </c>
      <c r="L14" s="104">
        <f t="shared" si="2"/>
        <v>0</v>
      </c>
      <c r="M14" s="104">
        <f t="shared" si="2"/>
        <v>0</v>
      </c>
      <c r="N14" s="104">
        <f t="shared" si="2"/>
        <v>0</v>
      </c>
      <c r="O14" s="104">
        <f t="shared" si="2"/>
        <v>0</v>
      </c>
      <c r="P14" s="104">
        <f t="shared" si="2"/>
        <v>0</v>
      </c>
      <c r="Q14" s="104">
        <f t="shared" si="2"/>
        <v>0</v>
      </c>
      <c r="R14" s="104">
        <f t="shared" si="2"/>
        <v>0</v>
      </c>
      <c r="S14" s="104">
        <f t="shared" si="2"/>
        <v>0</v>
      </c>
      <c r="T14" s="104">
        <f t="shared" si="2"/>
        <v>1364.4844531590118</v>
      </c>
      <c r="U14" s="104">
        <f t="shared" si="2"/>
        <v>0</v>
      </c>
      <c r="V14" s="104">
        <f t="shared" si="2"/>
        <v>0</v>
      </c>
      <c r="W14" s="104">
        <f t="shared" si="2"/>
        <v>0</v>
      </c>
      <c r="X14" s="104">
        <f t="shared" si="2"/>
        <v>0</v>
      </c>
      <c r="Y14" s="104">
        <f t="shared" si="2"/>
        <v>0</v>
      </c>
      <c r="Z14" s="104">
        <f t="shared" si="2"/>
        <v>0</v>
      </c>
      <c r="AA14" s="104">
        <f t="shared" si="2"/>
        <v>0</v>
      </c>
      <c r="AB14" s="104">
        <f t="shared" si="2"/>
        <v>0</v>
      </c>
      <c r="AC14" s="104">
        <f t="shared" si="2"/>
        <v>0</v>
      </c>
      <c r="AD14" s="104">
        <f t="shared" si="2"/>
        <v>0</v>
      </c>
      <c r="AE14" s="104">
        <f t="shared" si="2"/>
        <v>0</v>
      </c>
      <c r="AF14" s="104">
        <f t="shared" si="2"/>
        <v>1616.0430519747338</v>
      </c>
      <c r="AG14" s="104">
        <f t="shared" si="2"/>
        <v>0</v>
      </c>
      <c r="AH14" s="104">
        <f t="shared" si="2"/>
        <v>0</v>
      </c>
      <c r="AI14" s="104">
        <f t="shared" si="2"/>
        <v>0</v>
      </c>
      <c r="AJ14" s="104">
        <f t="shared" si="2"/>
        <v>0</v>
      </c>
      <c r="AK14" s="104">
        <f t="shared" si="2"/>
        <v>0</v>
      </c>
      <c r="AL14" s="104">
        <f t="shared" si="2"/>
        <v>0</v>
      </c>
      <c r="AM14" s="104">
        <f t="shared" si="2"/>
        <v>0</v>
      </c>
      <c r="AN14" s="104">
        <f t="shared" si="2"/>
        <v>0</v>
      </c>
      <c r="AO14" s="104">
        <f t="shared" si="2"/>
        <v>0</v>
      </c>
      <c r="AP14" s="104">
        <f t="shared" si="2"/>
        <v>0</v>
      </c>
      <c r="AQ14" s="104">
        <f t="shared" si="2"/>
        <v>0</v>
      </c>
      <c r="AR14" s="104">
        <f t="shared" si="2"/>
        <v>0</v>
      </c>
      <c r="AS14" s="104">
        <f t="shared" si="2"/>
        <v>0</v>
      </c>
      <c r="AT14" s="104">
        <f t="shared" si="2"/>
        <v>0</v>
      </c>
      <c r="AU14" s="104">
        <f t="shared" si="2"/>
        <v>0</v>
      </c>
      <c r="AV14" s="104">
        <f t="shared" si="2"/>
        <v>0</v>
      </c>
      <c r="AW14" s="104">
        <f t="shared" si="2"/>
        <v>0</v>
      </c>
      <c r="AX14" s="104">
        <f t="shared" si="2"/>
        <v>0</v>
      </c>
      <c r="AY14" s="104">
        <f t="shared" si="2"/>
        <v>0</v>
      </c>
      <c r="AZ14" s="107"/>
    </row>
    <row r="15" spans="1:52">
      <c r="A15" s="108"/>
      <c r="B15" s="124">
        <v>3</v>
      </c>
      <c r="C15" s="108">
        <v>0</v>
      </c>
      <c r="D15" s="104">
        <f>IF(C$20="Yes",C14,0)</f>
        <v>0</v>
      </c>
      <c r="E15" s="104">
        <f t="shared" si="2"/>
        <v>0</v>
      </c>
      <c r="F15" s="104">
        <f t="shared" si="2"/>
        <v>0</v>
      </c>
      <c r="G15" s="104">
        <f t="shared" si="2"/>
        <v>0</v>
      </c>
      <c r="H15" s="104">
        <f t="shared" si="2"/>
        <v>0</v>
      </c>
      <c r="I15" s="104">
        <f t="shared" si="2"/>
        <v>0</v>
      </c>
      <c r="J15" s="104">
        <f t="shared" si="2"/>
        <v>0</v>
      </c>
      <c r="K15" s="104">
        <f t="shared" si="2"/>
        <v>0</v>
      </c>
      <c r="L15" s="104">
        <f t="shared" si="2"/>
        <v>0</v>
      </c>
      <c r="M15" s="104">
        <f t="shared" si="2"/>
        <v>0</v>
      </c>
      <c r="N15" s="104">
        <f t="shared" si="2"/>
        <v>0</v>
      </c>
      <c r="O15" s="104">
        <f t="shared" si="2"/>
        <v>0</v>
      </c>
      <c r="P15" s="104">
        <f t="shared" si="2"/>
        <v>0</v>
      </c>
      <c r="Q15" s="104">
        <f t="shared" si="2"/>
        <v>0</v>
      </c>
      <c r="R15" s="104">
        <f t="shared" si="2"/>
        <v>0</v>
      </c>
      <c r="S15" s="104">
        <f t="shared" si="2"/>
        <v>0</v>
      </c>
      <c r="T15" s="104">
        <f t="shared" si="2"/>
        <v>0</v>
      </c>
      <c r="U15" s="104">
        <f t="shared" si="2"/>
        <v>0</v>
      </c>
      <c r="V15" s="104">
        <f t="shared" si="2"/>
        <v>0</v>
      </c>
      <c r="W15" s="104">
        <f t="shared" si="2"/>
        <v>0</v>
      </c>
      <c r="X15" s="104">
        <f t="shared" si="2"/>
        <v>0</v>
      </c>
      <c r="Y15" s="104">
        <f t="shared" si="2"/>
        <v>0</v>
      </c>
      <c r="Z15" s="104">
        <f t="shared" si="2"/>
        <v>0</v>
      </c>
      <c r="AA15" s="104">
        <f t="shared" si="2"/>
        <v>0</v>
      </c>
      <c r="AB15" s="104">
        <f t="shared" si="2"/>
        <v>0</v>
      </c>
      <c r="AC15" s="104">
        <f t="shared" si="2"/>
        <v>0</v>
      </c>
      <c r="AD15" s="104">
        <f t="shared" si="2"/>
        <v>0</v>
      </c>
      <c r="AE15" s="104">
        <f t="shared" si="2"/>
        <v>0</v>
      </c>
      <c r="AF15" s="104">
        <f t="shared" si="2"/>
        <v>0</v>
      </c>
      <c r="AG15" s="104">
        <f t="shared" si="2"/>
        <v>0</v>
      </c>
      <c r="AH15" s="104">
        <f t="shared" si="2"/>
        <v>0</v>
      </c>
      <c r="AI15" s="104">
        <f t="shared" si="2"/>
        <v>0</v>
      </c>
      <c r="AJ15" s="104">
        <f t="shared" si="2"/>
        <v>0</v>
      </c>
      <c r="AK15" s="104">
        <f t="shared" si="2"/>
        <v>0</v>
      </c>
      <c r="AL15" s="104">
        <f t="shared" si="2"/>
        <v>0</v>
      </c>
      <c r="AM15" s="104">
        <f t="shared" si="2"/>
        <v>0</v>
      </c>
      <c r="AN15" s="104">
        <f t="shared" si="2"/>
        <v>0</v>
      </c>
      <c r="AO15" s="104">
        <f t="shared" si="2"/>
        <v>0</v>
      </c>
      <c r="AP15" s="104">
        <f t="shared" si="2"/>
        <v>0</v>
      </c>
      <c r="AQ15" s="104">
        <f t="shared" si="2"/>
        <v>0</v>
      </c>
      <c r="AR15" s="104">
        <f t="shared" si="2"/>
        <v>0</v>
      </c>
      <c r="AS15" s="104">
        <f t="shared" si="2"/>
        <v>0</v>
      </c>
      <c r="AT15" s="104">
        <f t="shared" si="2"/>
        <v>0</v>
      </c>
      <c r="AU15" s="104">
        <f t="shared" si="2"/>
        <v>0</v>
      </c>
      <c r="AV15" s="104">
        <f t="shared" si="2"/>
        <v>0</v>
      </c>
      <c r="AW15" s="104">
        <f t="shared" si="2"/>
        <v>0</v>
      </c>
      <c r="AX15" s="104">
        <f t="shared" si="2"/>
        <v>0</v>
      </c>
      <c r="AY15" s="104">
        <f t="shared" si="2"/>
        <v>0</v>
      </c>
      <c r="AZ15" s="107"/>
    </row>
    <row r="16" spans="1:52">
      <c r="A16" s="108"/>
      <c r="B16" s="127">
        <v>4</v>
      </c>
      <c r="C16" s="108">
        <v>0</v>
      </c>
      <c r="D16" s="104">
        <f>IF(C$20="Yes",C15,0)</f>
        <v>0</v>
      </c>
      <c r="E16" s="104">
        <f t="shared" si="2"/>
        <v>0</v>
      </c>
      <c r="F16" s="104">
        <f t="shared" si="2"/>
        <v>0</v>
      </c>
      <c r="G16" s="104">
        <f t="shared" si="2"/>
        <v>0</v>
      </c>
      <c r="H16" s="104">
        <f t="shared" si="2"/>
        <v>0</v>
      </c>
      <c r="I16" s="104">
        <f t="shared" si="2"/>
        <v>0</v>
      </c>
      <c r="J16" s="104">
        <f t="shared" si="2"/>
        <v>0</v>
      </c>
      <c r="K16" s="104">
        <f t="shared" si="2"/>
        <v>0</v>
      </c>
      <c r="L16" s="104">
        <f t="shared" si="2"/>
        <v>0</v>
      </c>
      <c r="M16" s="104">
        <f t="shared" si="2"/>
        <v>0</v>
      </c>
      <c r="N16" s="104">
        <f t="shared" si="2"/>
        <v>0</v>
      </c>
      <c r="O16" s="104">
        <f t="shared" si="2"/>
        <v>0</v>
      </c>
      <c r="P16" s="104">
        <f t="shared" si="2"/>
        <v>0</v>
      </c>
      <c r="Q16" s="104">
        <f t="shared" si="2"/>
        <v>0</v>
      </c>
      <c r="R16" s="104">
        <f t="shared" si="2"/>
        <v>0</v>
      </c>
      <c r="S16" s="104">
        <f t="shared" si="2"/>
        <v>0</v>
      </c>
      <c r="T16" s="104">
        <f t="shared" si="2"/>
        <v>0</v>
      </c>
      <c r="U16" s="104">
        <f t="shared" si="2"/>
        <v>0</v>
      </c>
      <c r="V16" s="104">
        <f t="shared" si="2"/>
        <v>0</v>
      </c>
      <c r="W16" s="104">
        <f t="shared" si="2"/>
        <v>0</v>
      </c>
      <c r="X16" s="104">
        <f t="shared" si="2"/>
        <v>0</v>
      </c>
      <c r="Y16" s="104">
        <f t="shared" si="2"/>
        <v>0</v>
      </c>
      <c r="Z16" s="104">
        <f t="shared" si="2"/>
        <v>0</v>
      </c>
      <c r="AA16" s="104">
        <f t="shared" si="2"/>
        <v>0</v>
      </c>
      <c r="AB16" s="104">
        <f t="shared" si="2"/>
        <v>0</v>
      </c>
      <c r="AC16" s="104">
        <f t="shared" si="2"/>
        <v>0</v>
      </c>
      <c r="AD16" s="104">
        <f t="shared" si="2"/>
        <v>0</v>
      </c>
      <c r="AE16" s="104">
        <f t="shared" si="2"/>
        <v>0</v>
      </c>
      <c r="AF16" s="104">
        <f t="shared" si="2"/>
        <v>0</v>
      </c>
      <c r="AG16" s="104">
        <f t="shared" si="2"/>
        <v>0</v>
      </c>
      <c r="AH16" s="104">
        <f t="shared" si="2"/>
        <v>0</v>
      </c>
      <c r="AI16" s="104">
        <f t="shared" si="2"/>
        <v>0</v>
      </c>
      <c r="AJ16" s="104">
        <f t="shared" si="2"/>
        <v>0</v>
      </c>
      <c r="AK16" s="104">
        <f t="shared" si="2"/>
        <v>0</v>
      </c>
      <c r="AL16" s="104">
        <f t="shared" si="2"/>
        <v>0</v>
      </c>
      <c r="AM16" s="104">
        <f t="shared" si="2"/>
        <v>0</v>
      </c>
      <c r="AN16" s="104">
        <f t="shared" si="2"/>
        <v>0</v>
      </c>
      <c r="AO16" s="104">
        <f t="shared" si="2"/>
        <v>0</v>
      </c>
      <c r="AP16" s="104">
        <f t="shared" si="2"/>
        <v>0</v>
      </c>
      <c r="AQ16" s="104">
        <f t="shared" si="2"/>
        <v>0</v>
      </c>
      <c r="AR16" s="104">
        <f t="shared" si="2"/>
        <v>0</v>
      </c>
      <c r="AS16" s="104">
        <f t="shared" si="2"/>
        <v>0</v>
      </c>
      <c r="AT16" s="104">
        <f t="shared" si="2"/>
        <v>0</v>
      </c>
      <c r="AU16" s="104">
        <f t="shared" si="2"/>
        <v>0</v>
      </c>
      <c r="AV16" s="104">
        <f t="shared" si="2"/>
        <v>0</v>
      </c>
      <c r="AW16" s="104">
        <f t="shared" si="2"/>
        <v>0</v>
      </c>
      <c r="AX16" s="104">
        <f t="shared" si="2"/>
        <v>0</v>
      </c>
      <c r="AY16" s="104">
        <f t="shared" si="2"/>
        <v>0</v>
      </c>
      <c r="AZ16" s="125"/>
    </row>
    <row r="17" spans="1:52">
      <c r="A17" s="122"/>
      <c r="B17" s="129" t="s">
        <v>296</v>
      </c>
      <c r="C17" s="122">
        <v>0</v>
      </c>
      <c r="D17" s="111">
        <f>IF(C$20="Yes",C16,0)</f>
        <v>0</v>
      </c>
      <c r="E17" s="111">
        <f t="shared" si="2"/>
        <v>0</v>
      </c>
      <c r="F17" s="111">
        <f t="shared" si="2"/>
        <v>0</v>
      </c>
      <c r="G17" s="111">
        <f t="shared" si="2"/>
        <v>0</v>
      </c>
      <c r="H17" s="111">
        <f t="shared" si="2"/>
        <v>0</v>
      </c>
      <c r="I17" s="111">
        <f t="shared" si="2"/>
        <v>0</v>
      </c>
      <c r="J17" s="111">
        <f t="shared" si="2"/>
        <v>0</v>
      </c>
      <c r="K17" s="111">
        <f t="shared" si="2"/>
        <v>0</v>
      </c>
      <c r="L17" s="111">
        <f t="shared" si="2"/>
        <v>0</v>
      </c>
      <c r="M17" s="111">
        <f t="shared" si="2"/>
        <v>0</v>
      </c>
      <c r="N17" s="111">
        <f t="shared" si="2"/>
        <v>0</v>
      </c>
      <c r="O17" s="111">
        <f t="shared" si="2"/>
        <v>0</v>
      </c>
      <c r="P17" s="111">
        <f t="shared" si="2"/>
        <v>0</v>
      </c>
      <c r="Q17" s="111">
        <f t="shared" si="2"/>
        <v>0</v>
      </c>
      <c r="R17" s="111">
        <f t="shared" si="2"/>
        <v>0</v>
      </c>
      <c r="S17" s="111">
        <f t="shared" si="2"/>
        <v>0</v>
      </c>
      <c r="T17" s="111">
        <f t="shared" si="2"/>
        <v>0</v>
      </c>
      <c r="U17" s="111">
        <f t="shared" si="2"/>
        <v>0</v>
      </c>
      <c r="V17" s="111">
        <f t="shared" si="2"/>
        <v>0</v>
      </c>
      <c r="W17" s="111">
        <f t="shared" si="2"/>
        <v>0</v>
      </c>
      <c r="X17" s="111">
        <f t="shared" si="2"/>
        <v>0</v>
      </c>
      <c r="Y17" s="111">
        <f t="shared" si="2"/>
        <v>0</v>
      </c>
      <c r="Z17" s="111">
        <f t="shared" si="2"/>
        <v>0</v>
      </c>
      <c r="AA17" s="111">
        <f t="shared" si="2"/>
        <v>0</v>
      </c>
      <c r="AB17" s="111">
        <f t="shared" si="2"/>
        <v>0</v>
      </c>
      <c r="AC17" s="111">
        <f t="shared" si="2"/>
        <v>0</v>
      </c>
      <c r="AD17" s="111">
        <f t="shared" si="2"/>
        <v>0</v>
      </c>
      <c r="AE17" s="111">
        <f t="shared" si="2"/>
        <v>0</v>
      </c>
      <c r="AF17" s="111">
        <f t="shared" si="2"/>
        <v>0</v>
      </c>
      <c r="AG17" s="111">
        <f t="shared" si="2"/>
        <v>0</v>
      </c>
      <c r="AH17" s="111">
        <f t="shared" si="2"/>
        <v>0</v>
      </c>
      <c r="AI17" s="111">
        <f t="shared" si="2"/>
        <v>0</v>
      </c>
      <c r="AJ17" s="111">
        <f t="shared" si="2"/>
        <v>0</v>
      </c>
      <c r="AK17" s="111">
        <f t="shared" si="2"/>
        <v>0</v>
      </c>
      <c r="AL17" s="111">
        <f t="shared" si="2"/>
        <v>0</v>
      </c>
      <c r="AM17" s="111">
        <f t="shared" si="2"/>
        <v>0</v>
      </c>
      <c r="AN17" s="111">
        <f t="shared" si="2"/>
        <v>0</v>
      </c>
      <c r="AO17" s="111">
        <f t="shared" si="2"/>
        <v>0</v>
      </c>
      <c r="AP17" s="111">
        <f t="shared" si="2"/>
        <v>0</v>
      </c>
      <c r="AQ17" s="111">
        <f t="shared" si="2"/>
        <v>0</v>
      </c>
      <c r="AR17" s="111">
        <f t="shared" si="2"/>
        <v>0</v>
      </c>
      <c r="AS17" s="111">
        <f t="shared" si="2"/>
        <v>0</v>
      </c>
      <c r="AT17" s="111">
        <f t="shared" si="2"/>
        <v>0</v>
      </c>
      <c r="AU17" s="111">
        <f t="shared" si="2"/>
        <v>0</v>
      </c>
      <c r="AV17" s="111">
        <f t="shared" si="2"/>
        <v>0</v>
      </c>
      <c r="AW17" s="111">
        <f t="shared" si="2"/>
        <v>0</v>
      </c>
      <c r="AX17" s="111">
        <f t="shared" si="2"/>
        <v>0</v>
      </c>
      <c r="AY17" s="111">
        <f t="shared" si="2"/>
        <v>0</v>
      </c>
      <c r="AZ17" s="148">
        <f>SUM($D$17:$AY$17)</f>
        <v>0</v>
      </c>
    </row>
    <row r="18" spans="1:52">
      <c r="A18" s="104"/>
      <c r="B18" s="150"/>
      <c r="C18" s="135"/>
      <c r="D18" s="135"/>
      <c r="E18" s="135"/>
      <c r="F18" s="135"/>
      <c r="G18" s="135"/>
      <c r="H18" s="135"/>
      <c r="I18" s="135"/>
      <c r="J18" s="135"/>
      <c r="K18" s="135"/>
      <c r="L18" s="135"/>
      <c r="M18" s="135"/>
      <c r="N18" s="135"/>
      <c r="O18" s="135"/>
      <c r="P18" s="135"/>
      <c r="Q18" s="135"/>
      <c r="R18" s="135"/>
      <c r="S18" s="135"/>
      <c r="T18" s="135"/>
      <c r="U18" s="135"/>
      <c r="V18" s="135"/>
      <c r="W18" s="135"/>
      <c r="X18" s="135"/>
      <c r="Y18" s="135"/>
      <c r="Z18" s="135"/>
      <c r="AA18" s="135"/>
      <c r="AB18" s="135"/>
      <c r="AC18" s="135"/>
      <c r="AD18" s="135"/>
      <c r="AE18" s="135"/>
      <c r="AF18" s="135"/>
      <c r="AG18" s="135"/>
      <c r="AH18" s="135"/>
      <c r="AI18" s="135"/>
      <c r="AJ18" s="135"/>
      <c r="AK18" s="135"/>
      <c r="AL18" s="135"/>
      <c r="AM18" s="135"/>
      <c r="AN18" s="135"/>
      <c r="AO18" s="135"/>
      <c r="AP18" s="135"/>
      <c r="AQ18" s="135"/>
      <c r="AR18" s="135"/>
      <c r="AS18" s="135"/>
      <c r="AT18" s="135"/>
      <c r="AU18" s="135"/>
      <c r="AV18" s="135"/>
      <c r="AW18" s="135"/>
      <c r="AX18" s="135"/>
      <c r="AY18" s="135"/>
      <c r="AZ18" s="104"/>
    </row>
    <row r="19" spans="1:52">
      <c r="A19" s="1" t="s">
        <v>116</v>
      </c>
      <c r="B19" s="104"/>
      <c r="C19" s="104"/>
      <c r="D19" s="104"/>
      <c r="E19" s="104"/>
      <c r="F19" s="104"/>
      <c r="G19" s="104"/>
      <c r="H19" s="104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F19" s="104"/>
      <c r="AG19" s="104"/>
      <c r="AH19" s="104"/>
      <c r="AI19" s="104"/>
      <c r="AJ19" s="104"/>
      <c r="AK19" s="104"/>
      <c r="AL19" s="104"/>
      <c r="AM19" s="104"/>
      <c r="AN19" s="104"/>
      <c r="AO19" s="104"/>
      <c r="AP19" s="104"/>
      <c r="AQ19" s="104"/>
      <c r="AR19" s="104"/>
      <c r="AS19" s="104"/>
      <c r="AT19" s="104"/>
      <c r="AU19" s="104"/>
      <c r="AV19" s="104"/>
      <c r="AW19" s="104"/>
      <c r="AX19" s="104"/>
      <c r="AY19" s="104"/>
    </row>
    <row r="20" spans="1:52" s="108" customFormat="1">
      <c r="A20" s="112" t="s">
        <v>305</v>
      </c>
      <c r="B20" s="151" t="s">
        <v>306</v>
      </c>
      <c r="C20" s="114"/>
      <c r="D20" s="114"/>
      <c r="E20" s="114"/>
      <c r="F20" s="114"/>
      <c r="G20" s="114" t="s">
        <v>339</v>
      </c>
      <c r="H20" s="114"/>
      <c r="I20" s="114"/>
      <c r="J20" s="114"/>
      <c r="K20" s="114"/>
      <c r="L20" s="114"/>
      <c r="M20" s="114"/>
      <c r="N20" s="114"/>
      <c r="O20" s="114"/>
      <c r="P20" s="114"/>
      <c r="Q20" s="114"/>
      <c r="R20" s="114"/>
      <c r="S20" s="114" t="s">
        <v>339</v>
      </c>
      <c r="T20" s="114"/>
      <c r="U20" s="114"/>
      <c r="V20" s="114"/>
      <c r="W20" s="114"/>
      <c r="X20" s="114"/>
      <c r="Y20" s="114"/>
      <c r="Z20" s="114"/>
      <c r="AA20" s="114"/>
      <c r="AB20" s="114"/>
      <c r="AC20" s="114"/>
      <c r="AD20" s="114"/>
      <c r="AE20" s="114" t="s">
        <v>339</v>
      </c>
      <c r="AF20" s="114"/>
      <c r="AG20" s="114"/>
      <c r="AH20" s="114"/>
      <c r="AI20" s="114"/>
      <c r="AJ20" s="114"/>
      <c r="AK20" s="114"/>
      <c r="AL20" s="114"/>
      <c r="AM20" s="114"/>
      <c r="AN20" s="114"/>
      <c r="AO20" s="114"/>
      <c r="AP20" s="114"/>
      <c r="AQ20" s="114"/>
      <c r="AR20" s="114"/>
      <c r="AS20" s="114"/>
      <c r="AT20" s="114"/>
      <c r="AU20" s="114"/>
      <c r="AV20" s="114"/>
      <c r="AW20" s="114"/>
      <c r="AX20" s="114"/>
      <c r="AY20" s="114"/>
      <c r="AZ20" s="105"/>
    </row>
    <row r="21" spans="1:52" s="108" customFormat="1">
      <c r="A21" s="152" t="s">
        <v>133</v>
      </c>
      <c r="B21" s="153">
        <f>shipping_manufacturing!$E$19/100</f>
        <v>0.47390438404321755</v>
      </c>
      <c r="C21" s="153" t="s">
        <v>293</v>
      </c>
      <c r="D21" s="104">
        <f>IF(C$20="Yes",0,SUM(C$13:C$16)*$B$21)</f>
        <v>666.65980496596092</v>
      </c>
      <c r="E21" s="104">
        <f t="shared" ref="E21:AY21" si="3">IF(D$20="Yes",0,SUM(D$13:D$16)*$B$21)</f>
        <v>646.63516431086805</v>
      </c>
      <c r="F21" s="104">
        <f t="shared" si="3"/>
        <v>646.63516431086805</v>
      </c>
      <c r="G21" s="104">
        <f t="shared" si="3"/>
        <v>646.63516431086805</v>
      </c>
      <c r="H21" s="104">
        <f t="shared" si="3"/>
        <v>0</v>
      </c>
      <c r="I21" s="104">
        <f t="shared" si="3"/>
        <v>1293.2703286217361</v>
      </c>
      <c r="J21" s="104">
        <f t="shared" si="3"/>
        <v>646.63516431086805</v>
      </c>
      <c r="K21" s="104">
        <f t="shared" si="3"/>
        <v>646.63516431086805</v>
      </c>
      <c r="L21" s="104">
        <f t="shared" si="3"/>
        <v>646.63516431086805</v>
      </c>
      <c r="M21" s="104">
        <f t="shared" si="3"/>
        <v>646.63516431086805</v>
      </c>
      <c r="N21" s="104">
        <f t="shared" si="3"/>
        <v>646.63516431086805</v>
      </c>
      <c r="O21" s="104">
        <f t="shared" si="3"/>
        <v>646.63516431086805</v>
      </c>
      <c r="P21" s="104">
        <f t="shared" si="3"/>
        <v>646.63516431086805</v>
      </c>
      <c r="Q21" s="104">
        <f t="shared" si="3"/>
        <v>646.63516431086805</v>
      </c>
      <c r="R21" s="104">
        <f t="shared" si="3"/>
        <v>646.63516431086805</v>
      </c>
      <c r="S21" s="104">
        <f t="shared" si="3"/>
        <v>646.63516431086805</v>
      </c>
      <c r="T21" s="104">
        <f t="shared" si="3"/>
        <v>0</v>
      </c>
      <c r="U21" s="104">
        <f t="shared" si="3"/>
        <v>1174.0556057991964</v>
      </c>
      <c r="V21" s="104">
        <f t="shared" si="3"/>
        <v>527.42044148832849</v>
      </c>
      <c r="W21" s="104">
        <f t="shared" si="3"/>
        <v>527.42044148832849</v>
      </c>
      <c r="X21" s="104">
        <f t="shared" si="3"/>
        <v>527.42044148832849</v>
      </c>
      <c r="Y21" s="104">
        <f t="shared" si="3"/>
        <v>646.63516431086805</v>
      </c>
      <c r="Z21" s="104">
        <f t="shared" si="3"/>
        <v>646.63516431086805</v>
      </c>
      <c r="AA21" s="104">
        <f t="shared" si="3"/>
        <v>646.63516431086805</v>
      </c>
      <c r="AB21" s="104">
        <f t="shared" si="3"/>
        <v>646.63516431086805</v>
      </c>
      <c r="AC21" s="104">
        <f t="shared" si="3"/>
        <v>765.84988713340761</v>
      </c>
      <c r="AD21" s="104">
        <f t="shared" si="3"/>
        <v>765.84988713340761</v>
      </c>
      <c r="AE21" s="104">
        <f t="shared" si="3"/>
        <v>765.84988713340761</v>
      </c>
      <c r="AF21" s="104">
        <f t="shared" si="3"/>
        <v>0</v>
      </c>
      <c r="AG21" s="104">
        <f t="shared" si="3"/>
        <v>1531.6997742668152</v>
      </c>
      <c r="AH21" s="104">
        <f t="shared" si="3"/>
        <v>765.84988713340761</v>
      </c>
      <c r="AI21" s="104">
        <f t="shared" si="3"/>
        <v>765.84988713340761</v>
      </c>
      <c r="AJ21" s="104">
        <f t="shared" si="3"/>
        <v>765.84988713340761</v>
      </c>
      <c r="AK21" s="104">
        <f t="shared" si="3"/>
        <v>646.63516431086805</v>
      </c>
      <c r="AL21" s="104">
        <f t="shared" si="3"/>
        <v>646.63516431086805</v>
      </c>
      <c r="AM21" s="104">
        <f t="shared" si="3"/>
        <v>646.63516431086805</v>
      </c>
      <c r="AN21" s="104">
        <f t="shared" si="3"/>
        <v>646.63516431086805</v>
      </c>
      <c r="AO21" s="104">
        <f t="shared" si="3"/>
        <v>646.63516431086805</v>
      </c>
      <c r="AP21" s="104">
        <f t="shared" si="3"/>
        <v>646.63516431086805</v>
      </c>
      <c r="AQ21" s="104">
        <f t="shared" si="3"/>
        <v>646.63516431086805</v>
      </c>
      <c r="AR21" s="104">
        <f t="shared" si="3"/>
        <v>646.63516431086805</v>
      </c>
      <c r="AS21" s="104">
        <f t="shared" si="3"/>
        <v>527.42044148832849</v>
      </c>
      <c r="AT21" s="104">
        <f t="shared" si="3"/>
        <v>527.42044148832849</v>
      </c>
      <c r="AU21" s="104">
        <f t="shared" si="3"/>
        <v>527.42044148832849</v>
      </c>
      <c r="AV21" s="104">
        <f t="shared" si="3"/>
        <v>527.42044148832849</v>
      </c>
      <c r="AW21" s="104">
        <f t="shared" si="3"/>
        <v>765.84988713340761</v>
      </c>
      <c r="AX21" s="104">
        <f t="shared" si="3"/>
        <v>765.84988713340761</v>
      </c>
      <c r="AY21" s="104">
        <f t="shared" si="3"/>
        <v>765.84988713340761</v>
      </c>
      <c r="AZ21" s="154">
        <f>SUM($D21:$AY21)</f>
        <v>31416.156696044385</v>
      </c>
    </row>
    <row r="22" spans="1:52" s="108" customFormat="1">
      <c r="A22" s="155" t="s">
        <v>123</v>
      </c>
      <c r="B22" s="156">
        <f>1-$B$21</f>
        <v>0.52609561595678245</v>
      </c>
      <c r="C22" s="156" t="s">
        <v>293</v>
      </c>
      <c r="D22" s="111">
        <f>IF(C$20="Yes",0,SUM(C$13:C$16)*$B$22)</f>
        <v>740.07924918291371</v>
      </c>
      <c r="E22" s="111">
        <f t="shared" ref="E22:AY22" si="4">IF(D$20="Yes",0,SUM(D$13:D$16)*$B$22)</f>
        <v>717.84928884814371</v>
      </c>
      <c r="F22" s="111">
        <f t="shared" si="4"/>
        <v>717.84928884814371</v>
      </c>
      <c r="G22" s="111">
        <f t="shared" si="4"/>
        <v>717.84928884814371</v>
      </c>
      <c r="H22" s="111">
        <f t="shared" si="4"/>
        <v>0</v>
      </c>
      <c r="I22" s="111">
        <f t="shared" si="4"/>
        <v>1435.6985776962874</v>
      </c>
      <c r="J22" s="111">
        <f t="shared" si="4"/>
        <v>717.84928884814371</v>
      </c>
      <c r="K22" s="111">
        <f t="shared" si="4"/>
        <v>717.84928884814371</v>
      </c>
      <c r="L22" s="111">
        <f t="shared" si="4"/>
        <v>717.84928884814371</v>
      </c>
      <c r="M22" s="111">
        <f t="shared" si="4"/>
        <v>717.84928884814371</v>
      </c>
      <c r="N22" s="111">
        <f t="shared" si="4"/>
        <v>717.84928884814371</v>
      </c>
      <c r="O22" s="111">
        <f t="shared" si="4"/>
        <v>717.84928884814371</v>
      </c>
      <c r="P22" s="111">
        <f t="shared" si="4"/>
        <v>717.84928884814371</v>
      </c>
      <c r="Q22" s="111">
        <f t="shared" si="4"/>
        <v>717.84928884814371</v>
      </c>
      <c r="R22" s="111">
        <f t="shared" si="4"/>
        <v>717.84928884814371</v>
      </c>
      <c r="S22" s="111">
        <f t="shared" si="4"/>
        <v>717.84928884814371</v>
      </c>
      <c r="T22" s="111">
        <f t="shared" si="4"/>
        <v>0</v>
      </c>
      <c r="U22" s="111">
        <f t="shared" si="4"/>
        <v>1303.3547017031053</v>
      </c>
      <c r="V22" s="111">
        <f t="shared" si="4"/>
        <v>585.50541285496149</v>
      </c>
      <c r="W22" s="111">
        <f t="shared" si="4"/>
        <v>585.50541285496149</v>
      </c>
      <c r="X22" s="111">
        <f t="shared" si="4"/>
        <v>585.50541285496149</v>
      </c>
      <c r="Y22" s="111">
        <f t="shared" si="4"/>
        <v>717.84928884814371</v>
      </c>
      <c r="Z22" s="111">
        <f t="shared" si="4"/>
        <v>717.84928884814371</v>
      </c>
      <c r="AA22" s="111">
        <f t="shared" si="4"/>
        <v>717.84928884814371</v>
      </c>
      <c r="AB22" s="111">
        <f t="shared" si="4"/>
        <v>717.84928884814371</v>
      </c>
      <c r="AC22" s="111">
        <f t="shared" si="4"/>
        <v>850.19316484132617</v>
      </c>
      <c r="AD22" s="111">
        <f t="shared" si="4"/>
        <v>850.19316484132617</v>
      </c>
      <c r="AE22" s="111">
        <f t="shared" si="4"/>
        <v>850.19316484132617</v>
      </c>
      <c r="AF22" s="111">
        <f t="shared" si="4"/>
        <v>0</v>
      </c>
      <c r="AG22" s="111">
        <f t="shared" si="4"/>
        <v>1700.3863296826523</v>
      </c>
      <c r="AH22" s="111">
        <f t="shared" si="4"/>
        <v>850.19316484132617</v>
      </c>
      <c r="AI22" s="111">
        <f t="shared" si="4"/>
        <v>850.19316484132617</v>
      </c>
      <c r="AJ22" s="111">
        <f t="shared" si="4"/>
        <v>850.19316484132617</v>
      </c>
      <c r="AK22" s="111">
        <f t="shared" si="4"/>
        <v>717.84928884814371</v>
      </c>
      <c r="AL22" s="111">
        <f t="shared" si="4"/>
        <v>717.84928884814371</v>
      </c>
      <c r="AM22" s="111">
        <f t="shared" si="4"/>
        <v>717.84928884814371</v>
      </c>
      <c r="AN22" s="111">
        <f t="shared" si="4"/>
        <v>717.84928884814371</v>
      </c>
      <c r="AO22" s="111">
        <f t="shared" si="4"/>
        <v>717.84928884814371</v>
      </c>
      <c r="AP22" s="111">
        <f t="shared" si="4"/>
        <v>717.84928884814371</v>
      </c>
      <c r="AQ22" s="111">
        <f t="shared" si="4"/>
        <v>717.84928884814371</v>
      </c>
      <c r="AR22" s="111">
        <f t="shared" si="4"/>
        <v>717.84928884814371</v>
      </c>
      <c r="AS22" s="111">
        <f t="shared" si="4"/>
        <v>585.50541285496149</v>
      </c>
      <c r="AT22" s="111">
        <f t="shared" si="4"/>
        <v>585.50541285496149</v>
      </c>
      <c r="AU22" s="111">
        <f t="shared" si="4"/>
        <v>585.50541285496149</v>
      </c>
      <c r="AV22" s="111">
        <f t="shared" si="4"/>
        <v>585.50541285496149</v>
      </c>
      <c r="AW22" s="111">
        <f t="shared" si="4"/>
        <v>850.19316484132617</v>
      </c>
      <c r="AX22" s="111">
        <f t="shared" si="4"/>
        <v>850.19316484132617</v>
      </c>
      <c r="AY22" s="111">
        <f t="shared" si="4"/>
        <v>850.19316484132617</v>
      </c>
      <c r="AZ22" s="138">
        <f t="shared" ref="AZ22:AZ30" si="5">SUM($D22:$AY22)</f>
        <v>34876.027453025214</v>
      </c>
    </row>
    <row r="23" spans="1:52">
      <c r="A23" s="157" t="s">
        <v>307</v>
      </c>
      <c r="B23" s="121">
        <v>2000</v>
      </c>
      <c r="C23" t="s">
        <v>293</v>
      </c>
      <c r="D23">
        <f>D$21*$B$23</f>
        <v>1333319.6099319218</v>
      </c>
      <c r="E23">
        <f t="shared" ref="E23:AY23" si="6">E$21*$B$23</f>
        <v>1293270.328621736</v>
      </c>
      <c r="F23">
        <f t="shared" si="6"/>
        <v>1293270.328621736</v>
      </c>
      <c r="G23">
        <f t="shared" si="6"/>
        <v>1293270.328621736</v>
      </c>
      <c r="H23">
        <f t="shared" si="6"/>
        <v>0</v>
      </c>
      <c r="I23">
        <f t="shared" si="6"/>
        <v>2586540.6572434721</v>
      </c>
      <c r="J23">
        <f t="shared" si="6"/>
        <v>1293270.328621736</v>
      </c>
      <c r="K23">
        <f t="shared" si="6"/>
        <v>1293270.328621736</v>
      </c>
      <c r="L23">
        <f t="shared" si="6"/>
        <v>1293270.328621736</v>
      </c>
      <c r="M23">
        <f t="shared" si="6"/>
        <v>1293270.328621736</v>
      </c>
      <c r="N23">
        <f t="shared" si="6"/>
        <v>1293270.328621736</v>
      </c>
      <c r="O23">
        <f t="shared" si="6"/>
        <v>1293270.328621736</v>
      </c>
      <c r="P23">
        <f t="shared" si="6"/>
        <v>1293270.328621736</v>
      </c>
      <c r="Q23">
        <f t="shared" si="6"/>
        <v>1293270.328621736</v>
      </c>
      <c r="R23">
        <f t="shared" si="6"/>
        <v>1293270.328621736</v>
      </c>
      <c r="S23">
        <f t="shared" si="6"/>
        <v>1293270.328621736</v>
      </c>
      <c r="T23">
        <f t="shared" si="6"/>
        <v>0</v>
      </c>
      <c r="U23">
        <f t="shared" si="6"/>
        <v>2348111.211598393</v>
      </c>
      <c r="V23">
        <f t="shared" si="6"/>
        <v>1054840.882976657</v>
      </c>
      <c r="W23">
        <f t="shared" si="6"/>
        <v>1054840.882976657</v>
      </c>
      <c r="X23">
        <f t="shared" si="6"/>
        <v>1054840.882976657</v>
      </c>
      <c r="Y23">
        <f t="shared" si="6"/>
        <v>1293270.328621736</v>
      </c>
      <c r="Z23">
        <f t="shared" si="6"/>
        <v>1293270.328621736</v>
      </c>
      <c r="AA23">
        <f t="shared" si="6"/>
        <v>1293270.328621736</v>
      </c>
      <c r="AB23">
        <f t="shared" si="6"/>
        <v>1293270.328621736</v>
      </c>
      <c r="AC23">
        <f t="shared" si="6"/>
        <v>1531699.7742668153</v>
      </c>
      <c r="AD23">
        <f t="shared" si="6"/>
        <v>1531699.7742668153</v>
      </c>
      <c r="AE23">
        <f t="shared" si="6"/>
        <v>1531699.7742668153</v>
      </c>
      <c r="AF23">
        <f t="shared" si="6"/>
        <v>0</v>
      </c>
      <c r="AG23">
        <f t="shared" si="6"/>
        <v>3063399.5485336306</v>
      </c>
      <c r="AH23">
        <f t="shared" si="6"/>
        <v>1531699.7742668153</v>
      </c>
      <c r="AI23">
        <f t="shared" si="6"/>
        <v>1531699.7742668153</v>
      </c>
      <c r="AJ23">
        <f t="shared" si="6"/>
        <v>1531699.7742668153</v>
      </c>
      <c r="AK23">
        <f t="shared" si="6"/>
        <v>1293270.328621736</v>
      </c>
      <c r="AL23">
        <f t="shared" si="6"/>
        <v>1293270.328621736</v>
      </c>
      <c r="AM23">
        <f t="shared" si="6"/>
        <v>1293270.328621736</v>
      </c>
      <c r="AN23">
        <f t="shared" si="6"/>
        <v>1293270.328621736</v>
      </c>
      <c r="AO23">
        <f t="shared" si="6"/>
        <v>1293270.328621736</v>
      </c>
      <c r="AP23">
        <f t="shared" si="6"/>
        <v>1293270.328621736</v>
      </c>
      <c r="AQ23">
        <f t="shared" si="6"/>
        <v>1293270.328621736</v>
      </c>
      <c r="AR23">
        <f t="shared" si="6"/>
        <v>1293270.328621736</v>
      </c>
      <c r="AS23">
        <f t="shared" si="6"/>
        <v>1054840.882976657</v>
      </c>
      <c r="AT23">
        <f t="shared" si="6"/>
        <v>1054840.882976657</v>
      </c>
      <c r="AU23">
        <f t="shared" si="6"/>
        <v>1054840.882976657</v>
      </c>
      <c r="AV23">
        <f t="shared" si="6"/>
        <v>1054840.882976657</v>
      </c>
      <c r="AW23">
        <f t="shared" si="6"/>
        <v>1531699.7742668153</v>
      </c>
      <c r="AX23">
        <f t="shared" si="6"/>
        <v>1531699.7742668153</v>
      </c>
      <c r="AY23">
        <f t="shared" si="6"/>
        <v>1531699.7742668153</v>
      </c>
      <c r="AZ23" s="136">
        <f t="shared" si="5"/>
        <v>62832313.392088801</v>
      </c>
    </row>
    <row r="24" spans="1:52" s="108" customFormat="1">
      <c r="A24" s="158" t="s">
        <v>308</v>
      </c>
      <c r="B24" s="159">
        <v>1000</v>
      </c>
      <c r="C24" s="153" t="s">
        <v>293</v>
      </c>
      <c r="D24" s="104">
        <f>D$22*$B$24</f>
        <v>740079.24918291369</v>
      </c>
      <c r="E24" s="104">
        <f t="shared" ref="E24:AY24" si="7">E$22*$B$24</f>
        <v>717849.28884814377</v>
      </c>
      <c r="F24" s="104">
        <f t="shared" si="7"/>
        <v>717849.28884814377</v>
      </c>
      <c r="G24" s="104">
        <f t="shared" si="7"/>
        <v>717849.28884814377</v>
      </c>
      <c r="H24" s="104">
        <f t="shared" si="7"/>
        <v>0</v>
      </c>
      <c r="I24" s="104">
        <f t="shared" si="7"/>
        <v>1435698.5776962875</v>
      </c>
      <c r="J24" s="104">
        <f t="shared" si="7"/>
        <v>717849.28884814377</v>
      </c>
      <c r="K24" s="104">
        <f t="shared" si="7"/>
        <v>717849.28884814377</v>
      </c>
      <c r="L24" s="104">
        <f t="shared" si="7"/>
        <v>717849.28884814377</v>
      </c>
      <c r="M24" s="104">
        <f t="shared" si="7"/>
        <v>717849.28884814377</v>
      </c>
      <c r="N24" s="104">
        <f t="shared" si="7"/>
        <v>717849.28884814377</v>
      </c>
      <c r="O24" s="104">
        <f t="shared" si="7"/>
        <v>717849.28884814377</v>
      </c>
      <c r="P24" s="104">
        <f t="shared" si="7"/>
        <v>717849.28884814377</v>
      </c>
      <c r="Q24" s="104">
        <f t="shared" si="7"/>
        <v>717849.28884814377</v>
      </c>
      <c r="R24" s="104">
        <f t="shared" si="7"/>
        <v>717849.28884814377</v>
      </c>
      <c r="S24" s="104">
        <f t="shared" si="7"/>
        <v>717849.28884814377</v>
      </c>
      <c r="T24" s="104">
        <f t="shared" si="7"/>
        <v>0</v>
      </c>
      <c r="U24" s="104">
        <f t="shared" si="7"/>
        <v>1303354.7017031054</v>
      </c>
      <c r="V24" s="104">
        <f t="shared" si="7"/>
        <v>585505.41285496147</v>
      </c>
      <c r="W24" s="104">
        <f t="shared" si="7"/>
        <v>585505.41285496147</v>
      </c>
      <c r="X24" s="104">
        <f t="shared" si="7"/>
        <v>585505.41285496147</v>
      </c>
      <c r="Y24" s="104">
        <f t="shared" si="7"/>
        <v>717849.28884814377</v>
      </c>
      <c r="Z24" s="104">
        <f t="shared" si="7"/>
        <v>717849.28884814377</v>
      </c>
      <c r="AA24" s="104">
        <f t="shared" si="7"/>
        <v>717849.28884814377</v>
      </c>
      <c r="AB24" s="104">
        <f t="shared" si="7"/>
        <v>717849.28884814377</v>
      </c>
      <c r="AC24" s="104">
        <f t="shared" si="7"/>
        <v>850193.16484132619</v>
      </c>
      <c r="AD24" s="104">
        <f t="shared" si="7"/>
        <v>850193.16484132619</v>
      </c>
      <c r="AE24" s="104">
        <f t="shared" si="7"/>
        <v>850193.16484132619</v>
      </c>
      <c r="AF24" s="104">
        <f t="shared" si="7"/>
        <v>0</v>
      </c>
      <c r="AG24" s="104">
        <f t="shared" si="7"/>
        <v>1700386.3296826524</v>
      </c>
      <c r="AH24" s="104">
        <f t="shared" si="7"/>
        <v>850193.16484132619</v>
      </c>
      <c r="AI24" s="104">
        <f t="shared" si="7"/>
        <v>850193.16484132619</v>
      </c>
      <c r="AJ24" s="104">
        <f t="shared" si="7"/>
        <v>850193.16484132619</v>
      </c>
      <c r="AK24" s="104">
        <f t="shared" si="7"/>
        <v>717849.28884814377</v>
      </c>
      <c r="AL24" s="104">
        <f t="shared" si="7"/>
        <v>717849.28884814377</v>
      </c>
      <c r="AM24" s="104">
        <f t="shared" si="7"/>
        <v>717849.28884814377</v>
      </c>
      <c r="AN24" s="104">
        <f t="shared" si="7"/>
        <v>717849.28884814377</v>
      </c>
      <c r="AO24" s="104">
        <f t="shared" si="7"/>
        <v>717849.28884814377</v>
      </c>
      <c r="AP24" s="104">
        <f t="shared" si="7"/>
        <v>717849.28884814377</v>
      </c>
      <c r="AQ24" s="104">
        <f t="shared" si="7"/>
        <v>717849.28884814377</v>
      </c>
      <c r="AR24" s="104">
        <f t="shared" si="7"/>
        <v>717849.28884814377</v>
      </c>
      <c r="AS24" s="104">
        <f t="shared" si="7"/>
        <v>585505.41285496147</v>
      </c>
      <c r="AT24" s="104">
        <f t="shared" si="7"/>
        <v>585505.41285496147</v>
      </c>
      <c r="AU24" s="104">
        <f t="shared" si="7"/>
        <v>585505.41285496147</v>
      </c>
      <c r="AV24" s="104">
        <f t="shared" si="7"/>
        <v>585505.41285496147</v>
      </c>
      <c r="AW24" s="104">
        <f t="shared" si="7"/>
        <v>850193.16484132619</v>
      </c>
      <c r="AX24" s="104">
        <f t="shared" si="7"/>
        <v>850193.16484132619</v>
      </c>
      <c r="AY24" s="104">
        <f t="shared" si="7"/>
        <v>850193.16484132619</v>
      </c>
      <c r="AZ24" s="138">
        <f t="shared" si="5"/>
        <v>34876027.453025222</v>
      </c>
    </row>
    <row r="25" spans="1:52">
      <c r="C25" s="135"/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5"/>
      <c r="Q25" s="135"/>
      <c r="R25" s="135"/>
      <c r="S25" s="135"/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5"/>
      <c r="AG25" s="135"/>
      <c r="AH25" s="135"/>
      <c r="AI25" s="135"/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5"/>
      <c r="AW25" s="135"/>
      <c r="AX25" s="135"/>
      <c r="AY25" s="135"/>
      <c r="AZ25" s="104"/>
    </row>
    <row r="26" spans="1:52">
      <c r="A26" s="160" t="s">
        <v>18</v>
      </c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104"/>
      <c r="AM26" s="104"/>
      <c r="AN26" s="104"/>
      <c r="AO26" s="104"/>
      <c r="AP26" s="104"/>
      <c r="AQ26" s="104"/>
      <c r="AR26" s="104"/>
      <c r="AS26" s="104"/>
      <c r="AT26" s="104"/>
      <c r="AU26" s="104"/>
      <c r="AV26" s="104"/>
      <c r="AW26" s="104"/>
      <c r="AX26" s="104"/>
      <c r="AY26" s="104"/>
      <c r="AZ26" s="104"/>
    </row>
    <row r="27" spans="1:52">
      <c r="B27" s="132" t="s">
        <v>309</v>
      </c>
      <c r="C27" s="121">
        <v>15</v>
      </c>
      <c r="D27" s="121">
        <f>C$27-C$28+C$29</f>
        <v>0</v>
      </c>
      <c r="E27" s="121">
        <f t="shared" ref="E27:AY27" si="8">D27-D28+D29</f>
        <v>15</v>
      </c>
      <c r="F27" s="121">
        <f t="shared" si="8"/>
        <v>0</v>
      </c>
      <c r="G27" s="121">
        <f t="shared" si="8"/>
        <v>15</v>
      </c>
      <c r="H27" s="121">
        <f t="shared" si="8"/>
        <v>0</v>
      </c>
      <c r="I27" s="121">
        <f t="shared" si="8"/>
        <v>15</v>
      </c>
      <c r="J27" s="121">
        <f t="shared" si="8"/>
        <v>0</v>
      </c>
      <c r="K27" s="121">
        <f t="shared" si="8"/>
        <v>15</v>
      </c>
      <c r="L27" s="121">
        <f t="shared" si="8"/>
        <v>0</v>
      </c>
      <c r="M27" s="121">
        <f t="shared" si="8"/>
        <v>15</v>
      </c>
      <c r="N27" s="121">
        <f t="shared" si="8"/>
        <v>0</v>
      </c>
      <c r="O27" s="121">
        <f t="shared" si="8"/>
        <v>15</v>
      </c>
      <c r="P27" s="121">
        <f t="shared" si="8"/>
        <v>0</v>
      </c>
      <c r="Q27" s="121">
        <f t="shared" si="8"/>
        <v>15</v>
      </c>
      <c r="R27" s="121">
        <f t="shared" si="8"/>
        <v>0</v>
      </c>
      <c r="S27" s="121">
        <f t="shared" si="8"/>
        <v>15</v>
      </c>
      <c r="T27" s="121">
        <f t="shared" si="8"/>
        <v>0</v>
      </c>
      <c r="U27" s="121">
        <f t="shared" si="8"/>
        <v>15</v>
      </c>
      <c r="V27" s="121">
        <f t="shared" si="8"/>
        <v>0</v>
      </c>
      <c r="W27" s="121">
        <f t="shared" si="8"/>
        <v>15</v>
      </c>
      <c r="X27" s="121">
        <f t="shared" si="8"/>
        <v>0</v>
      </c>
      <c r="Y27" s="121">
        <f t="shared" si="8"/>
        <v>15</v>
      </c>
      <c r="Z27" s="121">
        <f t="shared" si="8"/>
        <v>0</v>
      </c>
      <c r="AA27" s="121">
        <f t="shared" si="8"/>
        <v>15</v>
      </c>
      <c r="AB27" s="121">
        <f t="shared" si="8"/>
        <v>0</v>
      </c>
      <c r="AC27" s="121">
        <f t="shared" si="8"/>
        <v>15</v>
      </c>
      <c r="AD27" s="121">
        <f t="shared" si="8"/>
        <v>0</v>
      </c>
      <c r="AE27" s="121">
        <f t="shared" si="8"/>
        <v>15</v>
      </c>
      <c r="AF27" s="121">
        <f t="shared" si="8"/>
        <v>0</v>
      </c>
      <c r="AG27" s="121">
        <f t="shared" si="8"/>
        <v>15</v>
      </c>
      <c r="AH27" s="121">
        <f t="shared" si="8"/>
        <v>0</v>
      </c>
      <c r="AI27" s="121">
        <f t="shared" si="8"/>
        <v>15</v>
      </c>
      <c r="AJ27" s="121">
        <f t="shared" si="8"/>
        <v>0</v>
      </c>
      <c r="AK27" s="121">
        <f t="shared" si="8"/>
        <v>15</v>
      </c>
      <c r="AL27" s="121">
        <f t="shared" si="8"/>
        <v>0</v>
      </c>
      <c r="AM27" s="121">
        <f t="shared" si="8"/>
        <v>15</v>
      </c>
      <c r="AN27" s="121">
        <f t="shared" si="8"/>
        <v>0</v>
      </c>
      <c r="AO27" s="121">
        <f t="shared" si="8"/>
        <v>15</v>
      </c>
      <c r="AP27" s="121">
        <f t="shared" si="8"/>
        <v>0</v>
      </c>
      <c r="AQ27" s="121">
        <f t="shared" si="8"/>
        <v>15</v>
      </c>
      <c r="AR27" s="121">
        <f t="shared" si="8"/>
        <v>0</v>
      </c>
      <c r="AS27" s="121">
        <f t="shared" si="8"/>
        <v>15</v>
      </c>
      <c r="AT27" s="121">
        <f t="shared" si="8"/>
        <v>0</v>
      </c>
      <c r="AU27" s="121">
        <f t="shared" si="8"/>
        <v>15</v>
      </c>
      <c r="AV27" s="121">
        <f t="shared" si="8"/>
        <v>0</v>
      </c>
      <c r="AW27" s="121">
        <f t="shared" si="8"/>
        <v>15</v>
      </c>
      <c r="AX27" s="121">
        <f t="shared" si="8"/>
        <v>0</v>
      </c>
      <c r="AY27" s="161">
        <f t="shared" si="8"/>
        <v>15</v>
      </c>
      <c r="AZ27" s="104"/>
    </row>
    <row r="28" spans="1:52">
      <c r="B28" s="162" t="s">
        <v>310</v>
      </c>
      <c r="C28" s="108">
        <v>15</v>
      </c>
      <c r="D28" s="108">
        <v>0</v>
      </c>
      <c r="E28" s="108">
        <v>15</v>
      </c>
      <c r="F28" s="108">
        <v>0</v>
      </c>
      <c r="G28" s="108">
        <v>15</v>
      </c>
      <c r="H28" s="108">
        <v>0</v>
      </c>
      <c r="I28" s="108">
        <v>15</v>
      </c>
      <c r="J28" s="108">
        <v>0</v>
      </c>
      <c r="K28" s="108">
        <v>15</v>
      </c>
      <c r="L28" s="108">
        <v>0</v>
      </c>
      <c r="M28" s="108">
        <v>15</v>
      </c>
      <c r="N28" s="108">
        <v>0</v>
      </c>
      <c r="O28" s="108">
        <v>15</v>
      </c>
      <c r="P28" s="108">
        <v>0</v>
      </c>
      <c r="Q28" s="108">
        <v>15</v>
      </c>
      <c r="R28" s="108">
        <v>0</v>
      </c>
      <c r="S28" s="108">
        <v>15</v>
      </c>
      <c r="T28" s="108">
        <v>0</v>
      </c>
      <c r="U28" s="108">
        <v>15</v>
      </c>
      <c r="V28" s="108">
        <v>0</v>
      </c>
      <c r="W28" s="108">
        <v>15</v>
      </c>
      <c r="X28" s="108">
        <v>0</v>
      </c>
      <c r="Y28" s="108">
        <v>15</v>
      </c>
      <c r="Z28" s="108">
        <v>0</v>
      </c>
      <c r="AA28" s="108">
        <v>15</v>
      </c>
      <c r="AB28" s="108">
        <v>0</v>
      </c>
      <c r="AC28" s="108">
        <v>15</v>
      </c>
      <c r="AD28" s="108">
        <v>0</v>
      </c>
      <c r="AE28" s="108">
        <v>15</v>
      </c>
      <c r="AF28" s="108">
        <v>0</v>
      </c>
      <c r="AG28" s="108">
        <v>15</v>
      </c>
      <c r="AH28" s="108">
        <v>0</v>
      </c>
      <c r="AI28" s="108">
        <v>15</v>
      </c>
      <c r="AJ28" s="108">
        <v>0</v>
      </c>
      <c r="AK28" s="108">
        <v>15</v>
      </c>
      <c r="AL28" s="108">
        <v>0</v>
      </c>
      <c r="AM28" s="108">
        <v>15</v>
      </c>
      <c r="AN28" s="108">
        <v>0</v>
      </c>
      <c r="AO28" s="108">
        <v>15</v>
      </c>
      <c r="AP28" s="108">
        <v>0</v>
      </c>
      <c r="AQ28" s="108">
        <v>15</v>
      </c>
      <c r="AR28" s="108">
        <v>0</v>
      </c>
      <c r="AS28" s="108">
        <v>15</v>
      </c>
      <c r="AT28" s="108">
        <v>0</v>
      </c>
      <c r="AU28" s="108">
        <v>15</v>
      </c>
      <c r="AV28" s="108">
        <v>0</v>
      </c>
      <c r="AW28" s="108">
        <v>15</v>
      </c>
      <c r="AX28" s="108">
        <v>0</v>
      </c>
      <c r="AY28" s="163">
        <v>15</v>
      </c>
      <c r="AZ28" s="104"/>
    </row>
    <row r="29" spans="1:52">
      <c r="B29" s="133" t="s">
        <v>311</v>
      </c>
      <c r="C29" s="122">
        <v>0</v>
      </c>
      <c r="D29" s="122">
        <f>C$28</f>
        <v>15</v>
      </c>
      <c r="E29" s="122">
        <f t="shared" ref="E29:AY29" si="9">D$28</f>
        <v>0</v>
      </c>
      <c r="F29" s="122">
        <f t="shared" si="9"/>
        <v>15</v>
      </c>
      <c r="G29" s="122">
        <f t="shared" si="9"/>
        <v>0</v>
      </c>
      <c r="H29" s="122">
        <f t="shared" si="9"/>
        <v>15</v>
      </c>
      <c r="I29" s="122">
        <f t="shared" si="9"/>
        <v>0</v>
      </c>
      <c r="J29" s="122">
        <f t="shared" si="9"/>
        <v>15</v>
      </c>
      <c r="K29" s="122">
        <f t="shared" si="9"/>
        <v>0</v>
      </c>
      <c r="L29" s="122">
        <f t="shared" si="9"/>
        <v>15</v>
      </c>
      <c r="M29" s="122">
        <f t="shared" si="9"/>
        <v>0</v>
      </c>
      <c r="N29" s="122">
        <f t="shared" si="9"/>
        <v>15</v>
      </c>
      <c r="O29" s="122">
        <f t="shared" si="9"/>
        <v>0</v>
      </c>
      <c r="P29" s="122">
        <f t="shared" si="9"/>
        <v>15</v>
      </c>
      <c r="Q29" s="122">
        <f t="shared" si="9"/>
        <v>0</v>
      </c>
      <c r="R29" s="122">
        <f t="shared" si="9"/>
        <v>15</v>
      </c>
      <c r="S29" s="122">
        <f t="shared" si="9"/>
        <v>0</v>
      </c>
      <c r="T29" s="122">
        <f t="shared" si="9"/>
        <v>15</v>
      </c>
      <c r="U29" s="122">
        <f t="shared" si="9"/>
        <v>0</v>
      </c>
      <c r="V29" s="122">
        <f t="shared" si="9"/>
        <v>15</v>
      </c>
      <c r="W29" s="122">
        <f t="shared" si="9"/>
        <v>0</v>
      </c>
      <c r="X29" s="122">
        <f t="shared" si="9"/>
        <v>15</v>
      </c>
      <c r="Y29" s="122">
        <f t="shared" si="9"/>
        <v>0</v>
      </c>
      <c r="Z29" s="122">
        <f t="shared" si="9"/>
        <v>15</v>
      </c>
      <c r="AA29" s="122">
        <f t="shared" si="9"/>
        <v>0</v>
      </c>
      <c r="AB29" s="122">
        <f t="shared" si="9"/>
        <v>15</v>
      </c>
      <c r="AC29" s="122">
        <f t="shared" si="9"/>
        <v>0</v>
      </c>
      <c r="AD29" s="122">
        <f t="shared" si="9"/>
        <v>15</v>
      </c>
      <c r="AE29" s="122">
        <f t="shared" si="9"/>
        <v>0</v>
      </c>
      <c r="AF29" s="122">
        <f t="shared" si="9"/>
        <v>15</v>
      </c>
      <c r="AG29" s="122">
        <f t="shared" si="9"/>
        <v>0</v>
      </c>
      <c r="AH29" s="122">
        <f t="shared" si="9"/>
        <v>15</v>
      </c>
      <c r="AI29" s="122">
        <f t="shared" si="9"/>
        <v>0</v>
      </c>
      <c r="AJ29" s="122">
        <f t="shared" si="9"/>
        <v>15</v>
      </c>
      <c r="AK29" s="122">
        <f t="shared" si="9"/>
        <v>0</v>
      </c>
      <c r="AL29" s="122">
        <f t="shared" si="9"/>
        <v>15</v>
      </c>
      <c r="AM29" s="122">
        <f t="shared" si="9"/>
        <v>0</v>
      </c>
      <c r="AN29" s="122">
        <f t="shared" si="9"/>
        <v>15</v>
      </c>
      <c r="AO29" s="122">
        <f t="shared" si="9"/>
        <v>0</v>
      </c>
      <c r="AP29" s="122">
        <f t="shared" si="9"/>
        <v>15</v>
      </c>
      <c r="AQ29" s="122">
        <f t="shared" si="9"/>
        <v>0</v>
      </c>
      <c r="AR29" s="122">
        <f t="shared" si="9"/>
        <v>15</v>
      </c>
      <c r="AS29" s="122">
        <f t="shared" si="9"/>
        <v>0</v>
      </c>
      <c r="AT29" s="122">
        <f t="shared" si="9"/>
        <v>15</v>
      </c>
      <c r="AU29" s="122">
        <f t="shared" si="9"/>
        <v>0</v>
      </c>
      <c r="AV29" s="122">
        <f t="shared" si="9"/>
        <v>15</v>
      </c>
      <c r="AW29" s="122">
        <f t="shared" si="9"/>
        <v>0</v>
      </c>
      <c r="AX29" s="122">
        <f t="shared" si="9"/>
        <v>15</v>
      </c>
      <c r="AY29" s="164">
        <f t="shared" si="9"/>
        <v>0</v>
      </c>
      <c r="AZ29" s="165"/>
    </row>
    <row r="30" spans="1:52">
      <c r="A30" s="166" t="s">
        <v>312</v>
      </c>
      <c r="B30" s="141">
        <v>10</v>
      </c>
      <c r="C30" s="114" t="s">
        <v>293</v>
      </c>
      <c r="D30" s="114">
        <f>D$27*$B$30</f>
        <v>0</v>
      </c>
      <c r="E30" s="114">
        <f t="shared" ref="E30:AY30" si="10">E$27*$B$30</f>
        <v>150</v>
      </c>
      <c r="F30" s="114">
        <f t="shared" si="10"/>
        <v>0</v>
      </c>
      <c r="G30" s="114">
        <f t="shared" si="10"/>
        <v>150</v>
      </c>
      <c r="H30" s="114">
        <f t="shared" si="10"/>
        <v>0</v>
      </c>
      <c r="I30" s="114">
        <f t="shared" si="10"/>
        <v>150</v>
      </c>
      <c r="J30" s="114">
        <f t="shared" si="10"/>
        <v>0</v>
      </c>
      <c r="K30" s="114">
        <f t="shared" si="10"/>
        <v>150</v>
      </c>
      <c r="L30" s="114">
        <f t="shared" si="10"/>
        <v>0</v>
      </c>
      <c r="M30" s="114">
        <f t="shared" si="10"/>
        <v>150</v>
      </c>
      <c r="N30" s="114">
        <f t="shared" si="10"/>
        <v>0</v>
      </c>
      <c r="O30" s="114">
        <f t="shared" si="10"/>
        <v>150</v>
      </c>
      <c r="P30" s="114">
        <f t="shared" si="10"/>
        <v>0</v>
      </c>
      <c r="Q30" s="114">
        <f t="shared" si="10"/>
        <v>150</v>
      </c>
      <c r="R30" s="114">
        <f>R$27*$B$30</f>
        <v>0</v>
      </c>
      <c r="S30" s="114">
        <f t="shared" si="10"/>
        <v>150</v>
      </c>
      <c r="T30" s="114">
        <f t="shared" si="10"/>
        <v>0</v>
      </c>
      <c r="U30" s="114">
        <f t="shared" si="10"/>
        <v>150</v>
      </c>
      <c r="V30" s="114">
        <f t="shared" si="10"/>
        <v>0</v>
      </c>
      <c r="W30" s="114">
        <f t="shared" si="10"/>
        <v>150</v>
      </c>
      <c r="X30" s="114">
        <f t="shared" si="10"/>
        <v>0</v>
      </c>
      <c r="Y30" s="114">
        <f t="shared" si="10"/>
        <v>150</v>
      </c>
      <c r="Z30" s="114">
        <f t="shared" si="10"/>
        <v>0</v>
      </c>
      <c r="AA30" s="114">
        <f t="shared" si="10"/>
        <v>150</v>
      </c>
      <c r="AB30" s="114">
        <f t="shared" si="10"/>
        <v>0</v>
      </c>
      <c r="AC30" s="114">
        <f t="shared" si="10"/>
        <v>150</v>
      </c>
      <c r="AD30" s="114">
        <f t="shared" si="10"/>
        <v>0</v>
      </c>
      <c r="AE30" s="114">
        <f>AE$27*$B$30</f>
        <v>150</v>
      </c>
      <c r="AF30" s="114">
        <f t="shared" si="10"/>
        <v>0</v>
      </c>
      <c r="AG30" s="114">
        <f t="shared" si="10"/>
        <v>150</v>
      </c>
      <c r="AH30" s="114">
        <f t="shared" si="10"/>
        <v>0</v>
      </c>
      <c r="AI30" s="114">
        <f t="shared" si="10"/>
        <v>150</v>
      </c>
      <c r="AJ30" s="114">
        <f t="shared" si="10"/>
        <v>0</v>
      </c>
      <c r="AK30" s="114">
        <f t="shared" si="10"/>
        <v>150</v>
      </c>
      <c r="AL30" s="114">
        <f t="shared" si="10"/>
        <v>0</v>
      </c>
      <c r="AM30" s="114">
        <f t="shared" si="10"/>
        <v>150</v>
      </c>
      <c r="AN30" s="114">
        <f t="shared" si="10"/>
        <v>0</v>
      </c>
      <c r="AO30" s="114">
        <f t="shared" si="10"/>
        <v>150</v>
      </c>
      <c r="AP30" s="114">
        <f t="shared" si="10"/>
        <v>0</v>
      </c>
      <c r="AQ30" s="114">
        <f t="shared" si="10"/>
        <v>150</v>
      </c>
      <c r="AR30" s="114">
        <f t="shared" si="10"/>
        <v>0</v>
      </c>
      <c r="AS30" s="114">
        <f t="shared" si="10"/>
        <v>150</v>
      </c>
      <c r="AT30" s="114">
        <f t="shared" si="10"/>
        <v>0</v>
      </c>
      <c r="AU30" s="114">
        <f t="shared" si="10"/>
        <v>150</v>
      </c>
      <c r="AV30" s="114">
        <f t="shared" si="10"/>
        <v>0</v>
      </c>
      <c r="AW30" s="114">
        <f t="shared" si="10"/>
        <v>150</v>
      </c>
      <c r="AX30" s="114">
        <f t="shared" si="10"/>
        <v>0</v>
      </c>
      <c r="AY30" s="114">
        <f t="shared" si="10"/>
        <v>150</v>
      </c>
      <c r="AZ30" s="138">
        <f t="shared" si="5"/>
        <v>3600</v>
      </c>
    </row>
    <row r="32" spans="1:52">
      <c r="A32" s="1" t="s">
        <v>300</v>
      </c>
    </row>
    <row r="33" spans="1:52">
      <c r="A33" s="132" t="s">
        <v>22</v>
      </c>
      <c r="B33" s="132" t="s">
        <v>341</v>
      </c>
      <c r="C33" s="121"/>
      <c r="D33" s="121">
        <f>D$21*shipping_manufacturing!$F$27/100</f>
        <v>33.944671593702722</v>
      </c>
      <c r="E33" s="121">
        <f>E$21*shipping_manufacturing!$F$27/100</f>
        <v>32.925066323134864</v>
      </c>
      <c r="F33" s="121">
        <f>F$21*shipping_manufacturing!$F$27/100</f>
        <v>32.925066323134864</v>
      </c>
      <c r="G33" s="121">
        <f>G$21*shipping_manufacturing!$F$27/100</f>
        <v>32.925066323134864</v>
      </c>
      <c r="H33" s="121">
        <f>H$21*shipping_manufacturing!$F$27/100</f>
        <v>0</v>
      </c>
      <c r="I33" s="121">
        <f>I$21*shipping_manufacturing!$F$27/100</f>
        <v>65.850132646269728</v>
      </c>
      <c r="J33" s="121">
        <f>J$21*shipping_manufacturing!$F$27/100</f>
        <v>32.925066323134864</v>
      </c>
      <c r="K33" s="121">
        <f>K$21*shipping_manufacturing!$F$27/100</f>
        <v>32.925066323134864</v>
      </c>
      <c r="L33" s="121">
        <f>L$21*shipping_manufacturing!$F$27/100</f>
        <v>32.925066323134864</v>
      </c>
      <c r="M33" s="121">
        <f>M$21*shipping_manufacturing!$F$27/100</f>
        <v>32.925066323134864</v>
      </c>
      <c r="N33" s="121">
        <f>N$21*shipping_manufacturing!$F$27/100</f>
        <v>32.925066323134864</v>
      </c>
      <c r="O33" s="121">
        <f>O$21*shipping_manufacturing!$F$27/100</f>
        <v>32.925066323134864</v>
      </c>
      <c r="P33" s="121">
        <f>P$21*shipping_manufacturing!$F$27/100</f>
        <v>32.925066323134864</v>
      </c>
      <c r="Q33" s="121">
        <f>Q$21*shipping_manufacturing!$F$27/100</f>
        <v>32.925066323134864</v>
      </c>
      <c r="R33" s="121">
        <f>R$21*shipping_manufacturing!$F$27/100</f>
        <v>32.925066323134864</v>
      </c>
      <c r="S33" s="121">
        <f>S$21*shipping_manufacturing!$F$27/100</f>
        <v>32.925066323134864</v>
      </c>
      <c r="T33" s="121">
        <f>T$21*shipping_manufacturing!$F$27/100</f>
        <v>0</v>
      </c>
      <c r="U33" s="121">
        <f>U$21*shipping_manufacturing!$F$27/100</f>
        <v>59.780013246237758</v>
      </c>
      <c r="V33" s="121">
        <f>V$21*shipping_manufacturing!$F$27/100</f>
        <v>26.854946923102901</v>
      </c>
      <c r="W33" s="121">
        <f>W$21*shipping_manufacturing!$F$27/100</f>
        <v>26.854946923102901</v>
      </c>
      <c r="X33" s="121">
        <f>X$21*shipping_manufacturing!$F$27/100</f>
        <v>26.854946923102901</v>
      </c>
      <c r="Y33" s="121">
        <f>Y$21*shipping_manufacturing!$F$27/100</f>
        <v>32.925066323134864</v>
      </c>
      <c r="Z33" s="121">
        <f>Z$21*shipping_manufacturing!$F$27/100</f>
        <v>32.925066323134864</v>
      </c>
      <c r="AA33" s="121">
        <f>AA$21*shipping_manufacturing!$F$27/100</f>
        <v>32.925066323134864</v>
      </c>
      <c r="AB33" s="121">
        <f>AB$21*shipping_manufacturing!$F$27/100</f>
        <v>32.925066323134864</v>
      </c>
      <c r="AC33" s="121">
        <f>AC$21*shipping_manufacturing!$F$27/100</f>
        <v>38.995185723166827</v>
      </c>
      <c r="AD33" s="121">
        <f>AD$21*shipping_manufacturing!$F$27/100</f>
        <v>38.995185723166827</v>
      </c>
      <c r="AE33" s="121">
        <f>AE$21*shipping_manufacturing!$F$27/100</f>
        <v>38.995185723166827</v>
      </c>
      <c r="AF33" s="121">
        <f>AF$21*shipping_manufacturing!$F$27/100</f>
        <v>0</v>
      </c>
      <c r="AG33" s="121">
        <f>AG$21*shipping_manufacturing!$F$27/100</f>
        <v>77.990371446333654</v>
      </c>
      <c r="AH33" s="121">
        <f>AH$21*shipping_manufacturing!$F$27/100</f>
        <v>38.995185723166827</v>
      </c>
      <c r="AI33" s="121">
        <f>AI$21*shipping_manufacturing!$F$27/100</f>
        <v>38.995185723166827</v>
      </c>
      <c r="AJ33" s="121">
        <f>AJ$21*shipping_manufacturing!$F$27/100</f>
        <v>38.995185723166827</v>
      </c>
      <c r="AK33" s="121">
        <f>AK$21*shipping_manufacturing!$F$27/100</f>
        <v>32.925066323134864</v>
      </c>
      <c r="AL33" s="121">
        <f>AL$21*shipping_manufacturing!$F$27/100</f>
        <v>32.925066323134864</v>
      </c>
      <c r="AM33" s="121">
        <f>AM$21*shipping_manufacturing!$F$27/100</f>
        <v>32.925066323134864</v>
      </c>
      <c r="AN33" s="121">
        <f>AN$21*shipping_manufacturing!$F$27/100</f>
        <v>32.925066323134864</v>
      </c>
      <c r="AO33" s="121">
        <f>AO$21*shipping_manufacturing!$F$27/100</f>
        <v>32.925066323134864</v>
      </c>
      <c r="AP33" s="121">
        <f>AP$21*shipping_manufacturing!$F$27/100</f>
        <v>32.925066323134864</v>
      </c>
      <c r="AQ33" s="121">
        <f>AQ$21*shipping_manufacturing!$F$27/100</f>
        <v>32.925066323134864</v>
      </c>
      <c r="AR33" s="121">
        <f>AR$21*shipping_manufacturing!$F$27/100</f>
        <v>32.925066323134864</v>
      </c>
      <c r="AS33" s="121">
        <f>AS$21*shipping_manufacturing!$F$27/100</f>
        <v>26.854946923102901</v>
      </c>
      <c r="AT33" s="121">
        <f>AT$21*shipping_manufacturing!$F$27/100</f>
        <v>26.854946923102901</v>
      </c>
      <c r="AU33" s="121">
        <f>AU$21*shipping_manufacturing!$F$27/100</f>
        <v>26.854946923102901</v>
      </c>
      <c r="AV33" s="121">
        <f>AV$21*shipping_manufacturing!$F$27/100</f>
        <v>26.854946923102901</v>
      </c>
      <c r="AW33" s="121">
        <f>AW$21*shipping_manufacturing!$F$27/100</f>
        <v>38.995185723166827</v>
      </c>
      <c r="AX33" s="121">
        <f>AX$21*shipping_manufacturing!$F$27/100</f>
        <v>38.995185723166827</v>
      </c>
      <c r="AY33" s="121">
        <f>AY$21*shipping_manufacturing!$F$27/100</f>
        <v>38.995185723166827</v>
      </c>
    </row>
    <row r="34" spans="1:52">
      <c r="A34" s="110" t="s">
        <v>340</v>
      </c>
      <c r="B34" s="162" t="s">
        <v>342</v>
      </c>
      <c r="C34" s="108"/>
      <c r="D34" s="108">
        <f>D$22*shipping_manufacturing!$G$27/100</f>
        <v>25.964090395391914</v>
      </c>
      <c r="E34" s="108">
        <f>E$22*shipping_manufacturing!$G$27/100</f>
        <v>25.184199998174073</v>
      </c>
      <c r="F34" s="108">
        <f>F$22*shipping_manufacturing!$G$27/100</f>
        <v>25.184199998174073</v>
      </c>
      <c r="G34" s="108">
        <f>G$22*shipping_manufacturing!$G$27/100</f>
        <v>25.184199998174073</v>
      </c>
      <c r="H34" s="108">
        <f>H$22*shipping_manufacturing!$G$27/100</f>
        <v>0</v>
      </c>
      <c r="I34" s="108">
        <f>I$22*shipping_manufacturing!$G$27/100</f>
        <v>50.368399996348145</v>
      </c>
      <c r="J34" s="108">
        <f>J$22*shipping_manufacturing!$G$27/100</f>
        <v>25.184199998174073</v>
      </c>
      <c r="K34" s="108">
        <f>K$22*shipping_manufacturing!$G$27/100</f>
        <v>25.184199998174073</v>
      </c>
      <c r="L34" s="108">
        <f>L$22*shipping_manufacturing!$G$27/100</f>
        <v>25.184199998174073</v>
      </c>
      <c r="M34" s="108">
        <f>M$22*shipping_manufacturing!$G$27/100</f>
        <v>25.184199998174073</v>
      </c>
      <c r="N34" s="108">
        <f>N$22*shipping_manufacturing!$G$27/100</f>
        <v>25.184199998174073</v>
      </c>
      <c r="O34" s="108">
        <f>O$22*shipping_manufacturing!$G$27/100</f>
        <v>25.184199998174073</v>
      </c>
      <c r="P34" s="108">
        <f>P$22*shipping_manufacturing!$G$27/100</f>
        <v>25.184199998174073</v>
      </c>
      <c r="Q34" s="108">
        <f>Q$22*shipping_manufacturing!$G$27/100</f>
        <v>25.184199998174073</v>
      </c>
      <c r="R34" s="108">
        <f>R$22*shipping_manufacturing!$G$27/100</f>
        <v>25.184199998174073</v>
      </c>
      <c r="S34" s="108">
        <f>S$22*shipping_manufacturing!$G$27/100</f>
        <v>25.184199998174073</v>
      </c>
      <c r="T34" s="108">
        <f>T$22*shipping_manufacturing!$G$27/100</f>
        <v>0</v>
      </c>
      <c r="U34" s="108">
        <f>U$22*shipping_manufacturing!$G$27/100</f>
        <v>45.725399448288933</v>
      </c>
      <c r="V34" s="108">
        <f>V$22*shipping_manufacturing!$G$27/100</f>
        <v>20.541199450114856</v>
      </c>
      <c r="W34" s="108">
        <f>W$22*shipping_manufacturing!$G$27/100</f>
        <v>20.541199450114856</v>
      </c>
      <c r="X34" s="108">
        <f>X$22*shipping_manufacturing!$G$27/100</f>
        <v>20.541199450114856</v>
      </c>
      <c r="Y34" s="108">
        <f>Y$22*shipping_manufacturing!$G$27/100</f>
        <v>25.184199998174073</v>
      </c>
      <c r="Z34" s="108">
        <f>Z$22*shipping_manufacturing!$G$27/100</f>
        <v>25.184199998174073</v>
      </c>
      <c r="AA34" s="108">
        <f>AA$22*shipping_manufacturing!$G$27/100</f>
        <v>25.184199998174073</v>
      </c>
      <c r="AB34" s="108">
        <f>AB$22*shipping_manufacturing!$G$27/100</f>
        <v>25.184199998174073</v>
      </c>
      <c r="AC34" s="108">
        <f>AC$22*shipping_manufacturing!$G$27/100</f>
        <v>29.827200546233293</v>
      </c>
      <c r="AD34" s="108">
        <f>AD$22*shipping_manufacturing!$G$27/100</f>
        <v>29.827200546233293</v>
      </c>
      <c r="AE34" s="108">
        <f>AE$22*shipping_manufacturing!$G$27/100</f>
        <v>29.827200546233293</v>
      </c>
      <c r="AF34" s="108">
        <f>AF$22*shipping_manufacturing!$G$27/100</f>
        <v>0</v>
      </c>
      <c r="AG34" s="108">
        <f>AG$22*shipping_manufacturing!$G$27/100</f>
        <v>59.654401092466586</v>
      </c>
      <c r="AH34" s="108">
        <f>AH$22*shipping_manufacturing!$G$27/100</f>
        <v>29.827200546233293</v>
      </c>
      <c r="AI34" s="108">
        <f>AI$22*shipping_manufacturing!$G$27/100</f>
        <v>29.827200546233293</v>
      </c>
      <c r="AJ34" s="108">
        <f>AJ$22*shipping_manufacturing!$G$27/100</f>
        <v>29.827200546233293</v>
      </c>
      <c r="AK34" s="108">
        <f>AK$22*shipping_manufacturing!$G$27/100</f>
        <v>25.184199998174073</v>
      </c>
      <c r="AL34" s="108">
        <f>AL$22*shipping_manufacturing!$G$27/100</f>
        <v>25.184199998174073</v>
      </c>
      <c r="AM34" s="108">
        <f>AM$22*shipping_manufacturing!$G$27/100</f>
        <v>25.184199998174073</v>
      </c>
      <c r="AN34" s="108">
        <f>AN$22*shipping_manufacturing!$G$27/100</f>
        <v>25.184199998174073</v>
      </c>
      <c r="AO34" s="108">
        <f>AO$22*shipping_manufacturing!$G$27/100</f>
        <v>25.184199998174073</v>
      </c>
      <c r="AP34" s="108">
        <f>AP$22*shipping_manufacturing!$G$27/100</f>
        <v>25.184199998174073</v>
      </c>
      <c r="AQ34" s="108">
        <f>AQ$22*shipping_manufacturing!$G$27/100</f>
        <v>25.184199998174073</v>
      </c>
      <c r="AR34" s="108">
        <f>AR$22*shipping_manufacturing!$G$27/100</f>
        <v>25.184199998174073</v>
      </c>
      <c r="AS34" s="108">
        <f>AS$22*shipping_manufacturing!$G$27/100</f>
        <v>20.541199450114856</v>
      </c>
      <c r="AT34" s="108">
        <f>AT$22*shipping_manufacturing!$G$27/100</f>
        <v>20.541199450114856</v>
      </c>
      <c r="AU34" s="108">
        <f>AU$22*shipping_manufacturing!$G$27/100</f>
        <v>20.541199450114856</v>
      </c>
      <c r="AV34" s="108">
        <f>AV$22*shipping_manufacturing!$G$27/100</f>
        <v>20.541199450114856</v>
      </c>
      <c r="AW34" s="108">
        <f>AW$22*shipping_manufacturing!$G$27/100</f>
        <v>29.827200546233293</v>
      </c>
      <c r="AX34" s="108">
        <f>AX$22*shipping_manufacturing!$G$27/100</f>
        <v>29.827200546233293</v>
      </c>
      <c r="AY34" s="108">
        <f>AY$22*shipping_manufacturing!$G$27/100</f>
        <v>29.827200546233293</v>
      </c>
    </row>
    <row r="35" spans="1:52">
      <c r="A35" s="108">
        <v>1245</v>
      </c>
      <c r="B35" s="162" t="s">
        <v>343</v>
      </c>
      <c r="C35" s="108"/>
      <c r="D35" s="108">
        <f>SUM(D33:D34)</f>
        <v>59.908761989094636</v>
      </c>
      <c r="E35" s="108">
        <f t="shared" ref="E35:AY35" si="11">SUM(E33:E34)</f>
        <v>58.109266321308937</v>
      </c>
      <c r="F35" s="108">
        <f t="shared" si="11"/>
        <v>58.109266321308937</v>
      </c>
      <c r="G35" s="108">
        <f t="shared" si="11"/>
        <v>58.109266321308937</v>
      </c>
      <c r="H35" s="108">
        <f t="shared" si="11"/>
        <v>0</v>
      </c>
      <c r="I35" s="108">
        <f t="shared" si="11"/>
        <v>116.21853264261787</v>
      </c>
      <c r="J35" s="108">
        <f t="shared" si="11"/>
        <v>58.109266321308937</v>
      </c>
      <c r="K35" s="108">
        <f t="shared" si="11"/>
        <v>58.109266321308937</v>
      </c>
      <c r="L35" s="108">
        <f t="shared" si="11"/>
        <v>58.109266321308937</v>
      </c>
      <c r="M35" s="108">
        <f t="shared" si="11"/>
        <v>58.109266321308937</v>
      </c>
      <c r="N35" s="108">
        <f t="shared" si="11"/>
        <v>58.109266321308937</v>
      </c>
      <c r="O35" s="108">
        <f t="shared" si="11"/>
        <v>58.109266321308937</v>
      </c>
      <c r="P35" s="108">
        <f t="shared" si="11"/>
        <v>58.109266321308937</v>
      </c>
      <c r="Q35" s="108">
        <f t="shared" si="11"/>
        <v>58.109266321308937</v>
      </c>
      <c r="R35" s="108">
        <f t="shared" si="11"/>
        <v>58.109266321308937</v>
      </c>
      <c r="S35" s="108">
        <f t="shared" si="11"/>
        <v>58.109266321308937</v>
      </c>
      <c r="T35" s="108">
        <f t="shared" si="11"/>
        <v>0</v>
      </c>
      <c r="U35" s="108">
        <f t="shared" si="11"/>
        <v>105.50541269452668</v>
      </c>
      <c r="V35" s="108">
        <f t="shared" si="11"/>
        <v>47.396146373217761</v>
      </c>
      <c r="W35" s="108">
        <f t="shared" si="11"/>
        <v>47.396146373217761</v>
      </c>
      <c r="X35" s="108">
        <f t="shared" si="11"/>
        <v>47.396146373217761</v>
      </c>
      <c r="Y35" s="108">
        <f t="shared" si="11"/>
        <v>58.109266321308937</v>
      </c>
      <c r="Z35" s="108">
        <f t="shared" si="11"/>
        <v>58.109266321308937</v>
      </c>
      <c r="AA35" s="108">
        <f t="shared" si="11"/>
        <v>58.109266321308937</v>
      </c>
      <c r="AB35" s="108">
        <f t="shared" si="11"/>
        <v>58.109266321308937</v>
      </c>
      <c r="AC35" s="108">
        <f t="shared" si="11"/>
        <v>68.822386269400113</v>
      </c>
      <c r="AD35" s="108">
        <f t="shared" si="11"/>
        <v>68.822386269400113</v>
      </c>
      <c r="AE35" s="108">
        <f t="shared" si="11"/>
        <v>68.822386269400113</v>
      </c>
      <c r="AF35" s="108">
        <f t="shared" si="11"/>
        <v>0</v>
      </c>
      <c r="AG35" s="108">
        <f t="shared" si="11"/>
        <v>137.64477253880023</v>
      </c>
      <c r="AH35" s="108">
        <f t="shared" si="11"/>
        <v>68.822386269400113</v>
      </c>
      <c r="AI35" s="108">
        <f t="shared" si="11"/>
        <v>68.822386269400113</v>
      </c>
      <c r="AJ35" s="108">
        <f t="shared" si="11"/>
        <v>68.822386269400113</v>
      </c>
      <c r="AK35" s="108">
        <f t="shared" si="11"/>
        <v>58.109266321308937</v>
      </c>
      <c r="AL35" s="108">
        <f t="shared" si="11"/>
        <v>58.109266321308937</v>
      </c>
      <c r="AM35" s="108">
        <f t="shared" si="11"/>
        <v>58.109266321308937</v>
      </c>
      <c r="AN35" s="108">
        <f t="shared" si="11"/>
        <v>58.109266321308937</v>
      </c>
      <c r="AO35" s="108">
        <f t="shared" si="11"/>
        <v>58.109266321308937</v>
      </c>
      <c r="AP35" s="108">
        <f t="shared" si="11"/>
        <v>58.109266321308937</v>
      </c>
      <c r="AQ35" s="108">
        <f t="shared" si="11"/>
        <v>58.109266321308937</v>
      </c>
      <c r="AR35" s="108">
        <f t="shared" si="11"/>
        <v>58.109266321308937</v>
      </c>
      <c r="AS35" s="108">
        <f t="shared" si="11"/>
        <v>47.396146373217761</v>
      </c>
      <c r="AT35" s="108">
        <f t="shared" si="11"/>
        <v>47.396146373217761</v>
      </c>
      <c r="AU35" s="108">
        <f t="shared" si="11"/>
        <v>47.396146373217761</v>
      </c>
      <c r="AV35" s="108">
        <f t="shared" si="11"/>
        <v>47.396146373217761</v>
      </c>
      <c r="AW35" s="108">
        <f t="shared" si="11"/>
        <v>68.822386269400113</v>
      </c>
      <c r="AX35" s="108">
        <f t="shared" si="11"/>
        <v>68.822386269400113</v>
      </c>
      <c r="AY35" s="108">
        <f t="shared" si="11"/>
        <v>68.822386269400113</v>
      </c>
    </row>
    <row r="36" spans="1:52">
      <c r="A36" s="108"/>
      <c r="B36" s="162" t="s">
        <v>344</v>
      </c>
      <c r="C36" s="108"/>
      <c r="D36" s="108"/>
      <c r="E36" s="108"/>
      <c r="F36" s="108"/>
      <c r="G36" s="108"/>
      <c r="H36" s="108"/>
      <c r="I36" s="108"/>
      <c r="J36" s="108"/>
      <c r="K36" s="108"/>
      <c r="L36" s="108"/>
      <c r="M36" s="108"/>
      <c r="N36" s="108"/>
      <c r="O36" s="108"/>
      <c r="P36" s="108"/>
      <c r="Q36" s="108"/>
      <c r="R36" s="108"/>
      <c r="S36" s="108"/>
      <c r="T36" s="108"/>
      <c r="U36" s="108"/>
      <c r="V36" s="108"/>
      <c r="W36" s="108"/>
      <c r="X36" s="108"/>
      <c r="Y36" s="108"/>
      <c r="Z36" s="108"/>
      <c r="AA36" s="108"/>
      <c r="AB36" s="108"/>
      <c r="AC36" s="108"/>
      <c r="AD36" s="108"/>
      <c r="AE36" s="108"/>
      <c r="AF36" s="108"/>
      <c r="AG36" s="108"/>
      <c r="AH36" s="108"/>
      <c r="AI36" s="108"/>
      <c r="AJ36" s="108"/>
      <c r="AK36" s="108"/>
      <c r="AL36" s="108"/>
      <c r="AM36" s="108"/>
      <c r="AN36" s="108"/>
      <c r="AO36" s="108"/>
      <c r="AP36" s="108"/>
      <c r="AQ36" s="108"/>
      <c r="AR36" s="108"/>
      <c r="AS36" s="108"/>
      <c r="AT36" s="108"/>
      <c r="AU36" s="108"/>
      <c r="AV36" s="108"/>
      <c r="AW36" s="108"/>
      <c r="AX36" s="108"/>
      <c r="AY36" s="108"/>
    </row>
    <row r="37" spans="1:52">
      <c r="A37" s="108"/>
      <c r="B37" s="162" t="s">
        <v>345</v>
      </c>
      <c r="C37" s="108"/>
      <c r="D37" s="108"/>
      <c r="E37" s="108"/>
      <c r="F37" s="108"/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108"/>
      <c r="X37" s="108"/>
      <c r="Y37" s="108"/>
      <c r="Z37" s="108"/>
      <c r="AA37" s="108"/>
      <c r="AB37" s="108"/>
      <c r="AC37" s="108"/>
      <c r="AD37" s="108"/>
      <c r="AE37" s="108"/>
      <c r="AF37" s="108"/>
      <c r="AG37" s="108"/>
      <c r="AH37" s="108"/>
      <c r="AI37" s="108"/>
      <c r="AJ37" s="108"/>
      <c r="AK37" s="108"/>
      <c r="AL37" s="108"/>
      <c r="AM37" s="108"/>
      <c r="AN37" s="108"/>
      <c r="AO37" s="108"/>
      <c r="AP37" s="108"/>
      <c r="AQ37" s="108"/>
      <c r="AR37" s="108"/>
      <c r="AS37" s="108"/>
      <c r="AT37" s="108"/>
      <c r="AU37" s="108"/>
      <c r="AV37" s="108"/>
      <c r="AW37" s="108"/>
      <c r="AX37" s="108"/>
      <c r="AY37" s="108"/>
    </row>
    <row r="38" spans="1:52">
      <c r="A38" s="108"/>
      <c r="B38" s="162" t="s">
        <v>346</v>
      </c>
      <c r="C38" s="108"/>
      <c r="D38" s="108"/>
      <c r="E38" s="108"/>
      <c r="F38" s="108"/>
      <c r="G38" s="108"/>
      <c r="H38" s="108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108"/>
      <c r="X38" s="108"/>
      <c r="Y38" s="108"/>
      <c r="Z38" s="108"/>
      <c r="AA38" s="108"/>
      <c r="AB38" s="108"/>
      <c r="AC38" s="108"/>
      <c r="AD38" s="108"/>
      <c r="AE38" s="108"/>
      <c r="AF38" s="108"/>
      <c r="AG38" s="108"/>
      <c r="AH38" s="108"/>
      <c r="AI38" s="108"/>
      <c r="AJ38" s="108"/>
      <c r="AK38" s="108"/>
      <c r="AL38" s="108"/>
      <c r="AM38" s="108"/>
      <c r="AN38" s="108"/>
      <c r="AO38" s="108"/>
      <c r="AP38" s="108"/>
      <c r="AQ38" s="108"/>
      <c r="AR38" s="108"/>
      <c r="AS38" s="108"/>
      <c r="AT38" s="108"/>
      <c r="AU38" s="108"/>
      <c r="AV38" s="108"/>
      <c r="AW38" s="108"/>
      <c r="AX38" s="108"/>
      <c r="AY38" s="108"/>
    </row>
    <row r="39" spans="1:52">
      <c r="A39" s="108"/>
      <c r="B39" s="162" t="s">
        <v>347</v>
      </c>
      <c r="C39" s="108"/>
      <c r="D39" s="108">
        <f>D33-D36</f>
        <v>33.944671593702722</v>
      </c>
      <c r="E39" s="108">
        <f t="shared" ref="E39:AY39" si="12">E33-E36</f>
        <v>32.925066323134864</v>
      </c>
      <c r="F39" s="108">
        <f t="shared" si="12"/>
        <v>32.925066323134864</v>
      </c>
      <c r="G39" s="108">
        <f t="shared" si="12"/>
        <v>32.925066323134864</v>
      </c>
      <c r="H39" s="108">
        <f t="shared" si="12"/>
        <v>0</v>
      </c>
      <c r="I39" s="108">
        <f t="shared" si="12"/>
        <v>65.850132646269728</v>
      </c>
      <c r="J39" s="108">
        <f t="shared" si="12"/>
        <v>32.925066323134864</v>
      </c>
      <c r="K39" s="108">
        <f t="shared" si="12"/>
        <v>32.925066323134864</v>
      </c>
      <c r="L39" s="108">
        <f t="shared" si="12"/>
        <v>32.925066323134864</v>
      </c>
      <c r="M39" s="108">
        <f t="shared" si="12"/>
        <v>32.925066323134864</v>
      </c>
      <c r="N39" s="108">
        <f t="shared" si="12"/>
        <v>32.925066323134864</v>
      </c>
      <c r="O39" s="108">
        <f t="shared" si="12"/>
        <v>32.925066323134864</v>
      </c>
      <c r="P39" s="108">
        <f t="shared" si="12"/>
        <v>32.925066323134864</v>
      </c>
      <c r="Q39" s="108">
        <f t="shared" si="12"/>
        <v>32.925066323134864</v>
      </c>
      <c r="R39" s="108">
        <f t="shared" si="12"/>
        <v>32.925066323134864</v>
      </c>
      <c r="S39" s="108">
        <f t="shared" si="12"/>
        <v>32.925066323134864</v>
      </c>
      <c r="T39" s="108">
        <f t="shared" si="12"/>
        <v>0</v>
      </c>
      <c r="U39" s="108">
        <f t="shared" si="12"/>
        <v>59.780013246237758</v>
      </c>
      <c r="V39" s="108">
        <f t="shared" si="12"/>
        <v>26.854946923102901</v>
      </c>
      <c r="W39" s="108">
        <f t="shared" si="12"/>
        <v>26.854946923102901</v>
      </c>
      <c r="X39" s="108">
        <f t="shared" si="12"/>
        <v>26.854946923102901</v>
      </c>
      <c r="Y39" s="108">
        <f t="shared" si="12"/>
        <v>32.925066323134864</v>
      </c>
      <c r="Z39" s="108">
        <f t="shared" si="12"/>
        <v>32.925066323134864</v>
      </c>
      <c r="AA39" s="108">
        <f t="shared" si="12"/>
        <v>32.925066323134864</v>
      </c>
      <c r="AB39" s="108">
        <f t="shared" si="12"/>
        <v>32.925066323134864</v>
      </c>
      <c r="AC39" s="108">
        <f t="shared" si="12"/>
        <v>38.995185723166827</v>
      </c>
      <c r="AD39" s="108">
        <f t="shared" si="12"/>
        <v>38.995185723166827</v>
      </c>
      <c r="AE39" s="108">
        <f t="shared" si="12"/>
        <v>38.995185723166827</v>
      </c>
      <c r="AF39" s="108">
        <f t="shared" si="12"/>
        <v>0</v>
      </c>
      <c r="AG39" s="108">
        <f t="shared" si="12"/>
        <v>77.990371446333654</v>
      </c>
      <c r="AH39" s="108">
        <f t="shared" si="12"/>
        <v>38.995185723166827</v>
      </c>
      <c r="AI39" s="108">
        <f t="shared" si="12"/>
        <v>38.995185723166827</v>
      </c>
      <c r="AJ39" s="108">
        <f t="shared" si="12"/>
        <v>38.995185723166827</v>
      </c>
      <c r="AK39" s="108">
        <f t="shared" si="12"/>
        <v>32.925066323134864</v>
      </c>
      <c r="AL39" s="108">
        <f t="shared" si="12"/>
        <v>32.925066323134864</v>
      </c>
      <c r="AM39" s="108">
        <f t="shared" si="12"/>
        <v>32.925066323134864</v>
      </c>
      <c r="AN39" s="108">
        <f t="shared" si="12"/>
        <v>32.925066323134864</v>
      </c>
      <c r="AO39" s="108">
        <f t="shared" si="12"/>
        <v>32.925066323134864</v>
      </c>
      <c r="AP39" s="108">
        <f t="shared" si="12"/>
        <v>32.925066323134864</v>
      </c>
      <c r="AQ39" s="108">
        <f t="shared" si="12"/>
        <v>32.925066323134864</v>
      </c>
      <c r="AR39" s="108">
        <f t="shared" si="12"/>
        <v>32.925066323134864</v>
      </c>
      <c r="AS39" s="108">
        <f t="shared" si="12"/>
        <v>26.854946923102901</v>
      </c>
      <c r="AT39" s="108">
        <f t="shared" si="12"/>
        <v>26.854946923102901</v>
      </c>
      <c r="AU39" s="108">
        <f t="shared" si="12"/>
        <v>26.854946923102901</v>
      </c>
      <c r="AV39" s="108">
        <f t="shared" si="12"/>
        <v>26.854946923102901</v>
      </c>
      <c r="AW39" s="108">
        <f t="shared" si="12"/>
        <v>38.995185723166827</v>
      </c>
      <c r="AX39" s="108">
        <f t="shared" si="12"/>
        <v>38.995185723166827</v>
      </c>
      <c r="AY39" s="108">
        <f t="shared" si="12"/>
        <v>38.995185723166827</v>
      </c>
    </row>
    <row r="40" spans="1:52">
      <c r="A40" s="108"/>
      <c r="B40" s="162" t="s">
        <v>348</v>
      </c>
      <c r="C40" s="108"/>
      <c r="D40" s="108">
        <f>D34-D37</f>
        <v>25.964090395391914</v>
      </c>
      <c r="E40" s="108">
        <f t="shared" ref="E40:AY40" si="13">E34-E37</f>
        <v>25.184199998174073</v>
      </c>
      <c r="F40" s="108">
        <f t="shared" si="13"/>
        <v>25.184199998174073</v>
      </c>
      <c r="G40" s="108">
        <f t="shared" si="13"/>
        <v>25.184199998174073</v>
      </c>
      <c r="H40" s="108">
        <f t="shared" si="13"/>
        <v>0</v>
      </c>
      <c r="I40" s="108">
        <f t="shared" si="13"/>
        <v>50.368399996348145</v>
      </c>
      <c r="J40" s="108">
        <f t="shared" si="13"/>
        <v>25.184199998174073</v>
      </c>
      <c r="K40" s="108">
        <f t="shared" si="13"/>
        <v>25.184199998174073</v>
      </c>
      <c r="L40" s="108">
        <f t="shared" si="13"/>
        <v>25.184199998174073</v>
      </c>
      <c r="M40" s="108">
        <f t="shared" si="13"/>
        <v>25.184199998174073</v>
      </c>
      <c r="N40" s="108">
        <f t="shared" si="13"/>
        <v>25.184199998174073</v>
      </c>
      <c r="O40" s="108">
        <f t="shared" si="13"/>
        <v>25.184199998174073</v>
      </c>
      <c r="P40" s="108">
        <f t="shared" si="13"/>
        <v>25.184199998174073</v>
      </c>
      <c r="Q40" s="108">
        <f t="shared" si="13"/>
        <v>25.184199998174073</v>
      </c>
      <c r="R40" s="108">
        <f t="shared" si="13"/>
        <v>25.184199998174073</v>
      </c>
      <c r="S40" s="108">
        <f t="shared" si="13"/>
        <v>25.184199998174073</v>
      </c>
      <c r="T40" s="108">
        <f t="shared" si="13"/>
        <v>0</v>
      </c>
      <c r="U40" s="108">
        <f t="shared" si="13"/>
        <v>45.725399448288933</v>
      </c>
      <c r="V40" s="108">
        <f t="shared" si="13"/>
        <v>20.541199450114856</v>
      </c>
      <c r="W40" s="108">
        <f t="shared" si="13"/>
        <v>20.541199450114856</v>
      </c>
      <c r="X40" s="108">
        <f t="shared" si="13"/>
        <v>20.541199450114856</v>
      </c>
      <c r="Y40" s="108">
        <f t="shared" si="13"/>
        <v>25.184199998174073</v>
      </c>
      <c r="Z40" s="108">
        <f t="shared" si="13"/>
        <v>25.184199998174073</v>
      </c>
      <c r="AA40" s="108">
        <f t="shared" si="13"/>
        <v>25.184199998174073</v>
      </c>
      <c r="AB40" s="108">
        <f t="shared" si="13"/>
        <v>25.184199998174073</v>
      </c>
      <c r="AC40" s="108">
        <f t="shared" si="13"/>
        <v>29.827200546233293</v>
      </c>
      <c r="AD40" s="108">
        <f t="shared" si="13"/>
        <v>29.827200546233293</v>
      </c>
      <c r="AE40" s="108">
        <f t="shared" si="13"/>
        <v>29.827200546233293</v>
      </c>
      <c r="AF40" s="108">
        <f t="shared" si="13"/>
        <v>0</v>
      </c>
      <c r="AG40" s="108">
        <f t="shared" si="13"/>
        <v>59.654401092466586</v>
      </c>
      <c r="AH40" s="108">
        <f t="shared" si="13"/>
        <v>29.827200546233293</v>
      </c>
      <c r="AI40" s="108">
        <f t="shared" si="13"/>
        <v>29.827200546233293</v>
      </c>
      <c r="AJ40" s="108">
        <f t="shared" si="13"/>
        <v>29.827200546233293</v>
      </c>
      <c r="AK40" s="108">
        <f t="shared" si="13"/>
        <v>25.184199998174073</v>
      </c>
      <c r="AL40" s="108">
        <f t="shared" si="13"/>
        <v>25.184199998174073</v>
      </c>
      <c r="AM40" s="108">
        <f t="shared" si="13"/>
        <v>25.184199998174073</v>
      </c>
      <c r="AN40" s="108">
        <f t="shared" si="13"/>
        <v>25.184199998174073</v>
      </c>
      <c r="AO40" s="108">
        <f t="shared" si="13"/>
        <v>25.184199998174073</v>
      </c>
      <c r="AP40" s="108">
        <f t="shared" si="13"/>
        <v>25.184199998174073</v>
      </c>
      <c r="AQ40" s="108">
        <f t="shared" si="13"/>
        <v>25.184199998174073</v>
      </c>
      <c r="AR40" s="108">
        <f t="shared" si="13"/>
        <v>25.184199998174073</v>
      </c>
      <c r="AS40" s="108">
        <f t="shared" si="13"/>
        <v>20.541199450114856</v>
      </c>
      <c r="AT40" s="108">
        <f t="shared" si="13"/>
        <v>20.541199450114856</v>
      </c>
      <c r="AU40" s="108">
        <f t="shared" si="13"/>
        <v>20.541199450114856</v>
      </c>
      <c r="AV40" s="108">
        <f t="shared" si="13"/>
        <v>20.541199450114856</v>
      </c>
      <c r="AW40" s="108">
        <f t="shared" si="13"/>
        <v>29.827200546233293</v>
      </c>
      <c r="AX40" s="108">
        <f t="shared" si="13"/>
        <v>29.827200546233293</v>
      </c>
      <c r="AY40" s="108">
        <f t="shared" si="13"/>
        <v>29.827200546233293</v>
      </c>
    </row>
    <row r="41" spans="1:52">
      <c r="A41" s="108"/>
      <c r="B41" s="162" t="s">
        <v>349</v>
      </c>
      <c r="C41" s="108"/>
      <c r="D41" s="108">
        <v>2</v>
      </c>
      <c r="E41" s="108">
        <v>1</v>
      </c>
      <c r="F41" s="108">
        <v>2</v>
      </c>
      <c r="G41" s="108">
        <v>1</v>
      </c>
      <c r="H41" s="108">
        <v>1</v>
      </c>
      <c r="I41" s="108">
        <v>1</v>
      </c>
      <c r="J41" s="108">
        <v>3</v>
      </c>
      <c r="K41" s="108">
        <v>1</v>
      </c>
      <c r="L41" s="108">
        <v>1</v>
      </c>
      <c r="M41" s="108">
        <v>2</v>
      </c>
      <c r="N41" s="108">
        <v>2</v>
      </c>
      <c r="O41" s="108">
        <v>3</v>
      </c>
      <c r="P41" s="108">
        <v>1</v>
      </c>
      <c r="Q41" s="108">
        <v>2</v>
      </c>
      <c r="R41" s="108">
        <v>2</v>
      </c>
      <c r="S41" s="108">
        <v>1</v>
      </c>
      <c r="T41" s="108">
        <v>1</v>
      </c>
      <c r="U41" s="108">
        <v>2</v>
      </c>
      <c r="V41" s="108">
        <v>3</v>
      </c>
      <c r="W41" s="108">
        <v>1</v>
      </c>
      <c r="X41" s="108">
        <v>2</v>
      </c>
      <c r="Y41" s="108">
        <v>1</v>
      </c>
      <c r="Z41" s="108">
        <v>2</v>
      </c>
      <c r="AA41" s="108">
        <v>1</v>
      </c>
      <c r="AB41" s="108">
        <v>2</v>
      </c>
      <c r="AC41" s="108">
        <v>2</v>
      </c>
      <c r="AD41" s="108">
        <v>1</v>
      </c>
      <c r="AE41" s="108">
        <v>1</v>
      </c>
      <c r="AF41" s="108">
        <v>1</v>
      </c>
      <c r="AG41" s="108">
        <v>2</v>
      </c>
      <c r="AH41" s="108">
        <v>2</v>
      </c>
      <c r="AI41" s="108">
        <v>2</v>
      </c>
      <c r="AJ41" s="108">
        <v>1</v>
      </c>
      <c r="AK41" s="108">
        <v>1</v>
      </c>
      <c r="AL41" s="108">
        <v>2</v>
      </c>
      <c r="AM41" s="108">
        <v>2</v>
      </c>
      <c r="AN41" s="108">
        <v>3</v>
      </c>
      <c r="AO41" s="108">
        <v>1</v>
      </c>
      <c r="AP41" s="108">
        <v>2</v>
      </c>
      <c r="AQ41" s="108">
        <v>1</v>
      </c>
      <c r="AR41" s="108">
        <v>1</v>
      </c>
      <c r="AS41" s="108">
        <v>2</v>
      </c>
      <c r="AT41" s="108">
        <v>1</v>
      </c>
      <c r="AU41" s="108">
        <v>3</v>
      </c>
      <c r="AV41" s="108">
        <v>1</v>
      </c>
      <c r="AW41" s="108">
        <v>1</v>
      </c>
      <c r="AX41" s="108">
        <v>1</v>
      </c>
      <c r="AY41" s="108">
        <v>3</v>
      </c>
    </row>
    <row r="42" spans="1:52">
      <c r="A42" s="108"/>
      <c r="B42" s="173" t="s">
        <v>350</v>
      </c>
      <c r="C42" s="108"/>
      <c r="D42" s="108">
        <v>0</v>
      </c>
      <c r="E42" s="108">
        <v>0</v>
      </c>
      <c r="F42" s="108">
        <v>0</v>
      </c>
      <c r="G42" s="108">
        <v>0</v>
      </c>
      <c r="H42" s="108">
        <v>0</v>
      </c>
      <c r="I42" s="108">
        <v>0</v>
      </c>
      <c r="J42" s="108">
        <v>0</v>
      </c>
      <c r="K42" s="108">
        <v>0</v>
      </c>
      <c r="L42" s="108">
        <v>0</v>
      </c>
      <c r="M42" s="108">
        <v>0</v>
      </c>
      <c r="N42" s="108">
        <v>0</v>
      </c>
      <c r="O42" s="108">
        <v>0</v>
      </c>
      <c r="P42" s="108">
        <v>0</v>
      </c>
      <c r="Q42" s="108">
        <v>0</v>
      </c>
      <c r="R42" s="108">
        <v>0</v>
      </c>
      <c r="S42" s="108">
        <v>0</v>
      </c>
      <c r="T42" s="108">
        <v>0</v>
      </c>
      <c r="U42" s="108">
        <v>0</v>
      </c>
      <c r="V42" s="108">
        <v>0</v>
      </c>
      <c r="W42" s="108">
        <v>0</v>
      </c>
      <c r="X42" s="108">
        <v>0</v>
      </c>
      <c r="Y42" s="108">
        <v>0</v>
      </c>
      <c r="Z42" s="108">
        <v>0</v>
      </c>
      <c r="AA42" s="108">
        <v>0</v>
      </c>
      <c r="AB42" s="108">
        <v>0</v>
      </c>
      <c r="AC42" s="108">
        <v>0</v>
      </c>
      <c r="AD42" s="108">
        <v>0</v>
      </c>
      <c r="AE42" s="108">
        <v>0</v>
      </c>
      <c r="AF42" s="108">
        <v>0</v>
      </c>
      <c r="AG42" s="108">
        <v>0</v>
      </c>
      <c r="AH42" s="108">
        <v>0</v>
      </c>
      <c r="AI42" s="108">
        <v>0</v>
      </c>
      <c r="AJ42" s="108">
        <v>0</v>
      </c>
      <c r="AK42" s="108">
        <v>0</v>
      </c>
      <c r="AL42" s="108">
        <v>0</v>
      </c>
      <c r="AM42" s="108">
        <v>0</v>
      </c>
      <c r="AN42" s="108">
        <v>0</v>
      </c>
      <c r="AO42" s="108">
        <v>0</v>
      </c>
      <c r="AP42" s="108">
        <v>0</v>
      </c>
      <c r="AQ42" s="108">
        <v>0</v>
      </c>
      <c r="AR42" s="108">
        <v>0</v>
      </c>
      <c r="AS42" s="108">
        <v>0</v>
      </c>
      <c r="AT42" s="108">
        <v>0</v>
      </c>
      <c r="AU42" s="108">
        <v>0</v>
      </c>
      <c r="AV42" s="108">
        <v>0</v>
      </c>
      <c r="AW42" s="108">
        <v>0</v>
      </c>
      <c r="AX42" s="108">
        <v>0</v>
      </c>
      <c r="AY42" s="108">
        <v>0</v>
      </c>
      <c r="AZ42">
        <f>SUM($D$42:$AY$42)</f>
        <v>0</v>
      </c>
    </row>
    <row r="43" spans="1:52">
      <c r="A43" s="108"/>
      <c r="B43" s="173" t="s">
        <v>351</v>
      </c>
      <c r="C43" s="108"/>
      <c r="D43" s="108">
        <v>48481.165639674837</v>
      </c>
      <c r="E43" s="108">
        <v>47024.923770519257</v>
      </c>
      <c r="F43" s="108">
        <v>47024.923770519257</v>
      </c>
      <c r="G43" s="108">
        <v>47024.923770519257</v>
      </c>
      <c r="H43" s="108">
        <v>0</v>
      </c>
      <c r="I43" s="108">
        <v>94049.847541038514</v>
      </c>
      <c r="J43" s="108">
        <v>47024.923770519257</v>
      </c>
      <c r="K43" s="108">
        <v>47024.923770519257</v>
      </c>
      <c r="L43" s="108">
        <v>47024.923770519257</v>
      </c>
      <c r="M43" s="108">
        <v>47024.923770519257</v>
      </c>
      <c r="N43" s="108">
        <v>47024.923770519257</v>
      </c>
      <c r="O43" s="108">
        <v>47024.923770519257</v>
      </c>
      <c r="P43" s="108">
        <v>47024.923770519257</v>
      </c>
      <c r="Q43" s="108">
        <v>47024.923770519257</v>
      </c>
      <c r="R43" s="108">
        <v>47024.923770519257</v>
      </c>
      <c r="S43" s="108">
        <v>47024.923770519257</v>
      </c>
      <c r="T43" s="108">
        <v>0</v>
      </c>
      <c r="U43" s="108">
        <v>85380.255223045708</v>
      </c>
      <c r="V43" s="108">
        <v>38355.331452526472</v>
      </c>
      <c r="W43" s="108">
        <v>38355.331452526472</v>
      </c>
      <c r="X43" s="108">
        <v>38355.331452526472</v>
      </c>
      <c r="Y43" s="108">
        <v>47024.923770519257</v>
      </c>
      <c r="Z43" s="108">
        <v>47024.923770519257</v>
      </c>
      <c r="AA43" s="108">
        <v>47024.923770519257</v>
      </c>
      <c r="AB43" s="108">
        <v>47024.923770519257</v>
      </c>
      <c r="AC43" s="108">
        <v>55694.516088512042</v>
      </c>
      <c r="AD43" s="108">
        <v>55694.516088512042</v>
      </c>
      <c r="AE43" s="108">
        <v>55694.516088512042</v>
      </c>
      <c r="AF43" s="108">
        <v>0</v>
      </c>
      <c r="AG43" s="108">
        <v>111389.03217702408</v>
      </c>
      <c r="AH43" s="108">
        <v>55694.516088512042</v>
      </c>
      <c r="AI43" s="108">
        <v>55694.516088512042</v>
      </c>
      <c r="AJ43" s="108">
        <v>55694.516088512042</v>
      </c>
      <c r="AK43" s="108">
        <v>47024.923770519257</v>
      </c>
      <c r="AL43" s="108">
        <v>47024.923770519257</v>
      </c>
      <c r="AM43" s="108">
        <v>47024.923770519257</v>
      </c>
      <c r="AN43" s="108">
        <v>47024.923770519257</v>
      </c>
      <c r="AO43" s="108">
        <v>47024.923770519257</v>
      </c>
      <c r="AP43" s="108">
        <v>47024.923770519257</v>
      </c>
      <c r="AQ43" s="108">
        <v>47024.923770519257</v>
      </c>
      <c r="AR43" s="108">
        <v>47024.923770519257</v>
      </c>
      <c r="AS43" s="108">
        <v>38355.331452526472</v>
      </c>
      <c r="AT43" s="108">
        <v>38355.331452526472</v>
      </c>
      <c r="AU43" s="108">
        <v>38355.331452526472</v>
      </c>
      <c r="AV43" s="108">
        <v>38355.331452526472</v>
      </c>
      <c r="AW43" s="108">
        <v>55694.516088512042</v>
      </c>
      <c r="AX43" s="108">
        <v>55694.516088512042</v>
      </c>
      <c r="AY43" s="108">
        <v>55694.516088512042</v>
      </c>
      <c r="AZ43">
        <f>SUM($D$43:$AY$43)</f>
        <v>2284661.359808058</v>
      </c>
    </row>
    <row r="44" spans="1:52">
      <c r="A44" s="132" t="s">
        <v>46</v>
      </c>
      <c r="B44" s="132" t="s">
        <v>341</v>
      </c>
      <c r="C44" s="121"/>
      <c r="D44" s="121">
        <f>D$21*shipping_manufacturing!$F$28/100</f>
        <v>0</v>
      </c>
      <c r="E44" s="121">
        <f>E$21*shipping_manufacturing!$F$28/100</f>
        <v>0</v>
      </c>
      <c r="F44" s="121">
        <f>F$21*shipping_manufacturing!$F$28/100</f>
        <v>0</v>
      </c>
      <c r="G44" s="121">
        <f>G$21*shipping_manufacturing!$F$28/100</f>
        <v>0</v>
      </c>
      <c r="H44" s="121">
        <f>H$21*shipping_manufacturing!$F$28/100</f>
        <v>0</v>
      </c>
      <c r="I44" s="121">
        <f>I$21*shipping_manufacturing!$F$28/100</f>
        <v>0</v>
      </c>
      <c r="J44" s="121">
        <f>J$21*shipping_manufacturing!$F$28/100</f>
        <v>0</v>
      </c>
      <c r="K44" s="121">
        <f>K$21*shipping_manufacturing!$F$28/100</f>
        <v>0</v>
      </c>
      <c r="L44" s="121">
        <f>L$21*shipping_manufacturing!$F$28/100</f>
        <v>0</v>
      </c>
      <c r="M44" s="121">
        <f>M$21*shipping_manufacturing!$F$28/100</f>
        <v>0</v>
      </c>
      <c r="N44" s="121">
        <f>N$21*shipping_manufacturing!$F$28/100</f>
        <v>0</v>
      </c>
      <c r="O44" s="121">
        <f>O$21*shipping_manufacturing!$F$28/100</f>
        <v>0</v>
      </c>
      <c r="P44" s="121">
        <f>P$21*shipping_manufacturing!$F$28/100</f>
        <v>0</v>
      </c>
      <c r="Q44" s="121">
        <f>Q$21*shipping_manufacturing!$F$28/100</f>
        <v>0</v>
      </c>
      <c r="R44" s="121">
        <f>R$21*shipping_manufacturing!$F$28/100</f>
        <v>0</v>
      </c>
      <c r="S44" s="121">
        <f>S$21*shipping_manufacturing!$F$28/100</f>
        <v>0</v>
      </c>
      <c r="T44" s="121">
        <f>T$21*shipping_manufacturing!$F$28/100</f>
        <v>0</v>
      </c>
      <c r="U44" s="121">
        <f>U$21*shipping_manufacturing!$F$28/100</f>
        <v>0</v>
      </c>
      <c r="V44" s="121">
        <f>V$21*shipping_manufacturing!$F$28/100</f>
        <v>0</v>
      </c>
      <c r="W44" s="121">
        <f>W$21*shipping_manufacturing!$F$28/100</f>
        <v>0</v>
      </c>
      <c r="X44" s="121">
        <f>X$21*shipping_manufacturing!$F$28/100</f>
        <v>0</v>
      </c>
      <c r="Y44" s="121">
        <f>Y$21*shipping_manufacturing!$F$28/100</f>
        <v>0</v>
      </c>
      <c r="Z44" s="121">
        <f>Z$21*shipping_manufacturing!$F$28/100</f>
        <v>0</v>
      </c>
      <c r="AA44" s="121">
        <f>AA$21*shipping_manufacturing!$F$28/100</f>
        <v>0</v>
      </c>
      <c r="AB44" s="121">
        <f>AB$21*shipping_manufacturing!$F$28/100</f>
        <v>0</v>
      </c>
      <c r="AC44" s="121">
        <f>AC$21*shipping_manufacturing!$F$28/100</f>
        <v>0</v>
      </c>
      <c r="AD44" s="121">
        <f>AD$21*shipping_manufacturing!$F$28/100</f>
        <v>0</v>
      </c>
      <c r="AE44" s="121">
        <f>AE$21*shipping_manufacturing!$F$28/100</f>
        <v>0</v>
      </c>
      <c r="AF44" s="121">
        <f>AF$21*shipping_manufacturing!$F$28/100</f>
        <v>0</v>
      </c>
      <c r="AG44" s="121">
        <f>AG$21*shipping_manufacturing!$F$28/100</f>
        <v>0</v>
      </c>
      <c r="AH44" s="121">
        <f>AH$21*shipping_manufacturing!$F$28/100</f>
        <v>0</v>
      </c>
      <c r="AI44" s="121">
        <f>AI$21*shipping_manufacturing!$F$28/100</f>
        <v>0</v>
      </c>
      <c r="AJ44" s="121">
        <f>AJ$21*shipping_manufacturing!$F$28/100</f>
        <v>0</v>
      </c>
      <c r="AK44" s="121">
        <f>AK$21*shipping_manufacturing!$F$28/100</f>
        <v>0</v>
      </c>
      <c r="AL44" s="121">
        <f>AL$21*shipping_manufacturing!$F$28/100</f>
        <v>0</v>
      </c>
      <c r="AM44" s="121">
        <f>AM$21*shipping_manufacturing!$F$28/100</f>
        <v>0</v>
      </c>
      <c r="AN44" s="121">
        <f>AN$21*shipping_manufacturing!$F$28/100</f>
        <v>0</v>
      </c>
      <c r="AO44" s="121">
        <f>AO$21*shipping_manufacturing!$F$28/100</f>
        <v>0</v>
      </c>
      <c r="AP44" s="121">
        <f>AP$21*shipping_manufacturing!$F$28/100</f>
        <v>0</v>
      </c>
      <c r="AQ44" s="121">
        <f>AQ$21*shipping_manufacturing!$F$28/100</f>
        <v>0</v>
      </c>
      <c r="AR44" s="121">
        <f>AR$21*shipping_manufacturing!$F$28/100</f>
        <v>0</v>
      </c>
      <c r="AS44" s="121">
        <f>AS$21*shipping_manufacturing!$F$28/100</f>
        <v>0</v>
      </c>
      <c r="AT44" s="121">
        <f>AT$21*shipping_manufacturing!$F$28/100</f>
        <v>0</v>
      </c>
      <c r="AU44" s="121">
        <f>AU$21*shipping_manufacturing!$F$28/100</f>
        <v>0</v>
      </c>
      <c r="AV44" s="121">
        <f>AV$21*shipping_manufacturing!$F$28/100</f>
        <v>0</v>
      </c>
      <c r="AW44" s="121">
        <f>AW$21*shipping_manufacturing!$F$28/100</f>
        <v>0</v>
      </c>
      <c r="AX44" s="121">
        <f>AX$21*shipping_manufacturing!$F$28/100</f>
        <v>0</v>
      </c>
      <c r="AY44" s="121">
        <f>AY$21*shipping_manufacturing!$F$28/100</f>
        <v>0</v>
      </c>
    </row>
    <row r="45" spans="1:52">
      <c r="A45" s="110" t="s">
        <v>340</v>
      </c>
      <c r="B45" s="162" t="s">
        <v>342</v>
      </c>
      <c r="C45" s="108"/>
      <c r="D45" s="108">
        <f>D$22*shipping_manufacturing!$G$28/100</f>
        <v>0</v>
      </c>
      <c r="E45" s="108">
        <f>E$22*shipping_manufacturing!$G$28/100</f>
        <v>0</v>
      </c>
      <c r="F45" s="108">
        <f>F$22*shipping_manufacturing!$G$28/100</f>
        <v>0</v>
      </c>
      <c r="G45" s="108">
        <f>G$22*shipping_manufacturing!$G$28/100</f>
        <v>0</v>
      </c>
      <c r="H45" s="108">
        <f>H$22*shipping_manufacturing!$G$28/100</f>
        <v>0</v>
      </c>
      <c r="I45" s="108">
        <f>I$22*shipping_manufacturing!$G$28/100</f>
        <v>0</v>
      </c>
      <c r="J45" s="108">
        <f>J$22*shipping_manufacturing!$G$28/100</f>
        <v>0</v>
      </c>
      <c r="K45" s="108">
        <f>K$22*shipping_manufacturing!$G$28/100</f>
        <v>0</v>
      </c>
      <c r="L45" s="108">
        <f>L$22*shipping_manufacturing!$G$28/100</f>
        <v>0</v>
      </c>
      <c r="M45" s="108">
        <f>M$22*shipping_manufacturing!$G$28/100</f>
        <v>0</v>
      </c>
      <c r="N45" s="108">
        <f>N$22*shipping_manufacturing!$G$28/100</f>
        <v>0</v>
      </c>
      <c r="O45" s="108">
        <f>O$22*shipping_manufacturing!$G$28/100</f>
        <v>0</v>
      </c>
      <c r="P45" s="108">
        <f>P$22*shipping_manufacturing!$G$28/100</f>
        <v>0</v>
      </c>
      <c r="Q45" s="108">
        <f>Q$22*shipping_manufacturing!$G$28/100</f>
        <v>0</v>
      </c>
      <c r="R45" s="108">
        <f>R$22*shipping_manufacturing!$G$28/100</f>
        <v>0</v>
      </c>
      <c r="S45" s="108">
        <f>S$22*shipping_manufacturing!$G$28/100</f>
        <v>0</v>
      </c>
      <c r="T45" s="108">
        <f>T$22*shipping_manufacturing!$G$28/100</f>
        <v>0</v>
      </c>
      <c r="U45" s="108">
        <f>U$22*shipping_manufacturing!$G$28/100</f>
        <v>0</v>
      </c>
      <c r="V45" s="108">
        <f>V$22*shipping_manufacturing!$G$28/100</f>
        <v>0</v>
      </c>
      <c r="W45" s="108">
        <f>W$22*shipping_manufacturing!$G$28/100</f>
        <v>0</v>
      </c>
      <c r="X45" s="108">
        <f>X$22*shipping_manufacturing!$G$28/100</f>
        <v>0</v>
      </c>
      <c r="Y45" s="108">
        <f>Y$22*shipping_manufacturing!$G$28/100</f>
        <v>0</v>
      </c>
      <c r="Z45" s="108">
        <f>Z$22*shipping_manufacturing!$G$28/100</f>
        <v>0</v>
      </c>
      <c r="AA45" s="108">
        <f>AA$22*shipping_manufacturing!$G$28/100</f>
        <v>0</v>
      </c>
      <c r="AB45" s="108">
        <f>AB$22*shipping_manufacturing!$G$28/100</f>
        <v>0</v>
      </c>
      <c r="AC45" s="108">
        <f>AC$22*shipping_manufacturing!$G$28/100</f>
        <v>0</v>
      </c>
      <c r="AD45" s="108">
        <f>AD$22*shipping_manufacturing!$G$28/100</f>
        <v>0</v>
      </c>
      <c r="AE45" s="108">
        <f>AE$22*shipping_manufacturing!$G$28/100</f>
        <v>0</v>
      </c>
      <c r="AF45" s="108">
        <f>AF$22*shipping_manufacturing!$G$28/100</f>
        <v>0</v>
      </c>
      <c r="AG45" s="108">
        <f>AG$22*shipping_manufacturing!$G$28/100</f>
        <v>0</v>
      </c>
      <c r="AH45" s="108">
        <f>AH$22*shipping_manufacturing!$G$28/100</f>
        <v>0</v>
      </c>
      <c r="AI45" s="108">
        <f>AI$22*shipping_manufacturing!$G$28/100</f>
        <v>0</v>
      </c>
      <c r="AJ45" s="108">
        <f>AJ$22*shipping_manufacturing!$G$28/100</f>
        <v>0</v>
      </c>
      <c r="AK45" s="108">
        <f>AK$22*shipping_manufacturing!$G$28/100</f>
        <v>0</v>
      </c>
      <c r="AL45" s="108">
        <f>AL$22*shipping_manufacturing!$G$28/100</f>
        <v>0</v>
      </c>
      <c r="AM45" s="108">
        <f>AM$22*shipping_manufacturing!$G$28/100</f>
        <v>0</v>
      </c>
      <c r="AN45" s="108">
        <f>AN$22*shipping_manufacturing!$G$28/100</f>
        <v>0</v>
      </c>
      <c r="AO45" s="108">
        <f>AO$22*shipping_manufacturing!$G$28/100</f>
        <v>0</v>
      </c>
      <c r="AP45" s="108">
        <f>AP$22*shipping_manufacturing!$G$28/100</f>
        <v>0</v>
      </c>
      <c r="AQ45" s="108">
        <f>AQ$22*shipping_manufacturing!$G$28/100</f>
        <v>0</v>
      </c>
      <c r="AR45" s="108">
        <f>AR$22*shipping_manufacturing!$G$28/100</f>
        <v>0</v>
      </c>
      <c r="AS45" s="108">
        <f>AS$22*shipping_manufacturing!$G$28/100</f>
        <v>0</v>
      </c>
      <c r="AT45" s="108">
        <f>AT$22*shipping_manufacturing!$G$28/100</f>
        <v>0</v>
      </c>
      <c r="AU45" s="108">
        <f>AU$22*shipping_manufacturing!$G$28/100</f>
        <v>0</v>
      </c>
      <c r="AV45" s="108">
        <f>AV$22*shipping_manufacturing!$G$28/100</f>
        <v>0</v>
      </c>
      <c r="AW45" s="108">
        <f>AW$22*shipping_manufacturing!$G$28/100</f>
        <v>0</v>
      </c>
      <c r="AX45" s="108">
        <f>AX$22*shipping_manufacturing!$G$28/100</f>
        <v>0</v>
      </c>
      <c r="AY45" s="108">
        <f>AY$22*shipping_manufacturing!$G$28/100</f>
        <v>0</v>
      </c>
    </row>
    <row r="46" spans="1:52">
      <c r="A46" s="108">
        <v>1893</v>
      </c>
      <c r="B46" s="162" t="s">
        <v>343</v>
      </c>
      <c r="C46" s="108"/>
      <c r="D46" s="108">
        <f>SUM(D44:D45)</f>
        <v>0</v>
      </c>
      <c r="E46" s="108">
        <f t="shared" ref="E46:AY46" si="14">SUM(E44:E45)</f>
        <v>0</v>
      </c>
      <c r="F46" s="108">
        <f t="shared" si="14"/>
        <v>0</v>
      </c>
      <c r="G46" s="108">
        <f t="shared" si="14"/>
        <v>0</v>
      </c>
      <c r="H46" s="108">
        <f t="shared" si="14"/>
        <v>0</v>
      </c>
      <c r="I46" s="108">
        <f t="shared" si="14"/>
        <v>0</v>
      </c>
      <c r="J46" s="108">
        <f t="shared" si="14"/>
        <v>0</v>
      </c>
      <c r="K46" s="108">
        <f t="shared" si="14"/>
        <v>0</v>
      </c>
      <c r="L46" s="108">
        <f t="shared" si="14"/>
        <v>0</v>
      </c>
      <c r="M46" s="108">
        <f t="shared" si="14"/>
        <v>0</v>
      </c>
      <c r="N46" s="108">
        <f t="shared" si="14"/>
        <v>0</v>
      </c>
      <c r="O46" s="108">
        <f t="shared" si="14"/>
        <v>0</v>
      </c>
      <c r="P46" s="108">
        <f t="shared" si="14"/>
        <v>0</v>
      </c>
      <c r="Q46" s="108">
        <f t="shared" si="14"/>
        <v>0</v>
      </c>
      <c r="R46" s="108">
        <f t="shared" si="14"/>
        <v>0</v>
      </c>
      <c r="S46" s="108">
        <f t="shared" si="14"/>
        <v>0</v>
      </c>
      <c r="T46" s="108">
        <f t="shared" si="14"/>
        <v>0</v>
      </c>
      <c r="U46" s="108">
        <f t="shared" si="14"/>
        <v>0</v>
      </c>
      <c r="V46" s="108">
        <f t="shared" si="14"/>
        <v>0</v>
      </c>
      <c r="W46" s="108">
        <f t="shared" si="14"/>
        <v>0</v>
      </c>
      <c r="X46" s="108">
        <f t="shared" si="14"/>
        <v>0</v>
      </c>
      <c r="Y46" s="108">
        <f t="shared" si="14"/>
        <v>0</v>
      </c>
      <c r="Z46" s="108">
        <f t="shared" si="14"/>
        <v>0</v>
      </c>
      <c r="AA46" s="108">
        <f t="shared" si="14"/>
        <v>0</v>
      </c>
      <c r="AB46" s="108">
        <f t="shared" si="14"/>
        <v>0</v>
      </c>
      <c r="AC46" s="108">
        <f t="shared" si="14"/>
        <v>0</v>
      </c>
      <c r="AD46" s="108">
        <f t="shared" si="14"/>
        <v>0</v>
      </c>
      <c r="AE46" s="108">
        <f t="shared" si="14"/>
        <v>0</v>
      </c>
      <c r="AF46" s="108">
        <f t="shared" si="14"/>
        <v>0</v>
      </c>
      <c r="AG46" s="108">
        <f t="shared" si="14"/>
        <v>0</v>
      </c>
      <c r="AH46" s="108">
        <f t="shared" si="14"/>
        <v>0</v>
      </c>
      <c r="AI46" s="108">
        <f t="shared" si="14"/>
        <v>0</v>
      </c>
      <c r="AJ46" s="108">
        <f t="shared" si="14"/>
        <v>0</v>
      </c>
      <c r="AK46" s="108">
        <f t="shared" si="14"/>
        <v>0</v>
      </c>
      <c r="AL46" s="108">
        <f t="shared" si="14"/>
        <v>0</v>
      </c>
      <c r="AM46" s="108">
        <f t="shared" si="14"/>
        <v>0</v>
      </c>
      <c r="AN46" s="108">
        <f t="shared" si="14"/>
        <v>0</v>
      </c>
      <c r="AO46" s="108">
        <f t="shared" si="14"/>
        <v>0</v>
      </c>
      <c r="AP46" s="108">
        <f t="shared" si="14"/>
        <v>0</v>
      </c>
      <c r="AQ46" s="108">
        <f t="shared" si="14"/>
        <v>0</v>
      </c>
      <c r="AR46" s="108">
        <f t="shared" si="14"/>
        <v>0</v>
      </c>
      <c r="AS46" s="108">
        <f t="shared" si="14"/>
        <v>0</v>
      </c>
      <c r="AT46" s="108">
        <f t="shared" si="14"/>
        <v>0</v>
      </c>
      <c r="AU46" s="108">
        <f t="shared" si="14"/>
        <v>0</v>
      </c>
      <c r="AV46" s="108">
        <f t="shared" si="14"/>
        <v>0</v>
      </c>
      <c r="AW46" s="108">
        <f t="shared" si="14"/>
        <v>0</v>
      </c>
      <c r="AX46" s="108">
        <f t="shared" si="14"/>
        <v>0</v>
      </c>
      <c r="AY46" s="108">
        <f t="shared" si="14"/>
        <v>0</v>
      </c>
    </row>
    <row r="47" spans="1:52">
      <c r="A47" s="108"/>
      <c r="B47" s="162" t="s">
        <v>344</v>
      </c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08"/>
      <c r="AU47" s="108"/>
      <c r="AV47" s="108"/>
      <c r="AW47" s="108"/>
      <c r="AX47" s="108"/>
      <c r="AY47" s="108"/>
    </row>
    <row r="48" spans="1:52">
      <c r="A48" s="108"/>
      <c r="B48" s="162" t="s">
        <v>345</v>
      </c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108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08"/>
      <c r="AU48" s="108"/>
      <c r="AV48" s="108"/>
      <c r="AW48" s="108"/>
      <c r="AX48" s="108"/>
      <c r="AY48" s="108"/>
    </row>
    <row r="49" spans="1:52">
      <c r="A49" s="108"/>
      <c r="B49" s="162" t="s">
        <v>346</v>
      </c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108"/>
      <c r="AV49" s="108"/>
      <c r="AW49" s="108"/>
      <c r="AX49" s="108"/>
      <c r="AY49" s="108"/>
    </row>
    <row r="50" spans="1:52">
      <c r="A50" s="108"/>
      <c r="B50" s="162" t="s">
        <v>347</v>
      </c>
      <c r="C50" s="108"/>
      <c r="D50" s="108">
        <f>D44-D47</f>
        <v>0</v>
      </c>
      <c r="E50" s="108">
        <f t="shared" ref="E50:AY50" si="15">E44-E47</f>
        <v>0</v>
      </c>
      <c r="F50" s="108">
        <f t="shared" si="15"/>
        <v>0</v>
      </c>
      <c r="G50" s="108">
        <f t="shared" si="15"/>
        <v>0</v>
      </c>
      <c r="H50" s="108">
        <f t="shared" si="15"/>
        <v>0</v>
      </c>
      <c r="I50" s="108">
        <f t="shared" si="15"/>
        <v>0</v>
      </c>
      <c r="J50" s="108">
        <f t="shared" si="15"/>
        <v>0</v>
      </c>
      <c r="K50" s="108">
        <f t="shared" si="15"/>
        <v>0</v>
      </c>
      <c r="L50" s="108">
        <f t="shared" si="15"/>
        <v>0</v>
      </c>
      <c r="M50" s="108">
        <f t="shared" si="15"/>
        <v>0</v>
      </c>
      <c r="N50" s="108">
        <f t="shared" si="15"/>
        <v>0</v>
      </c>
      <c r="O50" s="108">
        <f t="shared" si="15"/>
        <v>0</v>
      </c>
      <c r="P50" s="108">
        <f t="shared" si="15"/>
        <v>0</v>
      </c>
      <c r="Q50" s="108">
        <f t="shared" si="15"/>
        <v>0</v>
      </c>
      <c r="R50" s="108">
        <f t="shared" si="15"/>
        <v>0</v>
      </c>
      <c r="S50" s="108">
        <f t="shared" si="15"/>
        <v>0</v>
      </c>
      <c r="T50" s="108">
        <f t="shared" si="15"/>
        <v>0</v>
      </c>
      <c r="U50" s="108">
        <f t="shared" si="15"/>
        <v>0</v>
      </c>
      <c r="V50" s="108">
        <f t="shared" si="15"/>
        <v>0</v>
      </c>
      <c r="W50" s="108">
        <f t="shared" si="15"/>
        <v>0</v>
      </c>
      <c r="X50" s="108">
        <f t="shared" si="15"/>
        <v>0</v>
      </c>
      <c r="Y50" s="108">
        <f t="shared" si="15"/>
        <v>0</v>
      </c>
      <c r="Z50" s="108">
        <f t="shared" si="15"/>
        <v>0</v>
      </c>
      <c r="AA50" s="108">
        <f t="shared" si="15"/>
        <v>0</v>
      </c>
      <c r="AB50" s="108">
        <f t="shared" si="15"/>
        <v>0</v>
      </c>
      <c r="AC50" s="108">
        <f t="shared" si="15"/>
        <v>0</v>
      </c>
      <c r="AD50" s="108">
        <f t="shared" si="15"/>
        <v>0</v>
      </c>
      <c r="AE50" s="108">
        <f t="shared" si="15"/>
        <v>0</v>
      </c>
      <c r="AF50" s="108">
        <f t="shared" si="15"/>
        <v>0</v>
      </c>
      <c r="AG50" s="108">
        <f t="shared" si="15"/>
        <v>0</v>
      </c>
      <c r="AH50" s="108">
        <f t="shared" si="15"/>
        <v>0</v>
      </c>
      <c r="AI50" s="108">
        <f t="shared" si="15"/>
        <v>0</v>
      </c>
      <c r="AJ50" s="108">
        <f t="shared" si="15"/>
        <v>0</v>
      </c>
      <c r="AK50" s="108">
        <f t="shared" si="15"/>
        <v>0</v>
      </c>
      <c r="AL50" s="108">
        <f t="shared" si="15"/>
        <v>0</v>
      </c>
      <c r="AM50" s="108">
        <f t="shared" si="15"/>
        <v>0</v>
      </c>
      <c r="AN50" s="108">
        <f t="shared" si="15"/>
        <v>0</v>
      </c>
      <c r="AO50" s="108">
        <f t="shared" si="15"/>
        <v>0</v>
      </c>
      <c r="AP50" s="108">
        <f t="shared" si="15"/>
        <v>0</v>
      </c>
      <c r="AQ50" s="108">
        <f t="shared" si="15"/>
        <v>0</v>
      </c>
      <c r="AR50" s="108">
        <f t="shared" si="15"/>
        <v>0</v>
      </c>
      <c r="AS50" s="108">
        <f t="shared" si="15"/>
        <v>0</v>
      </c>
      <c r="AT50" s="108">
        <f t="shared" si="15"/>
        <v>0</v>
      </c>
      <c r="AU50" s="108">
        <f t="shared" si="15"/>
        <v>0</v>
      </c>
      <c r="AV50" s="108">
        <f t="shared" si="15"/>
        <v>0</v>
      </c>
      <c r="AW50" s="108">
        <f t="shared" si="15"/>
        <v>0</v>
      </c>
      <c r="AX50" s="108">
        <f t="shared" si="15"/>
        <v>0</v>
      </c>
      <c r="AY50" s="108">
        <f t="shared" si="15"/>
        <v>0</v>
      </c>
    </row>
    <row r="51" spans="1:52">
      <c r="A51" s="108"/>
      <c r="B51" s="162" t="s">
        <v>348</v>
      </c>
      <c r="C51" s="108"/>
      <c r="D51" s="108">
        <f>D45-D48</f>
        <v>0</v>
      </c>
      <c r="E51" s="108">
        <f t="shared" ref="E51:AY51" si="16">E45-E48</f>
        <v>0</v>
      </c>
      <c r="F51" s="108">
        <f t="shared" si="16"/>
        <v>0</v>
      </c>
      <c r="G51" s="108">
        <f t="shared" si="16"/>
        <v>0</v>
      </c>
      <c r="H51" s="108">
        <f t="shared" si="16"/>
        <v>0</v>
      </c>
      <c r="I51" s="108">
        <f t="shared" si="16"/>
        <v>0</v>
      </c>
      <c r="J51" s="108">
        <f t="shared" si="16"/>
        <v>0</v>
      </c>
      <c r="K51" s="108">
        <f t="shared" si="16"/>
        <v>0</v>
      </c>
      <c r="L51" s="108">
        <f t="shared" si="16"/>
        <v>0</v>
      </c>
      <c r="M51" s="108">
        <f t="shared" si="16"/>
        <v>0</v>
      </c>
      <c r="N51" s="108">
        <f t="shared" si="16"/>
        <v>0</v>
      </c>
      <c r="O51" s="108">
        <f t="shared" si="16"/>
        <v>0</v>
      </c>
      <c r="P51" s="108">
        <f t="shared" si="16"/>
        <v>0</v>
      </c>
      <c r="Q51" s="108">
        <f t="shared" si="16"/>
        <v>0</v>
      </c>
      <c r="R51" s="108">
        <f t="shared" si="16"/>
        <v>0</v>
      </c>
      <c r="S51" s="108">
        <f t="shared" si="16"/>
        <v>0</v>
      </c>
      <c r="T51" s="108">
        <f t="shared" si="16"/>
        <v>0</v>
      </c>
      <c r="U51" s="108">
        <f t="shared" si="16"/>
        <v>0</v>
      </c>
      <c r="V51" s="108">
        <f t="shared" si="16"/>
        <v>0</v>
      </c>
      <c r="W51" s="108">
        <f t="shared" si="16"/>
        <v>0</v>
      </c>
      <c r="X51" s="108">
        <f t="shared" si="16"/>
        <v>0</v>
      </c>
      <c r="Y51" s="108">
        <f t="shared" si="16"/>
        <v>0</v>
      </c>
      <c r="Z51" s="108">
        <f t="shared" si="16"/>
        <v>0</v>
      </c>
      <c r="AA51" s="108">
        <f t="shared" si="16"/>
        <v>0</v>
      </c>
      <c r="AB51" s="108">
        <f t="shared" si="16"/>
        <v>0</v>
      </c>
      <c r="AC51" s="108">
        <f t="shared" si="16"/>
        <v>0</v>
      </c>
      <c r="AD51" s="108">
        <f t="shared" si="16"/>
        <v>0</v>
      </c>
      <c r="AE51" s="108">
        <f t="shared" si="16"/>
        <v>0</v>
      </c>
      <c r="AF51" s="108">
        <f t="shared" si="16"/>
        <v>0</v>
      </c>
      <c r="AG51" s="108">
        <f t="shared" si="16"/>
        <v>0</v>
      </c>
      <c r="AH51" s="108">
        <f t="shared" si="16"/>
        <v>0</v>
      </c>
      <c r="AI51" s="108">
        <f t="shared" si="16"/>
        <v>0</v>
      </c>
      <c r="AJ51" s="108">
        <f t="shared" si="16"/>
        <v>0</v>
      </c>
      <c r="AK51" s="108">
        <f t="shared" si="16"/>
        <v>0</v>
      </c>
      <c r="AL51" s="108">
        <f t="shared" si="16"/>
        <v>0</v>
      </c>
      <c r="AM51" s="108">
        <f t="shared" si="16"/>
        <v>0</v>
      </c>
      <c r="AN51" s="108">
        <f t="shared" si="16"/>
        <v>0</v>
      </c>
      <c r="AO51" s="108">
        <f t="shared" si="16"/>
        <v>0</v>
      </c>
      <c r="AP51" s="108">
        <f t="shared" si="16"/>
        <v>0</v>
      </c>
      <c r="AQ51" s="108">
        <f t="shared" si="16"/>
        <v>0</v>
      </c>
      <c r="AR51" s="108">
        <f t="shared" si="16"/>
        <v>0</v>
      </c>
      <c r="AS51" s="108">
        <f t="shared" si="16"/>
        <v>0</v>
      </c>
      <c r="AT51" s="108">
        <f t="shared" si="16"/>
        <v>0</v>
      </c>
      <c r="AU51" s="108">
        <f t="shared" si="16"/>
        <v>0</v>
      </c>
      <c r="AV51" s="108">
        <f t="shared" si="16"/>
        <v>0</v>
      </c>
      <c r="AW51" s="108">
        <f t="shared" si="16"/>
        <v>0</v>
      </c>
      <c r="AX51" s="108">
        <f t="shared" si="16"/>
        <v>0</v>
      </c>
      <c r="AY51" s="108">
        <f t="shared" si="16"/>
        <v>0</v>
      </c>
    </row>
    <row r="52" spans="1:52">
      <c r="A52" s="108"/>
      <c r="B52" s="162" t="s">
        <v>349</v>
      </c>
      <c r="C52" s="108"/>
      <c r="D52" s="108">
        <v>1</v>
      </c>
      <c r="E52" s="108">
        <v>1</v>
      </c>
      <c r="F52" s="108">
        <v>2</v>
      </c>
      <c r="G52" s="108">
        <v>3</v>
      </c>
      <c r="H52" s="108">
        <v>1</v>
      </c>
      <c r="I52" s="108">
        <v>1</v>
      </c>
      <c r="J52" s="108">
        <v>2</v>
      </c>
      <c r="K52" s="108">
        <v>2</v>
      </c>
      <c r="L52" s="108">
        <v>2</v>
      </c>
      <c r="M52" s="108">
        <v>1</v>
      </c>
      <c r="N52" s="108">
        <v>1</v>
      </c>
      <c r="O52" s="108">
        <v>1</v>
      </c>
      <c r="P52" s="108">
        <v>2</v>
      </c>
      <c r="Q52" s="108">
        <v>2</v>
      </c>
      <c r="R52" s="108">
        <v>1</v>
      </c>
      <c r="S52" s="108">
        <v>1</v>
      </c>
      <c r="T52" s="108">
        <v>1</v>
      </c>
      <c r="U52" s="108">
        <v>2</v>
      </c>
      <c r="V52" s="108">
        <v>1</v>
      </c>
      <c r="W52" s="108">
        <v>1</v>
      </c>
      <c r="X52" s="108">
        <v>1</v>
      </c>
      <c r="Y52" s="108">
        <v>2</v>
      </c>
      <c r="Z52" s="108">
        <v>2</v>
      </c>
      <c r="AA52" s="108">
        <v>1</v>
      </c>
      <c r="AB52" s="108">
        <v>1</v>
      </c>
      <c r="AC52" s="108">
        <v>1</v>
      </c>
      <c r="AD52" s="108">
        <v>2</v>
      </c>
      <c r="AE52" s="108">
        <v>2</v>
      </c>
      <c r="AF52" s="108">
        <v>1</v>
      </c>
      <c r="AG52" s="108">
        <v>1</v>
      </c>
      <c r="AH52" s="108">
        <v>1</v>
      </c>
      <c r="AI52" s="108">
        <v>1</v>
      </c>
      <c r="AJ52" s="108">
        <v>1</v>
      </c>
      <c r="AK52" s="108">
        <v>1</v>
      </c>
      <c r="AL52" s="108">
        <v>3</v>
      </c>
      <c r="AM52" s="108">
        <v>1</v>
      </c>
      <c r="AN52" s="108">
        <v>1</v>
      </c>
      <c r="AO52" s="108">
        <v>1</v>
      </c>
      <c r="AP52" s="108">
        <v>1</v>
      </c>
      <c r="AQ52" s="108">
        <v>1</v>
      </c>
      <c r="AR52" s="108">
        <v>1</v>
      </c>
      <c r="AS52" s="108">
        <v>1</v>
      </c>
      <c r="AT52" s="108">
        <v>1</v>
      </c>
      <c r="AU52" s="108">
        <v>1</v>
      </c>
      <c r="AV52" s="108">
        <v>2</v>
      </c>
      <c r="AW52" s="108">
        <v>2</v>
      </c>
      <c r="AX52" s="108">
        <v>2</v>
      </c>
      <c r="AY52" s="108">
        <v>1</v>
      </c>
    </row>
    <row r="53" spans="1:52">
      <c r="A53" s="108"/>
      <c r="B53" s="173" t="s">
        <v>350</v>
      </c>
      <c r="C53" s="108"/>
      <c r="D53" s="108">
        <v>0</v>
      </c>
      <c r="E53" s="108">
        <v>0</v>
      </c>
      <c r="F53" s="108">
        <v>0</v>
      </c>
      <c r="G53" s="108">
        <v>0</v>
      </c>
      <c r="H53" s="108">
        <v>0</v>
      </c>
      <c r="I53" s="108">
        <v>0</v>
      </c>
      <c r="J53" s="108">
        <v>0</v>
      </c>
      <c r="K53" s="108">
        <v>0</v>
      </c>
      <c r="L53" s="108">
        <v>0</v>
      </c>
      <c r="M53" s="108">
        <v>0</v>
      </c>
      <c r="N53" s="108">
        <v>0</v>
      </c>
      <c r="O53" s="108">
        <v>0</v>
      </c>
      <c r="P53" s="108">
        <v>0</v>
      </c>
      <c r="Q53" s="108">
        <v>0</v>
      </c>
      <c r="R53" s="108">
        <v>0</v>
      </c>
      <c r="S53" s="108">
        <v>0</v>
      </c>
      <c r="T53" s="108">
        <v>0</v>
      </c>
      <c r="U53" s="108">
        <v>0</v>
      </c>
      <c r="V53" s="108">
        <v>0</v>
      </c>
      <c r="W53" s="108">
        <v>0</v>
      </c>
      <c r="X53" s="108">
        <v>0</v>
      </c>
      <c r="Y53" s="108">
        <v>0</v>
      </c>
      <c r="Z53" s="108">
        <v>0</v>
      </c>
      <c r="AA53" s="108">
        <v>0</v>
      </c>
      <c r="AB53" s="108">
        <v>0</v>
      </c>
      <c r="AC53" s="108">
        <v>0</v>
      </c>
      <c r="AD53" s="108">
        <v>0</v>
      </c>
      <c r="AE53" s="108">
        <v>0</v>
      </c>
      <c r="AF53" s="108">
        <v>0</v>
      </c>
      <c r="AG53" s="108">
        <v>0</v>
      </c>
      <c r="AH53" s="108">
        <v>0</v>
      </c>
      <c r="AI53" s="108">
        <v>0</v>
      </c>
      <c r="AJ53" s="108">
        <v>0</v>
      </c>
      <c r="AK53" s="108">
        <v>0</v>
      </c>
      <c r="AL53" s="108">
        <v>0</v>
      </c>
      <c r="AM53" s="108">
        <v>0</v>
      </c>
      <c r="AN53" s="108">
        <v>0</v>
      </c>
      <c r="AO53" s="108">
        <v>0</v>
      </c>
      <c r="AP53" s="108">
        <v>0</v>
      </c>
      <c r="AQ53" s="108">
        <v>0</v>
      </c>
      <c r="AR53" s="108">
        <v>0</v>
      </c>
      <c r="AS53" s="108">
        <v>0</v>
      </c>
      <c r="AT53" s="108">
        <v>0</v>
      </c>
      <c r="AU53" s="108">
        <v>0</v>
      </c>
      <c r="AV53" s="108">
        <v>0</v>
      </c>
      <c r="AW53" s="108">
        <v>0</v>
      </c>
      <c r="AX53" s="108">
        <v>0</v>
      </c>
      <c r="AY53" s="108">
        <v>0</v>
      </c>
      <c r="AZ53">
        <f>SUM($D$53:$AY$53)</f>
        <v>0</v>
      </c>
    </row>
    <row r="54" spans="1:52">
      <c r="A54" s="108"/>
      <c r="B54" s="173" t="s">
        <v>351</v>
      </c>
      <c r="C54" s="108"/>
      <c r="D54" s="108">
        <v>0</v>
      </c>
      <c r="E54" s="108">
        <v>0</v>
      </c>
      <c r="F54" s="108">
        <v>0</v>
      </c>
      <c r="G54" s="108">
        <v>0</v>
      </c>
      <c r="H54" s="108">
        <v>0</v>
      </c>
      <c r="I54" s="108">
        <v>0</v>
      </c>
      <c r="J54" s="108">
        <v>0</v>
      </c>
      <c r="K54" s="108">
        <v>0</v>
      </c>
      <c r="L54" s="108">
        <v>0</v>
      </c>
      <c r="M54" s="108">
        <v>0</v>
      </c>
      <c r="N54" s="108">
        <v>0</v>
      </c>
      <c r="O54" s="108">
        <v>0</v>
      </c>
      <c r="P54" s="108">
        <v>0</v>
      </c>
      <c r="Q54" s="108">
        <v>0</v>
      </c>
      <c r="R54" s="108">
        <v>0</v>
      </c>
      <c r="S54" s="108">
        <v>0</v>
      </c>
      <c r="T54" s="108">
        <v>0</v>
      </c>
      <c r="U54" s="108">
        <v>0</v>
      </c>
      <c r="V54" s="108">
        <v>0</v>
      </c>
      <c r="W54" s="108">
        <v>0</v>
      </c>
      <c r="X54" s="108">
        <v>0</v>
      </c>
      <c r="Y54" s="108">
        <v>0</v>
      </c>
      <c r="Z54" s="108">
        <v>0</v>
      </c>
      <c r="AA54" s="108">
        <v>0</v>
      </c>
      <c r="AB54" s="108">
        <v>0</v>
      </c>
      <c r="AC54" s="108">
        <v>0</v>
      </c>
      <c r="AD54" s="108">
        <v>0</v>
      </c>
      <c r="AE54" s="108">
        <v>0</v>
      </c>
      <c r="AF54" s="108">
        <v>0</v>
      </c>
      <c r="AG54" s="108">
        <v>0</v>
      </c>
      <c r="AH54" s="108">
        <v>0</v>
      </c>
      <c r="AI54" s="108">
        <v>0</v>
      </c>
      <c r="AJ54" s="108">
        <v>0</v>
      </c>
      <c r="AK54" s="108">
        <v>0</v>
      </c>
      <c r="AL54" s="108">
        <v>0</v>
      </c>
      <c r="AM54" s="108">
        <v>0</v>
      </c>
      <c r="AN54" s="108">
        <v>0</v>
      </c>
      <c r="AO54" s="108">
        <v>0</v>
      </c>
      <c r="AP54" s="108">
        <v>0</v>
      </c>
      <c r="AQ54" s="108">
        <v>0</v>
      </c>
      <c r="AR54" s="108">
        <v>0</v>
      </c>
      <c r="AS54" s="108">
        <v>0</v>
      </c>
      <c r="AT54" s="108">
        <v>0</v>
      </c>
      <c r="AU54" s="108">
        <v>0</v>
      </c>
      <c r="AV54" s="108">
        <v>0</v>
      </c>
      <c r="AW54" s="108">
        <v>0</v>
      </c>
      <c r="AX54" s="108">
        <v>0</v>
      </c>
      <c r="AY54" s="108">
        <v>0</v>
      </c>
      <c r="AZ54">
        <f>SUM($D$54:$AY$54)</f>
        <v>0</v>
      </c>
    </row>
    <row r="55" spans="1:52">
      <c r="A55" s="132" t="s">
        <v>59</v>
      </c>
      <c r="B55" s="132" t="s">
        <v>341</v>
      </c>
      <c r="C55" s="121"/>
      <c r="D55" s="121">
        <f>D$21*shipping_manufacturing!$F$29/100</f>
        <v>632.71513337225815</v>
      </c>
      <c r="E55" s="121">
        <f>E$21*shipping_manufacturing!$F$29/100</f>
        <v>613.71009798773321</v>
      </c>
      <c r="F55" s="121">
        <f>F$21*shipping_manufacturing!$F$29/100</f>
        <v>613.71009798773321</v>
      </c>
      <c r="G55" s="121">
        <f>G$21*shipping_manufacturing!$F$29/100</f>
        <v>613.71009798773321</v>
      </c>
      <c r="H55" s="121">
        <f>H$21*shipping_manufacturing!$F$29/100</f>
        <v>0</v>
      </c>
      <c r="I55" s="121">
        <f>I$21*shipping_manufacturing!$F$29/100</f>
        <v>1227.4201959754664</v>
      </c>
      <c r="J55" s="121">
        <f>J$21*shipping_manufacturing!$F$29/100</f>
        <v>613.71009798773321</v>
      </c>
      <c r="K55" s="121">
        <f>K$21*shipping_manufacturing!$F$29/100</f>
        <v>613.71009798773321</v>
      </c>
      <c r="L55" s="121">
        <f>L$21*shipping_manufacturing!$F$29/100</f>
        <v>613.71009798773321</v>
      </c>
      <c r="M55" s="121">
        <f>M$21*shipping_manufacturing!$F$29/100</f>
        <v>613.71009798773321</v>
      </c>
      <c r="N55" s="121">
        <f>N$21*shipping_manufacturing!$F$29/100</f>
        <v>613.71009798773321</v>
      </c>
      <c r="O55" s="121">
        <f>O$21*shipping_manufacturing!$F$29/100</f>
        <v>613.71009798773321</v>
      </c>
      <c r="P55" s="121">
        <f>P$21*shipping_manufacturing!$F$29/100</f>
        <v>613.71009798773321</v>
      </c>
      <c r="Q55" s="121">
        <f>Q$21*shipping_manufacturing!$F$29/100</f>
        <v>613.71009798773321</v>
      </c>
      <c r="R55" s="121">
        <f>R$21*shipping_manufacturing!$F$29/100</f>
        <v>613.71009798773321</v>
      </c>
      <c r="S55" s="121">
        <f>S$21*shipping_manufacturing!$F$29/100</f>
        <v>613.71009798773321</v>
      </c>
      <c r="T55" s="121">
        <f>T$21*shipping_manufacturing!$F$29/100</f>
        <v>0</v>
      </c>
      <c r="U55" s="121">
        <f>U$21*shipping_manufacturing!$F$29/100</f>
        <v>1114.2755925529586</v>
      </c>
      <c r="V55" s="121">
        <f>V$21*shipping_manufacturing!$F$29/100</f>
        <v>500.56549456522561</v>
      </c>
      <c r="W55" s="121">
        <f>W$21*shipping_manufacturing!$F$29/100</f>
        <v>500.56549456522561</v>
      </c>
      <c r="X55" s="121">
        <f>X$21*shipping_manufacturing!$F$29/100</f>
        <v>500.56549456522561</v>
      </c>
      <c r="Y55" s="121">
        <f>Y$21*shipping_manufacturing!$F$29/100</f>
        <v>613.71009798773321</v>
      </c>
      <c r="Z55" s="121">
        <f>Z$21*shipping_manufacturing!$F$29/100</f>
        <v>613.71009798773321</v>
      </c>
      <c r="AA55" s="121">
        <f>AA$21*shipping_manufacturing!$F$29/100</f>
        <v>613.71009798773321</v>
      </c>
      <c r="AB55" s="121">
        <f>AB$21*shipping_manufacturing!$F$29/100</f>
        <v>613.71009798773321</v>
      </c>
      <c r="AC55" s="121">
        <f>AC$21*shipping_manufacturing!$F$29/100</f>
        <v>726.85470141024086</v>
      </c>
      <c r="AD55" s="121">
        <f>AD$21*shipping_manufacturing!$F$29/100</f>
        <v>726.85470141024086</v>
      </c>
      <c r="AE55" s="121">
        <f>AE$21*shipping_manufacturing!$F$29/100</f>
        <v>726.85470141024086</v>
      </c>
      <c r="AF55" s="121">
        <f>AF$21*shipping_manufacturing!$F$29/100</f>
        <v>0</v>
      </c>
      <c r="AG55" s="121">
        <f>AG$21*shipping_manufacturing!$F$29/100</f>
        <v>1453.7094028204817</v>
      </c>
      <c r="AH55" s="121">
        <f>AH$21*shipping_manufacturing!$F$29/100</f>
        <v>726.85470141024086</v>
      </c>
      <c r="AI55" s="121">
        <f>AI$21*shipping_manufacturing!$F$29/100</f>
        <v>726.85470141024086</v>
      </c>
      <c r="AJ55" s="121">
        <f>AJ$21*shipping_manufacturing!$F$29/100</f>
        <v>726.85470141024086</v>
      </c>
      <c r="AK55" s="121">
        <f>AK$21*shipping_manufacturing!$F$29/100</f>
        <v>613.71009798773321</v>
      </c>
      <c r="AL55" s="121">
        <f>AL$21*shipping_manufacturing!$F$29/100</f>
        <v>613.71009798773321</v>
      </c>
      <c r="AM55" s="121">
        <f>AM$21*shipping_manufacturing!$F$29/100</f>
        <v>613.71009798773321</v>
      </c>
      <c r="AN55" s="121">
        <f>AN$21*shipping_manufacturing!$F$29/100</f>
        <v>613.71009798773321</v>
      </c>
      <c r="AO55" s="121">
        <f>AO$21*shipping_manufacturing!$F$29/100</f>
        <v>613.71009798773321</v>
      </c>
      <c r="AP55" s="121">
        <f>AP$21*shipping_manufacturing!$F$29/100</f>
        <v>613.71009798773321</v>
      </c>
      <c r="AQ55" s="121">
        <f>AQ$21*shipping_manufacturing!$F$29/100</f>
        <v>613.71009798773321</v>
      </c>
      <c r="AR55" s="121">
        <f>AR$21*shipping_manufacturing!$F$29/100</f>
        <v>613.71009798773321</v>
      </c>
      <c r="AS55" s="121">
        <f>AS$21*shipping_manufacturing!$F$29/100</f>
        <v>500.56549456522561</v>
      </c>
      <c r="AT55" s="121">
        <f>AT$21*shipping_manufacturing!$F$29/100</f>
        <v>500.56549456522561</v>
      </c>
      <c r="AU55" s="121">
        <f>AU$21*shipping_manufacturing!$F$29/100</f>
        <v>500.56549456522561</v>
      </c>
      <c r="AV55" s="121">
        <f>AV$21*shipping_manufacturing!$F$29/100</f>
        <v>500.56549456522561</v>
      </c>
      <c r="AW55" s="121">
        <f>AW$21*shipping_manufacturing!$F$29/100</f>
        <v>726.85470141024086</v>
      </c>
      <c r="AX55" s="121">
        <f>AX$21*shipping_manufacturing!$F$29/100</f>
        <v>726.85470141024086</v>
      </c>
      <c r="AY55" s="121">
        <f>AY$21*shipping_manufacturing!$F$29/100</f>
        <v>726.85470141024086</v>
      </c>
    </row>
    <row r="56" spans="1:52">
      <c r="A56" s="110" t="s">
        <v>340</v>
      </c>
      <c r="B56" s="162" t="s">
        <v>342</v>
      </c>
      <c r="C56" s="108"/>
      <c r="D56" s="108">
        <f>D$22*shipping_manufacturing!$G$29/100</f>
        <v>714.11515878752175</v>
      </c>
      <c r="E56" s="108">
        <f>E$22*shipping_manufacturing!$G$29/100</f>
        <v>692.66508884996961</v>
      </c>
      <c r="F56" s="108">
        <f>F$22*shipping_manufacturing!$G$29/100</f>
        <v>692.66508884996961</v>
      </c>
      <c r="G56" s="108">
        <f>G$22*shipping_manufacturing!$G$29/100</f>
        <v>692.66508884996961</v>
      </c>
      <c r="H56" s="108">
        <f>H$22*shipping_manufacturing!$G$29/100</f>
        <v>0</v>
      </c>
      <c r="I56" s="108">
        <f>I$22*shipping_manufacturing!$G$29/100</f>
        <v>1385.3301776999392</v>
      </c>
      <c r="J56" s="108">
        <f>J$22*shipping_manufacturing!$G$29/100</f>
        <v>692.66508884996961</v>
      </c>
      <c r="K56" s="108">
        <f>K$22*shipping_manufacturing!$G$29/100</f>
        <v>692.66508884996961</v>
      </c>
      <c r="L56" s="108">
        <f>L$22*shipping_manufacturing!$G$29/100</f>
        <v>692.66508884996961</v>
      </c>
      <c r="M56" s="108">
        <f>M$22*shipping_manufacturing!$G$29/100</f>
        <v>692.66508884996961</v>
      </c>
      <c r="N56" s="108">
        <f>N$22*shipping_manufacturing!$G$29/100</f>
        <v>692.66508884996961</v>
      </c>
      <c r="O56" s="108">
        <f>O$22*shipping_manufacturing!$G$29/100</f>
        <v>692.66508884996961</v>
      </c>
      <c r="P56" s="108">
        <f>P$22*shipping_manufacturing!$G$29/100</f>
        <v>692.66508884996961</v>
      </c>
      <c r="Q56" s="108">
        <f>Q$22*shipping_manufacturing!$G$29/100</f>
        <v>692.66508884996961</v>
      </c>
      <c r="R56" s="108">
        <f>R$22*shipping_manufacturing!$G$29/100</f>
        <v>692.66508884996961</v>
      </c>
      <c r="S56" s="108">
        <f>S$22*shipping_manufacturing!$G$29/100</f>
        <v>692.66508884996961</v>
      </c>
      <c r="T56" s="108">
        <f>T$22*shipping_manufacturing!$G$29/100</f>
        <v>0</v>
      </c>
      <c r="U56" s="108">
        <f>U$22*shipping_manufacturing!$G$29/100</f>
        <v>1257.6293022548164</v>
      </c>
      <c r="V56" s="108">
        <f>V$22*shipping_manufacturing!$G$29/100</f>
        <v>564.96421340484665</v>
      </c>
      <c r="W56" s="108">
        <f>W$22*shipping_manufacturing!$G$29/100</f>
        <v>564.96421340484665</v>
      </c>
      <c r="X56" s="108">
        <f>X$22*shipping_manufacturing!$G$29/100</f>
        <v>564.96421340484665</v>
      </c>
      <c r="Y56" s="108">
        <f>Y$22*shipping_manufacturing!$G$29/100</f>
        <v>692.66508884996961</v>
      </c>
      <c r="Z56" s="108">
        <f>Z$22*shipping_manufacturing!$G$29/100</f>
        <v>692.66508884996961</v>
      </c>
      <c r="AA56" s="108">
        <f>AA$22*shipping_manufacturing!$G$29/100</f>
        <v>692.66508884996961</v>
      </c>
      <c r="AB56" s="108">
        <f>AB$22*shipping_manufacturing!$G$29/100</f>
        <v>692.66508884996961</v>
      </c>
      <c r="AC56" s="108">
        <f>AC$22*shipping_manufacturing!$G$29/100</f>
        <v>820.36596429509291</v>
      </c>
      <c r="AD56" s="108">
        <f>AD$22*shipping_manufacturing!$G$29/100</f>
        <v>820.36596429509291</v>
      </c>
      <c r="AE56" s="108">
        <f>AE$22*shipping_manufacturing!$G$29/100</f>
        <v>820.36596429509291</v>
      </c>
      <c r="AF56" s="108">
        <f>AF$22*shipping_manufacturing!$G$29/100</f>
        <v>0</v>
      </c>
      <c r="AG56" s="108">
        <f>AG$22*shipping_manufacturing!$G$29/100</f>
        <v>1640.7319285901858</v>
      </c>
      <c r="AH56" s="108">
        <f>AH$22*shipping_manufacturing!$G$29/100</f>
        <v>820.36596429509291</v>
      </c>
      <c r="AI56" s="108">
        <f>AI$22*shipping_manufacturing!$G$29/100</f>
        <v>820.36596429509291</v>
      </c>
      <c r="AJ56" s="108">
        <f>AJ$22*shipping_manufacturing!$G$29/100</f>
        <v>820.36596429509291</v>
      </c>
      <c r="AK56" s="108">
        <f>AK$22*shipping_manufacturing!$G$29/100</f>
        <v>692.66508884996961</v>
      </c>
      <c r="AL56" s="108">
        <f>AL$22*shipping_manufacturing!$G$29/100</f>
        <v>692.66508884996961</v>
      </c>
      <c r="AM56" s="108">
        <f>AM$22*shipping_manufacturing!$G$29/100</f>
        <v>692.66508884996961</v>
      </c>
      <c r="AN56" s="108">
        <f>AN$22*shipping_manufacturing!$G$29/100</f>
        <v>692.66508884996961</v>
      </c>
      <c r="AO56" s="108">
        <f>AO$22*shipping_manufacturing!$G$29/100</f>
        <v>692.66508884996961</v>
      </c>
      <c r="AP56" s="108">
        <f>AP$22*shipping_manufacturing!$G$29/100</f>
        <v>692.66508884996961</v>
      </c>
      <c r="AQ56" s="108">
        <f>AQ$22*shipping_manufacturing!$G$29/100</f>
        <v>692.66508884996961</v>
      </c>
      <c r="AR56" s="108">
        <f>AR$22*shipping_manufacturing!$G$29/100</f>
        <v>692.66508884996961</v>
      </c>
      <c r="AS56" s="108">
        <f>AS$22*shipping_manufacturing!$G$29/100</f>
        <v>564.96421340484665</v>
      </c>
      <c r="AT56" s="108">
        <f>AT$22*shipping_manufacturing!$G$29/100</f>
        <v>564.96421340484665</v>
      </c>
      <c r="AU56" s="108">
        <f>AU$22*shipping_manufacturing!$G$29/100</f>
        <v>564.96421340484665</v>
      </c>
      <c r="AV56" s="108">
        <f>AV$22*shipping_manufacturing!$G$29/100</f>
        <v>564.96421340484665</v>
      </c>
      <c r="AW56" s="108">
        <f>AW$22*shipping_manufacturing!$G$29/100</f>
        <v>820.36596429509291</v>
      </c>
      <c r="AX56" s="108">
        <f>AX$22*shipping_manufacturing!$G$29/100</f>
        <v>820.36596429509291</v>
      </c>
      <c r="AY56" s="108">
        <f>AY$22*shipping_manufacturing!$G$29/100</f>
        <v>820.36596429509291</v>
      </c>
    </row>
    <row r="57" spans="1:52">
      <c r="A57" s="108">
        <v>495</v>
      </c>
      <c r="B57" s="162" t="s">
        <v>343</v>
      </c>
      <c r="C57" s="108"/>
      <c r="D57" s="108">
        <f>SUM(D55:D56)</f>
        <v>1346.8302921597799</v>
      </c>
      <c r="E57" s="108">
        <f t="shared" ref="E57:AY57" si="17">SUM(E55:E56)</f>
        <v>1306.3751868377028</v>
      </c>
      <c r="F57" s="108">
        <f t="shared" si="17"/>
        <v>1306.3751868377028</v>
      </c>
      <c r="G57" s="108">
        <f t="shared" si="17"/>
        <v>1306.3751868377028</v>
      </c>
      <c r="H57" s="108">
        <f t="shared" si="17"/>
        <v>0</v>
      </c>
      <c r="I57" s="108">
        <f t="shared" si="17"/>
        <v>2612.7503736754056</v>
      </c>
      <c r="J57" s="108">
        <f t="shared" si="17"/>
        <v>1306.3751868377028</v>
      </c>
      <c r="K57" s="108">
        <f t="shared" si="17"/>
        <v>1306.3751868377028</v>
      </c>
      <c r="L57" s="108">
        <f t="shared" si="17"/>
        <v>1306.3751868377028</v>
      </c>
      <c r="M57" s="108">
        <f t="shared" si="17"/>
        <v>1306.3751868377028</v>
      </c>
      <c r="N57" s="108">
        <f t="shared" si="17"/>
        <v>1306.3751868377028</v>
      </c>
      <c r="O57" s="108">
        <f t="shared" si="17"/>
        <v>1306.3751868377028</v>
      </c>
      <c r="P57" s="108">
        <f t="shared" si="17"/>
        <v>1306.3751868377028</v>
      </c>
      <c r="Q57" s="108">
        <f t="shared" si="17"/>
        <v>1306.3751868377028</v>
      </c>
      <c r="R57" s="108">
        <f t="shared" si="17"/>
        <v>1306.3751868377028</v>
      </c>
      <c r="S57" s="108">
        <f t="shared" si="17"/>
        <v>1306.3751868377028</v>
      </c>
      <c r="T57" s="108">
        <f t="shared" si="17"/>
        <v>0</v>
      </c>
      <c r="U57" s="108">
        <f t="shared" si="17"/>
        <v>2371.9048948077752</v>
      </c>
      <c r="V57" s="108">
        <f t="shared" si="17"/>
        <v>1065.5297079700722</v>
      </c>
      <c r="W57" s="108">
        <f t="shared" si="17"/>
        <v>1065.5297079700722</v>
      </c>
      <c r="X57" s="108">
        <f t="shared" si="17"/>
        <v>1065.5297079700722</v>
      </c>
      <c r="Y57" s="108">
        <f t="shared" si="17"/>
        <v>1306.3751868377028</v>
      </c>
      <c r="Z57" s="108">
        <f t="shared" si="17"/>
        <v>1306.3751868377028</v>
      </c>
      <c r="AA57" s="108">
        <f t="shared" si="17"/>
        <v>1306.3751868377028</v>
      </c>
      <c r="AB57" s="108">
        <f t="shared" si="17"/>
        <v>1306.3751868377028</v>
      </c>
      <c r="AC57" s="108">
        <f t="shared" si="17"/>
        <v>1547.2206657053339</v>
      </c>
      <c r="AD57" s="108">
        <f t="shared" si="17"/>
        <v>1547.2206657053339</v>
      </c>
      <c r="AE57" s="108">
        <f t="shared" si="17"/>
        <v>1547.2206657053339</v>
      </c>
      <c r="AF57" s="108">
        <f t="shared" si="17"/>
        <v>0</v>
      </c>
      <c r="AG57" s="108">
        <f t="shared" si="17"/>
        <v>3094.4413314106678</v>
      </c>
      <c r="AH57" s="108">
        <f t="shared" si="17"/>
        <v>1547.2206657053339</v>
      </c>
      <c r="AI57" s="108">
        <f t="shared" si="17"/>
        <v>1547.2206657053339</v>
      </c>
      <c r="AJ57" s="108">
        <f t="shared" si="17"/>
        <v>1547.2206657053339</v>
      </c>
      <c r="AK57" s="108">
        <f t="shared" si="17"/>
        <v>1306.3751868377028</v>
      </c>
      <c r="AL57" s="108">
        <f t="shared" si="17"/>
        <v>1306.3751868377028</v>
      </c>
      <c r="AM57" s="108">
        <f t="shared" si="17"/>
        <v>1306.3751868377028</v>
      </c>
      <c r="AN57" s="108">
        <f t="shared" si="17"/>
        <v>1306.3751868377028</v>
      </c>
      <c r="AO57" s="108">
        <f t="shared" si="17"/>
        <v>1306.3751868377028</v>
      </c>
      <c r="AP57" s="108">
        <f t="shared" si="17"/>
        <v>1306.3751868377028</v>
      </c>
      <c r="AQ57" s="108">
        <f t="shared" si="17"/>
        <v>1306.3751868377028</v>
      </c>
      <c r="AR57" s="108">
        <f t="shared" si="17"/>
        <v>1306.3751868377028</v>
      </c>
      <c r="AS57" s="108">
        <f t="shared" si="17"/>
        <v>1065.5297079700722</v>
      </c>
      <c r="AT57" s="108">
        <f t="shared" si="17"/>
        <v>1065.5297079700722</v>
      </c>
      <c r="AU57" s="108">
        <f t="shared" si="17"/>
        <v>1065.5297079700722</v>
      </c>
      <c r="AV57" s="108">
        <f t="shared" si="17"/>
        <v>1065.5297079700722</v>
      </c>
      <c r="AW57" s="108">
        <f t="shared" si="17"/>
        <v>1547.2206657053339</v>
      </c>
      <c r="AX57" s="108">
        <f t="shared" si="17"/>
        <v>1547.2206657053339</v>
      </c>
      <c r="AY57" s="108">
        <f t="shared" si="17"/>
        <v>1547.2206657053339</v>
      </c>
    </row>
    <row r="58" spans="1:52">
      <c r="A58" s="108"/>
      <c r="B58" s="162" t="s">
        <v>344</v>
      </c>
      <c r="C58" s="108"/>
      <c r="D58" s="108"/>
      <c r="E58" s="108">
        <v>211.40140051419237</v>
      </c>
      <c r="F58" s="108"/>
      <c r="G58" s="108">
        <v>211.40140051419237</v>
      </c>
      <c r="H58" s="108"/>
      <c r="I58" s="108">
        <v>211.40140051419235</v>
      </c>
      <c r="J58" s="108"/>
      <c r="K58" s="108">
        <v>211.40140051419237</v>
      </c>
      <c r="L58" s="108"/>
      <c r="M58" s="108">
        <v>211.40140051419237</v>
      </c>
      <c r="N58" s="108"/>
      <c r="O58" s="108">
        <v>211.40140051419237</v>
      </c>
      <c r="P58" s="108"/>
      <c r="Q58" s="108">
        <v>211.40140051419237</v>
      </c>
      <c r="R58" s="108"/>
      <c r="S58" s="108">
        <v>211.40140051419237</v>
      </c>
      <c r="T58" s="108"/>
      <c r="U58" s="108">
        <v>211.40140051419223</v>
      </c>
      <c r="V58" s="108"/>
      <c r="W58" s="108">
        <v>211.40140051419215</v>
      </c>
      <c r="X58" s="108"/>
      <c r="Y58" s="108">
        <v>211.40140051419237</v>
      </c>
      <c r="Z58" s="108"/>
      <c r="AA58" s="108">
        <v>211.40140051419237</v>
      </c>
      <c r="AB58" s="108"/>
      <c r="AC58" s="108">
        <v>211.40140051419237</v>
      </c>
      <c r="AD58" s="108"/>
      <c r="AE58" s="108">
        <v>211.40140051419237</v>
      </c>
      <c r="AF58" s="108"/>
      <c r="AG58" s="108">
        <v>211.40140051419223</v>
      </c>
      <c r="AH58" s="108"/>
      <c r="AI58" s="108">
        <v>211.40140051419237</v>
      </c>
      <c r="AJ58" s="108"/>
      <c r="AK58" s="108">
        <v>211.40140051419237</v>
      </c>
      <c r="AL58" s="108"/>
      <c r="AM58" s="108">
        <v>211.40140051419237</v>
      </c>
      <c r="AN58" s="108"/>
      <c r="AO58" s="108">
        <v>211.40140051419237</v>
      </c>
      <c r="AP58" s="108"/>
      <c r="AQ58" s="108">
        <v>211.40140051419237</v>
      </c>
      <c r="AR58" s="108"/>
      <c r="AS58" s="108">
        <v>211.40140051419215</v>
      </c>
      <c r="AT58" s="108"/>
      <c r="AU58" s="108">
        <v>211.40140051419215</v>
      </c>
      <c r="AV58" s="108"/>
      <c r="AW58" s="108">
        <v>211.40140051419237</v>
      </c>
      <c r="AX58" s="108"/>
      <c r="AY58" s="108">
        <v>211.40140051419237</v>
      </c>
    </row>
    <row r="59" spans="1:52">
      <c r="A59" s="108"/>
      <c r="B59" s="162" t="s">
        <v>345</v>
      </c>
      <c r="C59" s="108"/>
      <c r="D59" s="108"/>
      <c r="E59" s="108">
        <v>238.59859948580763</v>
      </c>
      <c r="F59" s="108"/>
      <c r="G59" s="108">
        <v>238.59859948580763</v>
      </c>
      <c r="H59" s="108"/>
      <c r="I59" s="108">
        <v>238.59859948580765</v>
      </c>
      <c r="J59" s="108"/>
      <c r="K59" s="108">
        <v>238.59859948580763</v>
      </c>
      <c r="L59" s="108"/>
      <c r="M59" s="108">
        <v>238.59859948580763</v>
      </c>
      <c r="N59" s="108"/>
      <c r="O59" s="108">
        <v>238.59859948580763</v>
      </c>
      <c r="P59" s="108"/>
      <c r="Q59" s="108">
        <v>238.59859948580763</v>
      </c>
      <c r="R59" s="108"/>
      <c r="S59" s="108">
        <v>238.59859948580763</v>
      </c>
      <c r="T59" s="108"/>
      <c r="U59" s="108">
        <v>238.59859948580765</v>
      </c>
      <c r="V59" s="108"/>
      <c r="W59" s="108">
        <v>238.5985994858078</v>
      </c>
      <c r="X59" s="108"/>
      <c r="Y59" s="108">
        <v>238.59859948580763</v>
      </c>
      <c r="Z59" s="108"/>
      <c r="AA59" s="108">
        <v>238.59859948580763</v>
      </c>
      <c r="AB59" s="108"/>
      <c r="AC59" s="108">
        <v>238.59859948580763</v>
      </c>
      <c r="AD59" s="108"/>
      <c r="AE59" s="108">
        <v>238.59859948580763</v>
      </c>
      <c r="AF59" s="108"/>
      <c r="AG59" s="108">
        <v>238.59859948580765</v>
      </c>
      <c r="AH59" s="108"/>
      <c r="AI59" s="108">
        <v>238.59859948580763</v>
      </c>
      <c r="AJ59" s="108"/>
      <c r="AK59" s="108">
        <v>238.59859948580763</v>
      </c>
      <c r="AL59" s="108"/>
      <c r="AM59" s="108">
        <v>238.59859948580763</v>
      </c>
      <c r="AN59" s="108"/>
      <c r="AO59" s="108">
        <v>238.59859948580763</v>
      </c>
      <c r="AP59" s="108"/>
      <c r="AQ59" s="108">
        <v>238.59859948580763</v>
      </c>
      <c r="AR59" s="108"/>
      <c r="AS59" s="108">
        <v>238.5985994858078</v>
      </c>
      <c r="AT59" s="108"/>
      <c r="AU59" s="108">
        <v>238.5985994858078</v>
      </c>
      <c r="AV59" s="108"/>
      <c r="AW59" s="108">
        <v>238.59859948580763</v>
      </c>
      <c r="AX59" s="108"/>
      <c r="AY59" s="108">
        <v>238.59859948580763</v>
      </c>
    </row>
    <row r="60" spans="1:52">
      <c r="A60" s="108"/>
      <c r="B60" s="162" t="s">
        <v>346</v>
      </c>
      <c r="C60" s="108"/>
      <c r="D60" s="108"/>
      <c r="E60" s="108">
        <v>15</v>
      </c>
      <c r="F60" s="108"/>
      <c r="G60" s="108">
        <v>15</v>
      </c>
      <c r="H60" s="108"/>
      <c r="I60" s="108">
        <v>15</v>
      </c>
      <c r="J60" s="108"/>
      <c r="K60" s="108">
        <v>15</v>
      </c>
      <c r="L60" s="108"/>
      <c r="M60" s="108">
        <v>15</v>
      </c>
      <c r="N60" s="108"/>
      <c r="O60" s="108">
        <v>15</v>
      </c>
      <c r="P60" s="108"/>
      <c r="Q60" s="108">
        <v>15</v>
      </c>
      <c r="R60" s="108"/>
      <c r="S60" s="108">
        <v>15</v>
      </c>
      <c r="T60" s="108"/>
      <c r="U60" s="108">
        <v>15</v>
      </c>
      <c r="V60" s="108"/>
      <c r="W60" s="108">
        <v>15</v>
      </c>
      <c r="X60" s="108"/>
      <c r="Y60" s="108">
        <v>15</v>
      </c>
      <c r="Z60" s="108"/>
      <c r="AA60" s="108">
        <v>15</v>
      </c>
      <c r="AB60" s="108"/>
      <c r="AC60" s="108">
        <v>15</v>
      </c>
      <c r="AD60" s="108"/>
      <c r="AE60" s="108">
        <v>15</v>
      </c>
      <c r="AF60" s="108"/>
      <c r="AG60" s="108">
        <v>15</v>
      </c>
      <c r="AH60" s="108"/>
      <c r="AI60" s="108">
        <v>15</v>
      </c>
      <c r="AJ60" s="108"/>
      <c r="AK60" s="108">
        <v>15</v>
      </c>
      <c r="AL60" s="108"/>
      <c r="AM60" s="108">
        <v>15</v>
      </c>
      <c r="AN60" s="108"/>
      <c r="AO60" s="108">
        <v>15</v>
      </c>
      <c r="AP60" s="108"/>
      <c r="AQ60" s="108">
        <v>15</v>
      </c>
      <c r="AR60" s="108"/>
      <c r="AS60" s="108">
        <v>15</v>
      </c>
      <c r="AT60" s="108"/>
      <c r="AU60" s="108">
        <v>15</v>
      </c>
      <c r="AV60" s="108"/>
      <c r="AW60" s="108">
        <v>15</v>
      </c>
      <c r="AX60" s="108"/>
      <c r="AY60" s="108">
        <v>15</v>
      </c>
    </row>
    <row r="61" spans="1:52">
      <c r="A61" s="108"/>
      <c r="B61" s="162" t="s">
        <v>347</v>
      </c>
      <c r="C61" s="108"/>
      <c r="D61" s="108">
        <f>D55-D58</f>
        <v>632.71513337225815</v>
      </c>
      <c r="E61" s="108">
        <f t="shared" ref="E61:AY61" si="18">E55-E58</f>
        <v>402.30869747354086</v>
      </c>
      <c r="F61" s="108">
        <f t="shared" si="18"/>
        <v>613.71009798773321</v>
      </c>
      <c r="G61" s="108">
        <f t="shared" si="18"/>
        <v>402.30869747354086</v>
      </c>
      <c r="H61" s="108">
        <f t="shared" si="18"/>
        <v>0</v>
      </c>
      <c r="I61" s="108">
        <f t="shared" si="18"/>
        <v>1016.0187954612741</v>
      </c>
      <c r="J61" s="108">
        <f t="shared" si="18"/>
        <v>613.71009798773321</v>
      </c>
      <c r="K61" s="108">
        <f t="shared" si="18"/>
        <v>402.30869747354086</v>
      </c>
      <c r="L61" s="108">
        <f t="shared" si="18"/>
        <v>613.71009798773321</v>
      </c>
      <c r="M61" s="108">
        <f t="shared" si="18"/>
        <v>402.30869747354086</v>
      </c>
      <c r="N61" s="108">
        <f t="shared" si="18"/>
        <v>613.71009798773321</v>
      </c>
      <c r="O61" s="108">
        <f t="shared" si="18"/>
        <v>402.30869747354086</v>
      </c>
      <c r="P61" s="108">
        <f t="shared" si="18"/>
        <v>613.71009798773321</v>
      </c>
      <c r="Q61" s="108">
        <f t="shared" si="18"/>
        <v>402.30869747354086</v>
      </c>
      <c r="R61" s="108">
        <f t="shared" si="18"/>
        <v>613.71009798773321</v>
      </c>
      <c r="S61" s="108">
        <f t="shared" si="18"/>
        <v>402.30869747354086</v>
      </c>
      <c r="T61" s="108">
        <f t="shared" si="18"/>
        <v>0</v>
      </c>
      <c r="U61" s="108">
        <f t="shared" si="18"/>
        <v>902.87419203876641</v>
      </c>
      <c r="V61" s="108">
        <f t="shared" si="18"/>
        <v>500.56549456522561</v>
      </c>
      <c r="W61" s="108">
        <f t="shared" si="18"/>
        <v>289.16409405103343</v>
      </c>
      <c r="X61" s="108">
        <f t="shared" si="18"/>
        <v>500.56549456522561</v>
      </c>
      <c r="Y61" s="108">
        <f t="shared" si="18"/>
        <v>402.30869747354086</v>
      </c>
      <c r="Z61" s="108">
        <f t="shared" si="18"/>
        <v>613.71009798773321</v>
      </c>
      <c r="AA61" s="108">
        <f t="shared" si="18"/>
        <v>402.30869747354086</v>
      </c>
      <c r="AB61" s="108">
        <f t="shared" si="18"/>
        <v>613.71009798773321</v>
      </c>
      <c r="AC61" s="108">
        <f t="shared" si="18"/>
        <v>515.45330089604852</v>
      </c>
      <c r="AD61" s="108">
        <f t="shared" si="18"/>
        <v>726.85470141024086</v>
      </c>
      <c r="AE61" s="108">
        <f t="shared" si="18"/>
        <v>515.45330089604852</v>
      </c>
      <c r="AF61" s="108">
        <f t="shared" si="18"/>
        <v>0</v>
      </c>
      <c r="AG61" s="108">
        <f t="shared" si="18"/>
        <v>1242.3080023062894</v>
      </c>
      <c r="AH61" s="108">
        <f t="shared" si="18"/>
        <v>726.85470141024086</v>
      </c>
      <c r="AI61" s="108">
        <f t="shared" si="18"/>
        <v>515.45330089604852</v>
      </c>
      <c r="AJ61" s="108">
        <f t="shared" si="18"/>
        <v>726.85470141024086</v>
      </c>
      <c r="AK61" s="108">
        <f t="shared" si="18"/>
        <v>402.30869747354086</v>
      </c>
      <c r="AL61" s="108">
        <f t="shared" si="18"/>
        <v>613.71009798773321</v>
      </c>
      <c r="AM61" s="108">
        <f t="shared" si="18"/>
        <v>402.30869747354086</v>
      </c>
      <c r="AN61" s="108">
        <f t="shared" si="18"/>
        <v>613.71009798773321</v>
      </c>
      <c r="AO61" s="108">
        <f t="shared" si="18"/>
        <v>402.30869747354086</v>
      </c>
      <c r="AP61" s="108">
        <f t="shared" si="18"/>
        <v>613.71009798773321</v>
      </c>
      <c r="AQ61" s="108">
        <f t="shared" si="18"/>
        <v>402.30869747354086</v>
      </c>
      <c r="AR61" s="108">
        <f t="shared" si="18"/>
        <v>613.71009798773321</v>
      </c>
      <c r="AS61" s="108">
        <f t="shared" si="18"/>
        <v>289.16409405103343</v>
      </c>
      <c r="AT61" s="108">
        <f t="shared" si="18"/>
        <v>500.56549456522561</v>
      </c>
      <c r="AU61" s="108">
        <f t="shared" si="18"/>
        <v>289.16409405103343</v>
      </c>
      <c r="AV61" s="108">
        <f t="shared" si="18"/>
        <v>500.56549456522561</v>
      </c>
      <c r="AW61" s="108">
        <f t="shared" si="18"/>
        <v>515.45330089604852</v>
      </c>
      <c r="AX61" s="108">
        <f t="shared" si="18"/>
        <v>726.85470141024086</v>
      </c>
      <c r="AY61" s="108">
        <f t="shared" si="18"/>
        <v>515.45330089604852</v>
      </c>
    </row>
    <row r="62" spans="1:52">
      <c r="A62" s="108"/>
      <c r="B62" s="162" t="s">
        <v>348</v>
      </c>
      <c r="C62" s="108"/>
      <c r="D62" s="108">
        <f>D56-D59</f>
        <v>714.11515878752175</v>
      </c>
      <c r="E62" s="108">
        <f t="shared" ref="E62:AY62" si="19">E56-E59</f>
        <v>454.06648936416195</v>
      </c>
      <c r="F62" s="108">
        <f t="shared" si="19"/>
        <v>692.66508884996961</v>
      </c>
      <c r="G62" s="108">
        <f t="shared" si="19"/>
        <v>454.06648936416195</v>
      </c>
      <c r="H62" s="108">
        <f t="shared" si="19"/>
        <v>0</v>
      </c>
      <c r="I62" s="108">
        <f t="shared" si="19"/>
        <v>1146.7315782141316</v>
      </c>
      <c r="J62" s="108">
        <f t="shared" si="19"/>
        <v>692.66508884996961</v>
      </c>
      <c r="K62" s="108">
        <f t="shared" si="19"/>
        <v>454.06648936416195</v>
      </c>
      <c r="L62" s="108">
        <f t="shared" si="19"/>
        <v>692.66508884996961</v>
      </c>
      <c r="M62" s="108">
        <f t="shared" si="19"/>
        <v>454.06648936416195</v>
      </c>
      <c r="N62" s="108">
        <f t="shared" si="19"/>
        <v>692.66508884996961</v>
      </c>
      <c r="O62" s="108">
        <f t="shared" si="19"/>
        <v>454.06648936416195</v>
      </c>
      <c r="P62" s="108">
        <f t="shared" si="19"/>
        <v>692.66508884996961</v>
      </c>
      <c r="Q62" s="108">
        <f t="shared" si="19"/>
        <v>454.06648936416195</v>
      </c>
      <c r="R62" s="108">
        <f t="shared" si="19"/>
        <v>692.66508884996961</v>
      </c>
      <c r="S62" s="108">
        <f t="shared" si="19"/>
        <v>454.06648936416195</v>
      </c>
      <c r="T62" s="108">
        <f t="shared" si="19"/>
        <v>0</v>
      </c>
      <c r="U62" s="108">
        <f t="shared" si="19"/>
        <v>1019.0307027690087</v>
      </c>
      <c r="V62" s="108">
        <f t="shared" si="19"/>
        <v>564.96421340484665</v>
      </c>
      <c r="W62" s="108">
        <f t="shared" si="19"/>
        <v>326.36561391903888</v>
      </c>
      <c r="X62" s="108">
        <f t="shared" si="19"/>
        <v>564.96421340484665</v>
      </c>
      <c r="Y62" s="108">
        <f t="shared" si="19"/>
        <v>454.06648936416195</v>
      </c>
      <c r="Z62" s="108">
        <f t="shared" si="19"/>
        <v>692.66508884996961</v>
      </c>
      <c r="AA62" s="108">
        <f t="shared" si="19"/>
        <v>454.06648936416195</v>
      </c>
      <c r="AB62" s="108">
        <f t="shared" si="19"/>
        <v>692.66508884996961</v>
      </c>
      <c r="AC62" s="108">
        <f t="shared" si="19"/>
        <v>581.76736480928525</v>
      </c>
      <c r="AD62" s="108">
        <f t="shared" si="19"/>
        <v>820.36596429509291</v>
      </c>
      <c r="AE62" s="108">
        <f t="shared" si="19"/>
        <v>581.76736480928525</v>
      </c>
      <c r="AF62" s="108">
        <f t="shared" si="19"/>
        <v>0</v>
      </c>
      <c r="AG62" s="108">
        <f t="shared" si="19"/>
        <v>1402.1333291043782</v>
      </c>
      <c r="AH62" s="108">
        <f t="shared" si="19"/>
        <v>820.36596429509291</v>
      </c>
      <c r="AI62" s="108">
        <f t="shared" si="19"/>
        <v>581.76736480928525</v>
      </c>
      <c r="AJ62" s="108">
        <f t="shared" si="19"/>
        <v>820.36596429509291</v>
      </c>
      <c r="AK62" s="108">
        <f t="shared" si="19"/>
        <v>454.06648936416195</v>
      </c>
      <c r="AL62" s="108">
        <f t="shared" si="19"/>
        <v>692.66508884996961</v>
      </c>
      <c r="AM62" s="108">
        <f t="shared" si="19"/>
        <v>454.06648936416195</v>
      </c>
      <c r="AN62" s="108">
        <f t="shared" si="19"/>
        <v>692.66508884996961</v>
      </c>
      <c r="AO62" s="108">
        <f t="shared" si="19"/>
        <v>454.06648936416195</v>
      </c>
      <c r="AP62" s="108">
        <f t="shared" si="19"/>
        <v>692.66508884996961</v>
      </c>
      <c r="AQ62" s="108">
        <f t="shared" si="19"/>
        <v>454.06648936416195</v>
      </c>
      <c r="AR62" s="108">
        <f t="shared" si="19"/>
        <v>692.66508884996961</v>
      </c>
      <c r="AS62" s="108">
        <f t="shared" si="19"/>
        <v>326.36561391903888</v>
      </c>
      <c r="AT62" s="108">
        <f t="shared" si="19"/>
        <v>564.96421340484665</v>
      </c>
      <c r="AU62" s="108">
        <f t="shared" si="19"/>
        <v>326.36561391903888</v>
      </c>
      <c r="AV62" s="108">
        <f t="shared" si="19"/>
        <v>564.96421340484665</v>
      </c>
      <c r="AW62" s="108">
        <f t="shared" si="19"/>
        <v>581.76736480928525</v>
      </c>
      <c r="AX62" s="108">
        <f t="shared" si="19"/>
        <v>820.36596429509291</v>
      </c>
      <c r="AY62" s="108">
        <f t="shared" si="19"/>
        <v>581.76736480928525</v>
      </c>
    </row>
    <row r="63" spans="1:52">
      <c r="A63" s="108"/>
      <c r="B63" s="162" t="s">
        <v>349</v>
      </c>
      <c r="C63" s="108"/>
      <c r="D63" s="108">
        <v>1</v>
      </c>
      <c r="E63" s="108">
        <v>3</v>
      </c>
      <c r="F63" s="108">
        <v>1</v>
      </c>
      <c r="G63" s="108">
        <v>2</v>
      </c>
      <c r="H63" s="108">
        <v>1</v>
      </c>
      <c r="I63" s="108">
        <v>1</v>
      </c>
      <c r="J63" s="108">
        <v>1</v>
      </c>
      <c r="K63" s="108">
        <v>1</v>
      </c>
      <c r="L63" s="108">
        <v>2</v>
      </c>
      <c r="M63" s="108">
        <v>2</v>
      </c>
      <c r="N63" s="108">
        <v>1</v>
      </c>
      <c r="O63" s="108">
        <v>1</v>
      </c>
      <c r="P63" s="108">
        <v>1</v>
      </c>
      <c r="Q63" s="108">
        <v>1</v>
      </c>
      <c r="R63" s="108">
        <v>1</v>
      </c>
      <c r="S63" s="108">
        <v>2</v>
      </c>
      <c r="T63" s="108">
        <v>2</v>
      </c>
      <c r="U63" s="108">
        <v>1</v>
      </c>
      <c r="V63" s="108">
        <v>1</v>
      </c>
      <c r="W63" s="108">
        <v>1</v>
      </c>
      <c r="X63" s="108">
        <v>1</v>
      </c>
      <c r="Y63" s="108">
        <v>2</v>
      </c>
      <c r="Z63" s="108">
        <v>1</v>
      </c>
      <c r="AA63" s="108">
        <v>1</v>
      </c>
      <c r="AB63" s="108">
        <v>1</v>
      </c>
      <c r="AC63" s="108">
        <v>2</v>
      </c>
      <c r="AD63" s="108">
        <v>1</v>
      </c>
      <c r="AE63" s="108">
        <v>1</v>
      </c>
      <c r="AF63" s="108">
        <v>1</v>
      </c>
      <c r="AG63" s="108">
        <v>1</v>
      </c>
      <c r="AH63" s="108">
        <v>1</v>
      </c>
      <c r="AI63" s="108">
        <v>1</v>
      </c>
      <c r="AJ63" s="108">
        <v>3</v>
      </c>
      <c r="AK63" s="108">
        <v>2</v>
      </c>
      <c r="AL63" s="108">
        <v>1</v>
      </c>
      <c r="AM63" s="108">
        <v>1</v>
      </c>
      <c r="AN63" s="108">
        <v>1</v>
      </c>
      <c r="AO63" s="108">
        <v>3</v>
      </c>
      <c r="AP63" s="108">
        <v>3</v>
      </c>
      <c r="AQ63" s="108">
        <v>1</v>
      </c>
      <c r="AR63" s="108">
        <v>1</v>
      </c>
      <c r="AS63" s="108">
        <v>1</v>
      </c>
      <c r="AT63" s="108">
        <v>1</v>
      </c>
      <c r="AU63" s="108">
        <v>2</v>
      </c>
      <c r="AV63" s="108">
        <v>2</v>
      </c>
      <c r="AW63" s="108">
        <v>1</v>
      </c>
      <c r="AX63" s="108">
        <v>1</v>
      </c>
      <c r="AY63" s="108">
        <v>2</v>
      </c>
    </row>
    <row r="64" spans="1:52">
      <c r="A64" s="108"/>
      <c r="B64" s="173" t="s">
        <v>350</v>
      </c>
      <c r="C64" s="108"/>
      <c r="D64" s="108">
        <v>0</v>
      </c>
      <c r="E64" s="108">
        <v>267300</v>
      </c>
      <c r="F64" s="108">
        <v>0</v>
      </c>
      <c r="G64" s="108">
        <v>267300</v>
      </c>
      <c r="H64" s="108">
        <v>0</v>
      </c>
      <c r="I64" s="108">
        <v>267300</v>
      </c>
      <c r="J64" s="108">
        <v>0</v>
      </c>
      <c r="K64" s="108">
        <v>267300</v>
      </c>
      <c r="L64" s="108">
        <v>0</v>
      </c>
      <c r="M64" s="108">
        <v>267300</v>
      </c>
      <c r="N64" s="108">
        <v>0</v>
      </c>
      <c r="O64" s="108">
        <v>267300</v>
      </c>
      <c r="P64" s="108">
        <v>0</v>
      </c>
      <c r="Q64" s="108">
        <v>267300</v>
      </c>
      <c r="R64" s="108">
        <v>0</v>
      </c>
      <c r="S64" s="108">
        <v>267300</v>
      </c>
      <c r="T64" s="108">
        <v>0</v>
      </c>
      <c r="U64" s="108">
        <v>267300</v>
      </c>
      <c r="V64" s="108">
        <v>0</v>
      </c>
      <c r="W64" s="108">
        <v>267300</v>
      </c>
      <c r="X64" s="108">
        <v>0</v>
      </c>
      <c r="Y64" s="108">
        <v>267300</v>
      </c>
      <c r="Z64" s="108">
        <v>0</v>
      </c>
      <c r="AA64" s="108">
        <v>267300</v>
      </c>
      <c r="AB64" s="108">
        <v>0</v>
      </c>
      <c r="AC64" s="108">
        <v>267300</v>
      </c>
      <c r="AD64" s="108">
        <v>0</v>
      </c>
      <c r="AE64" s="108">
        <v>267300</v>
      </c>
      <c r="AF64" s="108">
        <v>0</v>
      </c>
      <c r="AG64" s="108">
        <v>267300</v>
      </c>
      <c r="AH64" s="108">
        <v>0</v>
      </c>
      <c r="AI64" s="108">
        <v>267300</v>
      </c>
      <c r="AJ64" s="108">
        <v>0</v>
      </c>
      <c r="AK64" s="108">
        <v>267300</v>
      </c>
      <c r="AL64" s="108">
        <v>0</v>
      </c>
      <c r="AM64" s="108">
        <v>267300</v>
      </c>
      <c r="AN64" s="108">
        <v>0</v>
      </c>
      <c r="AO64" s="108">
        <v>267300</v>
      </c>
      <c r="AP64" s="108">
        <v>0</v>
      </c>
      <c r="AQ64" s="108">
        <v>267300</v>
      </c>
      <c r="AR64" s="108">
        <v>0</v>
      </c>
      <c r="AS64" s="108">
        <v>267300</v>
      </c>
      <c r="AT64" s="108">
        <v>0</v>
      </c>
      <c r="AU64" s="108">
        <v>267300</v>
      </c>
      <c r="AV64" s="108">
        <v>0</v>
      </c>
      <c r="AW64" s="108">
        <v>267300</v>
      </c>
      <c r="AX64" s="108">
        <v>0</v>
      </c>
      <c r="AY64" s="108">
        <v>267300</v>
      </c>
      <c r="AZ64">
        <f>SUM($D$64:$AY$64)</f>
        <v>6415200</v>
      </c>
    </row>
    <row r="65" spans="1:52">
      <c r="A65" s="122"/>
      <c r="B65" s="137" t="s">
        <v>351</v>
      </c>
      <c r="C65" s="122"/>
      <c r="D65" s="122">
        <v>433342.64650240919</v>
      </c>
      <c r="E65" s="122">
        <v>275538.71636503091</v>
      </c>
      <c r="F65" s="122">
        <v>420326.21636503091</v>
      </c>
      <c r="G65" s="122">
        <v>275538.71636503091</v>
      </c>
      <c r="H65" s="122">
        <v>0</v>
      </c>
      <c r="I65" s="122">
        <v>695864.93273006182</v>
      </c>
      <c r="J65" s="122">
        <v>420326.21636503091</v>
      </c>
      <c r="K65" s="122">
        <v>275538.71636503091</v>
      </c>
      <c r="L65" s="122">
        <v>420326.21636503091</v>
      </c>
      <c r="M65" s="122">
        <v>275538.71636503091</v>
      </c>
      <c r="N65" s="122">
        <v>420326.21636503091</v>
      </c>
      <c r="O65" s="122">
        <v>275538.71636503091</v>
      </c>
      <c r="P65" s="122">
        <v>420326.21636503091</v>
      </c>
      <c r="Q65" s="122">
        <v>275538.71636503091</v>
      </c>
      <c r="R65" s="122">
        <v>420326.21636503091</v>
      </c>
      <c r="S65" s="122">
        <v>275538.71636503091</v>
      </c>
      <c r="T65" s="122">
        <v>0</v>
      </c>
      <c r="U65" s="122">
        <v>618372.89990440174</v>
      </c>
      <c r="V65" s="122">
        <v>342834.18353937077</v>
      </c>
      <c r="W65" s="122">
        <v>198046.68353937074</v>
      </c>
      <c r="X65" s="122">
        <v>342834.18353937077</v>
      </c>
      <c r="Y65" s="122">
        <v>275538.71636503091</v>
      </c>
      <c r="Z65" s="122">
        <v>420326.21636503091</v>
      </c>
      <c r="AA65" s="122">
        <v>275538.71636503091</v>
      </c>
      <c r="AB65" s="122">
        <v>420326.21636503091</v>
      </c>
      <c r="AC65" s="122">
        <v>353030.74919069116</v>
      </c>
      <c r="AD65" s="122">
        <v>497818.24919069116</v>
      </c>
      <c r="AE65" s="122">
        <v>353030.74919069116</v>
      </c>
      <c r="AF65" s="122">
        <v>0</v>
      </c>
      <c r="AG65" s="122">
        <v>850848.99838138232</v>
      </c>
      <c r="AH65" s="122">
        <v>497818.24919069116</v>
      </c>
      <c r="AI65" s="122">
        <v>353030.74919069116</v>
      </c>
      <c r="AJ65" s="122">
        <v>497818.24919069116</v>
      </c>
      <c r="AK65" s="122">
        <v>275538.71636503091</v>
      </c>
      <c r="AL65" s="122">
        <v>420326.21636503091</v>
      </c>
      <c r="AM65" s="122">
        <v>275538.71636503091</v>
      </c>
      <c r="AN65" s="122">
        <v>420326.21636503091</v>
      </c>
      <c r="AO65" s="122">
        <v>275538.71636503091</v>
      </c>
      <c r="AP65" s="122">
        <v>420326.21636503091</v>
      </c>
      <c r="AQ65" s="122">
        <v>275538.71636503091</v>
      </c>
      <c r="AR65" s="122">
        <v>420326.21636503091</v>
      </c>
      <c r="AS65" s="122">
        <v>198046.68353937074</v>
      </c>
      <c r="AT65" s="122">
        <v>342834.18353937077</v>
      </c>
      <c r="AU65" s="122">
        <v>198046.68353937074</v>
      </c>
      <c r="AV65" s="122">
        <v>342834.18353937077</v>
      </c>
      <c r="AW65" s="122">
        <v>353030.74919069116</v>
      </c>
      <c r="AX65" s="122">
        <v>497818.24919069116</v>
      </c>
      <c r="AY65" s="122">
        <v>353030.74919069116</v>
      </c>
      <c r="AZ65">
        <f>SUM($D$65:$AY$65)</f>
        <v>16946250.91413584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260"/>
  <sheetViews>
    <sheetView workbookViewId="0">
      <pane xSplit="2" ySplit="7" topLeftCell="C155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customWidth="1"/>
    <col min="2" max="2" width="12.6640625" customWidth="1"/>
  </cols>
  <sheetData>
    <row r="1" spans="1:54">
      <c r="A1" s="1" t="s">
        <v>284</v>
      </c>
    </row>
    <row r="2" spans="1:54">
      <c r="A2" t="s">
        <v>285</v>
      </c>
      <c r="B2" s="105" t="s">
        <v>22</v>
      </c>
    </row>
    <row r="3" spans="1:54">
      <c r="A3" t="s">
        <v>286</v>
      </c>
      <c r="B3" s="106">
        <v>3500</v>
      </c>
      <c r="C3" s="107"/>
    </row>
    <row r="4" spans="1:54">
      <c r="B4" s="108"/>
      <c r="C4" s="108"/>
    </row>
    <row r="5" spans="1:54">
      <c r="C5" s="9" t="s">
        <v>287</v>
      </c>
    </row>
    <row r="6" spans="1:54">
      <c r="C6" s="109">
        <v>0</v>
      </c>
      <c r="D6" s="109">
        <v>1</v>
      </c>
      <c r="E6" s="109">
        <v>2</v>
      </c>
      <c r="F6" s="109">
        <v>3</v>
      </c>
      <c r="G6" s="109">
        <v>4</v>
      </c>
      <c r="H6" s="109">
        <v>5</v>
      </c>
      <c r="I6" s="109">
        <v>6</v>
      </c>
      <c r="J6" s="109">
        <v>7</v>
      </c>
      <c r="K6" s="109">
        <v>8</v>
      </c>
      <c r="L6" s="109">
        <v>9</v>
      </c>
      <c r="M6" s="109">
        <v>10</v>
      </c>
      <c r="N6" s="109">
        <v>11</v>
      </c>
      <c r="O6" s="109">
        <v>12</v>
      </c>
      <c r="P6" s="109">
        <v>13</v>
      </c>
      <c r="Q6" s="109">
        <v>14</v>
      </c>
      <c r="R6" s="109">
        <v>15</v>
      </c>
      <c r="S6" s="109">
        <v>16</v>
      </c>
      <c r="T6" s="109">
        <v>17</v>
      </c>
      <c r="U6" s="109">
        <v>18</v>
      </c>
      <c r="V6" s="109">
        <v>19</v>
      </c>
      <c r="W6" s="109">
        <v>20</v>
      </c>
      <c r="X6" s="109">
        <v>21</v>
      </c>
      <c r="Y6" s="109">
        <v>22</v>
      </c>
      <c r="Z6" s="109">
        <v>23</v>
      </c>
      <c r="AA6" s="109">
        <v>24</v>
      </c>
      <c r="AB6" s="109">
        <v>25</v>
      </c>
      <c r="AC6" s="109">
        <v>26</v>
      </c>
      <c r="AD6" s="109">
        <v>27</v>
      </c>
      <c r="AE6" s="109">
        <v>28</v>
      </c>
      <c r="AF6" s="109">
        <v>29</v>
      </c>
      <c r="AG6" s="109">
        <v>30</v>
      </c>
      <c r="AH6" s="109">
        <v>31</v>
      </c>
      <c r="AI6" s="109">
        <v>32</v>
      </c>
      <c r="AJ6" s="109">
        <v>33</v>
      </c>
      <c r="AK6" s="109">
        <v>34</v>
      </c>
      <c r="AL6" s="109">
        <v>35</v>
      </c>
      <c r="AM6" s="109">
        <v>36</v>
      </c>
      <c r="AN6" s="109">
        <v>37</v>
      </c>
      <c r="AO6" s="109">
        <v>38</v>
      </c>
      <c r="AP6" s="109">
        <v>39</v>
      </c>
      <c r="AQ6" s="109">
        <v>40</v>
      </c>
      <c r="AR6" s="109">
        <v>41</v>
      </c>
      <c r="AS6" s="109">
        <v>42</v>
      </c>
      <c r="AT6" s="109">
        <v>43</v>
      </c>
      <c r="AU6" s="109">
        <v>44</v>
      </c>
      <c r="AV6" s="109">
        <v>45</v>
      </c>
      <c r="AW6" s="109">
        <v>46</v>
      </c>
      <c r="AX6" s="109">
        <v>47</v>
      </c>
      <c r="AY6" s="109">
        <v>48</v>
      </c>
    </row>
    <row r="7" spans="1:54">
      <c r="B7" s="108"/>
      <c r="C7" s="110" t="s">
        <v>288</v>
      </c>
      <c r="D7" s="109" t="s">
        <v>289</v>
      </c>
      <c r="E7" s="109" t="s">
        <v>289</v>
      </c>
      <c r="F7" s="109" t="s">
        <v>289</v>
      </c>
      <c r="G7" s="109" t="s">
        <v>289</v>
      </c>
      <c r="H7" s="109" t="s">
        <v>289</v>
      </c>
      <c r="I7" s="109" t="s">
        <v>289</v>
      </c>
      <c r="J7" s="109" t="s">
        <v>289</v>
      </c>
      <c r="K7" s="109" t="s">
        <v>289</v>
      </c>
      <c r="L7" s="109" t="s">
        <v>289</v>
      </c>
      <c r="M7" s="109" t="s">
        <v>289</v>
      </c>
      <c r="N7" s="109" t="s">
        <v>289</v>
      </c>
      <c r="O7" s="109" t="s">
        <v>289</v>
      </c>
      <c r="P7" s="109" t="s">
        <v>289</v>
      </c>
      <c r="Q7" s="109" t="s">
        <v>289</v>
      </c>
      <c r="R7" s="109" t="s">
        <v>289</v>
      </c>
      <c r="S7" s="109" t="s">
        <v>289</v>
      </c>
      <c r="T7" s="109" t="s">
        <v>289</v>
      </c>
      <c r="U7" s="109" t="s">
        <v>289</v>
      </c>
      <c r="V7" s="109" t="s">
        <v>289</v>
      </c>
      <c r="W7" s="109" t="s">
        <v>289</v>
      </c>
      <c r="X7" s="109" t="s">
        <v>289</v>
      </c>
      <c r="Y7" s="109" t="s">
        <v>289</v>
      </c>
      <c r="Z7" s="109" t="s">
        <v>289</v>
      </c>
      <c r="AA7" s="109" t="s">
        <v>289</v>
      </c>
      <c r="AB7" s="109" t="s">
        <v>289</v>
      </c>
      <c r="AC7" s="109" t="s">
        <v>289</v>
      </c>
      <c r="AD7" s="109" t="s">
        <v>289</v>
      </c>
      <c r="AE7" s="109" t="s">
        <v>289</v>
      </c>
      <c r="AF7" s="109" t="s">
        <v>289</v>
      </c>
      <c r="AG7" s="109" t="s">
        <v>289</v>
      </c>
      <c r="AH7" s="109" t="s">
        <v>289</v>
      </c>
      <c r="AI7" s="109" t="s">
        <v>289</v>
      </c>
      <c r="AJ7" s="109" t="s">
        <v>289</v>
      </c>
      <c r="AK7" s="109" t="s">
        <v>289</v>
      </c>
      <c r="AL7" s="109" t="s">
        <v>289</v>
      </c>
      <c r="AM7" s="109" t="s">
        <v>289</v>
      </c>
      <c r="AN7" s="109" t="s">
        <v>289</v>
      </c>
      <c r="AO7" s="109" t="s">
        <v>289</v>
      </c>
      <c r="AP7" s="109" t="s">
        <v>289</v>
      </c>
      <c r="AQ7" s="109" t="s">
        <v>289</v>
      </c>
      <c r="AR7" s="109" t="s">
        <v>289</v>
      </c>
      <c r="AS7" s="109" t="s">
        <v>289</v>
      </c>
      <c r="AT7" s="109" t="s">
        <v>289</v>
      </c>
      <c r="AU7" s="109" t="s">
        <v>289</v>
      </c>
      <c r="AV7" s="109" t="s">
        <v>289</v>
      </c>
      <c r="AW7" s="109" t="s">
        <v>289</v>
      </c>
      <c r="AX7" s="109" t="s">
        <v>289</v>
      </c>
      <c r="AY7" s="9" t="s">
        <v>290</v>
      </c>
      <c r="AZ7" s="9" t="s">
        <v>291</v>
      </c>
    </row>
    <row r="8" spans="1:54">
      <c r="A8" s="1" t="s">
        <v>292</v>
      </c>
      <c r="B8" s="111"/>
      <c r="AY8" s="108"/>
    </row>
    <row r="9" spans="1:54">
      <c r="A9" s="112" t="s">
        <v>125</v>
      </c>
      <c r="B9" s="113">
        <v>1</v>
      </c>
      <c r="C9" s="114" t="s">
        <v>293</v>
      </c>
      <c r="D9" s="114">
        <v>198.53169090873666</v>
      </c>
      <c r="E9" s="114">
        <v>198.53169090873666</v>
      </c>
      <c r="F9" s="114">
        <v>198.53169090873666</v>
      </c>
      <c r="G9" s="114">
        <v>198.53169090873666</v>
      </c>
      <c r="H9" s="114">
        <v>198.53169090873666</v>
      </c>
      <c r="I9" s="114">
        <v>198.53169090873666</v>
      </c>
      <c r="J9" s="114">
        <v>198.53169090873666</v>
      </c>
      <c r="K9" s="114">
        <v>198.53169090873666</v>
      </c>
      <c r="L9" s="114">
        <v>198.53169090873666</v>
      </c>
      <c r="M9" s="114">
        <v>198.53169090873666</v>
      </c>
      <c r="N9" s="114">
        <v>198.53169090873666</v>
      </c>
      <c r="O9" s="114">
        <v>198.53169090873666</v>
      </c>
      <c r="P9" s="114">
        <v>198.53169090873666</v>
      </c>
      <c r="Q9" s="114">
        <v>198.53169090873666</v>
      </c>
      <c r="R9" s="114">
        <v>198.53169090873666</v>
      </c>
      <c r="S9" s="114">
        <v>198.53169090873666</v>
      </c>
      <c r="T9" s="114">
        <v>198.53169090873666</v>
      </c>
      <c r="U9" s="114">
        <v>198.53169090873666</v>
      </c>
      <c r="V9" s="114">
        <v>198.53169090873666</v>
      </c>
      <c r="W9" s="114">
        <v>198.53169090873666</v>
      </c>
      <c r="X9" s="114">
        <v>198.53169090873666</v>
      </c>
      <c r="Y9" s="114">
        <v>198.53169090873666</v>
      </c>
      <c r="Z9" s="114">
        <v>198.53169090873666</v>
      </c>
      <c r="AA9" s="114">
        <v>198.53169090873666</v>
      </c>
      <c r="AB9" s="114">
        <v>198.53169090873666</v>
      </c>
      <c r="AC9" s="114">
        <v>198.53169090873666</v>
      </c>
      <c r="AD9" s="114">
        <v>198.53169090873666</v>
      </c>
      <c r="AE9" s="114">
        <v>198.53169090873666</v>
      </c>
      <c r="AF9" s="114">
        <v>198.53169090873666</v>
      </c>
      <c r="AG9" s="114">
        <v>198.53169090873666</v>
      </c>
      <c r="AH9" s="114">
        <v>198.53169090873666</v>
      </c>
      <c r="AI9" s="114">
        <v>198.53169090873666</v>
      </c>
      <c r="AJ9" s="114">
        <v>198.53169090873666</v>
      </c>
      <c r="AK9" s="114">
        <v>198.53169090873666</v>
      </c>
      <c r="AL9" s="114">
        <v>198.53169090873666</v>
      </c>
      <c r="AM9" s="114">
        <v>198.53169090873666</v>
      </c>
      <c r="AN9" s="114">
        <v>198.53169090873666</v>
      </c>
      <c r="AO9" s="114">
        <v>198.53169090873666</v>
      </c>
      <c r="AP9" s="114">
        <v>198.53169090873666</v>
      </c>
      <c r="AQ9" s="114">
        <v>198.53169090873666</v>
      </c>
      <c r="AR9" s="114">
        <v>198.53169090873666</v>
      </c>
      <c r="AS9" s="114">
        <v>198.53169090873666</v>
      </c>
      <c r="AT9" s="114">
        <v>198.53169090873666</v>
      </c>
      <c r="AU9" s="114">
        <v>198.53169090873666</v>
      </c>
      <c r="AV9" s="114">
        <v>198.53169090873666</v>
      </c>
      <c r="AW9" s="114">
        <v>198.53169090873666</v>
      </c>
      <c r="AX9" s="114">
        <v>198.53169090873666</v>
      </c>
      <c r="AY9" s="114">
        <v>198.53169090873666</v>
      </c>
    </row>
    <row r="10" spans="1:54">
      <c r="A10" s="115" t="s">
        <v>133</v>
      </c>
      <c r="B10" s="116">
        <v>1</v>
      </c>
      <c r="C10" s="104" t="s">
        <v>293</v>
      </c>
      <c r="D10">
        <v>169.46145592990553</v>
      </c>
      <c r="E10">
        <v>134.66650307373067</v>
      </c>
      <c r="F10">
        <v>167.59156939686554</v>
      </c>
      <c r="G10">
        <v>134.66650307373067</v>
      </c>
      <c r="H10">
        <v>167.59156939686554</v>
      </c>
      <c r="I10">
        <v>134.66650307373067</v>
      </c>
      <c r="J10">
        <v>200.51663572000041</v>
      </c>
      <c r="K10">
        <v>134.66650307373067</v>
      </c>
      <c r="L10">
        <v>32.925066323134864</v>
      </c>
      <c r="M10">
        <v>167.59156939686554</v>
      </c>
      <c r="N10">
        <v>0</v>
      </c>
      <c r="O10">
        <v>134.66650307373067</v>
      </c>
      <c r="P10">
        <v>0</v>
      </c>
      <c r="Q10">
        <v>167.59156939686554</v>
      </c>
      <c r="R10">
        <v>134.66650307373067</v>
      </c>
      <c r="S10">
        <v>134.66650307373067</v>
      </c>
      <c r="T10">
        <v>167.59156939686554</v>
      </c>
      <c r="U10">
        <v>134.66650307373067</v>
      </c>
      <c r="V10">
        <v>134.66650307373067</v>
      </c>
      <c r="W10">
        <v>134.66650307373067</v>
      </c>
      <c r="X10">
        <v>161.52144999683355</v>
      </c>
      <c r="Y10">
        <v>134.66650307373067</v>
      </c>
      <c r="Z10">
        <v>140.65826878211942</v>
      </c>
      <c r="AA10">
        <v>0</v>
      </c>
      <c r="AB10">
        <v>167.59156939686554</v>
      </c>
      <c r="AC10">
        <v>107.73320245898456</v>
      </c>
      <c r="AD10">
        <v>134.66650307373067</v>
      </c>
      <c r="AE10">
        <v>173.66168879689749</v>
      </c>
      <c r="AF10">
        <v>173.66168879689749</v>
      </c>
      <c r="AG10">
        <v>0</v>
      </c>
      <c r="AH10">
        <v>134.66650307373067</v>
      </c>
      <c r="AI10">
        <v>134.66650307373067</v>
      </c>
      <c r="AJ10">
        <v>134.66650307373067</v>
      </c>
      <c r="AK10">
        <v>173.66168879689749</v>
      </c>
      <c r="AL10">
        <v>167.59156939686554</v>
      </c>
      <c r="AM10">
        <v>134.66650307373067</v>
      </c>
      <c r="AN10">
        <v>134.66650307373067</v>
      </c>
      <c r="AO10">
        <v>0</v>
      </c>
      <c r="AP10">
        <v>167.59156939686554</v>
      </c>
      <c r="AQ10">
        <v>134.66650307373067</v>
      </c>
      <c r="AR10">
        <v>32.925066323134864</v>
      </c>
      <c r="AS10">
        <v>167.59156939686554</v>
      </c>
      <c r="AT10">
        <v>0</v>
      </c>
      <c r="AU10">
        <v>161.52144999683355</v>
      </c>
      <c r="AV10">
        <v>134.66650307373067</v>
      </c>
      <c r="AW10">
        <v>161.52144999683355</v>
      </c>
      <c r="AX10">
        <v>38.995185723166827</v>
      </c>
      <c r="AY10">
        <v>93.339688384422459</v>
      </c>
      <c r="AZ10">
        <v>134.66650307373067</v>
      </c>
    </row>
    <row r="11" spans="1:54">
      <c r="B11" s="116">
        <v>2</v>
      </c>
      <c r="C11" s="104" t="s">
        <v>293</v>
      </c>
      <c r="F11">
        <v>33.944671593702722</v>
      </c>
      <c r="H11">
        <v>32.925066323134864</v>
      </c>
      <c r="L11">
        <v>0</v>
      </c>
      <c r="M11">
        <v>134.66650307373067</v>
      </c>
      <c r="O11">
        <v>167.59156939686554</v>
      </c>
      <c r="P11">
        <v>32.925066323134864</v>
      </c>
      <c r="Q11">
        <v>134.66650307373067</v>
      </c>
      <c r="S11">
        <v>32.925066323134864</v>
      </c>
      <c r="T11">
        <v>32.925066323134864</v>
      </c>
      <c r="V11">
        <v>0</v>
      </c>
      <c r="W11">
        <v>59.780013246237758</v>
      </c>
      <c r="Z11">
        <v>26.854946923102901</v>
      </c>
      <c r="AB11">
        <v>32.925066323134864</v>
      </c>
      <c r="AD11">
        <v>32.925066323134864</v>
      </c>
      <c r="AE11">
        <v>38.995185723166827</v>
      </c>
      <c r="AH11">
        <v>134.66650307373067</v>
      </c>
      <c r="AI11">
        <v>77.990371446333654</v>
      </c>
      <c r="AJ11">
        <v>38.995185723166827</v>
      </c>
      <c r="AK11">
        <v>38.995185723166827</v>
      </c>
      <c r="AM11">
        <v>0</v>
      </c>
      <c r="AN11">
        <v>32.925066323134864</v>
      </c>
      <c r="AO11">
        <v>32.925066323134864</v>
      </c>
      <c r="AR11">
        <v>32.925066323134864</v>
      </c>
      <c r="AT11">
        <v>0</v>
      </c>
      <c r="AU11">
        <v>161.52144999683355</v>
      </c>
      <c r="AV11">
        <v>0</v>
      </c>
      <c r="AY11">
        <v>134.66650307373067</v>
      </c>
      <c r="AZ11">
        <v>0</v>
      </c>
    </row>
    <row r="12" spans="1:54">
      <c r="B12" s="117">
        <v>3</v>
      </c>
      <c r="C12" s="104" t="s">
        <v>293</v>
      </c>
      <c r="D12">
        <v>129.88085034522427</v>
      </c>
      <c r="M12">
        <v>32.925066323134864</v>
      </c>
      <c r="R12">
        <v>32.925066323134864</v>
      </c>
      <c r="U12">
        <v>0</v>
      </c>
      <c r="Y12">
        <v>26.854946923102901</v>
      </c>
      <c r="AD12">
        <v>0</v>
      </c>
      <c r="AH12">
        <v>0</v>
      </c>
      <c r="AQ12">
        <v>167.59156939686554</v>
      </c>
      <c r="AX12">
        <v>26.854946923102901</v>
      </c>
      <c r="BB12">
        <v>38.995185723166827</v>
      </c>
    </row>
    <row r="13" spans="1:54">
      <c r="B13" s="117">
        <v>4</v>
      </c>
      <c r="C13" s="104" t="s">
        <v>293</v>
      </c>
    </row>
    <row r="14" spans="1:54">
      <c r="A14" s="112" t="s">
        <v>134</v>
      </c>
      <c r="B14" s="118">
        <v>1</v>
      </c>
      <c r="C14" s="114" t="s">
        <v>293</v>
      </c>
      <c r="D14" s="114">
        <v>87.576263612192463</v>
      </c>
      <c r="E14" s="114">
        <f t="shared" ref="E14:AZ14" si="0">D$172*SUM(D$122:D$169)</f>
        <v>130.74395579075633</v>
      </c>
      <c r="F14" s="114">
        <f t="shared" si="0"/>
        <v>105.20233199626298</v>
      </c>
      <c r="G14" s="114">
        <f t="shared" si="0"/>
        <v>102.42107408130119</v>
      </c>
      <c r="H14" s="114">
        <f t="shared" si="0"/>
        <v>82.821772726034297</v>
      </c>
      <c r="I14" s="114">
        <f t="shared" si="0"/>
        <v>83.087938768218962</v>
      </c>
      <c r="J14" s="114">
        <f t="shared" si="0"/>
        <v>63.554715240066002</v>
      </c>
      <c r="K14" s="114">
        <f t="shared" si="0"/>
        <v>85.929622675301232</v>
      </c>
      <c r="L14" s="114">
        <f t="shared" si="0"/>
        <v>63.554715240066017</v>
      </c>
      <c r="M14" s="114">
        <f t="shared" si="0"/>
        <v>24.098193780089026</v>
      </c>
      <c r="N14" s="114">
        <f t="shared" si="0"/>
        <v>132.31107199227239</v>
      </c>
      <c r="O14" s="114">
        <f t="shared" si="0"/>
        <v>33.60500410687942</v>
      </c>
      <c r="P14" s="114">
        <f t="shared" si="0"/>
        <v>122.54446022819592</v>
      </c>
      <c r="Q14" s="114">
        <f t="shared" si="0"/>
        <v>43.66262488931077</v>
      </c>
      <c r="R14" s="114">
        <f t="shared" si="0"/>
        <v>122.54446022819592</v>
      </c>
      <c r="S14" s="114">
        <f t="shared" si="0"/>
        <v>108.78584953402351</v>
      </c>
      <c r="T14" s="114">
        <f t="shared" si="0"/>
        <v>98.03608321386686</v>
      </c>
      <c r="U14" s="114">
        <f t="shared" si="0"/>
        <v>103.54860709108354</v>
      </c>
      <c r="V14" s="114">
        <f t="shared" si="0"/>
        <v>72.653441401333467</v>
      </c>
      <c r="W14" s="114">
        <f t="shared" si="0"/>
        <v>64.598239582361515</v>
      </c>
      <c r="X14" s="114">
        <f t="shared" si="0"/>
        <v>81.287350154064995</v>
      </c>
      <c r="Y14" s="114">
        <f t="shared" si="0"/>
        <v>71.520738389988509</v>
      </c>
      <c r="Z14" s="114">
        <f t="shared" si="0"/>
        <v>71.520738389988509</v>
      </c>
      <c r="AA14" s="114">
        <f t="shared" si="0"/>
        <v>71.442723509254307</v>
      </c>
      <c r="AB14" s="114">
        <f t="shared" si="0"/>
        <v>14.331582016012554</v>
      </c>
      <c r="AC14" s="114">
        <f t="shared" si="0"/>
        <v>83.087938768218962</v>
      </c>
      <c r="AD14" s="114">
        <f t="shared" si="0"/>
        <v>53.710088595255321</v>
      </c>
      <c r="AE14" s="114">
        <f t="shared" si="0"/>
        <v>73.321327004142475</v>
      </c>
      <c r="AF14" s="114">
        <f t="shared" si="0"/>
        <v>95.263415970662635</v>
      </c>
      <c r="AG14" s="114">
        <f t="shared" si="0"/>
        <v>75.121915618296441</v>
      </c>
      <c r="AH14" s="114">
        <f t="shared" si="0"/>
        <v>14.331582016012554</v>
      </c>
      <c r="AI14" s="114">
        <f t="shared" si="0"/>
        <v>112.77784846411946</v>
      </c>
      <c r="AJ14" s="114">
        <f t="shared" si="0"/>
        <v>96.00861861707827</v>
      </c>
      <c r="AK14" s="114">
        <f t="shared" si="0"/>
        <v>85.809628153801327</v>
      </c>
      <c r="AL14" s="114">
        <f t="shared" si="0"/>
        <v>94.623343033400417</v>
      </c>
      <c r="AM14" s="114">
        <f t="shared" si="0"/>
        <v>78.507298379759106</v>
      </c>
      <c r="AN14" s="114">
        <f t="shared" si="0"/>
        <v>63.554715240066002</v>
      </c>
      <c r="AO14" s="114">
        <f t="shared" si="0"/>
        <v>73.321327004142475</v>
      </c>
      <c r="AP14" s="114">
        <f t="shared" si="0"/>
        <v>24.09819378008903</v>
      </c>
      <c r="AQ14" s="114">
        <f t="shared" si="0"/>
        <v>73.321327004142475</v>
      </c>
      <c r="AR14" s="114">
        <f t="shared" si="0"/>
        <v>122.54446022819592</v>
      </c>
      <c r="AS14" s="114">
        <f t="shared" si="0"/>
        <v>46.07216661453419</v>
      </c>
      <c r="AT14" s="114">
        <f t="shared" si="0"/>
        <v>73.321327004142475</v>
      </c>
      <c r="AU14" s="114">
        <f t="shared" si="0"/>
        <v>14.331582016012554</v>
      </c>
      <c r="AV14" s="114">
        <f t="shared" si="0"/>
        <v>128.70989476396446</v>
      </c>
      <c r="AW14" s="114">
        <f t="shared" si="0"/>
        <v>98.345787163821669</v>
      </c>
      <c r="AX14" s="114">
        <f t="shared" si="0"/>
        <v>71.520738389988509</v>
      </c>
      <c r="AY14" s="114">
        <f t="shared" si="0"/>
        <v>33.864805544165513</v>
      </c>
      <c r="AZ14" s="108">
        <f t="shared" si="0"/>
        <v>94.98585084668305</v>
      </c>
      <c r="BA14" s="105">
        <f>SUM($E14:$AZ14)</f>
        <v>3734.3624752456226</v>
      </c>
    </row>
    <row r="15" spans="1:54">
      <c r="A15" s="119" t="s">
        <v>123</v>
      </c>
      <c r="B15" s="120">
        <v>1</v>
      </c>
      <c r="C15" s="121" t="s">
        <v>293</v>
      </c>
      <c r="D15" s="121">
        <v>194.7500655093024</v>
      </c>
      <c r="E15" s="121">
        <v>163.88228569912582</v>
      </c>
      <c r="F15" s="121">
        <v>189.0664856972999</v>
      </c>
      <c r="G15" s="121">
        <v>163.88228569912582</v>
      </c>
      <c r="H15" s="121">
        <v>189.0664856972999</v>
      </c>
      <c r="I15" s="121">
        <v>163.88228569912582</v>
      </c>
      <c r="J15" s="121">
        <v>214.25068569547398</v>
      </c>
      <c r="K15" s="121">
        <v>163.88228569912582</v>
      </c>
      <c r="L15" s="121">
        <v>62.139639253890635</v>
      </c>
      <c r="M15" s="121">
        <v>189.0664856972999</v>
      </c>
      <c r="N15" s="121">
        <v>36.955439255716563</v>
      </c>
      <c r="O15" s="121">
        <v>163.88228569912582</v>
      </c>
      <c r="P15" s="121">
        <v>36.955439255716563</v>
      </c>
      <c r="Q15" s="121">
        <v>189.0664856972999</v>
      </c>
      <c r="R15" s="121">
        <v>163.88228569912582</v>
      </c>
      <c r="S15" s="121">
        <v>163.88228569912582</v>
      </c>
      <c r="T15" s="121">
        <v>189.0664856972999</v>
      </c>
      <c r="U15" s="121">
        <v>163.88228569912582</v>
      </c>
      <c r="V15" s="121">
        <v>163.88228569912582</v>
      </c>
      <c r="W15" s="121">
        <v>163.88228569912582</v>
      </c>
      <c r="X15" s="121">
        <v>184.42348514924066</v>
      </c>
      <c r="Y15" s="121">
        <v>163.88228569912582</v>
      </c>
      <c r="Z15" s="121">
        <v>163.68111640861807</v>
      </c>
      <c r="AA15" s="121">
        <v>36.955439255716563</v>
      </c>
      <c r="AB15" s="121">
        <v>189.0664856972999</v>
      </c>
      <c r="AC15" s="121">
        <v>138.49691641044399</v>
      </c>
      <c r="AD15" s="121">
        <v>163.88228569912582</v>
      </c>
      <c r="AE15" s="121">
        <v>193.7094862453591</v>
      </c>
      <c r="AF15" s="121">
        <v>193.7094862453591</v>
      </c>
      <c r="AG15" s="121">
        <v>36.955439255716563</v>
      </c>
      <c r="AH15" s="121">
        <v>163.88228569912582</v>
      </c>
      <c r="AI15" s="121">
        <v>163.88228569912582</v>
      </c>
      <c r="AJ15" s="121">
        <v>163.88228569912582</v>
      </c>
      <c r="AK15" s="121">
        <v>193.7094862453591</v>
      </c>
      <c r="AL15" s="121">
        <v>189.0664856972999</v>
      </c>
      <c r="AM15" s="121">
        <v>163.88228569912582</v>
      </c>
      <c r="AN15" s="121">
        <v>163.88228569912582</v>
      </c>
      <c r="AO15" s="121">
        <v>36.955439255716563</v>
      </c>
      <c r="AP15" s="121">
        <v>189.0664856972999</v>
      </c>
      <c r="AQ15" s="121">
        <v>163.88228569912582</v>
      </c>
      <c r="AR15" s="121">
        <v>62.139639253890635</v>
      </c>
      <c r="AS15" s="121">
        <v>189.0664856972999</v>
      </c>
      <c r="AT15" s="121">
        <v>36.955439255716563</v>
      </c>
      <c r="AU15" s="121">
        <v>184.42348514924066</v>
      </c>
      <c r="AV15" s="121">
        <v>163.88228569912582</v>
      </c>
      <c r="AW15" s="121">
        <v>184.42348514924066</v>
      </c>
      <c r="AX15" s="121">
        <v>66.782639801949855</v>
      </c>
      <c r="AY15" s="121">
        <v>118.00381349316885</v>
      </c>
      <c r="AZ15">
        <v>126.92684644340925</v>
      </c>
    </row>
    <row r="16" spans="1:54">
      <c r="A16" s="108"/>
      <c r="B16" s="116">
        <v>2</v>
      </c>
      <c r="C16" s="107" t="s">
        <v>293</v>
      </c>
      <c r="D16" s="104"/>
      <c r="E16" s="108"/>
      <c r="F16" s="108">
        <v>25.964090395391914</v>
      </c>
      <c r="G16" s="108"/>
      <c r="H16" s="108">
        <v>25.184199998174073</v>
      </c>
      <c r="I16" s="108"/>
      <c r="J16" s="108"/>
      <c r="K16" s="108"/>
      <c r="L16" s="108">
        <v>0</v>
      </c>
      <c r="M16" s="108">
        <v>126.92684644340925</v>
      </c>
      <c r="N16" s="108"/>
      <c r="O16" s="108">
        <v>152.11104644158331</v>
      </c>
      <c r="P16" s="108">
        <v>25.184199998174073</v>
      </c>
      <c r="Q16" s="108">
        <v>126.92684644340925</v>
      </c>
      <c r="R16" s="108"/>
      <c r="S16" s="108">
        <v>25.184199998174073</v>
      </c>
      <c r="T16" s="108">
        <v>25.184199998174073</v>
      </c>
      <c r="U16" s="108"/>
      <c r="V16" s="108">
        <v>0</v>
      </c>
      <c r="W16" s="108">
        <v>45.725399448288933</v>
      </c>
      <c r="X16" s="108"/>
      <c r="Y16" s="108"/>
      <c r="Z16" s="108">
        <v>20.541199450114856</v>
      </c>
      <c r="AA16" s="108"/>
      <c r="AB16" s="108">
        <v>25.184199998174073</v>
      </c>
      <c r="AC16" s="108"/>
      <c r="AD16" s="108">
        <v>25.184199998174073</v>
      </c>
      <c r="AE16" s="108">
        <v>29.827200546233293</v>
      </c>
      <c r="AF16" s="108"/>
      <c r="AG16" s="108"/>
      <c r="AH16" s="108">
        <v>126.92684644340925</v>
      </c>
      <c r="AI16" s="108">
        <v>59.654401092466586</v>
      </c>
      <c r="AJ16" s="108">
        <v>29.827200546233293</v>
      </c>
      <c r="AK16" s="108">
        <v>29.827200546233293</v>
      </c>
      <c r="AL16" s="108"/>
      <c r="AM16" s="108">
        <v>0</v>
      </c>
      <c r="AN16" s="108">
        <v>25.184199998174073</v>
      </c>
      <c r="AO16" s="108">
        <v>25.184199998174073</v>
      </c>
      <c r="AP16" s="108"/>
      <c r="AQ16" s="108"/>
      <c r="AR16" s="108">
        <v>25.184199998174073</v>
      </c>
      <c r="AS16" s="108"/>
      <c r="AT16" s="108">
        <v>0</v>
      </c>
      <c r="AU16" s="108">
        <v>147.46804589352411</v>
      </c>
      <c r="AV16" s="108">
        <v>0</v>
      </c>
      <c r="AW16" s="108"/>
      <c r="AX16" s="108"/>
      <c r="AY16" s="108">
        <v>126.92684644340925</v>
      </c>
      <c r="AZ16">
        <v>0</v>
      </c>
    </row>
    <row r="17" spans="1:54">
      <c r="A17" s="108"/>
      <c r="B17" s="116">
        <v>3</v>
      </c>
      <c r="C17" s="107" t="s">
        <v>293</v>
      </c>
      <c r="D17" s="104">
        <v>124.06495957687873</v>
      </c>
      <c r="E17" s="108"/>
      <c r="F17" s="108"/>
      <c r="G17" s="108"/>
      <c r="H17" s="108"/>
      <c r="I17" s="108"/>
      <c r="J17" s="108"/>
      <c r="K17" s="108"/>
      <c r="L17" s="108"/>
      <c r="M17" s="108">
        <v>25.184199998174073</v>
      </c>
      <c r="N17" s="108"/>
      <c r="O17" s="108"/>
      <c r="P17" s="108"/>
      <c r="Q17" s="108"/>
      <c r="R17" s="108">
        <v>25.184199998174073</v>
      </c>
      <c r="S17" s="108"/>
      <c r="T17" s="108"/>
      <c r="U17" s="108">
        <v>0</v>
      </c>
      <c r="V17" s="108"/>
      <c r="W17" s="108"/>
      <c r="X17" s="108"/>
      <c r="Y17" s="108">
        <v>20.541199450114856</v>
      </c>
      <c r="Z17" s="108"/>
      <c r="AA17" s="108"/>
      <c r="AB17" s="108"/>
      <c r="AC17" s="108"/>
      <c r="AD17" s="108">
        <v>0</v>
      </c>
      <c r="AE17" s="108"/>
      <c r="AF17" s="108"/>
      <c r="AG17" s="108"/>
      <c r="AH17" s="108">
        <v>0</v>
      </c>
      <c r="AI17" s="108"/>
      <c r="AJ17" s="108"/>
      <c r="AK17" s="108"/>
      <c r="AL17" s="108"/>
      <c r="AM17" s="108"/>
      <c r="AN17" s="108"/>
      <c r="AO17" s="108"/>
      <c r="AP17" s="108"/>
      <c r="AQ17" s="108">
        <v>152.11104644158331</v>
      </c>
      <c r="AR17" s="108"/>
      <c r="AS17" s="108"/>
      <c r="AT17" s="108"/>
      <c r="AU17" s="108"/>
      <c r="AV17" s="108"/>
      <c r="AW17" s="108"/>
      <c r="AX17" s="108">
        <v>20.541199450114856</v>
      </c>
      <c r="AY17" s="108"/>
      <c r="BB17">
        <v>29.827200546233293</v>
      </c>
    </row>
    <row r="18" spans="1:54">
      <c r="A18" s="122"/>
      <c r="B18" s="113">
        <v>4</v>
      </c>
      <c r="C18" s="122" t="s">
        <v>293</v>
      </c>
      <c r="D18" s="122"/>
      <c r="E18" s="122"/>
      <c r="F18" s="122"/>
      <c r="G18" s="122"/>
      <c r="H18" s="122"/>
      <c r="I18" s="122"/>
      <c r="J18" s="122"/>
      <c r="K18" s="122"/>
      <c r="L18" s="122"/>
      <c r="M18" s="122"/>
      <c r="N18" s="122"/>
      <c r="O18" s="122"/>
      <c r="P18" s="122"/>
      <c r="Q18" s="122"/>
      <c r="R18" s="122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  <c r="AH18" s="122"/>
      <c r="AI18" s="122"/>
      <c r="AJ18" s="122"/>
      <c r="AK18" s="122"/>
      <c r="AL18" s="122"/>
      <c r="AM18" s="122"/>
      <c r="AN18" s="122"/>
      <c r="AO18" s="122"/>
      <c r="AP18" s="122"/>
      <c r="AQ18" s="122"/>
      <c r="AR18" s="122"/>
      <c r="AS18" s="122"/>
      <c r="AT18" s="122"/>
      <c r="AU18" s="122"/>
      <c r="AV18" s="122"/>
      <c r="AW18" s="122"/>
      <c r="AX18" s="122"/>
      <c r="AY18" s="122"/>
    </row>
    <row r="20" spans="1:54">
      <c r="A20" s="1" t="s">
        <v>294</v>
      </c>
    </row>
    <row r="21" spans="1:54">
      <c r="A21" s="123" t="s">
        <v>125</v>
      </c>
      <c r="B21" s="120">
        <v>1</v>
      </c>
      <c r="C21" s="121" t="s">
        <v>293</v>
      </c>
      <c r="D21" s="121"/>
      <c r="E21" s="121"/>
      <c r="F21" s="121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  <c r="AN21" s="121"/>
      <c r="AO21" s="121"/>
      <c r="AP21" s="121"/>
      <c r="AQ21" s="121"/>
      <c r="AR21" s="121"/>
      <c r="AS21" s="121"/>
      <c r="AT21" s="121"/>
      <c r="AU21" s="121"/>
      <c r="AV21" s="121"/>
      <c r="AW21" s="121"/>
      <c r="AX21" s="121"/>
      <c r="AY21" s="121"/>
    </row>
    <row r="22" spans="1:54">
      <c r="A22" s="107"/>
      <c r="B22" s="117">
        <v>2</v>
      </c>
      <c r="C22" s="108" t="s">
        <v>293</v>
      </c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  <c r="AN22" s="108"/>
      <c r="AO22" s="108"/>
      <c r="AP22" s="108"/>
      <c r="AQ22" s="108"/>
      <c r="AR22" s="108"/>
      <c r="AS22" s="108"/>
      <c r="AT22" s="108"/>
      <c r="AU22" s="108"/>
      <c r="AV22" s="108"/>
      <c r="AW22" s="108"/>
      <c r="AX22" s="108"/>
      <c r="AY22" s="108"/>
    </row>
    <row r="23" spans="1:54">
      <c r="A23" s="107"/>
      <c r="B23" s="124">
        <v>3</v>
      </c>
      <c r="C23" s="108" t="s">
        <v>293</v>
      </c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108"/>
      <c r="AU23" s="108"/>
      <c r="AV23" s="108"/>
      <c r="AW23" s="108"/>
      <c r="AX23" s="108"/>
      <c r="AY23" s="108"/>
    </row>
    <row r="24" spans="1:54">
      <c r="A24" s="125"/>
      <c r="B24" s="126">
        <v>4</v>
      </c>
      <c r="C24" s="125" t="s">
        <v>293</v>
      </c>
      <c r="D24" s="122">
        <v>0</v>
      </c>
      <c r="E24" s="122">
        <v>0</v>
      </c>
      <c r="F24" s="122">
        <v>0</v>
      </c>
      <c r="G24" s="122">
        <v>0</v>
      </c>
      <c r="H24" s="122">
        <v>0</v>
      </c>
      <c r="I24" s="122">
        <v>0</v>
      </c>
      <c r="J24" s="122">
        <v>0</v>
      </c>
      <c r="K24" s="122">
        <v>0</v>
      </c>
      <c r="L24" s="122">
        <v>0</v>
      </c>
      <c r="M24" s="122">
        <v>0</v>
      </c>
      <c r="N24" s="122">
        <v>0</v>
      </c>
      <c r="O24" s="122">
        <v>0</v>
      </c>
      <c r="P24" s="122">
        <v>0</v>
      </c>
      <c r="Q24" s="122">
        <v>0</v>
      </c>
      <c r="R24" s="122">
        <v>0</v>
      </c>
      <c r="S24" s="122">
        <v>0</v>
      </c>
      <c r="T24" s="122">
        <v>0</v>
      </c>
      <c r="U24" s="122">
        <v>0</v>
      </c>
      <c r="V24" s="122">
        <v>0</v>
      </c>
      <c r="W24" s="122">
        <v>0</v>
      </c>
      <c r="X24" s="122">
        <v>0</v>
      </c>
      <c r="Y24" s="122">
        <v>0</v>
      </c>
      <c r="Z24" s="122">
        <v>0</v>
      </c>
      <c r="AA24" s="122">
        <v>0</v>
      </c>
      <c r="AB24" s="122">
        <v>0</v>
      </c>
      <c r="AC24" s="122">
        <v>0</v>
      </c>
      <c r="AD24" s="122">
        <v>0</v>
      </c>
      <c r="AE24" s="122">
        <v>0</v>
      </c>
      <c r="AF24" s="122">
        <v>0</v>
      </c>
      <c r="AG24" s="122">
        <v>0</v>
      </c>
      <c r="AH24" s="122">
        <v>0</v>
      </c>
      <c r="AI24" s="122">
        <v>0</v>
      </c>
      <c r="AJ24" s="122">
        <v>0</v>
      </c>
      <c r="AK24" s="122">
        <v>0</v>
      </c>
      <c r="AL24" s="122">
        <v>0</v>
      </c>
      <c r="AM24" s="122">
        <v>0</v>
      </c>
      <c r="AN24" s="122">
        <v>0</v>
      </c>
      <c r="AO24" s="122">
        <v>0</v>
      </c>
      <c r="AP24" s="122">
        <v>0</v>
      </c>
      <c r="AQ24" s="122">
        <v>0</v>
      </c>
      <c r="AR24" s="122">
        <v>0</v>
      </c>
      <c r="AS24" s="122">
        <v>0</v>
      </c>
      <c r="AT24" s="122">
        <v>0</v>
      </c>
      <c r="AU24" s="122">
        <v>0</v>
      </c>
      <c r="AV24" s="122">
        <v>0</v>
      </c>
      <c r="AW24" s="122">
        <v>0</v>
      </c>
      <c r="AX24" s="122">
        <v>0</v>
      </c>
      <c r="AY24" s="122">
        <v>0</v>
      </c>
    </row>
    <row r="25" spans="1:54">
      <c r="A25" s="123" t="s">
        <v>133</v>
      </c>
      <c r="B25" s="120">
        <v>1</v>
      </c>
      <c r="C25" s="107" t="s">
        <v>293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</row>
    <row r="26" spans="1:54">
      <c r="A26" s="107"/>
      <c r="B26" s="116">
        <v>2</v>
      </c>
      <c r="C26" s="107" t="s">
        <v>293</v>
      </c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  <c r="AX26" s="108"/>
      <c r="AY26" s="108"/>
    </row>
    <row r="27" spans="1:54">
      <c r="A27" s="107"/>
      <c r="B27" s="117">
        <v>3</v>
      </c>
      <c r="C27" s="107" t="s">
        <v>293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8"/>
      <c r="AX27" s="108"/>
      <c r="AY27" s="108"/>
    </row>
    <row r="28" spans="1:54">
      <c r="A28" s="107"/>
      <c r="B28" s="117">
        <v>4</v>
      </c>
      <c r="C28" s="107" t="s">
        <v>293</v>
      </c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</row>
    <row r="29" spans="1:54">
      <c r="A29" s="107"/>
      <c r="B29" s="124">
        <v>5</v>
      </c>
      <c r="C29" s="107" t="s">
        <v>293</v>
      </c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  <c r="AX29" s="108"/>
      <c r="AY29" s="108"/>
    </row>
    <row r="30" spans="1:54">
      <c r="A30" s="107"/>
      <c r="B30" s="124">
        <v>6</v>
      </c>
      <c r="C30" s="107" t="s">
        <v>293</v>
      </c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</row>
    <row r="31" spans="1:54">
      <c r="A31" s="107"/>
      <c r="B31" s="127">
        <v>7</v>
      </c>
      <c r="C31" s="107" t="s">
        <v>293</v>
      </c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8"/>
      <c r="AT31" s="108"/>
      <c r="AU31" s="108"/>
      <c r="AV31" s="108"/>
      <c r="AW31" s="108"/>
      <c r="AX31" s="108"/>
      <c r="AY31" s="108"/>
    </row>
    <row r="32" spans="1:54">
      <c r="A32" s="125"/>
      <c r="B32" s="126">
        <v>8</v>
      </c>
      <c r="C32" s="125" t="s">
        <v>293</v>
      </c>
      <c r="D32" s="122">
        <v>0</v>
      </c>
      <c r="E32" s="122">
        <v>0</v>
      </c>
      <c r="F32" s="122">
        <v>0</v>
      </c>
      <c r="G32" s="122">
        <v>0</v>
      </c>
      <c r="H32" s="122">
        <v>0</v>
      </c>
      <c r="I32" s="122">
        <v>0</v>
      </c>
      <c r="J32" s="122">
        <v>0</v>
      </c>
      <c r="K32" s="122">
        <v>0</v>
      </c>
      <c r="L32" s="122">
        <v>0</v>
      </c>
      <c r="M32" s="122">
        <v>0</v>
      </c>
      <c r="N32" s="122">
        <v>0</v>
      </c>
      <c r="O32" s="122">
        <v>0</v>
      </c>
      <c r="P32" s="122">
        <v>0</v>
      </c>
      <c r="Q32" s="122">
        <v>0</v>
      </c>
      <c r="R32" s="122">
        <v>0</v>
      </c>
      <c r="S32" s="122">
        <v>0</v>
      </c>
      <c r="T32" s="122">
        <v>0</v>
      </c>
      <c r="U32" s="122">
        <v>0</v>
      </c>
      <c r="V32" s="122">
        <v>0</v>
      </c>
      <c r="W32" s="122">
        <v>0</v>
      </c>
      <c r="X32" s="122">
        <v>0</v>
      </c>
      <c r="Y32" s="122">
        <v>0</v>
      </c>
      <c r="Z32" s="122">
        <v>0</v>
      </c>
      <c r="AA32" s="122">
        <v>0</v>
      </c>
      <c r="AB32" s="122">
        <v>0</v>
      </c>
      <c r="AC32" s="122">
        <v>0</v>
      </c>
      <c r="AD32" s="122">
        <v>0</v>
      </c>
      <c r="AE32" s="122">
        <v>0</v>
      </c>
      <c r="AF32" s="122">
        <v>0</v>
      </c>
      <c r="AG32" s="122">
        <v>0</v>
      </c>
      <c r="AH32" s="122">
        <v>0</v>
      </c>
      <c r="AI32" s="122">
        <v>0</v>
      </c>
      <c r="AJ32" s="122">
        <v>0</v>
      </c>
      <c r="AK32" s="122">
        <v>0</v>
      </c>
      <c r="AL32" s="122">
        <v>0</v>
      </c>
      <c r="AM32" s="122">
        <v>0</v>
      </c>
      <c r="AN32" s="122">
        <v>0</v>
      </c>
      <c r="AO32" s="122">
        <v>0</v>
      </c>
      <c r="AP32" s="122">
        <v>0</v>
      </c>
      <c r="AQ32" s="122">
        <v>0</v>
      </c>
      <c r="AR32" s="122">
        <v>0</v>
      </c>
      <c r="AS32" s="122">
        <v>0</v>
      </c>
      <c r="AT32" s="122">
        <v>0</v>
      </c>
      <c r="AU32" s="122">
        <v>0</v>
      </c>
      <c r="AV32" s="122">
        <v>0</v>
      </c>
      <c r="AW32" s="122">
        <v>0</v>
      </c>
      <c r="AX32" s="122">
        <v>0</v>
      </c>
      <c r="AY32" s="122">
        <v>0</v>
      </c>
    </row>
    <row r="33" spans="1:51">
      <c r="A33" s="128" t="s">
        <v>134</v>
      </c>
      <c r="B33" s="116">
        <v>1</v>
      </c>
      <c r="C33" s="107" t="s">
        <v>293</v>
      </c>
      <c r="D33" s="104"/>
      <c r="E33" s="104"/>
      <c r="F33" s="104"/>
      <c r="G33" s="104"/>
      <c r="H33" s="104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  <c r="AM33" s="104"/>
      <c r="AN33" s="104"/>
      <c r="AO33" s="104"/>
      <c r="AP33" s="104"/>
      <c r="AQ33" s="104"/>
      <c r="AR33" s="104"/>
      <c r="AS33" s="104"/>
      <c r="AT33" s="104"/>
      <c r="AU33" s="104"/>
      <c r="AV33" s="104"/>
      <c r="AW33" s="104"/>
      <c r="AX33" s="104"/>
      <c r="AY33" s="104"/>
    </row>
    <row r="34" spans="1:51">
      <c r="A34" s="107"/>
      <c r="B34" s="116">
        <v>2</v>
      </c>
      <c r="C34" s="107" t="s">
        <v>293</v>
      </c>
      <c r="D34" s="104"/>
      <c r="E34" s="104"/>
      <c r="F34" s="104"/>
      <c r="G34" s="104"/>
      <c r="H34" s="10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  <c r="AM34" s="104"/>
      <c r="AN34" s="104"/>
      <c r="AO34" s="104"/>
      <c r="AP34" s="104"/>
      <c r="AQ34" s="104"/>
      <c r="AR34" s="104"/>
      <c r="AS34" s="104"/>
      <c r="AT34" s="104"/>
      <c r="AU34" s="104"/>
      <c r="AV34" s="104"/>
      <c r="AW34" s="104"/>
      <c r="AX34" s="104"/>
      <c r="AY34" s="104"/>
    </row>
    <row r="35" spans="1:51">
      <c r="A35" s="107"/>
      <c r="B35" s="116">
        <v>3</v>
      </c>
      <c r="C35" s="107" t="s">
        <v>293</v>
      </c>
      <c r="D35" s="104"/>
      <c r="E35" s="104"/>
      <c r="F35" s="104"/>
      <c r="G35" s="104"/>
      <c r="H35" s="104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  <c r="AM35" s="104"/>
      <c r="AN35" s="104"/>
      <c r="AO35" s="104"/>
      <c r="AP35" s="104"/>
      <c r="AQ35" s="104"/>
      <c r="AR35" s="104"/>
      <c r="AS35" s="104"/>
      <c r="AT35" s="104"/>
      <c r="AU35" s="104"/>
      <c r="AV35" s="104"/>
      <c r="AW35" s="104"/>
      <c r="AX35" s="104"/>
      <c r="AY35" s="104"/>
    </row>
    <row r="36" spans="1:51">
      <c r="A36" s="107"/>
      <c r="B36" s="117">
        <v>4</v>
      </c>
      <c r="C36" s="107" t="s">
        <v>293</v>
      </c>
      <c r="D36" s="104"/>
      <c r="E36" s="104"/>
      <c r="F36" s="104"/>
      <c r="G36" s="104"/>
      <c r="H36" s="104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4"/>
      <c r="AM36" s="104"/>
      <c r="AN36" s="104"/>
      <c r="AO36" s="104"/>
      <c r="AP36" s="104"/>
      <c r="AQ36" s="104"/>
      <c r="AR36" s="104"/>
      <c r="AS36" s="104"/>
      <c r="AT36" s="104"/>
      <c r="AU36" s="104"/>
      <c r="AV36" s="104"/>
      <c r="AW36" s="104"/>
      <c r="AX36" s="104"/>
      <c r="AY36" s="104"/>
    </row>
    <row r="37" spans="1:51">
      <c r="A37" s="107"/>
      <c r="B37" s="117">
        <v>5</v>
      </c>
      <c r="C37" s="107" t="s">
        <v>293</v>
      </c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  <c r="AM37" s="104"/>
      <c r="AN37" s="104"/>
      <c r="AO37" s="104"/>
      <c r="AP37" s="104"/>
      <c r="AQ37" s="104"/>
      <c r="AR37" s="104"/>
      <c r="AS37" s="104"/>
      <c r="AT37" s="104"/>
      <c r="AU37" s="104"/>
      <c r="AV37" s="104"/>
      <c r="AW37" s="104"/>
      <c r="AX37" s="104"/>
      <c r="AY37" s="104"/>
    </row>
    <row r="38" spans="1:51">
      <c r="A38" s="107"/>
      <c r="B38" s="117">
        <v>6</v>
      </c>
      <c r="C38" s="107" t="s">
        <v>293</v>
      </c>
      <c r="D38" s="104"/>
      <c r="E38" s="104"/>
      <c r="F38" s="104"/>
      <c r="G38" s="104"/>
      <c r="H38" s="104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 s="104"/>
      <c r="AW38" s="104"/>
      <c r="AX38" s="104"/>
      <c r="AY38" s="104"/>
    </row>
    <row r="39" spans="1:51">
      <c r="A39" s="107"/>
      <c r="B39" s="124">
        <v>7</v>
      </c>
      <c r="C39" s="107" t="s">
        <v>293</v>
      </c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4"/>
      <c r="AM39" s="104"/>
      <c r="AN39" s="104"/>
      <c r="AO39" s="104"/>
      <c r="AP39" s="104"/>
      <c r="AQ39" s="104"/>
      <c r="AR39" s="104"/>
      <c r="AS39" s="104"/>
      <c r="AT39" s="104"/>
      <c r="AU39" s="104"/>
      <c r="AV39" s="104"/>
      <c r="AW39" s="104"/>
      <c r="AX39" s="104"/>
      <c r="AY39" s="104"/>
    </row>
    <row r="40" spans="1:51">
      <c r="A40" s="107"/>
      <c r="B40" s="124">
        <v>8</v>
      </c>
      <c r="C40" s="107" t="s">
        <v>293</v>
      </c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  <c r="AM40" s="104"/>
      <c r="AN40" s="104"/>
      <c r="AO40" s="104"/>
      <c r="AP40" s="104"/>
      <c r="AQ40" s="104"/>
      <c r="AR40" s="104"/>
      <c r="AS40" s="104"/>
      <c r="AT40" s="104"/>
      <c r="AU40" s="104"/>
      <c r="AV40" s="104"/>
      <c r="AW40" s="104"/>
      <c r="AX40" s="104"/>
      <c r="AY40" s="104"/>
    </row>
    <row r="41" spans="1:51">
      <c r="A41" s="107"/>
      <c r="B41" s="124">
        <v>9</v>
      </c>
      <c r="C41" s="107" t="s">
        <v>293</v>
      </c>
      <c r="D41" s="104"/>
      <c r="E41" s="104"/>
      <c r="F41" s="104"/>
      <c r="G41" s="104"/>
      <c r="H41" s="104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04"/>
      <c r="AM41" s="104"/>
      <c r="AN41" s="104"/>
      <c r="AO41" s="104"/>
      <c r="AP41" s="104"/>
      <c r="AQ41" s="104"/>
      <c r="AR41" s="104"/>
      <c r="AS41" s="104"/>
      <c r="AT41" s="104"/>
      <c r="AU41" s="104"/>
      <c r="AV41" s="104"/>
      <c r="AW41" s="104"/>
      <c r="AX41" s="104"/>
      <c r="AY41" s="104"/>
    </row>
    <row r="42" spans="1:51">
      <c r="A42" s="107"/>
      <c r="B42" s="127">
        <v>10</v>
      </c>
      <c r="C42" s="107" t="s">
        <v>293</v>
      </c>
      <c r="D42" s="104"/>
      <c r="E42" s="104"/>
      <c r="F42" s="104"/>
      <c r="G42" s="104"/>
      <c r="H42" s="104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4"/>
      <c r="AM42" s="104"/>
      <c r="AN42" s="104"/>
      <c r="AO42" s="104"/>
      <c r="AP42" s="104"/>
      <c r="AQ42" s="104"/>
      <c r="AR42" s="104"/>
      <c r="AS42" s="104"/>
      <c r="AT42" s="104"/>
      <c r="AU42" s="104"/>
      <c r="AV42" s="104"/>
      <c r="AW42" s="104"/>
      <c r="AX42" s="104"/>
      <c r="AY42" s="104"/>
    </row>
    <row r="43" spans="1:51">
      <c r="A43" s="107"/>
      <c r="B43" s="127">
        <v>11</v>
      </c>
      <c r="C43" s="107" t="s">
        <v>293</v>
      </c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4"/>
      <c r="AM43" s="104"/>
      <c r="AN43" s="104"/>
      <c r="AO43" s="104"/>
      <c r="AP43" s="104"/>
      <c r="AQ43" s="104"/>
      <c r="AR43" s="104"/>
      <c r="AS43" s="104"/>
      <c r="AT43" s="104"/>
      <c r="AU43" s="104"/>
      <c r="AV43" s="104"/>
      <c r="AW43" s="104"/>
      <c r="AX43" s="104"/>
      <c r="AY43" s="104"/>
    </row>
    <row r="44" spans="1:51">
      <c r="A44" s="107"/>
      <c r="B44" s="127">
        <v>12</v>
      </c>
      <c r="C44" s="125" t="s">
        <v>293</v>
      </c>
      <c r="D44" s="104">
        <v>0</v>
      </c>
      <c r="E44" s="104">
        <v>0</v>
      </c>
      <c r="F44" s="104">
        <v>0</v>
      </c>
      <c r="G44" s="104">
        <v>0</v>
      </c>
      <c r="H44" s="104">
        <v>0</v>
      </c>
      <c r="I44" s="104">
        <v>0</v>
      </c>
      <c r="J44" s="104">
        <v>0</v>
      </c>
      <c r="K44" s="104">
        <v>0</v>
      </c>
      <c r="L44" s="104">
        <v>0</v>
      </c>
      <c r="M44" s="104">
        <v>0</v>
      </c>
      <c r="N44" s="104">
        <v>0</v>
      </c>
      <c r="O44" s="104">
        <v>0</v>
      </c>
      <c r="P44" s="104">
        <v>0</v>
      </c>
      <c r="Q44" s="104">
        <v>0</v>
      </c>
      <c r="R44" s="104">
        <v>0</v>
      </c>
      <c r="S44" s="104">
        <v>0</v>
      </c>
      <c r="T44" s="104">
        <v>0</v>
      </c>
      <c r="U44" s="104">
        <v>0</v>
      </c>
      <c r="V44" s="104">
        <v>0</v>
      </c>
      <c r="W44" s="104">
        <v>0</v>
      </c>
      <c r="X44" s="104">
        <v>0</v>
      </c>
      <c r="Y44" s="104">
        <v>0</v>
      </c>
      <c r="Z44" s="104">
        <v>0</v>
      </c>
      <c r="AA44" s="104">
        <v>0</v>
      </c>
      <c r="AB44" s="104">
        <v>0</v>
      </c>
      <c r="AC44" s="104">
        <v>0</v>
      </c>
      <c r="AD44" s="104">
        <v>0</v>
      </c>
      <c r="AE44" s="104">
        <v>0</v>
      </c>
      <c r="AF44" s="104">
        <v>0</v>
      </c>
      <c r="AG44" s="104">
        <v>0</v>
      </c>
      <c r="AH44" s="104">
        <v>0</v>
      </c>
      <c r="AI44" s="104">
        <v>0</v>
      </c>
      <c r="AJ44" s="104">
        <v>0</v>
      </c>
      <c r="AK44" s="104">
        <v>0</v>
      </c>
      <c r="AL44" s="104">
        <v>0</v>
      </c>
      <c r="AM44" s="104">
        <v>0</v>
      </c>
      <c r="AN44" s="104">
        <v>0</v>
      </c>
      <c r="AO44" s="104">
        <v>0</v>
      </c>
      <c r="AP44" s="104">
        <v>0</v>
      </c>
      <c r="AQ44" s="104">
        <v>0</v>
      </c>
      <c r="AR44" s="104">
        <v>0</v>
      </c>
      <c r="AS44" s="104">
        <v>0</v>
      </c>
      <c r="AT44" s="104">
        <v>0</v>
      </c>
      <c r="AU44" s="104">
        <v>0</v>
      </c>
      <c r="AV44" s="104">
        <v>0</v>
      </c>
      <c r="AW44" s="104">
        <v>0</v>
      </c>
      <c r="AX44" s="104">
        <v>0</v>
      </c>
      <c r="AY44" s="104">
        <v>0</v>
      </c>
    </row>
    <row r="45" spans="1:51">
      <c r="A45" s="123" t="s">
        <v>123</v>
      </c>
      <c r="B45" s="120">
        <v>1</v>
      </c>
      <c r="C45" s="107" t="s">
        <v>293</v>
      </c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  <c r="R45" s="121"/>
      <c r="S45" s="121"/>
      <c r="T45" s="121"/>
      <c r="U45" s="121"/>
      <c r="V45" s="121"/>
      <c r="W45" s="121"/>
      <c r="X45" s="121"/>
      <c r="Y45" s="121"/>
      <c r="Z45" s="121"/>
      <c r="AA45" s="121"/>
      <c r="AB45" s="121"/>
      <c r="AC45" s="121"/>
      <c r="AD45" s="121"/>
      <c r="AE45" s="121"/>
      <c r="AF45" s="121"/>
      <c r="AG45" s="121"/>
      <c r="AH45" s="121"/>
      <c r="AI45" s="121"/>
      <c r="AJ45" s="121"/>
      <c r="AK45" s="121"/>
      <c r="AL45" s="121"/>
      <c r="AM45" s="121"/>
      <c r="AN45" s="121"/>
      <c r="AO45" s="121"/>
      <c r="AP45" s="121"/>
      <c r="AQ45" s="121"/>
      <c r="AR45" s="121"/>
      <c r="AS45" s="121"/>
      <c r="AT45" s="121"/>
      <c r="AU45" s="121"/>
      <c r="AV45" s="121"/>
      <c r="AW45" s="121"/>
      <c r="AX45" s="121"/>
      <c r="AY45" s="121"/>
    </row>
    <row r="46" spans="1:51">
      <c r="A46" s="107"/>
      <c r="B46" s="116">
        <v>2</v>
      </c>
      <c r="C46" s="107" t="s">
        <v>293</v>
      </c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108"/>
      <c r="Y46" s="108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J46" s="108"/>
      <c r="AK46" s="108"/>
      <c r="AL46" s="108"/>
      <c r="AM46" s="108"/>
      <c r="AN46" s="108"/>
      <c r="AO46" s="108"/>
      <c r="AP46" s="108"/>
      <c r="AQ46" s="108"/>
      <c r="AR46" s="108"/>
      <c r="AS46" s="108"/>
      <c r="AT46" s="108"/>
      <c r="AU46" s="108"/>
      <c r="AV46" s="108"/>
      <c r="AW46" s="108"/>
      <c r="AX46" s="108"/>
      <c r="AY46" s="108"/>
    </row>
    <row r="47" spans="1:51">
      <c r="A47" s="107"/>
      <c r="B47" s="116">
        <v>3</v>
      </c>
      <c r="C47" s="107" t="s">
        <v>293</v>
      </c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08"/>
      <c r="AU47" s="108"/>
      <c r="AV47" s="108"/>
      <c r="AW47" s="108"/>
      <c r="AX47" s="108"/>
      <c r="AY47" s="108"/>
    </row>
    <row r="48" spans="1:51">
      <c r="A48" s="107"/>
      <c r="B48" s="116">
        <v>4</v>
      </c>
      <c r="C48" s="107" t="s">
        <v>293</v>
      </c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108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08"/>
      <c r="AU48" s="108"/>
      <c r="AV48" s="108"/>
      <c r="AW48" s="108"/>
      <c r="AX48" s="108"/>
      <c r="AY48" s="108"/>
    </row>
    <row r="49" spans="1:51">
      <c r="A49" s="107"/>
      <c r="B49" s="116">
        <v>5</v>
      </c>
      <c r="C49" s="107" t="s">
        <v>293</v>
      </c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108"/>
      <c r="AV49" s="108"/>
      <c r="AW49" s="108"/>
      <c r="AX49" s="108"/>
      <c r="AY49" s="108"/>
    </row>
    <row r="50" spans="1:51">
      <c r="A50" s="107"/>
      <c r="B50" s="116">
        <v>6</v>
      </c>
      <c r="C50" s="107" t="s">
        <v>293</v>
      </c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 s="108"/>
      <c r="AV50" s="108"/>
      <c r="AW50" s="108"/>
      <c r="AX50" s="108"/>
      <c r="AY50" s="108"/>
    </row>
    <row r="51" spans="1:51">
      <c r="A51" s="107"/>
      <c r="B51" s="116">
        <v>7</v>
      </c>
      <c r="C51" s="107" t="s">
        <v>293</v>
      </c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108"/>
      <c r="AU51" s="108"/>
      <c r="AV51" s="108"/>
      <c r="AW51" s="108"/>
      <c r="AX51" s="108"/>
      <c r="AY51" s="108"/>
    </row>
    <row r="52" spans="1:51">
      <c r="A52" s="107"/>
      <c r="B52" s="116">
        <v>8</v>
      </c>
      <c r="C52" s="107" t="s">
        <v>293</v>
      </c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 s="108"/>
      <c r="AV52" s="108"/>
      <c r="AW52" s="108"/>
      <c r="AX52" s="108"/>
      <c r="AY52" s="108"/>
    </row>
    <row r="53" spans="1:51">
      <c r="A53" s="107"/>
      <c r="B53" s="116">
        <v>9</v>
      </c>
      <c r="C53" s="107" t="s">
        <v>293</v>
      </c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 s="108"/>
      <c r="AV53" s="108"/>
      <c r="AW53" s="108"/>
      <c r="AX53" s="108"/>
      <c r="AY53" s="108"/>
    </row>
    <row r="54" spans="1:51">
      <c r="A54" s="107"/>
      <c r="B54" s="116">
        <v>10</v>
      </c>
      <c r="C54" s="107" t="s">
        <v>293</v>
      </c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 s="108"/>
      <c r="AV54" s="108"/>
      <c r="AW54" s="108"/>
      <c r="AX54" s="108"/>
      <c r="AY54" s="108"/>
    </row>
    <row r="55" spans="1:51">
      <c r="A55" s="107"/>
      <c r="B55" s="116">
        <v>11</v>
      </c>
      <c r="C55" s="107" t="s">
        <v>293</v>
      </c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 s="108"/>
      <c r="AV55" s="108"/>
      <c r="AW55" s="108"/>
      <c r="AX55" s="108"/>
      <c r="AY55" s="108"/>
    </row>
    <row r="56" spans="1:51">
      <c r="A56" s="107"/>
      <c r="B56" s="116">
        <v>12</v>
      </c>
      <c r="C56" s="107" t="s">
        <v>293</v>
      </c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108"/>
      <c r="AV56" s="108"/>
      <c r="AW56" s="108"/>
      <c r="AX56" s="108"/>
      <c r="AY56" s="108"/>
    </row>
    <row r="57" spans="1:51">
      <c r="A57" s="107"/>
      <c r="B57" s="117">
        <v>13</v>
      </c>
      <c r="C57" s="107" t="s">
        <v>293</v>
      </c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08"/>
      <c r="AV57" s="108"/>
      <c r="AW57" s="108"/>
      <c r="AX57" s="108"/>
      <c r="AY57" s="108"/>
    </row>
    <row r="58" spans="1:51">
      <c r="A58" s="107"/>
      <c r="B58" s="117">
        <v>14</v>
      </c>
      <c r="C58" s="107" t="s">
        <v>293</v>
      </c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</row>
    <row r="59" spans="1:51">
      <c r="A59" s="107"/>
      <c r="B59" s="117">
        <v>15</v>
      </c>
      <c r="C59" s="107" t="s">
        <v>293</v>
      </c>
      <c r="D59" s="108"/>
      <c r="E59" s="108"/>
      <c r="F59" s="108"/>
      <c r="G59" s="108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8"/>
      <c r="AL59" s="108"/>
      <c r="AM59" s="108"/>
      <c r="AN59" s="108"/>
      <c r="AO59" s="108"/>
      <c r="AP59" s="108"/>
      <c r="AQ59" s="108"/>
      <c r="AR59" s="108"/>
      <c r="AS59" s="108"/>
      <c r="AT59" s="108"/>
      <c r="AU59" s="108"/>
      <c r="AV59" s="108"/>
      <c r="AW59" s="108"/>
      <c r="AX59" s="108"/>
      <c r="AY59" s="108"/>
    </row>
    <row r="60" spans="1:51">
      <c r="A60" s="107"/>
      <c r="B60" s="117">
        <v>16</v>
      </c>
      <c r="C60" s="107" t="s">
        <v>293</v>
      </c>
      <c r="D60" s="108"/>
      <c r="E60" s="108"/>
      <c r="F60" s="108"/>
      <c r="G60" s="108"/>
      <c r="H60" s="108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8"/>
      <c r="AL60" s="108"/>
      <c r="AM60" s="108"/>
      <c r="AN60" s="108"/>
      <c r="AO60" s="108"/>
      <c r="AP60" s="108"/>
      <c r="AQ60" s="108"/>
      <c r="AR60" s="108"/>
      <c r="AS60" s="108"/>
      <c r="AT60" s="108"/>
      <c r="AU60" s="108"/>
      <c r="AV60" s="108"/>
      <c r="AW60" s="108"/>
      <c r="AX60" s="108"/>
      <c r="AY60" s="108"/>
    </row>
    <row r="61" spans="1:51">
      <c r="A61" s="107"/>
      <c r="B61" s="117">
        <v>17</v>
      </c>
      <c r="C61" s="107" t="s">
        <v>293</v>
      </c>
      <c r="D61" s="108"/>
      <c r="E61" s="108"/>
      <c r="F61" s="108"/>
      <c r="G61" s="108"/>
      <c r="H61" s="108"/>
      <c r="I61" s="108"/>
      <c r="J61" s="108"/>
      <c r="K61" s="108"/>
      <c r="L61" s="108"/>
      <c r="M61" s="108"/>
      <c r="N61" s="108"/>
      <c r="O61" s="108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8"/>
      <c r="AL61" s="108"/>
      <c r="AM61" s="108"/>
      <c r="AN61" s="108"/>
      <c r="AO61" s="108"/>
      <c r="AP61" s="108"/>
      <c r="AQ61" s="108"/>
      <c r="AR61" s="108"/>
      <c r="AS61" s="108"/>
      <c r="AT61" s="108"/>
      <c r="AU61" s="108"/>
      <c r="AV61" s="108"/>
      <c r="AW61" s="108"/>
      <c r="AX61" s="108"/>
      <c r="AY61" s="108"/>
    </row>
    <row r="62" spans="1:51">
      <c r="A62" s="107"/>
      <c r="B62" s="117">
        <v>18</v>
      </c>
      <c r="C62" s="107" t="s">
        <v>293</v>
      </c>
      <c r="D62" s="108"/>
      <c r="E62" s="108"/>
      <c r="F62" s="108"/>
      <c r="G62" s="108"/>
      <c r="H62" s="108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8"/>
      <c r="AL62" s="108"/>
      <c r="AM62" s="108"/>
      <c r="AN62" s="108"/>
      <c r="AO62" s="108"/>
      <c r="AP62" s="108"/>
      <c r="AQ62" s="108"/>
      <c r="AR62" s="108"/>
      <c r="AS62" s="108"/>
      <c r="AT62" s="108"/>
      <c r="AU62" s="108"/>
      <c r="AV62" s="108"/>
      <c r="AW62" s="108"/>
      <c r="AX62" s="108"/>
      <c r="AY62" s="108"/>
    </row>
    <row r="63" spans="1:51">
      <c r="A63" s="107"/>
      <c r="B63" s="117">
        <v>19</v>
      </c>
      <c r="C63" s="107" t="s">
        <v>293</v>
      </c>
      <c r="D63" s="108"/>
      <c r="E63" s="108"/>
      <c r="F63" s="108"/>
      <c r="G63" s="108"/>
      <c r="H63" s="108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08"/>
      <c r="AC63" s="108"/>
      <c r="AD63" s="108"/>
      <c r="AE63" s="108"/>
      <c r="AF63" s="108"/>
      <c r="AG63" s="108"/>
      <c r="AH63" s="108"/>
      <c r="AI63" s="108"/>
      <c r="AJ63" s="108"/>
      <c r="AK63" s="108"/>
      <c r="AL63" s="108"/>
      <c r="AM63" s="108"/>
      <c r="AN63" s="108"/>
      <c r="AO63" s="108"/>
      <c r="AP63" s="108"/>
      <c r="AQ63" s="108"/>
      <c r="AR63" s="108"/>
      <c r="AS63" s="108"/>
      <c r="AT63" s="108"/>
      <c r="AU63" s="108"/>
      <c r="AV63" s="108"/>
      <c r="AW63" s="108"/>
      <c r="AX63" s="108"/>
      <c r="AY63" s="108"/>
    </row>
    <row r="64" spans="1:51">
      <c r="A64" s="107"/>
      <c r="B64" s="117">
        <v>20</v>
      </c>
      <c r="C64" s="107" t="s">
        <v>293</v>
      </c>
      <c r="D64" s="108"/>
      <c r="E64" s="108"/>
      <c r="F64" s="108"/>
      <c r="G64" s="108"/>
      <c r="H64" s="108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  <c r="Y64" s="108"/>
      <c r="Z64" s="108"/>
      <c r="AA64" s="108"/>
      <c r="AB64" s="108"/>
      <c r="AC64" s="108"/>
      <c r="AD64" s="108"/>
      <c r="AE64" s="108"/>
      <c r="AF64" s="108"/>
      <c r="AG64" s="108"/>
      <c r="AH64" s="108"/>
      <c r="AI64" s="108"/>
      <c r="AJ64" s="108"/>
      <c r="AK64" s="108"/>
      <c r="AL64" s="108"/>
      <c r="AM64" s="108"/>
      <c r="AN64" s="108"/>
      <c r="AO64" s="108"/>
      <c r="AP64" s="108"/>
      <c r="AQ64" s="108"/>
      <c r="AR64" s="108"/>
      <c r="AS64" s="108"/>
      <c r="AT64" s="108"/>
      <c r="AU64" s="108"/>
      <c r="AV64" s="108"/>
      <c r="AW64" s="108"/>
      <c r="AX64" s="108"/>
      <c r="AY64" s="108"/>
    </row>
    <row r="65" spans="1:51">
      <c r="A65" s="107"/>
      <c r="B65" s="117">
        <v>21</v>
      </c>
      <c r="C65" s="107" t="s">
        <v>293</v>
      </c>
      <c r="D65" s="108"/>
      <c r="E65" s="108"/>
      <c r="F65" s="108"/>
      <c r="G65" s="108"/>
      <c r="H65" s="108"/>
      <c r="I65" s="108"/>
      <c r="J65" s="108"/>
      <c r="K65" s="108"/>
      <c r="L65" s="108"/>
      <c r="M65" s="108"/>
      <c r="N65" s="108"/>
      <c r="O65" s="108"/>
      <c r="P65" s="108"/>
      <c r="Q65" s="108"/>
      <c r="R65" s="108"/>
      <c r="S65" s="108"/>
      <c r="T65" s="108"/>
      <c r="U65" s="108"/>
      <c r="V65" s="108"/>
      <c r="W65" s="108"/>
      <c r="X65" s="108"/>
      <c r="Y65" s="108"/>
      <c r="Z65" s="108"/>
      <c r="AA65" s="108"/>
      <c r="AB65" s="108"/>
      <c r="AC65" s="108"/>
      <c r="AD65" s="108"/>
      <c r="AE65" s="108"/>
      <c r="AF65" s="108"/>
      <c r="AG65" s="108"/>
      <c r="AH65" s="108"/>
      <c r="AI65" s="108"/>
      <c r="AJ65" s="108"/>
      <c r="AK65" s="108"/>
      <c r="AL65" s="108"/>
      <c r="AM65" s="108"/>
      <c r="AN65" s="108"/>
      <c r="AO65" s="108"/>
      <c r="AP65" s="108"/>
      <c r="AQ65" s="108"/>
      <c r="AR65" s="108"/>
      <c r="AS65" s="108"/>
      <c r="AT65" s="108"/>
      <c r="AU65" s="108"/>
      <c r="AV65" s="108"/>
      <c r="AW65" s="108"/>
      <c r="AX65" s="108"/>
      <c r="AY65" s="108"/>
    </row>
    <row r="66" spans="1:51">
      <c r="A66" s="107"/>
      <c r="B66" s="117">
        <v>22</v>
      </c>
      <c r="C66" s="107" t="s">
        <v>293</v>
      </c>
      <c r="D66" s="108"/>
      <c r="E66" s="108"/>
      <c r="F66" s="108"/>
      <c r="G66" s="108"/>
      <c r="H66" s="108"/>
      <c r="I66" s="108"/>
      <c r="J66" s="108"/>
      <c r="K66" s="108"/>
      <c r="L66" s="108"/>
      <c r="M66" s="108"/>
      <c r="N66" s="108"/>
      <c r="O66" s="108"/>
      <c r="P66" s="108"/>
      <c r="Q66" s="108"/>
      <c r="R66" s="108"/>
      <c r="S66" s="108"/>
      <c r="T66" s="108"/>
      <c r="U66" s="108"/>
      <c r="V66" s="108"/>
      <c r="W66" s="108"/>
      <c r="X66" s="108"/>
      <c r="Y66" s="108"/>
      <c r="Z66" s="108"/>
      <c r="AA66" s="108"/>
      <c r="AB66" s="108"/>
      <c r="AC66" s="108"/>
      <c r="AD66" s="108"/>
      <c r="AE66" s="108"/>
      <c r="AF66" s="108"/>
      <c r="AG66" s="108"/>
      <c r="AH66" s="108"/>
      <c r="AI66" s="108"/>
      <c r="AJ66" s="108"/>
      <c r="AK66" s="108"/>
      <c r="AL66" s="108"/>
      <c r="AM66" s="108"/>
      <c r="AN66" s="108"/>
      <c r="AO66" s="108"/>
      <c r="AP66" s="108"/>
      <c r="AQ66" s="108"/>
      <c r="AR66" s="108"/>
      <c r="AS66" s="108"/>
      <c r="AT66" s="108"/>
      <c r="AU66" s="108"/>
      <c r="AV66" s="108"/>
      <c r="AW66" s="108"/>
      <c r="AX66" s="108"/>
      <c r="AY66" s="108"/>
    </row>
    <row r="67" spans="1:51">
      <c r="A67" s="107"/>
      <c r="B67" s="117">
        <v>23</v>
      </c>
      <c r="C67" s="107" t="s">
        <v>293</v>
      </c>
      <c r="D67" s="108"/>
      <c r="E67" s="108"/>
      <c r="F67" s="108"/>
      <c r="G67" s="108"/>
      <c r="H67" s="108"/>
      <c r="I67" s="108"/>
      <c r="J67" s="108"/>
      <c r="K67" s="108"/>
      <c r="L67" s="108"/>
      <c r="M67" s="108"/>
      <c r="N67" s="108"/>
      <c r="O67" s="108"/>
      <c r="P67" s="108"/>
      <c r="Q67" s="108"/>
      <c r="R67" s="108"/>
      <c r="S67" s="108"/>
      <c r="T67" s="108"/>
      <c r="U67" s="108"/>
      <c r="V67" s="108"/>
      <c r="W67" s="108"/>
      <c r="X67" s="108"/>
      <c r="Y67" s="108"/>
      <c r="Z67" s="108"/>
      <c r="AA67" s="108"/>
      <c r="AB67" s="108"/>
      <c r="AC67" s="108"/>
      <c r="AD67" s="108"/>
      <c r="AE67" s="108"/>
      <c r="AF67" s="108"/>
      <c r="AG67" s="108"/>
      <c r="AH67" s="108"/>
      <c r="AI67" s="108"/>
      <c r="AJ67" s="108"/>
      <c r="AK67" s="108"/>
      <c r="AL67" s="108"/>
      <c r="AM67" s="108"/>
      <c r="AN67" s="108"/>
      <c r="AO67" s="108"/>
      <c r="AP67" s="108"/>
      <c r="AQ67" s="108"/>
      <c r="AR67" s="108"/>
      <c r="AS67" s="108"/>
      <c r="AT67" s="108"/>
      <c r="AU67" s="108"/>
      <c r="AV67" s="108"/>
      <c r="AW67" s="108"/>
      <c r="AX67" s="108"/>
      <c r="AY67" s="108"/>
    </row>
    <row r="68" spans="1:51">
      <c r="A68" s="107"/>
      <c r="B68" s="117">
        <v>24</v>
      </c>
      <c r="C68" s="107" t="s">
        <v>293</v>
      </c>
      <c r="D68" s="108"/>
      <c r="E68" s="108"/>
      <c r="F68" s="108"/>
      <c r="G68" s="108"/>
      <c r="H68" s="108"/>
      <c r="I68" s="108"/>
      <c r="J68" s="108"/>
      <c r="K68" s="108"/>
      <c r="L68" s="108"/>
      <c r="M68" s="108"/>
      <c r="N68" s="108"/>
      <c r="O68" s="108"/>
      <c r="P68" s="108"/>
      <c r="Q68" s="108"/>
      <c r="R68" s="108"/>
      <c r="S68" s="108"/>
      <c r="T68" s="108"/>
      <c r="U68" s="108"/>
      <c r="V68" s="108"/>
      <c r="W68" s="108"/>
      <c r="X68" s="108"/>
      <c r="Y68" s="108"/>
      <c r="Z68" s="108"/>
      <c r="AA68" s="108"/>
      <c r="AB68" s="108"/>
      <c r="AC68" s="108"/>
      <c r="AD68" s="108"/>
      <c r="AE68" s="108"/>
      <c r="AF68" s="108"/>
      <c r="AG68" s="108"/>
      <c r="AH68" s="108"/>
      <c r="AI68" s="108"/>
      <c r="AJ68" s="108"/>
      <c r="AK68" s="108"/>
      <c r="AL68" s="108"/>
      <c r="AM68" s="108"/>
      <c r="AN68" s="108"/>
      <c r="AO68" s="108"/>
      <c r="AP68" s="108"/>
      <c r="AQ68" s="108"/>
      <c r="AR68" s="108"/>
      <c r="AS68" s="108"/>
      <c r="AT68" s="108"/>
      <c r="AU68" s="108"/>
      <c r="AV68" s="108"/>
      <c r="AW68" s="108"/>
      <c r="AX68" s="108"/>
      <c r="AY68" s="108"/>
    </row>
    <row r="69" spans="1:51">
      <c r="A69" s="107"/>
      <c r="B69" s="124">
        <v>25</v>
      </c>
      <c r="C69" s="107" t="s">
        <v>293</v>
      </c>
      <c r="D69" s="108"/>
      <c r="E69" s="108"/>
      <c r="F69" s="108"/>
      <c r="G69" s="108"/>
      <c r="H69" s="108"/>
      <c r="I69" s="108"/>
      <c r="J69" s="108"/>
      <c r="K69" s="108"/>
      <c r="L69" s="108"/>
      <c r="M69" s="108"/>
      <c r="N69" s="108"/>
      <c r="O69" s="108"/>
      <c r="P69" s="108"/>
      <c r="Q69" s="108"/>
      <c r="R69" s="108"/>
      <c r="S69" s="108"/>
      <c r="T69" s="108"/>
      <c r="U69" s="108"/>
      <c r="V69" s="108"/>
      <c r="W69" s="108"/>
      <c r="X69" s="108"/>
      <c r="Y69" s="108"/>
      <c r="Z69" s="108"/>
      <c r="AA69" s="108"/>
      <c r="AB69" s="108"/>
      <c r="AC69" s="108"/>
      <c r="AD69" s="108"/>
      <c r="AE69" s="108"/>
      <c r="AF69" s="108"/>
      <c r="AG69" s="108"/>
      <c r="AH69" s="108"/>
      <c r="AI69" s="108"/>
      <c r="AJ69" s="108"/>
      <c r="AK69" s="108"/>
      <c r="AL69" s="108"/>
      <c r="AM69" s="108"/>
      <c r="AN69" s="108"/>
      <c r="AO69" s="108"/>
      <c r="AP69" s="108"/>
      <c r="AQ69" s="108"/>
      <c r="AR69" s="108"/>
      <c r="AS69" s="108"/>
      <c r="AT69" s="108"/>
      <c r="AU69" s="108"/>
      <c r="AV69" s="108"/>
      <c r="AW69" s="108"/>
      <c r="AX69" s="108"/>
      <c r="AY69" s="108"/>
    </row>
    <row r="70" spans="1:51">
      <c r="A70" s="107"/>
      <c r="B70" s="124">
        <v>26</v>
      </c>
      <c r="C70" s="107" t="s">
        <v>293</v>
      </c>
      <c r="D70" s="108"/>
      <c r="E70" s="108"/>
      <c r="F70" s="108"/>
      <c r="G70" s="108"/>
      <c r="H70" s="108"/>
      <c r="I70" s="108"/>
      <c r="J70" s="108"/>
      <c r="K70" s="108"/>
      <c r="L70" s="108"/>
      <c r="M70" s="108"/>
      <c r="N70" s="108"/>
      <c r="O70" s="108"/>
      <c r="P70" s="108"/>
      <c r="Q70" s="108"/>
      <c r="R70" s="108"/>
      <c r="S70" s="108"/>
      <c r="T70" s="108"/>
      <c r="U70" s="108"/>
      <c r="V70" s="108"/>
      <c r="W70" s="108"/>
      <c r="X70" s="108"/>
      <c r="Y70" s="108"/>
      <c r="Z70" s="108"/>
      <c r="AA70" s="108"/>
      <c r="AB70" s="108"/>
      <c r="AC70" s="108"/>
      <c r="AD70" s="108"/>
      <c r="AE70" s="108"/>
      <c r="AF70" s="108"/>
      <c r="AG70" s="108"/>
      <c r="AH70" s="108"/>
      <c r="AI70" s="108"/>
      <c r="AJ70" s="108"/>
      <c r="AK70" s="108"/>
      <c r="AL70" s="108"/>
      <c r="AM70" s="108"/>
      <c r="AN70" s="108"/>
      <c r="AO70" s="108"/>
      <c r="AP70" s="108"/>
      <c r="AQ70" s="108"/>
      <c r="AR70" s="108"/>
      <c r="AS70" s="108"/>
      <c r="AT70" s="108"/>
      <c r="AU70" s="108"/>
      <c r="AV70" s="108"/>
      <c r="AW70" s="108"/>
      <c r="AX70" s="108"/>
      <c r="AY70" s="108"/>
    </row>
    <row r="71" spans="1:51">
      <c r="A71" s="107"/>
      <c r="B71" s="124">
        <v>27</v>
      </c>
      <c r="C71" s="107" t="s">
        <v>293</v>
      </c>
      <c r="D71" s="108"/>
      <c r="E71" s="108"/>
      <c r="F71" s="108"/>
      <c r="G71" s="108"/>
      <c r="H71" s="108"/>
      <c r="I71" s="108"/>
      <c r="J71" s="108"/>
      <c r="K71" s="108"/>
      <c r="L71" s="108"/>
      <c r="M71" s="108"/>
      <c r="N71" s="108"/>
      <c r="O71" s="108"/>
      <c r="P71" s="108"/>
      <c r="Q71" s="108"/>
      <c r="R71" s="108"/>
      <c r="S71" s="108"/>
      <c r="T71" s="108"/>
      <c r="U71" s="108"/>
      <c r="V71" s="108"/>
      <c r="W71" s="108"/>
      <c r="X71" s="108"/>
      <c r="Y71" s="108"/>
      <c r="Z71" s="108"/>
      <c r="AA71" s="108"/>
      <c r="AB71" s="108"/>
      <c r="AC71" s="108"/>
      <c r="AD71" s="108"/>
      <c r="AE71" s="108"/>
      <c r="AF71" s="108"/>
      <c r="AG71" s="108"/>
      <c r="AH71" s="108"/>
      <c r="AI71" s="108"/>
      <c r="AJ71" s="108"/>
      <c r="AK71" s="108"/>
      <c r="AL71" s="108"/>
      <c r="AM71" s="108"/>
      <c r="AN71" s="108"/>
      <c r="AO71" s="108"/>
      <c r="AP71" s="108"/>
      <c r="AQ71" s="108"/>
      <c r="AR71" s="108"/>
      <c r="AS71" s="108"/>
      <c r="AT71" s="108"/>
      <c r="AU71" s="108"/>
      <c r="AV71" s="108"/>
      <c r="AW71" s="108"/>
      <c r="AX71" s="108"/>
      <c r="AY71" s="108"/>
    </row>
    <row r="72" spans="1:51">
      <c r="A72" s="107"/>
      <c r="B72" s="124">
        <v>28</v>
      </c>
      <c r="C72" s="107" t="s">
        <v>293</v>
      </c>
      <c r="D72" s="108"/>
      <c r="E72" s="108"/>
      <c r="F72" s="108"/>
      <c r="G72" s="108"/>
      <c r="H72" s="108"/>
      <c r="I72" s="108"/>
      <c r="J72" s="108"/>
      <c r="K72" s="108"/>
      <c r="L72" s="108"/>
      <c r="M72" s="108"/>
      <c r="N72" s="108"/>
      <c r="O72" s="108"/>
      <c r="P72" s="108"/>
      <c r="Q72" s="108"/>
      <c r="R72" s="108"/>
      <c r="S72" s="108"/>
      <c r="T72" s="108"/>
      <c r="U72" s="108"/>
      <c r="V72" s="108"/>
      <c r="W72" s="108"/>
      <c r="X72" s="108"/>
      <c r="Y72" s="108"/>
      <c r="Z72" s="108"/>
      <c r="AA72" s="108"/>
      <c r="AB72" s="108"/>
      <c r="AC72" s="108"/>
      <c r="AD72" s="108"/>
      <c r="AE72" s="108"/>
      <c r="AF72" s="108"/>
      <c r="AG72" s="108"/>
      <c r="AH72" s="108"/>
      <c r="AI72" s="108"/>
      <c r="AJ72" s="108"/>
      <c r="AK72" s="108"/>
      <c r="AL72" s="108"/>
      <c r="AM72" s="108"/>
      <c r="AN72" s="108"/>
      <c r="AO72" s="108"/>
      <c r="AP72" s="108"/>
      <c r="AQ72" s="108"/>
      <c r="AR72" s="108"/>
      <c r="AS72" s="108"/>
      <c r="AT72" s="108"/>
      <c r="AU72" s="108"/>
      <c r="AV72" s="108"/>
      <c r="AW72" s="108"/>
      <c r="AX72" s="108"/>
      <c r="AY72" s="108"/>
    </row>
    <row r="73" spans="1:51">
      <c r="A73" s="107"/>
      <c r="B73" s="124">
        <v>29</v>
      </c>
      <c r="C73" s="107" t="s">
        <v>293</v>
      </c>
      <c r="D73" s="108"/>
      <c r="E73" s="108"/>
      <c r="F73" s="108"/>
      <c r="G73" s="108"/>
      <c r="H73" s="108"/>
      <c r="I73" s="108"/>
      <c r="J73" s="108"/>
      <c r="K73" s="108"/>
      <c r="L73" s="108"/>
      <c r="M73" s="108"/>
      <c r="N73" s="108"/>
      <c r="O73" s="108"/>
      <c r="P73" s="108"/>
      <c r="Q73" s="108"/>
      <c r="R73" s="108"/>
      <c r="S73" s="108"/>
      <c r="T73" s="108"/>
      <c r="U73" s="108"/>
      <c r="V73" s="108"/>
      <c r="W73" s="108"/>
      <c r="X73" s="108"/>
      <c r="Y73" s="108"/>
      <c r="Z73" s="108"/>
      <c r="AA73" s="108"/>
      <c r="AB73" s="108"/>
      <c r="AC73" s="108"/>
      <c r="AD73" s="108"/>
      <c r="AE73" s="108"/>
      <c r="AF73" s="108"/>
      <c r="AG73" s="108"/>
      <c r="AH73" s="108"/>
      <c r="AI73" s="108"/>
      <c r="AJ73" s="108"/>
      <c r="AK73" s="108"/>
      <c r="AL73" s="108"/>
      <c r="AM73" s="108"/>
      <c r="AN73" s="108"/>
      <c r="AO73" s="108"/>
      <c r="AP73" s="108"/>
      <c r="AQ73" s="108"/>
      <c r="AR73" s="108"/>
      <c r="AS73" s="108"/>
      <c r="AT73" s="108"/>
      <c r="AU73" s="108"/>
      <c r="AV73" s="108"/>
      <c r="AW73" s="108"/>
      <c r="AX73" s="108"/>
      <c r="AY73" s="108"/>
    </row>
    <row r="74" spans="1:51">
      <c r="A74" s="107"/>
      <c r="B74" s="124">
        <v>30</v>
      </c>
      <c r="C74" s="107" t="s">
        <v>293</v>
      </c>
      <c r="D74" s="108"/>
      <c r="E74" s="108"/>
      <c r="F74" s="108"/>
      <c r="G74" s="108"/>
      <c r="H74" s="108"/>
      <c r="I74" s="108"/>
      <c r="J74" s="108"/>
      <c r="K74" s="108"/>
      <c r="L74" s="108"/>
      <c r="M74" s="108"/>
      <c r="N74" s="108"/>
      <c r="O74" s="108"/>
      <c r="P74" s="108"/>
      <c r="Q74" s="108"/>
      <c r="R74" s="108"/>
      <c r="S74" s="108"/>
      <c r="T74" s="108"/>
      <c r="U74" s="108"/>
      <c r="V74" s="108"/>
      <c r="W74" s="108"/>
      <c r="X74" s="108"/>
      <c r="Y74" s="108"/>
      <c r="Z74" s="108"/>
      <c r="AA74" s="108"/>
      <c r="AB74" s="108"/>
      <c r="AC74" s="108"/>
      <c r="AD74" s="108"/>
      <c r="AE74" s="108"/>
      <c r="AF74" s="108"/>
      <c r="AG74" s="108"/>
      <c r="AH74" s="108"/>
      <c r="AI74" s="108"/>
      <c r="AJ74" s="108"/>
      <c r="AK74" s="108"/>
      <c r="AL74" s="108"/>
      <c r="AM74" s="108"/>
      <c r="AN74" s="108"/>
      <c r="AO74" s="108"/>
      <c r="AP74" s="108"/>
      <c r="AQ74" s="108"/>
      <c r="AR74" s="108"/>
      <c r="AS74" s="108"/>
      <c r="AT74" s="108"/>
      <c r="AU74" s="108"/>
      <c r="AV74" s="108"/>
      <c r="AW74" s="108"/>
      <c r="AX74" s="108"/>
      <c r="AY74" s="108"/>
    </row>
    <row r="75" spans="1:51">
      <c r="A75" s="107"/>
      <c r="B75" s="124">
        <v>31</v>
      </c>
      <c r="C75" s="107" t="s">
        <v>293</v>
      </c>
      <c r="D75" s="108"/>
      <c r="E75" s="108"/>
      <c r="F75" s="108"/>
      <c r="G75" s="108"/>
      <c r="H75" s="108"/>
      <c r="I75" s="108"/>
      <c r="J75" s="108"/>
      <c r="K75" s="108"/>
      <c r="L75" s="108"/>
      <c r="M75" s="108"/>
      <c r="N75" s="108"/>
      <c r="O75" s="108"/>
      <c r="P75" s="108"/>
      <c r="Q75" s="108"/>
      <c r="R75" s="108"/>
      <c r="S75" s="108"/>
      <c r="T75" s="108"/>
      <c r="U75" s="108"/>
      <c r="V75" s="108"/>
      <c r="W75" s="108"/>
      <c r="X75" s="108"/>
      <c r="Y75" s="108"/>
      <c r="Z75" s="108"/>
      <c r="AA75" s="108"/>
      <c r="AB75" s="108"/>
      <c r="AC75" s="108"/>
      <c r="AD75" s="108"/>
      <c r="AE75" s="108"/>
      <c r="AF75" s="108"/>
      <c r="AG75" s="108"/>
      <c r="AH75" s="108"/>
      <c r="AI75" s="108"/>
      <c r="AJ75" s="108"/>
      <c r="AK75" s="108"/>
      <c r="AL75" s="108"/>
      <c r="AM75" s="108"/>
      <c r="AN75" s="108"/>
      <c r="AO75" s="108"/>
      <c r="AP75" s="108"/>
      <c r="AQ75" s="108"/>
      <c r="AR75" s="108"/>
      <c r="AS75" s="108"/>
      <c r="AT75" s="108"/>
      <c r="AU75" s="108"/>
      <c r="AV75" s="108"/>
      <c r="AW75" s="108"/>
      <c r="AX75" s="108"/>
      <c r="AY75" s="108"/>
    </row>
    <row r="76" spans="1:51">
      <c r="A76" s="107"/>
      <c r="B76" s="124">
        <v>32</v>
      </c>
      <c r="C76" s="107" t="s">
        <v>293</v>
      </c>
      <c r="D76" s="108"/>
      <c r="E76" s="108"/>
      <c r="F76" s="108"/>
      <c r="G76" s="108"/>
      <c r="H76" s="108"/>
      <c r="I76" s="108"/>
      <c r="J76" s="108"/>
      <c r="K76" s="108"/>
      <c r="L76" s="108"/>
      <c r="M76" s="108"/>
      <c r="N76" s="108"/>
      <c r="O76" s="108"/>
      <c r="P76" s="108"/>
      <c r="Q76" s="108"/>
      <c r="R76" s="108"/>
      <c r="S76" s="108"/>
      <c r="T76" s="108"/>
      <c r="U76" s="108"/>
      <c r="V76" s="108"/>
      <c r="W76" s="108"/>
      <c r="X76" s="108"/>
      <c r="Y76" s="108"/>
      <c r="Z76" s="108"/>
      <c r="AA76" s="108"/>
      <c r="AB76" s="108"/>
      <c r="AC76" s="108"/>
      <c r="AD76" s="108"/>
      <c r="AE76" s="108"/>
      <c r="AF76" s="108"/>
      <c r="AG76" s="108"/>
      <c r="AH76" s="108"/>
      <c r="AI76" s="108"/>
      <c r="AJ76" s="108"/>
      <c r="AK76" s="108"/>
      <c r="AL76" s="108"/>
      <c r="AM76" s="108"/>
      <c r="AN76" s="108"/>
      <c r="AO76" s="108"/>
      <c r="AP76" s="108"/>
      <c r="AQ76" s="108"/>
      <c r="AR76" s="108"/>
      <c r="AS76" s="108"/>
      <c r="AT76" s="108"/>
      <c r="AU76" s="108"/>
      <c r="AV76" s="108"/>
      <c r="AW76" s="108"/>
      <c r="AX76" s="108"/>
      <c r="AY76" s="108"/>
    </row>
    <row r="77" spans="1:51">
      <c r="A77" s="107"/>
      <c r="B77" s="124">
        <v>33</v>
      </c>
      <c r="C77" s="107" t="s">
        <v>293</v>
      </c>
      <c r="D77" s="108"/>
      <c r="E77" s="108"/>
      <c r="F77" s="108"/>
      <c r="G77" s="108"/>
      <c r="H77" s="108"/>
      <c r="I77" s="108"/>
      <c r="J77" s="108"/>
      <c r="K77" s="108"/>
      <c r="L77" s="108"/>
      <c r="M77" s="108"/>
      <c r="N77" s="108"/>
      <c r="O77" s="108"/>
      <c r="P77" s="108"/>
      <c r="Q77" s="108"/>
      <c r="R77" s="108"/>
      <c r="S77" s="108"/>
      <c r="T77" s="108"/>
      <c r="U77" s="108"/>
      <c r="V77" s="108"/>
      <c r="W77" s="108"/>
      <c r="X77" s="108"/>
      <c r="Y77" s="108"/>
      <c r="Z77" s="108"/>
      <c r="AA77" s="108"/>
      <c r="AB77" s="108"/>
      <c r="AC77" s="108"/>
      <c r="AD77" s="108"/>
      <c r="AE77" s="108"/>
      <c r="AF77" s="108"/>
      <c r="AG77" s="108"/>
      <c r="AH77" s="108"/>
      <c r="AI77" s="108"/>
      <c r="AJ77" s="108"/>
      <c r="AK77" s="108"/>
      <c r="AL77" s="108"/>
      <c r="AM77" s="108"/>
      <c r="AN77" s="108"/>
      <c r="AO77" s="108"/>
      <c r="AP77" s="108"/>
      <c r="AQ77" s="108"/>
      <c r="AR77" s="108"/>
      <c r="AS77" s="108"/>
      <c r="AT77" s="108"/>
      <c r="AU77" s="108"/>
      <c r="AV77" s="108"/>
      <c r="AW77" s="108"/>
      <c r="AX77" s="108"/>
      <c r="AY77" s="108"/>
    </row>
    <row r="78" spans="1:51">
      <c r="A78" s="107"/>
      <c r="B78" s="124">
        <v>34</v>
      </c>
      <c r="C78" s="107" t="s">
        <v>293</v>
      </c>
      <c r="D78" s="108"/>
      <c r="E78" s="108"/>
      <c r="F78" s="108"/>
      <c r="G78" s="108"/>
      <c r="H78" s="108"/>
      <c r="I78" s="108"/>
      <c r="J78" s="108"/>
      <c r="K78" s="108"/>
      <c r="L78" s="108"/>
      <c r="M78" s="108"/>
      <c r="N78" s="108"/>
      <c r="O78" s="108"/>
      <c r="P78" s="108"/>
      <c r="Q78" s="108"/>
      <c r="R78" s="108"/>
      <c r="S78" s="108"/>
      <c r="T78" s="108"/>
      <c r="U78" s="108"/>
      <c r="V78" s="108"/>
      <c r="W78" s="108"/>
      <c r="X78" s="108"/>
      <c r="Y78" s="108"/>
      <c r="Z78" s="108"/>
      <c r="AA78" s="108"/>
      <c r="AB78" s="108"/>
      <c r="AC78" s="108"/>
      <c r="AD78" s="108"/>
      <c r="AE78" s="108"/>
      <c r="AF78" s="108"/>
      <c r="AG78" s="108"/>
      <c r="AH78" s="108"/>
      <c r="AI78" s="108"/>
      <c r="AJ78" s="108"/>
      <c r="AK78" s="108"/>
      <c r="AL78" s="108"/>
      <c r="AM78" s="108"/>
      <c r="AN78" s="108"/>
      <c r="AO78" s="108"/>
      <c r="AP78" s="108"/>
      <c r="AQ78" s="108"/>
      <c r="AR78" s="108"/>
      <c r="AS78" s="108"/>
      <c r="AT78" s="108"/>
      <c r="AU78" s="108"/>
      <c r="AV78" s="108"/>
      <c r="AW78" s="108"/>
      <c r="AX78" s="108"/>
      <c r="AY78" s="108"/>
    </row>
    <row r="79" spans="1:51">
      <c r="A79" s="107"/>
      <c r="B79" s="124">
        <v>35</v>
      </c>
      <c r="C79" s="107" t="s">
        <v>293</v>
      </c>
      <c r="D79" s="108"/>
      <c r="E79" s="108"/>
      <c r="F79" s="108"/>
      <c r="G79" s="108"/>
      <c r="H79" s="108"/>
      <c r="I79" s="108"/>
      <c r="J79" s="108"/>
      <c r="K79" s="108"/>
      <c r="L79" s="108"/>
      <c r="M79" s="108"/>
      <c r="N79" s="108"/>
      <c r="O79" s="108"/>
      <c r="P79" s="108"/>
      <c r="Q79" s="108"/>
      <c r="R79" s="108"/>
      <c r="S79" s="108"/>
      <c r="T79" s="108"/>
      <c r="U79" s="108"/>
      <c r="V79" s="108"/>
      <c r="W79" s="108"/>
      <c r="X79" s="108"/>
      <c r="Y79" s="108"/>
      <c r="Z79" s="108"/>
      <c r="AA79" s="108"/>
      <c r="AB79" s="108"/>
      <c r="AC79" s="108"/>
      <c r="AD79" s="108"/>
      <c r="AE79" s="108"/>
      <c r="AF79" s="108"/>
      <c r="AG79" s="108"/>
      <c r="AH79" s="108"/>
      <c r="AI79" s="108"/>
      <c r="AJ79" s="108"/>
      <c r="AK79" s="108"/>
      <c r="AL79" s="108"/>
      <c r="AM79" s="108"/>
      <c r="AN79" s="108"/>
      <c r="AO79" s="108"/>
      <c r="AP79" s="108"/>
      <c r="AQ79" s="108"/>
      <c r="AR79" s="108"/>
      <c r="AS79" s="108"/>
      <c r="AT79" s="108"/>
      <c r="AU79" s="108"/>
      <c r="AV79" s="108"/>
      <c r="AW79" s="108"/>
      <c r="AX79" s="108"/>
      <c r="AY79" s="108"/>
    </row>
    <row r="80" spans="1:51">
      <c r="A80" s="107"/>
      <c r="B80" s="124">
        <v>36</v>
      </c>
      <c r="C80" s="107" t="s">
        <v>293</v>
      </c>
      <c r="D80" s="108"/>
      <c r="E80" s="108"/>
      <c r="F80" s="108"/>
      <c r="G80" s="108"/>
      <c r="H80" s="108"/>
      <c r="I80" s="108"/>
      <c r="J80" s="108"/>
      <c r="K80" s="108"/>
      <c r="L80" s="108"/>
      <c r="M80" s="108"/>
      <c r="N80" s="108"/>
      <c r="O80" s="108"/>
      <c r="P80" s="108"/>
      <c r="Q80" s="108"/>
      <c r="R80" s="108"/>
      <c r="S80" s="108"/>
      <c r="T80" s="108"/>
      <c r="U80" s="108"/>
      <c r="V80" s="108"/>
      <c r="W80" s="108"/>
      <c r="X80" s="108"/>
      <c r="Y80" s="108"/>
      <c r="Z80" s="108"/>
      <c r="AA80" s="108"/>
      <c r="AB80" s="108"/>
      <c r="AC80" s="108"/>
      <c r="AD80" s="108"/>
      <c r="AE80" s="108"/>
      <c r="AF80" s="108"/>
      <c r="AG80" s="108"/>
      <c r="AH80" s="108"/>
      <c r="AI80" s="108"/>
      <c r="AJ80" s="108"/>
      <c r="AK80" s="108"/>
      <c r="AL80" s="108"/>
      <c r="AM80" s="108"/>
      <c r="AN80" s="108"/>
      <c r="AO80" s="108"/>
      <c r="AP80" s="108"/>
      <c r="AQ80" s="108"/>
      <c r="AR80" s="108"/>
      <c r="AS80" s="108"/>
      <c r="AT80" s="108"/>
      <c r="AU80" s="108"/>
      <c r="AV80" s="108"/>
      <c r="AW80" s="108"/>
      <c r="AX80" s="108"/>
      <c r="AY80" s="108"/>
    </row>
    <row r="81" spans="1:52">
      <c r="A81" s="107"/>
      <c r="B81" s="127">
        <v>37</v>
      </c>
      <c r="C81" s="107" t="s">
        <v>293</v>
      </c>
      <c r="D81" s="108"/>
      <c r="E81" s="108"/>
      <c r="F81" s="108"/>
      <c r="G81" s="108"/>
      <c r="H81" s="108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W81" s="108"/>
      <c r="X81" s="108"/>
      <c r="Y81" s="108"/>
      <c r="Z81" s="108"/>
      <c r="AA81" s="108"/>
      <c r="AB81" s="108"/>
      <c r="AC81" s="108"/>
      <c r="AD81" s="108"/>
      <c r="AE81" s="108"/>
      <c r="AF81" s="108"/>
      <c r="AG81" s="108"/>
      <c r="AH81" s="108"/>
      <c r="AI81" s="108"/>
      <c r="AJ81" s="108"/>
      <c r="AK81" s="108"/>
      <c r="AL81" s="108"/>
      <c r="AM81" s="108"/>
      <c r="AN81" s="108"/>
      <c r="AO81" s="108"/>
      <c r="AP81" s="108"/>
      <c r="AQ81" s="108"/>
      <c r="AR81" s="108"/>
      <c r="AS81" s="108"/>
      <c r="AT81" s="108"/>
      <c r="AU81" s="108"/>
      <c r="AV81" s="108"/>
      <c r="AW81" s="108"/>
      <c r="AX81" s="108"/>
      <c r="AY81" s="108"/>
    </row>
    <row r="82" spans="1:52">
      <c r="A82" s="107"/>
      <c r="B82" s="127">
        <v>38</v>
      </c>
      <c r="C82" s="107" t="s">
        <v>293</v>
      </c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 s="108"/>
      <c r="Y82" s="108"/>
      <c r="Z82" s="108"/>
      <c r="AA82" s="108"/>
      <c r="AB82" s="108"/>
      <c r="AC82" s="108"/>
      <c r="AD82" s="108"/>
      <c r="AE82" s="108"/>
      <c r="AF82" s="108"/>
      <c r="AG82" s="108"/>
      <c r="AH82" s="108"/>
      <c r="AI82" s="108"/>
      <c r="AJ82" s="108"/>
      <c r="AK82" s="108"/>
      <c r="AL82" s="108"/>
      <c r="AM82" s="108"/>
      <c r="AN82" s="108"/>
      <c r="AO82" s="108"/>
      <c r="AP82" s="108"/>
      <c r="AQ82" s="108"/>
      <c r="AR82" s="108"/>
      <c r="AS82" s="108"/>
      <c r="AT82" s="108"/>
      <c r="AU82" s="108"/>
      <c r="AV82" s="108"/>
      <c r="AW82" s="108"/>
      <c r="AX82" s="108"/>
      <c r="AY82" s="108"/>
    </row>
    <row r="83" spans="1:52">
      <c r="A83" s="107"/>
      <c r="B83" s="127">
        <v>39</v>
      </c>
      <c r="C83" s="107" t="s">
        <v>293</v>
      </c>
      <c r="D83" s="108"/>
      <c r="E83" s="108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Y83" s="108"/>
      <c r="Z83" s="108"/>
      <c r="AA83" s="108"/>
      <c r="AB83" s="108"/>
      <c r="AC83" s="108"/>
      <c r="AD83" s="108"/>
      <c r="AE83" s="108"/>
      <c r="AF83" s="108"/>
      <c r="AG83" s="108"/>
      <c r="AH83" s="108"/>
      <c r="AI83" s="108"/>
      <c r="AJ83" s="108"/>
      <c r="AK83" s="108"/>
      <c r="AL83" s="108"/>
      <c r="AM83" s="108"/>
      <c r="AN83" s="108"/>
      <c r="AO83" s="108"/>
      <c r="AP83" s="108"/>
      <c r="AQ83" s="108"/>
      <c r="AR83" s="108"/>
      <c r="AS83" s="108"/>
      <c r="AT83" s="108"/>
      <c r="AU83" s="108"/>
      <c r="AV83" s="108"/>
      <c r="AW83" s="108"/>
      <c r="AX83" s="108"/>
      <c r="AY83" s="108"/>
    </row>
    <row r="84" spans="1:52">
      <c r="A84" s="107"/>
      <c r="B84" s="127">
        <v>40</v>
      </c>
      <c r="C84" s="107" t="s">
        <v>293</v>
      </c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Y84" s="108"/>
      <c r="Z84" s="108"/>
      <c r="AA84" s="108"/>
      <c r="AB84" s="108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108"/>
      <c r="AV84" s="108"/>
      <c r="AW84" s="108"/>
      <c r="AX84" s="108"/>
      <c r="AY84" s="108"/>
    </row>
    <row r="85" spans="1:52">
      <c r="A85" s="107"/>
      <c r="B85" s="127">
        <v>41</v>
      </c>
      <c r="C85" s="107" t="s">
        <v>293</v>
      </c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108"/>
      <c r="X85" s="108"/>
      <c r="Y85" s="108"/>
      <c r="Z85" s="108"/>
      <c r="AA85" s="108"/>
      <c r="AB85" s="108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 s="108"/>
      <c r="AV85" s="108"/>
      <c r="AW85" s="108"/>
      <c r="AX85" s="108"/>
      <c r="AY85" s="108"/>
    </row>
    <row r="86" spans="1:52">
      <c r="A86" s="107"/>
      <c r="B86" s="127">
        <v>42</v>
      </c>
      <c r="C86" s="107" t="s">
        <v>293</v>
      </c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108"/>
      <c r="X86" s="108"/>
      <c r="Y86" s="108"/>
      <c r="Z86" s="108"/>
      <c r="AA86" s="108"/>
      <c r="AB86" s="108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 s="108"/>
      <c r="AV86" s="108"/>
      <c r="AW86" s="108"/>
      <c r="AX86" s="108"/>
      <c r="AY86" s="108"/>
    </row>
    <row r="87" spans="1:52">
      <c r="A87" s="107"/>
      <c r="B87" s="127">
        <v>43</v>
      </c>
      <c r="C87" s="107" t="s">
        <v>293</v>
      </c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  <c r="Y87" s="108"/>
      <c r="Z87" s="108"/>
      <c r="AA87" s="108"/>
      <c r="AB87" s="108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</row>
    <row r="88" spans="1:52">
      <c r="A88" s="107"/>
      <c r="B88" s="127">
        <v>44</v>
      </c>
      <c r="C88" s="107" t="s">
        <v>293</v>
      </c>
      <c r="D88" s="108"/>
      <c r="E88" s="108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  <c r="Y88" s="108"/>
      <c r="Z88" s="108"/>
      <c r="AA88" s="108"/>
      <c r="AB88" s="108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  <c r="AX88" s="108"/>
      <c r="AY88" s="108"/>
    </row>
    <row r="89" spans="1:52">
      <c r="A89" s="107"/>
      <c r="B89" s="127">
        <v>45</v>
      </c>
      <c r="C89" s="107" t="s">
        <v>293</v>
      </c>
      <c r="D89" s="108"/>
      <c r="E89" s="108"/>
      <c r="F89" s="108"/>
      <c r="G89" s="108"/>
      <c r="H89" s="108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  <c r="T89" s="108"/>
      <c r="U89" s="108"/>
      <c r="V89" s="108"/>
      <c r="W89" s="108"/>
      <c r="X89" s="108"/>
      <c r="Y89" s="108"/>
      <c r="Z89" s="108"/>
      <c r="AA89" s="108"/>
      <c r="AB89" s="108"/>
      <c r="AC89" s="108"/>
      <c r="AD89" s="108"/>
      <c r="AE89" s="108"/>
      <c r="AF89" s="108"/>
      <c r="AG89" s="108"/>
      <c r="AH89" s="108"/>
      <c r="AI89" s="108"/>
      <c r="AJ89" s="108"/>
      <c r="AK89" s="108"/>
      <c r="AL89" s="108"/>
      <c r="AM89" s="108"/>
      <c r="AN89" s="108"/>
      <c r="AO89" s="108"/>
      <c r="AP89" s="108"/>
      <c r="AQ89" s="108"/>
      <c r="AR89" s="108"/>
      <c r="AS89" s="108"/>
      <c r="AT89" s="108"/>
      <c r="AU89" s="108"/>
      <c r="AV89" s="108"/>
      <c r="AW89" s="108"/>
      <c r="AX89" s="108"/>
      <c r="AY89" s="108"/>
    </row>
    <row r="90" spans="1:52">
      <c r="A90" s="107"/>
      <c r="B90" s="127">
        <v>46</v>
      </c>
      <c r="C90" s="107" t="s">
        <v>293</v>
      </c>
      <c r="D90" s="108"/>
      <c r="E90" s="108"/>
      <c r="F90" s="108"/>
      <c r="G90" s="108"/>
      <c r="H90" s="108"/>
      <c r="I90" s="108"/>
      <c r="J90" s="108"/>
      <c r="K90" s="108"/>
      <c r="L90" s="108"/>
      <c r="M90" s="108"/>
      <c r="N90" s="108"/>
      <c r="O90" s="108"/>
      <c r="P90" s="108"/>
      <c r="Q90" s="108"/>
      <c r="R90" s="108"/>
      <c r="S90" s="108"/>
      <c r="T90" s="108"/>
      <c r="U90" s="108"/>
      <c r="V90" s="108"/>
      <c r="W90" s="108"/>
      <c r="X90" s="108"/>
      <c r="Y90" s="108"/>
      <c r="Z90" s="108"/>
      <c r="AA90" s="108"/>
      <c r="AB90" s="108"/>
      <c r="AC90" s="108"/>
      <c r="AD90" s="108"/>
      <c r="AE90" s="108"/>
      <c r="AF90" s="108"/>
      <c r="AG90" s="108"/>
      <c r="AH90" s="108"/>
      <c r="AI90" s="108"/>
      <c r="AJ90" s="108"/>
      <c r="AK90" s="108"/>
      <c r="AL90" s="108"/>
      <c r="AM90" s="108"/>
      <c r="AN90" s="108"/>
      <c r="AO90" s="108"/>
      <c r="AP90" s="108"/>
      <c r="AQ90" s="108"/>
      <c r="AR90" s="108"/>
      <c r="AS90" s="108"/>
      <c r="AT90" s="108"/>
      <c r="AU90" s="108"/>
      <c r="AV90" s="108"/>
      <c r="AW90" s="108"/>
      <c r="AX90" s="108"/>
      <c r="AY90" s="108"/>
    </row>
    <row r="91" spans="1:52">
      <c r="A91" s="107"/>
      <c r="B91" s="127">
        <v>47</v>
      </c>
      <c r="C91" s="107" t="s">
        <v>293</v>
      </c>
      <c r="D91" s="108"/>
      <c r="E91" s="108"/>
      <c r="F91" s="108"/>
      <c r="G91" s="108"/>
      <c r="H91" s="108"/>
      <c r="I91" s="108"/>
      <c r="J91" s="108"/>
      <c r="K91" s="108"/>
      <c r="L91" s="108"/>
      <c r="M91" s="108"/>
      <c r="N91" s="108"/>
      <c r="O91" s="108"/>
      <c r="P91" s="108"/>
      <c r="Q91" s="108"/>
      <c r="R91" s="108"/>
      <c r="S91" s="108"/>
      <c r="T91" s="108"/>
      <c r="U91" s="108"/>
      <c r="V91" s="108"/>
      <c r="W91" s="108"/>
      <c r="X91" s="108"/>
      <c r="Y91" s="108"/>
      <c r="Z91" s="108"/>
      <c r="AA91" s="108"/>
      <c r="AB91" s="108"/>
      <c r="AC91" s="108"/>
      <c r="AD91" s="108"/>
      <c r="AE91" s="108"/>
      <c r="AF91" s="108"/>
      <c r="AG91" s="108"/>
      <c r="AH91" s="108"/>
      <c r="AI91" s="108"/>
      <c r="AJ91" s="108"/>
      <c r="AK91" s="108"/>
      <c r="AL91" s="108"/>
      <c r="AM91" s="108"/>
      <c r="AN91" s="108"/>
      <c r="AO91" s="108"/>
      <c r="AP91" s="108"/>
      <c r="AQ91" s="108"/>
      <c r="AR91" s="108"/>
      <c r="AS91" s="108"/>
      <c r="AT91" s="108"/>
      <c r="AU91" s="108"/>
      <c r="AV91" s="108"/>
      <c r="AW91" s="108"/>
      <c r="AX91" s="108"/>
      <c r="AY91" s="108"/>
    </row>
    <row r="92" spans="1:52">
      <c r="A92" s="125"/>
      <c r="B92" s="126">
        <v>48</v>
      </c>
      <c r="C92" s="125" t="s">
        <v>293</v>
      </c>
      <c r="D92" s="122">
        <v>0</v>
      </c>
      <c r="E92" s="122">
        <v>0</v>
      </c>
      <c r="F92" s="122">
        <v>0</v>
      </c>
      <c r="G92" s="122">
        <v>0</v>
      </c>
      <c r="H92" s="122">
        <v>0</v>
      </c>
      <c r="I92" s="122">
        <v>0</v>
      </c>
      <c r="J92" s="122">
        <v>0</v>
      </c>
      <c r="K92" s="122">
        <v>0</v>
      </c>
      <c r="L92" s="122">
        <v>0</v>
      </c>
      <c r="M92" s="122">
        <v>0</v>
      </c>
      <c r="N92" s="122">
        <v>0</v>
      </c>
      <c r="O92" s="122">
        <v>0</v>
      </c>
      <c r="P92" s="122">
        <v>0</v>
      </c>
      <c r="Q92" s="122">
        <v>0</v>
      </c>
      <c r="R92" s="122">
        <v>0</v>
      </c>
      <c r="S92" s="122">
        <v>0</v>
      </c>
      <c r="T92" s="122">
        <v>0</v>
      </c>
      <c r="U92" s="122">
        <v>0</v>
      </c>
      <c r="V92" s="122">
        <v>0</v>
      </c>
      <c r="W92" s="122">
        <v>0</v>
      </c>
      <c r="X92" s="122">
        <v>0</v>
      </c>
      <c r="Y92" s="122">
        <v>0</v>
      </c>
      <c r="Z92" s="122">
        <v>0</v>
      </c>
      <c r="AA92" s="122">
        <v>0</v>
      </c>
      <c r="AB92" s="122">
        <v>0</v>
      </c>
      <c r="AC92" s="122">
        <v>0</v>
      </c>
      <c r="AD92" s="122">
        <v>0</v>
      </c>
      <c r="AE92" s="122">
        <v>0</v>
      </c>
      <c r="AF92" s="122">
        <v>0</v>
      </c>
      <c r="AG92" s="122">
        <v>0</v>
      </c>
      <c r="AH92" s="122">
        <v>0</v>
      </c>
      <c r="AI92" s="122">
        <v>0</v>
      </c>
      <c r="AJ92" s="122">
        <v>0</v>
      </c>
      <c r="AK92" s="122">
        <v>0</v>
      </c>
      <c r="AL92" s="122">
        <v>0</v>
      </c>
      <c r="AM92" s="122">
        <v>0</v>
      </c>
      <c r="AN92" s="122">
        <v>0</v>
      </c>
      <c r="AO92" s="122">
        <v>0</v>
      </c>
      <c r="AP92" s="122">
        <v>0</v>
      </c>
      <c r="AQ92" s="122">
        <v>0</v>
      </c>
      <c r="AR92" s="122">
        <v>0</v>
      </c>
      <c r="AS92" s="122">
        <v>0</v>
      </c>
      <c r="AT92" s="122">
        <v>0</v>
      </c>
      <c r="AU92" s="122">
        <v>0</v>
      </c>
      <c r="AV92" s="122">
        <v>0</v>
      </c>
      <c r="AW92" s="122">
        <v>0</v>
      </c>
      <c r="AX92" s="122">
        <v>0</v>
      </c>
      <c r="AY92" s="122">
        <v>0</v>
      </c>
      <c r="AZ92" s="105">
        <f>SUM(D21:AY92)</f>
        <v>0</v>
      </c>
    </row>
    <row r="94" spans="1:52">
      <c r="A94" s="1" t="s">
        <v>295</v>
      </c>
      <c r="B94" s="104"/>
      <c r="C94" s="104"/>
      <c r="D94" s="111"/>
      <c r="E94" s="111"/>
      <c r="F94" s="111"/>
      <c r="G94" s="111"/>
      <c r="H94" s="111"/>
      <c r="I94" s="111"/>
      <c r="J94" s="111"/>
      <c r="K94" s="111"/>
      <c r="L94" s="111"/>
      <c r="M94" s="111"/>
      <c r="N94" s="111"/>
      <c r="O94" s="111"/>
      <c r="P94" s="111"/>
      <c r="Q94" s="111"/>
      <c r="R94" s="111"/>
      <c r="S94" s="111"/>
      <c r="T94" s="111"/>
      <c r="U94" s="111"/>
      <c r="V94" s="111"/>
      <c r="W94" s="111"/>
      <c r="X94" s="111"/>
      <c r="Y94" s="111"/>
      <c r="Z94" s="111"/>
      <c r="AA94" s="111"/>
      <c r="AB94" s="111"/>
      <c r="AC94" s="111"/>
      <c r="AD94" s="111"/>
      <c r="AE94" s="111"/>
      <c r="AF94" s="111"/>
      <c r="AG94" s="111"/>
      <c r="AH94" s="111"/>
      <c r="AI94" s="111"/>
      <c r="AJ94" s="111"/>
      <c r="AK94" s="111"/>
      <c r="AL94" s="111"/>
      <c r="AM94" s="111"/>
      <c r="AN94" s="111"/>
      <c r="AO94" s="111"/>
      <c r="AP94" s="111"/>
      <c r="AQ94" s="111"/>
      <c r="AR94" s="111"/>
      <c r="AS94" s="111"/>
      <c r="AT94" s="111"/>
      <c r="AU94" s="111"/>
      <c r="AV94" s="111"/>
      <c r="AW94" s="111"/>
      <c r="AX94" s="111"/>
      <c r="AY94" s="111"/>
    </row>
    <row r="95" spans="1:52">
      <c r="A95" s="123" t="s">
        <v>125</v>
      </c>
      <c r="B95" s="120">
        <v>1</v>
      </c>
      <c r="C95" s="121">
        <v>160</v>
      </c>
      <c r="D95" s="108">
        <v>198.53169090873666</v>
      </c>
      <c r="E95" s="108">
        <v>198.53169090873666</v>
      </c>
      <c r="F95" s="108">
        <v>198.53169090873666</v>
      </c>
      <c r="G95" s="108">
        <v>198.53169090873666</v>
      </c>
      <c r="H95" s="108">
        <v>198.53169090873666</v>
      </c>
      <c r="I95" s="108">
        <v>198.53169090873666</v>
      </c>
      <c r="J95" s="108">
        <v>198.53169090873666</v>
      </c>
      <c r="K95" s="108">
        <v>198.53169090873666</v>
      </c>
      <c r="L95" s="108">
        <v>198.53169090873666</v>
      </c>
      <c r="M95" s="108">
        <v>198.53169090873666</v>
      </c>
      <c r="N95" s="108">
        <v>198.53169090873666</v>
      </c>
      <c r="O95" s="108">
        <v>198.53169090873666</v>
      </c>
      <c r="P95" s="108">
        <v>198.53169090873666</v>
      </c>
      <c r="Q95" s="108">
        <v>198.53169090873666</v>
      </c>
      <c r="R95" s="108">
        <v>198.53169090873666</v>
      </c>
      <c r="S95" s="108">
        <v>198.53169090873666</v>
      </c>
      <c r="T95" s="108">
        <v>198.53169090873666</v>
      </c>
      <c r="U95" s="108">
        <v>198.53169090873666</v>
      </c>
      <c r="V95" s="108">
        <v>198.53169090873666</v>
      </c>
      <c r="W95" s="108">
        <v>198.53169090873666</v>
      </c>
      <c r="X95" s="108">
        <v>198.53169090873666</v>
      </c>
      <c r="Y95" s="108">
        <v>198.53169090873666</v>
      </c>
      <c r="Z95" s="108">
        <v>198.53169090873666</v>
      </c>
      <c r="AA95" s="108">
        <v>198.53169090873666</v>
      </c>
      <c r="AB95" s="108">
        <v>198.53169090873666</v>
      </c>
      <c r="AC95" s="108">
        <v>198.53169090873666</v>
      </c>
      <c r="AD95" s="108">
        <v>198.53169090873666</v>
      </c>
      <c r="AE95" s="108">
        <v>198.53169090873666</v>
      </c>
      <c r="AF95" s="108">
        <v>198.53169090873666</v>
      </c>
      <c r="AG95" s="108">
        <v>198.53169090873666</v>
      </c>
      <c r="AH95" s="108">
        <v>198.53169090873666</v>
      </c>
      <c r="AI95" s="108">
        <v>198.53169090873666</v>
      </c>
      <c r="AJ95" s="108">
        <v>198.53169090873666</v>
      </c>
      <c r="AK95" s="108">
        <v>198.53169090873666</v>
      </c>
      <c r="AL95" s="108">
        <v>198.53169090873666</v>
      </c>
      <c r="AM95" s="108">
        <v>198.53169090873666</v>
      </c>
      <c r="AN95" s="108">
        <v>198.53169090873666</v>
      </c>
      <c r="AO95" s="108">
        <v>198.53169090873666</v>
      </c>
      <c r="AP95" s="108">
        <v>198.53169090873666</v>
      </c>
      <c r="AQ95" s="108">
        <v>198.53169090873666</v>
      </c>
      <c r="AR95" s="108">
        <v>198.53169090873666</v>
      </c>
      <c r="AS95" s="108">
        <v>198.53169090873666</v>
      </c>
      <c r="AT95" s="108">
        <v>198.53169090873666</v>
      </c>
      <c r="AU95" s="108">
        <v>198.53169090873666</v>
      </c>
      <c r="AV95" s="108">
        <v>198.53169090873666</v>
      </c>
      <c r="AW95" s="108">
        <v>198.53169090873666</v>
      </c>
      <c r="AX95" s="108">
        <v>198.53169090873666</v>
      </c>
      <c r="AY95" s="108">
        <v>198.53169090873666</v>
      </c>
    </row>
    <row r="96" spans="1:52">
      <c r="A96" s="107"/>
      <c r="B96" s="117">
        <v>2</v>
      </c>
      <c r="C96" s="108">
        <v>160</v>
      </c>
      <c r="D96" s="108">
        <v>160</v>
      </c>
      <c r="E96" s="108">
        <v>198.53169090873666</v>
      </c>
      <c r="F96" s="108">
        <v>198.53169090873666</v>
      </c>
      <c r="G96" s="108">
        <v>198.53169090873666</v>
      </c>
      <c r="H96" s="108">
        <v>198.53169090873666</v>
      </c>
      <c r="I96" s="108">
        <v>198.53169090873666</v>
      </c>
      <c r="J96" s="108">
        <v>198.53169090873666</v>
      </c>
      <c r="K96" s="108">
        <v>198.53169090873666</v>
      </c>
      <c r="L96" s="108">
        <v>198.53169090873666</v>
      </c>
      <c r="M96" s="108">
        <v>198.53169090873666</v>
      </c>
      <c r="N96" s="108">
        <v>198.53169090873666</v>
      </c>
      <c r="O96" s="108">
        <v>198.53169090873666</v>
      </c>
      <c r="P96" s="108">
        <v>198.53169090873666</v>
      </c>
      <c r="Q96" s="108">
        <v>198.53169090873666</v>
      </c>
      <c r="R96" s="108">
        <v>198.53169090873666</v>
      </c>
      <c r="S96" s="108">
        <v>198.53169090873666</v>
      </c>
      <c r="T96" s="108">
        <v>198.53169090873666</v>
      </c>
      <c r="U96" s="108">
        <v>198.53169090873666</v>
      </c>
      <c r="V96" s="108">
        <v>198.53169090873666</v>
      </c>
      <c r="W96" s="108">
        <v>198.53169090873666</v>
      </c>
      <c r="X96" s="108">
        <v>198.53169090873666</v>
      </c>
      <c r="Y96" s="108">
        <v>198.53169090873666</v>
      </c>
      <c r="Z96" s="108">
        <v>198.53169090873666</v>
      </c>
      <c r="AA96" s="108">
        <v>198.53169090873666</v>
      </c>
      <c r="AB96" s="108">
        <v>198.53169090873666</v>
      </c>
      <c r="AC96" s="108">
        <v>198.53169090873666</v>
      </c>
      <c r="AD96" s="108">
        <v>198.53169090873666</v>
      </c>
      <c r="AE96" s="108">
        <v>198.53169090873666</v>
      </c>
      <c r="AF96" s="108">
        <v>198.53169090873666</v>
      </c>
      <c r="AG96" s="108">
        <v>198.53169090873666</v>
      </c>
      <c r="AH96" s="108">
        <v>198.53169090873666</v>
      </c>
      <c r="AI96" s="108">
        <v>198.53169090873666</v>
      </c>
      <c r="AJ96" s="108">
        <v>198.53169090873666</v>
      </c>
      <c r="AK96" s="108">
        <v>198.53169090873666</v>
      </c>
      <c r="AL96" s="108">
        <v>198.53169090873666</v>
      </c>
      <c r="AM96" s="108">
        <v>198.53169090873666</v>
      </c>
      <c r="AN96" s="108">
        <v>198.53169090873666</v>
      </c>
      <c r="AO96" s="108">
        <v>198.53169090873666</v>
      </c>
      <c r="AP96" s="108">
        <v>198.53169090873666</v>
      </c>
      <c r="AQ96" s="108">
        <v>198.53169090873666</v>
      </c>
      <c r="AR96" s="108">
        <v>198.53169090873666</v>
      </c>
      <c r="AS96" s="108">
        <v>198.53169090873666</v>
      </c>
      <c r="AT96" s="108">
        <v>198.53169090873666</v>
      </c>
      <c r="AU96" s="108">
        <v>198.53169090873666</v>
      </c>
      <c r="AV96" s="108">
        <v>198.53169090873666</v>
      </c>
      <c r="AW96" s="108">
        <v>198.53169090873666</v>
      </c>
      <c r="AX96" s="108">
        <v>198.53169090873666</v>
      </c>
      <c r="AY96" s="108">
        <v>198.53169090873666</v>
      </c>
    </row>
    <row r="97" spans="1:52">
      <c r="A97" s="107"/>
      <c r="B97" s="124">
        <v>3</v>
      </c>
      <c r="C97" s="108">
        <v>160</v>
      </c>
      <c r="D97" s="108">
        <v>160</v>
      </c>
      <c r="E97" s="108">
        <v>160</v>
      </c>
      <c r="F97" s="108">
        <v>198.53169090873666</v>
      </c>
      <c r="G97" s="108">
        <v>198.53169090873666</v>
      </c>
      <c r="H97" s="108">
        <v>198.53169090873666</v>
      </c>
      <c r="I97" s="108">
        <v>198.53169090873666</v>
      </c>
      <c r="J97" s="108">
        <v>198.53169090873666</v>
      </c>
      <c r="K97" s="108">
        <v>198.53169090873666</v>
      </c>
      <c r="L97" s="108">
        <v>198.53169090873666</v>
      </c>
      <c r="M97" s="108">
        <v>198.53169090873666</v>
      </c>
      <c r="N97" s="108">
        <v>198.53169090873666</v>
      </c>
      <c r="O97" s="108">
        <v>198.53169090873666</v>
      </c>
      <c r="P97" s="108">
        <v>198.53169090873666</v>
      </c>
      <c r="Q97" s="108">
        <v>198.53169090873666</v>
      </c>
      <c r="R97" s="108">
        <v>198.53169090873666</v>
      </c>
      <c r="S97" s="108">
        <v>198.53169090873666</v>
      </c>
      <c r="T97" s="108">
        <v>198.53169090873666</v>
      </c>
      <c r="U97" s="108">
        <v>198.53169090873666</v>
      </c>
      <c r="V97" s="108">
        <v>198.53169090873666</v>
      </c>
      <c r="W97" s="108">
        <v>198.53169090873666</v>
      </c>
      <c r="X97" s="108">
        <v>198.53169090873666</v>
      </c>
      <c r="Y97" s="108">
        <v>198.53169090873666</v>
      </c>
      <c r="Z97" s="108">
        <v>198.53169090873666</v>
      </c>
      <c r="AA97" s="108">
        <v>198.53169090873666</v>
      </c>
      <c r="AB97" s="108">
        <v>198.53169090873666</v>
      </c>
      <c r="AC97" s="108">
        <v>198.53169090873666</v>
      </c>
      <c r="AD97" s="108">
        <v>198.53169090873666</v>
      </c>
      <c r="AE97" s="108">
        <v>198.53169090873666</v>
      </c>
      <c r="AF97" s="108">
        <v>198.53169090873666</v>
      </c>
      <c r="AG97" s="108">
        <v>198.53169090873666</v>
      </c>
      <c r="AH97" s="108">
        <v>198.53169090873666</v>
      </c>
      <c r="AI97" s="108">
        <v>198.53169090873666</v>
      </c>
      <c r="AJ97" s="108">
        <v>198.53169090873666</v>
      </c>
      <c r="AK97" s="108">
        <v>198.53169090873666</v>
      </c>
      <c r="AL97" s="108">
        <v>198.53169090873666</v>
      </c>
      <c r="AM97" s="108">
        <v>198.53169090873666</v>
      </c>
      <c r="AN97" s="108">
        <v>198.53169090873666</v>
      </c>
      <c r="AO97" s="108">
        <v>198.53169090873666</v>
      </c>
      <c r="AP97" s="108">
        <v>198.53169090873666</v>
      </c>
      <c r="AQ97" s="108">
        <v>198.53169090873666</v>
      </c>
      <c r="AR97" s="108">
        <v>198.53169090873666</v>
      </c>
      <c r="AS97" s="108">
        <v>198.53169090873666</v>
      </c>
      <c r="AT97" s="108">
        <v>198.53169090873666</v>
      </c>
      <c r="AU97" s="108">
        <v>198.53169090873666</v>
      </c>
      <c r="AV97" s="108">
        <v>198.53169090873666</v>
      </c>
      <c r="AW97" s="108">
        <v>198.53169090873666</v>
      </c>
      <c r="AX97" s="108">
        <v>198.53169090873666</v>
      </c>
      <c r="AY97" s="108">
        <v>198.53169090873666</v>
      </c>
    </row>
    <row r="98" spans="1:52">
      <c r="A98" s="107"/>
      <c r="B98" s="127">
        <v>4</v>
      </c>
      <c r="C98" s="104">
        <v>15</v>
      </c>
      <c r="D98" s="108">
        <v>11</v>
      </c>
      <c r="E98" s="108">
        <v>44</v>
      </c>
      <c r="F98" s="108">
        <v>43</v>
      </c>
      <c r="G98" s="108">
        <v>112.53169090873666</v>
      </c>
      <c r="H98" s="108">
        <v>157.06338181747333</v>
      </c>
      <c r="I98" s="108">
        <v>198.53169090873666</v>
      </c>
      <c r="J98" s="108">
        <v>198.53169090873666</v>
      </c>
      <c r="K98" s="108">
        <v>198.53169090873666</v>
      </c>
      <c r="L98" s="108">
        <v>198.53169090873666</v>
      </c>
      <c r="M98" s="108">
        <v>198.53169090873666</v>
      </c>
      <c r="N98" s="108">
        <v>198.53169090873666</v>
      </c>
      <c r="O98" s="108">
        <v>198.53169090873666</v>
      </c>
      <c r="P98" s="108">
        <v>198.53169090873666</v>
      </c>
      <c r="Q98" s="108">
        <v>198.53169090873666</v>
      </c>
      <c r="R98" s="108">
        <v>198.53169090873666</v>
      </c>
      <c r="S98" s="108">
        <v>198.53169090873666</v>
      </c>
      <c r="T98" s="108">
        <v>198.53169090873666</v>
      </c>
      <c r="U98" s="108">
        <v>198.53169090873666</v>
      </c>
      <c r="V98" s="108">
        <v>198.53169090873666</v>
      </c>
      <c r="W98" s="108">
        <v>198.53169090873666</v>
      </c>
      <c r="X98" s="108">
        <v>198.53169090873666</v>
      </c>
      <c r="Y98" s="108">
        <v>198.53169090873666</v>
      </c>
      <c r="Z98" s="108">
        <v>198.53169090873666</v>
      </c>
      <c r="AA98" s="108">
        <v>198.53169090873666</v>
      </c>
      <c r="AB98" s="108">
        <v>198.53169090873666</v>
      </c>
      <c r="AC98" s="108">
        <v>198.53169090873666</v>
      </c>
      <c r="AD98" s="108">
        <v>198.53169090873666</v>
      </c>
      <c r="AE98" s="108">
        <v>198.53169090873666</v>
      </c>
      <c r="AF98" s="108">
        <v>198.53169090873666</v>
      </c>
      <c r="AG98" s="108">
        <v>198.53169090873666</v>
      </c>
      <c r="AH98" s="108">
        <v>198.53169090873666</v>
      </c>
      <c r="AI98" s="108">
        <v>198.53169090873666</v>
      </c>
      <c r="AJ98" s="108">
        <v>198.53169090873666</v>
      </c>
      <c r="AK98" s="108">
        <v>198.53169090873666</v>
      </c>
      <c r="AL98" s="108">
        <v>198.53169090873666</v>
      </c>
      <c r="AM98" s="108">
        <v>198.53169090873666</v>
      </c>
      <c r="AN98" s="108">
        <v>198.53169090873666</v>
      </c>
      <c r="AO98" s="108">
        <v>198.53169090873666</v>
      </c>
      <c r="AP98" s="108">
        <v>198.53169090873666</v>
      </c>
      <c r="AQ98" s="108">
        <v>198.53169090873666</v>
      </c>
      <c r="AR98" s="108">
        <v>198.53169090873666</v>
      </c>
      <c r="AS98" s="108">
        <v>198.53169090873666</v>
      </c>
      <c r="AT98" s="108">
        <v>198.53169090873666</v>
      </c>
      <c r="AU98" s="108">
        <v>198.53169090873666</v>
      </c>
      <c r="AV98" s="108">
        <v>198.53169090873666</v>
      </c>
      <c r="AW98" s="108">
        <v>198.53169090873666</v>
      </c>
      <c r="AX98" s="108">
        <v>198.53169090873666</v>
      </c>
      <c r="AY98" s="108">
        <v>198.53169090873666</v>
      </c>
    </row>
    <row r="99" spans="1:52">
      <c r="A99" s="125"/>
      <c r="B99" s="129" t="s">
        <v>296</v>
      </c>
      <c r="C99" s="122">
        <v>0</v>
      </c>
      <c r="D99" s="122">
        <v>0</v>
      </c>
      <c r="E99" s="122">
        <v>0</v>
      </c>
      <c r="F99" s="122">
        <v>0</v>
      </c>
      <c r="G99" s="122">
        <v>0</v>
      </c>
      <c r="H99" s="122">
        <v>0</v>
      </c>
      <c r="I99" s="122">
        <v>53.063381817473328</v>
      </c>
      <c r="J99" s="122">
        <v>24.531690908736664</v>
      </c>
      <c r="K99" s="122">
        <v>21.531690908736664</v>
      </c>
      <c r="L99" s="122">
        <v>15.531690908736664</v>
      </c>
      <c r="M99" s="122">
        <v>70.531690908736664</v>
      </c>
      <c r="N99" s="122">
        <v>44.531690908736664</v>
      </c>
      <c r="O99" s="122">
        <v>65.531690908736664</v>
      </c>
      <c r="P99" s="122">
        <v>73.531690908736664</v>
      </c>
      <c r="Q99" s="122">
        <v>81.531690908736664</v>
      </c>
      <c r="R99" s="122">
        <v>21.531690908736664</v>
      </c>
      <c r="S99" s="122">
        <v>47.531690908736664</v>
      </c>
      <c r="T99" s="122">
        <v>61.531690908736664</v>
      </c>
      <c r="U99" s="122">
        <v>18.531690908736664</v>
      </c>
      <c r="V99" s="122">
        <v>52.531690908736664</v>
      </c>
      <c r="W99" s="122">
        <v>78.531690908736664</v>
      </c>
      <c r="X99" s="122">
        <v>27.531690908736664</v>
      </c>
      <c r="Y99" s="122">
        <v>66.531690908736664</v>
      </c>
      <c r="Z99" s="122">
        <v>79.531690908736664</v>
      </c>
      <c r="AA99" s="122">
        <v>26.531690908736664</v>
      </c>
      <c r="AB99" s="122">
        <v>78.531690908736664</v>
      </c>
      <c r="AC99" s="122">
        <v>85.531690908736664</v>
      </c>
      <c r="AD99" s="122">
        <v>59.531690908736664</v>
      </c>
      <c r="AE99" s="122">
        <v>34.531690908736664</v>
      </c>
      <c r="AF99" s="122">
        <v>27.531690908736664</v>
      </c>
      <c r="AG99" s="122">
        <v>56.531690908736664</v>
      </c>
      <c r="AH99" s="122">
        <v>26.531690908736664</v>
      </c>
      <c r="AI99" s="122">
        <v>60.531690908736664</v>
      </c>
      <c r="AJ99" s="122">
        <v>34.531690908736664</v>
      </c>
      <c r="AK99" s="122">
        <v>42.531690908736664</v>
      </c>
      <c r="AL99" s="122">
        <v>3.5316909087366639</v>
      </c>
      <c r="AM99" s="122">
        <v>27.531690908736664</v>
      </c>
      <c r="AN99" s="122">
        <v>63.531690908736664</v>
      </c>
      <c r="AO99" s="122">
        <v>42.531690908736664</v>
      </c>
      <c r="AP99" s="122">
        <v>36.531690908736664</v>
      </c>
      <c r="AQ99" s="122">
        <v>7.5316909087366639</v>
      </c>
      <c r="AR99" s="122">
        <v>17.531690908736664</v>
      </c>
      <c r="AS99" s="122">
        <v>52.531690908736664</v>
      </c>
      <c r="AT99" s="122">
        <v>61.531690908736664</v>
      </c>
      <c r="AU99" s="122">
        <v>31.531690908736664</v>
      </c>
      <c r="AV99" s="122">
        <v>82.531690908736664</v>
      </c>
      <c r="AW99" s="122">
        <v>89.531690908736664</v>
      </c>
      <c r="AX99" s="122">
        <v>88.531690908736664</v>
      </c>
      <c r="AY99" s="122">
        <v>1.5316909087366639</v>
      </c>
      <c r="AZ99" s="105">
        <f>SUM($D99:$AY99)</f>
        <v>2043.3943999844132</v>
      </c>
    </row>
    <row r="100" spans="1:52">
      <c r="A100" s="128" t="s">
        <v>133</v>
      </c>
      <c r="B100" s="116">
        <v>1</v>
      </c>
      <c r="C100" s="104">
        <v>169.46145592990555</v>
      </c>
      <c r="D100" s="104">
        <v>169.46145592990553</v>
      </c>
      <c r="E100" s="104">
        <v>134.66650307373067</v>
      </c>
      <c r="F100" s="104">
        <v>167.59156939686554</v>
      </c>
      <c r="G100" s="104">
        <v>134.66650307373067</v>
      </c>
      <c r="H100" s="104">
        <v>167.59156939686554</v>
      </c>
      <c r="I100" s="104">
        <v>134.66650307373067</v>
      </c>
      <c r="J100" s="104">
        <v>200.51663572000041</v>
      </c>
      <c r="K100" s="104">
        <v>134.66650307373067</v>
      </c>
      <c r="L100" s="104">
        <v>32.925066323134864</v>
      </c>
      <c r="M100" s="104">
        <v>167.59156939686554</v>
      </c>
      <c r="N100" s="104">
        <v>0</v>
      </c>
      <c r="O100" s="104">
        <v>134.66650307373067</v>
      </c>
      <c r="P100" s="104">
        <v>0</v>
      </c>
      <c r="Q100" s="104">
        <v>167.59156939686554</v>
      </c>
      <c r="R100" s="104">
        <v>134.66650307373067</v>
      </c>
      <c r="S100" s="104">
        <v>134.66650307373067</v>
      </c>
      <c r="T100" s="104">
        <v>167.59156939686554</v>
      </c>
      <c r="U100" s="104">
        <v>134.66650307373067</v>
      </c>
      <c r="V100" s="104">
        <v>134.66650307373067</v>
      </c>
      <c r="W100" s="104">
        <v>134.66650307373067</v>
      </c>
      <c r="X100" s="104">
        <v>161.52144999683355</v>
      </c>
      <c r="Y100" s="104">
        <v>134.66650307373067</v>
      </c>
      <c r="Z100" s="104">
        <v>140.65826878211942</v>
      </c>
      <c r="AA100" s="104">
        <v>0</v>
      </c>
      <c r="AB100" s="104">
        <v>167.59156939686554</v>
      </c>
      <c r="AC100" s="104">
        <v>107.73320245898456</v>
      </c>
      <c r="AD100" s="104">
        <v>134.66650307373067</v>
      </c>
      <c r="AE100" s="104">
        <v>173.66168879689749</v>
      </c>
      <c r="AF100" s="104">
        <v>173.66168879689749</v>
      </c>
      <c r="AG100" s="104">
        <v>0</v>
      </c>
      <c r="AH100" s="104">
        <v>134.66650307373067</v>
      </c>
      <c r="AI100" s="104">
        <v>134.66650307373067</v>
      </c>
      <c r="AJ100" s="104">
        <v>134.66650307373067</v>
      </c>
      <c r="AK100" s="104">
        <v>173.66168879689749</v>
      </c>
      <c r="AL100" s="104">
        <v>167.59156939686554</v>
      </c>
      <c r="AM100" s="104">
        <v>134.66650307373067</v>
      </c>
      <c r="AN100" s="104">
        <v>134.66650307373067</v>
      </c>
      <c r="AO100" s="104">
        <v>0</v>
      </c>
      <c r="AP100" s="104">
        <v>167.59156939686554</v>
      </c>
      <c r="AQ100" s="104">
        <v>134.66650307373067</v>
      </c>
      <c r="AR100" s="104">
        <v>32.925066323134864</v>
      </c>
      <c r="AS100" s="104">
        <v>167.59156939686554</v>
      </c>
      <c r="AT100" s="104">
        <v>0</v>
      </c>
      <c r="AU100" s="104">
        <v>161.52144999683355</v>
      </c>
      <c r="AV100" s="104">
        <v>134.66650307373067</v>
      </c>
      <c r="AW100" s="104">
        <v>161.52144999683355</v>
      </c>
      <c r="AX100" s="104">
        <v>38.995185723166827</v>
      </c>
      <c r="AY100" s="104">
        <v>93.339688384422459</v>
      </c>
    </row>
    <row r="101" spans="1:52">
      <c r="A101" s="107"/>
      <c r="B101" s="116">
        <v>2</v>
      </c>
      <c r="C101" s="104">
        <v>39.580605584681244</v>
      </c>
      <c r="D101" s="104">
        <v>61.042061514586806</v>
      </c>
      <c r="E101" s="104">
        <v>169.46145592990553</v>
      </c>
      <c r="F101" s="104">
        <v>168.61117466743337</v>
      </c>
      <c r="G101" s="104">
        <v>167.59156939686554</v>
      </c>
      <c r="H101" s="104">
        <v>153.17868125088106</v>
      </c>
      <c r="I101" s="104">
        <v>128.77025064774659</v>
      </c>
      <c r="J101" s="104">
        <v>98.43675372147726</v>
      </c>
      <c r="K101" s="104">
        <v>90.953389441477668</v>
      </c>
      <c r="L101" s="104">
        <v>0</v>
      </c>
      <c r="M101" s="104">
        <v>134.66650307373067</v>
      </c>
      <c r="N101" s="104">
        <v>167.59156939686554</v>
      </c>
      <c r="O101" s="104">
        <v>167.59156939686554</v>
      </c>
      <c r="P101" s="104">
        <v>130.18313879373108</v>
      </c>
      <c r="Q101" s="104">
        <v>134.66650307373067</v>
      </c>
      <c r="R101" s="104">
        <v>68.258072470596204</v>
      </c>
      <c r="S101" s="104">
        <v>82.774708190596613</v>
      </c>
      <c r="T101" s="104">
        <v>78.36627758746215</v>
      </c>
      <c r="U101" s="104">
        <v>98.957846984327688</v>
      </c>
      <c r="V101" s="104">
        <v>50.624350058058354</v>
      </c>
      <c r="W101" s="104">
        <v>81.070866378026778</v>
      </c>
      <c r="X101" s="104">
        <v>0</v>
      </c>
      <c r="Y101" s="104">
        <v>10.521449996833553</v>
      </c>
      <c r="Z101" s="104">
        <v>26.854946923102887</v>
      </c>
      <c r="AA101" s="104">
        <v>0</v>
      </c>
      <c r="AB101" s="104">
        <v>32.925066323134864</v>
      </c>
      <c r="AC101" s="104">
        <v>20.516635720000409</v>
      </c>
      <c r="AD101" s="104">
        <v>32.925066323134857</v>
      </c>
      <c r="AE101" s="104">
        <v>38.995185723166827</v>
      </c>
      <c r="AF101" s="104">
        <v>58.656874520064321</v>
      </c>
      <c r="AG101" s="104">
        <v>73.318563316961814</v>
      </c>
      <c r="AH101" s="104">
        <v>134.66650307373067</v>
      </c>
      <c r="AI101" s="104">
        <v>198.32337759379499</v>
      </c>
      <c r="AJ101" s="104">
        <v>144.98506639069248</v>
      </c>
      <c r="AK101" s="104">
        <v>117.64675518758997</v>
      </c>
      <c r="AL101" s="104">
        <v>109.30844398448747</v>
      </c>
      <c r="AM101" s="104">
        <v>52.900013381353006</v>
      </c>
      <c r="AN101" s="104">
        <v>32.925066323134871</v>
      </c>
      <c r="AO101" s="104">
        <v>32.925066323134871</v>
      </c>
      <c r="AP101" s="104">
        <v>0</v>
      </c>
      <c r="AQ101" s="104">
        <v>0</v>
      </c>
      <c r="AR101" s="104">
        <v>144.18313879373108</v>
      </c>
      <c r="AS101" s="104">
        <v>32.925066323134864</v>
      </c>
      <c r="AT101" s="104">
        <v>3.6997745137314837</v>
      </c>
      <c r="AU101" s="104">
        <v>161.52144999683355</v>
      </c>
      <c r="AV101" s="104">
        <v>122.04289999366711</v>
      </c>
      <c r="AW101" s="104">
        <v>65.709403067397773</v>
      </c>
      <c r="AX101" s="104">
        <v>75.230853064231326</v>
      </c>
      <c r="AY101" s="104">
        <v>134.66650307373067</v>
      </c>
    </row>
    <row r="102" spans="1:52">
      <c r="A102" s="107"/>
      <c r="B102" s="117">
        <v>3</v>
      </c>
      <c r="C102" s="104">
        <v>0</v>
      </c>
      <c r="D102" s="104">
        <v>129.88085034522427</v>
      </c>
      <c r="E102" s="104">
        <v>30.92291185981108</v>
      </c>
      <c r="F102" s="104">
        <v>49.384367789716606</v>
      </c>
      <c r="G102" s="104">
        <v>6.9955424571499805</v>
      </c>
      <c r="H102" s="104">
        <v>0</v>
      </c>
      <c r="I102" s="104">
        <v>0</v>
      </c>
      <c r="J102" s="104">
        <v>0</v>
      </c>
      <c r="K102" s="104">
        <v>0</v>
      </c>
      <c r="L102" s="104">
        <v>0</v>
      </c>
      <c r="M102" s="104">
        <v>32.925066323134864</v>
      </c>
      <c r="N102" s="104">
        <v>23.591569396865538</v>
      </c>
      <c r="O102" s="104">
        <v>0</v>
      </c>
      <c r="P102" s="104">
        <v>0</v>
      </c>
      <c r="Q102" s="104">
        <v>0</v>
      </c>
      <c r="R102" s="104">
        <v>32.925066323134871</v>
      </c>
      <c r="S102" s="104">
        <v>0</v>
      </c>
      <c r="T102" s="104">
        <v>0</v>
      </c>
      <c r="U102" s="104">
        <v>0</v>
      </c>
      <c r="V102" s="104">
        <v>0</v>
      </c>
      <c r="W102" s="104">
        <v>0</v>
      </c>
      <c r="X102" s="104">
        <v>0</v>
      </c>
      <c r="Y102" s="104">
        <v>26.854946923102901</v>
      </c>
      <c r="Z102" s="104">
        <v>0</v>
      </c>
      <c r="AA102" s="104">
        <v>0</v>
      </c>
      <c r="AB102" s="104">
        <v>0</v>
      </c>
      <c r="AC102" s="104">
        <v>0</v>
      </c>
      <c r="AD102" s="104">
        <v>0</v>
      </c>
      <c r="AE102" s="104">
        <v>0</v>
      </c>
      <c r="AF102" s="104">
        <v>0</v>
      </c>
      <c r="AG102" s="104">
        <v>0</v>
      </c>
      <c r="AH102" s="104">
        <v>0</v>
      </c>
      <c r="AI102" s="104">
        <v>0</v>
      </c>
      <c r="AJ102" s="104">
        <v>0</v>
      </c>
      <c r="AK102" s="104">
        <v>0</v>
      </c>
      <c r="AL102" s="104">
        <v>0</v>
      </c>
      <c r="AM102" s="104">
        <v>0</v>
      </c>
      <c r="AN102" s="104">
        <v>0</v>
      </c>
      <c r="AO102" s="104">
        <v>0</v>
      </c>
      <c r="AP102" s="104">
        <v>0</v>
      </c>
      <c r="AQ102" s="104">
        <v>167.59156939686554</v>
      </c>
      <c r="AR102" s="104">
        <v>0</v>
      </c>
      <c r="AS102" s="104">
        <v>3.1831387937310751</v>
      </c>
      <c r="AT102" s="104">
        <v>0</v>
      </c>
      <c r="AU102" s="104">
        <v>0</v>
      </c>
      <c r="AV102" s="104">
        <v>0</v>
      </c>
      <c r="AW102" s="104">
        <v>0</v>
      </c>
      <c r="AX102" s="104">
        <v>26.854946923102901</v>
      </c>
      <c r="AY102" s="104">
        <v>0</v>
      </c>
    </row>
    <row r="103" spans="1:52">
      <c r="A103" s="107"/>
      <c r="B103" s="117">
        <v>4</v>
      </c>
      <c r="C103" s="104">
        <v>0</v>
      </c>
      <c r="D103" s="104">
        <v>0</v>
      </c>
      <c r="E103" s="104">
        <v>0</v>
      </c>
      <c r="F103" s="104">
        <v>0</v>
      </c>
      <c r="G103" s="104">
        <v>0</v>
      </c>
      <c r="H103" s="104">
        <v>0</v>
      </c>
      <c r="I103" s="104">
        <v>0</v>
      </c>
      <c r="J103" s="104">
        <v>0</v>
      </c>
      <c r="K103" s="104">
        <v>0</v>
      </c>
      <c r="L103" s="104">
        <v>0</v>
      </c>
      <c r="M103" s="104">
        <v>0</v>
      </c>
      <c r="N103" s="104">
        <v>0</v>
      </c>
      <c r="O103" s="104">
        <v>0</v>
      </c>
      <c r="P103" s="104">
        <v>0</v>
      </c>
      <c r="Q103" s="104">
        <v>0</v>
      </c>
      <c r="R103" s="104">
        <v>0</v>
      </c>
      <c r="S103" s="104">
        <v>0</v>
      </c>
      <c r="T103" s="104">
        <v>0</v>
      </c>
      <c r="U103" s="104">
        <v>0</v>
      </c>
      <c r="V103" s="104">
        <v>0</v>
      </c>
      <c r="W103" s="104">
        <v>0</v>
      </c>
      <c r="X103" s="104">
        <v>0</v>
      </c>
      <c r="Y103" s="104">
        <v>0</v>
      </c>
      <c r="Z103" s="104">
        <v>0</v>
      </c>
      <c r="AA103" s="104">
        <v>0</v>
      </c>
      <c r="AB103" s="104">
        <v>0</v>
      </c>
      <c r="AC103" s="104">
        <v>0</v>
      </c>
      <c r="AD103" s="104">
        <v>0</v>
      </c>
      <c r="AE103" s="104">
        <v>0</v>
      </c>
      <c r="AF103" s="104">
        <v>0</v>
      </c>
      <c r="AG103" s="104">
        <v>0</v>
      </c>
      <c r="AH103" s="104">
        <v>0</v>
      </c>
      <c r="AI103" s="104">
        <v>0</v>
      </c>
      <c r="AJ103" s="104">
        <v>0</v>
      </c>
      <c r="AK103" s="104">
        <v>0</v>
      </c>
      <c r="AL103" s="104">
        <v>0</v>
      </c>
      <c r="AM103" s="104">
        <v>0</v>
      </c>
      <c r="AN103" s="104">
        <v>0</v>
      </c>
      <c r="AO103" s="104">
        <v>0</v>
      </c>
      <c r="AP103" s="104">
        <v>0</v>
      </c>
      <c r="AQ103" s="104">
        <v>0</v>
      </c>
      <c r="AR103" s="104">
        <v>0</v>
      </c>
      <c r="AS103" s="104">
        <v>0</v>
      </c>
      <c r="AT103" s="104">
        <v>0</v>
      </c>
      <c r="AU103" s="104">
        <v>0</v>
      </c>
      <c r="AV103" s="104">
        <v>0</v>
      </c>
      <c r="AW103" s="104">
        <v>0</v>
      </c>
      <c r="AX103" s="104">
        <v>0</v>
      </c>
      <c r="AY103" s="104">
        <v>0</v>
      </c>
    </row>
    <row r="104" spans="1:52">
      <c r="A104" s="107"/>
      <c r="B104" s="124">
        <v>5</v>
      </c>
      <c r="C104" s="104">
        <v>0</v>
      </c>
      <c r="D104" s="104">
        <v>0</v>
      </c>
      <c r="E104" s="104">
        <v>0</v>
      </c>
      <c r="F104" s="104">
        <v>0</v>
      </c>
      <c r="G104" s="104">
        <v>0</v>
      </c>
      <c r="H104" s="104">
        <v>0</v>
      </c>
      <c r="I104" s="104">
        <v>0</v>
      </c>
      <c r="J104" s="104">
        <v>0</v>
      </c>
      <c r="K104" s="104">
        <v>0</v>
      </c>
      <c r="L104" s="104">
        <v>0</v>
      </c>
      <c r="M104" s="104">
        <v>0</v>
      </c>
      <c r="N104" s="104">
        <v>0</v>
      </c>
      <c r="O104" s="104">
        <v>0</v>
      </c>
      <c r="P104" s="104">
        <v>0</v>
      </c>
      <c r="Q104" s="104">
        <v>0</v>
      </c>
      <c r="R104" s="104">
        <v>0</v>
      </c>
      <c r="S104" s="104">
        <v>0</v>
      </c>
      <c r="T104" s="104">
        <v>0</v>
      </c>
      <c r="U104" s="104">
        <v>0</v>
      </c>
      <c r="V104" s="104">
        <v>0</v>
      </c>
      <c r="W104" s="104">
        <v>0</v>
      </c>
      <c r="X104" s="104">
        <v>0</v>
      </c>
      <c r="Y104" s="104">
        <v>0</v>
      </c>
      <c r="Z104" s="104">
        <v>0</v>
      </c>
      <c r="AA104" s="104">
        <v>0</v>
      </c>
      <c r="AB104" s="104">
        <v>0</v>
      </c>
      <c r="AC104" s="104">
        <v>0</v>
      </c>
      <c r="AD104" s="104">
        <v>0</v>
      </c>
      <c r="AE104" s="104">
        <v>0</v>
      </c>
      <c r="AF104" s="104">
        <v>0</v>
      </c>
      <c r="AG104" s="104">
        <v>0</v>
      </c>
      <c r="AH104" s="104">
        <v>0</v>
      </c>
      <c r="AI104" s="104">
        <v>0</v>
      </c>
      <c r="AJ104" s="104">
        <v>0</v>
      </c>
      <c r="AK104" s="104">
        <v>0</v>
      </c>
      <c r="AL104" s="104">
        <v>0</v>
      </c>
      <c r="AM104" s="104">
        <v>0</v>
      </c>
      <c r="AN104" s="104">
        <v>0</v>
      </c>
      <c r="AO104" s="104">
        <v>0</v>
      </c>
      <c r="AP104" s="104">
        <v>0</v>
      </c>
      <c r="AQ104" s="104">
        <v>0</v>
      </c>
      <c r="AR104" s="104">
        <v>0</v>
      </c>
      <c r="AS104" s="104">
        <v>0</v>
      </c>
      <c r="AT104" s="104">
        <v>0</v>
      </c>
      <c r="AU104" s="104">
        <v>0</v>
      </c>
      <c r="AV104" s="104">
        <v>0</v>
      </c>
      <c r="AW104" s="104">
        <v>0</v>
      </c>
      <c r="AX104" s="104">
        <v>0</v>
      </c>
      <c r="AY104" s="104">
        <v>0</v>
      </c>
    </row>
    <row r="105" spans="1:52">
      <c r="A105" s="107"/>
      <c r="B105" s="124">
        <v>6</v>
      </c>
      <c r="C105" s="104">
        <v>0</v>
      </c>
      <c r="D105" s="104">
        <v>0</v>
      </c>
      <c r="E105" s="104">
        <v>0</v>
      </c>
      <c r="F105" s="104">
        <v>0</v>
      </c>
      <c r="G105" s="104">
        <v>0</v>
      </c>
      <c r="H105" s="104">
        <v>0</v>
      </c>
      <c r="I105" s="104">
        <v>0</v>
      </c>
      <c r="J105" s="104">
        <v>0</v>
      </c>
      <c r="K105" s="104">
        <v>0</v>
      </c>
      <c r="L105" s="104">
        <v>0</v>
      </c>
      <c r="M105" s="104">
        <v>0</v>
      </c>
      <c r="N105" s="104">
        <v>0</v>
      </c>
      <c r="O105" s="104">
        <v>0</v>
      </c>
      <c r="P105" s="104">
        <v>0</v>
      </c>
      <c r="Q105" s="104">
        <v>0</v>
      </c>
      <c r="R105" s="104">
        <v>0</v>
      </c>
      <c r="S105" s="104">
        <v>0</v>
      </c>
      <c r="T105" s="104">
        <v>0</v>
      </c>
      <c r="U105" s="104">
        <v>0</v>
      </c>
      <c r="V105" s="104">
        <v>0</v>
      </c>
      <c r="W105" s="104">
        <v>0</v>
      </c>
      <c r="X105" s="104">
        <v>0</v>
      </c>
      <c r="Y105" s="104">
        <v>0</v>
      </c>
      <c r="Z105" s="104">
        <v>0</v>
      </c>
      <c r="AA105" s="104">
        <v>0</v>
      </c>
      <c r="AB105" s="104">
        <v>0</v>
      </c>
      <c r="AC105" s="104">
        <v>0</v>
      </c>
      <c r="AD105" s="104">
        <v>0</v>
      </c>
      <c r="AE105" s="104">
        <v>0</v>
      </c>
      <c r="AF105" s="104">
        <v>0</v>
      </c>
      <c r="AG105" s="104">
        <v>0</v>
      </c>
      <c r="AH105" s="104">
        <v>0</v>
      </c>
      <c r="AI105" s="104">
        <v>0</v>
      </c>
      <c r="AJ105" s="104">
        <v>0</v>
      </c>
      <c r="AK105" s="104">
        <v>0</v>
      </c>
      <c r="AL105" s="104">
        <v>0</v>
      </c>
      <c r="AM105" s="104">
        <v>0</v>
      </c>
      <c r="AN105" s="104">
        <v>0</v>
      </c>
      <c r="AO105" s="104">
        <v>0</v>
      </c>
      <c r="AP105" s="104">
        <v>0</v>
      </c>
      <c r="AQ105" s="104">
        <v>0</v>
      </c>
      <c r="AR105" s="104">
        <v>0</v>
      </c>
      <c r="AS105" s="104">
        <v>0</v>
      </c>
      <c r="AT105" s="104">
        <v>0</v>
      </c>
      <c r="AU105" s="104">
        <v>0</v>
      </c>
      <c r="AV105" s="104">
        <v>0</v>
      </c>
      <c r="AW105" s="104">
        <v>0</v>
      </c>
      <c r="AX105" s="104">
        <v>0</v>
      </c>
      <c r="AY105" s="104">
        <v>0</v>
      </c>
    </row>
    <row r="106" spans="1:52">
      <c r="A106" s="107"/>
      <c r="B106" s="127">
        <v>7</v>
      </c>
      <c r="C106" s="104">
        <v>0</v>
      </c>
      <c r="D106" s="104">
        <v>0</v>
      </c>
      <c r="E106" s="104">
        <v>0</v>
      </c>
      <c r="F106" s="104">
        <v>0</v>
      </c>
      <c r="G106" s="104">
        <v>0</v>
      </c>
      <c r="H106" s="104">
        <v>0</v>
      </c>
      <c r="I106" s="104">
        <v>0</v>
      </c>
      <c r="J106" s="104">
        <v>0</v>
      </c>
      <c r="K106" s="104">
        <v>0</v>
      </c>
      <c r="L106" s="104">
        <v>0</v>
      </c>
      <c r="M106" s="104">
        <v>0</v>
      </c>
      <c r="N106" s="104">
        <v>0</v>
      </c>
      <c r="O106" s="104">
        <v>0</v>
      </c>
      <c r="P106" s="104">
        <v>0</v>
      </c>
      <c r="Q106" s="104">
        <v>0</v>
      </c>
      <c r="R106" s="104">
        <v>0</v>
      </c>
      <c r="S106" s="104">
        <v>0</v>
      </c>
      <c r="T106" s="104">
        <v>0</v>
      </c>
      <c r="U106" s="104">
        <v>0</v>
      </c>
      <c r="V106" s="104">
        <v>0</v>
      </c>
      <c r="W106" s="104">
        <v>0</v>
      </c>
      <c r="X106" s="104">
        <v>0</v>
      </c>
      <c r="Y106" s="104">
        <v>0</v>
      </c>
      <c r="Z106" s="104">
        <v>0</v>
      </c>
      <c r="AA106" s="104">
        <v>0</v>
      </c>
      <c r="AB106" s="104">
        <v>0</v>
      </c>
      <c r="AC106" s="104">
        <v>0</v>
      </c>
      <c r="AD106" s="104">
        <v>0</v>
      </c>
      <c r="AE106" s="104">
        <v>0</v>
      </c>
      <c r="AF106" s="104">
        <v>0</v>
      </c>
      <c r="AG106" s="104">
        <v>0</v>
      </c>
      <c r="AH106" s="104">
        <v>0</v>
      </c>
      <c r="AI106" s="104">
        <v>0</v>
      </c>
      <c r="AJ106" s="104">
        <v>0</v>
      </c>
      <c r="AK106" s="104">
        <v>0</v>
      </c>
      <c r="AL106" s="104">
        <v>0</v>
      </c>
      <c r="AM106" s="104">
        <v>0</v>
      </c>
      <c r="AN106" s="104">
        <v>0</v>
      </c>
      <c r="AO106" s="104">
        <v>0</v>
      </c>
      <c r="AP106" s="104">
        <v>0</v>
      </c>
      <c r="AQ106" s="104">
        <v>0</v>
      </c>
      <c r="AR106" s="104">
        <v>0</v>
      </c>
      <c r="AS106" s="104">
        <v>0</v>
      </c>
      <c r="AT106" s="104">
        <v>0</v>
      </c>
      <c r="AU106" s="104">
        <v>0</v>
      </c>
      <c r="AV106" s="104">
        <v>0</v>
      </c>
      <c r="AW106" s="104">
        <v>0</v>
      </c>
      <c r="AX106" s="104">
        <v>0</v>
      </c>
      <c r="AY106" s="104">
        <v>0</v>
      </c>
    </row>
    <row r="107" spans="1:52">
      <c r="A107" s="107"/>
      <c r="B107" s="127">
        <v>8</v>
      </c>
      <c r="C107" s="104">
        <v>0</v>
      </c>
      <c r="D107" s="104">
        <v>0</v>
      </c>
      <c r="E107" s="104">
        <v>0</v>
      </c>
      <c r="F107" s="104">
        <v>0</v>
      </c>
      <c r="G107" s="104">
        <v>0</v>
      </c>
      <c r="H107" s="104">
        <v>0</v>
      </c>
      <c r="I107" s="104">
        <v>0</v>
      </c>
      <c r="J107" s="104">
        <v>0</v>
      </c>
      <c r="K107" s="104">
        <v>0</v>
      </c>
      <c r="L107" s="104">
        <v>0</v>
      </c>
      <c r="M107" s="104">
        <v>0</v>
      </c>
      <c r="N107" s="104">
        <v>0</v>
      </c>
      <c r="O107" s="104">
        <v>0</v>
      </c>
      <c r="P107" s="104">
        <v>0</v>
      </c>
      <c r="Q107" s="104">
        <v>0</v>
      </c>
      <c r="R107" s="104">
        <v>0</v>
      </c>
      <c r="S107" s="104">
        <v>0</v>
      </c>
      <c r="T107" s="104">
        <v>0</v>
      </c>
      <c r="U107" s="104">
        <v>0</v>
      </c>
      <c r="V107" s="104">
        <v>0</v>
      </c>
      <c r="W107" s="104">
        <v>0</v>
      </c>
      <c r="X107" s="104">
        <v>0</v>
      </c>
      <c r="Y107" s="104">
        <v>0</v>
      </c>
      <c r="Z107" s="104">
        <v>0</v>
      </c>
      <c r="AA107" s="104">
        <v>0</v>
      </c>
      <c r="AB107" s="104">
        <v>0</v>
      </c>
      <c r="AC107" s="104">
        <v>0</v>
      </c>
      <c r="AD107" s="104">
        <v>0</v>
      </c>
      <c r="AE107" s="104">
        <v>0</v>
      </c>
      <c r="AF107" s="104">
        <v>0</v>
      </c>
      <c r="AG107" s="104">
        <v>0</v>
      </c>
      <c r="AH107" s="104">
        <v>0</v>
      </c>
      <c r="AI107" s="104">
        <v>0</v>
      </c>
      <c r="AJ107" s="104">
        <v>0</v>
      </c>
      <c r="AK107" s="104">
        <v>0</v>
      </c>
      <c r="AL107" s="104">
        <v>0</v>
      </c>
      <c r="AM107" s="104">
        <v>0</v>
      </c>
      <c r="AN107" s="104">
        <v>0</v>
      </c>
      <c r="AO107" s="104">
        <v>0</v>
      </c>
      <c r="AP107" s="104">
        <v>0</v>
      </c>
      <c r="AQ107" s="104">
        <v>0</v>
      </c>
      <c r="AR107" s="104">
        <v>0</v>
      </c>
      <c r="AS107" s="104">
        <v>0</v>
      </c>
      <c r="AT107" s="104">
        <v>0</v>
      </c>
      <c r="AU107" s="104">
        <v>0</v>
      </c>
      <c r="AV107" s="104">
        <v>0</v>
      </c>
      <c r="AW107" s="104">
        <v>0</v>
      </c>
      <c r="AX107" s="104">
        <v>0</v>
      </c>
      <c r="AY107" s="104">
        <v>0</v>
      </c>
    </row>
    <row r="108" spans="1:52">
      <c r="A108" s="125"/>
      <c r="B108" s="129" t="s">
        <v>296</v>
      </c>
      <c r="C108" s="111">
        <v>0</v>
      </c>
      <c r="D108" s="122">
        <v>0</v>
      </c>
      <c r="E108" s="122">
        <v>0</v>
      </c>
      <c r="F108" s="122">
        <v>0</v>
      </c>
      <c r="G108" s="122">
        <v>0</v>
      </c>
      <c r="H108" s="122">
        <v>0</v>
      </c>
      <c r="I108" s="122">
        <v>0</v>
      </c>
      <c r="J108" s="122">
        <v>0</v>
      </c>
      <c r="K108" s="122">
        <v>0</v>
      </c>
      <c r="L108" s="122">
        <v>0</v>
      </c>
      <c r="M108" s="122">
        <v>0</v>
      </c>
      <c r="N108" s="122">
        <v>0</v>
      </c>
      <c r="O108" s="122">
        <v>0</v>
      </c>
      <c r="P108" s="122">
        <v>0</v>
      </c>
      <c r="Q108" s="122">
        <v>0</v>
      </c>
      <c r="R108" s="122">
        <v>0</v>
      </c>
      <c r="S108" s="122">
        <v>0</v>
      </c>
      <c r="T108" s="122">
        <v>0</v>
      </c>
      <c r="U108" s="122">
        <v>0</v>
      </c>
      <c r="V108" s="122">
        <v>0</v>
      </c>
      <c r="W108" s="122">
        <v>0</v>
      </c>
      <c r="X108" s="122">
        <v>0</v>
      </c>
      <c r="Y108" s="122">
        <v>0</v>
      </c>
      <c r="Z108" s="122">
        <v>0</v>
      </c>
      <c r="AA108" s="122">
        <v>0</v>
      </c>
      <c r="AB108" s="122">
        <v>0</v>
      </c>
      <c r="AC108" s="122">
        <v>0</v>
      </c>
      <c r="AD108" s="122">
        <v>0</v>
      </c>
      <c r="AE108" s="122">
        <v>0</v>
      </c>
      <c r="AF108" s="122">
        <v>0</v>
      </c>
      <c r="AG108" s="122">
        <v>0</v>
      </c>
      <c r="AH108" s="122">
        <v>0</v>
      </c>
      <c r="AI108" s="122">
        <v>0</v>
      </c>
      <c r="AJ108" s="122">
        <v>0</v>
      </c>
      <c r="AK108" s="122">
        <v>0</v>
      </c>
      <c r="AL108" s="122">
        <v>0</v>
      </c>
      <c r="AM108" s="122">
        <v>0</v>
      </c>
      <c r="AN108" s="122">
        <v>0</v>
      </c>
      <c r="AO108" s="122">
        <v>0</v>
      </c>
      <c r="AP108" s="122">
        <v>0</v>
      </c>
      <c r="AQ108" s="122">
        <v>0</v>
      </c>
      <c r="AR108" s="122">
        <v>0</v>
      </c>
      <c r="AS108" s="122">
        <v>0</v>
      </c>
      <c r="AT108" s="122">
        <v>0</v>
      </c>
      <c r="AU108" s="122">
        <v>0</v>
      </c>
      <c r="AV108" s="122">
        <v>0</v>
      </c>
      <c r="AW108" s="122">
        <v>0</v>
      </c>
      <c r="AX108" s="122">
        <v>0</v>
      </c>
      <c r="AY108" s="122">
        <v>0</v>
      </c>
      <c r="AZ108" s="105">
        <f>SUM($D108:$AY108)</f>
        <v>0</v>
      </c>
    </row>
    <row r="109" spans="1:52">
      <c r="A109" s="128" t="s">
        <v>134</v>
      </c>
      <c r="B109" s="116">
        <v>1</v>
      </c>
      <c r="C109" s="104">
        <v>13.724556225081452</v>
      </c>
      <c r="D109" s="104">
        <v>87.576263612192463</v>
      </c>
      <c r="E109" s="104">
        <v>130.74395579075633</v>
      </c>
      <c r="F109" s="104">
        <v>105.20233199626298</v>
      </c>
      <c r="G109" s="104">
        <v>102.42107408130119</v>
      </c>
      <c r="H109" s="104">
        <v>82.821772726034297</v>
      </c>
      <c r="I109" s="104">
        <v>83.087938768218962</v>
      </c>
      <c r="J109" s="104">
        <v>63.554715240066002</v>
      </c>
      <c r="K109" s="104">
        <v>85.929622675301232</v>
      </c>
      <c r="L109" s="104">
        <v>63.554715240066017</v>
      </c>
      <c r="M109" s="104">
        <v>24.098193780089026</v>
      </c>
      <c r="N109" s="104">
        <v>132.31107199227239</v>
      </c>
      <c r="O109" s="104">
        <v>33.60500410687942</v>
      </c>
      <c r="P109" s="104">
        <v>122.54446022819592</v>
      </c>
      <c r="Q109" s="104">
        <v>43.66262488931077</v>
      </c>
      <c r="R109" s="104">
        <v>122.54446022819592</v>
      </c>
      <c r="S109" s="104">
        <v>108.78584953402351</v>
      </c>
      <c r="T109" s="104">
        <v>98.03608321386686</v>
      </c>
      <c r="U109" s="104">
        <v>103.54860709108354</v>
      </c>
      <c r="V109" s="104">
        <v>72.653441401333467</v>
      </c>
      <c r="W109" s="104">
        <v>64.598239582361515</v>
      </c>
      <c r="X109" s="104">
        <v>81.287350154064995</v>
      </c>
      <c r="Y109" s="104">
        <v>71.520738389988509</v>
      </c>
      <c r="Z109" s="104">
        <v>71.520738389988509</v>
      </c>
      <c r="AA109" s="104">
        <v>71.442723509254307</v>
      </c>
      <c r="AB109" s="104">
        <v>14.331582016012554</v>
      </c>
      <c r="AC109" s="104">
        <v>83.087938768218962</v>
      </c>
      <c r="AD109" s="104">
        <v>53.710088595255321</v>
      </c>
      <c r="AE109" s="104">
        <v>73.321327004142475</v>
      </c>
      <c r="AF109" s="104">
        <v>95.263415970662635</v>
      </c>
      <c r="AG109" s="104">
        <v>75.121915618296441</v>
      </c>
      <c r="AH109" s="104">
        <v>14.331582016012554</v>
      </c>
      <c r="AI109" s="104">
        <v>112.77784846411946</v>
      </c>
      <c r="AJ109" s="104">
        <v>96.00861861707827</v>
      </c>
      <c r="AK109" s="104">
        <v>85.809628153801327</v>
      </c>
      <c r="AL109" s="104">
        <v>94.623343033400417</v>
      </c>
      <c r="AM109" s="104">
        <v>78.507298379759106</v>
      </c>
      <c r="AN109" s="104">
        <v>63.554715240066002</v>
      </c>
      <c r="AO109" s="104">
        <v>73.321327004142475</v>
      </c>
      <c r="AP109" s="104">
        <v>24.09819378008903</v>
      </c>
      <c r="AQ109" s="104">
        <v>73.321327004142475</v>
      </c>
      <c r="AR109" s="104">
        <v>122.54446022819592</v>
      </c>
      <c r="AS109" s="104">
        <v>46.07216661453419</v>
      </c>
      <c r="AT109" s="104">
        <v>73.321327004142475</v>
      </c>
      <c r="AU109" s="104">
        <v>14.331582016012554</v>
      </c>
      <c r="AV109" s="104">
        <v>128.70989476396446</v>
      </c>
      <c r="AW109" s="104">
        <v>98.345787163821669</v>
      </c>
      <c r="AX109" s="104">
        <v>71.520738389988509</v>
      </c>
      <c r="AY109" s="104">
        <v>33.864805544165513</v>
      </c>
    </row>
    <row r="110" spans="1:52">
      <c r="A110" s="107"/>
      <c r="B110" s="116">
        <v>2</v>
      </c>
      <c r="C110" s="104">
        <v>0</v>
      </c>
      <c r="D110" s="104">
        <v>0</v>
      </c>
      <c r="E110" s="104">
        <v>19.576263612192463</v>
      </c>
      <c r="F110" s="104">
        <v>52.320219402948794</v>
      </c>
      <c r="G110" s="104">
        <v>102.52255139921178</v>
      </c>
      <c r="H110" s="104">
        <v>102.42107408130119</v>
      </c>
      <c r="I110" s="104">
        <v>82.821772726034297</v>
      </c>
      <c r="J110" s="104">
        <v>83.087938768218962</v>
      </c>
      <c r="K110" s="104">
        <v>63.554715240066002</v>
      </c>
      <c r="L110" s="104">
        <v>85.929622675301232</v>
      </c>
      <c r="M110" s="104">
        <v>59.33604035675549</v>
      </c>
      <c r="N110" s="104">
        <v>7.1054273576010019E-15</v>
      </c>
      <c r="O110" s="104">
        <v>60.010974868670388</v>
      </c>
      <c r="P110" s="104">
        <v>5.6159789755498082</v>
      </c>
      <c r="Q110" s="104">
        <v>41.862952841708676</v>
      </c>
      <c r="R110" s="104">
        <v>25.525577731019446</v>
      </c>
      <c r="S110" s="104">
        <v>88.070037959215369</v>
      </c>
      <c r="T110" s="104">
        <v>108.78584953402351</v>
      </c>
      <c r="U110" s="104">
        <v>98.03608321386686</v>
      </c>
      <c r="V110" s="104">
        <v>103.54860709108354</v>
      </c>
      <c r="W110" s="104">
        <v>72.653441401333467</v>
      </c>
      <c r="X110" s="104">
        <v>64.598239582361515</v>
      </c>
      <c r="Y110" s="104">
        <v>81.287350154064995</v>
      </c>
      <c r="Z110" s="104">
        <v>71.520738389988509</v>
      </c>
      <c r="AA110" s="104">
        <v>71.520738389988509</v>
      </c>
      <c r="AB110" s="104">
        <v>71.442723509254307</v>
      </c>
      <c r="AC110" s="104">
        <v>14.331582016012554</v>
      </c>
      <c r="AD110" s="104">
        <v>83.087938768218962</v>
      </c>
      <c r="AE110" s="104">
        <v>53.710088595255321</v>
      </c>
      <c r="AF110" s="104">
        <v>73.321327004142475</v>
      </c>
      <c r="AG110" s="104">
        <v>95.263415970662635</v>
      </c>
      <c r="AH110" s="104">
        <v>75.121915618296441</v>
      </c>
      <c r="AI110" s="104">
        <v>14.331582016012554</v>
      </c>
      <c r="AJ110" s="104">
        <v>38.48497286194366</v>
      </c>
      <c r="AK110" s="104">
        <v>63.49359147902193</v>
      </c>
      <c r="AL110" s="104">
        <v>40.303219632823257</v>
      </c>
      <c r="AM110" s="104">
        <v>79.926562666223674</v>
      </c>
      <c r="AN110" s="104">
        <v>78.507298379759106</v>
      </c>
      <c r="AO110" s="104">
        <v>63.554715240066002</v>
      </c>
      <c r="AP110" s="104">
        <v>51.946161389813028</v>
      </c>
      <c r="AQ110" s="104">
        <v>0</v>
      </c>
      <c r="AR110" s="104">
        <v>0</v>
      </c>
      <c r="AS110" s="104">
        <v>19.544460228195916</v>
      </c>
      <c r="AT110" s="104">
        <v>0</v>
      </c>
      <c r="AU110" s="104">
        <v>0</v>
      </c>
      <c r="AV110" s="104">
        <v>0</v>
      </c>
      <c r="AW110" s="104">
        <v>24.709894763964456</v>
      </c>
      <c r="AX110" s="104">
        <v>33.055681927786125</v>
      </c>
      <c r="AY110" s="104">
        <v>0</v>
      </c>
    </row>
    <row r="111" spans="1:52">
      <c r="A111" s="107"/>
      <c r="B111" s="116">
        <v>3</v>
      </c>
      <c r="C111" s="104">
        <v>0</v>
      </c>
      <c r="D111" s="104">
        <v>0</v>
      </c>
      <c r="E111" s="104">
        <v>0</v>
      </c>
      <c r="F111" s="104">
        <v>0</v>
      </c>
      <c r="G111" s="104">
        <v>0</v>
      </c>
      <c r="H111" s="104">
        <v>12.522551399211778</v>
      </c>
      <c r="I111" s="104">
        <v>40.943625480512964</v>
      </c>
      <c r="J111" s="104">
        <v>22.76539820654726</v>
      </c>
      <c r="K111" s="104">
        <v>38.853336974766222</v>
      </c>
      <c r="L111" s="104">
        <v>10.307486547283105</v>
      </c>
      <c r="M111" s="104">
        <v>0</v>
      </c>
      <c r="N111" s="104">
        <v>0</v>
      </c>
      <c r="O111" s="104">
        <v>0</v>
      </c>
      <c r="P111" s="104">
        <v>0</v>
      </c>
      <c r="Q111" s="104">
        <v>0</v>
      </c>
      <c r="R111" s="104">
        <v>0</v>
      </c>
      <c r="S111" s="104">
        <v>0</v>
      </c>
      <c r="T111" s="104">
        <v>27.070037959215369</v>
      </c>
      <c r="U111" s="104">
        <v>66.855887493238882</v>
      </c>
      <c r="V111" s="104">
        <v>65.891970707105742</v>
      </c>
      <c r="W111" s="104">
        <v>103.54860709108354</v>
      </c>
      <c r="X111" s="104">
        <v>72.653441401333467</v>
      </c>
      <c r="Y111" s="104">
        <v>64.598239582361515</v>
      </c>
      <c r="Z111" s="104">
        <v>81.287350154064995</v>
      </c>
      <c r="AA111" s="104">
        <v>71.520738389988509</v>
      </c>
      <c r="AB111" s="104">
        <v>71.520738389988509</v>
      </c>
      <c r="AC111" s="104">
        <v>71.442723509254307</v>
      </c>
      <c r="AD111" s="104">
        <v>14.331582016012554</v>
      </c>
      <c r="AE111" s="104">
        <v>49.774899496462702</v>
      </c>
      <c r="AF111" s="104">
        <v>30.484988091718023</v>
      </c>
      <c r="AG111" s="104">
        <v>32.806315095860498</v>
      </c>
      <c r="AH111" s="104">
        <v>39.2536267635152</v>
      </c>
      <c r="AI111" s="104">
        <v>5.3755423818116412</v>
      </c>
      <c r="AJ111" s="104">
        <v>0</v>
      </c>
      <c r="AK111" s="104">
        <v>0</v>
      </c>
      <c r="AL111" s="104">
        <v>0</v>
      </c>
      <c r="AM111" s="104">
        <v>0</v>
      </c>
      <c r="AN111" s="104">
        <v>24.361466958802623</v>
      </c>
      <c r="AO111" s="104">
        <v>27.256345323285942</v>
      </c>
      <c r="AP111" s="104">
        <v>0</v>
      </c>
      <c r="AQ111" s="104">
        <v>0</v>
      </c>
      <c r="AR111" s="104">
        <v>0</v>
      </c>
      <c r="AS111" s="104">
        <v>0</v>
      </c>
      <c r="AT111" s="104">
        <v>0</v>
      </c>
      <c r="AU111" s="104">
        <v>0</v>
      </c>
      <c r="AV111" s="104">
        <v>0</v>
      </c>
      <c r="AW111" s="104">
        <v>0</v>
      </c>
      <c r="AX111" s="104">
        <v>0</v>
      </c>
      <c r="AY111" s="104">
        <v>0</v>
      </c>
    </row>
    <row r="112" spans="1:52">
      <c r="A112" s="107"/>
      <c r="B112" s="117">
        <v>4</v>
      </c>
      <c r="C112" s="104">
        <v>0</v>
      </c>
      <c r="D112" s="104">
        <v>0</v>
      </c>
      <c r="E112" s="104">
        <v>0</v>
      </c>
      <c r="F112" s="104">
        <v>0</v>
      </c>
      <c r="G112" s="104">
        <v>0</v>
      </c>
      <c r="H112" s="104">
        <v>0</v>
      </c>
      <c r="I112" s="104">
        <v>0</v>
      </c>
      <c r="J112" s="104">
        <v>0</v>
      </c>
      <c r="K112" s="104">
        <v>0</v>
      </c>
      <c r="L112" s="104">
        <v>0</v>
      </c>
      <c r="M112" s="104">
        <v>0</v>
      </c>
      <c r="N112" s="104">
        <v>0</v>
      </c>
      <c r="O112" s="104">
        <v>0</v>
      </c>
      <c r="P112" s="104">
        <v>0</v>
      </c>
      <c r="Q112" s="104">
        <v>0</v>
      </c>
      <c r="R112" s="104">
        <v>0</v>
      </c>
      <c r="S112" s="104">
        <v>0</v>
      </c>
      <c r="T112" s="104">
        <v>0</v>
      </c>
      <c r="U112" s="104">
        <v>0</v>
      </c>
      <c r="V112" s="104">
        <v>0</v>
      </c>
      <c r="W112" s="104">
        <v>0.89197070710574167</v>
      </c>
      <c r="X112" s="104">
        <v>18.320850494661045</v>
      </c>
      <c r="Y112" s="104">
        <v>17.974291895994511</v>
      </c>
      <c r="Z112" s="104">
        <v>25.240621983610879</v>
      </c>
      <c r="AA112" s="104">
        <v>19.30545076760761</v>
      </c>
      <c r="AB112" s="104">
        <v>21.826189157596119</v>
      </c>
      <c r="AC112" s="104">
        <v>29.346927547584627</v>
      </c>
      <c r="AD112" s="104">
        <v>35.990834408159643</v>
      </c>
      <c r="AE112" s="104">
        <v>0</v>
      </c>
      <c r="AF112" s="104">
        <v>0</v>
      </c>
      <c r="AG112" s="104">
        <v>0</v>
      </c>
      <c r="AH112" s="104">
        <v>0</v>
      </c>
      <c r="AI112" s="104">
        <v>0</v>
      </c>
      <c r="AJ112" s="104">
        <v>0</v>
      </c>
      <c r="AK112" s="104">
        <v>0</v>
      </c>
      <c r="AL112" s="104">
        <v>0</v>
      </c>
      <c r="AM112" s="104">
        <v>0</v>
      </c>
      <c r="AN112" s="104">
        <v>0</v>
      </c>
      <c r="AO112" s="104">
        <v>0</v>
      </c>
      <c r="AP112" s="104">
        <v>0</v>
      </c>
      <c r="AQ112" s="104">
        <v>0</v>
      </c>
      <c r="AR112" s="104">
        <v>0</v>
      </c>
      <c r="AS112" s="104">
        <v>0</v>
      </c>
      <c r="AT112" s="104">
        <v>0</v>
      </c>
      <c r="AU112" s="104">
        <v>0</v>
      </c>
      <c r="AV112" s="104">
        <v>0</v>
      </c>
      <c r="AW112" s="104">
        <v>0</v>
      </c>
      <c r="AX112" s="104">
        <v>0</v>
      </c>
      <c r="AY112" s="104">
        <v>0</v>
      </c>
    </row>
    <row r="113" spans="1:52">
      <c r="A113" s="107"/>
      <c r="B113" s="117">
        <v>5</v>
      </c>
      <c r="C113" s="104">
        <v>0</v>
      </c>
      <c r="D113" s="104">
        <v>0</v>
      </c>
      <c r="E113" s="104">
        <v>0</v>
      </c>
      <c r="F113" s="104">
        <v>0</v>
      </c>
      <c r="G113" s="104">
        <v>0</v>
      </c>
      <c r="H113" s="104">
        <v>0</v>
      </c>
      <c r="I113" s="104">
        <v>0</v>
      </c>
      <c r="J113" s="104">
        <v>0</v>
      </c>
      <c r="K113" s="104">
        <v>0</v>
      </c>
      <c r="L113" s="104">
        <v>0</v>
      </c>
      <c r="M113" s="104">
        <v>0</v>
      </c>
      <c r="N113" s="104">
        <v>0</v>
      </c>
      <c r="O113" s="104">
        <v>0</v>
      </c>
      <c r="P113" s="104">
        <v>0</v>
      </c>
      <c r="Q113" s="104">
        <v>0</v>
      </c>
      <c r="R113" s="104">
        <v>0</v>
      </c>
      <c r="S113" s="104">
        <v>0</v>
      </c>
      <c r="T113" s="104">
        <v>0</v>
      </c>
      <c r="U113" s="104">
        <v>0</v>
      </c>
      <c r="V113" s="104">
        <v>0</v>
      </c>
      <c r="W113" s="104">
        <v>0</v>
      </c>
      <c r="X113" s="104">
        <v>0</v>
      </c>
      <c r="Y113" s="104">
        <v>0</v>
      </c>
      <c r="Z113" s="104">
        <v>0</v>
      </c>
      <c r="AA113" s="104">
        <v>0</v>
      </c>
      <c r="AB113" s="104">
        <v>0</v>
      </c>
      <c r="AC113" s="104">
        <v>0</v>
      </c>
      <c r="AD113" s="104">
        <v>0</v>
      </c>
      <c r="AE113" s="104">
        <v>0</v>
      </c>
      <c r="AF113" s="104">
        <v>0</v>
      </c>
      <c r="AG113" s="104">
        <v>0</v>
      </c>
      <c r="AH113" s="104">
        <v>0</v>
      </c>
      <c r="AI113" s="104">
        <v>0</v>
      </c>
      <c r="AJ113" s="104">
        <v>0</v>
      </c>
      <c r="AK113" s="104">
        <v>0</v>
      </c>
      <c r="AL113" s="104">
        <v>0</v>
      </c>
      <c r="AM113" s="104">
        <v>0</v>
      </c>
      <c r="AN113" s="104">
        <v>0</v>
      </c>
      <c r="AO113" s="104">
        <v>0</v>
      </c>
      <c r="AP113" s="104">
        <v>0</v>
      </c>
      <c r="AQ113" s="104">
        <v>0</v>
      </c>
      <c r="AR113" s="104">
        <v>0</v>
      </c>
      <c r="AS113" s="104">
        <v>0</v>
      </c>
      <c r="AT113" s="104">
        <v>0</v>
      </c>
      <c r="AU113" s="104">
        <v>0</v>
      </c>
      <c r="AV113" s="104">
        <v>0</v>
      </c>
      <c r="AW113" s="104">
        <v>0</v>
      </c>
      <c r="AX113" s="104">
        <v>0</v>
      </c>
      <c r="AY113" s="104">
        <v>0</v>
      </c>
    </row>
    <row r="114" spans="1:52">
      <c r="A114" s="107"/>
      <c r="B114" s="117">
        <v>6</v>
      </c>
      <c r="C114" s="104">
        <v>0</v>
      </c>
      <c r="D114" s="104">
        <v>0</v>
      </c>
      <c r="E114" s="104">
        <v>0</v>
      </c>
      <c r="F114" s="104">
        <v>0</v>
      </c>
      <c r="G114" s="104">
        <v>0</v>
      </c>
      <c r="H114" s="104">
        <v>0</v>
      </c>
      <c r="I114" s="104">
        <v>0</v>
      </c>
      <c r="J114" s="104">
        <v>0</v>
      </c>
      <c r="K114" s="104">
        <v>0</v>
      </c>
      <c r="L114" s="104">
        <v>0</v>
      </c>
      <c r="M114" s="104">
        <v>0</v>
      </c>
      <c r="N114" s="104">
        <v>0</v>
      </c>
      <c r="O114" s="104">
        <v>0</v>
      </c>
      <c r="P114" s="104">
        <v>0</v>
      </c>
      <c r="Q114" s="104">
        <v>0</v>
      </c>
      <c r="R114" s="104">
        <v>0</v>
      </c>
      <c r="S114" s="104">
        <v>0</v>
      </c>
      <c r="T114" s="104">
        <v>0</v>
      </c>
      <c r="U114" s="104">
        <v>0</v>
      </c>
      <c r="V114" s="104">
        <v>0</v>
      </c>
      <c r="W114" s="104">
        <v>0</v>
      </c>
      <c r="X114" s="104">
        <v>0</v>
      </c>
      <c r="Y114" s="104">
        <v>0</v>
      </c>
      <c r="Z114" s="104">
        <v>0</v>
      </c>
      <c r="AA114" s="104">
        <v>0</v>
      </c>
      <c r="AB114" s="104">
        <v>0</v>
      </c>
      <c r="AC114" s="104">
        <v>0</v>
      </c>
      <c r="AD114" s="104">
        <v>0</v>
      </c>
      <c r="AE114" s="104">
        <v>0</v>
      </c>
      <c r="AF114" s="104">
        <v>0</v>
      </c>
      <c r="AG114" s="104">
        <v>0</v>
      </c>
      <c r="AH114" s="104">
        <v>0</v>
      </c>
      <c r="AI114" s="104">
        <v>0</v>
      </c>
      <c r="AJ114" s="104">
        <v>0</v>
      </c>
      <c r="AK114" s="104">
        <v>0</v>
      </c>
      <c r="AL114" s="104">
        <v>0</v>
      </c>
      <c r="AM114" s="104">
        <v>0</v>
      </c>
      <c r="AN114" s="104">
        <v>0</v>
      </c>
      <c r="AO114" s="104">
        <v>0</v>
      </c>
      <c r="AP114" s="104">
        <v>0</v>
      </c>
      <c r="AQ114" s="104">
        <v>0</v>
      </c>
      <c r="AR114" s="104">
        <v>0</v>
      </c>
      <c r="AS114" s="104">
        <v>0</v>
      </c>
      <c r="AT114" s="104">
        <v>0</v>
      </c>
      <c r="AU114" s="104">
        <v>0</v>
      </c>
      <c r="AV114" s="104">
        <v>0</v>
      </c>
      <c r="AW114" s="104">
        <v>0</v>
      </c>
      <c r="AX114" s="104">
        <v>0</v>
      </c>
      <c r="AY114" s="104">
        <v>0</v>
      </c>
    </row>
    <row r="115" spans="1:52">
      <c r="A115" s="107"/>
      <c r="B115" s="124">
        <v>7</v>
      </c>
      <c r="C115" s="104">
        <v>0</v>
      </c>
      <c r="D115" s="104">
        <v>0</v>
      </c>
      <c r="E115" s="104">
        <v>0</v>
      </c>
      <c r="F115" s="104">
        <v>0</v>
      </c>
      <c r="G115" s="104">
        <v>0</v>
      </c>
      <c r="H115" s="104">
        <v>0</v>
      </c>
      <c r="I115" s="104">
        <v>0</v>
      </c>
      <c r="J115" s="104">
        <v>0</v>
      </c>
      <c r="K115" s="104">
        <v>0</v>
      </c>
      <c r="L115" s="104">
        <v>0</v>
      </c>
      <c r="M115" s="104">
        <v>0</v>
      </c>
      <c r="N115" s="104">
        <v>0</v>
      </c>
      <c r="O115" s="104">
        <v>0</v>
      </c>
      <c r="P115" s="104">
        <v>0</v>
      </c>
      <c r="Q115" s="104">
        <v>0</v>
      </c>
      <c r="R115" s="104">
        <v>0</v>
      </c>
      <c r="S115" s="104">
        <v>0</v>
      </c>
      <c r="T115" s="104">
        <v>0</v>
      </c>
      <c r="U115" s="104">
        <v>0</v>
      </c>
      <c r="V115" s="104">
        <v>0</v>
      </c>
      <c r="W115" s="104">
        <v>0</v>
      </c>
      <c r="X115" s="104">
        <v>0</v>
      </c>
      <c r="Y115" s="104">
        <v>0</v>
      </c>
      <c r="Z115" s="104">
        <v>0</v>
      </c>
      <c r="AA115" s="104">
        <v>0</v>
      </c>
      <c r="AB115" s="104">
        <v>0</v>
      </c>
      <c r="AC115" s="104">
        <v>0</v>
      </c>
      <c r="AD115" s="104">
        <v>0</v>
      </c>
      <c r="AE115" s="104">
        <v>0</v>
      </c>
      <c r="AF115" s="104">
        <v>0</v>
      </c>
      <c r="AG115" s="104">
        <v>0</v>
      </c>
      <c r="AH115" s="104">
        <v>0</v>
      </c>
      <c r="AI115" s="104">
        <v>0</v>
      </c>
      <c r="AJ115" s="104">
        <v>0</v>
      </c>
      <c r="AK115" s="104">
        <v>0</v>
      </c>
      <c r="AL115" s="104">
        <v>0</v>
      </c>
      <c r="AM115" s="104">
        <v>0</v>
      </c>
      <c r="AN115" s="104">
        <v>0</v>
      </c>
      <c r="AO115" s="104">
        <v>0</v>
      </c>
      <c r="AP115" s="104">
        <v>0</v>
      </c>
      <c r="AQ115" s="104">
        <v>0</v>
      </c>
      <c r="AR115" s="104">
        <v>0</v>
      </c>
      <c r="AS115" s="104">
        <v>0</v>
      </c>
      <c r="AT115" s="104">
        <v>0</v>
      </c>
      <c r="AU115" s="104">
        <v>0</v>
      </c>
      <c r="AV115" s="104">
        <v>0</v>
      </c>
      <c r="AW115" s="104">
        <v>0</v>
      </c>
      <c r="AX115" s="104">
        <v>0</v>
      </c>
      <c r="AY115" s="104">
        <v>0</v>
      </c>
    </row>
    <row r="116" spans="1:52">
      <c r="A116" s="107"/>
      <c r="B116" s="124">
        <v>8</v>
      </c>
      <c r="C116" s="104">
        <v>0</v>
      </c>
      <c r="D116" s="104">
        <v>0</v>
      </c>
      <c r="E116" s="104">
        <v>0</v>
      </c>
      <c r="F116" s="104">
        <v>0</v>
      </c>
      <c r="G116" s="104">
        <v>0</v>
      </c>
      <c r="H116" s="104">
        <v>0</v>
      </c>
      <c r="I116" s="104">
        <v>0</v>
      </c>
      <c r="J116" s="104">
        <v>0</v>
      </c>
      <c r="K116" s="104">
        <v>0</v>
      </c>
      <c r="L116" s="104">
        <v>0</v>
      </c>
      <c r="M116" s="104">
        <v>0</v>
      </c>
      <c r="N116" s="104">
        <v>0</v>
      </c>
      <c r="O116" s="104">
        <v>0</v>
      </c>
      <c r="P116" s="104">
        <v>0</v>
      </c>
      <c r="Q116" s="104">
        <v>0</v>
      </c>
      <c r="R116" s="104">
        <v>0</v>
      </c>
      <c r="S116" s="104">
        <v>0</v>
      </c>
      <c r="T116" s="104">
        <v>0</v>
      </c>
      <c r="U116" s="104">
        <v>0</v>
      </c>
      <c r="V116" s="104">
        <v>0</v>
      </c>
      <c r="W116" s="104">
        <v>0</v>
      </c>
      <c r="X116" s="104">
        <v>0</v>
      </c>
      <c r="Y116" s="104">
        <v>0</v>
      </c>
      <c r="Z116" s="104">
        <v>0</v>
      </c>
      <c r="AA116" s="104">
        <v>0</v>
      </c>
      <c r="AB116" s="104">
        <v>0</v>
      </c>
      <c r="AC116" s="104">
        <v>0</v>
      </c>
      <c r="AD116" s="104">
        <v>0</v>
      </c>
      <c r="AE116" s="104">
        <v>0</v>
      </c>
      <c r="AF116" s="104">
        <v>0</v>
      </c>
      <c r="AG116" s="104">
        <v>0</v>
      </c>
      <c r="AH116" s="104">
        <v>0</v>
      </c>
      <c r="AI116" s="104">
        <v>0</v>
      </c>
      <c r="AJ116" s="104">
        <v>0</v>
      </c>
      <c r="AK116" s="104">
        <v>0</v>
      </c>
      <c r="AL116" s="104">
        <v>0</v>
      </c>
      <c r="AM116" s="104">
        <v>0</v>
      </c>
      <c r="AN116" s="104">
        <v>0</v>
      </c>
      <c r="AO116" s="104">
        <v>0</v>
      </c>
      <c r="AP116" s="104">
        <v>0</v>
      </c>
      <c r="AQ116" s="104">
        <v>0</v>
      </c>
      <c r="AR116" s="104">
        <v>0</v>
      </c>
      <c r="AS116" s="104">
        <v>0</v>
      </c>
      <c r="AT116" s="104">
        <v>0</v>
      </c>
      <c r="AU116" s="104">
        <v>0</v>
      </c>
      <c r="AV116" s="104">
        <v>0</v>
      </c>
      <c r="AW116" s="104">
        <v>0</v>
      </c>
      <c r="AX116" s="104">
        <v>0</v>
      </c>
      <c r="AY116" s="104">
        <v>0</v>
      </c>
    </row>
    <row r="117" spans="1:52">
      <c r="A117" s="107"/>
      <c r="B117" s="124">
        <v>9</v>
      </c>
      <c r="C117" s="104">
        <v>0</v>
      </c>
      <c r="D117" s="104">
        <v>0</v>
      </c>
      <c r="E117" s="104">
        <v>0</v>
      </c>
      <c r="F117" s="104">
        <v>0</v>
      </c>
      <c r="G117" s="104">
        <v>0</v>
      </c>
      <c r="H117" s="104">
        <v>0</v>
      </c>
      <c r="I117" s="104">
        <v>0</v>
      </c>
      <c r="J117" s="104">
        <v>0</v>
      </c>
      <c r="K117" s="104">
        <v>0</v>
      </c>
      <c r="L117" s="104">
        <v>0</v>
      </c>
      <c r="M117" s="104">
        <v>0</v>
      </c>
      <c r="N117" s="104">
        <v>0</v>
      </c>
      <c r="O117" s="104">
        <v>0</v>
      </c>
      <c r="P117" s="104">
        <v>0</v>
      </c>
      <c r="Q117" s="104">
        <v>0</v>
      </c>
      <c r="R117" s="104">
        <v>0</v>
      </c>
      <c r="S117" s="104">
        <v>0</v>
      </c>
      <c r="T117" s="104">
        <v>0</v>
      </c>
      <c r="U117" s="104">
        <v>0</v>
      </c>
      <c r="V117" s="104">
        <v>0</v>
      </c>
      <c r="W117" s="104">
        <v>0</v>
      </c>
      <c r="X117" s="104">
        <v>0</v>
      </c>
      <c r="Y117" s="104">
        <v>0</v>
      </c>
      <c r="Z117" s="104">
        <v>0</v>
      </c>
      <c r="AA117" s="104">
        <v>0</v>
      </c>
      <c r="AB117" s="104">
        <v>0</v>
      </c>
      <c r="AC117" s="104">
        <v>0</v>
      </c>
      <c r="AD117" s="104">
        <v>0</v>
      </c>
      <c r="AE117" s="104">
        <v>0</v>
      </c>
      <c r="AF117" s="104">
        <v>0</v>
      </c>
      <c r="AG117" s="104">
        <v>0</v>
      </c>
      <c r="AH117" s="104">
        <v>0</v>
      </c>
      <c r="AI117" s="104">
        <v>0</v>
      </c>
      <c r="AJ117" s="104">
        <v>0</v>
      </c>
      <c r="AK117" s="104">
        <v>0</v>
      </c>
      <c r="AL117" s="104">
        <v>0</v>
      </c>
      <c r="AM117" s="104">
        <v>0</v>
      </c>
      <c r="AN117" s="104">
        <v>0</v>
      </c>
      <c r="AO117" s="104">
        <v>0</v>
      </c>
      <c r="AP117" s="104">
        <v>0</v>
      </c>
      <c r="AQ117" s="104">
        <v>0</v>
      </c>
      <c r="AR117" s="104">
        <v>0</v>
      </c>
      <c r="AS117" s="104">
        <v>0</v>
      </c>
      <c r="AT117" s="104">
        <v>0</v>
      </c>
      <c r="AU117" s="104">
        <v>0</v>
      </c>
      <c r="AV117" s="104">
        <v>0</v>
      </c>
      <c r="AW117" s="104">
        <v>0</v>
      </c>
      <c r="AX117" s="104">
        <v>0</v>
      </c>
      <c r="AY117" s="104">
        <v>0</v>
      </c>
    </row>
    <row r="118" spans="1:52">
      <c r="A118" s="107"/>
      <c r="B118" s="127">
        <v>10</v>
      </c>
      <c r="C118" s="104">
        <v>0</v>
      </c>
      <c r="D118" s="104">
        <v>0</v>
      </c>
      <c r="E118" s="104">
        <v>0</v>
      </c>
      <c r="F118" s="104">
        <v>0</v>
      </c>
      <c r="G118" s="104">
        <v>0</v>
      </c>
      <c r="H118" s="104">
        <v>0</v>
      </c>
      <c r="I118" s="104">
        <v>0</v>
      </c>
      <c r="J118" s="104">
        <v>0</v>
      </c>
      <c r="K118" s="104">
        <v>0</v>
      </c>
      <c r="L118" s="104">
        <v>0</v>
      </c>
      <c r="M118" s="104">
        <v>0</v>
      </c>
      <c r="N118" s="104">
        <v>0</v>
      </c>
      <c r="O118" s="104">
        <v>0</v>
      </c>
      <c r="P118" s="104">
        <v>0</v>
      </c>
      <c r="Q118" s="104">
        <v>0</v>
      </c>
      <c r="R118" s="104">
        <v>0</v>
      </c>
      <c r="S118" s="104">
        <v>0</v>
      </c>
      <c r="T118" s="104">
        <v>0</v>
      </c>
      <c r="U118" s="104">
        <v>0</v>
      </c>
      <c r="V118" s="104">
        <v>0</v>
      </c>
      <c r="W118" s="104">
        <v>0</v>
      </c>
      <c r="X118" s="104">
        <v>0</v>
      </c>
      <c r="Y118" s="104">
        <v>0</v>
      </c>
      <c r="Z118" s="104">
        <v>0</v>
      </c>
      <c r="AA118" s="104">
        <v>0</v>
      </c>
      <c r="AB118" s="104">
        <v>0</v>
      </c>
      <c r="AC118" s="104">
        <v>0</v>
      </c>
      <c r="AD118" s="104">
        <v>0</v>
      </c>
      <c r="AE118" s="104">
        <v>0</v>
      </c>
      <c r="AF118" s="104">
        <v>0</v>
      </c>
      <c r="AG118" s="104">
        <v>0</v>
      </c>
      <c r="AH118" s="104">
        <v>0</v>
      </c>
      <c r="AI118" s="104">
        <v>0</v>
      </c>
      <c r="AJ118" s="104">
        <v>0</v>
      </c>
      <c r="AK118" s="104">
        <v>0</v>
      </c>
      <c r="AL118" s="104">
        <v>0</v>
      </c>
      <c r="AM118" s="104">
        <v>0</v>
      </c>
      <c r="AN118" s="104">
        <v>0</v>
      </c>
      <c r="AO118" s="104">
        <v>0</v>
      </c>
      <c r="AP118" s="104">
        <v>0</v>
      </c>
      <c r="AQ118" s="104">
        <v>0</v>
      </c>
      <c r="AR118" s="104">
        <v>0</v>
      </c>
      <c r="AS118" s="104">
        <v>0</v>
      </c>
      <c r="AT118" s="104">
        <v>0</v>
      </c>
      <c r="AU118" s="104">
        <v>0</v>
      </c>
      <c r="AV118" s="104">
        <v>0</v>
      </c>
      <c r="AW118" s="104">
        <v>0</v>
      </c>
      <c r="AX118" s="104">
        <v>0</v>
      </c>
      <c r="AY118" s="104">
        <v>0</v>
      </c>
    </row>
    <row r="119" spans="1:52">
      <c r="A119" s="107"/>
      <c r="B119" s="127">
        <v>11</v>
      </c>
      <c r="C119" s="104">
        <v>0</v>
      </c>
      <c r="D119" s="104">
        <v>0</v>
      </c>
      <c r="E119" s="104">
        <v>0</v>
      </c>
      <c r="F119" s="104">
        <v>0</v>
      </c>
      <c r="G119" s="104">
        <v>0</v>
      </c>
      <c r="H119" s="104">
        <v>0</v>
      </c>
      <c r="I119" s="104">
        <v>0</v>
      </c>
      <c r="J119" s="104">
        <v>0</v>
      </c>
      <c r="K119" s="104">
        <v>0</v>
      </c>
      <c r="L119" s="104">
        <v>0</v>
      </c>
      <c r="M119" s="104">
        <v>0</v>
      </c>
      <c r="N119" s="104">
        <v>0</v>
      </c>
      <c r="O119" s="104">
        <v>0</v>
      </c>
      <c r="P119" s="104">
        <v>0</v>
      </c>
      <c r="Q119" s="104">
        <v>0</v>
      </c>
      <c r="R119" s="104">
        <v>0</v>
      </c>
      <c r="S119" s="104">
        <v>0</v>
      </c>
      <c r="T119" s="104">
        <v>0</v>
      </c>
      <c r="U119" s="104">
        <v>0</v>
      </c>
      <c r="V119" s="104">
        <v>0</v>
      </c>
      <c r="W119" s="104">
        <v>0</v>
      </c>
      <c r="X119" s="104">
        <v>0</v>
      </c>
      <c r="Y119" s="104">
        <v>0</v>
      </c>
      <c r="Z119" s="104">
        <v>0</v>
      </c>
      <c r="AA119" s="104">
        <v>0</v>
      </c>
      <c r="AB119" s="104">
        <v>0</v>
      </c>
      <c r="AC119" s="104">
        <v>0</v>
      </c>
      <c r="AD119" s="104">
        <v>0</v>
      </c>
      <c r="AE119" s="104">
        <v>0</v>
      </c>
      <c r="AF119" s="104">
        <v>0</v>
      </c>
      <c r="AG119" s="104">
        <v>0</v>
      </c>
      <c r="AH119" s="104">
        <v>0</v>
      </c>
      <c r="AI119" s="104">
        <v>0</v>
      </c>
      <c r="AJ119" s="104">
        <v>0</v>
      </c>
      <c r="AK119" s="104">
        <v>0</v>
      </c>
      <c r="AL119" s="104">
        <v>0</v>
      </c>
      <c r="AM119" s="104">
        <v>0</v>
      </c>
      <c r="AN119" s="104">
        <v>0</v>
      </c>
      <c r="AO119" s="104">
        <v>0</v>
      </c>
      <c r="AP119" s="104">
        <v>0</v>
      </c>
      <c r="AQ119" s="104">
        <v>0</v>
      </c>
      <c r="AR119" s="104">
        <v>0</v>
      </c>
      <c r="AS119" s="104">
        <v>0</v>
      </c>
      <c r="AT119" s="104">
        <v>0</v>
      </c>
      <c r="AU119" s="104">
        <v>0</v>
      </c>
      <c r="AV119" s="104">
        <v>0</v>
      </c>
      <c r="AW119" s="104">
        <v>0</v>
      </c>
      <c r="AX119" s="104">
        <v>0</v>
      </c>
      <c r="AY119" s="104">
        <v>0</v>
      </c>
    </row>
    <row r="120" spans="1:52">
      <c r="A120" s="107"/>
      <c r="B120" s="127">
        <v>12</v>
      </c>
      <c r="C120" s="104">
        <v>0</v>
      </c>
      <c r="D120" s="104">
        <v>0</v>
      </c>
      <c r="E120" s="104">
        <v>0</v>
      </c>
      <c r="F120" s="104">
        <v>0</v>
      </c>
      <c r="G120" s="104">
        <v>0</v>
      </c>
      <c r="H120" s="104">
        <v>0</v>
      </c>
      <c r="I120" s="104">
        <v>0</v>
      </c>
      <c r="J120" s="104">
        <v>0</v>
      </c>
      <c r="K120" s="104">
        <v>0</v>
      </c>
      <c r="L120" s="104">
        <v>0</v>
      </c>
      <c r="M120" s="104">
        <v>0</v>
      </c>
      <c r="N120" s="104">
        <v>0</v>
      </c>
      <c r="O120" s="104">
        <v>0</v>
      </c>
      <c r="P120" s="104">
        <v>0</v>
      </c>
      <c r="Q120" s="104">
        <v>0</v>
      </c>
      <c r="R120" s="104">
        <v>0</v>
      </c>
      <c r="S120" s="104">
        <v>0</v>
      </c>
      <c r="T120" s="104">
        <v>0</v>
      </c>
      <c r="U120" s="104">
        <v>0</v>
      </c>
      <c r="V120" s="104">
        <v>0</v>
      </c>
      <c r="W120" s="104">
        <v>0</v>
      </c>
      <c r="X120" s="104">
        <v>0</v>
      </c>
      <c r="Y120" s="104">
        <v>0</v>
      </c>
      <c r="Z120" s="104">
        <v>0</v>
      </c>
      <c r="AA120" s="104">
        <v>0</v>
      </c>
      <c r="AB120" s="104">
        <v>0</v>
      </c>
      <c r="AC120" s="104">
        <v>0</v>
      </c>
      <c r="AD120" s="104">
        <v>0</v>
      </c>
      <c r="AE120" s="104">
        <v>0</v>
      </c>
      <c r="AF120" s="104">
        <v>0</v>
      </c>
      <c r="AG120" s="104">
        <v>0</v>
      </c>
      <c r="AH120" s="104">
        <v>0</v>
      </c>
      <c r="AI120" s="104">
        <v>0</v>
      </c>
      <c r="AJ120" s="104">
        <v>0</v>
      </c>
      <c r="AK120" s="104">
        <v>0</v>
      </c>
      <c r="AL120" s="104">
        <v>0</v>
      </c>
      <c r="AM120" s="104">
        <v>0</v>
      </c>
      <c r="AN120" s="104">
        <v>0</v>
      </c>
      <c r="AO120" s="104">
        <v>0</v>
      </c>
      <c r="AP120" s="104">
        <v>0</v>
      </c>
      <c r="AQ120" s="104">
        <v>0</v>
      </c>
      <c r="AR120" s="104">
        <v>0</v>
      </c>
      <c r="AS120" s="104">
        <v>0</v>
      </c>
      <c r="AT120" s="104">
        <v>0</v>
      </c>
      <c r="AU120" s="104">
        <v>0</v>
      </c>
      <c r="AV120" s="104">
        <v>0</v>
      </c>
      <c r="AW120" s="104">
        <v>0</v>
      </c>
      <c r="AX120" s="104">
        <v>0</v>
      </c>
      <c r="AY120" s="104">
        <v>0</v>
      </c>
    </row>
    <row r="121" spans="1:52">
      <c r="A121" s="125"/>
      <c r="B121" s="129" t="s">
        <v>296</v>
      </c>
      <c r="C121" s="111">
        <v>0</v>
      </c>
      <c r="D121" s="122">
        <v>0</v>
      </c>
      <c r="E121" s="122">
        <v>0</v>
      </c>
      <c r="F121" s="122">
        <v>0</v>
      </c>
      <c r="G121" s="122">
        <v>0</v>
      </c>
      <c r="H121" s="122">
        <v>0</v>
      </c>
      <c r="I121" s="122">
        <v>0</v>
      </c>
      <c r="J121" s="122">
        <v>0</v>
      </c>
      <c r="K121" s="122">
        <v>0</v>
      </c>
      <c r="L121" s="122">
        <v>0</v>
      </c>
      <c r="M121" s="122">
        <v>0</v>
      </c>
      <c r="N121" s="122">
        <v>0</v>
      </c>
      <c r="O121" s="122">
        <v>0</v>
      </c>
      <c r="P121" s="122">
        <v>0</v>
      </c>
      <c r="Q121" s="122">
        <v>0</v>
      </c>
      <c r="R121" s="122">
        <v>0</v>
      </c>
      <c r="S121" s="122">
        <v>0</v>
      </c>
      <c r="T121" s="122">
        <v>0</v>
      </c>
      <c r="U121" s="122">
        <v>0</v>
      </c>
      <c r="V121" s="122">
        <v>0</v>
      </c>
      <c r="W121" s="122">
        <v>0</v>
      </c>
      <c r="X121" s="122">
        <v>0</v>
      </c>
      <c r="Y121" s="122">
        <v>0</v>
      </c>
      <c r="Z121" s="122">
        <v>0</v>
      </c>
      <c r="AA121" s="122">
        <v>0</v>
      </c>
      <c r="AB121" s="122">
        <v>0</v>
      </c>
      <c r="AC121" s="122">
        <v>0</v>
      </c>
      <c r="AD121" s="122">
        <v>0</v>
      </c>
      <c r="AE121" s="122">
        <v>0</v>
      </c>
      <c r="AF121" s="122">
        <v>0</v>
      </c>
      <c r="AG121" s="122">
        <v>0</v>
      </c>
      <c r="AH121" s="122">
        <v>0</v>
      </c>
      <c r="AI121" s="122">
        <v>0</v>
      </c>
      <c r="AJ121" s="122">
        <v>0</v>
      </c>
      <c r="AK121" s="122">
        <v>0</v>
      </c>
      <c r="AL121" s="122">
        <v>0</v>
      </c>
      <c r="AM121" s="122">
        <v>0</v>
      </c>
      <c r="AN121" s="122">
        <v>0</v>
      </c>
      <c r="AO121" s="122">
        <v>0</v>
      </c>
      <c r="AP121" s="122">
        <v>0</v>
      </c>
      <c r="AQ121" s="122">
        <v>0</v>
      </c>
      <c r="AR121" s="122">
        <v>0</v>
      </c>
      <c r="AS121" s="122">
        <v>0</v>
      </c>
      <c r="AT121" s="122">
        <v>0</v>
      </c>
      <c r="AU121" s="122">
        <v>0</v>
      </c>
      <c r="AV121" s="122">
        <v>0</v>
      </c>
      <c r="AW121" s="122">
        <v>0</v>
      </c>
      <c r="AX121" s="122">
        <v>0</v>
      </c>
      <c r="AY121" s="122">
        <v>0</v>
      </c>
      <c r="AZ121" s="105">
        <f>SUM($D121:$AY121)</f>
        <v>0</v>
      </c>
    </row>
    <row r="122" spans="1:52">
      <c r="A122" s="128" t="s">
        <v>123</v>
      </c>
      <c r="B122" s="116">
        <v>1</v>
      </c>
      <c r="C122" s="104">
        <v>193.38738395399244</v>
      </c>
      <c r="D122" s="104">
        <v>194.7500655093024</v>
      </c>
      <c r="E122" s="104">
        <v>163.88228569912582</v>
      </c>
      <c r="F122" s="104">
        <v>189.0664856972999</v>
      </c>
      <c r="G122" s="104">
        <v>163.88228569912582</v>
      </c>
      <c r="H122" s="104">
        <v>189.0664856972999</v>
      </c>
      <c r="I122" s="104">
        <v>163.88228569912582</v>
      </c>
      <c r="J122" s="104">
        <v>214.25068569547398</v>
      </c>
      <c r="K122" s="104">
        <v>163.88228569912582</v>
      </c>
      <c r="L122" s="104">
        <v>62.139639253890635</v>
      </c>
      <c r="M122" s="104">
        <v>189.0664856972999</v>
      </c>
      <c r="N122" s="104">
        <v>36.955439255716563</v>
      </c>
      <c r="O122" s="104">
        <v>163.88228569912582</v>
      </c>
      <c r="P122" s="104">
        <v>36.955439255716563</v>
      </c>
      <c r="Q122" s="104">
        <v>189.0664856972999</v>
      </c>
      <c r="R122" s="104">
        <v>163.88228569912582</v>
      </c>
      <c r="S122" s="104">
        <v>163.88228569912582</v>
      </c>
      <c r="T122" s="104">
        <v>189.0664856972999</v>
      </c>
      <c r="U122" s="104">
        <v>163.88228569912582</v>
      </c>
      <c r="V122" s="104">
        <v>163.88228569912582</v>
      </c>
      <c r="W122" s="104">
        <v>163.88228569912582</v>
      </c>
      <c r="X122" s="104">
        <v>184.42348514924066</v>
      </c>
      <c r="Y122" s="104">
        <v>163.88228569912582</v>
      </c>
      <c r="Z122" s="104">
        <v>163.68111640861807</v>
      </c>
      <c r="AA122" s="104">
        <v>36.955439255716563</v>
      </c>
      <c r="AB122" s="104">
        <v>189.0664856972999</v>
      </c>
      <c r="AC122" s="104">
        <v>138.49691641044399</v>
      </c>
      <c r="AD122" s="104">
        <v>163.88228569912582</v>
      </c>
      <c r="AE122" s="104">
        <v>193.7094862453591</v>
      </c>
      <c r="AF122" s="104">
        <v>193.7094862453591</v>
      </c>
      <c r="AG122" s="104">
        <v>36.955439255716563</v>
      </c>
      <c r="AH122" s="104">
        <v>163.88228569912582</v>
      </c>
      <c r="AI122" s="104">
        <v>163.88228569912582</v>
      </c>
      <c r="AJ122" s="104">
        <v>163.88228569912582</v>
      </c>
      <c r="AK122" s="104">
        <v>193.7094862453591</v>
      </c>
      <c r="AL122" s="104">
        <v>189.0664856972999</v>
      </c>
      <c r="AM122" s="104">
        <v>163.88228569912582</v>
      </c>
      <c r="AN122" s="104">
        <v>163.88228569912582</v>
      </c>
      <c r="AO122" s="104">
        <v>36.955439255716563</v>
      </c>
      <c r="AP122" s="104">
        <v>189.0664856972999</v>
      </c>
      <c r="AQ122" s="104">
        <v>163.88228569912582</v>
      </c>
      <c r="AR122" s="104">
        <v>62.139639253890635</v>
      </c>
      <c r="AS122" s="104">
        <v>189.0664856972999</v>
      </c>
      <c r="AT122" s="104">
        <v>36.955439255716563</v>
      </c>
      <c r="AU122" s="104">
        <v>184.42348514924066</v>
      </c>
      <c r="AV122" s="104">
        <v>163.88228569912582</v>
      </c>
      <c r="AW122" s="104">
        <v>184.42348514924066</v>
      </c>
      <c r="AX122" s="104">
        <v>66.782639801949855</v>
      </c>
      <c r="AY122" s="104">
        <v>118.00381349316885</v>
      </c>
    </row>
    <row r="123" spans="1:52">
      <c r="A123" s="107"/>
      <c r="B123" s="116">
        <v>2</v>
      </c>
      <c r="C123" s="104">
        <v>33.729666676707097</v>
      </c>
      <c r="D123" s="104">
        <v>18.321538824137377</v>
      </c>
      <c r="E123" s="104">
        <v>107.39260811956218</v>
      </c>
      <c r="F123" s="104">
        <v>75.03665221781695</v>
      </c>
      <c r="G123" s="104">
        <v>49.682063833815675</v>
      </c>
      <c r="H123" s="104">
        <v>25.184199998174066</v>
      </c>
      <c r="I123" s="104">
        <v>0</v>
      </c>
      <c r="J123" s="104">
        <v>7.3275704590598281</v>
      </c>
      <c r="K123" s="104">
        <v>2.8421709430404007E-14</v>
      </c>
      <c r="L123" s="104">
        <v>0</v>
      </c>
      <c r="M123" s="104">
        <v>126.92684644340923</v>
      </c>
      <c r="N123" s="104">
        <v>49.698475613719182</v>
      </c>
      <c r="O123" s="104">
        <v>152.11104644158331</v>
      </c>
      <c r="P123" s="104">
        <v>75.633071910687292</v>
      </c>
      <c r="Q123" s="104">
        <v>126.92684644340925</v>
      </c>
      <c r="R123" s="104">
        <v>91.448871912513226</v>
      </c>
      <c r="S123" s="104">
        <v>88.913708073963676</v>
      </c>
      <c r="T123" s="104">
        <v>77.944110557396726</v>
      </c>
      <c r="U123" s="104">
        <v>23.461989163613097</v>
      </c>
      <c r="V123" s="104">
        <v>2.690833461405461</v>
      </c>
      <c r="W123" s="104">
        <v>45.72539944828894</v>
      </c>
      <c r="X123" s="104">
        <v>0</v>
      </c>
      <c r="Y123" s="104">
        <v>0</v>
      </c>
      <c r="Z123" s="104">
        <v>20.541199450114874</v>
      </c>
      <c r="AA123" s="104">
        <v>0</v>
      </c>
      <c r="AB123" s="104">
        <v>25.184199998174076</v>
      </c>
      <c r="AC123" s="104">
        <v>0</v>
      </c>
      <c r="AD123" s="104">
        <v>25.18419999817408</v>
      </c>
      <c r="AE123" s="104">
        <v>51.936903543462279</v>
      </c>
      <c r="AF123" s="104">
        <v>0</v>
      </c>
      <c r="AG123" s="104">
        <v>0</v>
      </c>
      <c r="AH123" s="104">
        <v>126.92684644340925</v>
      </c>
      <c r="AI123" s="104">
        <v>83.685684770882219</v>
      </c>
      <c r="AJ123" s="104">
        <v>57.386552399163094</v>
      </c>
      <c r="AK123" s="104">
        <v>50.286410490720897</v>
      </c>
      <c r="AL123" s="104">
        <v>13.372553702679582</v>
      </c>
      <c r="AM123" s="104">
        <v>0</v>
      </c>
      <c r="AN123" s="104">
        <v>25.184199998174066</v>
      </c>
      <c r="AO123" s="104">
        <v>25.18419999817408</v>
      </c>
      <c r="AP123" s="104">
        <v>0</v>
      </c>
      <c r="AQ123" s="104">
        <v>0</v>
      </c>
      <c r="AR123" s="104">
        <v>56.662119882005967</v>
      </c>
      <c r="AS123" s="104">
        <v>0</v>
      </c>
      <c r="AT123" s="104">
        <v>0</v>
      </c>
      <c r="AU123" s="104">
        <v>147.46804589352411</v>
      </c>
      <c r="AV123" s="104">
        <v>89.712311151908779</v>
      </c>
      <c r="AW123" s="104">
        <v>1.4210854715202004E-14</v>
      </c>
      <c r="AX123" s="104">
        <v>1.4210854715202004E-14</v>
      </c>
      <c r="AY123" s="104">
        <v>126.92684644340923</v>
      </c>
    </row>
    <row r="124" spans="1:52">
      <c r="A124" s="107"/>
      <c r="B124" s="116">
        <v>3</v>
      </c>
      <c r="C124" s="104">
        <v>0</v>
      </c>
      <c r="D124" s="104">
        <v>124.06495957687872</v>
      </c>
      <c r="E124" s="104">
        <v>0</v>
      </c>
      <c r="F124" s="104">
        <v>0</v>
      </c>
      <c r="G124" s="104">
        <v>0</v>
      </c>
      <c r="H124" s="104">
        <v>0</v>
      </c>
      <c r="I124" s="104">
        <v>0</v>
      </c>
      <c r="J124" s="104">
        <v>0</v>
      </c>
      <c r="K124" s="104">
        <v>0</v>
      </c>
      <c r="L124" s="104">
        <v>0</v>
      </c>
      <c r="M124" s="104">
        <v>25.184199998174073</v>
      </c>
      <c r="N124" s="104">
        <v>0</v>
      </c>
      <c r="O124" s="104">
        <v>0</v>
      </c>
      <c r="P124" s="104">
        <v>0</v>
      </c>
      <c r="Q124" s="104">
        <v>0</v>
      </c>
      <c r="R124" s="104">
        <v>25.184199998174066</v>
      </c>
      <c r="S124" s="104">
        <v>0</v>
      </c>
      <c r="T124" s="104">
        <v>0</v>
      </c>
      <c r="U124" s="104">
        <v>0</v>
      </c>
      <c r="V124" s="104">
        <v>0</v>
      </c>
      <c r="W124" s="104">
        <v>0</v>
      </c>
      <c r="X124" s="104">
        <v>0</v>
      </c>
      <c r="Y124" s="104">
        <v>20.541199450114856</v>
      </c>
      <c r="Z124" s="104">
        <v>0</v>
      </c>
      <c r="AA124" s="104">
        <v>0</v>
      </c>
      <c r="AB124" s="104">
        <v>0</v>
      </c>
      <c r="AC124" s="104">
        <v>0</v>
      </c>
      <c r="AD124" s="104">
        <v>0</v>
      </c>
      <c r="AE124" s="104">
        <v>0</v>
      </c>
      <c r="AF124" s="104">
        <v>0</v>
      </c>
      <c r="AG124" s="104">
        <v>0</v>
      </c>
      <c r="AH124" s="104">
        <v>0</v>
      </c>
      <c r="AI124" s="104">
        <v>0</v>
      </c>
      <c r="AJ124" s="104">
        <v>0</v>
      </c>
      <c r="AK124" s="104">
        <v>0</v>
      </c>
      <c r="AL124" s="104">
        <v>0</v>
      </c>
      <c r="AM124" s="104">
        <v>0</v>
      </c>
      <c r="AN124" s="104">
        <v>0</v>
      </c>
      <c r="AO124" s="104">
        <v>0</v>
      </c>
      <c r="AP124" s="104">
        <v>0</v>
      </c>
      <c r="AQ124" s="104">
        <v>152.11104644158331</v>
      </c>
      <c r="AR124" s="104">
        <v>0</v>
      </c>
      <c r="AS124" s="104">
        <v>0</v>
      </c>
      <c r="AT124" s="104">
        <v>0</v>
      </c>
      <c r="AU124" s="104">
        <v>0</v>
      </c>
      <c r="AV124" s="104">
        <v>0</v>
      </c>
      <c r="AW124" s="104">
        <v>0</v>
      </c>
      <c r="AX124" s="104">
        <v>20.541199450114856</v>
      </c>
      <c r="AY124" s="104">
        <v>0</v>
      </c>
    </row>
    <row r="125" spans="1:52">
      <c r="A125" s="107"/>
      <c r="B125" s="116">
        <v>4</v>
      </c>
      <c r="C125" s="104">
        <v>0</v>
      </c>
      <c r="D125" s="104">
        <v>0</v>
      </c>
      <c r="E125" s="104">
        <v>0</v>
      </c>
      <c r="F125" s="104">
        <v>0</v>
      </c>
      <c r="G125" s="104">
        <v>0</v>
      </c>
      <c r="H125" s="104">
        <v>0</v>
      </c>
      <c r="I125" s="104">
        <v>0</v>
      </c>
      <c r="J125" s="104">
        <v>0</v>
      </c>
      <c r="K125" s="104">
        <v>0</v>
      </c>
      <c r="L125" s="104">
        <v>0</v>
      </c>
      <c r="M125" s="104">
        <v>0</v>
      </c>
      <c r="N125" s="104">
        <v>0</v>
      </c>
      <c r="O125" s="104">
        <v>0</v>
      </c>
      <c r="P125" s="104">
        <v>0</v>
      </c>
      <c r="Q125" s="104">
        <v>0</v>
      </c>
      <c r="R125" s="104">
        <v>0</v>
      </c>
      <c r="S125" s="104">
        <v>0</v>
      </c>
      <c r="T125" s="104">
        <v>0</v>
      </c>
      <c r="U125" s="104">
        <v>0</v>
      </c>
      <c r="V125" s="104">
        <v>0</v>
      </c>
      <c r="W125" s="104">
        <v>0</v>
      </c>
      <c r="X125" s="104">
        <v>0</v>
      </c>
      <c r="Y125" s="104">
        <v>0</v>
      </c>
      <c r="Z125" s="104">
        <v>0</v>
      </c>
      <c r="AA125" s="104">
        <v>0</v>
      </c>
      <c r="AB125" s="104">
        <v>0</v>
      </c>
      <c r="AC125" s="104">
        <v>0</v>
      </c>
      <c r="AD125" s="104">
        <v>0</v>
      </c>
      <c r="AE125" s="104">
        <v>0</v>
      </c>
      <c r="AF125" s="104">
        <v>0</v>
      </c>
      <c r="AG125" s="104">
        <v>0</v>
      </c>
      <c r="AH125" s="104">
        <v>0</v>
      </c>
      <c r="AI125" s="104">
        <v>0</v>
      </c>
      <c r="AJ125" s="104">
        <v>0</v>
      </c>
      <c r="AK125" s="104">
        <v>0</v>
      </c>
      <c r="AL125" s="104">
        <v>0</v>
      </c>
      <c r="AM125" s="104">
        <v>0</v>
      </c>
      <c r="AN125" s="104">
        <v>0</v>
      </c>
      <c r="AO125" s="104">
        <v>0</v>
      </c>
      <c r="AP125" s="104">
        <v>0</v>
      </c>
      <c r="AQ125" s="104">
        <v>0</v>
      </c>
      <c r="AR125" s="104">
        <v>0</v>
      </c>
      <c r="AS125" s="104">
        <v>0</v>
      </c>
      <c r="AT125" s="104">
        <v>0</v>
      </c>
      <c r="AU125" s="104">
        <v>0</v>
      </c>
      <c r="AV125" s="104">
        <v>0</v>
      </c>
      <c r="AW125" s="104">
        <v>0</v>
      </c>
      <c r="AX125" s="104">
        <v>0</v>
      </c>
      <c r="AY125" s="104">
        <v>0</v>
      </c>
    </row>
    <row r="126" spans="1:52">
      <c r="A126" s="107"/>
      <c r="B126" s="116">
        <v>5</v>
      </c>
      <c r="C126" s="104">
        <v>0</v>
      </c>
      <c r="D126" s="104">
        <v>0</v>
      </c>
      <c r="E126" s="104">
        <v>0</v>
      </c>
      <c r="F126" s="104">
        <v>0</v>
      </c>
      <c r="G126" s="104">
        <v>0</v>
      </c>
      <c r="H126" s="104">
        <v>0</v>
      </c>
      <c r="I126" s="104">
        <v>0</v>
      </c>
      <c r="J126" s="104">
        <v>0</v>
      </c>
      <c r="K126" s="104">
        <v>0</v>
      </c>
      <c r="L126" s="104">
        <v>0</v>
      </c>
      <c r="M126" s="104">
        <v>0</v>
      </c>
      <c r="N126" s="104">
        <v>0</v>
      </c>
      <c r="O126" s="104">
        <v>0</v>
      </c>
      <c r="P126" s="104">
        <v>0</v>
      </c>
      <c r="Q126" s="104">
        <v>0</v>
      </c>
      <c r="R126" s="104">
        <v>0</v>
      </c>
      <c r="S126" s="104">
        <v>0</v>
      </c>
      <c r="T126" s="104">
        <v>0</v>
      </c>
      <c r="U126" s="104">
        <v>0</v>
      </c>
      <c r="V126" s="104">
        <v>0</v>
      </c>
      <c r="W126" s="104">
        <v>0</v>
      </c>
      <c r="X126" s="104">
        <v>0</v>
      </c>
      <c r="Y126" s="104">
        <v>0</v>
      </c>
      <c r="Z126" s="104">
        <v>0</v>
      </c>
      <c r="AA126" s="104">
        <v>0</v>
      </c>
      <c r="AB126" s="104">
        <v>0</v>
      </c>
      <c r="AC126" s="104">
        <v>0</v>
      </c>
      <c r="AD126" s="104">
        <v>0</v>
      </c>
      <c r="AE126" s="104">
        <v>0</v>
      </c>
      <c r="AF126" s="104">
        <v>0</v>
      </c>
      <c r="AG126" s="104">
        <v>0</v>
      </c>
      <c r="AH126" s="104">
        <v>0</v>
      </c>
      <c r="AI126" s="104">
        <v>0</v>
      </c>
      <c r="AJ126" s="104">
        <v>0</v>
      </c>
      <c r="AK126" s="104">
        <v>0</v>
      </c>
      <c r="AL126" s="104">
        <v>0</v>
      </c>
      <c r="AM126" s="104">
        <v>0</v>
      </c>
      <c r="AN126" s="104">
        <v>0</v>
      </c>
      <c r="AO126" s="104">
        <v>0</v>
      </c>
      <c r="AP126" s="104">
        <v>0</v>
      </c>
      <c r="AQ126" s="104">
        <v>0</v>
      </c>
      <c r="AR126" s="104">
        <v>0</v>
      </c>
      <c r="AS126" s="104">
        <v>0</v>
      </c>
      <c r="AT126" s="104">
        <v>0</v>
      </c>
      <c r="AU126" s="104">
        <v>0</v>
      </c>
      <c r="AV126" s="104">
        <v>0</v>
      </c>
      <c r="AW126" s="104">
        <v>0</v>
      </c>
      <c r="AX126" s="104">
        <v>0</v>
      </c>
      <c r="AY126" s="104">
        <v>0</v>
      </c>
    </row>
    <row r="127" spans="1:52">
      <c r="A127" s="107"/>
      <c r="B127" s="116">
        <v>6</v>
      </c>
      <c r="C127" s="104">
        <v>0</v>
      </c>
      <c r="D127" s="104">
        <v>0</v>
      </c>
      <c r="E127" s="104">
        <v>0</v>
      </c>
      <c r="F127" s="104">
        <v>0</v>
      </c>
      <c r="G127" s="104">
        <v>0</v>
      </c>
      <c r="H127" s="104">
        <v>0</v>
      </c>
      <c r="I127" s="104">
        <v>0</v>
      </c>
      <c r="J127" s="104">
        <v>0</v>
      </c>
      <c r="K127" s="104">
        <v>0</v>
      </c>
      <c r="L127" s="104">
        <v>0</v>
      </c>
      <c r="M127" s="104">
        <v>0</v>
      </c>
      <c r="N127" s="104">
        <v>0</v>
      </c>
      <c r="O127" s="104">
        <v>0</v>
      </c>
      <c r="P127" s="104">
        <v>0</v>
      </c>
      <c r="Q127" s="104">
        <v>0</v>
      </c>
      <c r="R127" s="104">
        <v>0</v>
      </c>
      <c r="S127" s="104">
        <v>0</v>
      </c>
      <c r="T127" s="104">
        <v>0</v>
      </c>
      <c r="U127" s="104">
        <v>0</v>
      </c>
      <c r="V127" s="104">
        <v>0</v>
      </c>
      <c r="W127" s="104">
        <v>0</v>
      </c>
      <c r="X127" s="104">
        <v>0</v>
      </c>
      <c r="Y127" s="104">
        <v>0</v>
      </c>
      <c r="Z127" s="104">
        <v>0</v>
      </c>
      <c r="AA127" s="104">
        <v>0</v>
      </c>
      <c r="AB127" s="104">
        <v>0</v>
      </c>
      <c r="AC127" s="104">
        <v>0</v>
      </c>
      <c r="AD127" s="104">
        <v>0</v>
      </c>
      <c r="AE127" s="104">
        <v>0</v>
      </c>
      <c r="AF127" s="104">
        <v>0</v>
      </c>
      <c r="AG127" s="104">
        <v>0</v>
      </c>
      <c r="AH127" s="104">
        <v>0</v>
      </c>
      <c r="AI127" s="104">
        <v>0</v>
      </c>
      <c r="AJ127" s="104">
        <v>0</v>
      </c>
      <c r="AK127" s="104">
        <v>0</v>
      </c>
      <c r="AL127" s="104">
        <v>0</v>
      </c>
      <c r="AM127" s="104">
        <v>0</v>
      </c>
      <c r="AN127" s="104">
        <v>0</v>
      </c>
      <c r="AO127" s="104">
        <v>0</v>
      </c>
      <c r="AP127" s="104">
        <v>0</v>
      </c>
      <c r="AQ127" s="104">
        <v>0</v>
      </c>
      <c r="AR127" s="104">
        <v>0</v>
      </c>
      <c r="AS127" s="104">
        <v>0</v>
      </c>
      <c r="AT127" s="104">
        <v>0</v>
      </c>
      <c r="AU127" s="104">
        <v>0</v>
      </c>
      <c r="AV127" s="104">
        <v>0</v>
      </c>
      <c r="AW127" s="104">
        <v>0</v>
      </c>
      <c r="AX127" s="104">
        <v>0</v>
      </c>
      <c r="AY127" s="104">
        <v>0</v>
      </c>
    </row>
    <row r="128" spans="1:52">
      <c r="A128" s="107"/>
      <c r="B128" s="116">
        <v>7</v>
      </c>
      <c r="C128" s="104">
        <v>0</v>
      </c>
      <c r="D128" s="104">
        <v>0</v>
      </c>
      <c r="E128" s="104">
        <v>0</v>
      </c>
      <c r="F128" s="104">
        <v>0</v>
      </c>
      <c r="G128" s="104">
        <v>0</v>
      </c>
      <c r="H128" s="104">
        <v>0</v>
      </c>
      <c r="I128" s="104">
        <v>0</v>
      </c>
      <c r="J128" s="104">
        <v>0</v>
      </c>
      <c r="K128" s="104">
        <v>0</v>
      </c>
      <c r="L128" s="104">
        <v>0</v>
      </c>
      <c r="M128" s="104">
        <v>0</v>
      </c>
      <c r="N128" s="104">
        <v>0</v>
      </c>
      <c r="O128" s="104">
        <v>0</v>
      </c>
      <c r="P128" s="104">
        <v>0</v>
      </c>
      <c r="Q128" s="104">
        <v>0</v>
      </c>
      <c r="R128" s="104">
        <v>0</v>
      </c>
      <c r="S128" s="104">
        <v>0</v>
      </c>
      <c r="T128" s="104">
        <v>0</v>
      </c>
      <c r="U128" s="104">
        <v>0</v>
      </c>
      <c r="V128" s="104">
        <v>0</v>
      </c>
      <c r="W128" s="104">
        <v>0</v>
      </c>
      <c r="X128" s="104">
        <v>0</v>
      </c>
      <c r="Y128" s="104">
        <v>0</v>
      </c>
      <c r="Z128" s="104">
        <v>0</v>
      </c>
      <c r="AA128" s="104">
        <v>0</v>
      </c>
      <c r="AB128" s="104">
        <v>0</v>
      </c>
      <c r="AC128" s="104">
        <v>0</v>
      </c>
      <c r="AD128" s="104">
        <v>0</v>
      </c>
      <c r="AE128" s="104">
        <v>0</v>
      </c>
      <c r="AF128" s="104">
        <v>0</v>
      </c>
      <c r="AG128" s="104">
        <v>0</v>
      </c>
      <c r="AH128" s="104">
        <v>0</v>
      </c>
      <c r="AI128" s="104">
        <v>0</v>
      </c>
      <c r="AJ128" s="104">
        <v>0</v>
      </c>
      <c r="AK128" s="104">
        <v>0</v>
      </c>
      <c r="AL128" s="104">
        <v>0</v>
      </c>
      <c r="AM128" s="104">
        <v>0</v>
      </c>
      <c r="AN128" s="104">
        <v>0</v>
      </c>
      <c r="AO128" s="104">
        <v>0</v>
      </c>
      <c r="AP128" s="104">
        <v>0</v>
      </c>
      <c r="AQ128" s="104">
        <v>0</v>
      </c>
      <c r="AR128" s="104">
        <v>0</v>
      </c>
      <c r="AS128" s="104">
        <v>0</v>
      </c>
      <c r="AT128" s="104">
        <v>0</v>
      </c>
      <c r="AU128" s="104">
        <v>0</v>
      </c>
      <c r="AV128" s="104">
        <v>0</v>
      </c>
      <c r="AW128" s="104">
        <v>0</v>
      </c>
      <c r="AX128" s="104">
        <v>0</v>
      </c>
      <c r="AY128" s="104">
        <v>0</v>
      </c>
    </row>
    <row r="129" spans="1:51">
      <c r="A129" s="107"/>
      <c r="B129" s="116">
        <v>8</v>
      </c>
      <c r="C129" s="104">
        <v>0</v>
      </c>
      <c r="D129" s="104">
        <v>0</v>
      </c>
      <c r="E129" s="104">
        <v>0</v>
      </c>
      <c r="F129" s="104">
        <v>0</v>
      </c>
      <c r="G129" s="104">
        <v>0</v>
      </c>
      <c r="H129" s="104">
        <v>0</v>
      </c>
      <c r="I129" s="104">
        <v>0</v>
      </c>
      <c r="J129" s="104">
        <v>0</v>
      </c>
      <c r="K129" s="104">
        <v>0</v>
      </c>
      <c r="L129" s="104">
        <v>0</v>
      </c>
      <c r="M129" s="104">
        <v>0</v>
      </c>
      <c r="N129" s="104">
        <v>0</v>
      </c>
      <c r="O129" s="104">
        <v>0</v>
      </c>
      <c r="P129" s="104">
        <v>0</v>
      </c>
      <c r="Q129" s="104">
        <v>0</v>
      </c>
      <c r="R129" s="104">
        <v>0</v>
      </c>
      <c r="S129" s="104">
        <v>0</v>
      </c>
      <c r="T129" s="104">
        <v>0</v>
      </c>
      <c r="U129" s="104">
        <v>0</v>
      </c>
      <c r="V129" s="104">
        <v>0</v>
      </c>
      <c r="W129" s="104">
        <v>0</v>
      </c>
      <c r="X129" s="104">
        <v>0</v>
      </c>
      <c r="Y129" s="104">
        <v>0</v>
      </c>
      <c r="Z129" s="104">
        <v>0</v>
      </c>
      <c r="AA129" s="104">
        <v>0</v>
      </c>
      <c r="AB129" s="104">
        <v>0</v>
      </c>
      <c r="AC129" s="104">
        <v>0</v>
      </c>
      <c r="AD129" s="104">
        <v>0</v>
      </c>
      <c r="AE129" s="104">
        <v>0</v>
      </c>
      <c r="AF129" s="104">
        <v>0</v>
      </c>
      <c r="AG129" s="104">
        <v>0</v>
      </c>
      <c r="AH129" s="104">
        <v>0</v>
      </c>
      <c r="AI129" s="104">
        <v>0</v>
      </c>
      <c r="AJ129" s="104">
        <v>0</v>
      </c>
      <c r="AK129" s="104">
        <v>0</v>
      </c>
      <c r="AL129" s="104">
        <v>0</v>
      </c>
      <c r="AM129" s="104">
        <v>0</v>
      </c>
      <c r="AN129" s="104">
        <v>0</v>
      </c>
      <c r="AO129" s="104">
        <v>0</v>
      </c>
      <c r="AP129" s="104">
        <v>0</v>
      </c>
      <c r="AQ129" s="104">
        <v>0</v>
      </c>
      <c r="AR129" s="104">
        <v>0</v>
      </c>
      <c r="AS129" s="104">
        <v>0</v>
      </c>
      <c r="AT129" s="104">
        <v>0</v>
      </c>
      <c r="AU129" s="104">
        <v>0</v>
      </c>
      <c r="AV129" s="104">
        <v>0</v>
      </c>
      <c r="AW129" s="104">
        <v>0</v>
      </c>
      <c r="AX129" s="104">
        <v>0</v>
      </c>
      <c r="AY129" s="104">
        <v>0</v>
      </c>
    </row>
    <row r="130" spans="1:51">
      <c r="A130" s="107"/>
      <c r="B130" s="116">
        <v>9</v>
      </c>
      <c r="C130" s="104">
        <v>0</v>
      </c>
      <c r="D130" s="104">
        <v>0</v>
      </c>
      <c r="E130" s="104">
        <v>0</v>
      </c>
      <c r="F130" s="104">
        <v>0</v>
      </c>
      <c r="G130" s="104">
        <v>0</v>
      </c>
      <c r="H130" s="104">
        <v>0</v>
      </c>
      <c r="I130" s="104">
        <v>0</v>
      </c>
      <c r="J130" s="104">
        <v>0</v>
      </c>
      <c r="K130" s="104">
        <v>0</v>
      </c>
      <c r="L130" s="104">
        <v>0</v>
      </c>
      <c r="M130" s="104">
        <v>0</v>
      </c>
      <c r="N130" s="104">
        <v>0</v>
      </c>
      <c r="O130" s="104">
        <v>0</v>
      </c>
      <c r="P130" s="104">
        <v>0</v>
      </c>
      <c r="Q130" s="104">
        <v>0</v>
      </c>
      <c r="R130" s="104">
        <v>0</v>
      </c>
      <c r="S130" s="104">
        <v>0</v>
      </c>
      <c r="T130" s="104">
        <v>0</v>
      </c>
      <c r="U130" s="104">
        <v>0</v>
      </c>
      <c r="V130" s="104">
        <v>0</v>
      </c>
      <c r="W130" s="104">
        <v>0</v>
      </c>
      <c r="X130" s="104">
        <v>0</v>
      </c>
      <c r="Y130" s="104">
        <v>0</v>
      </c>
      <c r="Z130" s="104">
        <v>0</v>
      </c>
      <c r="AA130" s="104">
        <v>0</v>
      </c>
      <c r="AB130" s="104">
        <v>0</v>
      </c>
      <c r="AC130" s="104">
        <v>0</v>
      </c>
      <c r="AD130" s="104">
        <v>0</v>
      </c>
      <c r="AE130" s="104">
        <v>0</v>
      </c>
      <c r="AF130" s="104">
        <v>0</v>
      </c>
      <c r="AG130" s="104">
        <v>0</v>
      </c>
      <c r="AH130" s="104">
        <v>0</v>
      </c>
      <c r="AI130" s="104">
        <v>0</v>
      </c>
      <c r="AJ130" s="104">
        <v>0</v>
      </c>
      <c r="AK130" s="104">
        <v>0</v>
      </c>
      <c r="AL130" s="104">
        <v>0</v>
      </c>
      <c r="AM130" s="104">
        <v>0</v>
      </c>
      <c r="AN130" s="104">
        <v>0</v>
      </c>
      <c r="AO130" s="104">
        <v>0</v>
      </c>
      <c r="AP130" s="104">
        <v>0</v>
      </c>
      <c r="AQ130" s="104">
        <v>0</v>
      </c>
      <c r="AR130" s="104">
        <v>0</v>
      </c>
      <c r="AS130" s="104">
        <v>0</v>
      </c>
      <c r="AT130" s="104">
        <v>0</v>
      </c>
      <c r="AU130" s="104">
        <v>0</v>
      </c>
      <c r="AV130" s="104">
        <v>0</v>
      </c>
      <c r="AW130" s="104">
        <v>0</v>
      </c>
      <c r="AX130" s="104">
        <v>0</v>
      </c>
      <c r="AY130" s="104">
        <v>0</v>
      </c>
    </row>
    <row r="131" spans="1:51">
      <c r="A131" s="107"/>
      <c r="B131" s="116">
        <v>10</v>
      </c>
      <c r="C131" s="104">
        <v>0</v>
      </c>
      <c r="D131" s="104">
        <v>0</v>
      </c>
      <c r="E131" s="104">
        <v>0</v>
      </c>
      <c r="F131" s="104">
        <v>0</v>
      </c>
      <c r="G131" s="104">
        <v>0</v>
      </c>
      <c r="H131" s="104">
        <v>0</v>
      </c>
      <c r="I131" s="104">
        <v>0</v>
      </c>
      <c r="J131" s="104">
        <v>0</v>
      </c>
      <c r="K131" s="104">
        <v>0</v>
      </c>
      <c r="L131" s="104">
        <v>0</v>
      </c>
      <c r="M131" s="104">
        <v>0</v>
      </c>
      <c r="N131" s="104">
        <v>0</v>
      </c>
      <c r="O131" s="104">
        <v>0</v>
      </c>
      <c r="P131" s="104">
        <v>0</v>
      </c>
      <c r="Q131" s="104">
        <v>0</v>
      </c>
      <c r="R131" s="104">
        <v>0</v>
      </c>
      <c r="S131" s="104">
        <v>0</v>
      </c>
      <c r="T131" s="104">
        <v>0</v>
      </c>
      <c r="U131" s="104">
        <v>0</v>
      </c>
      <c r="V131" s="104">
        <v>0</v>
      </c>
      <c r="W131" s="104">
        <v>0</v>
      </c>
      <c r="X131" s="104">
        <v>0</v>
      </c>
      <c r="Y131" s="104">
        <v>0</v>
      </c>
      <c r="Z131" s="104">
        <v>0</v>
      </c>
      <c r="AA131" s="104">
        <v>0</v>
      </c>
      <c r="AB131" s="104">
        <v>0</v>
      </c>
      <c r="AC131" s="104">
        <v>0</v>
      </c>
      <c r="AD131" s="104">
        <v>0</v>
      </c>
      <c r="AE131" s="104">
        <v>0</v>
      </c>
      <c r="AF131" s="104">
        <v>0</v>
      </c>
      <c r="AG131" s="104">
        <v>0</v>
      </c>
      <c r="AH131" s="104">
        <v>0</v>
      </c>
      <c r="AI131" s="104">
        <v>0</v>
      </c>
      <c r="AJ131" s="104">
        <v>0</v>
      </c>
      <c r="AK131" s="104">
        <v>0</v>
      </c>
      <c r="AL131" s="104">
        <v>0</v>
      </c>
      <c r="AM131" s="104">
        <v>0</v>
      </c>
      <c r="AN131" s="104">
        <v>0</v>
      </c>
      <c r="AO131" s="104">
        <v>0</v>
      </c>
      <c r="AP131" s="104">
        <v>0</v>
      </c>
      <c r="AQ131" s="104">
        <v>0</v>
      </c>
      <c r="AR131" s="104">
        <v>0</v>
      </c>
      <c r="AS131" s="104">
        <v>0</v>
      </c>
      <c r="AT131" s="104">
        <v>0</v>
      </c>
      <c r="AU131" s="104">
        <v>0</v>
      </c>
      <c r="AV131" s="104">
        <v>0</v>
      </c>
      <c r="AW131" s="104">
        <v>0</v>
      </c>
      <c r="AX131" s="104">
        <v>0</v>
      </c>
      <c r="AY131" s="104">
        <v>0</v>
      </c>
    </row>
    <row r="132" spans="1:51">
      <c r="A132" s="107"/>
      <c r="B132" s="116">
        <v>11</v>
      </c>
      <c r="C132" s="104">
        <v>0</v>
      </c>
      <c r="D132" s="104">
        <v>0</v>
      </c>
      <c r="E132" s="104">
        <v>0</v>
      </c>
      <c r="F132" s="104">
        <v>0</v>
      </c>
      <c r="G132" s="104">
        <v>0</v>
      </c>
      <c r="H132" s="104">
        <v>0</v>
      </c>
      <c r="I132" s="104">
        <v>0</v>
      </c>
      <c r="J132" s="104">
        <v>0</v>
      </c>
      <c r="K132" s="104">
        <v>0</v>
      </c>
      <c r="L132" s="104">
        <v>0</v>
      </c>
      <c r="M132" s="104">
        <v>0</v>
      </c>
      <c r="N132" s="104">
        <v>0</v>
      </c>
      <c r="O132" s="104">
        <v>0</v>
      </c>
      <c r="P132" s="104">
        <v>0</v>
      </c>
      <c r="Q132" s="104">
        <v>0</v>
      </c>
      <c r="R132" s="104">
        <v>0</v>
      </c>
      <c r="S132" s="104">
        <v>0</v>
      </c>
      <c r="T132" s="104">
        <v>0</v>
      </c>
      <c r="U132" s="104">
        <v>0</v>
      </c>
      <c r="V132" s="104">
        <v>0</v>
      </c>
      <c r="W132" s="104">
        <v>0</v>
      </c>
      <c r="X132" s="104">
        <v>0</v>
      </c>
      <c r="Y132" s="104">
        <v>0</v>
      </c>
      <c r="Z132" s="104">
        <v>0</v>
      </c>
      <c r="AA132" s="104">
        <v>0</v>
      </c>
      <c r="AB132" s="104">
        <v>0</v>
      </c>
      <c r="AC132" s="104">
        <v>0</v>
      </c>
      <c r="AD132" s="104">
        <v>0</v>
      </c>
      <c r="AE132" s="104">
        <v>0</v>
      </c>
      <c r="AF132" s="104">
        <v>0</v>
      </c>
      <c r="AG132" s="104">
        <v>0</v>
      </c>
      <c r="AH132" s="104">
        <v>0</v>
      </c>
      <c r="AI132" s="104">
        <v>0</v>
      </c>
      <c r="AJ132" s="104">
        <v>0</v>
      </c>
      <c r="AK132" s="104">
        <v>0</v>
      </c>
      <c r="AL132" s="104">
        <v>0</v>
      </c>
      <c r="AM132" s="104">
        <v>0</v>
      </c>
      <c r="AN132" s="104">
        <v>0</v>
      </c>
      <c r="AO132" s="104">
        <v>0</v>
      </c>
      <c r="AP132" s="104">
        <v>0</v>
      </c>
      <c r="AQ132" s="104">
        <v>0</v>
      </c>
      <c r="AR132" s="104">
        <v>0</v>
      </c>
      <c r="AS132" s="104">
        <v>0</v>
      </c>
      <c r="AT132" s="104">
        <v>0</v>
      </c>
      <c r="AU132" s="104">
        <v>0</v>
      </c>
      <c r="AV132" s="104">
        <v>0</v>
      </c>
      <c r="AW132" s="104">
        <v>0</v>
      </c>
      <c r="AX132" s="104">
        <v>0</v>
      </c>
      <c r="AY132" s="104">
        <v>0</v>
      </c>
    </row>
    <row r="133" spans="1:51">
      <c r="A133" s="107"/>
      <c r="B133" s="116">
        <v>12</v>
      </c>
      <c r="C133" s="104">
        <v>0</v>
      </c>
      <c r="D133" s="104">
        <v>0</v>
      </c>
      <c r="E133" s="104">
        <v>0</v>
      </c>
      <c r="F133" s="104">
        <v>0</v>
      </c>
      <c r="G133" s="104">
        <v>0</v>
      </c>
      <c r="H133" s="104">
        <v>0</v>
      </c>
      <c r="I133" s="104">
        <v>0</v>
      </c>
      <c r="J133" s="104">
        <v>0</v>
      </c>
      <c r="K133" s="104">
        <v>0</v>
      </c>
      <c r="L133" s="104">
        <v>0</v>
      </c>
      <c r="M133" s="104">
        <v>0</v>
      </c>
      <c r="N133" s="104">
        <v>0</v>
      </c>
      <c r="O133" s="104">
        <v>0</v>
      </c>
      <c r="P133" s="104">
        <v>0</v>
      </c>
      <c r="Q133" s="104">
        <v>0</v>
      </c>
      <c r="R133" s="104">
        <v>0</v>
      </c>
      <c r="S133" s="104">
        <v>0</v>
      </c>
      <c r="T133" s="104">
        <v>0</v>
      </c>
      <c r="U133" s="104">
        <v>0</v>
      </c>
      <c r="V133" s="104">
        <v>0</v>
      </c>
      <c r="W133" s="104">
        <v>0</v>
      </c>
      <c r="X133" s="104">
        <v>0</v>
      </c>
      <c r="Y133" s="104">
        <v>0</v>
      </c>
      <c r="Z133" s="104">
        <v>0</v>
      </c>
      <c r="AA133" s="104">
        <v>0</v>
      </c>
      <c r="AB133" s="104">
        <v>0</v>
      </c>
      <c r="AC133" s="104">
        <v>0</v>
      </c>
      <c r="AD133" s="104">
        <v>0</v>
      </c>
      <c r="AE133" s="104">
        <v>0</v>
      </c>
      <c r="AF133" s="104">
        <v>0</v>
      </c>
      <c r="AG133" s="104">
        <v>0</v>
      </c>
      <c r="AH133" s="104">
        <v>0</v>
      </c>
      <c r="AI133" s="104">
        <v>0</v>
      </c>
      <c r="AJ133" s="104">
        <v>0</v>
      </c>
      <c r="AK133" s="104">
        <v>0</v>
      </c>
      <c r="AL133" s="104">
        <v>0</v>
      </c>
      <c r="AM133" s="104">
        <v>0</v>
      </c>
      <c r="AN133" s="104">
        <v>0</v>
      </c>
      <c r="AO133" s="104">
        <v>0</v>
      </c>
      <c r="AP133" s="104">
        <v>0</v>
      </c>
      <c r="AQ133" s="104">
        <v>0</v>
      </c>
      <c r="AR133" s="104">
        <v>0</v>
      </c>
      <c r="AS133" s="104">
        <v>0</v>
      </c>
      <c r="AT133" s="104">
        <v>0</v>
      </c>
      <c r="AU133" s="104">
        <v>0</v>
      </c>
      <c r="AV133" s="104">
        <v>0</v>
      </c>
      <c r="AW133" s="104">
        <v>0</v>
      </c>
      <c r="AX133" s="104">
        <v>0</v>
      </c>
      <c r="AY133" s="104">
        <v>0</v>
      </c>
    </row>
    <row r="134" spans="1:51">
      <c r="A134" s="107"/>
      <c r="B134" s="117">
        <v>13</v>
      </c>
      <c r="C134" s="104">
        <v>0</v>
      </c>
      <c r="D134" s="104">
        <v>0</v>
      </c>
      <c r="E134" s="104">
        <v>0</v>
      </c>
      <c r="F134" s="104">
        <v>0</v>
      </c>
      <c r="G134" s="104">
        <v>0</v>
      </c>
      <c r="H134" s="104">
        <v>0</v>
      </c>
      <c r="I134" s="104">
        <v>0</v>
      </c>
      <c r="J134" s="104">
        <v>0</v>
      </c>
      <c r="K134" s="104">
        <v>0</v>
      </c>
      <c r="L134" s="104">
        <v>0</v>
      </c>
      <c r="M134" s="104">
        <v>0</v>
      </c>
      <c r="N134" s="104">
        <v>0</v>
      </c>
      <c r="O134" s="104">
        <v>0</v>
      </c>
      <c r="P134" s="104">
        <v>0</v>
      </c>
      <c r="Q134" s="104">
        <v>0</v>
      </c>
      <c r="R134" s="104">
        <v>0</v>
      </c>
      <c r="S134" s="104">
        <v>0</v>
      </c>
      <c r="T134" s="104">
        <v>0</v>
      </c>
      <c r="U134" s="104">
        <v>0</v>
      </c>
      <c r="V134" s="104">
        <v>0</v>
      </c>
      <c r="W134" s="104">
        <v>0</v>
      </c>
      <c r="X134" s="104">
        <v>0</v>
      </c>
      <c r="Y134" s="104">
        <v>0</v>
      </c>
      <c r="Z134" s="104">
        <v>0</v>
      </c>
      <c r="AA134" s="104">
        <v>0</v>
      </c>
      <c r="AB134" s="104">
        <v>0</v>
      </c>
      <c r="AC134" s="104">
        <v>0</v>
      </c>
      <c r="AD134" s="104">
        <v>0</v>
      </c>
      <c r="AE134" s="104">
        <v>0</v>
      </c>
      <c r="AF134" s="104">
        <v>0</v>
      </c>
      <c r="AG134" s="104">
        <v>0</v>
      </c>
      <c r="AH134" s="104">
        <v>0</v>
      </c>
      <c r="AI134" s="104">
        <v>0</v>
      </c>
      <c r="AJ134" s="104">
        <v>0</v>
      </c>
      <c r="AK134" s="104">
        <v>0</v>
      </c>
      <c r="AL134" s="104">
        <v>0</v>
      </c>
      <c r="AM134" s="104">
        <v>0</v>
      </c>
      <c r="AN134" s="104">
        <v>0</v>
      </c>
      <c r="AO134" s="104">
        <v>0</v>
      </c>
      <c r="AP134" s="104">
        <v>0</v>
      </c>
      <c r="AQ134" s="104">
        <v>0</v>
      </c>
      <c r="AR134" s="104">
        <v>0</v>
      </c>
      <c r="AS134" s="104">
        <v>0</v>
      </c>
      <c r="AT134" s="104">
        <v>0</v>
      </c>
      <c r="AU134" s="104">
        <v>0</v>
      </c>
      <c r="AV134" s="104">
        <v>0</v>
      </c>
      <c r="AW134" s="104">
        <v>0</v>
      </c>
      <c r="AX134" s="104">
        <v>0</v>
      </c>
      <c r="AY134" s="104">
        <v>0</v>
      </c>
    </row>
    <row r="135" spans="1:51">
      <c r="A135" s="107"/>
      <c r="B135" s="117">
        <v>14</v>
      </c>
      <c r="C135" s="104">
        <v>0</v>
      </c>
      <c r="D135" s="104">
        <v>0</v>
      </c>
      <c r="E135" s="104">
        <v>0</v>
      </c>
      <c r="F135" s="104">
        <v>0</v>
      </c>
      <c r="G135" s="104">
        <v>0</v>
      </c>
      <c r="H135" s="104">
        <v>0</v>
      </c>
      <c r="I135" s="104">
        <v>0</v>
      </c>
      <c r="J135" s="104">
        <v>0</v>
      </c>
      <c r="K135" s="104">
        <v>0</v>
      </c>
      <c r="L135" s="104">
        <v>0</v>
      </c>
      <c r="M135" s="104">
        <v>0</v>
      </c>
      <c r="N135" s="104">
        <v>0</v>
      </c>
      <c r="O135" s="104">
        <v>0</v>
      </c>
      <c r="P135" s="104">
        <v>0</v>
      </c>
      <c r="Q135" s="104">
        <v>0</v>
      </c>
      <c r="R135" s="104">
        <v>0</v>
      </c>
      <c r="S135" s="104">
        <v>0</v>
      </c>
      <c r="T135" s="104">
        <v>0</v>
      </c>
      <c r="U135" s="104">
        <v>0</v>
      </c>
      <c r="V135" s="104">
        <v>0</v>
      </c>
      <c r="W135" s="104">
        <v>0</v>
      </c>
      <c r="X135" s="104">
        <v>0</v>
      </c>
      <c r="Y135" s="104">
        <v>0</v>
      </c>
      <c r="Z135" s="104">
        <v>0</v>
      </c>
      <c r="AA135" s="104">
        <v>0</v>
      </c>
      <c r="AB135" s="104">
        <v>0</v>
      </c>
      <c r="AC135" s="104">
        <v>0</v>
      </c>
      <c r="AD135" s="104">
        <v>0</v>
      </c>
      <c r="AE135" s="104">
        <v>0</v>
      </c>
      <c r="AF135" s="104">
        <v>0</v>
      </c>
      <c r="AG135" s="104">
        <v>0</v>
      </c>
      <c r="AH135" s="104">
        <v>0</v>
      </c>
      <c r="AI135" s="104">
        <v>0</v>
      </c>
      <c r="AJ135" s="104">
        <v>0</v>
      </c>
      <c r="AK135" s="104">
        <v>0</v>
      </c>
      <c r="AL135" s="104">
        <v>0</v>
      </c>
      <c r="AM135" s="104">
        <v>0</v>
      </c>
      <c r="AN135" s="104">
        <v>0</v>
      </c>
      <c r="AO135" s="104">
        <v>0</v>
      </c>
      <c r="AP135" s="104">
        <v>0</v>
      </c>
      <c r="AQ135" s="104">
        <v>0</v>
      </c>
      <c r="AR135" s="104">
        <v>0</v>
      </c>
      <c r="AS135" s="104">
        <v>0</v>
      </c>
      <c r="AT135" s="104">
        <v>0</v>
      </c>
      <c r="AU135" s="104">
        <v>0</v>
      </c>
      <c r="AV135" s="104">
        <v>0</v>
      </c>
      <c r="AW135" s="104">
        <v>0</v>
      </c>
      <c r="AX135" s="104">
        <v>0</v>
      </c>
      <c r="AY135" s="104">
        <v>0</v>
      </c>
    </row>
    <row r="136" spans="1:51">
      <c r="A136" s="107"/>
      <c r="B136" s="117">
        <v>15</v>
      </c>
      <c r="C136" s="104">
        <v>0</v>
      </c>
      <c r="D136" s="104">
        <v>0</v>
      </c>
      <c r="E136" s="104">
        <v>0</v>
      </c>
      <c r="F136" s="104">
        <v>0</v>
      </c>
      <c r="G136" s="104">
        <v>0</v>
      </c>
      <c r="H136" s="104">
        <v>0</v>
      </c>
      <c r="I136" s="104">
        <v>0</v>
      </c>
      <c r="J136" s="104">
        <v>0</v>
      </c>
      <c r="K136" s="104">
        <v>0</v>
      </c>
      <c r="L136" s="104">
        <v>0</v>
      </c>
      <c r="M136" s="104">
        <v>0</v>
      </c>
      <c r="N136" s="104">
        <v>0</v>
      </c>
      <c r="O136" s="104">
        <v>0</v>
      </c>
      <c r="P136" s="104">
        <v>0</v>
      </c>
      <c r="Q136" s="104">
        <v>0</v>
      </c>
      <c r="R136" s="104">
        <v>0</v>
      </c>
      <c r="S136" s="104">
        <v>0</v>
      </c>
      <c r="T136" s="104">
        <v>0</v>
      </c>
      <c r="U136" s="104">
        <v>0</v>
      </c>
      <c r="V136" s="104">
        <v>0</v>
      </c>
      <c r="W136" s="104">
        <v>0</v>
      </c>
      <c r="X136" s="104">
        <v>0</v>
      </c>
      <c r="Y136" s="104">
        <v>0</v>
      </c>
      <c r="Z136" s="104">
        <v>0</v>
      </c>
      <c r="AA136" s="104">
        <v>0</v>
      </c>
      <c r="AB136" s="104">
        <v>0</v>
      </c>
      <c r="AC136" s="104">
        <v>0</v>
      </c>
      <c r="AD136" s="104">
        <v>0</v>
      </c>
      <c r="AE136" s="104">
        <v>0</v>
      </c>
      <c r="AF136" s="104">
        <v>0</v>
      </c>
      <c r="AG136" s="104">
        <v>0</v>
      </c>
      <c r="AH136" s="104">
        <v>0</v>
      </c>
      <c r="AI136" s="104">
        <v>0</v>
      </c>
      <c r="AJ136" s="104">
        <v>0</v>
      </c>
      <c r="AK136" s="104">
        <v>0</v>
      </c>
      <c r="AL136" s="104">
        <v>0</v>
      </c>
      <c r="AM136" s="104">
        <v>0</v>
      </c>
      <c r="AN136" s="104">
        <v>0</v>
      </c>
      <c r="AO136" s="104">
        <v>0</v>
      </c>
      <c r="AP136" s="104">
        <v>0</v>
      </c>
      <c r="AQ136" s="104">
        <v>0</v>
      </c>
      <c r="AR136" s="104">
        <v>0</v>
      </c>
      <c r="AS136" s="104">
        <v>0</v>
      </c>
      <c r="AT136" s="104">
        <v>0</v>
      </c>
      <c r="AU136" s="104">
        <v>0</v>
      </c>
      <c r="AV136" s="104">
        <v>0</v>
      </c>
      <c r="AW136" s="104">
        <v>0</v>
      </c>
      <c r="AX136" s="104">
        <v>0</v>
      </c>
      <c r="AY136" s="104">
        <v>0</v>
      </c>
    </row>
    <row r="137" spans="1:51">
      <c r="A137" s="107"/>
      <c r="B137" s="117">
        <v>16</v>
      </c>
      <c r="C137" s="104">
        <v>0</v>
      </c>
      <c r="D137" s="104">
        <v>0</v>
      </c>
      <c r="E137" s="104">
        <v>0</v>
      </c>
      <c r="F137" s="104">
        <v>0</v>
      </c>
      <c r="G137" s="104">
        <v>0</v>
      </c>
      <c r="H137" s="104">
        <v>0</v>
      </c>
      <c r="I137" s="104">
        <v>0</v>
      </c>
      <c r="J137" s="104">
        <v>0</v>
      </c>
      <c r="K137" s="104">
        <v>0</v>
      </c>
      <c r="L137" s="104">
        <v>0</v>
      </c>
      <c r="M137" s="104">
        <v>0</v>
      </c>
      <c r="N137" s="104">
        <v>0</v>
      </c>
      <c r="O137" s="104">
        <v>0</v>
      </c>
      <c r="P137" s="104">
        <v>0</v>
      </c>
      <c r="Q137" s="104">
        <v>0</v>
      </c>
      <c r="R137" s="104">
        <v>0</v>
      </c>
      <c r="S137" s="104">
        <v>0</v>
      </c>
      <c r="T137" s="104">
        <v>0</v>
      </c>
      <c r="U137" s="104">
        <v>0</v>
      </c>
      <c r="V137" s="104">
        <v>0</v>
      </c>
      <c r="W137" s="104">
        <v>0</v>
      </c>
      <c r="X137" s="104">
        <v>0</v>
      </c>
      <c r="Y137" s="104">
        <v>0</v>
      </c>
      <c r="Z137" s="104">
        <v>0</v>
      </c>
      <c r="AA137" s="104">
        <v>0</v>
      </c>
      <c r="AB137" s="104">
        <v>0</v>
      </c>
      <c r="AC137" s="104">
        <v>0</v>
      </c>
      <c r="AD137" s="104">
        <v>0</v>
      </c>
      <c r="AE137" s="104">
        <v>0</v>
      </c>
      <c r="AF137" s="104">
        <v>0</v>
      </c>
      <c r="AG137" s="104">
        <v>0</v>
      </c>
      <c r="AH137" s="104">
        <v>0</v>
      </c>
      <c r="AI137" s="104">
        <v>0</v>
      </c>
      <c r="AJ137" s="104">
        <v>0</v>
      </c>
      <c r="AK137" s="104">
        <v>0</v>
      </c>
      <c r="AL137" s="104">
        <v>0</v>
      </c>
      <c r="AM137" s="104">
        <v>0</v>
      </c>
      <c r="AN137" s="104">
        <v>0</v>
      </c>
      <c r="AO137" s="104">
        <v>0</v>
      </c>
      <c r="AP137" s="104">
        <v>0</v>
      </c>
      <c r="AQ137" s="104">
        <v>0</v>
      </c>
      <c r="AR137" s="104">
        <v>0</v>
      </c>
      <c r="AS137" s="104">
        <v>0</v>
      </c>
      <c r="AT137" s="104">
        <v>0</v>
      </c>
      <c r="AU137" s="104">
        <v>0</v>
      </c>
      <c r="AV137" s="104">
        <v>0</v>
      </c>
      <c r="AW137" s="104">
        <v>0</v>
      </c>
      <c r="AX137" s="104">
        <v>0</v>
      </c>
      <c r="AY137" s="104">
        <v>0</v>
      </c>
    </row>
    <row r="138" spans="1:51">
      <c r="A138" s="107"/>
      <c r="B138" s="117">
        <v>17</v>
      </c>
      <c r="C138" s="104">
        <v>0</v>
      </c>
      <c r="D138" s="104">
        <v>0</v>
      </c>
      <c r="E138" s="104">
        <v>0</v>
      </c>
      <c r="F138" s="104">
        <v>0</v>
      </c>
      <c r="G138" s="104">
        <v>0</v>
      </c>
      <c r="H138" s="104">
        <v>0</v>
      </c>
      <c r="I138" s="104">
        <v>0</v>
      </c>
      <c r="J138" s="104">
        <v>0</v>
      </c>
      <c r="K138" s="104">
        <v>0</v>
      </c>
      <c r="L138" s="104">
        <v>0</v>
      </c>
      <c r="M138" s="104">
        <v>0</v>
      </c>
      <c r="N138" s="104">
        <v>0</v>
      </c>
      <c r="O138" s="104">
        <v>0</v>
      </c>
      <c r="P138" s="104">
        <v>0</v>
      </c>
      <c r="Q138" s="104">
        <v>0</v>
      </c>
      <c r="R138" s="104">
        <v>0</v>
      </c>
      <c r="S138" s="104">
        <v>0</v>
      </c>
      <c r="T138" s="104">
        <v>0</v>
      </c>
      <c r="U138" s="104">
        <v>0</v>
      </c>
      <c r="V138" s="104">
        <v>0</v>
      </c>
      <c r="W138" s="104">
        <v>0</v>
      </c>
      <c r="X138" s="104">
        <v>0</v>
      </c>
      <c r="Y138" s="104">
        <v>0</v>
      </c>
      <c r="Z138" s="104">
        <v>0</v>
      </c>
      <c r="AA138" s="104">
        <v>0</v>
      </c>
      <c r="AB138" s="104">
        <v>0</v>
      </c>
      <c r="AC138" s="104">
        <v>0</v>
      </c>
      <c r="AD138" s="104">
        <v>0</v>
      </c>
      <c r="AE138" s="104">
        <v>0</v>
      </c>
      <c r="AF138" s="104">
        <v>0</v>
      </c>
      <c r="AG138" s="104">
        <v>0</v>
      </c>
      <c r="AH138" s="104">
        <v>0</v>
      </c>
      <c r="AI138" s="104">
        <v>0</v>
      </c>
      <c r="AJ138" s="104">
        <v>0</v>
      </c>
      <c r="AK138" s="104">
        <v>0</v>
      </c>
      <c r="AL138" s="104">
        <v>0</v>
      </c>
      <c r="AM138" s="104">
        <v>0</v>
      </c>
      <c r="AN138" s="104">
        <v>0</v>
      </c>
      <c r="AO138" s="104">
        <v>0</v>
      </c>
      <c r="AP138" s="104">
        <v>0</v>
      </c>
      <c r="AQ138" s="104">
        <v>0</v>
      </c>
      <c r="AR138" s="104">
        <v>0</v>
      </c>
      <c r="AS138" s="104">
        <v>0</v>
      </c>
      <c r="AT138" s="104">
        <v>0</v>
      </c>
      <c r="AU138" s="104">
        <v>0</v>
      </c>
      <c r="AV138" s="104">
        <v>0</v>
      </c>
      <c r="AW138" s="104">
        <v>0</v>
      </c>
      <c r="AX138" s="104">
        <v>0</v>
      </c>
      <c r="AY138" s="104">
        <v>0</v>
      </c>
    </row>
    <row r="139" spans="1:51">
      <c r="A139" s="107"/>
      <c r="B139" s="117">
        <v>18</v>
      </c>
      <c r="C139" s="104">
        <v>0</v>
      </c>
      <c r="D139" s="104">
        <v>0</v>
      </c>
      <c r="E139" s="104">
        <v>0</v>
      </c>
      <c r="F139" s="104">
        <v>0</v>
      </c>
      <c r="G139" s="104">
        <v>0</v>
      </c>
      <c r="H139" s="104">
        <v>0</v>
      </c>
      <c r="I139" s="104">
        <v>0</v>
      </c>
      <c r="J139" s="104">
        <v>0</v>
      </c>
      <c r="K139" s="104">
        <v>0</v>
      </c>
      <c r="L139" s="104">
        <v>0</v>
      </c>
      <c r="M139" s="104">
        <v>0</v>
      </c>
      <c r="N139" s="104">
        <v>0</v>
      </c>
      <c r="O139" s="104">
        <v>0</v>
      </c>
      <c r="P139" s="104">
        <v>0</v>
      </c>
      <c r="Q139" s="104">
        <v>0</v>
      </c>
      <c r="R139" s="104">
        <v>0</v>
      </c>
      <c r="S139" s="104">
        <v>0</v>
      </c>
      <c r="T139" s="104">
        <v>0</v>
      </c>
      <c r="U139" s="104">
        <v>0</v>
      </c>
      <c r="V139" s="104">
        <v>0</v>
      </c>
      <c r="W139" s="104">
        <v>0</v>
      </c>
      <c r="X139" s="104">
        <v>0</v>
      </c>
      <c r="Y139" s="104">
        <v>0</v>
      </c>
      <c r="Z139" s="104">
        <v>0</v>
      </c>
      <c r="AA139" s="104">
        <v>0</v>
      </c>
      <c r="AB139" s="104">
        <v>0</v>
      </c>
      <c r="AC139" s="104">
        <v>0</v>
      </c>
      <c r="AD139" s="104">
        <v>0</v>
      </c>
      <c r="AE139" s="104">
        <v>0</v>
      </c>
      <c r="AF139" s="104">
        <v>0</v>
      </c>
      <c r="AG139" s="104">
        <v>0</v>
      </c>
      <c r="AH139" s="104">
        <v>0</v>
      </c>
      <c r="AI139" s="104">
        <v>0</v>
      </c>
      <c r="AJ139" s="104">
        <v>0</v>
      </c>
      <c r="AK139" s="104">
        <v>0</v>
      </c>
      <c r="AL139" s="104">
        <v>0</v>
      </c>
      <c r="AM139" s="104">
        <v>0</v>
      </c>
      <c r="AN139" s="104">
        <v>0</v>
      </c>
      <c r="AO139" s="104">
        <v>0</v>
      </c>
      <c r="AP139" s="104">
        <v>0</v>
      </c>
      <c r="AQ139" s="104">
        <v>0</v>
      </c>
      <c r="AR139" s="104">
        <v>0</v>
      </c>
      <c r="AS139" s="104">
        <v>0</v>
      </c>
      <c r="AT139" s="104">
        <v>0</v>
      </c>
      <c r="AU139" s="104">
        <v>0</v>
      </c>
      <c r="AV139" s="104">
        <v>0</v>
      </c>
      <c r="AW139" s="104">
        <v>0</v>
      </c>
      <c r="AX139" s="104">
        <v>0</v>
      </c>
      <c r="AY139" s="104">
        <v>0</v>
      </c>
    </row>
    <row r="140" spans="1:51">
      <c r="A140" s="107"/>
      <c r="B140" s="117">
        <v>19</v>
      </c>
      <c r="C140" s="104">
        <v>0</v>
      </c>
      <c r="D140" s="104">
        <v>0</v>
      </c>
      <c r="E140" s="104">
        <v>0</v>
      </c>
      <c r="F140" s="104">
        <v>0</v>
      </c>
      <c r="G140" s="104">
        <v>0</v>
      </c>
      <c r="H140" s="104">
        <v>0</v>
      </c>
      <c r="I140" s="104">
        <v>0</v>
      </c>
      <c r="J140" s="104">
        <v>0</v>
      </c>
      <c r="K140" s="104">
        <v>0</v>
      </c>
      <c r="L140" s="104">
        <v>0</v>
      </c>
      <c r="M140" s="104">
        <v>0</v>
      </c>
      <c r="N140" s="104">
        <v>0</v>
      </c>
      <c r="O140" s="104">
        <v>0</v>
      </c>
      <c r="P140" s="104">
        <v>0</v>
      </c>
      <c r="Q140" s="104">
        <v>0</v>
      </c>
      <c r="R140" s="104">
        <v>0</v>
      </c>
      <c r="S140" s="104">
        <v>0</v>
      </c>
      <c r="T140" s="104">
        <v>0</v>
      </c>
      <c r="U140" s="104">
        <v>0</v>
      </c>
      <c r="V140" s="104">
        <v>0</v>
      </c>
      <c r="W140" s="104">
        <v>0</v>
      </c>
      <c r="X140" s="104">
        <v>0</v>
      </c>
      <c r="Y140" s="104">
        <v>0</v>
      </c>
      <c r="Z140" s="104">
        <v>0</v>
      </c>
      <c r="AA140" s="104">
        <v>0</v>
      </c>
      <c r="AB140" s="104">
        <v>0</v>
      </c>
      <c r="AC140" s="104">
        <v>0</v>
      </c>
      <c r="AD140" s="104">
        <v>0</v>
      </c>
      <c r="AE140" s="104">
        <v>0</v>
      </c>
      <c r="AF140" s="104">
        <v>0</v>
      </c>
      <c r="AG140" s="104">
        <v>0</v>
      </c>
      <c r="AH140" s="104">
        <v>0</v>
      </c>
      <c r="AI140" s="104">
        <v>0</v>
      </c>
      <c r="AJ140" s="104">
        <v>0</v>
      </c>
      <c r="AK140" s="104">
        <v>0</v>
      </c>
      <c r="AL140" s="104">
        <v>0</v>
      </c>
      <c r="AM140" s="104">
        <v>0</v>
      </c>
      <c r="AN140" s="104">
        <v>0</v>
      </c>
      <c r="AO140" s="104">
        <v>0</v>
      </c>
      <c r="AP140" s="104">
        <v>0</v>
      </c>
      <c r="AQ140" s="104">
        <v>0</v>
      </c>
      <c r="AR140" s="104">
        <v>0</v>
      </c>
      <c r="AS140" s="104">
        <v>0</v>
      </c>
      <c r="AT140" s="104">
        <v>0</v>
      </c>
      <c r="AU140" s="104">
        <v>0</v>
      </c>
      <c r="AV140" s="104">
        <v>0</v>
      </c>
      <c r="AW140" s="104">
        <v>0</v>
      </c>
      <c r="AX140" s="104">
        <v>0</v>
      </c>
      <c r="AY140" s="104">
        <v>0</v>
      </c>
    </row>
    <row r="141" spans="1:51">
      <c r="A141" s="107"/>
      <c r="B141" s="117">
        <v>20</v>
      </c>
      <c r="C141" s="104">
        <v>0</v>
      </c>
      <c r="D141" s="104">
        <v>0</v>
      </c>
      <c r="E141" s="104">
        <v>0</v>
      </c>
      <c r="F141" s="104">
        <v>0</v>
      </c>
      <c r="G141" s="104">
        <v>0</v>
      </c>
      <c r="H141" s="104">
        <v>0</v>
      </c>
      <c r="I141" s="104">
        <v>0</v>
      </c>
      <c r="J141" s="104">
        <v>0</v>
      </c>
      <c r="K141" s="104">
        <v>0</v>
      </c>
      <c r="L141" s="104">
        <v>0</v>
      </c>
      <c r="M141" s="104">
        <v>0</v>
      </c>
      <c r="N141" s="104">
        <v>0</v>
      </c>
      <c r="O141" s="104">
        <v>0</v>
      </c>
      <c r="P141" s="104">
        <v>0</v>
      </c>
      <c r="Q141" s="104">
        <v>0</v>
      </c>
      <c r="R141" s="104">
        <v>0</v>
      </c>
      <c r="S141" s="104">
        <v>0</v>
      </c>
      <c r="T141" s="104">
        <v>0</v>
      </c>
      <c r="U141" s="104">
        <v>0</v>
      </c>
      <c r="V141" s="104">
        <v>0</v>
      </c>
      <c r="W141" s="104">
        <v>0</v>
      </c>
      <c r="X141" s="104">
        <v>0</v>
      </c>
      <c r="Y141" s="104">
        <v>0</v>
      </c>
      <c r="Z141" s="104">
        <v>0</v>
      </c>
      <c r="AA141" s="104">
        <v>0</v>
      </c>
      <c r="AB141" s="104">
        <v>0</v>
      </c>
      <c r="AC141" s="104">
        <v>0</v>
      </c>
      <c r="AD141" s="104">
        <v>0</v>
      </c>
      <c r="AE141" s="104">
        <v>0</v>
      </c>
      <c r="AF141" s="104">
        <v>0</v>
      </c>
      <c r="AG141" s="104">
        <v>0</v>
      </c>
      <c r="AH141" s="104">
        <v>0</v>
      </c>
      <c r="AI141" s="104">
        <v>0</v>
      </c>
      <c r="AJ141" s="104">
        <v>0</v>
      </c>
      <c r="AK141" s="104">
        <v>0</v>
      </c>
      <c r="AL141" s="104">
        <v>0</v>
      </c>
      <c r="AM141" s="104">
        <v>0</v>
      </c>
      <c r="AN141" s="104">
        <v>0</v>
      </c>
      <c r="AO141" s="104">
        <v>0</v>
      </c>
      <c r="AP141" s="104">
        <v>0</v>
      </c>
      <c r="AQ141" s="104">
        <v>0</v>
      </c>
      <c r="AR141" s="104">
        <v>0</v>
      </c>
      <c r="AS141" s="104">
        <v>0</v>
      </c>
      <c r="AT141" s="104">
        <v>0</v>
      </c>
      <c r="AU141" s="104">
        <v>0</v>
      </c>
      <c r="AV141" s="104">
        <v>0</v>
      </c>
      <c r="AW141" s="104">
        <v>0</v>
      </c>
      <c r="AX141" s="104">
        <v>0</v>
      </c>
      <c r="AY141" s="104">
        <v>0</v>
      </c>
    </row>
    <row r="142" spans="1:51">
      <c r="A142" s="107"/>
      <c r="B142" s="117">
        <v>21</v>
      </c>
      <c r="C142" s="104">
        <v>0</v>
      </c>
      <c r="D142" s="104">
        <v>0</v>
      </c>
      <c r="E142" s="104">
        <v>0</v>
      </c>
      <c r="F142" s="104">
        <v>0</v>
      </c>
      <c r="G142" s="104">
        <v>0</v>
      </c>
      <c r="H142" s="104">
        <v>0</v>
      </c>
      <c r="I142" s="104">
        <v>0</v>
      </c>
      <c r="J142" s="104">
        <v>0</v>
      </c>
      <c r="K142" s="104">
        <v>0</v>
      </c>
      <c r="L142" s="104">
        <v>0</v>
      </c>
      <c r="M142" s="104">
        <v>0</v>
      </c>
      <c r="N142" s="104">
        <v>0</v>
      </c>
      <c r="O142" s="104">
        <v>0</v>
      </c>
      <c r="P142" s="104">
        <v>0</v>
      </c>
      <c r="Q142" s="104">
        <v>0</v>
      </c>
      <c r="R142" s="104">
        <v>0</v>
      </c>
      <c r="S142" s="104">
        <v>0</v>
      </c>
      <c r="T142" s="104">
        <v>0</v>
      </c>
      <c r="U142" s="104">
        <v>0</v>
      </c>
      <c r="V142" s="104">
        <v>0</v>
      </c>
      <c r="W142" s="104">
        <v>0</v>
      </c>
      <c r="X142" s="104">
        <v>0</v>
      </c>
      <c r="Y142" s="104">
        <v>0</v>
      </c>
      <c r="Z142" s="104">
        <v>0</v>
      </c>
      <c r="AA142" s="104">
        <v>0</v>
      </c>
      <c r="AB142" s="104">
        <v>0</v>
      </c>
      <c r="AC142" s="104">
        <v>0</v>
      </c>
      <c r="AD142" s="104">
        <v>0</v>
      </c>
      <c r="AE142" s="104">
        <v>0</v>
      </c>
      <c r="AF142" s="104">
        <v>0</v>
      </c>
      <c r="AG142" s="104">
        <v>0</v>
      </c>
      <c r="AH142" s="104">
        <v>0</v>
      </c>
      <c r="AI142" s="104">
        <v>0</v>
      </c>
      <c r="AJ142" s="104">
        <v>0</v>
      </c>
      <c r="AK142" s="104">
        <v>0</v>
      </c>
      <c r="AL142" s="104">
        <v>0</v>
      </c>
      <c r="AM142" s="104">
        <v>0</v>
      </c>
      <c r="AN142" s="104">
        <v>0</v>
      </c>
      <c r="AO142" s="104">
        <v>0</v>
      </c>
      <c r="AP142" s="104">
        <v>0</v>
      </c>
      <c r="AQ142" s="104">
        <v>0</v>
      </c>
      <c r="AR142" s="104">
        <v>0</v>
      </c>
      <c r="AS142" s="104">
        <v>0</v>
      </c>
      <c r="AT142" s="104">
        <v>0</v>
      </c>
      <c r="AU142" s="104">
        <v>0</v>
      </c>
      <c r="AV142" s="104">
        <v>0</v>
      </c>
      <c r="AW142" s="104">
        <v>0</v>
      </c>
      <c r="AX142" s="104">
        <v>0</v>
      </c>
      <c r="AY142" s="104">
        <v>0</v>
      </c>
    </row>
    <row r="143" spans="1:51">
      <c r="A143" s="107"/>
      <c r="B143" s="117">
        <v>22</v>
      </c>
      <c r="C143" s="104">
        <v>0</v>
      </c>
      <c r="D143" s="104">
        <v>0</v>
      </c>
      <c r="E143" s="104">
        <v>0</v>
      </c>
      <c r="F143" s="104">
        <v>0</v>
      </c>
      <c r="G143" s="104">
        <v>0</v>
      </c>
      <c r="H143" s="104">
        <v>0</v>
      </c>
      <c r="I143" s="104">
        <v>0</v>
      </c>
      <c r="J143" s="104">
        <v>0</v>
      </c>
      <c r="K143" s="104">
        <v>0</v>
      </c>
      <c r="L143" s="104">
        <v>0</v>
      </c>
      <c r="M143" s="104">
        <v>0</v>
      </c>
      <c r="N143" s="104">
        <v>0</v>
      </c>
      <c r="O143" s="104">
        <v>0</v>
      </c>
      <c r="P143" s="104">
        <v>0</v>
      </c>
      <c r="Q143" s="104">
        <v>0</v>
      </c>
      <c r="R143" s="104">
        <v>0</v>
      </c>
      <c r="S143" s="104">
        <v>0</v>
      </c>
      <c r="T143" s="104">
        <v>0</v>
      </c>
      <c r="U143" s="104">
        <v>0</v>
      </c>
      <c r="V143" s="104">
        <v>0</v>
      </c>
      <c r="W143" s="104">
        <v>0</v>
      </c>
      <c r="X143" s="104">
        <v>0</v>
      </c>
      <c r="Y143" s="104">
        <v>0</v>
      </c>
      <c r="Z143" s="104">
        <v>0</v>
      </c>
      <c r="AA143" s="104">
        <v>0</v>
      </c>
      <c r="AB143" s="104">
        <v>0</v>
      </c>
      <c r="AC143" s="104">
        <v>0</v>
      </c>
      <c r="AD143" s="104">
        <v>0</v>
      </c>
      <c r="AE143" s="104">
        <v>0</v>
      </c>
      <c r="AF143" s="104">
        <v>0</v>
      </c>
      <c r="AG143" s="104">
        <v>0</v>
      </c>
      <c r="AH143" s="104">
        <v>0</v>
      </c>
      <c r="AI143" s="104">
        <v>0</v>
      </c>
      <c r="AJ143" s="104">
        <v>0</v>
      </c>
      <c r="AK143" s="104">
        <v>0</v>
      </c>
      <c r="AL143" s="104">
        <v>0</v>
      </c>
      <c r="AM143" s="104">
        <v>0</v>
      </c>
      <c r="AN143" s="104">
        <v>0</v>
      </c>
      <c r="AO143" s="104">
        <v>0</v>
      </c>
      <c r="AP143" s="104">
        <v>0</v>
      </c>
      <c r="AQ143" s="104">
        <v>0</v>
      </c>
      <c r="AR143" s="104">
        <v>0</v>
      </c>
      <c r="AS143" s="104">
        <v>0</v>
      </c>
      <c r="AT143" s="104">
        <v>0</v>
      </c>
      <c r="AU143" s="104">
        <v>0</v>
      </c>
      <c r="AV143" s="104">
        <v>0</v>
      </c>
      <c r="AW143" s="104">
        <v>0</v>
      </c>
      <c r="AX143" s="104">
        <v>0</v>
      </c>
      <c r="AY143" s="104">
        <v>0</v>
      </c>
    </row>
    <row r="144" spans="1:51">
      <c r="A144" s="107"/>
      <c r="B144" s="117">
        <v>23</v>
      </c>
      <c r="C144" s="104">
        <v>0</v>
      </c>
      <c r="D144" s="104">
        <v>0</v>
      </c>
      <c r="E144" s="104">
        <v>0</v>
      </c>
      <c r="F144" s="104">
        <v>0</v>
      </c>
      <c r="G144" s="104">
        <v>0</v>
      </c>
      <c r="H144" s="104">
        <v>0</v>
      </c>
      <c r="I144" s="104">
        <v>0</v>
      </c>
      <c r="J144" s="104">
        <v>0</v>
      </c>
      <c r="K144" s="104">
        <v>0</v>
      </c>
      <c r="L144" s="104">
        <v>0</v>
      </c>
      <c r="M144" s="104">
        <v>0</v>
      </c>
      <c r="N144" s="104">
        <v>0</v>
      </c>
      <c r="O144" s="104">
        <v>0</v>
      </c>
      <c r="P144" s="104">
        <v>0</v>
      </c>
      <c r="Q144" s="104">
        <v>0</v>
      </c>
      <c r="R144" s="104">
        <v>0</v>
      </c>
      <c r="S144" s="104">
        <v>0</v>
      </c>
      <c r="T144" s="104">
        <v>0</v>
      </c>
      <c r="U144" s="104">
        <v>0</v>
      </c>
      <c r="V144" s="104">
        <v>0</v>
      </c>
      <c r="W144" s="104">
        <v>0</v>
      </c>
      <c r="X144" s="104">
        <v>0</v>
      </c>
      <c r="Y144" s="104">
        <v>0</v>
      </c>
      <c r="Z144" s="104">
        <v>0</v>
      </c>
      <c r="AA144" s="104">
        <v>0</v>
      </c>
      <c r="AB144" s="104">
        <v>0</v>
      </c>
      <c r="AC144" s="104">
        <v>0</v>
      </c>
      <c r="AD144" s="104">
        <v>0</v>
      </c>
      <c r="AE144" s="104">
        <v>0</v>
      </c>
      <c r="AF144" s="104">
        <v>0</v>
      </c>
      <c r="AG144" s="104">
        <v>0</v>
      </c>
      <c r="AH144" s="104">
        <v>0</v>
      </c>
      <c r="AI144" s="104">
        <v>0</v>
      </c>
      <c r="AJ144" s="104">
        <v>0</v>
      </c>
      <c r="AK144" s="104">
        <v>0</v>
      </c>
      <c r="AL144" s="104">
        <v>0</v>
      </c>
      <c r="AM144" s="104">
        <v>0</v>
      </c>
      <c r="AN144" s="104">
        <v>0</v>
      </c>
      <c r="AO144" s="104">
        <v>0</v>
      </c>
      <c r="AP144" s="104">
        <v>0</v>
      </c>
      <c r="AQ144" s="104">
        <v>0</v>
      </c>
      <c r="AR144" s="104">
        <v>0</v>
      </c>
      <c r="AS144" s="104">
        <v>0</v>
      </c>
      <c r="AT144" s="104">
        <v>0</v>
      </c>
      <c r="AU144" s="104">
        <v>0</v>
      </c>
      <c r="AV144" s="104">
        <v>0</v>
      </c>
      <c r="AW144" s="104">
        <v>0</v>
      </c>
      <c r="AX144" s="104">
        <v>0</v>
      </c>
      <c r="AY144" s="104">
        <v>0</v>
      </c>
    </row>
    <row r="145" spans="1:51">
      <c r="A145" s="107"/>
      <c r="B145" s="117">
        <v>24</v>
      </c>
      <c r="C145" s="104">
        <v>0</v>
      </c>
      <c r="D145" s="104">
        <v>0</v>
      </c>
      <c r="E145" s="104">
        <v>0</v>
      </c>
      <c r="F145" s="104">
        <v>0</v>
      </c>
      <c r="G145" s="104">
        <v>0</v>
      </c>
      <c r="H145" s="104">
        <v>0</v>
      </c>
      <c r="I145" s="104">
        <v>0</v>
      </c>
      <c r="J145" s="104">
        <v>0</v>
      </c>
      <c r="K145" s="104">
        <v>0</v>
      </c>
      <c r="L145" s="104">
        <v>0</v>
      </c>
      <c r="M145" s="104">
        <v>0</v>
      </c>
      <c r="N145" s="104">
        <v>0</v>
      </c>
      <c r="O145" s="104">
        <v>0</v>
      </c>
      <c r="P145" s="104">
        <v>0</v>
      </c>
      <c r="Q145" s="104">
        <v>0</v>
      </c>
      <c r="R145" s="104">
        <v>0</v>
      </c>
      <c r="S145" s="104">
        <v>0</v>
      </c>
      <c r="T145" s="104">
        <v>0</v>
      </c>
      <c r="U145" s="104">
        <v>0</v>
      </c>
      <c r="V145" s="104">
        <v>0</v>
      </c>
      <c r="W145" s="104">
        <v>0</v>
      </c>
      <c r="X145" s="104">
        <v>0</v>
      </c>
      <c r="Y145" s="104">
        <v>0</v>
      </c>
      <c r="Z145" s="104">
        <v>0</v>
      </c>
      <c r="AA145" s="104">
        <v>0</v>
      </c>
      <c r="AB145" s="104">
        <v>0</v>
      </c>
      <c r="AC145" s="104">
        <v>0</v>
      </c>
      <c r="AD145" s="104">
        <v>0</v>
      </c>
      <c r="AE145" s="104">
        <v>0</v>
      </c>
      <c r="AF145" s="104">
        <v>0</v>
      </c>
      <c r="AG145" s="104">
        <v>0</v>
      </c>
      <c r="AH145" s="104">
        <v>0</v>
      </c>
      <c r="AI145" s="104">
        <v>0</v>
      </c>
      <c r="AJ145" s="104">
        <v>0</v>
      </c>
      <c r="AK145" s="104">
        <v>0</v>
      </c>
      <c r="AL145" s="104">
        <v>0</v>
      </c>
      <c r="AM145" s="104">
        <v>0</v>
      </c>
      <c r="AN145" s="104">
        <v>0</v>
      </c>
      <c r="AO145" s="104">
        <v>0</v>
      </c>
      <c r="AP145" s="104">
        <v>0</v>
      </c>
      <c r="AQ145" s="104">
        <v>0</v>
      </c>
      <c r="AR145" s="104">
        <v>0</v>
      </c>
      <c r="AS145" s="104">
        <v>0</v>
      </c>
      <c r="AT145" s="104">
        <v>0</v>
      </c>
      <c r="AU145" s="104">
        <v>0</v>
      </c>
      <c r="AV145" s="104">
        <v>0</v>
      </c>
      <c r="AW145" s="104">
        <v>0</v>
      </c>
      <c r="AX145" s="104">
        <v>0</v>
      </c>
      <c r="AY145" s="104">
        <v>0</v>
      </c>
    </row>
    <row r="146" spans="1:51">
      <c r="A146" s="107"/>
      <c r="B146" s="124">
        <v>25</v>
      </c>
      <c r="C146" s="104">
        <v>0</v>
      </c>
      <c r="D146" s="104">
        <v>0</v>
      </c>
      <c r="E146" s="104">
        <v>0</v>
      </c>
      <c r="F146" s="104">
        <v>0</v>
      </c>
      <c r="G146" s="104">
        <v>0</v>
      </c>
      <c r="H146" s="104">
        <v>0</v>
      </c>
      <c r="I146" s="104">
        <v>0</v>
      </c>
      <c r="J146" s="104">
        <v>0</v>
      </c>
      <c r="K146" s="104">
        <v>0</v>
      </c>
      <c r="L146" s="104">
        <v>0</v>
      </c>
      <c r="M146" s="104">
        <v>0</v>
      </c>
      <c r="N146" s="104">
        <v>0</v>
      </c>
      <c r="O146" s="104">
        <v>0</v>
      </c>
      <c r="P146" s="104">
        <v>0</v>
      </c>
      <c r="Q146" s="104">
        <v>0</v>
      </c>
      <c r="R146" s="104">
        <v>0</v>
      </c>
      <c r="S146" s="104">
        <v>0</v>
      </c>
      <c r="T146" s="104">
        <v>0</v>
      </c>
      <c r="U146" s="104">
        <v>0</v>
      </c>
      <c r="V146" s="104">
        <v>0</v>
      </c>
      <c r="W146" s="104">
        <v>0</v>
      </c>
      <c r="X146" s="104">
        <v>0</v>
      </c>
      <c r="Y146" s="104">
        <v>0</v>
      </c>
      <c r="Z146" s="104">
        <v>0</v>
      </c>
      <c r="AA146" s="104">
        <v>0</v>
      </c>
      <c r="AB146" s="104">
        <v>0</v>
      </c>
      <c r="AC146" s="104">
        <v>0</v>
      </c>
      <c r="AD146" s="104">
        <v>0</v>
      </c>
      <c r="AE146" s="104">
        <v>0</v>
      </c>
      <c r="AF146" s="104">
        <v>0</v>
      </c>
      <c r="AG146" s="104">
        <v>0</v>
      </c>
      <c r="AH146" s="104">
        <v>0</v>
      </c>
      <c r="AI146" s="104">
        <v>0</v>
      </c>
      <c r="AJ146" s="104">
        <v>0</v>
      </c>
      <c r="AK146" s="104">
        <v>0</v>
      </c>
      <c r="AL146" s="104">
        <v>0</v>
      </c>
      <c r="AM146" s="104">
        <v>0</v>
      </c>
      <c r="AN146" s="104">
        <v>0</v>
      </c>
      <c r="AO146" s="104">
        <v>0</v>
      </c>
      <c r="AP146" s="104">
        <v>0</v>
      </c>
      <c r="AQ146" s="104">
        <v>0</v>
      </c>
      <c r="AR146" s="104">
        <v>0</v>
      </c>
      <c r="AS146" s="104">
        <v>0</v>
      </c>
      <c r="AT146" s="104">
        <v>0</v>
      </c>
      <c r="AU146" s="104">
        <v>0</v>
      </c>
      <c r="AV146" s="104">
        <v>0</v>
      </c>
      <c r="AW146" s="104">
        <v>0</v>
      </c>
      <c r="AX146" s="104">
        <v>0</v>
      </c>
      <c r="AY146" s="104">
        <v>0</v>
      </c>
    </row>
    <row r="147" spans="1:51">
      <c r="A147" s="107"/>
      <c r="B147" s="124">
        <v>26</v>
      </c>
      <c r="C147" s="104">
        <v>0</v>
      </c>
      <c r="D147" s="104">
        <v>0</v>
      </c>
      <c r="E147" s="104">
        <v>0</v>
      </c>
      <c r="F147" s="104">
        <v>0</v>
      </c>
      <c r="G147" s="104">
        <v>0</v>
      </c>
      <c r="H147" s="104">
        <v>0</v>
      </c>
      <c r="I147" s="104">
        <v>0</v>
      </c>
      <c r="J147" s="104">
        <v>0</v>
      </c>
      <c r="K147" s="104">
        <v>0</v>
      </c>
      <c r="L147" s="104">
        <v>0</v>
      </c>
      <c r="M147" s="104">
        <v>0</v>
      </c>
      <c r="N147" s="104">
        <v>0</v>
      </c>
      <c r="O147" s="104">
        <v>0</v>
      </c>
      <c r="P147" s="104">
        <v>0</v>
      </c>
      <c r="Q147" s="104">
        <v>0</v>
      </c>
      <c r="R147" s="104">
        <v>0</v>
      </c>
      <c r="S147" s="104">
        <v>0</v>
      </c>
      <c r="T147" s="104">
        <v>0</v>
      </c>
      <c r="U147" s="104">
        <v>0</v>
      </c>
      <c r="V147" s="104">
        <v>0</v>
      </c>
      <c r="W147" s="104">
        <v>0</v>
      </c>
      <c r="X147" s="104">
        <v>0</v>
      </c>
      <c r="Y147" s="104">
        <v>0</v>
      </c>
      <c r="Z147" s="104">
        <v>0</v>
      </c>
      <c r="AA147" s="104">
        <v>0</v>
      </c>
      <c r="AB147" s="104">
        <v>0</v>
      </c>
      <c r="AC147" s="104">
        <v>0</v>
      </c>
      <c r="AD147" s="104">
        <v>0</v>
      </c>
      <c r="AE147" s="104">
        <v>0</v>
      </c>
      <c r="AF147" s="104">
        <v>0</v>
      </c>
      <c r="AG147" s="104">
        <v>0</v>
      </c>
      <c r="AH147" s="104">
        <v>0</v>
      </c>
      <c r="AI147" s="104">
        <v>0</v>
      </c>
      <c r="AJ147" s="104">
        <v>0</v>
      </c>
      <c r="AK147" s="104">
        <v>0</v>
      </c>
      <c r="AL147" s="104">
        <v>0</v>
      </c>
      <c r="AM147" s="104">
        <v>0</v>
      </c>
      <c r="AN147" s="104">
        <v>0</v>
      </c>
      <c r="AO147" s="104">
        <v>0</v>
      </c>
      <c r="AP147" s="104">
        <v>0</v>
      </c>
      <c r="AQ147" s="104">
        <v>0</v>
      </c>
      <c r="AR147" s="104">
        <v>0</v>
      </c>
      <c r="AS147" s="104">
        <v>0</v>
      </c>
      <c r="AT147" s="104">
        <v>0</v>
      </c>
      <c r="AU147" s="104">
        <v>0</v>
      </c>
      <c r="AV147" s="104">
        <v>0</v>
      </c>
      <c r="AW147" s="104">
        <v>0</v>
      </c>
      <c r="AX147" s="104">
        <v>0</v>
      </c>
      <c r="AY147" s="104">
        <v>0</v>
      </c>
    </row>
    <row r="148" spans="1:51">
      <c r="A148" s="107"/>
      <c r="B148" s="124">
        <v>27</v>
      </c>
      <c r="C148" s="104">
        <v>0</v>
      </c>
      <c r="D148" s="104">
        <v>0</v>
      </c>
      <c r="E148" s="104">
        <v>0</v>
      </c>
      <c r="F148" s="104">
        <v>0</v>
      </c>
      <c r="G148" s="104">
        <v>0</v>
      </c>
      <c r="H148" s="104">
        <v>0</v>
      </c>
      <c r="I148" s="104">
        <v>0</v>
      </c>
      <c r="J148" s="104">
        <v>0</v>
      </c>
      <c r="K148" s="104">
        <v>0</v>
      </c>
      <c r="L148" s="104">
        <v>0</v>
      </c>
      <c r="M148" s="104">
        <v>0</v>
      </c>
      <c r="N148" s="104">
        <v>0</v>
      </c>
      <c r="O148" s="104">
        <v>0</v>
      </c>
      <c r="P148" s="104">
        <v>0</v>
      </c>
      <c r="Q148" s="104">
        <v>0</v>
      </c>
      <c r="R148" s="104">
        <v>0</v>
      </c>
      <c r="S148" s="104">
        <v>0</v>
      </c>
      <c r="T148" s="104">
        <v>0</v>
      </c>
      <c r="U148" s="104">
        <v>0</v>
      </c>
      <c r="V148" s="104">
        <v>0</v>
      </c>
      <c r="W148" s="104">
        <v>0</v>
      </c>
      <c r="X148" s="104">
        <v>0</v>
      </c>
      <c r="Y148" s="104">
        <v>0</v>
      </c>
      <c r="Z148" s="104">
        <v>0</v>
      </c>
      <c r="AA148" s="104">
        <v>0</v>
      </c>
      <c r="AB148" s="104">
        <v>0</v>
      </c>
      <c r="AC148" s="104">
        <v>0</v>
      </c>
      <c r="AD148" s="104">
        <v>0</v>
      </c>
      <c r="AE148" s="104">
        <v>0</v>
      </c>
      <c r="AF148" s="104">
        <v>0</v>
      </c>
      <c r="AG148" s="104">
        <v>0</v>
      </c>
      <c r="AH148" s="104">
        <v>0</v>
      </c>
      <c r="AI148" s="104">
        <v>0</v>
      </c>
      <c r="AJ148" s="104">
        <v>0</v>
      </c>
      <c r="AK148" s="104">
        <v>0</v>
      </c>
      <c r="AL148" s="104">
        <v>0</v>
      </c>
      <c r="AM148" s="104">
        <v>0</v>
      </c>
      <c r="AN148" s="104">
        <v>0</v>
      </c>
      <c r="AO148" s="104">
        <v>0</v>
      </c>
      <c r="AP148" s="104">
        <v>0</v>
      </c>
      <c r="AQ148" s="104">
        <v>0</v>
      </c>
      <c r="AR148" s="104">
        <v>0</v>
      </c>
      <c r="AS148" s="104">
        <v>0</v>
      </c>
      <c r="AT148" s="104">
        <v>0</v>
      </c>
      <c r="AU148" s="104">
        <v>0</v>
      </c>
      <c r="AV148" s="104">
        <v>0</v>
      </c>
      <c r="AW148" s="104">
        <v>0</v>
      </c>
      <c r="AX148" s="104">
        <v>0</v>
      </c>
      <c r="AY148" s="104">
        <v>0</v>
      </c>
    </row>
    <row r="149" spans="1:51">
      <c r="A149" s="107"/>
      <c r="B149" s="124">
        <v>28</v>
      </c>
      <c r="C149" s="104">
        <v>0</v>
      </c>
      <c r="D149" s="104">
        <v>0</v>
      </c>
      <c r="E149" s="104">
        <v>0</v>
      </c>
      <c r="F149" s="104">
        <v>0</v>
      </c>
      <c r="G149" s="104">
        <v>0</v>
      </c>
      <c r="H149" s="104">
        <v>0</v>
      </c>
      <c r="I149" s="104">
        <v>0</v>
      </c>
      <c r="J149" s="104">
        <v>0</v>
      </c>
      <c r="K149" s="104">
        <v>0</v>
      </c>
      <c r="L149" s="104">
        <v>0</v>
      </c>
      <c r="M149" s="104">
        <v>0</v>
      </c>
      <c r="N149" s="104">
        <v>0</v>
      </c>
      <c r="O149" s="104">
        <v>0</v>
      </c>
      <c r="P149" s="104">
        <v>0</v>
      </c>
      <c r="Q149" s="104">
        <v>0</v>
      </c>
      <c r="R149" s="104">
        <v>0</v>
      </c>
      <c r="S149" s="104">
        <v>0</v>
      </c>
      <c r="T149" s="104">
        <v>0</v>
      </c>
      <c r="U149" s="104">
        <v>0</v>
      </c>
      <c r="V149" s="104">
        <v>0</v>
      </c>
      <c r="W149" s="104">
        <v>0</v>
      </c>
      <c r="X149" s="104">
        <v>0</v>
      </c>
      <c r="Y149" s="104">
        <v>0</v>
      </c>
      <c r="Z149" s="104">
        <v>0</v>
      </c>
      <c r="AA149" s="104">
        <v>0</v>
      </c>
      <c r="AB149" s="104">
        <v>0</v>
      </c>
      <c r="AC149" s="104">
        <v>0</v>
      </c>
      <c r="AD149" s="104">
        <v>0</v>
      </c>
      <c r="AE149" s="104">
        <v>0</v>
      </c>
      <c r="AF149" s="104">
        <v>0</v>
      </c>
      <c r="AG149" s="104">
        <v>0</v>
      </c>
      <c r="AH149" s="104">
        <v>0</v>
      </c>
      <c r="AI149" s="104">
        <v>0</v>
      </c>
      <c r="AJ149" s="104">
        <v>0</v>
      </c>
      <c r="AK149" s="104">
        <v>0</v>
      </c>
      <c r="AL149" s="104">
        <v>0</v>
      </c>
      <c r="AM149" s="104">
        <v>0</v>
      </c>
      <c r="AN149" s="104">
        <v>0</v>
      </c>
      <c r="AO149" s="104">
        <v>0</v>
      </c>
      <c r="AP149" s="104">
        <v>0</v>
      </c>
      <c r="AQ149" s="104">
        <v>0</v>
      </c>
      <c r="AR149" s="104">
        <v>0</v>
      </c>
      <c r="AS149" s="104">
        <v>0</v>
      </c>
      <c r="AT149" s="104">
        <v>0</v>
      </c>
      <c r="AU149" s="104">
        <v>0</v>
      </c>
      <c r="AV149" s="104">
        <v>0</v>
      </c>
      <c r="AW149" s="104">
        <v>0</v>
      </c>
      <c r="AX149" s="104">
        <v>0</v>
      </c>
      <c r="AY149" s="104">
        <v>0</v>
      </c>
    </row>
    <row r="150" spans="1:51">
      <c r="A150" s="107"/>
      <c r="B150" s="124">
        <v>29</v>
      </c>
      <c r="C150" s="104">
        <v>0</v>
      </c>
      <c r="D150" s="104">
        <v>0</v>
      </c>
      <c r="E150" s="104">
        <v>0</v>
      </c>
      <c r="F150" s="104">
        <v>0</v>
      </c>
      <c r="G150" s="104">
        <v>0</v>
      </c>
      <c r="H150" s="104">
        <v>0</v>
      </c>
      <c r="I150" s="104">
        <v>0</v>
      </c>
      <c r="J150" s="104">
        <v>0</v>
      </c>
      <c r="K150" s="104">
        <v>0</v>
      </c>
      <c r="L150" s="104">
        <v>0</v>
      </c>
      <c r="M150" s="104">
        <v>0</v>
      </c>
      <c r="N150" s="104">
        <v>0</v>
      </c>
      <c r="O150" s="104">
        <v>0</v>
      </c>
      <c r="P150" s="104">
        <v>0</v>
      </c>
      <c r="Q150" s="104">
        <v>0</v>
      </c>
      <c r="R150" s="104">
        <v>0</v>
      </c>
      <c r="S150" s="104">
        <v>0</v>
      </c>
      <c r="T150" s="104">
        <v>0</v>
      </c>
      <c r="U150" s="104">
        <v>0</v>
      </c>
      <c r="V150" s="104">
        <v>0</v>
      </c>
      <c r="W150" s="104">
        <v>0</v>
      </c>
      <c r="X150" s="104">
        <v>0</v>
      </c>
      <c r="Y150" s="104">
        <v>0</v>
      </c>
      <c r="Z150" s="104">
        <v>0</v>
      </c>
      <c r="AA150" s="104">
        <v>0</v>
      </c>
      <c r="AB150" s="104">
        <v>0</v>
      </c>
      <c r="AC150" s="104">
        <v>0</v>
      </c>
      <c r="AD150" s="104">
        <v>0</v>
      </c>
      <c r="AE150" s="104">
        <v>0</v>
      </c>
      <c r="AF150" s="104">
        <v>0</v>
      </c>
      <c r="AG150" s="104">
        <v>0</v>
      </c>
      <c r="AH150" s="104">
        <v>0</v>
      </c>
      <c r="AI150" s="104">
        <v>0</v>
      </c>
      <c r="AJ150" s="104">
        <v>0</v>
      </c>
      <c r="AK150" s="104">
        <v>0</v>
      </c>
      <c r="AL150" s="104">
        <v>0</v>
      </c>
      <c r="AM150" s="104">
        <v>0</v>
      </c>
      <c r="AN150" s="104">
        <v>0</v>
      </c>
      <c r="AO150" s="104">
        <v>0</v>
      </c>
      <c r="AP150" s="104">
        <v>0</v>
      </c>
      <c r="AQ150" s="104">
        <v>0</v>
      </c>
      <c r="AR150" s="104">
        <v>0</v>
      </c>
      <c r="AS150" s="104">
        <v>0</v>
      </c>
      <c r="AT150" s="104">
        <v>0</v>
      </c>
      <c r="AU150" s="104">
        <v>0</v>
      </c>
      <c r="AV150" s="104">
        <v>0</v>
      </c>
      <c r="AW150" s="104">
        <v>0</v>
      </c>
      <c r="AX150" s="104">
        <v>0</v>
      </c>
      <c r="AY150" s="104">
        <v>0</v>
      </c>
    </row>
    <row r="151" spans="1:51">
      <c r="A151" s="107"/>
      <c r="B151" s="124">
        <v>30</v>
      </c>
      <c r="C151" s="104">
        <v>0</v>
      </c>
      <c r="D151" s="104">
        <v>0</v>
      </c>
      <c r="E151" s="104">
        <v>0</v>
      </c>
      <c r="F151" s="104">
        <v>0</v>
      </c>
      <c r="G151" s="104">
        <v>0</v>
      </c>
      <c r="H151" s="104">
        <v>0</v>
      </c>
      <c r="I151" s="104">
        <v>0</v>
      </c>
      <c r="J151" s="104">
        <v>0</v>
      </c>
      <c r="K151" s="104">
        <v>0</v>
      </c>
      <c r="L151" s="104">
        <v>0</v>
      </c>
      <c r="M151" s="104">
        <v>0</v>
      </c>
      <c r="N151" s="104">
        <v>0</v>
      </c>
      <c r="O151" s="104">
        <v>0</v>
      </c>
      <c r="P151" s="104">
        <v>0</v>
      </c>
      <c r="Q151" s="104">
        <v>0</v>
      </c>
      <c r="R151" s="104">
        <v>0</v>
      </c>
      <c r="S151" s="104">
        <v>0</v>
      </c>
      <c r="T151" s="104">
        <v>0</v>
      </c>
      <c r="U151" s="104">
        <v>0</v>
      </c>
      <c r="V151" s="104">
        <v>0</v>
      </c>
      <c r="W151" s="104">
        <v>0</v>
      </c>
      <c r="X151" s="104">
        <v>0</v>
      </c>
      <c r="Y151" s="104">
        <v>0</v>
      </c>
      <c r="Z151" s="104">
        <v>0</v>
      </c>
      <c r="AA151" s="104">
        <v>0</v>
      </c>
      <c r="AB151" s="104">
        <v>0</v>
      </c>
      <c r="AC151" s="104">
        <v>0</v>
      </c>
      <c r="AD151" s="104">
        <v>0</v>
      </c>
      <c r="AE151" s="104">
        <v>0</v>
      </c>
      <c r="AF151" s="104">
        <v>0</v>
      </c>
      <c r="AG151" s="104">
        <v>0</v>
      </c>
      <c r="AH151" s="104">
        <v>0</v>
      </c>
      <c r="AI151" s="104">
        <v>0</v>
      </c>
      <c r="AJ151" s="104">
        <v>0</v>
      </c>
      <c r="AK151" s="104">
        <v>0</v>
      </c>
      <c r="AL151" s="104">
        <v>0</v>
      </c>
      <c r="AM151" s="104">
        <v>0</v>
      </c>
      <c r="AN151" s="104">
        <v>0</v>
      </c>
      <c r="AO151" s="104">
        <v>0</v>
      </c>
      <c r="AP151" s="104">
        <v>0</v>
      </c>
      <c r="AQ151" s="104">
        <v>0</v>
      </c>
      <c r="AR151" s="104">
        <v>0</v>
      </c>
      <c r="AS151" s="104">
        <v>0</v>
      </c>
      <c r="AT151" s="104">
        <v>0</v>
      </c>
      <c r="AU151" s="104">
        <v>0</v>
      </c>
      <c r="AV151" s="104">
        <v>0</v>
      </c>
      <c r="AW151" s="104">
        <v>0</v>
      </c>
      <c r="AX151" s="104">
        <v>0</v>
      </c>
      <c r="AY151" s="104">
        <v>0</v>
      </c>
    </row>
    <row r="152" spans="1:51">
      <c r="A152" s="107"/>
      <c r="B152" s="124">
        <v>31</v>
      </c>
      <c r="C152" s="104">
        <v>0</v>
      </c>
      <c r="D152" s="104">
        <v>0</v>
      </c>
      <c r="E152" s="104">
        <v>0</v>
      </c>
      <c r="F152" s="104">
        <v>0</v>
      </c>
      <c r="G152" s="104">
        <v>0</v>
      </c>
      <c r="H152" s="104">
        <v>0</v>
      </c>
      <c r="I152" s="104">
        <v>0</v>
      </c>
      <c r="J152" s="104">
        <v>0</v>
      </c>
      <c r="K152" s="104">
        <v>0</v>
      </c>
      <c r="L152" s="104">
        <v>0</v>
      </c>
      <c r="M152" s="104">
        <v>0</v>
      </c>
      <c r="N152" s="104">
        <v>0</v>
      </c>
      <c r="O152" s="104">
        <v>0</v>
      </c>
      <c r="P152" s="104">
        <v>0</v>
      </c>
      <c r="Q152" s="104">
        <v>0</v>
      </c>
      <c r="R152" s="104">
        <v>0</v>
      </c>
      <c r="S152" s="104">
        <v>0</v>
      </c>
      <c r="T152" s="104">
        <v>0</v>
      </c>
      <c r="U152" s="104">
        <v>0</v>
      </c>
      <c r="V152" s="104">
        <v>0</v>
      </c>
      <c r="W152" s="104">
        <v>0</v>
      </c>
      <c r="X152" s="104">
        <v>0</v>
      </c>
      <c r="Y152" s="104">
        <v>0</v>
      </c>
      <c r="Z152" s="104">
        <v>0</v>
      </c>
      <c r="AA152" s="104">
        <v>0</v>
      </c>
      <c r="AB152" s="104">
        <v>0</v>
      </c>
      <c r="AC152" s="104">
        <v>0</v>
      </c>
      <c r="AD152" s="104">
        <v>0</v>
      </c>
      <c r="AE152" s="104">
        <v>0</v>
      </c>
      <c r="AF152" s="104">
        <v>0</v>
      </c>
      <c r="AG152" s="104">
        <v>0</v>
      </c>
      <c r="AH152" s="104">
        <v>0</v>
      </c>
      <c r="AI152" s="104">
        <v>0</v>
      </c>
      <c r="AJ152" s="104">
        <v>0</v>
      </c>
      <c r="AK152" s="104">
        <v>0</v>
      </c>
      <c r="AL152" s="104">
        <v>0</v>
      </c>
      <c r="AM152" s="104">
        <v>0</v>
      </c>
      <c r="AN152" s="104">
        <v>0</v>
      </c>
      <c r="AO152" s="104">
        <v>0</v>
      </c>
      <c r="AP152" s="104">
        <v>0</v>
      </c>
      <c r="AQ152" s="104">
        <v>0</v>
      </c>
      <c r="AR152" s="104">
        <v>0</v>
      </c>
      <c r="AS152" s="104">
        <v>0</v>
      </c>
      <c r="AT152" s="104">
        <v>0</v>
      </c>
      <c r="AU152" s="104">
        <v>0</v>
      </c>
      <c r="AV152" s="104">
        <v>0</v>
      </c>
      <c r="AW152" s="104">
        <v>0</v>
      </c>
      <c r="AX152" s="104">
        <v>0</v>
      </c>
      <c r="AY152" s="104">
        <v>0</v>
      </c>
    </row>
    <row r="153" spans="1:51">
      <c r="A153" s="107"/>
      <c r="B153" s="124">
        <v>32</v>
      </c>
      <c r="C153" s="104">
        <v>0</v>
      </c>
      <c r="D153" s="104">
        <v>0</v>
      </c>
      <c r="E153" s="104">
        <v>0</v>
      </c>
      <c r="F153" s="104">
        <v>0</v>
      </c>
      <c r="G153" s="104">
        <v>0</v>
      </c>
      <c r="H153" s="104">
        <v>0</v>
      </c>
      <c r="I153" s="104">
        <v>0</v>
      </c>
      <c r="J153" s="104">
        <v>0</v>
      </c>
      <c r="K153" s="104">
        <v>0</v>
      </c>
      <c r="L153" s="104">
        <v>0</v>
      </c>
      <c r="M153" s="104">
        <v>0</v>
      </c>
      <c r="N153" s="104">
        <v>0</v>
      </c>
      <c r="O153" s="104">
        <v>0</v>
      </c>
      <c r="P153" s="104">
        <v>0</v>
      </c>
      <c r="Q153" s="104">
        <v>0</v>
      </c>
      <c r="R153" s="104">
        <v>0</v>
      </c>
      <c r="S153" s="104">
        <v>0</v>
      </c>
      <c r="T153" s="104">
        <v>0</v>
      </c>
      <c r="U153" s="104">
        <v>0</v>
      </c>
      <c r="V153" s="104">
        <v>0</v>
      </c>
      <c r="W153" s="104">
        <v>0</v>
      </c>
      <c r="X153" s="104">
        <v>0</v>
      </c>
      <c r="Y153" s="104">
        <v>0</v>
      </c>
      <c r="Z153" s="104">
        <v>0</v>
      </c>
      <c r="AA153" s="104">
        <v>0</v>
      </c>
      <c r="AB153" s="104">
        <v>0</v>
      </c>
      <c r="AC153" s="104">
        <v>0</v>
      </c>
      <c r="AD153" s="104">
        <v>0</v>
      </c>
      <c r="AE153" s="104">
        <v>0</v>
      </c>
      <c r="AF153" s="104">
        <v>0</v>
      </c>
      <c r="AG153" s="104">
        <v>0</v>
      </c>
      <c r="AH153" s="104">
        <v>0</v>
      </c>
      <c r="AI153" s="104">
        <v>0</v>
      </c>
      <c r="AJ153" s="104">
        <v>0</v>
      </c>
      <c r="AK153" s="104">
        <v>0</v>
      </c>
      <c r="AL153" s="104">
        <v>0</v>
      </c>
      <c r="AM153" s="104">
        <v>0</v>
      </c>
      <c r="AN153" s="104">
        <v>0</v>
      </c>
      <c r="AO153" s="104">
        <v>0</v>
      </c>
      <c r="AP153" s="104">
        <v>0</v>
      </c>
      <c r="AQ153" s="104">
        <v>0</v>
      </c>
      <c r="AR153" s="104">
        <v>0</v>
      </c>
      <c r="AS153" s="104">
        <v>0</v>
      </c>
      <c r="AT153" s="104">
        <v>0</v>
      </c>
      <c r="AU153" s="104">
        <v>0</v>
      </c>
      <c r="AV153" s="104">
        <v>0</v>
      </c>
      <c r="AW153" s="104">
        <v>0</v>
      </c>
      <c r="AX153" s="104">
        <v>0</v>
      </c>
      <c r="AY153" s="104">
        <v>0</v>
      </c>
    </row>
    <row r="154" spans="1:51">
      <c r="A154" s="107"/>
      <c r="B154" s="124">
        <v>33</v>
      </c>
      <c r="C154" s="104">
        <v>0</v>
      </c>
      <c r="D154" s="104">
        <v>0</v>
      </c>
      <c r="E154" s="104">
        <v>0</v>
      </c>
      <c r="F154" s="104">
        <v>0</v>
      </c>
      <c r="G154" s="104">
        <v>0</v>
      </c>
      <c r="H154" s="104">
        <v>0</v>
      </c>
      <c r="I154" s="104">
        <v>0</v>
      </c>
      <c r="J154" s="104">
        <v>0</v>
      </c>
      <c r="K154" s="104">
        <v>0</v>
      </c>
      <c r="L154" s="104">
        <v>0</v>
      </c>
      <c r="M154" s="104">
        <v>0</v>
      </c>
      <c r="N154" s="104">
        <v>0</v>
      </c>
      <c r="O154" s="104">
        <v>0</v>
      </c>
      <c r="P154" s="104">
        <v>0</v>
      </c>
      <c r="Q154" s="104">
        <v>0</v>
      </c>
      <c r="R154" s="104">
        <v>0</v>
      </c>
      <c r="S154" s="104">
        <v>0</v>
      </c>
      <c r="T154" s="104">
        <v>0</v>
      </c>
      <c r="U154" s="104">
        <v>0</v>
      </c>
      <c r="V154" s="104">
        <v>0</v>
      </c>
      <c r="W154" s="104">
        <v>0</v>
      </c>
      <c r="X154" s="104">
        <v>0</v>
      </c>
      <c r="Y154" s="104">
        <v>0</v>
      </c>
      <c r="Z154" s="104">
        <v>0</v>
      </c>
      <c r="AA154" s="104">
        <v>0</v>
      </c>
      <c r="AB154" s="104">
        <v>0</v>
      </c>
      <c r="AC154" s="104">
        <v>0</v>
      </c>
      <c r="AD154" s="104">
        <v>0</v>
      </c>
      <c r="AE154" s="104">
        <v>0</v>
      </c>
      <c r="AF154" s="104">
        <v>0</v>
      </c>
      <c r="AG154" s="104">
        <v>0</v>
      </c>
      <c r="AH154" s="104">
        <v>0</v>
      </c>
      <c r="AI154" s="104">
        <v>0</v>
      </c>
      <c r="AJ154" s="104">
        <v>0</v>
      </c>
      <c r="AK154" s="104">
        <v>0</v>
      </c>
      <c r="AL154" s="104">
        <v>0</v>
      </c>
      <c r="AM154" s="104">
        <v>0</v>
      </c>
      <c r="AN154" s="104">
        <v>0</v>
      </c>
      <c r="AO154" s="104">
        <v>0</v>
      </c>
      <c r="AP154" s="104">
        <v>0</v>
      </c>
      <c r="AQ154" s="104">
        <v>0</v>
      </c>
      <c r="AR154" s="104">
        <v>0</v>
      </c>
      <c r="AS154" s="104">
        <v>0</v>
      </c>
      <c r="AT154" s="104">
        <v>0</v>
      </c>
      <c r="AU154" s="104">
        <v>0</v>
      </c>
      <c r="AV154" s="104">
        <v>0</v>
      </c>
      <c r="AW154" s="104">
        <v>0</v>
      </c>
      <c r="AX154" s="104">
        <v>0</v>
      </c>
      <c r="AY154" s="104">
        <v>0</v>
      </c>
    </row>
    <row r="155" spans="1:51">
      <c r="A155" s="107"/>
      <c r="B155" s="124">
        <v>34</v>
      </c>
      <c r="C155" s="104">
        <v>0</v>
      </c>
      <c r="D155" s="104">
        <v>0</v>
      </c>
      <c r="E155" s="104">
        <v>0</v>
      </c>
      <c r="F155" s="104">
        <v>0</v>
      </c>
      <c r="G155" s="104">
        <v>0</v>
      </c>
      <c r="H155" s="104">
        <v>0</v>
      </c>
      <c r="I155" s="104">
        <v>0</v>
      </c>
      <c r="J155" s="104">
        <v>0</v>
      </c>
      <c r="K155" s="104">
        <v>0</v>
      </c>
      <c r="L155" s="104">
        <v>0</v>
      </c>
      <c r="M155" s="104">
        <v>0</v>
      </c>
      <c r="N155" s="104">
        <v>0</v>
      </c>
      <c r="O155" s="104">
        <v>0</v>
      </c>
      <c r="P155" s="104">
        <v>0</v>
      </c>
      <c r="Q155" s="104">
        <v>0</v>
      </c>
      <c r="R155" s="104">
        <v>0</v>
      </c>
      <c r="S155" s="104">
        <v>0</v>
      </c>
      <c r="T155" s="104">
        <v>0</v>
      </c>
      <c r="U155" s="104">
        <v>0</v>
      </c>
      <c r="V155" s="104">
        <v>0</v>
      </c>
      <c r="W155" s="104">
        <v>0</v>
      </c>
      <c r="X155" s="104">
        <v>0</v>
      </c>
      <c r="Y155" s="104">
        <v>0</v>
      </c>
      <c r="Z155" s="104">
        <v>0</v>
      </c>
      <c r="AA155" s="104">
        <v>0</v>
      </c>
      <c r="AB155" s="104">
        <v>0</v>
      </c>
      <c r="AC155" s="104">
        <v>0</v>
      </c>
      <c r="AD155" s="104">
        <v>0</v>
      </c>
      <c r="AE155" s="104">
        <v>0</v>
      </c>
      <c r="AF155" s="104">
        <v>0</v>
      </c>
      <c r="AG155" s="104">
        <v>0</v>
      </c>
      <c r="AH155" s="104">
        <v>0</v>
      </c>
      <c r="AI155" s="104">
        <v>0</v>
      </c>
      <c r="AJ155" s="104">
        <v>0</v>
      </c>
      <c r="AK155" s="104">
        <v>0</v>
      </c>
      <c r="AL155" s="104">
        <v>0</v>
      </c>
      <c r="AM155" s="104">
        <v>0</v>
      </c>
      <c r="AN155" s="104">
        <v>0</v>
      </c>
      <c r="AO155" s="104">
        <v>0</v>
      </c>
      <c r="AP155" s="104">
        <v>0</v>
      </c>
      <c r="AQ155" s="104">
        <v>0</v>
      </c>
      <c r="AR155" s="104">
        <v>0</v>
      </c>
      <c r="AS155" s="104">
        <v>0</v>
      </c>
      <c r="AT155" s="104">
        <v>0</v>
      </c>
      <c r="AU155" s="104">
        <v>0</v>
      </c>
      <c r="AV155" s="104">
        <v>0</v>
      </c>
      <c r="AW155" s="104">
        <v>0</v>
      </c>
      <c r="AX155" s="104">
        <v>0</v>
      </c>
      <c r="AY155" s="104">
        <v>0</v>
      </c>
    </row>
    <row r="156" spans="1:51">
      <c r="A156" s="107"/>
      <c r="B156" s="124">
        <v>35</v>
      </c>
      <c r="C156" s="104">
        <v>0</v>
      </c>
      <c r="D156" s="104">
        <v>0</v>
      </c>
      <c r="E156" s="104">
        <v>0</v>
      </c>
      <c r="F156" s="104">
        <v>0</v>
      </c>
      <c r="G156" s="104">
        <v>0</v>
      </c>
      <c r="H156" s="104">
        <v>0</v>
      </c>
      <c r="I156" s="104">
        <v>0</v>
      </c>
      <c r="J156" s="104">
        <v>0</v>
      </c>
      <c r="K156" s="104">
        <v>0</v>
      </c>
      <c r="L156" s="104">
        <v>0</v>
      </c>
      <c r="M156" s="104">
        <v>0</v>
      </c>
      <c r="N156" s="104">
        <v>0</v>
      </c>
      <c r="O156" s="104">
        <v>0</v>
      </c>
      <c r="P156" s="104">
        <v>0</v>
      </c>
      <c r="Q156" s="104">
        <v>0</v>
      </c>
      <c r="R156" s="104">
        <v>0</v>
      </c>
      <c r="S156" s="104">
        <v>0</v>
      </c>
      <c r="T156" s="104">
        <v>0</v>
      </c>
      <c r="U156" s="104">
        <v>0</v>
      </c>
      <c r="V156" s="104">
        <v>0</v>
      </c>
      <c r="W156" s="104">
        <v>0</v>
      </c>
      <c r="X156" s="104">
        <v>0</v>
      </c>
      <c r="Y156" s="104">
        <v>0</v>
      </c>
      <c r="Z156" s="104">
        <v>0</v>
      </c>
      <c r="AA156" s="104">
        <v>0</v>
      </c>
      <c r="AB156" s="104">
        <v>0</v>
      </c>
      <c r="AC156" s="104">
        <v>0</v>
      </c>
      <c r="AD156" s="104">
        <v>0</v>
      </c>
      <c r="AE156" s="104">
        <v>0</v>
      </c>
      <c r="AF156" s="104">
        <v>0</v>
      </c>
      <c r="AG156" s="104">
        <v>0</v>
      </c>
      <c r="AH156" s="104">
        <v>0</v>
      </c>
      <c r="AI156" s="104">
        <v>0</v>
      </c>
      <c r="AJ156" s="104">
        <v>0</v>
      </c>
      <c r="AK156" s="104">
        <v>0</v>
      </c>
      <c r="AL156" s="104">
        <v>0</v>
      </c>
      <c r="AM156" s="104">
        <v>0</v>
      </c>
      <c r="AN156" s="104">
        <v>0</v>
      </c>
      <c r="AO156" s="104">
        <v>0</v>
      </c>
      <c r="AP156" s="104">
        <v>0</v>
      </c>
      <c r="AQ156" s="104">
        <v>0</v>
      </c>
      <c r="AR156" s="104">
        <v>0</v>
      </c>
      <c r="AS156" s="104">
        <v>0</v>
      </c>
      <c r="AT156" s="104">
        <v>0</v>
      </c>
      <c r="AU156" s="104">
        <v>0</v>
      </c>
      <c r="AV156" s="104">
        <v>0</v>
      </c>
      <c r="AW156" s="104">
        <v>0</v>
      </c>
      <c r="AX156" s="104">
        <v>0</v>
      </c>
      <c r="AY156" s="104">
        <v>0</v>
      </c>
    </row>
    <row r="157" spans="1:51">
      <c r="A157" s="107"/>
      <c r="B157" s="124">
        <v>36</v>
      </c>
      <c r="C157" s="104">
        <v>0</v>
      </c>
      <c r="D157" s="104">
        <v>0</v>
      </c>
      <c r="E157" s="104">
        <v>0</v>
      </c>
      <c r="F157" s="104">
        <v>0</v>
      </c>
      <c r="G157" s="104">
        <v>0</v>
      </c>
      <c r="H157" s="104">
        <v>0</v>
      </c>
      <c r="I157" s="104">
        <v>0</v>
      </c>
      <c r="J157" s="104">
        <v>0</v>
      </c>
      <c r="K157" s="104">
        <v>0</v>
      </c>
      <c r="L157" s="104">
        <v>0</v>
      </c>
      <c r="M157" s="104">
        <v>0</v>
      </c>
      <c r="N157" s="104">
        <v>0</v>
      </c>
      <c r="O157" s="104">
        <v>0</v>
      </c>
      <c r="P157" s="104">
        <v>0</v>
      </c>
      <c r="Q157" s="104">
        <v>0</v>
      </c>
      <c r="R157" s="104">
        <v>0</v>
      </c>
      <c r="S157" s="104">
        <v>0</v>
      </c>
      <c r="T157" s="104">
        <v>0</v>
      </c>
      <c r="U157" s="104">
        <v>0</v>
      </c>
      <c r="V157" s="104">
        <v>0</v>
      </c>
      <c r="W157" s="104">
        <v>0</v>
      </c>
      <c r="X157" s="104">
        <v>0</v>
      </c>
      <c r="Y157" s="104">
        <v>0</v>
      </c>
      <c r="Z157" s="104">
        <v>0</v>
      </c>
      <c r="AA157" s="104">
        <v>0</v>
      </c>
      <c r="AB157" s="104">
        <v>0</v>
      </c>
      <c r="AC157" s="104">
        <v>0</v>
      </c>
      <c r="AD157" s="104">
        <v>0</v>
      </c>
      <c r="AE157" s="104">
        <v>0</v>
      </c>
      <c r="AF157" s="104">
        <v>0</v>
      </c>
      <c r="AG157" s="104">
        <v>0</v>
      </c>
      <c r="AH157" s="104">
        <v>0</v>
      </c>
      <c r="AI157" s="104">
        <v>0</v>
      </c>
      <c r="AJ157" s="104">
        <v>0</v>
      </c>
      <c r="AK157" s="104">
        <v>0</v>
      </c>
      <c r="AL157" s="104">
        <v>0</v>
      </c>
      <c r="AM157" s="104">
        <v>0</v>
      </c>
      <c r="AN157" s="104">
        <v>0</v>
      </c>
      <c r="AO157" s="104">
        <v>0</v>
      </c>
      <c r="AP157" s="104">
        <v>0</v>
      </c>
      <c r="AQ157" s="104">
        <v>0</v>
      </c>
      <c r="AR157" s="104">
        <v>0</v>
      </c>
      <c r="AS157" s="104">
        <v>0</v>
      </c>
      <c r="AT157" s="104">
        <v>0</v>
      </c>
      <c r="AU157" s="104">
        <v>0</v>
      </c>
      <c r="AV157" s="104">
        <v>0</v>
      </c>
      <c r="AW157" s="104">
        <v>0</v>
      </c>
      <c r="AX157" s="104">
        <v>0</v>
      </c>
      <c r="AY157" s="104">
        <v>0</v>
      </c>
    </row>
    <row r="158" spans="1:51">
      <c r="A158" s="107"/>
      <c r="B158" s="127">
        <v>37</v>
      </c>
      <c r="C158" s="104">
        <v>0</v>
      </c>
      <c r="D158" s="104">
        <v>0</v>
      </c>
      <c r="E158" s="104">
        <v>0</v>
      </c>
      <c r="F158" s="104">
        <v>0</v>
      </c>
      <c r="G158" s="104">
        <v>0</v>
      </c>
      <c r="H158" s="104">
        <v>0</v>
      </c>
      <c r="I158" s="104">
        <v>0</v>
      </c>
      <c r="J158" s="104">
        <v>0</v>
      </c>
      <c r="K158" s="104">
        <v>0</v>
      </c>
      <c r="L158" s="104">
        <v>0</v>
      </c>
      <c r="M158" s="104">
        <v>0</v>
      </c>
      <c r="N158" s="104">
        <v>0</v>
      </c>
      <c r="O158" s="104">
        <v>0</v>
      </c>
      <c r="P158" s="104">
        <v>0</v>
      </c>
      <c r="Q158" s="104">
        <v>0</v>
      </c>
      <c r="R158" s="104">
        <v>0</v>
      </c>
      <c r="S158" s="104">
        <v>0</v>
      </c>
      <c r="T158" s="104">
        <v>0</v>
      </c>
      <c r="U158" s="104">
        <v>0</v>
      </c>
      <c r="V158" s="104">
        <v>0</v>
      </c>
      <c r="W158" s="104">
        <v>0</v>
      </c>
      <c r="X158" s="104">
        <v>0</v>
      </c>
      <c r="Y158" s="104">
        <v>0</v>
      </c>
      <c r="Z158" s="104">
        <v>0</v>
      </c>
      <c r="AA158" s="104">
        <v>0</v>
      </c>
      <c r="AB158" s="104">
        <v>0</v>
      </c>
      <c r="AC158" s="104">
        <v>0</v>
      </c>
      <c r="AD158" s="104">
        <v>0</v>
      </c>
      <c r="AE158" s="104">
        <v>0</v>
      </c>
      <c r="AF158" s="104">
        <v>0</v>
      </c>
      <c r="AG158" s="104">
        <v>0</v>
      </c>
      <c r="AH158" s="104">
        <v>0</v>
      </c>
      <c r="AI158" s="104">
        <v>0</v>
      </c>
      <c r="AJ158" s="104">
        <v>0</v>
      </c>
      <c r="AK158" s="104">
        <v>0</v>
      </c>
      <c r="AL158" s="104">
        <v>0</v>
      </c>
      <c r="AM158" s="104">
        <v>0</v>
      </c>
      <c r="AN158" s="104">
        <v>0</v>
      </c>
      <c r="AO158" s="104">
        <v>0</v>
      </c>
      <c r="AP158" s="104">
        <v>0</v>
      </c>
      <c r="AQ158" s="104">
        <v>0</v>
      </c>
      <c r="AR158" s="104">
        <v>0</v>
      </c>
      <c r="AS158" s="104">
        <v>0</v>
      </c>
      <c r="AT158" s="104">
        <v>0</v>
      </c>
      <c r="AU158" s="104">
        <v>0</v>
      </c>
      <c r="AV158" s="104">
        <v>0</v>
      </c>
      <c r="AW158" s="104">
        <v>0</v>
      </c>
      <c r="AX158" s="104">
        <v>0</v>
      </c>
      <c r="AY158" s="104">
        <v>0</v>
      </c>
    </row>
    <row r="159" spans="1:51">
      <c r="A159" s="107"/>
      <c r="B159" s="127">
        <v>38</v>
      </c>
      <c r="C159" s="104">
        <v>0</v>
      </c>
      <c r="D159" s="104">
        <v>0</v>
      </c>
      <c r="E159" s="104">
        <v>0</v>
      </c>
      <c r="F159" s="104">
        <v>0</v>
      </c>
      <c r="G159" s="104">
        <v>0</v>
      </c>
      <c r="H159" s="104">
        <v>0</v>
      </c>
      <c r="I159" s="104">
        <v>0</v>
      </c>
      <c r="J159" s="104">
        <v>0</v>
      </c>
      <c r="K159" s="104">
        <v>0</v>
      </c>
      <c r="L159" s="104">
        <v>0</v>
      </c>
      <c r="M159" s="104">
        <v>0</v>
      </c>
      <c r="N159" s="104">
        <v>0</v>
      </c>
      <c r="O159" s="104">
        <v>0</v>
      </c>
      <c r="P159" s="104">
        <v>0</v>
      </c>
      <c r="Q159" s="104">
        <v>0</v>
      </c>
      <c r="R159" s="104">
        <v>0</v>
      </c>
      <c r="S159" s="104">
        <v>0</v>
      </c>
      <c r="T159" s="104">
        <v>0</v>
      </c>
      <c r="U159" s="104">
        <v>0</v>
      </c>
      <c r="V159" s="104">
        <v>0</v>
      </c>
      <c r="W159" s="104">
        <v>0</v>
      </c>
      <c r="X159" s="104">
        <v>0</v>
      </c>
      <c r="Y159" s="104">
        <v>0</v>
      </c>
      <c r="Z159" s="104">
        <v>0</v>
      </c>
      <c r="AA159" s="104">
        <v>0</v>
      </c>
      <c r="AB159" s="104">
        <v>0</v>
      </c>
      <c r="AC159" s="104">
        <v>0</v>
      </c>
      <c r="AD159" s="104">
        <v>0</v>
      </c>
      <c r="AE159" s="104">
        <v>0</v>
      </c>
      <c r="AF159" s="104">
        <v>0</v>
      </c>
      <c r="AG159" s="104">
        <v>0</v>
      </c>
      <c r="AH159" s="104">
        <v>0</v>
      </c>
      <c r="AI159" s="104">
        <v>0</v>
      </c>
      <c r="AJ159" s="104">
        <v>0</v>
      </c>
      <c r="AK159" s="104">
        <v>0</v>
      </c>
      <c r="AL159" s="104">
        <v>0</v>
      </c>
      <c r="AM159" s="104">
        <v>0</v>
      </c>
      <c r="AN159" s="104">
        <v>0</v>
      </c>
      <c r="AO159" s="104">
        <v>0</v>
      </c>
      <c r="AP159" s="104">
        <v>0</v>
      </c>
      <c r="AQ159" s="104">
        <v>0</v>
      </c>
      <c r="AR159" s="104">
        <v>0</v>
      </c>
      <c r="AS159" s="104">
        <v>0</v>
      </c>
      <c r="AT159" s="104">
        <v>0</v>
      </c>
      <c r="AU159" s="104">
        <v>0</v>
      </c>
      <c r="AV159" s="104">
        <v>0</v>
      </c>
      <c r="AW159" s="104">
        <v>0</v>
      </c>
      <c r="AX159" s="104">
        <v>0</v>
      </c>
      <c r="AY159" s="104">
        <v>0</v>
      </c>
    </row>
    <row r="160" spans="1:51">
      <c r="A160" s="107"/>
      <c r="B160" s="127">
        <v>39</v>
      </c>
      <c r="C160" s="104">
        <v>0</v>
      </c>
      <c r="D160" s="104">
        <v>0</v>
      </c>
      <c r="E160" s="104">
        <v>0</v>
      </c>
      <c r="F160" s="104">
        <v>0</v>
      </c>
      <c r="G160" s="104">
        <v>0</v>
      </c>
      <c r="H160" s="104">
        <v>0</v>
      </c>
      <c r="I160" s="104">
        <v>0</v>
      </c>
      <c r="J160" s="104">
        <v>0</v>
      </c>
      <c r="K160" s="104">
        <v>0</v>
      </c>
      <c r="L160" s="104">
        <v>0</v>
      </c>
      <c r="M160" s="104">
        <v>0</v>
      </c>
      <c r="N160" s="104">
        <v>0</v>
      </c>
      <c r="O160" s="104">
        <v>0</v>
      </c>
      <c r="P160" s="104">
        <v>0</v>
      </c>
      <c r="Q160" s="104">
        <v>0</v>
      </c>
      <c r="R160" s="104">
        <v>0</v>
      </c>
      <c r="S160" s="104">
        <v>0</v>
      </c>
      <c r="T160" s="104">
        <v>0</v>
      </c>
      <c r="U160" s="104">
        <v>0</v>
      </c>
      <c r="V160" s="104">
        <v>0</v>
      </c>
      <c r="W160" s="104">
        <v>0</v>
      </c>
      <c r="X160" s="104">
        <v>0</v>
      </c>
      <c r="Y160" s="104">
        <v>0</v>
      </c>
      <c r="Z160" s="104">
        <v>0</v>
      </c>
      <c r="AA160" s="104">
        <v>0</v>
      </c>
      <c r="AB160" s="104">
        <v>0</v>
      </c>
      <c r="AC160" s="104">
        <v>0</v>
      </c>
      <c r="AD160" s="104">
        <v>0</v>
      </c>
      <c r="AE160" s="104">
        <v>0</v>
      </c>
      <c r="AF160" s="104">
        <v>0</v>
      </c>
      <c r="AG160" s="104">
        <v>0</v>
      </c>
      <c r="AH160" s="104">
        <v>0</v>
      </c>
      <c r="AI160" s="104">
        <v>0</v>
      </c>
      <c r="AJ160" s="104">
        <v>0</v>
      </c>
      <c r="AK160" s="104">
        <v>0</v>
      </c>
      <c r="AL160" s="104">
        <v>0</v>
      </c>
      <c r="AM160" s="104">
        <v>0</v>
      </c>
      <c r="AN160" s="104">
        <v>0</v>
      </c>
      <c r="AO160" s="104">
        <v>0</v>
      </c>
      <c r="AP160" s="104">
        <v>0</v>
      </c>
      <c r="AQ160" s="104">
        <v>0</v>
      </c>
      <c r="AR160" s="104">
        <v>0</v>
      </c>
      <c r="AS160" s="104">
        <v>0</v>
      </c>
      <c r="AT160" s="104">
        <v>0</v>
      </c>
      <c r="AU160" s="104">
        <v>0</v>
      </c>
      <c r="AV160" s="104">
        <v>0</v>
      </c>
      <c r="AW160" s="104">
        <v>0</v>
      </c>
      <c r="AX160" s="104">
        <v>0</v>
      </c>
      <c r="AY160" s="104">
        <v>0</v>
      </c>
    </row>
    <row r="161" spans="1:52">
      <c r="A161" s="107"/>
      <c r="B161" s="127">
        <v>40</v>
      </c>
      <c r="C161" s="104">
        <v>0</v>
      </c>
      <c r="D161" s="104">
        <v>0</v>
      </c>
      <c r="E161" s="104">
        <v>0</v>
      </c>
      <c r="F161" s="104">
        <v>0</v>
      </c>
      <c r="G161" s="104">
        <v>0</v>
      </c>
      <c r="H161" s="104">
        <v>0</v>
      </c>
      <c r="I161" s="104">
        <v>0</v>
      </c>
      <c r="J161" s="104">
        <v>0</v>
      </c>
      <c r="K161" s="104">
        <v>0</v>
      </c>
      <c r="L161" s="104">
        <v>0</v>
      </c>
      <c r="M161" s="104">
        <v>0</v>
      </c>
      <c r="N161" s="104">
        <v>0</v>
      </c>
      <c r="O161" s="104">
        <v>0</v>
      </c>
      <c r="P161" s="104">
        <v>0</v>
      </c>
      <c r="Q161" s="104">
        <v>0</v>
      </c>
      <c r="R161" s="104">
        <v>0</v>
      </c>
      <c r="S161" s="104">
        <v>0</v>
      </c>
      <c r="T161" s="104">
        <v>0</v>
      </c>
      <c r="U161" s="104">
        <v>0</v>
      </c>
      <c r="V161" s="104">
        <v>0</v>
      </c>
      <c r="W161" s="104">
        <v>0</v>
      </c>
      <c r="X161" s="104">
        <v>0</v>
      </c>
      <c r="Y161" s="104">
        <v>0</v>
      </c>
      <c r="Z161" s="104">
        <v>0</v>
      </c>
      <c r="AA161" s="104">
        <v>0</v>
      </c>
      <c r="AB161" s="104">
        <v>0</v>
      </c>
      <c r="AC161" s="104">
        <v>0</v>
      </c>
      <c r="AD161" s="104">
        <v>0</v>
      </c>
      <c r="AE161" s="104">
        <v>0</v>
      </c>
      <c r="AF161" s="104">
        <v>0</v>
      </c>
      <c r="AG161" s="104">
        <v>0</v>
      </c>
      <c r="AH161" s="104">
        <v>0</v>
      </c>
      <c r="AI161" s="104">
        <v>0</v>
      </c>
      <c r="AJ161" s="104">
        <v>0</v>
      </c>
      <c r="AK161" s="104">
        <v>0</v>
      </c>
      <c r="AL161" s="104">
        <v>0</v>
      </c>
      <c r="AM161" s="104">
        <v>0</v>
      </c>
      <c r="AN161" s="104">
        <v>0</v>
      </c>
      <c r="AO161" s="104">
        <v>0</v>
      </c>
      <c r="AP161" s="104">
        <v>0</v>
      </c>
      <c r="AQ161" s="104">
        <v>0</v>
      </c>
      <c r="AR161" s="104">
        <v>0</v>
      </c>
      <c r="AS161" s="104">
        <v>0</v>
      </c>
      <c r="AT161" s="104">
        <v>0</v>
      </c>
      <c r="AU161" s="104">
        <v>0</v>
      </c>
      <c r="AV161" s="104">
        <v>0</v>
      </c>
      <c r="AW161" s="104">
        <v>0</v>
      </c>
      <c r="AX161" s="104">
        <v>0</v>
      </c>
      <c r="AY161" s="104">
        <v>0</v>
      </c>
    </row>
    <row r="162" spans="1:52">
      <c r="A162" s="107"/>
      <c r="B162" s="127">
        <v>41</v>
      </c>
      <c r="C162" s="104">
        <v>0</v>
      </c>
      <c r="D162" s="104">
        <v>0</v>
      </c>
      <c r="E162" s="104">
        <v>0</v>
      </c>
      <c r="F162" s="104">
        <v>0</v>
      </c>
      <c r="G162" s="104">
        <v>0</v>
      </c>
      <c r="H162" s="104">
        <v>0</v>
      </c>
      <c r="I162" s="104">
        <v>0</v>
      </c>
      <c r="J162" s="104">
        <v>0</v>
      </c>
      <c r="K162" s="104">
        <v>0</v>
      </c>
      <c r="L162" s="104">
        <v>0</v>
      </c>
      <c r="M162" s="104">
        <v>0</v>
      </c>
      <c r="N162" s="104">
        <v>0</v>
      </c>
      <c r="O162" s="104">
        <v>0</v>
      </c>
      <c r="P162" s="104">
        <v>0</v>
      </c>
      <c r="Q162" s="104">
        <v>0</v>
      </c>
      <c r="R162" s="104">
        <v>0</v>
      </c>
      <c r="S162" s="104">
        <v>0</v>
      </c>
      <c r="T162" s="104">
        <v>0</v>
      </c>
      <c r="U162" s="104">
        <v>0</v>
      </c>
      <c r="V162" s="104">
        <v>0</v>
      </c>
      <c r="W162" s="104">
        <v>0</v>
      </c>
      <c r="X162" s="104">
        <v>0</v>
      </c>
      <c r="Y162" s="104">
        <v>0</v>
      </c>
      <c r="Z162" s="104">
        <v>0</v>
      </c>
      <c r="AA162" s="104">
        <v>0</v>
      </c>
      <c r="AB162" s="104">
        <v>0</v>
      </c>
      <c r="AC162" s="104">
        <v>0</v>
      </c>
      <c r="AD162" s="104">
        <v>0</v>
      </c>
      <c r="AE162" s="104">
        <v>0</v>
      </c>
      <c r="AF162" s="104">
        <v>0</v>
      </c>
      <c r="AG162" s="104">
        <v>0</v>
      </c>
      <c r="AH162" s="104">
        <v>0</v>
      </c>
      <c r="AI162" s="104">
        <v>0</v>
      </c>
      <c r="AJ162" s="104">
        <v>0</v>
      </c>
      <c r="AK162" s="104">
        <v>0</v>
      </c>
      <c r="AL162" s="104">
        <v>0</v>
      </c>
      <c r="AM162" s="104">
        <v>0</v>
      </c>
      <c r="AN162" s="104">
        <v>0</v>
      </c>
      <c r="AO162" s="104">
        <v>0</v>
      </c>
      <c r="AP162" s="104">
        <v>0</v>
      </c>
      <c r="AQ162" s="104">
        <v>0</v>
      </c>
      <c r="AR162" s="104">
        <v>0</v>
      </c>
      <c r="AS162" s="104">
        <v>0</v>
      </c>
      <c r="AT162" s="104">
        <v>0</v>
      </c>
      <c r="AU162" s="104">
        <v>0</v>
      </c>
      <c r="AV162" s="104">
        <v>0</v>
      </c>
      <c r="AW162" s="104">
        <v>0</v>
      </c>
      <c r="AX162" s="104">
        <v>0</v>
      </c>
      <c r="AY162" s="104">
        <v>0</v>
      </c>
    </row>
    <row r="163" spans="1:52">
      <c r="A163" s="107"/>
      <c r="B163" s="127">
        <v>42</v>
      </c>
      <c r="C163" s="104">
        <v>0</v>
      </c>
      <c r="D163" s="104">
        <v>0</v>
      </c>
      <c r="E163" s="104">
        <v>0</v>
      </c>
      <c r="F163" s="104">
        <v>0</v>
      </c>
      <c r="G163" s="104">
        <v>0</v>
      </c>
      <c r="H163" s="104">
        <v>0</v>
      </c>
      <c r="I163" s="104">
        <v>0</v>
      </c>
      <c r="J163" s="104">
        <v>0</v>
      </c>
      <c r="K163" s="104">
        <v>0</v>
      </c>
      <c r="L163" s="104">
        <v>0</v>
      </c>
      <c r="M163" s="104">
        <v>0</v>
      </c>
      <c r="N163" s="104">
        <v>0</v>
      </c>
      <c r="O163" s="104">
        <v>0</v>
      </c>
      <c r="P163" s="104">
        <v>0</v>
      </c>
      <c r="Q163" s="104">
        <v>0</v>
      </c>
      <c r="R163" s="104">
        <v>0</v>
      </c>
      <c r="S163" s="104">
        <v>0</v>
      </c>
      <c r="T163" s="104">
        <v>0</v>
      </c>
      <c r="U163" s="104">
        <v>0</v>
      </c>
      <c r="V163" s="104">
        <v>0</v>
      </c>
      <c r="W163" s="104">
        <v>0</v>
      </c>
      <c r="X163" s="104">
        <v>0</v>
      </c>
      <c r="Y163" s="104">
        <v>0</v>
      </c>
      <c r="Z163" s="104">
        <v>0</v>
      </c>
      <c r="AA163" s="104">
        <v>0</v>
      </c>
      <c r="AB163" s="104">
        <v>0</v>
      </c>
      <c r="AC163" s="104">
        <v>0</v>
      </c>
      <c r="AD163" s="104">
        <v>0</v>
      </c>
      <c r="AE163" s="104">
        <v>0</v>
      </c>
      <c r="AF163" s="104">
        <v>0</v>
      </c>
      <c r="AG163" s="104">
        <v>0</v>
      </c>
      <c r="AH163" s="104">
        <v>0</v>
      </c>
      <c r="AI163" s="104">
        <v>0</v>
      </c>
      <c r="AJ163" s="104">
        <v>0</v>
      </c>
      <c r="AK163" s="104">
        <v>0</v>
      </c>
      <c r="AL163" s="104">
        <v>0</v>
      </c>
      <c r="AM163" s="104">
        <v>0</v>
      </c>
      <c r="AN163" s="104">
        <v>0</v>
      </c>
      <c r="AO163" s="104">
        <v>0</v>
      </c>
      <c r="AP163" s="104">
        <v>0</v>
      </c>
      <c r="AQ163" s="104">
        <v>0</v>
      </c>
      <c r="AR163" s="104">
        <v>0</v>
      </c>
      <c r="AS163" s="104">
        <v>0</v>
      </c>
      <c r="AT163" s="104">
        <v>0</v>
      </c>
      <c r="AU163" s="104">
        <v>0</v>
      </c>
      <c r="AV163" s="104">
        <v>0</v>
      </c>
      <c r="AW163" s="104">
        <v>0</v>
      </c>
      <c r="AX163" s="104">
        <v>0</v>
      </c>
      <c r="AY163" s="104">
        <v>0</v>
      </c>
    </row>
    <row r="164" spans="1:52">
      <c r="A164" s="107"/>
      <c r="B164" s="127">
        <v>43</v>
      </c>
      <c r="C164" s="104">
        <v>0</v>
      </c>
      <c r="D164" s="104">
        <v>0</v>
      </c>
      <c r="E164" s="104">
        <v>0</v>
      </c>
      <c r="F164" s="104">
        <v>0</v>
      </c>
      <c r="G164" s="104">
        <v>0</v>
      </c>
      <c r="H164" s="104">
        <v>0</v>
      </c>
      <c r="I164" s="104">
        <v>0</v>
      </c>
      <c r="J164" s="104">
        <v>0</v>
      </c>
      <c r="K164" s="104">
        <v>0</v>
      </c>
      <c r="L164" s="104">
        <v>0</v>
      </c>
      <c r="M164" s="104">
        <v>0</v>
      </c>
      <c r="N164" s="104">
        <v>0</v>
      </c>
      <c r="O164" s="104">
        <v>0</v>
      </c>
      <c r="P164" s="104">
        <v>0</v>
      </c>
      <c r="Q164" s="104">
        <v>0</v>
      </c>
      <c r="R164" s="104">
        <v>0</v>
      </c>
      <c r="S164" s="104">
        <v>0</v>
      </c>
      <c r="T164" s="104">
        <v>0</v>
      </c>
      <c r="U164" s="104">
        <v>0</v>
      </c>
      <c r="V164" s="104">
        <v>0</v>
      </c>
      <c r="W164" s="104">
        <v>0</v>
      </c>
      <c r="X164" s="104">
        <v>0</v>
      </c>
      <c r="Y164" s="104">
        <v>0</v>
      </c>
      <c r="Z164" s="104">
        <v>0</v>
      </c>
      <c r="AA164" s="104">
        <v>0</v>
      </c>
      <c r="AB164" s="104">
        <v>0</v>
      </c>
      <c r="AC164" s="104">
        <v>0</v>
      </c>
      <c r="AD164" s="104">
        <v>0</v>
      </c>
      <c r="AE164" s="104">
        <v>0</v>
      </c>
      <c r="AF164" s="104">
        <v>0</v>
      </c>
      <c r="AG164" s="104">
        <v>0</v>
      </c>
      <c r="AH164" s="104">
        <v>0</v>
      </c>
      <c r="AI164" s="104">
        <v>0</v>
      </c>
      <c r="AJ164" s="104">
        <v>0</v>
      </c>
      <c r="AK164" s="104">
        <v>0</v>
      </c>
      <c r="AL164" s="104">
        <v>0</v>
      </c>
      <c r="AM164" s="104">
        <v>0</v>
      </c>
      <c r="AN164" s="104">
        <v>0</v>
      </c>
      <c r="AO164" s="104">
        <v>0</v>
      </c>
      <c r="AP164" s="104">
        <v>0</v>
      </c>
      <c r="AQ164" s="104">
        <v>0</v>
      </c>
      <c r="AR164" s="104">
        <v>0</v>
      </c>
      <c r="AS164" s="104">
        <v>0</v>
      </c>
      <c r="AT164" s="104">
        <v>0</v>
      </c>
      <c r="AU164" s="104">
        <v>0</v>
      </c>
      <c r="AV164" s="104">
        <v>0</v>
      </c>
      <c r="AW164" s="104">
        <v>0</v>
      </c>
      <c r="AX164" s="104">
        <v>0</v>
      </c>
      <c r="AY164" s="104">
        <v>0</v>
      </c>
    </row>
    <row r="165" spans="1:52">
      <c r="A165" s="107"/>
      <c r="B165" s="127">
        <v>44</v>
      </c>
      <c r="C165" s="104">
        <v>0</v>
      </c>
      <c r="D165" s="104">
        <v>0</v>
      </c>
      <c r="E165" s="104">
        <v>0</v>
      </c>
      <c r="F165" s="104">
        <v>0</v>
      </c>
      <c r="G165" s="104">
        <v>0</v>
      </c>
      <c r="H165" s="104">
        <v>0</v>
      </c>
      <c r="I165" s="104">
        <v>0</v>
      </c>
      <c r="J165" s="104">
        <v>0</v>
      </c>
      <c r="K165" s="104">
        <v>0</v>
      </c>
      <c r="L165" s="104">
        <v>0</v>
      </c>
      <c r="M165" s="104">
        <v>0</v>
      </c>
      <c r="N165" s="104">
        <v>0</v>
      </c>
      <c r="O165" s="104">
        <v>0</v>
      </c>
      <c r="P165" s="104">
        <v>0</v>
      </c>
      <c r="Q165" s="104">
        <v>0</v>
      </c>
      <c r="R165" s="104">
        <v>0</v>
      </c>
      <c r="S165" s="104">
        <v>0</v>
      </c>
      <c r="T165" s="104">
        <v>0</v>
      </c>
      <c r="U165" s="104">
        <v>0</v>
      </c>
      <c r="V165" s="104">
        <v>0</v>
      </c>
      <c r="W165" s="104">
        <v>0</v>
      </c>
      <c r="X165" s="104">
        <v>0</v>
      </c>
      <c r="Y165" s="104">
        <v>0</v>
      </c>
      <c r="Z165" s="104">
        <v>0</v>
      </c>
      <c r="AA165" s="104">
        <v>0</v>
      </c>
      <c r="AB165" s="104">
        <v>0</v>
      </c>
      <c r="AC165" s="104">
        <v>0</v>
      </c>
      <c r="AD165" s="104">
        <v>0</v>
      </c>
      <c r="AE165" s="104">
        <v>0</v>
      </c>
      <c r="AF165" s="104">
        <v>0</v>
      </c>
      <c r="AG165" s="104">
        <v>0</v>
      </c>
      <c r="AH165" s="104">
        <v>0</v>
      </c>
      <c r="AI165" s="104">
        <v>0</v>
      </c>
      <c r="AJ165" s="104">
        <v>0</v>
      </c>
      <c r="AK165" s="104">
        <v>0</v>
      </c>
      <c r="AL165" s="104">
        <v>0</v>
      </c>
      <c r="AM165" s="104">
        <v>0</v>
      </c>
      <c r="AN165" s="104">
        <v>0</v>
      </c>
      <c r="AO165" s="104">
        <v>0</v>
      </c>
      <c r="AP165" s="104">
        <v>0</v>
      </c>
      <c r="AQ165" s="104">
        <v>0</v>
      </c>
      <c r="AR165" s="104">
        <v>0</v>
      </c>
      <c r="AS165" s="104">
        <v>0</v>
      </c>
      <c r="AT165" s="104">
        <v>0</v>
      </c>
      <c r="AU165" s="104">
        <v>0</v>
      </c>
      <c r="AV165" s="104">
        <v>0</v>
      </c>
      <c r="AW165" s="104">
        <v>0</v>
      </c>
      <c r="AX165" s="104">
        <v>0</v>
      </c>
      <c r="AY165" s="104">
        <v>0</v>
      </c>
    </row>
    <row r="166" spans="1:52">
      <c r="A166" s="107"/>
      <c r="B166" s="127">
        <v>45</v>
      </c>
      <c r="C166" s="104">
        <v>0</v>
      </c>
      <c r="D166" s="104">
        <v>0</v>
      </c>
      <c r="E166" s="104">
        <v>0</v>
      </c>
      <c r="F166" s="104">
        <v>0</v>
      </c>
      <c r="G166" s="104">
        <v>0</v>
      </c>
      <c r="H166" s="104">
        <v>0</v>
      </c>
      <c r="I166" s="104">
        <v>0</v>
      </c>
      <c r="J166" s="104">
        <v>0</v>
      </c>
      <c r="K166" s="104">
        <v>0</v>
      </c>
      <c r="L166" s="104">
        <v>0</v>
      </c>
      <c r="M166" s="104">
        <v>0</v>
      </c>
      <c r="N166" s="104">
        <v>0</v>
      </c>
      <c r="O166" s="104">
        <v>0</v>
      </c>
      <c r="P166" s="104">
        <v>0</v>
      </c>
      <c r="Q166" s="104">
        <v>0</v>
      </c>
      <c r="R166" s="104">
        <v>0</v>
      </c>
      <c r="S166" s="104">
        <v>0</v>
      </c>
      <c r="T166" s="104">
        <v>0</v>
      </c>
      <c r="U166" s="104">
        <v>0</v>
      </c>
      <c r="V166" s="104">
        <v>0</v>
      </c>
      <c r="W166" s="104">
        <v>0</v>
      </c>
      <c r="X166" s="104">
        <v>0</v>
      </c>
      <c r="Y166" s="104">
        <v>0</v>
      </c>
      <c r="Z166" s="104">
        <v>0</v>
      </c>
      <c r="AA166" s="104">
        <v>0</v>
      </c>
      <c r="AB166" s="104">
        <v>0</v>
      </c>
      <c r="AC166" s="104">
        <v>0</v>
      </c>
      <c r="AD166" s="104">
        <v>0</v>
      </c>
      <c r="AE166" s="104">
        <v>0</v>
      </c>
      <c r="AF166" s="104">
        <v>0</v>
      </c>
      <c r="AG166" s="104">
        <v>0</v>
      </c>
      <c r="AH166" s="104">
        <v>0</v>
      </c>
      <c r="AI166" s="104">
        <v>0</v>
      </c>
      <c r="AJ166" s="104">
        <v>0</v>
      </c>
      <c r="AK166" s="104">
        <v>0</v>
      </c>
      <c r="AL166" s="104">
        <v>0</v>
      </c>
      <c r="AM166" s="104">
        <v>0</v>
      </c>
      <c r="AN166" s="104">
        <v>0</v>
      </c>
      <c r="AO166" s="104">
        <v>0</v>
      </c>
      <c r="AP166" s="104">
        <v>0</v>
      </c>
      <c r="AQ166" s="104">
        <v>0</v>
      </c>
      <c r="AR166" s="104">
        <v>0</v>
      </c>
      <c r="AS166" s="104">
        <v>0</v>
      </c>
      <c r="AT166" s="104">
        <v>0</v>
      </c>
      <c r="AU166" s="104">
        <v>0</v>
      </c>
      <c r="AV166" s="104">
        <v>0</v>
      </c>
      <c r="AW166" s="104">
        <v>0</v>
      </c>
      <c r="AX166" s="104">
        <v>0</v>
      </c>
      <c r="AY166" s="104">
        <v>0</v>
      </c>
    </row>
    <row r="167" spans="1:52">
      <c r="A167" s="107"/>
      <c r="B167" s="127">
        <v>46</v>
      </c>
      <c r="C167" s="104">
        <v>0</v>
      </c>
      <c r="D167" s="104">
        <v>0</v>
      </c>
      <c r="E167" s="104">
        <v>0</v>
      </c>
      <c r="F167" s="104">
        <v>0</v>
      </c>
      <c r="G167" s="104">
        <v>0</v>
      </c>
      <c r="H167" s="104">
        <v>0</v>
      </c>
      <c r="I167" s="104">
        <v>0</v>
      </c>
      <c r="J167" s="104">
        <v>0</v>
      </c>
      <c r="K167" s="104">
        <v>0</v>
      </c>
      <c r="L167" s="104">
        <v>0</v>
      </c>
      <c r="M167" s="104">
        <v>0</v>
      </c>
      <c r="N167" s="104">
        <v>0</v>
      </c>
      <c r="O167" s="104">
        <v>0</v>
      </c>
      <c r="P167" s="104">
        <v>0</v>
      </c>
      <c r="Q167" s="104">
        <v>0</v>
      </c>
      <c r="R167" s="104">
        <v>0</v>
      </c>
      <c r="S167" s="104">
        <v>0</v>
      </c>
      <c r="T167" s="104">
        <v>0</v>
      </c>
      <c r="U167" s="104">
        <v>0</v>
      </c>
      <c r="V167" s="104">
        <v>0</v>
      </c>
      <c r="W167" s="104">
        <v>0</v>
      </c>
      <c r="X167" s="104">
        <v>0</v>
      </c>
      <c r="Y167" s="104">
        <v>0</v>
      </c>
      <c r="Z167" s="104">
        <v>0</v>
      </c>
      <c r="AA167" s="104">
        <v>0</v>
      </c>
      <c r="AB167" s="104">
        <v>0</v>
      </c>
      <c r="AC167" s="104">
        <v>0</v>
      </c>
      <c r="AD167" s="104">
        <v>0</v>
      </c>
      <c r="AE167" s="104">
        <v>0</v>
      </c>
      <c r="AF167" s="104">
        <v>0</v>
      </c>
      <c r="AG167" s="104">
        <v>0</v>
      </c>
      <c r="AH167" s="104">
        <v>0</v>
      </c>
      <c r="AI167" s="104">
        <v>0</v>
      </c>
      <c r="AJ167" s="104">
        <v>0</v>
      </c>
      <c r="AK167" s="104">
        <v>0</v>
      </c>
      <c r="AL167" s="104">
        <v>0</v>
      </c>
      <c r="AM167" s="104">
        <v>0</v>
      </c>
      <c r="AN167" s="104">
        <v>0</v>
      </c>
      <c r="AO167" s="104">
        <v>0</v>
      </c>
      <c r="AP167" s="104">
        <v>0</v>
      </c>
      <c r="AQ167" s="104">
        <v>0</v>
      </c>
      <c r="AR167" s="104">
        <v>0</v>
      </c>
      <c r="AS167" s="104">
        <v>0</v>
      </c>
      <c r="AT167" s="104">
        <v>0</v>
      </c>
      <c r="AU167" s="104">
        <v>0</v>
      </c>
      <c r="AV167" s="104">
        <v>0</v>
      </c>
      <c r="AW167" s="104">
        <v>0</v>
      </c>
      <c r="AX167" s="104">
        <v>0</v>
      </c>
      <c r="AY167" s="104">
        <v>0</v>
      </c>
    </row>
    <row r="168" spans="1:52">
      <c r="A168" s="107"/>
      <c r="B168" s="127">
        <v>47</v>
      </c>
      <c r="C168" s="104">
        <v>0</v>
      </c>
      <c r="D168" s="104">
        <v>0</v>
      </c>
      <c r="E168" s="104">
        <v>0</v>
      </c>
      <c r="F168" s="104">
        <v>0</v>
      </c>
      <c r="G168" s="104">
        <v>0</v>
      </c>
      <c r="H168" s="104">
        <v>0</v>
      </c>
      <c r="I168" s="104">
        <v>0</v>
      </c>
      <c r="J168" s="104">
        <v>0</v>
      </c>
      <c r="K168" s="104">
        <v>0</v>
      </c>
      <c r="L168" s="104">
        <v>0</v>
      </c>
      <c r="M168" s="104">
        <v>0</v>
      </c>
      <c r="N168" s="104">
        <v>0</v>
      </c>
      <c r="O168" s="104">
        <v>0</v>
      </c>
      <c r="P168" s="104">
        <v>0</v>
      </c>
      <c r="Q168" s="104">
        <v>0</v>
      </c>
      <c r="R168" s="104">
        <v>0</v>
      </c>
      <c r="S168" s="104">
        <v>0</v>
      </c>
      <c r="T168" s="104">
        <v>0</v>
      </c>
      <c r="U168" s="104">
        <v>0</v>
      </c>
      <c r="V168" s="104">
        <v>0</v>
      </c>
      <c r="W168" s="104">
        <v>0</v>
      </c>
      <c r="X168" s="104">
        <v>0</v>
      </c>
      <c r="Y168" s="104">
        <v>0</v>
      </c>
      <c r="Z168" s="104">
        <v>0</v>
      </c>
      <c r="AA168" s="104">
        <v>0</v>
      </c>
      <c r="AB168" s="104">
        <v>0</v>
      </c>
      <c r="AC168" s="104">
        <v>0</v>
      </c>
      <c r="AD168" s="104">
        <v>0</v>
      </c>
      <c r="AE168" s="104">
        <v>0</v>
      </c>
      <c r="AF168" s="104">
        <v>0</v>
      </c>
      <c r="AG168" s="104">
        <v>0</v>
      </c>
      <c r="AH168" s="104">
        <v>0</v>
      </c>
      <c r="AI168" s="104">
        <v>0</v>
      </c>
      <c r="AJ168" s="104">
        <v>0</v>
      </c>
      <c r="AK168" s="104">
        <v>0</v>
      </c>
      <c r="AL168" s="104">
        <v>0</v>
      </c>
      <c r="AM168" s="104">
        <v>0</v>
      </c>
      <c r="AN168" s="104">
        <v>0</v>
      </c>
      <c r="AO168" s="104">
        <v>0</v>
      </c>
      <c r="AP168" s="104">
        <v>0</v>
      </c>
      <c r="AQ168" s="104">
        <v>0</v>
      </c>
      <c r="AR168" s="104">
        <v>0</v>
      </c>
      <c r="AS168" s="104">
        <v>0</v>
      </c>
      <c r="AT168" s="104">
        <v>0</v>
      </c>
      <c r="AU168" s="104">
        <v>0</v>
      </c>
      <c r="AV168" s="104">
        <v>0</v>
      </c>
      <c r="AW168" s="104">
        <v>0</v>
      </c>
      <c r="AX168" s="104">
        <v>0</v>
      </c>
      <c r="AY168" s="104">
        <v>0</v>
      </c>
    </row>
    <row r="169" spans="1:52">
      <c r="A169" s="107"/>
      <c r="B169" s="127">
        <v>48</v>
      </c>
      <c r="C169" s="104">
        <v>0</v>
      </c>
      <c r="D169" s="104">
        <v>0</v>
      </c>
      <c r="E169" s="104">
        <v>0</v>
      </c>
      <c r="F169" s="104">
        <v>0</v>
      </c>
      <c r="G169" s="104">
        <v>0</v>
      </c>
      <c r="H169" s="104">
        <v>0</v>
      </c>
      <c r="I169" s="104">
        <v>0</v>
      </c>
      <c r="J169" s="104">
        <v>0</v>
      </c>
      <c r="K169" s="104">
        <v>0</v>
      </c>
      <c r="L169" s="104">
        <v>0</v>
      </c>
      <c r="M169" s="104">
        <v>0</v>
      </c>
      <c r="N169" s="104">
        <v>0</v>
      </c>
      <c r="O169" s="104">
        <v>0</v>
      </c>
      <c r="P169" s="104">
        <v>0</v>
      </c>
      <c r="Q169" s="104">
        <v>0</v>
      </c>
      <c r="R169" s="104">
        <v>0</v>
      </c>
      <c r="S169" s="104">
        <v>0</v>
      </c>
      <c r="T169" s="104">
        <v>0</v>
      </c>
      <c r="U169" s="104">
        <v>0</v>
      </c>
      <c r="V169" s="104">
        <v>0</v>
      </c>
      <c r="W169" s="104">
        <v>0</v>
      </c>
      <c r="X169" s="104">
        <v>0</v>
      </c>
      <c r="Y169" s="104">
        <v>0</v>
      </c>
      <c r="Z169" s="104">
        <v>0</v>
      </c>
      <c r="AA169" s="104">
        <v>0</v>
      </c>
      <c r="AB169" s="104">
        <v>0</v>
      </c>
      <c r="AC169" s="104">
        <v>0</v>
      </c>
      <c r="AD169" s="104">
        <v>0</v>
      </c>
      <c r="AE169" s="104">
        <v>0</v>
      </c>
      <c r="AF169" s="104">
        <v>0</v>
      </c>
      <c r="AG169" s="104">
        <v>0</v>
      </c>
      <c r="AH169" s="104">
        <v>0</v>
      </c>
      <c r="AI169" s="104">
        <v>0</v>
      </c>
      <c r="AJ169" s="104">
        <v>0</v>
      </c>
      <c r="AK169" s="104">
        <v>0</v>
      </c>
      <c r="AL169" s="104">
        <v>0</v>
      </c>
      <c r="AM169" s="104">
        <v>0</v>
      </c>
      <c r="AN169" s="104">
        <v>0</v>
      </c>
      <c r="AO169" s="104">
        <v>0</v>
      </c>
      <c r="AP169" s="104">
        <v>0</v>
      </c>
      <c r="AQ169" s="104">
        <v>0</v>
      </c>
      <c r="AR169" s="104">
        <v>0</v>
      </c>
      <c r="AS169" s="104">
        <v>0</v>
      </c>
      <c r="AT169" s="104">
        <v>0</v>
      </c>
      <c r="AU169" s="104">
        <v>0</v>
      </c>
      <c r="AV169" s="104">
        <v>0</v>
      </c>
      <c r="AW169" s="104">
        <v>0</v>
      </c>
      <c r="AX169" s="104">
        <v>0</v>
      </c>
      <c r="AY169" s="104">
        <v>0</v>
      </c>
    </row>
    <row r="170" spans="1:52">
      <c r="A170" s="125"/>
      <c r="B170" s="129" t="s">
        <v>296</v>
      </c>
      <c r="C170" s="111">
        <v>0</v>
      </c>
      <c r="D170" s="122">
        <v>0</v>
      </c>
      <c r="E170" s="122">
        <v>0</v>
      </c>
      <c r="F170" s="122">
        <v>0</v>
      </c>
      <c r="G170" s="122">
        <v>0</v>
      </c>
      <c r="H170" s="122">
        <v>0</v>
      </c>
      <c r="I170" s="122">
        <v>0</v>
      </c>
      <c r="J170" s="122">
        <v>0</v>
      </c>
      <c r="K170" s="122">
        <v>0</v>
      </c>
      <c r="L170" s="122">
        <v>0</v>
      </c>
      <c r="M170" s="122">
        <v>0</v>
      </c>
      <c r="N170" s="122">
        <v>0</v>
      </c>
      <c r="O170" s="122">
        <v>0</v>
      </c>
      <c r="P170" s="122">
        <v>0</v>
      </c>
      <c r="Q170" s="122">
        <v>0</v>
      </c>
      <c r="R170" s="122">
        <v>0</v>
      </c>
      <c r="S170" s="122">
        <v>0</v>
      </c>
      <c r="T170" s="122">
        <v>0</v>
      </c>
      <c r="U170" s="122">
        <v>0</v>
      </c>
      <c r="V170" s="122">
        <v>0</v>
      </c>
      <c r="W170" s="122">
        <v>0</v>
      </c>
      <c r="X170" s="122">
        <v>0</v>
      </c>
      <c r="Y170" s="122">
        <v>0</v>
      </c>
      <c r="Z170" s="122">
        <v>0</v>
      </c>
      <c r="AA170" s="122">
        <v>0</v>
      </c>
      <c r="AB170" s="122">
        <v>0</v>
      </c>
      <c r="AC170" s="122">
        <v>0</v>
      </c>
      <c r="AD170" s="122">
        <v>0</v>
      </c>
      <c r="AE170" s="122">
        <v>0</v>
      </c>
      <c r="AF170" s="122">
        <v>0</v>
      </c>
      <c r="AG170" s="122">
        <v>0</v>
      </c>
      <c r="AH170" s="122">
        <v>0</v>
      </c>
      <c r="AI170" s="122">
        <v>0</v>
      </c>
      <c r="AJ170" s="122">
        <v>0</v>
      </c>
      <c r="AK170" s="122">
        <v>0</v>
      </c>
      <c r="AL170" s="122">
        <v>0</v>
      </c>
      <c r="AM170" s="122">
        <v>0</v>
      </c>
      <c r="AN170" s="122">
        <v>0</v>
      </c>
      <c r="AO170" s="122">
        <v>0</v>
      </c>
      <c r="AP170" s="122">
        <v>0</v>
      </c>
      <c r="AQ170" s="122">
        <v>0</v>
      </c>
      <c r="AR170" s="122">
        <v>0</v>
      </c>
      <c r="AS170" s="122">
        <v>0</v>
      </c>
      <c r="AT170" s="122">
        <v>0</v>
      </c>
      <c r="AU170" s="122">
        <v>0</v>
      </c>
      <c r="AV170" s="122">
        <v>0</v>
      </c>
      <c r="AW170" s="122">
        <v>0</v>
      </c>
      <c r="AX170" s="122">
        <v>0</v>
      </c>
      <c r="AY170" s="122">
        <v>0</v>
      </c>
      <c r="AZ170" s="105">
        <f>SUM($D170:$AY170)</f>
        <v>0</v>
      </c>
    </row>
    <row r="172" spans="1:52">
      <c r="A172" s="1" t="s">
        <v>124</v>
      </c>
      <c r="B172" s="130" t="s">
        <v>297</v>
      </c>
      <c r="C172" s="131">
        <v>0.38559968689710844</v>
      </c>
      <c r="D172" s="131">
        <v>0.38780710782095845</v>
      </c>
      <c r="E172" s="131">
        <v>0.38780710782095845</v>
      </c>
      <c r="F172" s="131">
        <v>0.38780710782095845</v>
      </c>
      <c r="G172" s="131">
        <v>0.38780710782095845</v>
      </c>
      <c r="H172" s="131">
        <v>0.38780710782095845</v>
      </c>
      <c r="I172" s="131">
        <v>0.38780710782095845</v>
      </c>
      <c r="J172" s="131">
        <v>0.38780710782095845</v>
      </c>
      <c r="K172" s="131">
        <v>0.38780710782095845</v>
      </c>
      <c r="L172" s="131">
        <v>0.38780710782095845</v>
      </c>
      <c r="M172" s="131">
        <v>0.38780710782095845</v>
      </c>
      <c r="N172" s="131">
        <v>0.38780710782095845</v>
      </c>
      <c r="O172" s="131">
        <v>0.38780710782095845</v>
      </c>
      <c r="P172" s="131">
        <v>0.38780710782095845</v>
      </c>
      <c r="Q172" s="131">
        <v>0.38780710782095845</v>
      </c>
      <c r="R172" s="131">
        <v>0.38780710782095845</v>
      </c>
      <c r="S172" s="131">
        <v>0.38780710782095845</v>
      </c>
      <c r="T172" s="131">
        <v>0.38780710782095845</v>
      </c>
      <c r="U172" s="131">
        <v>0.38780710782095845</v>
      </c>
      <c r="V172" s="131">
        <v>0.38780710782095845</v>
      </c>
      <c r="W172" s="131">
        <v>0.38780710782095845</v>
      </c>
      <c r="X172" s="131">
        <v>0.38780710782095845</v>
      </c>
      <c r="Y172" s="131">
        <v>0.38780710782095845</v>
      </c>
      <c r="Z172" s="131">
        <v>0.38780710782095845</v>
      </c>
      <c r="AA172" s="131">
        <v>0.38780710782095845</v>
      </c>
      <c r="AB172" s="131">
        <v>0.38780710782095845</v>
      </c>
      <c r="AC172" s="131">
        <v>0.38780710782095845</v>
      </c>
      <c r="AD172" s="131">
        <v>0.38780710782095845</v>
      </c>
      <c r="AE172" s="131">
        <v>0.38780710782095845</v>
      </c>
      <c r="AF172" s="131">
        <v>0.38780710782095845</v>
      </c>
      <c r="AG172" s="131">
        <v>0.38780710782095845</v>
      </c>
      <c r="AH172" s="131">
        <v>0.38780710782095845</v>
      </c>
      <c r="AI172" s="131">
        <v>0.38780710782095845</v>
      </c>
      <c r="AJ172" s="131">
        <v>0.38780710782095845</v>
      </c>
      <c r="AK172" s="131">
        <v>0.38780710782095845</v>
      </c>
      <c r="AL172" s="131">
        <v>0.38780710782095845</v>
      </c>
      <c r="AM172" s="131">
        <v>0.38780710782095845</v>
      </c>
      <c r="AN172" s="131">
        <v>0.38780710782095845</v>
      </c>
      <c r="AO172" s="131">
        <v>0.38780710782095845</v>
      </c>
      <c r="AP172" s="131">
        <v>0.38780710782095845</v>
      </c>
      <c r="AQ172" s="131">
        <v>0.38780710782095845</v>
      </c>
      <c r="AR172" s="131">
        <v>0.38780710782095845</v>
      </c>
      <c r="AS172" s="131">
        <v>0.38780710782095845</v>
      </c>
      <c r="AT172" s="131">
        <v>0.38780710782095845</v>
      </c>
      <c r="AU172" s="131">
        <v>0.38780710782095845</v>
      </c>
      <c r="AV172" s="131">
        <v>0.38780710782095845</v>
      </c>
      <c r="AW172" s="131">
        <v>0.38780710782095845</v>
      </c>
      <c r="AX172" s="131">
        <v>0.38780710782095845</v>
      </c>
      <c r="AY172" s="131">
        <v>0.38780710782095845</v>
      </c>
    </row>
    <row r="174" spans="1:52">
      <c r="A174" s="1" t="s">
        <v>272</v>
      </c>
    </row>
    <row r="175" spans="1:52">
      <c r="A175" s="132" t="s">
        <v>125</v>
      </c>
      <c r="B175" s="132" t="s">
        <v>298</v>
      </c>
      <c r="C175" s="121" t="s">
        <v>293</v>
      </c>
      <c r="D175" s="121">
        <f t="shared" ref="D175:AY175" si="1">SUM(D95:D98)</f>
        <v>529.53169090873666</v>
      </c>
      <c r="E175" s="121">
        <f t="shared" si="1"/>
        <v>601.06338181747333</v>
      </c>
      <c r="F175" s="121">
        <f t="shared" si="1"/>
        <v>638.59507272620999</v>
      </c>
      <c r="G175" s="121">
        <f t="shared" si="1"/>
        <v>708.12676363494666</v>
      </c>
      <c r="H175" s="121">
        <f t="shared" si="1"/>
        <v>752.65845454368332</v>
      </c>
      <c r="I175" s="121">
        <f t="shared" si="1"/>
        <v>794.12676363494666</v>
      </c>
      <c r="J175" s="121">
        <f t="shared" si="1"/>
        <v>794.12676363494666</v>
      </c>
      <c r="K175" s="121">
        <f t="shared" si="1"/>
        <v>794.12676363494666</v>
      </c>
      <c r="L175" s="121">
        <f t="shared" si="1"/>
        <v>794.12676363494666</v>
      </c>
      <c r="M175" s="121">
        <f t="shared" si="1"/>
        <v>794.12676363494666</v>
      </c>
      <c r="N175" s="121">
        <f t="shared" si="1"/>
        <v>794.12676363494666</v>
      </c>
      <c r="O175" s="121">
        <f t="shared" si="1"/>
        <v>794.12676363494666</v>
      </c>
      <c r="P175" s="121">
        <f t="shared" si="1"/>
        <v>794.12676363494666</v>
      </c>
      <c r="Q175" s="121">
        <f t="shared" si="1"/>
        <v>794.12676363494666</v>
      </c>
      <c r="R175" s="121">
        <f t="shared" si="1"/>
        <v>794.12676363494666</v>
      </c>
      <c r="S175" s="121">
        <f t="shared" si="1"/>
        <v>794.12676363494666</v>
      </c>
      <c r="T175" s="121">
        <f t="shared" si="1"/>
        <v>794.12676363494666</v>
      </c>
      <c r="U175" s="121">
        <f t="shared" si="1"/>
        <v>794.12676363494666</v>
      </c>
      <c r="V175" s="121">
        <f t="shared" si="1"/>
        <v>794.12676363494666</v>
      </c>
      <c r="W175" s="121">
        <f t="shared" si="1"/>
        <v>794.12676363494666</v>
      </c>
      <c r="X175" s="121">
        <f t="shared" si="1"/>
        <v>794.12676363494666</v>
      </c>
      <c r="Y175" s="121">
        <f t="shared" si="1"/>
        <v>794.12676363494666</v>
      </c>
      <c r="Z175" s="121">
        <f t="shared" si="1"/>
        <v>794.12676363494666</v>
      </c>
      <c r="AA175" s="121">
        <f t="shared" si="1"/>
        <v>794.12676363494666</v>
      </c>
      <c r="AB175" s="121">
        <f t="shared" si="1"/>
        <v>794.12676363494666</v>
      </c>
      <c r="AC175" s="121">
        <f t="shared" si="1"/>
        <v>794.12676363494666</v>
      </c>
      <c r="AD175" s="121">
        <f t="shared" si="1"/>
        <v>794.12676363494666</v>
      </c>
      <c r="AE175" s="121">
        <f t="shared" si="1"/>
        <v>794.12676363494666</v>
      </c>
      <c r="AF175" s="121">
        <f t="shared" si="1"/>
        <v>794.12676363494666</v>
      </c>
      <c r="AG175" s="121">
        <f t="shared" si="1"/>
        <v>794.12676363494666</v>
      </c>
      <c r="AH175" s="121">
        <f t="shared" si="1"/>
        <v>794.12676363494666</v>
      </c>
      <c r="AI175" s="121">
        <f t="shared" si="1"/>
        <v>794.12676363494666</v>
      </c>
      <c r="AJ175" s="121">
        <f t="shared" si="1"/>
        <v>794.12676363494666</v>
      </c>
      <c r="AK175" s="121">
        <f t="shared" si="1"/>
        <v>794.12676363494666</v>
      </c>
      <c r="AL175" s="121">
        <f t="shared" si="1"/>
        <v>794.12676363494666</v>
      </c>
      <c r="AM175" s="121">
        <f t="shared" si="1"/>
        <v>794.12676363494666</v>
      </c>
      <c r="AN175" s="121">
        <f t="shared" si="1"/>
        <v>794.12676363494666</v>
      </c>
      <c r="AO175" s="121">
        <f t="shared" si="1"/>
        <v>794.12676363494666</v>
      </c>
      <c r="AP175" s="121">
        <f t="shared" si="1"/>
        <v>794.12676363494666</v>
      </c>
      <c r="AQ175" s="121">
        <f t="shared" si="1"/>
        <v>794.12676363494666</v>
      </c>
      <c r="AR175" s="121">
        <f t="shared" si="1"/>
        <v>794.12676363494666</v>
      </c>
      <c r="AS175" s="121">
        <f t="shared" si="1"/>
        <v>794.12676363494666</v>
      </c>
      <c r="AT175" s="121">
        <f t="shared" si="1"/>
        <v>794.12676363494666</v>
      </c>
      <c r="AU175" s="121">
        <f t="shared" si="1"/>
        <v>794.12676363494666</v>
      </c>
      <c r="AV175" s="121">
        <f t="shared" si="1"/>
        <v>794.12676363494666</v>
      </c>
      <c r="AW175" s="121">
        <f t="shared" si="1"/>
        <v>794.12676363494666</v>
      </c>
      <c r="AX175" s="121">
        <f t="shared" si="1"/>
        <v>794.12676363494666</v>
      </c>
      <c r="AY175" s="121">
        <f t="shared" si="1"/>
        <v>794.12676363494666</v>
      </c>
    </row>
    <row r="176" spans="1:52">
      <c r="A176" s="122"/>
      <c r="B176" s="133" t="s">
        <v>299</v>
      </c>
      <c r="C176" s="122" t="s">
        <v>293</v>
      </c>
      <c r="D176" s="122">
        <v>127</v>
      </c>
      <c r="E176" s="122">
        <v>161</v>
      </c>
      <c r="F176" s="122">
        <v>129</v>
      </c>
      <c r="G176" s="122">
        <v>154</v>
      </c>
      <c r="H176" s="122">
        <v>104</v>
      </c>
      <c r="I176" s="122">
        <v>174</v>
      </c>
      <c r="J176" s="122">
        <v>177</v>
      </c>
      <c r="K176" s="122">
        <v>183</v>
      </c>
      <c r="L176" s="122">
        <v>128</v>
      </c>
      <c r="M176" s="122">
        <v>154</v>
      </c>
      <c r="N176" s="122">
        <v>133</v>
      </c>
      <c r="O176" s="122">
        <v>125</v>
      </c>
      <c r="P176" s="122">
        <v>117</v>
      </c>
      <c r="Q176" s="122">
        <v>177</v>
      </c>
      <c r="R176" s="122">
        <v>151</v>
      </c>
      <c r="S176" s="122">
        <v>137</v>
      </c>
      <c r="T176" s="122">
        <v>180</v>
      </c>
      <c r="U176" s="122">
        <v>146</v>
      </c>
      <c r="V176" s="122">
        <v>120</v>
      </c>
      <c r="W176" s="122">
        <v>171</v>
      </c>
      <c r="X176" s="122">
        <v>132</v>
      </c>
      <c r="Y176" s="122">
        <v>119</v>
      </c>
      <c r="Z176" s="122">
        <v>172</v>
      </c>
      <c r="AA176" s="122">
        <v>120</v>
      </c>
      <c r="AB176" s="122">
        <v>113</v>
      </c>
      <c r="AC176" s="122">
        <v>139</v>
      </c>
      <c r="AD176" s="122">
        <v>164</v>
      </c>
      <c r="AE176" s="122">
        <v>171</v>
      </c>
      <c r="AF176" s="122">
        <v>142</v>
      </c>
      <c r="AG176" s="122">
        <v>172</v>
      </c>
      <c r="AH176" s="122">
        <v>138</v>
      </c>
      <c r="AI176" s="122">
        <v>164</v>
      </c>
      <c r="AJ176" s="122">
        <v>156</v>
      </c>
      <c r="AK176" s="122">
        <v>195</v>
      </c>
      <c r="AL176" s="122">
        <v>171</v>
      </c>
      <c r="AM176" s="122">
        <v>135</v>
      </c>
      <c r="AN176" s="122">
        <v>156</v>
      </c>
      <c r="AO176" s="122">
        <v>162</v>
      </c>
      <c r="AP176" s="122">
        <v>191</v>
      </c>
      <c r="AQ176" s="122">
        <v>181</v>
      </c>
      <c r="AR176" s="122">
        <v>146</v>
      </c>
      <c r="AS176" s="122">
        <v>137</v>
      </c>
      <c r="AT176" s="122">
        <v>167</v>
      </c>
      <c r="AU176" s="122">
        <v>116</v>
      </c>
      <c r="AV176" s="122">
        <v>109</v>
      </c>
      <c r="AW176" s="122">
        <v>110</v>
      </c>
      <c r="AX176" s="122">
        <v>197</v>
      </c>
      <c r="AY176" s="122">
        <v>148</v>
      </c>
    </row>
    <row r="177" spans="1:51">
      <c r="A177" s="132" t="s">
        <v>133</v>
      </c>
      <c r="B177" s="132" t="s">
        <v>298</v>
      </c>
      <c r="C177" s="121" t="s">
        <v>293</v>
      </c>
      <c r="D177" s="121">
        <f t="shared" ref="D177:AY177" si="2">SUM(D100:D107)</f>
        <v>360.38436778971663</v>
      </c>
      <c r="E177" s="121">
        <f t="shared" si="2"/>
        <v>335.05087086344724</v>
      </c>
      <c r="F177" s="121">
        <f t="shared" si="2"/>
        <v>385.58711185401557</v>
      </c>
      <c r="G177" s="121">
        <f t="shared" si="2"/>
        <v>309.25361492774618</v>
      </c>
      <c r="H177" s="121">
        <f t="shared" si="2"/>
        <v>320.77025064774659</v>
      </c>
      <c r="I177" s="121">
        <f t="shared" si="2"/>
        <v>263.43675372147726</v>
      </c>
      <c r="J177" s="121">
        <f t="shared" si="2"/>
        <v>298.95338944147767</v>
      </c>
      <c r="K177" s="121">
        <f t="shared" si="2"/>
        <v>225.61989251520833</v>
      </c>
      <c r="L177" s="121">
        <f t="shared" si="2"/>
        <v>32.925066323134864</v>
      </c>
      <c r="M177" s="121">
        <f t="shared" si="2"/>
        <v>335.18313879373102</v>
      </c>
      <c r="N177" s="121">
        <f t="shared" si="2"/>
        <v>191.18313879373108</v>
      </c>
      <c r="O177" s="121">
        <f t="shared" si="2"/>
        <v>302.25807247059618</v>
      </c>
      <c r="P177" s="121">
        <f t="shared" si="2"/>
        <v>130.18313879373108</v>
      </c>
      <c r="Q177" s="121">
        <f t="shared" si="2"/>
        <v>302.25807247059618</v>
      </c>
      <c r="R177" s="121">
        <f t="shared" si="2"/>
        <v>235.84964186746174</v>
      </c>
      <c r="S177" s="121">
        <f t="shared" si="2"/>
        <v>217.44121126432728</v>
      </c>
      <c r="T177" s="121">
        <f t="shared" si="2"/>
        <v>245.95784698432769</v>
      </c>
      <c r="U177" s="121">
        <f t="shared" si="2"/>
        <v>233.62435005805835</v>
      </c>
      <c r="V177" s="121">
        <f t="shared" si="2"/>
        <v>185.29085313178902</v>
      </c>
      <c r="W177" s="121">
        <f t="shared" si="2"/>
        <v>215.73736945175744</v>
      </c>
      <c r="X177" s="121">
        <f t="shared" si="2"/>
        <v>161.52144999683355</v>
      </c>
      <c r="Y177" s="121">
        <f t="shared" si="2"/>
        <v>172.04289999366711</v>
      </c>
      <c r="Z177" s="121">
        <f t="shared" si="2"/>
        <v>167.51321570522231</v>
      </c>
      <c r="AA177" s="121">
        <f t="shared" si="2"/>
        <v>0</v>
      </c>
      <c r="AB177" s="121">
        <f t="shared" si="2"/>
        <v>200.51663572000041</v>
      </c>
      <c r="AC177" s="121">
        <f t="shared" si="2"/>
        <v>128.24983817898499</v>
      </c>
      <c r="AD177" s="121">
        <f t="shared" si="2"/>
        <v>167.59156939686551</v>
      </c>
      <c r="AE177" s="121">
        <f t="shared" si="2"/>
        <v>212.65687452006432</v>
      </c>
      <c r="AF177" s="121">
        <f t="shared" si="2"/>
        <v>232.31856331696181</v>
      </c>
      <c r="AG177" s="121">
        <f t="shared" si="2"/>
        <v>73.318563316961814</v>
      </c>
      <c r="AH177" s="121">
        <f t="shared" si="2"/>
        <v>269.33300614746133</v>
      </c>
      <c r="AI177" s="121">
        <f t="shared" si="2"/>
        <v>332.98988066752565</v>
      </c>
      <c r="AJ177" s="121">
        <f t="shared" si="2"/>
        <v>279.65156946442312</v>
      </c>
      <c r="AK177" s="121">
        <f t="shared" si="2"/>
        <v>291.30844398448744</v>
      </c>
      <c r="AL177" s="121">
        <f t="shared" si="2"/>
        <v>276.90001338135301</v>
      </c>
      <c r="AM177" s="121">
        <f t="shared" si="2"/>
        <v>187.56651645508367</v>
      </c>
      <c r="AN177" s="121">
        <f t="shared" si="2"/>
        <v>167.59156939686554</v>
      </c>
      <c r="AO177" s="121">
        <f t="shared" si="2"/>
        <v>32.925066323134871</v>
      </c>
      <c r="AP177" s="121">
        <f t="shared" si="2"/>
        <v>167.59156939686554</v>
      </c>
      <c r="AQ177" s="121">
        <f t="shared" si="2"/>
        <v>302.25807247059618</v>
      </c>
      <c r="AR177" s="121">
        <f t="shared" si="2"/>
        <v>177.10820511686595</v>
      </c>
      <c r="AS177" s="121">
        <f t="shared" si="2"/>
        <v>203.69977451373148</v>
      </c>
      <c r="AT177" s="121">
        <f t="shared" si="2"/>
        <v>3.6997745137314837</v>
      </c>
      <c r="AU177" s="121">
        <f t="shared" si="2"/>
        <v>323.04289999366711</v>
      </c>
      <c r="AV177" s="121">
        <f t="shared" si="2"/>
        <v>256.70940306739777</v>
      </c>
      <c r="AW177" s="121">
        <f t="shared" si="2"/>
        <v>227.23085306423133</v>
      </c>
      <c r="AX177" s="121">
        <f t="shared" si="2"/>
        <v>141.08098571050107</v>
      </c>
      <c r="AY177" s="121">
        <f t="shared" si="2"/>
        <v>228.00619145815313</v>
      </c>
    </row>
    <row r="178" spans="1:51">
      <c r="A178" s="122"/>
      <c r="B178" s="133" t="s">
        <v>299</v>
      </c>
      <c r="C178" s="122" t="s">
        <v>293</v>
      </c>
      <c r="D178" s="122">
        <v>160</v>
      </c>
      <c r="E178" s="122">
        <v>151</v>
      </c>
      <c r="F178" s="122">
        <v>211</v>
      </c>
      <c r="G178" s="122">
        <v>189</v>
      </c>
      <c r="H178" s="122">
        <v>192</v>
      </c>
      <c r="I178" s="122">
        <v>165</v>
      </c>
      <c r="J178" s="122">
        <v>208</v>
      </c>
      <c r="K178" s="122">
        <v>225.61989251520833</v>
      </c>
      <c r="L178" s="122">
        <v>32.925066323134864</v>
      </c>
      <c r="M178" s="122">
        <v>144</v>
      </c>
      <c r="N178" s="122">
        <v>191.18313879373108</v>
      </c>
      <c r="O178" s="122">
        <v>205</v>
      </c>
      <c r="P178" s="122">
        <v>130.18313879373108</v>
      </c>
      <c r="Q178" s="122">
        <v>234</v>
      </c>
      <c r="R178" s="122">
        <v>186</v>
      </c>
      <c r="S178" s="122">
        <v>172</v>
      </c>
      <c r="T178" s="122">
        <v>147</v>
      </c>
      <c r="U178" s="122">
        <v>183</v>
      </c>
      <c r="V178" s="122">
        <v>164</v>
      </c>
      <c r="W178" s="122">
        <v>215.73736945175744</v>
      </c>
      <c r="X178" s="122">
        <v>151</v>
      </c>
      <c r="Y178" s="122">
        <v>172.04289999366711</v>
      </c>
      <c r="Z178" s="122">
        <v>167.51321570522231</v>
      </c>
      <c r="AA178" s="122">
        <v>0</v>
      </c>
      <c r="AB178" s="122">
        <v>180</v>
      </c>
      <c r="AC178" s="122">
        <v>128.24983817898499</v>
      </c>
      <c r="AD178" s="122">
        <v>167.59156939686551</v>
      </c>
      <c r="AE178" s="122">
        <v>154</v>
      </c>
      <c r="AF178" s="122">
        <v>159</v>
      </c>
      <c r="AG178" s="122">
        <v>73.318563316961814</v>
      </c>
      <c r="AH178" s="122">
        <v>149</v>
      </c>
      <c r="AI178" s="122">
        <v>227</v>
      </c>
      <c r="AJ178" s="122">
        <v>201</v>
      </c>
      <c r="AK178" s="122">
        <v>182</v>
      </c>
      <c r="AL178" s="122">
        <v>224</v>
      </c>
      <c r="AM178" s="122">
        <v>187.56651645508367</v>
      </c>
      <c r="AN178" s="122">
        <v>167.59156939686554</v>
      </c>
      <c r="AO178" s="122">
        <v>32.925066323134871</v>
      </c>
      <c r="AP178" s="122">
        <v>167.59156939686554</v>
      </c>
      <c r="AQ178" s="122">
        <v>191</v>
      </c>
      <c r="AR178" s="122">
        <v>141</v>
      </c>
      <c r="AS178" s="122">
        <v>200</v>
      </c>
      <c r="AT178" s="122">
        <v>3.6997745137314837</v>
      </c>
      <c r="AU178" s="122">
        <v>201</v>
      </c>
      <c r="AV178" s="122">
        <v>191</v>
      </c>
      <c r="AW178" s="122">
        <v>152</v>
      </c>
      <c r="AX178" s="122">
        <v>141.08098571050107</v>
      </c>
      <c r="AY178" s="122">
        <v>157</v>
      </c>
    </row>
    <row r="179" spans="1:51">
      <c r="A179" s="132" t="s">
        <v>134</v>
      </c>
      <c r="B179" s="132" t="s">
        <v>298</v>
      </c>
      <c r="C179" s="121" t="s">
        <v>293</v>
      </c>
      <c r="D179" s="121">
        <f t="shared" ref="D179:AY179" si="3">SUM(D109:D120)</f>
        <v>87.576263612192463</v>
      </c>
      <c r="E179" s="121">
        <f t="shared" si="3"/>
        <v>150.32021940294879</v>
      </c>
      <c r="F179" s="121">
        <f t="shared" si="3"/>
        <v>157.52255139921178</v>
      </c>
      <c r="G179" s="121">
        <f t="shared" si="3"/>
        <v>204.94362548051296</v>
      </c>
      <c r="H179" s="121">
        <f t="shared" si="3"/>
        <v>197.76539820654725</v>
      </c>
      <c r="I179" s="121">
        <f t="shared" si="3"/>
        <v>206.85333697476622</v>
      </c>
      <c r="J179" s="121">
        <f t="shared" si="3"/>
        <v>169.40805221483225</v>
      </c>
      <c r="K179" s="121">
        <f t="shared" si="3"/>
        <v>188.33767489013346</v>
      </c>
      <c r="L179" s="121">
        <f t="shared" si="3"/>
        <v>159.79182446265034</v>
      </c>
      <c r="M179" s="121">
        <f t="shared" si="3"/>
        <v>83.434234136844509</v>
      </c>
      <c r="N179" s="121">
        <f t="shared" si="3"/>
        <v>132.31107199227239</v>
      </c>
      <c r="O179" s="121">
        <f t="shared" si="3"/>
        <v>93.615978975549808</v>
      </c>
      <c r="P179" s="121">
        <f t="shared" si="3"/>
        <v>128.16043920374574</v>
      </c>
      <c r="Q179" s="121">
        <f t="shared" si="3"/>
        <v>85.525577731019439</v>
      </c>
      <c r="R179" s="121">
        <f t="shared" si="3"/>
        <v>148.07003795921537</v>
      </c>
      <c r="S179" s="121">
        <f t="shared" si="3"/>
        <v>196.85588749323887</v>
      </c>
      <c r="T179" s="121">
        <f t="shared" si="3"/>
        <v>233.89197070710574</v>
      </c>
      <c r="U179" s="121">
        <f t="shared" si="3"/>
        <v>268.44057779818928</v>
      </c>
      <c r="V179" s="121">
        <f t="shared" si="3"/>
        <v>242.09401919952276</v>
      </c>
      <c r="W179" s="121">
        <f t="shared" si="3"/>
        <v>241.69225878188428</v>
      </c>
      <c r="X179" s="121">
        <f t="shared" si="3"/>
        <v>236.85988163242104</v>
      </c>
      <c r="Y179" s="121">
        <f t="shared" si="3"/>
        <v>235.38062002240952</v>
      </c>
      <c r="Z179" s="121">
        <f t="shared" si="3"/>
        <v>249.56944891765289</v>
      </c>
      <c r="AA179" s="121">
        <f t="shared" si="3"/>
        <v>233.78965105683892</v>
      </c>
      <c r="AB179" s="121">
        <f t="shared" si="3"/>
        <v>179.12123307285151</v>
      </c>
      <c r="AC179" s="121">
        <f t="shared" si="3"/>
        <v>198.20917184107043</v>
      </c>
      <c r="AD179" s="121">
        <f t="shared" si="3"/>
        <v>187.12044378764648</v>
      </c>
      <c r="AE179" s="121">
        <f t="shared" si="3"/>
        <v>176.8063150958605</v>
      </c>
      <c r="AF179" s="121">
        <f t="shared" si="3"/>
        <v>199.06973106652316</v>
      </c>
      <c r="AG179" s="121">
        <f t="shared" si="3"/>
        <v>203.19164668481957</v>
      </c>
      <c r="AH179" s="121">
        <f t="shared" si="3"/>
        <v>128.7071243978242</v>
      </c>
      <c r="AI179" s="121">
        <f t="shared" si="3"/>
        <v>132.48497286194365</v>
      </c>
      <c r="AJ179" s="121">
        <f t="shared" si="3"/>
        <v>134.49359147902192</v>
      </c>
      <c r="AK179" s="121">
        <f t="shared" si="3"/>
        <v>149.30321963282324</v>
      </c>
      <c r="AL179" s="121">
        <f t="shared" si="3"/>
        <v>134.92656266622367</v>
      </c>
      <c r="AM179" s="121">
        <f t="shared" si="3"/>
        <v>158.43386104598278</v>
      </c>
      <c r="AN179" s="121">
        <f t="shared" si="3"/>
        <v>166.42348057862773</v>
      </c>
      <c r="AO179" s="121">
        <f t="shared" si="3"/>
        <v>164.13238756749439</v>
      </c>
      <c r="AP179" s="121">
        <f t="shared" si="3"/>
        <v>76.044355169902062</v>
      </c>
      <c r="AQ179" s="121">
        <f t="shared" si="3"/>
        <v>73.321327004142475</v>
      </c>
      <c r="AR179" s="121">
        <f t="shared" si="3"/>
        <v>122.54446022819592</v>
      </c>
      <c r="AS179" s="121">
        <f t="shared" si="3"/>
        <v>65.616626842730113</v>
      </c>
      <c r="AT179" s="121">
        <f t="shared" si="3"/>
        <v>73.321327004142475</v>
      </c>
      <c r="AU179" s="121">
        <f t="shared" si="3"/>
        <v>14.331582016012554</v>
      </c>
      <c r="AV179" s="121">
        <f t="shared" si="3"/>
        <v>128.70989476396446</v>
      </c>
      <c r="AW179" s="121">
        <f t="shared" si="3"/>
        <v>123.05568192778613</v>
      </c>
      <c r="AX179" s="121">
        <f t="shared" si="3"/>
        <v>104.57642031777463</v>
      </c>
      <c r="AY179" s="121">
        <f t="shared" si="3"/>
        <v>33.864805544165513</v>
      </c>
    </row>
    <row r="180" spans="1:51">
      <c r="A180" s="122"/>
      <c r="B180" s="133" t="s">
        <v>299</v>
      </c>
      <c r="C180" s="122" t="s">
        <v>293</v>
      </c>
      <c r="D180" s="122">
        <v>68</v>
      </c>
      <c r="E180" s="122">
        <v>98</v>
      </c>
      <c r="F180" s="122">
        <v>55</v>
      </c>
      <c r="G180" s="122">
        <v>90</v>
      </c>
      <c r="H180" s="122">
        <v>74</v>
      </c>
      <c r="I180" s="122">
        <v>101</v>
      </c>
      <c r="J180" s="122">
        <v>67</v>
      </c>
      <c r="K180" s="122">
        <v>92.10056566754912</v>
      </c>
      <c r="L180" s="122">
        <v>100.45578410589486</v>
      </c>
      <c r="M180" s="122">
        <v>83.434234136844509</v>
      </c>
      <c r="N180" s="122">
        <v>72.300097123602015</v>
      </c>
      <c r="O180" s="122">
        <v>88</v>
      </c>
      <c r="P180" s="122">
        <v>86.297486362037048</v>
      </c>
      <c r="Q180" s="122">
        <v>60</v>
      </c>
      <c r="R180" s="122">
        <v>60</v>
      </c>
      <c r="S180" s="122">
        <v>61</v>
      </c>
      <c r="T180" s="122">
        <v>69</v>
      </c>
      <c r="U180" s="122">
        <v>99</v>
      </c>
      <c r="V180" s="122">
        <v>65</v>
      </c>
      <c r="W180" s="122">
        <v>86.119727303528236</v>
      </c>
      <c r="X180" s="122">
        <v>73</v>
      </c>
      <c r="Y180" s="122">
        <v>57.331909494745148</v>
      </c>
      <c r="Z180" s="122">
        <v>87.222521370068264</v>
      </c>
      <c r="AA180" s="122">
        <v>69</v>
      </c>
      <c r="AB180" s="122">
        <v>64</v>
      </c>
      <c r="AC180" s="122">
        <v>64.798816648679292</v>
      </c>
      <c r="AD180" s="122">
        <v>83.635455695928457</v>
      </c>
      <c r="AE180" s="122">
        <v>73</v>
      </c>
      <c r="AF180" s="122">
        <v>71</v>
      </c>
      <c r="AG180" s="122">
        <v>88.816104303007933</v>
      </c>
      <c r="AH180" s="122">
        <v>109</v>
      </c>
      <c r="AI180" s="122">
        <v>94</v>
      </c>
      <c r="AJ180" s="122">
        <v>71</v>
      </c>
      <c r="AK180" s="122">
        <v>109</v>
      </c>
      <c r="AL180" s="122">
        <v>55</v>
      </c>
      <c r="AM180" s="122">
        <v>55.565095707421051</v>
      </c>
      <c r="AN180" s="122">
        <v>75.612420015275788</v>
      </c>
      <c r="AO180" s="122">
        <v>112.18622617768139</v>
      </c>
      <c r="AP180" s="122">
        <v>76.044355169902062</v>
      </c>
      <c r="AQ180" s="122">
        <v>73.321327004142475</v>
      </c>
      <c r="AR180" s="122">
        <v>103</v>
      </c>
      <c r="AS180" s="122">
        <v>65.616626842730113</v>
      </c>
      <c r="AT180" s="122">
        <v>73.321327004142475</v>
      </c>
      <c r="AU180" s="122">
        <v>14.331582016012554</v>
      </c>
      <c r="AV180" s="122">
        <v>104</v>
      </c>
      <c r="AW180" s="122">
        <v>90</v>
      </c>
      <c r="AX180" s="122">
        <v>104.57642031777463</v>
      </c>
      <c r="AY180" s="122">
        <v>33.864805544165513</v>
      </c>
    </row>
    <row r="181" spans="1:51">
      <c r="A181" s="132" t="s">
        <v>123</v>
      </c>
      <c r="B181" s="132" t="s">
        <v>298</v>
      </c>
      <c r="C181" s="121" t="s">
        <v>293</v>
      </c>
      <c r="D181" s="121">
        <f t="shared" ref="D181:AY181" si="4">(1-D172)*SUM(D122:D169)</f>
        <v>206.39260811956217</v>
      </c>
      <c r="E181" s="121">
        <f t="shared" si="4"/>
        <v>166.072561822425</v>
      </c>
      <c r="F181" s="121">
        <f t="shared" si="4"/>
        <v>161.6820638338157</v>
      </c>
      <c r="G181" s="121">
        <f t="shared" si="4"/>
        <v>130.74257680690721</v>
      </c>
      <c r="H181" s="121">
        <f t="shared" si="4"/>
        <v>131.16274692725503</v>
      </c>
      <c r="I181" s="121">
        <f t="shared" si="4"/>
        <v>100.32757045905983</v>
      </c>
      <c r="J181" s="121">
        <f t="shared" si="4"/>
        <v>135.64863347923256</v>
      </c>
      <c r="K181" s="121">
        <f t="shared" si="4"/>
        <v>100.32757045905984</v>
      </c>
      <c r="L181" s="121">
        <f t="shared" si="4"/>
        <v>38.041445473801609</v>
      </c>
      <c r="M181" s="121">
        <f t="shared" si="4"/>
        <v>208.86646014661082</v>
      </c>
      <c r="N181" s="121">
        <f t="shared" si="4"/>
        <v>53.048910762556325</v>
      </c>
      <c r="O181" s="121">
        <f t="shared" si="4"/>
        <v>193.44887191251323</v>
      </c>
      <c r="P181" s="121">
        <f t="shared" si="4"/>
        <v>68.925886277093099</v>
      </c>
      <c r="Q181" s="121">
        <f t="shared" si="4"/>
        <v>193.44887191251323</v>
      </c>
      <c r="R181" s="121">
        <f t="shared" si="4"/>
        <v>171.72950807578962</v>
      </c>
      <c r="S181" s="121">
        <f t="shared" si="4"/>
        <v>154.75991055922265</v>
      </c>
      <c r="T181" s="121">
        <f t="shared" si="4"/>
        <v>163.46198916361311</v>
      </c>
      <c r="U181" s="121">
        <f t="shared" si="4"/>
        <v>114.69083346140546</v>
      </c>
      <c r="V181" s="121">
        <f t="shared" si="4"/>
        <v>101.97487957816978</v>
      </c>
      <c r="W181" s="121">
        <f t="shared" si="4"/>
        <v>128.3203349933498</v>
      </c>
      <c r="X181" s="121">
        <f t="shared" si="4"/>
        <v>112.90274675925217</v>
      </c>
      <c r="Y181" s="121">
        <f t="shared" si="4"/>
        <v>112.90274675925217</v>
      </c>
      <c r="Z181" s="121">
        <f t="shared" si="4"/>
        <v>112.77959234947865</v>
      </c>
      <c r="AA181" s="121">
        <f t="shared" si="4"/>
        <v>22.623857239704012</v>
      </c>
      <c r="AB181" s="121">
        <f t="shared" si="4"/>
        <v>131.16274692725503</v>
      </c>
      <c r="AC181" s="121">
        <f t="shared" si="4"/>
        <v>84.786827815188673</v>
      </c>
      <c r="AD181" s="121">
        <f t="shared" si="4"/>
        <v>115.74515869315742</v>
      </c>
      <c r="AE181" s="121">
        <f t="shared" si="4"/>
        <v>150.38297381815875</v>
      </c>
      <c r="AF181" s="121">
        <f t="shared" si="4"/>
        <v>118.58757062706266</v>
      </c>
      <c r="AG181" s="121">
        <f t="shared" si="4"/>
        <v>22.623857239704012</v>
      </c>
      <c r="AH181" s="121">
        <f t="shared" si="4"/>
        <v>178.03128367841563</v>
      </c>
      <c r="AI181" s="121">
        <f t="shared" si="4"/>
        <v>151.55935185292978</v>
      </c>
      <c r="AJ181" s="121">
        <f t="shared" si="4"/>
        <v>135.45920994448758</v>
      </c>
      <c r="AK181" s="121">
        <f t="shared" si="4"/>
        <v>149.3725537026796</v>
      </c>
      <c r="AL181" s="121">
        <f t="shared" si="4"/>
        <v>123.9317410202204</v>
      </c>
      <c r="AM181" s="121">
        <f t="shared" si="4"/>
        <v>100.32757045905983</v>
      </c>
      <c r="AN181" s="121">
        <f t="shared" si="4"/>
        <v>115.74515869315741</v>
      </c>
      <c r="AO181" s="121">
        <f t="shared" si="4"/>
        <v>38.041445473801616</v>
      </c>
      <c r="AP181" s="121">
        <f t="shared" si="4"/>
        <v>115.74515869315742</v>
      </c>
      <c r="AQ181" s="121">
        <f t="shared" si="4"/>
        <v>193.44887191251323</v>
      </c>
      <c r="AR181" s="121">
        <f t="shared" si="4"/>
        <v>72.72959252136242</v>
      </c>
      <c r="AS181" s="121">
        <f t="shared" si="4"/>
        <v>115.74515869315742</v>
      </c>
      <c r="AT181" s="121">
        <f t="shared" si="4"/>
        <v>22.623857239704012</v>
      </c>
      <c r="AU181" s="121">
        <f t="shared" si="4"/>
        <v>203.18163627880034</v>
      </c>
      <c r="AV181" s="121">
        <f t="shared" si="4"/>
        <v>155.24880968721294</v>
      </c>
      <c r="AW181" s="121">
        <f t="shared" si="4"/>
        <v>112.90274675925217</v>
      </c>
      <c r="AX181" s="121">
        <f t="shared" si="4"/>
        <v>53.459033707899223</v>
      </c>
      <c r="AY181" s="121">
        <f t="shared" si="4"/>
        <v>149.94480908989505</v>
      </c>
    </row>
    <row r="182" spans="1:51">
      <c r="A182" s="122"/>
      <c r="B182" s="133" t="s">
        <v>299</v>
      </c>
      <c r="C182" s="122" t="s">
        <v>293</v>
      </c>
      <c r="D182" s="122">
        <v>99</v>
      </c>
      <c r="E182" s="122">
        <v>117</v>
      </c>
      <c r="F182" s="122">
        <v>112</v>
      </c>
      <c r="G182" s="122">
        <v>130.74257680690721</v>
      </c>
      <c r="H182" s="122">
        <v>131.16274692725503</v>
      </c>
      <c r="I182" s="122">
        <v>93</v>
      </c>
      <c r="J182" s="122">
        <v>135.64863347923256</v>
      </c>
      <c r="K182" s="122">
        <v>100.32757045905984</v>
      </c>
      <c r="L182" s="122">
        <v>38.041445473801609</v>
      </c>
      <c r="M182" s="122">
        <v>159.16798453289164</v>
      </c>
      <c r="N182" s="122">
        <v>53.048910762556325</v>
      </c>
      <c r="O182" s="122">
        <v>143</v>
      </c>
      <c r="P182" s="122">
        <v>68.925886277093099</v>
      </c>
      <c r="Q182" s="122">
        <v>102</v>
      </c>
      <c r="R182" s="122">
        <v>108</v>
      </c>
      <c r="S182" s="122">
        <v>102</v>
      </c>
      <c r="T182" s="122">
        <v>140</v>
      </c>
      <c r="U182" s="122">
        <v>112</v>
      </c>
      <c r="V182" s="122">
        <v>101.97487957816978</v>
      </c>
      <c r="W182" s="122">
        <v>128.3203349933498</v>
      </c>
      <c r="X182" s="122">
        <v>112.90274675925217</v>
      </c>
      <c r="Y182" s="122">
        <v>112.90274675925217</v>
      </c>
      <c r="Z182" s="122">
        <v>112.77959234947865</v>
      </c>
      <c r="AA182" s="122">
        <v>22.623857239704012</v>
      </c>
      <c r="AB182" s="122">
        <v>131.16274692725503</v>
      </c>
      <c r="AC182" s="122">
        <v>84.786827815188673</v>
      </c>
      <c r="AD182" s="122">
        <v>93.635455695928457</v>
      </c>
      <c r="AE182" s="122">
        <v>150.38297381815875</v>
      </c>
      <c r="AF182" s="122">
        <v>118.58757062706266</v>
      </c>
      <c r="AG182" s="122">
        <v>22.623857239704012</v>
      </c>
      <c r="AH182" s="122">
        <v>154</v>
      </c>
      <c r="AI182" s="122">
        <v>124</v>
      </c>
      <c r="AJ182" s="122">
        <v>115</v>
      </c>
      <c r="AK182" s="122">
        <v>136</v>
      </c>
      <c r="AL182" s="122">
        <v>123.9317410202204</v>
      </c>
      <c r="AM182" s="122">
        <v>100.32757045905983</v>
      </c>
      <c r="AN182" s="122">
        <v>115.74515869315741</v>
      </c>
      <c r="AO182" s="122">
        <v>38.041445473801616</v>
      </c>
      <c r="AP182" s="122">
        <v>115.74515869315742</v>
      </c>
      <c r="AQ182" s="122">
        <v>161.97095202868132</v>
      </c>
      <c r="AR182" s="122">
        <v>72.72959252136242</v>
      </c>
      <c r="AS182" s="122">
        <v>115.74515869315742</v>
      </c>
      <c r="AT182" s="122">
        <v>22.623857239704012</v>
      </c>
      <c r="AU182" s="122">
        <v>113.46932512689155</v>
      </c>
      <c r="AV182" s="122">
        <v>155.24880968721294</v>
      </c>
      <c r="AW182" s="122">
        <v>112.90274675925217</v>
      </c>
      <c r="AX182" s="122">
        <v>53.459033707899223</v>
      </c>
      <c r="AY182" s="122">
        <v>148.91140719954791</v>
      </c>
    </row>
    <row r="184" spans="1:51">
      <c r="A184" s="1" t="s">
        <v>300</v>
      </c>
    </row>
    <row r="185" spans="1:51">
      <c r="A185" s="123" t="s">
        <v>125</v>
      </c>
      <c r="B185" s="120">
        <v>1</v>
      </c>
      <c r="C185" s="121">
        <v>0</v>
      </c>
      <c r="D185" s="121">
        <v>0</v>
      </c>
      <c r="E185" s="121">
        <v>0</v>
      </c>
      <c r="F185" s="121">
        <v>0</v>
      </c>
      <c r="G185" s="121">
        <v>0</v>
      </c>
      <c r="H185" s="121">
        <v>0</v>
      </c>
      <c r="I185" s="121">
        <v>0</v>
      </c>
      <c r="J185" s="121">
        <v>0</v>
      </c>
      <c r="K185" s="121">
        <v>0</v>
      </c>
      <c r="L185" s="121">
        <v>0</v>
      </c>
      <c r="M185" s="121">
        <v>0</v>
      </c>
      <c r="N185" s="121">
        <v>0</v>
      </c>
      <c r="O185" s="121">
        <v>0</v>
      </c>
      <c r="P185" s="121">
        <v>0</v>
      </c>
      <c r="Q185" s="121">
        <v>0</v>
      </c>
      <c r="R185" s="121">
        <v>0</v>
      </c>
      <c r="S185" s="121">
        <v>0</v>
      </c>
      <c r="T185" s="121">
        <v>0</v>
      </c>
      <c r="U185" s="121">
        <v>0</v>
      </c>
      <c r="V185" s="121">
        <v>0</v>
      </c>
      <c r="W185" s="121">
        <v>0</v>
      </c>
      <c r="X185" s="121">
        <v>0</v>
      </c>
      <c r="Y185" s="121">
        <v>0</v>
      </c>
      <c r="Z185" s="121">
        <v>0</v>
      </c>
      <c r="AA185" s="121">
        <v>0</v>
      </c>
      <c r="AB185" s="121">
        <v>0</v>
      </c>
      <c r="AC185" s="121">
        <v>0</v>
      </c>
      <c r="AD185" s="121">
        <v>0</v>
      </c>
      <c r="AE185" s="121">
        <v>0</v>
      </c>
      <c r="AF185" s="121">
        <v>0</v>
      </c>
      <c r="AG185" s="121">
        <v>0</v>
      </c>
      <c r="AH185" s="121">
        <v>0</v>
      </c>
      <c r="AI185" s="121">
        <v>0</v>
      </c>
      <c r="AJ185" s="121">
        <v>0</v>
      </c>
      <c r="AK185" s="121">
        <v>0</v>
      </c>
      <c r="AL185" s="121">
        <v>0</v>
      </c>
      <c r="AM185" s="121">
        <v>0</v>
      </c>
      <c r="AN185" s="121">
        <v>0</v>
      </c>
      <c r="AO185" s="121">
        <v>0</v>
      </c>
      <c r="AP185" s="121">
        <v>0</v>
      </c>
      <c r="AQ185" s="121">
        <v>0</v>
      </c>
      <c r="AR185" s="121">
        <v>0</v>
      </c>
      <c r="AS185" s="121">
        <v>0</v>
      </c>
      <c r="AT185" s="121">
        <v>0</v>
      </c>
      <c r="AU185" s="121">
        <v>0</v>
      </c>
      <c r="AV185" s="121">
        <v>0</v>
      </c>
      <c r="AW185" s="121">
        <v>0</v>
      </c>
      <c r="AX185" s="121">
        <v>0</v>
      </c>
      <c r="AY185" s="121">
        <v>0</v>
      </c>
    </row>
    <row r="186" spans="1:51">
      <c r="A186" s="107"/>
      <c r="B186" s="117">
        <v>2</v>
      </c>
      <c r="C186" s="104">
        <v>0</v>
      </c>
      <c r="D186" s="104">
        <v>0</v>
      </c>
      <c r="E186" s="104">
        <v>0</v>
      </c>
      <c r="F186" s="104">
        <v>0</v>
      </c>
      <c r="G186" s="104">
        <v>0</v>
      </c>
      <c r="H186" s="104">
        <v>0</v>
      </c>
      <c r="I186" s="104">
        <v>0</v>
      </c>
      <c r="J186" s="104">
        <v>0</v>
      </c>
      <c r="K186" s="104">
        <v>0</v>
      </c>
      <c r="L186" s="104">
        <v>0</v>
      </c>
      <c r="M186" s="104">
        <v>0</v>
      </c>
      <c r="N186" s="104">
        <v>0</v>
      </c>
      <c r="O186" s="104">
        <v>0</v>
      </c>
      <c r="P186" s="104">
        <v>0</v>
      </c>
      <c r="Q186" s="104">
        <v>0</v>
      </c>
      <c r="R186" s="104">
        <v>0</v>
      </c>
      <c r="S186" s="104">
        <v>0</v>
      </c>
      <c r="T186" s="104">
        <v>0</v>
      </c>
      <c r="U186" s="104">
        <v>0</v>
      </c>
      <c r="V186" s="104">
        <v>0</v>
      </c>
      <c r="W186" s="104">
        <v>0</v>
      </c>
      <c r="X186" s="104">
        <v>0</v>
      </c>
      <c r="Y186" s="104">
        <v>0</v>
      </c>
      <c r="Z186" s="104">
        <v>0</v>
      </c>
      <c r="AA186" s="104">
        <v>0</v>
      </c>
      <c r="AB186" s="104">
        <v>0</v>
      </c>
      <c r="AC186" s="104">
        <v>0</v>
      </c>
      <c r="AD186" s="104">
        <v>0</v>
      </c>
      <c r="AE186" s="104">
        <v>0</v>
      </c>
      <c r="AF186" s="104">
        <v>0</v>
      </c>
      <c r="AG186" s="104">
        <v>0</v>
      </c>
      <c r="AH186" s="104">
        <v>0</v>
      </c>
      <c r="AI186" s="104">
        <v>0</v>
      </c>
      <c r="AJ186" s="104">
        <v>0</v>
      </c>
      <c r="AK186" s="104">
        <v>0</v>
      </c>
      <c r="AL186" s="104">
        <v>0</v>
      </c>
      <c r="AM186" s="104">
        <v>0</v>
      </c>
      <c r="AN186" s="104">
        <v>0</v>
      </c>
      <c r="AO186" s="104">
        <v>0</v>
      </c>
      <c r="AP186" s="104">
        <v>0</v>
      </c>
      <c r="AQ186" s="104">
        <v>0</v>
      </c>
      <c r="AR186" s="104">
        <v>0</v>
      </c>
      <c r="AS186" s="104">
        <v>0</v>
      </c>
      <c r="AT186" s="104">
        <v>0</v>
      </c>
      <c r="AU186" s="104">
        <v>0</v>
      </c>
      <c r="AV186" s="104">
        <v>0</v>
      </c>
      <c r="AW186" s="104">
        <v>0</v>
      </c>
      <c r="AX186" s="104">
        <v>0</v>
      </c>
      <c r="AY186" s="104">
        <v>0</v>
      </c>
    </row>
    <row r="187" spans="1:51">
      <c r="A187" s="107"/>
      <c r="B187" s="124">
        <v>3</v>
      </c>
      <c r="C187" s="104">
        <v>149</v>
      </c>
      <c r="D187" s="104">
        <v>116</v>
      </c>
      <c r="E187" s="104">
        <v>117</v>
      </c>
      <c r="F187" s="104">
        <v>86</v>
      </c>
      <c r="G187" s="104">
        <v>41.468309091263336</v>
      </c>
      <c r="H187" s="104">
        <v>0</v>
      </c>
      <c r="I187" s="104">
        <v>0</v>
      </c>
      <c r="J187" s="104">
        <v>0</v>
      </c>
      <c r="K187" s="104">
        <v>0</v>
      </c>
      <c r="L187" s="104">
        <v>0</v>
      </c>
      <c r="M187" s="104">
        <v>0</v>
      </c>
      <c r="N187" s="104">
        <v>0</v>
      </c>
      <c r="O187" s="104">
        <v>0</v>
      </c>
      <c r="P187" s="104">
        <v>0</v>
      </c>
      <c r="Q187" s="104">
        <v>0</v>
      </c>
      <c r="R187" s="104">
        <v>0</v>
      </c>
      <c r="S187" s="104">
        <v>0</v>
      </c>
      <c r="T187" s="104">
        <v>0</v>
      </c>
      <c r="U187" s="104">
        <v>0</v>
      </c>
      <c r="V187" s="104">
        <v>0</v>
      </c>
      <c r="W187" s="104">
        <v>0</v>
      </c>
      <c r="X187" s="104">
        <v>0</v>
      </c>
      <c r="Y187" s="104">
        <v>0</v>
      </c>
      <c r="Z187" s="104">
        <v>0</v>
      </c>
      <c r="AA187" s="104">
        <v>0</v>
      </c>
      <c r="AB187" s="104">
        <v>0</v>
      </c>
      <c r="AC187" s="104">
        <v>0</v>
      </c>
      <c r="AD187" s="104">
        <v>0</v>
      </c>
      <c r="AE187" s="104">
        <v>0</v>
      </c>
      <c r="AF187" s="104">
        <v>0</v>
      </c>
      <c r="AG187" s="104">
        <v>0</v>
      </c>
      <c r="AH187" s="104">
        <v>0</v>
      </c>
      <c r="AI187" s="104">
        <v>0</v>
      </c>
      <c r="AJ187" s="104">
        <v>0</v>
      </c>
      <c r="AK187" s="104">
        <v>0</v>
      </c>
      <c r="AL187" s="104">
        <v>0</v>
      </c>
      <c r="AM187" s="104">
        <v>0</v>
      </c>
      <c r="AN187" s="104">
        <v>0</v>
      </c>
      <c r="AO187" s="104">
        <v>0</v>
      </c>
      <c r="AP187" s="104">
        <v>0</v>
      </c>
      <c r="AQ187" s="104">
        <v>0</v>
      </c>
      <c r="AR187" s="104">
        <v>0</v>
      </c>
      <c r="AS187" s="104">
        <v>0</v>
      </c>
      <c r="AT187" s="104">
        <v>0</v>
      </c>
      <c r="AU187" s="104">
        <v>0</v>
      </c>
      <c r="AV187" s="104">
        <v>0</v>
      </c>
      <c r="AW187" s="104">
        <v>0</v>
      </c>
      <c r="AX187" s="104">
        <v>0</v>
      </c>
      <c r="AY187" s="104">
        <v>0</v>
      </c>
    </row>
    <row r="188" spans="1:51">
      <c r="A188" s="125"/>
      <c r="B188" s="126">
        <v>4</v>
      </c>
      <c r="C188" s="104">
        <v>15</v>
      </c>
      <c r="D188" s="104">
        <v>11</v>
      </c>
      <c r="E188" s="104">
        <v>44</v>
      </c>
      <c r="F188" s="104">
        <v>43</v>
      </c>
      <c r="G188" s="104">
        <v>112.53169090873666</v>
      </c>
      <c r="H188" s="104">
        <v>104</v>
      </c>
      <c r="I188" s="104">
        <v>174</v>
      </c>
      <c r="J188" s="104">
        <v>177</v>
      </c>
      <c r="K188" s="104">
        <v>183</v>
      </c>
      <c r="L188" s="104">
        <v>128</v>
      </c>
      <c r="M188" s="104">
        <v>154</v>
      </c>
      <c r="N188" s="104">
        <v>133</v>
      </c>
      <c r="O188" s="104">
        <v>125</v>
      </c>
      <c r="P188" s="104">
        <v>117</v>
      </c>
      <c r="Q188" s="104">
        <v>177</v>
      </c>
      <c r="R188" s="104">
        <v>151</v>
      </c>
      <c r="S188" s="104">
        <v>137</v>
      </c>
      <c r="T188" s="104">
        <v>180</v>
      </c>
      <c r="U188" s="104">
        <v>146</v>
      </c>
      <c r="V188" s="104">
        <v>120</v>
      </c>
      <c r="W188" s="104">
        <v>171</v>
      </c>
      <c r="X188" s="104">
        <v>132</v>
      </c>
      <c r="Y188" s="104">
        <v>119</v>
      </c>
      <c r="Z188" s="104">
        <v>172</v>
      </c>
      <c r="AA188" s="104">
        <v>120</v>
      </c>
      <c r="AB188" s="104">
        <v>113</v>
      </c>
      <c r="AC188" s="104">
        <v>139</v>
      </c>
      <c r="AD188" s="104">
        <v>164</v>
      </c>
      <c r="AE188" s="104">
        <v>171</v>
      </c>
      <c r="AF188" s="104">
        <v>142</v>
      </c>
      <c r="AG188" s="104">
        <v>172</v>
      </c>
      <c r="AH188" s="104">
        <v>138</v>
      </c>
      <c r="AI188" s="104">
        <v>164</v>
      </c>
      <c r="AJ188" s="104">
        <v>156</v>
      </c>
      <c r="AK188" s="104">
        <v>195</v>
      </c>
      <c r="AL188" s="104">
        <v>171</v>
      </c>
      <c r="AM188" s="104">
        <v>135</v>
      </c>
      <c r="AN188" s="104">
        <v>156</v>
      </c>
      <c r="AO188" s="104">
        <v>162</v>
      </c>
      <c r="AP188" s="104">
        <v>191</v>
      </c>
      <c r="AQ188" s="104">
        <v>181</v>
      </c>
      <c r="AR188" s="104">
        <v>146</v>
      </c>
      <c r="AS188" s="104">
        <v>137</v>
      </c>
      <c r="AT188" s="104">
        <v>167</v>
      </c>
      <c r="AU188" s="104">
        <v>116</v>
      </c>
      <c r="AV188" s="104">
        <v>109</v>
      </c>
      <c r="AW188" s="104">
        <v>110</v>
      </c>
      <c r="AX188" s="104">
        <v>197</v>
      </c>
      <c r="AY188" s="104">
        <v>148</v>
      </c>
    </row>
    <row r="189" spans="1:51">
      <c r="A189" s="123" t="s">
        <v>133</v>
      </c>
      <c r="B189" s="120">
        <v>1</v>
      </c>
      <c r="C189" s="121">
        <v>108.41939441531875</v>
      </c>
      <c r="D189" s="121">
        <v>0</v>
      </c>
      <c r="E189" s="121">
        <v>0</v>
      </c>
      <c r="F189" s="121">
        <v>0</v>
      </c>
      <c r="G189" s="121">
        <v>14.412888145984482</v>
      </c>
      <c r="H189" s="121">
        <v>38.821318749118944</v>
      </c>
      <c r="I189" s="121">
        <v>36.229749352253407</v>
      </c>
      <c r="J189" s="121">
        <v>109.56324627852274</v>
      </c>
      <c r="K189" s="121">
        <v>134.66650307373067</v>
      </c>
      <c r="L189" s="121">
        <v>32.925066323134864</v>
      </c>
      <c r="M189" s="121">
        <v>0</v>
      </c>
      <c r="N189" s="121">
        <v>0</v>
      </c>
      <c r="O189" s="121">
        <v>37.408430603134462</v>
      </c>
      <c r="P189" s="121">
        <v>0</v>
      </c>
      <c r="Q189" s="121">
        <v>99.333496926269333</v>
      </c>
      <c r="R189" s="121">
        <v>84.816861206268925</v>
      </c>
      <c r="S189" s="121">
        <v>89.225291809403387</v>
      </c>
      <c r="T189" s="121">
        <v>68.63372241253785</v>
      </c>
      <c r="U189" s="121">
        <v>84.042153015672312</v>
      </c>
      <c r="V189" s="121">
        <v>113.37564994194165</v>
      </c>
      <c r="W189" s="121">
        <v>134.66650307373067</v>
      </c>
      <c r="X189" s="121">
        <v>151</v>
      </c>
      <c r="Y189" s="121">
        <v>134.66650307373067</v>
      </c>
      <c r="Z189" s="121">
        <v>140.65826878211942</v>
      </c>
      <c r="AA189" s="121">
        <v>0</v>
      </c>
      <c r="AB189" s="121">
        <v>147.07493367686513</v>
      </c>
      <c r="AC189" s="121">
        <v>107.73320245898456</v>
      </c>
      <c r="AD189" s="121">
        <v>134.66650307373067</v>
      </c>
      <c r="AE189" s="121">
        <v>115.00481427683317</v>
      </c>
      <c r="AF189" s="121">
        <v>100.34312547993568</v>
      </c>
      <c r="AG189" s="121">
        <v>0</v>
      </c>
      <c r="AH189" s="121">
        <v>14.333496926269333</v>
      </c>
      <c r="AI189" s="121">
        <v>28.676622406205013</v>
      </c>
      <c r="AJ189" s="121">
        <v>56.014933609307519</v>
      </c>
      <c r="AK189" s="121">
        <v>64.353244812410026</v>
      </c>
      <c r="AL189" s="121">
        <v>114.69155601551253</v>
      </c>
      <c r="AM189" s="121">
        <v>134.66650307373067</v>
      </c>
      <c r="AN189" s="121">
        <v>134.66650307373067</v>
      </c>
      <c r="AO189" s="121">
        <v>0</v>
      </c>
      <c r="AP189" s="121">
        <v>167.59156939686554</v>
      </c>
      <c r="AQ189" s="121">
        <v>23.408430603134462</v>
      </c>
      <c r="AR189" s="121">
        <v>0</v>
      </c>
      <c r="AS189" s="121">
        <v>163.89179488313405</v>
      </c>
      <c r="AT189" s="121">
        <v>0</v>
      </c>
      <c r="AU189" s="121">
        <v>39.478550003166447</v>
      </c>
      <c r="AV189" s="121">
        <v>68.957100006332894</v>
      </c>
      <c r="AW189" s="121">
        <v>86.290596932602227</v>
      </c>
      <c r="AX189" s="121">
        <v>38.995185723166827</v>
      </c>
      <c r="AY189" s="121">
        <v>22.333496926269333</v>
      </c>
    </row>
    <row r="190" spans="1:51">
      <c r="A190" s="107"/>
      <c r="B190" s="116">
        <v>2</v>
      </c>
      <c r="C190" s="104">
        <v>39.580605584681244</v>
      </c>
      <c r="D190" s="104">
        <v>30.119149654775725</v>
      </c>
      <c r="E190" s="104">
        <v>120.07708814018892</v>
      </c>
      <c r="F190" s="104">
        <v>161.61563221028339</v>
      </c>
      <c r="G190" s="104">
        <v>167.59156939686554</v>
      </c>
      <c r="H190" s="104">
        <v>153.17868125088106</v>
      </c>
      <c r="I190" s="104">
        <v>128.77025064774659</v>
      </c>
      <c r="J190" s="104">
        <v>98.43675372147726</v>
      </c>
      <c r="K190" s="104">
        <v>90.953389441477668</v>
      </c>
      <c r="L190" s="104">
        <v>0</v>
      </c>
      <c r="M190" s="104">
        <v>111.07493367686513</v>
      </c>
      <c r="N190" s="104">
        <v>167.59156939686554</v>
      </c>
      <c r="O190" s="104">
        <v>167.59156939686554</v>
      </c>
      <c r="P190" s="104">
        <v>130.18313879373108</v>
      </c>
      <c r="Q190" s="104">
        <v>134.66650307373067</v>
      </c>
      <c r="R190" s="104">
        <v>68.258072470596204</v>
      </c>
      <c r="S190" s="104">
        <v>82.774708190596613</v>
      </c>
      <c r="T190" s="104">
        <v>78.36627758746215</v>
      </c>
      <c r="U190" s="104">
        <v>98.957846984327688</v>
      </c>
      <c r="V190" s="104">
        <v>50.624350058058354</v>
      </c>
      <c r="W190" s="104">
        <v>81.070866378026778</v>
      </c>
      <c r="X190" s="104">
        <v>0</v>
      </c>
      <c r="Y190" s="104">
        <v>10.521449996833553</v>
      </c>
      <c r="Z190" s="104">
        <v>26.854946923102887</v>
      </c>
      <c r="AA190" s="104">
        <v>0</v>
      </c>
      <c r="AB190" s="104">
        <v>32.925066323134864</v>
      </c>
      <c r="AC190" s="104">
        <v>20.516635720000409</v>
      </c>
      <c r="AD190" s="104">
        <v>32.925066323134857</v>
      </c>
      <c r="AE190" s="104">
        <v>38.995185723166827</v>
      </c>
      <c r="AF190" s="104">
        <v>58.656874520064321</v>
      </c>
      <c r="AG190" s="104">
        <v>73.318563316961814</v>
      </c>
      <c r="AH190" s="104">
        <v>134.66650307373067</v>
      </c>
      <c r="AI190" s="104">
        <v>198.32337759379499</v>
      </c>
      <c r="AJ190" s="104">
        <v>144.98506639069248</v>
      </c>
      <c r="AK190" s="104">
        <v>117.64675518758997</v>
      </c>
      <c r="AL190" s="104">
        <v>109.30844398448747</v>
      </c>
      <c r="AM190" s="104">
        <v>52.900013381353006</v>
      </c>
      <c r="AN190" s="104">
        <v>32.925066323134871</v>
      </c>
      <c r="AO190" s="104">
        <v>32.925066323134871</v>
      </c>
      <c r="AP190" s="104">
        <v>0</v>
      </c>
      <c r="AQ190" s="104">
        <v>0</v>
      </c>
      <c r="AR190" s="104">
        <v>141</v>
      </c>
      <c r="AS190" s="104">
        <v>32.925066323134864</v>
      </c>
      <c r="AT190" s="104">
        <v>3.6997745137314837</v>
      </c>
      <c r="AU190" s="104">
        <v>161.52144999683355</v>
      </c>
      <c r="AV190" s="104">
        <v>122.04289999366711</v>
      </c>
      <c r="AW190" s="104">
        <v>65.709403067397773</v>
      </c>
      <c r="AX190" s="104">
        <v>75.230853064231326</v>
      </c>
      <c r="AY190" s="104">
        <v>134.66650307373067</v>
      </c>
    </row>
    <row r="191" spans="1:51">
      <c r="A191" s="107"/>
      <c r="B191" s="117">
        <v>3</v>
      </c>
      <c r="C191" s="104">
        <v>0</v>
      </c>
      <c r="D191" s="104">
        <v>129.88085034522427</v>
      </c>
      <c r="E191" s="104">
        <v>30.92291185981108</v>
      </c>
      <c r="F191" s="104">
        <v>49.384367789716606</v>
      </c>
      <c r="G191" s="104">
        <v>6.9955424571499805</v>
      </c>
      <c r="H191" s="104">
        <v>0</v>
      </c>
      <c r="I191" s="104">
        <v>0</v>
      </c>
      <c r="J191" s="104">
        <v>0</v>
      </c>
      <c r="K191" s="104">
        <v>0</v>
      </c>
      <c r="L191" s="104">
        <v>0</v>
      </c>
      <c r="M191" s="104">
        <v>32.925066323134864</v>
      </c>
      <c r="N191" s="104">
        <v>23.591569396865538</v>
      </c>
      <c r="O191" s="104">
        <v>0</v>
      </c>
      <c r="P191" s="104">
        <v>0</v>
      </c>
      <c r="Q191" s="104">
        <v>0</v>
      </c>
      <c r="R191" s="104">
        <v>32.925066323134871</v>
      </c>
      <c r="S191" s="104">
        <v>0</v>
      </c>
      <c r="T191" s="104">
        <v>0</v>
      </c>
      <c r="U191" s="104">
        <v>0</v>
      </c>
      <c r="V191" s="104">
        <v>0</v>
      </c>
      <c r="W191" s="104">
        <v>0</v>
      </c>
      <c r="X191" s="104">
        <v>0</v>
      </c>
      <c r="Y191" s="104">
        <v>26.854946923102901</v>
      </c>
      <c r="Z191" s="104">
        <v>0</v>
      </c>
      <c r="AA191" s="104">
        <v>0</v>
      </c>
      <c r="AB191" s="104">
        <v>0</v>
      </c>
      <c r="AC191" s="104">
        <v>0</v>
      </c>
      <c r="AD191" s="104">
        <v>0</v>
      </c>
      <c r="AE191" s="104">
        <v>0</v>
      </c>
      <c r="AF191" s="104">
        <v>0</v>
      </c>
      <c r="AG191" s="104">
        <v>0</v>
      </c>
      <c r="AH191" s="104">
        <v>0</v>
      </c>
      <c r="AI191" s="104">
        <v>0</v>
      </c>
      <c r="AJ191" s="104">
        <v>0</v>
      </c>
      <c r="AK191" s="104">
        <v>0</v>
      </c>
      <c r="AL191" s="104">
        <v>0</v>
      </c>
      <c r="AM191" s="104">
        <v>0</v>
      </c>
      <c r="AN191" s="104">
        <v>0</v>
      </c>
      <c r="AO191" s="104">
        <v>0</v>
      </c>
      <c r="AP191" s="104">
        <v>0</v>
      </c>
      <c r="AQ191" s="104">
        <v>167.59156939686554</v>
      </c>
      <c r="AR191" s="104">
        <v>0</v>
      </c>
      <c r="AS191" s="104">
        <v>3.1831387937310751</v>
      </c>
      <c r="AT191" s="104">
        <v>0</v>
      </c>
      <c r="AU191" s="104">
        <v>0</v>
      </c>
      <c r="AV191" s="104">
        <v>0</v>
      </c>
      <c r="AW191" s="104">
        <v>0</v>
      </c>
      <c r="AX191" s="104">
        <v>26.854946923102901</v>
      </c>
      <c r="AY191" s="104">
        <v>0</v>
      </c>
    </row>
    <row r="192" spans="1:51">
      <c r="A192" s="107"/>
      <c r="B192" s="117">
        <v>4</v>
      </c>
      <c r="C192" s="104">
        <v>0</v>
      </c>
      <c r="D192" s="104">
        <v>0</v>
      </c>
      <c r="E192" s="104">
        <v>0</v>
      </c>
      <c r="F192" s="104">
        <v>0</v>
      </c>
      <c r="G192" s="104">
        <v>0</v>
      </c>
      <c r="H192" s="104">
        <v>0</v>
      </c>
      <c r="I192" s="104">
        <v>0</v>
      </c>
      <c r="J192" s="104">
        <v>0</v>
      </c>
      <c r="K192" s="104">
        <v>0</v>
      </c>
      <c r="L192" s="104">
        <v>0</v>
      </c>
      <c r="M192" s="104">
        <v>0</v>
      </c>
      <c r="N192" s="104">
        <v>0</v>
      </c>
      <c r="O192" s="104">
        <v>0</v>
      </c>
      <c r="P192" s="104">
        <v>0</v>
      </c>
      <c r="Q192" s="104">
        <v>0</v>
      </c>
      <c r="R192" s="104">
        <v>0</v>
      </c>
      <c r="S192" s="104">
        <v>0</v>
      </c>
      <c r="T192" s="104">
        <v>0</v>
      </c>
      <c r="U192" s="104">
        <v>0</v>
      </c>
      <c r="V192" s="104">
        <v>0</v>
      </c>
      <c r="W192" s="104">
        <v>0</v>
      </c>
      <c r="X192" s="104">
        <v>0</v>
      </c>
      <c r="Y192" s="104">
        <v>0</v>
      </c>
      <c r="Z192" s="104">
        <v>0</v>
      </c>
      <c r="AA192" s="104">
        <v>0</v>
      </c>
      <c r="AB192" s="104">
        <v>0</v>
      </c>
      <c r="AC192" s="104">
        <v>0</v>
      </c>
      <c r="AD192" s="104">
        <v>0</v>
      </c>
      <c r="AE192" s="104">
        <v>0</v>
      </c>
      <c r="AF192" s="104">
        <v>0</v>
      </c>
      <c r="AG192" s="104">
        <v>0</v>
      </c>
      <c r="AH192" s="104">
        <v>0</v>
      </c>
      <c r="AI192" s="104">
        <v>0</v>
      </c>
      <c r="AJ192" s="104">
        <v>0</v>
      </c>
      <c r="AK192" s="104">
        <v>0</v>
      </c>
      <c r="AL192" s="104">
        <v>0</v>
      </c>
      <c r="AM192" s="104">
        <v>0</v>
      </c>
      <c r="AN192" s="104">
        <v>0</v>
      </c>
      <c r="AO192" s="104">
        <v>0</v>
      </c>
      <c r="AP192" s="104">
        <v>0</v>
      </c>
      <c r="AQ192" s="104">
        <v>0</v>
      </c>
      <c r="AR192" s="104">
        <v>0</v>
      </c>
      <c r="AS192" s="104">
        <v>0</v>
      </c>
      <c r="AT192" s="104">
        <v>0</v>
      </c>
      <c r="AU192" s="104">
        <v>0</v>
      </c>
      <c r="AV192" s="104">
        <v>0</v>
      </c>
      <c r="AW192" s="104">
        <v>0</v>
      </c>
      <c r="AX192" s="104">
        <v>0</v>
      </c>
      <c r="AY192" s="104">
        <v>0</v>
      </c>
    </row>
    <row r="193" spans="1:51">
      <c r="A193" s="107"/>
      <c r="B193" s="124">
        <v>5</v>
      </c>
      <c r="C193" s="104">
        <v>0</v>
      </c>
      <c r="D193" s="104">
        <v>0</v>
      </c>
      <c r="E193" s="104">
        <v>0</v>
      </c>
      <c r="F193" s="104">
        <v>0</v>
      </c>
      <c r="G193" s="104">
        <v>0</v>
      </c>
      <c r="H193" s="104">
        <v>0</v>
      </c>
      <c r="I193" s="104">
        <v>0</v>
      </c>
      <c r="J193" s="104">
        <v>0</v>
      </c>
      <c r="K193" s="104">
        <v>0</v>
      </c>
      <c r="L193" s="104">
        <v>0</v>
      </c>
      <c r="M193" s="104">
        <v>0</v>
      </c>
      <c r="N193" s="104">
        <v>0</v>
      </c>
      <c r="O193" s="104">
        <v>0</v>
      </c>
      <c r="P193" s="104">
        <v>0</v>
      </c>
      <c r="Q193" s="104">
        <v>0</v>
      </c>
      <c r="R193" s="104">
        <v>0</v>
      </c>
      <c r="S193" s="104">
        <v>0</v>
      </c>
      <c r="T193" s="104">
        <v>0</v>
      </c>
      <c r="U193" s="104">
        <v>0</v>
      </c>
      <c r="V193" s="104">
        <v>0</v>
      </c>
      <c r="W193" s="104">
        <v>0</v>
      </c>
      <c r="X193" s="104">
        <v>0</v>
      </c>
      <c r="Y193" s="104">
        <v>0</v>
      </c>
      <c r="Z193" s="104">
        <v>0</v>
      </c>
      <c r="AA193" s="104">
        <v>0</v>
      </c>
      <c r="AB193" s="104">
        <v>0</v>
      </c>
      <c r="AC193" s="104">
        <v>0</v>
      </c>
      <c r="AD193" s="104">
        <v>0</v>
      </c>
      <c r="AE193" s="104">
        <v>0</v>
      </c>
      <c r="AF193" s="104">
        <v>0</v>
      </c>
      <c r="AG193" s="104">
        <v>0</v>
      </c>
      <c r="AH193" s="104">
        <v>0</v>
      </c>
      <c r="AI193" s="104">
        <v>0</v>
      </c>
      <c r="AJ193" s="104">
        <v>0</v>
      </c>
      <c r="AK193" s="104">
        <v>0</v>
      </c>
      <c r="AL193" s="104">
        <v>0</v>
      </c>
      <c r="AM193" s="104">
        <v>0</v>
      </c>
      <c r="AN193" s="104">
        <v>0</v>
      </c>
      <c r="AO193" s="104">
        <v>0</v>
      </c>
      <c r="AP193" s="104">
        <v>0</v>
      </c>
      <c r="AQ193" s="104">
        <v>0</v>
      </c>
      <c r="AR193" s="104">
        <v>0</v>
      </c>
      <c r="AS193" s="104">
        <v>0</v>
      </c>
      <c r="AT193" s="104">
        <v>0</v>
      </c>
      <c r="AU193" s="104">
        <v>0</v>
      </c>
      <c r="AV193" s="104">
        <v>0</v>
      </c>
      <c r="AW193" s="104">
        <v>0</v>
      </c>
      <c r="AX193" s="104">
        <v>0</v>
      </c>
      <c r="AY193" s="104">
        <v>0</v>
      </c>
    </row>
    <row r="194" spans="1:51">
      <c r="A194" s="107"/>
      <c r="B194" s="124">
        <v>6</v>
      </c>
      <c r="C194" s="104">
        <v>0</v>
      </c>
      <c r="D194" s="104">
        <v>0</v>
      </c>
      <c r="E194" s="104">
        <v>0</v>
      </c>
      <c r="F194" s="104">
        <v>0</v>
      </c>
      <c r="G194" s="104">
        <v>0</v>
      </c>
      <c r="H194" s="104">
        <v>0</v>
      </c>
      <c r="I194" s="104">
        <v>0</v>
      </c>
      <c r="J194" s="104">
        <v>0</v>
      </c>
      <c r="K194" s="104">
        <v>0</v>
      </c>
      <c r="L194" s="104">
        <v>0</v>
      </c>
      <c r="M194" s="104">
        <v>0</v>
      </c>
      <c r="N194" s="104">
        <v>0</v>
      </c>
      <c r="O194" s="104">
        <v>0</v>
      </c>
      <c r="P194" s="104">
        <v>0</v>
      </c>
      <c r="Q194" s="104">
        <v>0</v>
      </c>
      <c r="R194" s="104">
        <v>0</v>
      </c>
      <c r="S194" s="104">
        <v>0</v>
      </c>
      <c r="T194" s="104">
        <v>0</v>
      </c>
      <c r="U194" s="104">
        <v>0</v>
      </c>
      <c r="V194" s="104">
        <v>0</v>
      </c>
      <c r="W194" s="104">
        <v>0</v>
      </c>
      <c r="X194" s="104">
        <v>0</v>
      </c>
      <c r="Y194" s="104">
        <v>0</v>
      </c>
      <c r="Z194" s="104">
        <v>0</v>
      </c>
      <c r="AA194" s="104">
        <v>0</v>
      </c>
      <c r="AB194" s="104">
        <v>0</v>
      </c>
      <c r="AC194" s="104">
        <v>0</v>
      </c>
      <c r="AD194" s="104">
        <v>0</v>
      </c>
      <c r="AE194" s="104">
        <v>0</v>
      </c>
      <c r="AF194" s="104">
        <v>0</v>
      </c>
      <c r="AG194" s="104">
        <v>0</v>
      </c>
      <c r="AH194" s="104">
        <v>0</v>
      </c>
      <c r="AI194" s="104">
        <v>0</v>
      </c>
      <c r="AJ194" s="104">
        <v>0</v>
      </c>
      <c r="AK194" s="104">
        <v>0</v>
      </c>
      <c r="AL194" s="104">
        <v>0</v>
      </c>
      <c r="AM194" s="104">
        <v>0</v>
      </c>
      <c r="AN194" s="104">
        <v>0</v>
      </c>
      <c r="AO194" s="104">
        <v>0</v>
      </c>
      <c r="AP194" s="104">
        <v>0</v>
      </c>
      <c r="AQ194" s="104">
        <v>0</v>
      </c>
      <c r="AR194" s="104">
        <v>0</v>
      </c>
      <c r="AS194" s="104">
        <v>0</v>
      </c>
      <c r="AT194" s="104">
        <v>0</v>
      </c>
      <c r="AU194" s="104">
        <v>0</v>
      </c>
      <c r="AV194" s="104">
        <v>0</v>
      </c>
      <c r="AW194" s="104">
        <v>0</v>
      </c>
      <c r="AX194" s="104">
        <v>0</v>
      </c>
      <c r="AY194" s="104">
        <v>0</v>
      </c>
    </row>
    <row r="195" spans="1:51">
      <c r="A195" s="107"/>
      <c r="B195" s="127">
        <v>7</v>
      </c>
      <c r="C195" s="104">
        <v>0</v>
      </c>
      <c r="D195" s="104">
        <v>0</v>
      </c>
      <c r="E195" s="104">
        <v>0</v>
      </c>
      <c r="F195" s="104">
        <v>0</v>
      </c>
      <c r="G195" s="104">
        <v>0</v>
      </c>
      <c r="H195" s="104">
        <v>0</v>
      </c>
      <c r="I195" s="104">
        <v>0</v>
      </c>
      <c r="J195" s="104">
        <v>0</v>
      </c>
      <c r="K195" s="104">
        <v>0</v>
      </c>
      <c r="L195" s="104">
        <v>0</v>
      </c>
      <c r="M195" s="104">
        <v>0</v>
      </c>
      <c r="N195" s="104">
        <v>0</v>
      </c>
      <c r="O195" s="104">
        <v>0</v>
      </c>
      <c r="P195" s="104">
        <v>0</v>
      </c>
      <c r="Q195" s="104">
        <v>0</v>
      </c>
      <c r="R195" s="104">
        <v>0</v>
      </c>
      <c r="S195" s="104">
        <v>0</v>
      </c>
      <c r="T195" s="104">
        <v>0</v>
      </c>
      <c r="U195" s="104">
        <v>0</v>
      </c>
      <c r="V195" s="104">
        <v>0</v>
      </c>
      <c r="W195" s="104">
        <v>0</v>
      </c>
      <c r="X195" s="104">
        <v>0</v>
      </c>
      <c r="Y195" s="104">
        <v>0</v>
      </c>
      <c r="Z195" s="104">
        <v>0</v>
      </c>
      <c r="AA195" s="104">
        <v>0</v>
      </c>
      <c r="AB195" s="104">
        <v>0</v>
      </c>
      <c r="AC195" s="104">
        <v>0</v>
      </c>
      <c r="AD195" s="104">
        <v>0</v>
      </c>
      <c r="AE195" s="104">
        <v>0</v>
      </c>
      <c r="AF195" s="104">
        <v>0</v>
      </c>
      <c r="AG195" s="104">
        <v>0</v>
      </c>
      <c r="AH195" s="104">
        <v>0</v>
      </c>
      <c r="AI195" s="104">
        <v>0</v>
      </c>
      <c r="AJ195" s="104">
        <v>0</v>
      </c>
      <c r="AK195" s="104">
        <v>0</v>
      </c>
      <c r="AL195" s="104">
        <v>0</v>
      </c>
      <c r="AM195" s="104">
        <v>0</v>
      </c>
      <c r="AN195" s="104">
        <v>0</v>
      </c>
      <c r="AO195" s="104">
        <v>0</v>
      </c>
      <c r="AP195" s="104">
        <v>0</v>
      </c>
      <c r="AQ195" s="104">
        <v>0</v>
      </c>
      <c r="AR195" s="104">
        <v>0</v>
      </c>
      <c r="AS195" s="104">
        <v>0</v>
      </c>
      <c r="AT195" s="104">
        <v>0</v>
      </c>
      <c r="AU195" s="104">
        <v>0</v>
      </c>
      <c r="AV195" s="104">
        <v>0</v>
      </c>
      <c r="AW195" s="104">
        <v>0</v>
      </c>
      <c r="AX195" s="104">
        <v>0</v>
      </c>
      <c r="AY195" s="104">
        <v>0</v>
      </c>
    </row>
    <row r="196" spans="1:51">
      <c r="A196" s="125"/>
      <c r="B196" s="126">
        <v>8</v>
      </c>
      <c r="C196" s="111">
        <v>0</v>
      </c>
      <c r="D196" s="111">
        <v>0</v>
      </c>
      <c r="E196" s="111">
        <v>0</v>
      </c>
      <c r="F196" s="111">
        <v>0</v>
      </c>
      <c r="G196" s="111">
        <v>0</v>
      </c>
      <c r="H196" s="111">
        <v>0</v>
      </c>
      <c r="I196" s="111">
        <v>0</v>
      </c>
      <c r="J196" s="111">
        <v>0</v>
      </c>
      <c r="K196" s="111">
        <v>0</v>
      </c>
      <c r="L196" s="111">
        <v>0</v>
      </c>
      <c r="M196" s="111">
        <v>0</v>
      </c>
      <c r="N196" s="111">
        <v>0</v>
      </c>
      <c r="O196" s="111">
        <v>0</v>
      </c>
      <c r="P196" s="111">
        <v>0</v>
      </c>
      <c r="Q196" s="111">
        <v>0</v>
      </c>
      <c r="R196" s="111">
        <v>0</v>
      </c>
      <c r="S196" s="111">
        <v>0</v>
      </c>
      <c r="T196" s="111">
        <v>0</v>
      </c>
      <c r="U196" s="111">
        <v>0</v>
      </c>
      <c r="V196" s="111">
        <v>0</v>
      </c>
      <c r="W196" s="111">
        <v>0</v>
      </c>
      <c r="X196" s="111">
        <v>0</v>
      </c>
      <c r="Y196" s="111">
        <v>0</v>
      </c>
      <c r="Z196" s="111">
        <v>0</v>
      </c>
      <c r="AA196" s="111">
        <v>0</v>
      </c>
      <c r="AB196" s="111">
        <v>0</v>
      </c>
      <c r="AC196" s="111">
        <v>0</v>
      </c>
      <c r="AD196" s="111">
        <v>0</v>
      </c>
      <c r="AE196" s="111">
        <v>0</v>
      </c>
      <c r="AF196" s="111">
        <v>0</v>
      </c>
      <c r="AG196" s="111">
        <v>0</v>
      </c>
      <c r="AH196" s="111">
        <v>0</v>
      </c>
      <c r="AI196" s="111">
        <v>0</v>
      </c>
      <c r="AJ196" s="111">
        <v>0</v>
      </c>
      <c r="AK196" s="111">
        <v>0</v>
      </c>
      <c r="AL196" s="111">
        <v>0</v>
      </c>
      <c r="AM196" s="111">
        <v>0</v>
      </c>
      <c r="AN196" s="111">
        <v>0</v>
      </c>
      <c r="AO196" s="111">
        <v>0</v>
      </c>
      <c r="AP196" s="111">
        <v>0</v>
      </c>
      <c r="AQ196" s="111">
        <v>0</v>
      </c>
      <c r="AR196" s="111">
        <v>0</v>
      </c>
      <c r="AS196" s="111">
        <v>0</v>
      </c>
      <c r="AT196" s="111">
        <v>0</v>
      </c>
      <c r="AU196" s="111">
        <v>0</v>
      </c>
      <c r="AV196" s="111">
        <v>0</v>
      </c>
      <c r="AW196" s="111">
        <v>0</v>
      </c>
      <c r="AX196" s="111">
        <v>0</v>
      </c>
      <c r="AY196" s="111">
        <v>0</v>
      </c>
    </row>
    <row r="197" spans="1:51">
      <c r="A197" s="128" t="s">
        <v>134</v>
      </c>
      <c r="B197" s="116">
        <v>1</v>
      </c>
      <c r="C197" s="104">
        <v>13.724556225081452</v>
      </c>
      <c r="D197" s="104">
        <v>68</v>
      </c>
      <c r="E197" s="104">
        <v>78.423736387807537</v>
      </c>
      <c r="F197" s="104">
        <v>2.6797805970512059</v>
      </c>
      <c r="G197" s="104">
        <v>0</v>
      </c>
      <c r="H197" s="104">
        <v>0</v>
      </c>
      <c r="I197" s="104">
        <v>0</v>
      </c>
      <c r="J197" s="104">
        <v>0</v>
      </c>
      <c r="K197" s="104">
        <v>0</v>
      </c>
      <c r="L197" s="104">
        <v>4.218674883310527</v>
      </c>
      <c r="M197" s="104">
        <v>24.098193780089019</v>
      </c>
      <c r="N197" s="104">
        <v>72.300097123602001</v>
      </c>
      <c r="O197" s="104">
        <v>27.989025131329612</v>
      </c>
      <c r="P197" s="104">
        <v>80.68150738648724</v>
      </c>
      <c r="Q197" s="104">
        <v>18.137047158291324</v>
      </c>
      <c r="R197" s="104">
        <v>34.474422268980554</v>
      </c>
      <c r="S197" s="104">
        <v>0</v>
      </c>
      <c r="T197" s="104">
        <v>0</v>
      </c>
      <c r="U197" s="104">
        <v>0</v>
      </c>
      <c r="V197" s="104">
        <v>0</v>
      </c>
      <c r="W197" s="104">
        <v>0</v>
      </c>
      <c r="X197" s="104">
        <v>0</v>
      </c>
      <c r="Y197" s="104">
        <v>0</v>
      </c>
      <c r="Z197" s="104">
        <v>0</v>
      </c>
      <c r="AA197" s="104">
        <v>0</v>
      </c>
      <c r="AB197" s="104">
        <v>0</v>
      </c>
      <c r="AC197" s="104">
        <v>0</v>
      </c>
      <c r="AD197" s="104">
        <v>0</v>
      </c>
      <c r="AE197" s="104">
        <v>0</v>
      </c>
      <c r="AF197" s="104">
        <v>0</v>
      </c>
      <c r="AG197" s="104">
        <v>0</v>
      </c>
      <c r="AH197" s="104">
        <v>0</v>
      </c>
      <c r="AI197" s="104">
        <v>74.292875602175798</v>
      </c>
      <c r="AJ197" s="104">
        <v>32.51502713805634</v>
      </c>
      <c r="AK197" s="104">
        <v>45.50640852097807</v>
      </c>
      <c r="AL197" s="104">
        <v>14.696780367176743</v>
      </c>
      <c r="AM197" s="104">
        <v>0</v>
      </c>
      <c r="AN197" s="104">
        <v>0</v>
      </c>
      <c r="AO197" s="104">
        <v>21.375165614329447</v>
      </c>
      <c r="AP197" s="104">
        <v>24.09819378008903</v>
      </c>
      <c r="AQ197" s="104">
        <v>73.321327004142475</v>
      </c>
      <c r="AR197" s="104">
        <v>103</v>
      </c>
      <c r="AS197" s="104">
        <v>46.07216661453419</v>
      </c>
      <c r="AT197" s="104">
        <v>73.321327004142475</v>
      </c>
      <c r="AU197" s="104">
        <v>14.331582016012554</v>
      </c>
      <c r="AV197" s="104">
        <v>104</v>
      </c>
      <c r="AW197" s="104">
        <v>65.290105236035544</v>
      </c>
      <c r="AX197" s="104">
        <v>71.520738389988509</v>
      </c>
      <c r="AY197" s="104">
        <v>33.864805544165513</v>
      </c>
    </row>
    <row r="198" spans="1:51">
      <c r="A198" s="107"/>
      <c r="B198" s="116">
        <v>2</v>
      </c>
      <c r="C198" s="104">
        <v>0</v>
      </c>
      <c r="D198" s="104">
        <v>0</v>
      </c>
      <c r="E198" s="104">
        <v>19.576263612192463</v>
      </c>
      <c r="F198" s="104">
        <v>52.320219402948794</v>
      </c>
      <c r="G198" s="104">
        <v>90</v>
      </c>
      <c r="H198" s="104">
        <v>61.477448600788222</v>
      </c>
      <c r="I198" s="104">
        <v>60.056374519487036</v>
      </c>
      <c r="J198" s="104">
        <v>44.23460179345274</v>
      </c>
      <c r="K198" s="104">
        <v>53.247228692782897</v>
      </c>
      <c r="L198" s="104">
        <v>85.929622675301232</v>
      </c>
      <c r="M198" s="104">
        <v>59.33604035675549</v>
      </c>
      <c r="N198" s="104">
        <v>7.1054273576010019E-15</v>
      </c>
      <c r="O198" s="104">
        <v>60.010974868670388</v>
      </c>
      <c r="P198" s="104">
        <v>5.6159789755498082</v>
      </c>
      <c r="Q198" s="104">
        <v>41.862952841708676</v>
      </c>
      <c r="R198" s="104">
        <v>25.525577731019446</v>
      </c>
      <c r="S198" s="104">
        <v>61</v>
      </c>
      <c r="T198" s="104">
        <v>41.929962040784631</v>
      </c>
      <c r="U198" s="104">
        <v>32.144112506761118</v>
      </c>
      <c r="V198" s="104">
        <v>0</v>
      </c>
      <c r="W198" s="104">
        <v>0</v>
      </c>
      <c r="X198" s="104">
        <v>0</v>
      </c>
      <c r="Y198" s="104">
        <v>0</v>
      </c>
      <c r="Z198" s="104">
        <v>0</v>
      </c>
      <c r="AA198" s="104">
        <v>0</v>
      </c>
      <c r="AB198" s="104">
        <v>0</v>
      </c>
      <c r="AC198" s="104">
        <v>0</v>
      </c>
      <c r="AD198" s="104">
        <v>33.31303927175626</v>
      </c>
      <c r="AE198" s="104">
        <v>23.225100503537298</v>
      </c>
      <c r="AF198" s="104">
        <v>40.515011908281977</v>
      </c>
      <c r="AG198" s="104">
        <v>56.009789207147435</v>
      </c>
      <c r="AH198" s="104">
        <v>69.7463732364848</v>
      </c>
      <c r="AI198" s="104">
        <v>14.331582016012554</v>
      </c>
      <c r="AJ198" s="104">
        <v>38.48497286194366</v>
      </c>
      <c r="AK198" s="104">
        <v>63.49359147902193</v>
      </c>
      <c r="AL198" s="104">
        <v>40.303219632823257</v>
      </c>
      <c r="AM198" s="104">
        <v>55.565095707421051</v>
      </c>
      <c r="AN198" s="104">
        <v>51.250953056473165</v>
      </c>
      <c r="AO198" s="104">
        <v>63.554715240066002</v>
      </c>
      <c r="AP198" s="104">
        <v>51.946161389813028</v>
      </c>
      <c r="AQ198" s="104">
        <v>0</v>
      </c>
      <c r="AR198" s="104">
        <v>0</v>
      </c>
      <c r="AS198" s="104">
        <v>19.544460228195916</v>
      </c>
      <c r="AT198" s="104">
        <v>0</v>
      </c>
      <c r="AU198" s="104">
        <v>0</v>
      </c>
      <c r="AV198" s="104">
        <v>0</v>
      </c>
      <c r="AW198" s="104">
        <v>24.709894763964456</v>
      </c>
      <c r="AX198" s="104">
        <v>33.055681927786125</v>
      </c>
      <c r="AY198" s="104">
        <v>0</v>
      </c>
    </row>
    <row r="199" spans="1:51">
      <c r="A199" s="107"/>
      <c r="B199" s="116">
        <v>3</v>
      </c>
      <c r="C199" s="104">
        <v>0</v>
      </c>
      <c r="D199" s="104">
        <v>0</v>
      </c>
      <c r="E199" s="104">
        <v>0</v>
      </c>
      <c r="F199" s="104">
        <v>0</v>
      </c>
      <c r="G199" s="104">
        <v>0</v>
      </c>
      <c r="H199" s="104">
        <v>12.522551399211778</v>
      </c>
      <c r="I199" s="104">
        <v>40.943625480512964</v>
      </c>
      <c r="J199" s="104">
        <v>22.76539820654726</v>
      </c>
      <c r="K199" s="104">
        <v>38.853336974766222</v>
      </c>
      <c r="L199" s="104">
        <v>10.307486547283105</v>
      </c>
      <c r="M199" s="104">
        <v>0</v>
      </c>
      <c r="N199" s="104">
        <v>0</v>
      </c>
      <c r="O199" s="104">
        <v>0</v>
      </c>
      <c r="P199" s="104">
        <v>0</v>
      </c>
      <c r="Q199" s="104">
        <v>0</v>
      </c>
      <c r="R199" s="104">
        <v>0</v>
      </c>
      <c r="S199" s="104">
        <v>0</v>
      </c>
      <c r="T199" s="104">
        <v>27.070037959215369</v>
      </c>
      <c r="U199" s="104">
        <v>66.855887493238882</v>
      </c>
      <c r="V199" s="104">
        <v>65</v>
      </c>
      <c r="W199" s="104">
        <v>85.227756596422495</v>
      </c>
      <c r="X199" s="104">
        <v>54.679149505338955</v>
      </c>
      <c r="Y199" s="104">
        <v>39.357617598750636</v>
      </c>
      <c r="Z199" s="104">
        <v>61.981899386457386</v>
      </c>
      <c r="AA199" s="104">
        <v>49.69454923239239</v>
      </c>
      <c r="AB199" s="104">
        <v>42.173810842403881</v>
      </c>
      <c r="AC199" s="104">
        <v>35.451889101094665</v>
      </c>
      <c r="AD199" s="104">
        <v>14.331582016012554</v>
      </c>
      <c r="AE199" s="104">
        <v>49.774899496462702</v>
      </c>
      <c r="AF199" s="104">
        <v>30.484988091718023</v>
      </c>
      <c r="AG199" s="104">
        <v>32.806315095860498</v>
      </c>
      <c r="AH199" s="104">
        <v>39.2536267635152</v>
      </c>
      <c r="AI199" s="104">
        <v>5.3755423818116412</v>
      </c>
      <c r="AJ199" s="104">
        <v>0</v>
      </c>
      <c r="AK199" s="104">
        <v>0</v>
      </c>
      <c r="AL199" s="104">
        <v>0</v>
      </c>
      <c r="AM199" s="104">
        <v>0</v>
      </c>
      <c r="AN199" s="104">
        <v>24.361466958802623</v>
      </c>
      <c r="AO199" s="104">
        <v>27.256345323285942</v>
      </c>
      <c r="AP199" s="104">
        <v>0</v>
      </c>
      <c r="AQ199" s="104">
        <v>0</v>
      </c>
      <c r="AR199" s="104">
        <v>0</v>
      </c>
      <c r="AS199" s="104">
        <v>0</v>
      </c>
      <c r="AT199" s="104">
        <v>0</v>
      </c>
      <c r="AU199" s="104">
        <v>0</v>
      </c>
      <c r="AV199" s="104">
        <v>0</v>
      </c>
      <c r="AW199" s="104">
        <v>0</v>
      </c>
      <c r="AX199" s="104">
        <v>0</v>
      </c>
      <c r="AY199" s="104">
        <v>0</v>
      </c>
    </row>
    <row r="200" spans="1:51">
      <c r="A200" s="107"/>
      <c r="B200" s="117">
        <v>4</v>
      </c>
      <c r="C200" s="104">
        <v>0</v>
      </c>
      <c r="D200" s="104">
        <v>0</v>
      </c>
      <c r="E200" s="104">
        <v>0</v>
      </c>
      <c r="F200" s="104">
        <v>0</v>
      </c>
      <c r="G200" s="104">
        <v>0</v>
      </c>
      <c r="H200" s="104">
        <v>0</v>
      </c>
      <c r="I200" s="104">
        <v>0</v>
      </c>
      <c r="J200" s="104">
        <v>0</v>
      </c>
      <c r="K200" s="104">
        <v>0</v>
      </c>
      <c r="L200" s="104">
        <v>0</v>
      </c>
      <c r="M200" s="104">
        <v>0</v>
      </c>
      <c r="N200" s="104">
        <v>0</v>
      </c>
      <c r="O200" s="104">
        <v>0</v>
      </c>
      <c r="P200" s="104">
        <v>0</v>
      </c>
      <c r="Q200" s="104">
        <v>0</v>
      </c>
      <c r="R200" s="104">
        <v>0</v>
      </c>
      <c r="S200" s="104">
        <v>0</v>
      </c>
      <c r="T200" s="104">
        <v>0</v>
      </c>
      <c r="U200" s="104">
        <v>0</v>
      </c>
      <c r="V200" s="104">
        <v>0</v>
      </c>
      <c r="W200" s="104">
        <v>0.89197070710574167</v>
      </c>
      <c r="X200" s="104">
        <v>18.320850494661045</v>
      </c>
      <c r="Y200" s="104">
        <v>17.974291895994511</v>
      </c>
      <c r="Z200" s="104">
        <v>25.240621983610879</v>
      </c>
      <c r="AA200" s="104">
        <v>19.30545076760761</v>
      </c>
      <c r="AB200" s="104">
        <v>21.826189157596119</v>
      </c>
      <c r="AC200" s="104">
        <v>29.346927547584627</v>
      </c>
      <c r="AD200" s="104">
        <v>35.990834408159643</v>
      </c>
      <c r="AE200" s="104">
        <v>0</v>
      </c>
      <c r="AF200" s="104">
        <v>0</v>
      </c>
      <c r="AG200" s="104">
        <v>0</v>
      </c>
      <c r="AH200" s="104">
        <v>0</v>
      </c>
      <c r="AI200" s="104">
        <v>0</v>
      </c>
      <c r="AJ200" s="104">
        <v>0</v>
      </c>
      <c r="AK200" s="104">
        <v>0</v>
      </c>
      <c r="AL200" s="104">
        <v>0</v>
      </c>
      <c r="AM200" s="104">
        <v>0</v>
      </c>
      <c r="AN200" s="104">
        <v>0</v>
      </c>
      <c r="AO200" s="104">
        <v>0</v>
      </c>
      <c r="AP200" s="104">
        <v>0</v>
      </c>
      <c r="AQ200" s="104">
        <v>0</v>
      </c>
      <c r="AR200" s="104">
        <v>0</v>
      </c>
      <c r="AS200" s="104">
        <v>0</v>
      </c>
      <c r="AT200" s="104">
        <v>0</v>
      </c>
      <c r="AU200" s="104">
        <v>0</v>
      </c>
      <c r="AV200" s="104">
        <v>0</v>
      </c>
      <c r="AW200" s="104">
        <v>0</v>
      </c>
      <c r="AX200" s="104">
        <v>0</v>
      </c>
      <c r="AY200" s="104">
        <v>0</v>
      </c>
    </row>
    <row r="201" spans="1:51">
      <c r="A201" s="107"/>
      <c r="B201" s="117">
        <v>5</v>
      </c>
      <c r="C201" s="104">
        <v>0</v>
      </c>
      <c r="D201" s="104">
        <v>0</v>
      </c>
      <c r="E201" s="104">
        <v>0</v>
      </c>
      <c r="F201" s="104">
        <v>0</v>
      </c>
      <c r="G201" s="104">
        <v>0</v>
      </c>
      <c r="H201" s="104">
        <v>0</v>
      </c>
      <c r="I201" s="104">
        <v>0</v>
      </c>
      <c r="J201" s="104">
        <v>0</v>
      </c>
      <c r="K201" s="104">
        <v>0</v>
      </c>
      <c r="L201" s="104">
        <v>0</v>
      </c>
      <c r="M201" s="104">
        <v>0</v>
      </c>
      <c r="N201" s="104">
        <v>0</v>
      </c>
      <c r="O201" s="104">
        <v>0</v>
      </c>
      <c r="P201" s="104">
        <v>0</v>
      </c>
      <c r="Q201" s="104">
        <v>0</v>
      </c>
      <c r="R201" s="104">
        <v>0</v>
      </c>
      <c r="S201" s="104">
        <v>0</v>
      </c>
      <c r="T201" s="104">
        <v>0</v>
      </c>
      <c r="U201" s="104">
        <v>0</v>
      </c>
      <c r="V201" s="104">
        <v>0</v>
      </c>
      <c r="W201" s="104">
        <v>0</v>
      </c>
      <c r="X201" s="104">
        <v>0</v>
      </c>
      <c r="Y201" s="104">
        <v>0</v>
      </c>
      <c r="Z201" s="104">
        <v>0</v>
      </c>
      <c r="AA201" s="104">
        <v>0</v>
      </c>
      <c r="AB201" s="104">
        <v>0</v>
      </c>
      <c r="AC201" s="104">
        <v>0</v>
      </c>
      <c r="AD201" s="104">
        <v>0</v>
      </c>
      <c r="AE201" s="104">
        <v>0</v>
      </c>
      <c r="AF201" s="104">
        <v>0</v>
      </c>
      <c r="AG201" s="104">
        <v>0</v>
      </c>
      <c r="AH201" s="104">
        <v>0</v>
      </c>
      <c r="AI201" s="104">
        <v>0</v>
      </c>
      <c r="AJ201" s="104">
        <v>0</v>
      </c>
      <c r="AK201" s="104">
        <v>0</v>
      </c>
      <c r="AL201" s="104">
        <v>0</v>
      </c>
      <c r="AM201" s="104">
        <v>0</v>
      </c>
      <c r="AN201" s="104">
        <v>0</v>
      </c>
      <c r="AO201" s="104">
        <v>0</v>
      </c>
      <c r="AP201" s="104">
        <v>0</v>
      </c>
      <c r="AQ201" s="104">
        <v>0</v>
      </c>
      <c r="AR201" s="104">
        <v>0</v>
      </c>
      <c r="AS201" s="104">
        <v>0</v>
      </c>
      <c r="AT201" s="104">
        <v>0</v>
      </c>
      <c r="AU201" s="104">
        <v>0</v>
      </c>
      <c r="AV201" s="104">
        <v>0</v>
      </c>
      <c r="AW201" s="104">
        <v>0</v>
      </c>
      <c r="AX201" s="104">
        <v>0</v>
      </c>
      <c r="AY201" s="104">
        <v>0</v>
      </c>
    </row>
    <row r="202" spans="1:51">
      <c r="A202" s="107"/>
      <c r="B202" s="117">
        <v>6</v>
      </c>
      <c r="C202" s="104">
        <v>0</v>
      </c>
      <c r="D202" s="104">
        <v>0</v>
      </c>
      <c r="E202" s="104">
        <v>0</v>
      </c>
      <c r="F202" s="104">
        <v>0</v>
      </c>
      <c r="G202" s="104">
        <v>0</v>
      </c>
      <c r="H202" s="104">
        <v>0</v>
      </c>
      <c r="I202" s="104">
        <v>0</v>
      </c>
      <c r="J202" s="104">
        <v>0</v>
      </c>
      <c r="K202" s="104">
        <v>0</v>
      </c>
      <c r="L202" s="104">
        <v>0</v>
      </c>
      <c r="M202" s="104">
        <v>0</v>
      </c>
      <c r="N202" s="104">
        <v>0</v>
      </c>
      <c r="O202" s="104">
        <v>0</v>
      </c>
      <c r="P202" s="104">
        <v>0</v>
      </c>
      <c r="Q202" s="104">
        <v>0</v>
      </c>
      <c r="R202" s="104">
        <v>0</v>
      </c>
      <c r="S202" s="104">
        <v>0</v>
      </c>
      <c r="T202" s="104">
        <v>0</v>
      </c>
      <c r="U202" s="104">
        <v>0</v>
      </c>
      <c r="V202" s="104">
        <v>0</v>
      </c>
      <c r="W202" s="104">
        <v>0</v>
      </c>
      <c r="X202" s="104">
        <v>0</v>
      </c>
      <c r="Y202" s="104">
        <v>0</v>
      </c>
      <c r="Z202" s="104">
        <v>0</v>
      </c>
      <c r="AA202" s="104">
        <v>0</v>
      </c>
      <c r="AB202" s="104">
        <v>0</v>
      </c>
      <c r="AC202" s="104">
        <v>0</v>
      </c>
      <c r="AD202" s="104">
        <v>0</v>
      </c>
      <c r="AE202" s="104">
        <v>0</v>
      </c>
      <c r="AF202" s="104">
        <v>0</v>
      </c>
      <c r="AG202" s="104">
        <v>0</v>
      </c>
      <c r="AH202" s="104">
        <v>0</v>
      </c>
      <c r="AI202" s="104">
        <v>0</v>
      </c>
      <c r="AJ202" s="104">
        <v>0</v>
      </c>
      <c r="AK202" s="104">
        <v>0</v>
      </c>
      <c r="AL202" s="104">
        <v>0</v>
      </c>
      <c r="AM202" s="104">
        <v>0</v>
      </c>
      <c r="AN202" s="104">
        <v>0</v>
      </c>
      <c r="AO202" s="104">
        <v>0</v>
      </c>
      <c r="AP202" s="104">
        <v>0</v>
      </c>
      <c r="AQ202" s="104">
        <v>0</v>
      </c>
      <c r="AR202" s="104">
        <v>0</v>
      </c>
      <c r="AS202" s="104">
        <v>0</v>
      </c>
      <c r="AT202" s="104">
        <v>0</v>
      </c>
      <c r="AU202" s="104">
        <v>0</v>
      </c>
      <c r="AV202" s="104">
        <v>0</v>
      </c>
      <c r="AW202" s="104">
        <v>0</v>
      </c>
      <c r="AX202" s="104">
        <v>0</v>
      </c>
      <c r="AY202" s="104">
        <v>0</v>
      </c>
    </row>
    <row r="203" spans="1:51">
      <c r="A203" s="107"/>
      <c r="B203" s="124">
        <v>7</v>
      </c>
      <c r="C203" s="104">
        <v>0</v>
      </c>
      <c r="D203" s="104">
        <v>0</v>
      </c>
      <c r="E203" s="104">
        <v>0</v>
      </c>
      <c r="F203" s="104">
        <v>0</v>
      </c>
      <c r="G203" s="104">
        <v>0</v>
      </c>
      <c r="H203" s="104">
        <v>0</v>
      </c>
      <c r="I203" s="104">
        <v>0</v>
      </c>
      <c r="J203" s="104">
        <v>0</v>
      </c>
      <c r="K203" s="104">
        <v>0</v>
      </c>
      <c r="L203" s="104">
        <v>0</v>
      </c>
      <c r="M203" s="104">
        <v>0</v>
      </c>
      <c r="N203" s="104">
        <v>0</v>
      </c>
      <c r="O203" s="104">
        <v>0</v>
      </c>
      <c r="P203" s="104">
        <v>0</v>
      </c>
      <c r="Q203" s="104">
        <v>0</v>
      </c>
      <c r="R203" s="104">
        <v>0</v>
      </c>
      <c r="S203" s="104">
        <v>0</v>
      </c>
      <c r="T203" s="104">
        <v>0</v>
      </c>
      <c r="U203" s="104">
        <v>0</v>
      </c>
      <c r="V203" s="104">
        <v>0</v>
      </c>
      <c r="W203" s="104">
        <v>0</v>
      </c>
      <c r="X203" s="104">
        <v>0</v>
      </c>
      <c r="Y203" s="104">
        <v>0</v>
      </c>
      <c r="Z203" s="104">
        <v>0</v>
      </c>
      <c r="AA203" s="104">
        <v>0</v>
      </c>
      <c r="AB203" s="104">
        <v>0</v>
      </c>
      <c r="AC203" s="104">
        <v>0</v>
      </c>
      <c r="AD203" s="104">
        <v>0</v>
      </c>
      <c r="AE203" s="104">
        <v>0</v>
      </c>
      <c r="AF203" s="104">
        <v>0</v>
      </c>
      <c r="AG203" s="104">
        <v>0</v>
      </c>
      <c r="AH203" s="104">
        <v>0</v>
      </c>
      <c r="AI203" s="104">
        <v>0</v>
      </c>
      <c r="AJ203" s="104">
        <v>0</v>
      </c>
      <c r="AK203" s="104">
        <v>0</v>
      </c>
      <c r="AL203" s="104">
        <v>0</v>
      </c>
      <c r="AM203" s="104">
        <v>0</v>
      </c>
      <c r="AN203" s="104">
        <v>0</v>
      </c>
      <c r="AO203" s="104">
        <v>0</v>
      </c>
      <c r="AP203" s="104">
        <v>0</v>
      </c>
      <c r="AQ203" s="104">
        <v>0</v>
      </c>
      <c r="AR203" s="104">
        <v>0</v>
      </c>
      <c r="AS203" s="104">
        <v>0</v>
      </c>
      <c r="AT203" s="104">
        <v>0</v>
      </c>
      <c r="AU203" s="104">
        <v>0</v>
      </c>
      <c r="AV203" s="104">
        <v>0</v>
      </c>
      <c r="AW203" s="104">
        <v>0</v>
      </c>
      <c r="AX203" s="104">
        <v>0</v>
      </c>
      <c r="AY203" s="104">
        <v>0</v>
      </c>
    </row>
    <row r="204" spans="1:51">
      <c r="A204" s="107"/>
      <c r="B204" s="124">
        <v>8</v>
      </c>
      <c r="C204" s="104">
        <v>0</v>
      </c>
      <c r="D204" s="104">
        <v>0</v>
      </c>
      <c r="E204" s="104">
        <v>0</v>
      </c>
      <c r="F204" s="104">
        <v>0</v>
      </c>
      <c r="G204" s="104">
        <v>0</v>
      </c>
      <c r="H204" s="104">
        <v>0</v>
      </c>
      <c r="I204" s="104">
        <v>0</v>
      </c>
      <c r="J204" s="104">
        <v>0</v>
      </c>
      <c r="K204" s="104">
        <v>0</v>
      </c>
      <c r="L204" s="104">
        <v>0</v>
      </c>
      <c r="M204" s="104">
        <v>0</v>
      </c>
      <c r="N204" s="104">
        <v>0</v>
      </c>
      <c r="O204" s="104">
        <v>0</v>
      </c>
      <c r="P204" s="104">
        <v>0</v>
      </c>
      <c r="Q204" s="104">
        <v>0</v>
      </c>
      <c r="R204" s="104">
        <v>0</v>
      </c>
      <c r="S204" s="104">
        <v>0</v>
      </c>
      <c r="T204" s="104">
        <v>0</v>
      </c>
      <c r="U204" s="104">
        <v>0</v>
      </c>
      <c r="V204" s="104">
        <v>0</v>
      </c>
      <c r="W204" s="104">
        <v>0</v>
      </c>
      <c r="X204" s="104">
        <v>0</v>
      </c>
      <c r="Y204" s="104">
        <v>0</v>
      </c>
      <c r="Z204" s="104">
        <v>0</v>
      </c>
      <c r="AA204" s="104">
        <v>0</v>
      </c>
      <c r="AB204" s="104">
        <v>0</v>
      </c>
      <c r="AC204" s="104">
        <v>0</v>
      </c>
      <c r="AD204" s="104">
        <v>0</v>
      </c>
      <c r="AE204" s="104">
        <v>0</v>
      </c>
      <c r="AF204" s="104">
        <v>0</v>
      </c>
      <c r="AG204" s="104">
        <v>0</v>
      </c>
      <c r="AH204" s="104">
        <v>0</v>
      </c>
      <c r="AI204" s="104">
        <v>0</v>
      </c>
      <c r="AJ204" s="104">
        <v>0</v>
      </c>
      <c r="AK204" s="104">
        <v>0</v>
      </c>
      <c r="AL204" s="104">
        <v>0</v>
      </c>
      <c r="AM204" s="104">
        <v>0</v>
      </c>
      <c r="AN204" s="104">
        <v>0</v>
      </c>
      <c r="AO204" s="104">
        <v>0</v>
      </c>
      <c r="AP204" s="104">
        <v>0</v>
      </c>
      <c r="AQ204" s="104">
        <v>0</v>
      </c>
      <c r="AR204" s="104">
        <v>0</v>
      </c>
      <c r="AS204" s="104">
        <v>0</v>
      </c>
      <c r="AT204" s="104">
        <v>0</v>
      </c>
      <c r="AU204" s="104">
        <v>0</v>
      </c>
      <c r="AV204" s="104">
        <v>0</v>
      </c>
      <c r="AW204" s="104">
        <v>0</v>
      </c>
      <c r="AX204" s="104">
        <v>0</v>
      </c>
      <c r="AY204" s="104">
        <v>0</v>
      </c>
    </row>
    <row r="205" spans="1:51">
      <c r="A205" s="107"/>
      <c r="B205" s="124">
        <v>9</v>
      </c>
      <c r="C205" s="104">
        <v>0</v>
      </c>
      <c r="D205" s="104">
        <v>0</v>
      </c>
      <c r="E205" s="104">
        <v>0</v>
      </c>
      <c r="F205" s="104">
        <v>0</v>
      </c>
      <c r="G205" s="104">
        <v>0</v>
      </c>
      <c r="H205" s="104">
        <v>0</v>
      </c>
      <c r="I205" s="104">
        <v>0</v>
      </c>
      <c r="J205" s="104">
        <v>0</v>
      </c>
      <c r="K205" s="104">
        <v>0</v>
      </c>
      <c r="L205" s="104">
        <v>0</v>
      </c>
      <c r="M205" s="104">
        <v>0</v>
      </c>
      <c r="N205" s="104">
        <v>0</v>
      </c>
      <c r="O205" s="104">
        <v>0</v>
      </c>
      <c r="P205" s="104">
        <v>0</v>
      </c>
      <c r="Q205" s="104">
        <v>0</v>
      </c>
      <c r="R205" s="104">
        <v>0</v>
      </c>
      <c r="S205" s="104">
        <v>0</v>
      </c>
      <c r="T205" s="104">
        <v>0</v>
      </c>
      <c r="U205" s="104">
        <v>0</v>
      </c>
      <c r="V205" s="104">
        <v>0</v>
      </c>
      <c r="W205" s="104">
        <v>0</v>
      </c>
      <c r="X205" s="104">
        <v>0</v>
      </c>
      <c r="Y205" s="104">
        <v>0</v>
      </c>
      <c r="Z205" s="104">
        <v>0</v>
      </c>
      <c r="AA205" s="104">
        <v>0</v>
      </c>
      <c r="AB205" s="104">
        <v>0</v>
      </c>
      <c r="AC205" s="104">
        <v>0</v>
      </c>
      <c r="AD205" s="104">
        <v>0</v>
      </c>
      <c r="AE205" s="104">
        <v>0</v>
      </c>
      <c r="AF205" s="104">
        <v>0</v>
      </c>
      <c r="AG205" s="104">
        <v>0</v>
      </c>
      <c r="AH205" s="104">
        <v>0</v>
      </c>
      <c r="AI205" s="104">
        <v>0</v>
      </c>
      <c r="AJ205" s="104">
        <v>0</v>
      </c>
      <c r="AK205" s="104">
        <v>0</v>
      </c>
      <c r="AL205" s="104">
        <v>0</v>
      </c>
      <c r="AM205" s="104">
        <v>0</v>
      </c>
      <c r="AN205" s="104">
        <v>0</v>
      </c>
      <c r="AO205" s="104">
        <v>0</v>
      </c>
      <c r="AP205" s="104">
        <v>0</v>
      </c>
      <c r="AQ205" s="104">
        <v>0</v>
      </c>
      <c r="AR205" s="104">
        <v>0</v>
      </c>
      <c r="AS205" s="104">
        <v>0</v>
      </c>
      <c r="AT205" s="104">
        <v>0</v>
      </c>
      <c r="AU205" s="104">
        <v>0</v>
      </c>
      <c r="AV205" s="104">
        <v>0</v>
      </c>
      <c r="AW205" s="104">
        <v>0</v>
      </c>
      <c r="AX205" s="104">
        <v>0</v>
      </c>
      <c r="AY205" s="104">
        <v>0</v>
      </c>
    </row>
    <row r="206" spans="1:51">
      <c r="A206" s="107"/>
      <c r="B206" s="127">
        <v>10</v>
      </c>
      <c r="C206" s="104">
        <v>0</v>
      </c>
      <c r="D206" s="104">
        <v>0</v>
      </c>
      <c r="E206" s="104">
        <v>0</v>
      </c>
      <c r="F206" s="104">
        <v>0</v>
      </c>
      <c r="G206" s="104">
        <v>0</v>
      </c>
      <c r="H206" s="104">
        <v>0</v>
      </c>
      <c r="I206" s="104">
        <v>0</v>
      </c>
      <c r="J206" s="104">
        <v>0</v>
      </c>
      <c r="K206" s="104">
        <v>0</v>
      </c>
      <c r="L206" s="104">
        <v>0</v>
      </c>
      <c r="M206" s="104">
        <v>0</v>
      </c>
      <c r="N206" s="104">
        <v>0</v>
      </c>
      <c r="O206" s="104">
        <v>0</v>
      </c>
      <c r="P206" s="104">
        <v>0</v>
      </c>
      <c r="Q206" s="104">
        <v>0</v>
      </c>
      <c r="R206" s="104">
        <v>0</v>
      </c>
      <c r="S206" s="104">
        <v>0</v>
      </c>
      <c r="T206" s="104">
        <v>0</v>
      </c>
      <c r="U206" s="104">
        <v>0</v>
      </c>
      <c r="V206" s="104">
        <v>0</v>
      </c>
      <c r="W206" s="104">
        <v>0</v>
      </c>
      <c r="X206" s="104">
        <v>0</v>
      </c>
      <c r="Y206" s="104">
        <v>0</v>
      </c>
      <c r="Z206" s="104">
        <v>0</v>
      </c>
      <c r="AA206" s="104">
        <v>0</v>
      </c>
      <c r="AB206" s="104">
        <v>0</v>
      </c>
      <c r="AC206" s="104">
        <v>0</v>
      </c>
      <c r="AD206" s="104">
        <v>0</v>
      </c>
      <c r="AE206" s="104">
        <v>0</v>
      </c>
      <c r="AF206" s="104">
        <v>0</v>
      </c>
      <c r="AG206" s="104">
        <v>0</v>
      </c>
      <c r="AH206" s="104">
        <v>0</v>
      </c>
      <c r="AI206" s="104">
        <v>0</v>
      </c>
      <c r="AJ206" s="104">
        <v>0</v>
      </c>
      <c r="AK206" s="104">
        <v>0</v>
      </c>
      <c r="AL206" s="104">
        <v>0</v>
      </c>
      <c r="AM206" s="104">
        <v>0</v>
      </c>
      <c r="AN206" s="104">
        <v>0</v>
      </c>
      <c r="AO206" s="104">
        <v>0</v>
      </c>
      <c r="AP206" s="104">
        <v>0</v>
      </c>
      <c r="AQ206" s="104">
        <v>0</v>
      </c>
      <c r="AR206" s="104">
        <v>0</v>
      </c>
      <c r="AS206" s="104">
        <v>0</v>
      </c>
      <c r="AT206" s="104">
        <v>0</v>
      </c>
      <c r="AU206" s="104">
        <v>0</v>
      </c>
      <c r="AV206" s="104">
        <v>0</v>
      </c>
      <c r="AW206" s="104">
        <v>0</v>
      </c>
      <c r="AX206" s="104">
        <v>0</v>
      </c>
      <c r="AY206" s="104">
        <v>0</v>
      </c>
    </row>
    <row r="207" spans="1:51">
      <c r="A207" s="107"/>
      <c r="B207" s="127">
        <v>11</v>
      </c>
      <c r="C207" s="104">
        <v>0</v>
      </c>
      <c r="D207" s="104">
        <v>0</v>
      </c>
      <c r="E207" s="104">
        <v>0</v>
      </c>
      <c r="F207" s="104">
        <v>0</v>
      </c>
      <c r="G207" s="104">
        <v>0</v>
      </c>
      <c r="H207" s="104">
        <v>0</v>
      </c>
      <c r="I207" s="104">
        <v>0</v>
      </c>
      <c r="J207" s="104">
        <v>0</v>
      </c>
      <c r="K207" s="104">
        <v>0</v>
      </c>
      <c r="L207" s="104">
        <v>0</v>
      </c>
      <c r="M207" s="104">
        <v>0</v>
      </c>
      <c r="N207" s="104">
        <v>0</v>
      </c>
      <c r="O207" s="104">
        <v>0</v>
      </c>
      <c r="P207" s="104">
        <v>0</v>
      </c>
      <c r="Q207" s="104">
        <v>0</v>
      </c>
      <c r="R207" s="104">
        <v>0</v>
      </c>
      <c r="S207" s="104">
        <v>0</v>
      </c>
      <c r="T207" s="104">
        <v>0</v>
      </c>
      <c r="U207" s="104">
        <v>0</v>
      </c>
      <c r="V207" s="104">
        <v>0</v>
      </c>
      <c r="W207" s="104">
        <v>0</v>
      </c>
      <c r="X207" s="104">
        <v>0</v>
      </c>
      <c r="Y207" s="104">
        <v>0</v>
      </c>
      <c r="Z207" s="104">
        <v>0</v>
      </c>
      <c r="AA207" s="104">
        <v>0</v>
      </c>
      <c r="AB207" s="104">
        <v>0</v>
      </c>
      <c r="AC207" s="104">
        <v>0</v>
      </c>
      <c r="AD207" s="104">
        <v>0</v>
      </c>
      <c r="AE207" s="104">
        <v>0</v>
      </c>
      <c r="AF207" s="104">
        <v>0</v>
      </c>
      <c r="AG207" s="104">
        <v>0</v>
      </c>
      <c r="AH207" s="104">
        <v>0</v>
      </c>
      <c r="AI207" s="104">
        <v>0</v>
      </c>
      <c r="AJ207" s="104">
        <v>0</v>
      </c>
      <c r="AK207" s="104">
        <v>0</v>
      </c>
      <c r="AL207" s="104">
        <v>0</v>
      </c>
      <c r="AM207" s="104">
        <v>0</v>
      </c>
      <c r="AN207" s="104">
        <v>0</v>
      </c>
      <c r="AO207" s="104">
        <v>0</v>
      </c>
      <c r="AP207" s="104">
        <v>0</v>
      </c>
      <c r="AQ207" s="104">
        <v>0</v>
      </c>
      <c r="AR207" s="104">
        <v>0</v>
      </c>
      <c r="AS207" s="104">
        <v>0</v>
      </c>
      <c r="AT207" s="104">
        <v>0</v>
      </c>
      <c r="AU207" s="104">
        <v>0</v>
      </c>
      <c r="AV207" s="104">
        <v>0</v>
      </c>
      <c r="AW207" s="104">
        <v>0</v>
      </c>
      <c r="AX207" s="104">
        <v>0</v>
      </c>
      <c r="AY207" s="104">
        <v>0</v>
      </c>
    </row>
    <row r="208" spans="1:51">
      <c r="A208" s="107"/>
      <c r="B208" s="127">
        <v>12</v>
      </c>
      <c r="C208" s="104">
        <v>0</v>
      </c>
      <c r="D208" s="104">
        <v>0</v>
      </c>
      <c r="E208" s="104">
        <v>0</v>
      </c>
      <c r="F208" s="104">
        <v>0</v>
      </c>
      <c r="G208" s="104">
        <v>0</v>
      </c>
      <c r="H208" s="104">
        <v>0</v>
      </c>
      <c r="I208" s="104">
        <v>0</v>
      </c>
      <c r="J208" s="104">
        <v>0</v>
      </c>
      <c r="K208" s="104">
        <v>0</v>
      </c>
      <c r="L208" s="104">
        <v>0</v>
      </c>
      <c r="M208" s="104">
        <v>0</v>
      </c>
      <c r="N208" s="104">
        <v>0</v>
      </c>
      <c r="O208" s="104">
        <v>0</v>
      </c>
      <c r="P208" s="104">
        <v>0</v>
      </c>
      <c r="Q208" s="104">
        <v>0</v>
      </c>
      <c r="R208" s="104">
        <v>0</v>
      </c>
      <c r="S208" s="104">
        <v>0</v>
      </c>
      <c r="T208" s="104">
        <v>0</v>
      </c>
      <c r="U208" s="104">
        <v>0</v>
      </c>
      <c r="V208" s="104">
        <v>0</v>
      </c>
      <c r="W208" s="104">
        <v>0</v>
      </c>
      <c r="X208" s="104">
        <v>0</v>
      </c>
      <c r="Y208" s="104">
        <v>0</v>
      </c>
      <c r="Z208" s="104">
        <v>0</v>
      </c>
      <c r="AA208" s="104">
        <v>0</v>
      </c>
      <c r="AB208" s="104">
        <v>0</v>
      </c>
      <c r="AC208" s="104">
        <v>0</v>
      </c>
      <c r="AD208" s="104">
        <v>0</v>
      </c>
      <c r="AE208" s="104">
        <v>0</v>
      </c>
      <c r="AF208" s="104">
        <v>0</v>
      </c>
      <c r="AG208" s="104">
        <v>0</v>
      </c>
      <c r="AH208" s="104">
        <v>0</v>
      </c>
      <c r="AI208" s="104">
        <v>0</v>
      </c>
      <c r="AJ208" s="104">
        <v>0</v>
      </c>
      <c r="AK208" s="104">
        <v>0</v>
      </c>
      <c r="AL208" s="104">
        <v>0</v>
      </c>
      <c r="AM208" s="104">
        <v>0</v>
      </c>
      <c r="AN208" s="104">
        <v>0</v>
      </c>
      <c r="AO208" s="104">
        <v>0</v>
      </c>
      <c r="AP208" s="104">
        <v>0</v>
      </c>
      <c r="AQ208" s="104">
        <v>0</v>
      </c>
      <c r="AR208" s="104">
        <v>0</v>
      </c>
      <c r="AS208" s="104">
        <v>0</v>
      </c>
      <c r="AT208" s="104">
        <v>0</v>
      </c>
      <c r="AU208" s="104">
        <v>0</v>
      </c>
      <c r="AV208" s="104">
        <v>0</v>
      </c>
      <c r="AW208" s="104">
        <v>0</v>
      </c>
      <c r="AX208" s="104">
        <v>0</v>
      </c>
      <c r="AY208" s="104">
        <v>0</v>
      </c>
    </row>
    <row r="209" spans="1:51">
      <c r="A209" s="123" t="s">
        <v>123</v>
      </c>
      <c r="B209" s="120">
        <v>1</v>
      </c>
      <c r="C209" s="121">
        <v>100.49573042734468</v>
      </c>
      <c r="D209" s="121">
        <v>11.831997736635468</v>
      </c>
      <c r="E209" s="121">
        <v>51.255008636634798</v>
      </c>
      <c r="F209" s="121">
        <v>66.063094859341746</v>
      </c>
      <c r="G209" s="121">
        <v>100.32757045905983</v>
      </c>
      <c r="H209" s="121">
        <v>115.74515869315742</v>
      </c>
      <c r="I209" s="121">
        <v>93</v>
      </c>
      <c r="J209" s="121">
        <v>131.162746927255</v>
      </c>
      <c r="K209" s="121">
        <v>100.32757045905983</v>
      </c>
      <c r="L209" s="121">
        <v>38.041445473801609</v>
      </c>
      <c r="M209" s="121">
        <v>66.046683079438239</v>
      </c>
      <c r="N209" s="121">
        <v>22.623857239704009</v>
      </c>
      <c r="O209" s="121">
        <v>49.878698546546602</v>
      </c>
      <c r="P209" s="121">
        <v>22.623857239704012</v>
      </c>
      <c r="Q209" s="121">
        <v>24.296286780644195</v>
      </c>
      <c r="R209" s="121">
        <v>36.598062383270211</v>
      </c>
      <c r="S209" s="121">
        <v>47.567659899837174</v>
      </c>
      <c r="T209" s="121">
        <v>92.283169529544324</v>
      </c>
      <c r="U209" s="121">
        <v>97.636736997654367</v>
      </c>
      <c r="V209" s="121">
        <v>100.32757045905983</v>
      </c>
      <c r="W209" s="121">
        <v>100.32757045905983</v>
      </c>
      <c r="X209" s="121">
        <v>112.90274675925217</v>
      </c>
      <c r="Y209" s="121">
        <v>100.32757045905981</v>
      </c>
      <c r="Z209" s="121">
        <v>100.20441604928628</v>
      </c>
      <c r="AA209" s="121">
        <v>22.623857239704012</v>
      </c>
      <c r="AB209" s="121">
        <v>115.74515869315742</v>
      </c>
      <c r="AC209" s="121">
        <v>84.786827815188673</v>
      </c>
      <c r="AD209" s="121">
        <v>78.217867461830849</v>
      </c>
      <c r="AE209" s="121">
        <v>118.58757062706266</v>
      </c>
      <c r="AF209" s="121">
        <v>118.58757062706266</v>
      </c>
      <c r="AG209" s="121">
        <v>22.623857239704012</v>
      </c>
      <c r="AH209" s="121">
        <v>76.296286780644195</v>
      </c>
      <c r="AI209" s="121">
        <v>72.768218606130034</v>
      </c>
      <c r="AJ209" s="121">
        <v>79.868360514572231</v>
      </c>
      <c r="AK209" s="121">
        <v>105.21501692438308</v>
      </c>
      <c r="AL209" s="121">
        <v>115.74515869315742</v>
      </c>
      <c r="AM209" s="121">
        <v>100.32757045905983</v>
      </c>
      <c r="AN209" s="121">
        <v>100.32757045905981</v>
      </c>
      <c r="AO209" s="121">
        <v>22.623857239704012</v>
      </c>
      <c r="AP209" s="121">
        <v>115.74515869315742</v>
      </c>
      <c r="AQ209" s="121">
        <v>68.849650575227926</v>
      </c>
      <c r="AR209" s="121">
        <v>38.041445473801609</v>
      </c>
      <c r="AS209" s="121">
        <v>115.74515869315742</v>
      </c>
      <c r="AT209" s="121">
        <v>22.623857239704012</v>
      </c>
      <c r="AU209" s="121">
        <v>23.190435607343389</v>
      </c>
      <c r="AV209" s="121">
        <v>100.32757045905981</v>
      </c>
      <c r="AW209" s="121">
        <v>112.90274675925215</v>
      </c>
      <c r="AX209" s="121">
        <v>40.883857407706863</v>
      </c>
      <c r="AY209" s="121">
        <v>71.207693980192104</v>
      </c>
    </row>
    <row r="210" spans="1:51">
      <c r="A210" s="107"/>
      <c r="B210" s="116">
        <v>2</v>
      </c>
      <c r="C210" s="104">
        <v>20.723517767025008</v>
      </c>
      <c r="D210" s="108">
        <v>11.216315841919258</v>
      </c>
      <c r="E210" s="108">
        <v>65.744991363365202</v>
      </c>
      <c r="F210" s="108">
        <v>45.936905140658254</v>
      </c>
      <c r="G210" s="108">
        <v>30.415006347847381</v>
      </c>
      <c r="H210" s="108">
        <v>15.417588234097595</v>
      </c>
      <c r="I210" s="108">
        <v>0</v>
      </c>
      <c r="J210" s="108">
        <v>4.4858865519775435</v>
      </c>
      <c r="K210" s="108">
        <v>1.739956849687137E-14</v>
      </c>
      <c r="L210" s="108">
        <v>0</v>
      </c>
      <c r="M210" s="108">
        <v>77.703713219355805</v>
      </c>
      <c r="N210" s="108">
        <v>30.425053522852316</v>
      </c>
      <c r="O210" s="108">
        <v>93.121301453453398</v>
      </c>
      <c r="P210" s="108">
        <v>46.302029037389083</v>
      </c>
      <c r="Q210" s="108">
        <v>77.703713219355805</v>
      </c>
      <c r="R210" s="108">
        <v>55.984349382632196</v>
      </c>
      <c r="S210" s="108">
        <v>54.432340100162826</v>
      </c>
      <c r="T210" s="108">
        <v>47.716830470455669</v>
      </c>
      <c r="U210" s="108">
        <v>14.363263002345635</v>
      </c>
      <c r="V210" s="108">
        <v>1.6473091191099507</v>
      </c>
      <c r="W210" s="108">
        <v>27.992764534289961</v>
      </c>
      <c r="X210" s="108">
        <v>0</v>
      </c>
      <c r="Y210" s="108">
        <v>0</v>
      </c>
      <c r="Z210" s="108">
        <v>12.575176300192364</v>
      </c>
      <c r="AA210" s="108">
        <v>0</v>
      </c>
      <c r="AB210" s="108">
        <v>15.417588234097602</v>
      </c>
      <c r="AC210" s="108">
        <v>0</v>
      </c>
      <c r="AD210" s="108">
        <v>15.417588234097604</v>
      </c>
      <c r="AE210" s="108">
        <v>31.795403191096085</v>
      </c>
      <c r="AF210" s="108">
        <v>0</v>
      </c>
      <c r="AG210" s="108">
        <v>0</v>
      </c>
      <c r="AH210" s="108">
        <v>77.703713219355805</v>
      </c>
      <c r="AI210" s="108">
        <v>51.231781393869959</v>
      </c>
      <c r="AJ210" s="108">
        <v>35.131639485427776</v>
      </c>
      <c r="AK210" s="108">
        <v>30.784983075616925</v>
      </c>
      <c r="AL210" s="108">
        <v>8.1865823270629647</v>
      </c>
      <c r="AM210" s="108">
        <v>0</v>
      </c>
      <c r="AN210" s="108">
        <v>15.417588234097595</v>
      </c>
      <c r="AO210" s="108">
        <v>15.417588234097604</v>
      </c>
      <c r="AP210" s="108">
        <v>0</v>
      </c>
      <c r="AQ210" s="108">
        <v>0</v>
      </c>
      <c r="AR210" s="108">
        <v>34.688147047560811</v>
      </c>
      <c r="AS210" s="108">
        <v>0</v>
      </c>
      <c r="AT210" s="108">
        <v>0</v>
      </c>
      <c r="AU210" s="108">
        <v>90.278889519548159</v>
      </c>
      <c r="AV210" s="108">
        <v>54.921239228153119</v>
      </c>
      <c r="AW210" s="108">
        <v>8.6997842484356852E-15</v>
      </c>
      <c r="AX210" s="108">
        <v>8.6997842484356852E-15</v>
      </c>
      <c r="AY210" s="108">
        <v>77.703713219355805</v>
      </c>
    </row>
    <row r="211" spans="1:51">
      <c r="A211" s="107"/>
      <c r="B211" s="116">
        <v>3</v>
      </c>
      <c r="C211" s="104">
        <v>0</v>
      </c>
      <c r="D211" s="108">
        <v>75.951686421445274</v>
      </c>
      <c r="E211" s="108">
        <v>0</v>
      </c>
      <c r="F211" s="108">
        <v>0</v>
      </c>
      <c r="G211" s="108">
        <v>0</v>
      </c>
      <c r="H211" s="108">
        <v>0</v>
      </c>
      <c r="I211" s="108">
        <v>0</v>
      </c>
      <c r="J211" s="108">
        <v>0</v>
      </c>
      <c r="K211" s="108">
        <v>0</v>
      </c>
      <c r="L211" s="108">
        <v>0</v>
      </c>
      <c r="M211" s="108">
        <v>15.4175882340976</v>
      </c>
      <c r="N211" s="108">
        <v>0</v>
      </c>
      <c r="O211" s="108">
        <v>0</v>
      </c>
      <c r="P211" s="108">
        <v>0</v>
      </c>
      <c r="Q211" s="108">
        <v>0</v>
      </c>
      <c r="R211" s="108">
        <v>15.417588234097595</v>
      </c>
      <c r="S211" s="108">
        <v>0</v>
      </c>
      <c r="T211" s="108">
        <v>0</v>
      </c>
      <c r="U211" s="108">
        <v>0</v>
      </c>
      <c r="V211" s="108">
        <v>0</v>
      </c>
      <c r="W211" s="108">
        <v>0</v>
      </c>
      <c r="X211" s="108">
        <v>0</v>
      </c>
      <c r="Y211" s="108">
        <v>12.575176300192354</v>
      </c>
      <c r="Z211" s="108">
        <v>0</v>
      </c>
      <c r="AA211" s="108">
        <v>0</v>
      </c>
      <c r="AB211" s="108">
        <v>0</v>
      </c>
      <c r="AC211" s="108">
        <v>0</v>
      </c>
      <c r="AD211" s="108">
        <v>0</v>
      </c>
      <c r="AE211" s="108">
        <v>0</v>
      </c>
      <c r="AF211" s="108">
        <v>0</v>
      </c>
      <c r="AG211" s="108">
        <v>0</v>
      </c>
      <c r="AH211" s="108">
        <v>0</v>
      </c>
      <c r="AI211" s="108">
        <v>0</v>
      </c>
      <c r="AJ211" s="108">
        <v>0</v>
      </c>
      <c r="AK211" s="108">
        <v>0</v>
      </c>
      <c r="AL211" s="108">
        <v>0</v>
      </c>
      <c r="AM211" s="108">
        <v>0</v>
      </c>
      <c r="AN211" s="108">
        <v>0</v>
      </c>
      <c r="AO211" s="108">
        <v>0</v>
      </c>
      <c r="AP211" s="108">
        <v>0</v>
      </c>
      <c r="AQ211" s="108">
        <v>93.121301453453398</v>
      </c>
      <c r="AR211" s="108">
        <v>0</v>
      </c>
      <c r="AS211" s="108">
        <v>0</v>
      </c>
      <c r="AT211" s="108">
        <v>0</v>
      </c>
      <c r="AU211" s="108">
        <v>0</v>
      </c>
      <c r="AV211" s="108">
        <v>0</v>
      </c>
      <c r="AW211" s="108">
        <v>0</v>
      </c>
      <c r="AX211" s="108">
        <v>12.575176300192354</v>
      </c>
      <c r="AY211" s="108">
        <v>0</v>
      </c>
    </row>
    <row r="212" spans="1:51">
      <c r="A212" s="107"/>
      <c r="B212" s="116">
        <v>4</v>
      </c>
      <c r="C212" s="104">
        <v>0</v>
      </c>
      <c r="D212" s="108">
        <v>0</v>
      </c>
      <c r="E212" s="108">
        <v>0</v>
      </c>
      <c r="F212" s="108">
        <v>0</v>
      </c>
      <c r="G212" s="108">
        <v>0</v>
      </c>
      <c r="H212" s="108">
        <v>0</v>
      </c>
      <c r="I212" s="108">
        <v>0</v>
      </c>
      <c r="J212" s="108">
        <v>0</v>
      </c>
      <c r="K212" s="108">
        <v>0</v>
      </c>
      <c r="L212" s="108">
        <v>0</v>
      </c>
      <c r="M212" s="108">
        <v>0</v>
      </c>
      <c r="N212" s="108">
        <v>0</v>
      </c>
      <c r="O212" s="108">
        <v>0</v>
      </c>
      <c r="P212" s="108">
        <v>0</v>
      </c>
      <c r="Q212" s="108">
        <v>0</v>
      </c>
      <c r="R212" s="108">
        <v>0</v>
      </c>
      <c r="S212" s="108">
        <v>0</v>
      </c>
      <c r="T212" s="108">
        <v>0</v>
      </c>
      <c r="U212" s="108">
        <v>0</v>
      </c>
      <c r="V212" s="108">
        <v>0</v>
      </c>
      <c r="W212" s="108">
        <v>0</v>
      </c>
      <c r="X212" s="108">
        <v>0</v>
      </c>
      <c r="Y212" s="108">
        <v>0</v>
      </c>
      <c r="Z212" s="108">
        <v>0</v>
      </c>
      <c r="AA212" s="108">
        <v>0</v>
      </c>
      <c r="AB212" s="108">
        <v>0</v>
      </c>
      <c r="AC212" s="108">
        <v>0</v>
      </c>
      <c r="AD212" s="108">
        <v>0</v>
      </c>
      <c r="AE212" s="108">
        <v>0</v>
      </c>
      <c r="AF212" s="108">
        <v>0</v>
      </c>
      <c r="AG212" s="108">
        <v>0</v>
      </c>
      <c r="AH212" s="108">
        <v>0</v>
      </c>
      <c r="AI212" s="108">
        <v>0</v>
      </c>
      <c r="AJ212" s="108">
        <v>0</v>
      </c>
      <c r="AK212" s="108">
        <v>0</v>
      </c>
      <c r="AL212" s="108">
        <v>0</v>
      </c>
      <c r="AM212" s="108">
        <v>0</v>
      </c>
      <c r="AN212" s="108">
        <v>0</v>
      </c>
      <c r="AO212" s="108">
        <v>0</v>
      </c>
      <c r="AP212" s="108">
        <v>0</v>
      </c>
      <c r="AQ212" s="108">
        <v>0</v>
      </c>
      <c r="AR212" s="108">
        <v>0</v>
      </c>
      <c r="AS212" s="108">
        <v>0</v>
      </c>
      <c r="AT212" s="108">
        <v>0</v>
      </c>
      <c r="AU212" s="108">
        <v>0</v>
      </c>
      <c r="AV212" s="108">
        <v>0</v>
      </c>
      <c r="AW212" s="108">
        <v>0</v>
      </c>
      <c r="AX212" s="108">
        <v>0</v>
      </c>
      <c r="AY212" s="108">
        <v>0</v>
      </c>
    </row>
    <row r="213" spans="1:51">
      <c r="A213" s="107"/>
      <c r="B213" s="116">
        <v>5</v>
      </c>
      <c r="C213" s="104">
        <v>0</v>
      </c>
      <c r="D213" s="108">
        <v>0</v>
      </c>
      <c r="E213" s="108">
        <v>0</v>
      </c>
      <c r="F213" s="108">
        <v>0</v>
      </c>
      <c r="G213" s="108">
        <v>0</v>
      </c>
      <c r="H213" s="108">
        <v>0</v>
      </c>
      <c r="I213" s="108">
        <v>0</v>
      </c>
      <c r="J213" s="108">
        <v>0</v>
      </c>
      <c r="K213" s="108">
        <v>0</v>
      </c>
      <c r="L213" s="108">
        <v>0</v>
      </c>
      <c r="M213" s="108">
        <v>0</v>
      </c>
      <c r="N213" s="108">
        <v>0</v>
      </c>
      <c r="O213" s="108">
        <v>0</v>
      </c>
      <c r="P213" s="108">
        <v>0</v>
      </c>
      <c r="Q213" s="108">
        <v>0</v>
      </c>
      <c r="R213" s="108">
        <v>0</v>
      </c>
      <c r="S213" s="108">
        <v>0</v>
      </c>
      <c r="T213" s="108">
        <v>0</v>
      </c>
      <c r="U213" s="108">
        <v>0</v>
      </c>
      <c r="V213" s="108">
        <v>0</v>
      </c>
      <c r="W213" s="108">
        <v>0</v>
      </c>
      <c r="X213" s="108">
        <v>0</v>
      </c>
      <c r="Y213" s="108">
        <v>0</v>
      </c>
      <c r="Z213" s="108">
        <v>0</v>
      </c>
      <c r="AA213" s="108">
        <v>0</v>
      </c>
      <c r="AB213" s="108">
        <v>0</v>
      </c>
      <c r="AC213" s="108">
        <v>0</v>
      </c>
      <c r="AD213" s="108">
        <v>0</v>
      </c>
      <c r="AE213" s="108">
        <v>0</v>
      </c>
      <c r="AF213" s="108">
        <v>0</v>
      </c>
      <c r="AG213" s="108">
        <v>0</v>
      </c>
      <c r="AH213" s="108">
        <v>0</v>
      </c>
      <c r="AI213" s="108">
        <v>0</v>
      </c>
      <c r="AJ213" s="108">
        <v>0</v>
      </c>
      <c r="AK213" s="108">
        <v>0</v>
      </c>
      <c r="AL213" s="108">
        <v>0</v>
      </c>
      <c r="AM213" s="108">
        <v>0</v>
      </c>
      <c r="AN213" s="108">
        <v>0</v>
      </c>
      <c r="AO213" s="108">
        <v>0</v>
      </c>
      <c r="AP213" s="108">
        <v>0</v>
      </c>
      <c r="AQ213" s="108">
        <v>0</v>
      </c>
      <c r="AR213" s="108">
        <v>0</v>
      </c>
      <c r="AS213" s="108">
        <v>0</v>
      </c>
      <c r="AT213" s="108">
        <v>0</v>
      </c>
      <c r="AU213" s="108">
        <v>0</v>
      </c>
      <c r="AV213" s="108">
        <v>0</v>
      </c>
      <c r="AW213" s="108">
        <v>0</v>
      </c>
      <c r="AX213" s="108">
        <v>0</v>
      </c>
      <c r="AY213" s="108">
        <v>0</v>
      </c>
    </row>
    <row r="214" spans="1:51">
      <c r="A214" s="107"/>
      <c r="B214" s="116">
        <v>6</v>
      </c>
      <c r="C214" s="104">
        <v>0</v>
      </c>
      <c r="D214" s="108">
        <v>0</v>
      </c>
      <c r="E214" s="108">
        <v>0</v>
      </c>
      <c r="F214" s="108">
        <v>0</v>
      </c>
      <c r="G214" s="108">
        <v>0</v>
      </c>
      <c r="H214" s="108">
        <v>0</v>
      </c>
      <c r="I214" s="108">
        <v>0</v>
      </c>
      <c r="J214" s="108">
        <v>0</v>
      </c>
      <c r="K214" s="108">
        <v>0</v>
      </c>
      <c r="L214" s="108">
        <v>0</v>
      </c>
      <c r="M214" s="108">
        <v>0</v>
      </c>
      <c r="N214" s="108">
        <v>0</v>
      </c>
      <c r="O214" s="108">
        <v>0</v>
      </c>
      <c r="P214" s="108">
        <v>0</v>
      </c>
      <c r="Q214" s="108">
        <v>0</v>
      </c>
      <c r="R214" s="108">
        <v>0</v>
      </c>
      <c r="S214" s="108">
        <v>0</v>
      </c>
      <c r="T214" s="108">
        <v>0</v>
      </c>
      <c r="U214" s="108">
        <v>0</v>
      </c>
      <c r="V214" s="108">
        <v>0</v>
      </c>
      <c r="W214" s="108">
        <v>0</v>
      </c>
      <c r="X214" s="108">
        <v>0</v>
      </c>
      <c r="Y214" s="108">
        <v>0</v>
      </c>
      <c r="Z214" s="108">
        <v>0</v>
      </c>
      <c r="AA214" s="108">
        <v>0</v>
      </c>
      <c r="AB214" s="108">
        <v>0</v>
      </c>
      <c r="AC214" s="108">
        <v>0</v>
      </c>
      <c r="AD214" s="108">
        <v>0</v>
      </c>
      <c r="AE214" s="108">
        <v>0</v>
      </c>
      <c r="AF214" s="108">
        <v>0</v>
      </c>
      <c r="AG214" s="108">
        <v>0</v>
      </c>
      <c r="AH214" s="108">
        <v>0</v>
      </c>
      <c r="AI214" s="108">
        <v>0</v>
      </c>
      <c r="AJ214" s="108">
        <v>0</v>
      </c>
      <c r="AK214" s="108">
        <v>0</v>
      </c>
      <c r="AL214" s="108">
        <v>0</v>
      </c>
      <c r="AM214" s="108">
        <v>0</v>
      </c>
      <c r="AN214" s="108">
        <v>0</v>
      </c>
      <c r="AO214" s="108">
        <v>0</v>
      </c>
      <c r="AP214" s="108">
        <v>0</v>
      </c>
      <c r="AQ214" s="108">
        <v>0</v>
      </c>
      <c r="AR214" s="108">
        <v>0</v>
      </c>
      <c r="AS214" s="108">
        <v>0</v>
      </c>
      <c r="AT214" s="108">
        <v>0</v>
      </c>
      <c r="AU214" s="108">
        <v>0</v>
      </c>
      <c r="AV214" s="108">
        <v>0</v>
      </c>
      <c r="AW214" s="108">
        <v>0</v>
      </c>
      <c r="AX214" s="108">
        <v>0</v>
      </c>
      <c r="AY214" s="108">
        <v>0</v>
      </c>
    </row>
    <row r="215" spans="1:51">
      <c r="A215" s="107"/>
      <c r="B215" s="116">
        <v>7</v>
      </c>
      <c r="C215" s="104">
        <v>0</v>
      </c>
      <c r="D215" s="108">
        <v>0</v>
      </c>
      <c r="E215" s="108">
        <v>0</v>
      </c>
      <c r="F215" s="108">
        <v>0</v>
      </c>
      <c r="G215" s="108">
        <v>0</v>
      </c>
      <c r="H215" s="108">
        <v>0</v>
      </c>
      <c r="I215" s="108">
        <v>0</v>
      </c>
      <c r="J215" s="108">
        <v>0</v>
      </c>
      <c r="K215" s="108">
        <v>0</v>
      </c>
      <c r="L215" s="108">
        <v>0</v>
      </c>
      <c r="M215" s="108">
        <v>0</v>
      </c>
      <c r="N215" s="108">
        <v>0</v>
      </c>
      <c r="O215" s="108">
        <v>0</v>
      </c>
      <c r="P215" s="108">
        <v>0</v>
      </c>
      <c r="Q215" s="108">
        <v>0</v>
      </c>
      <c r="R215" s="108">
        <v>0</v>
      </c>
      <c r="S215" s="108">
        <v>0</v>
      </c>
      <c r="T215" s="108">
        <v>0</v>
      </c>
      <c r="U215" s="108">
        <v>0</v>
      </c>
      <c r="V215" s="108">
        <v>0</v>
      </c>
      <c r="W215" s="108">
        <v>0</v>
      </c>
      <c r="X215" s="108">
        <v>0</v>
      </c>
      <c r="Y215" s="108">
        <v>0</v>
      </c>
      <c r="Z215" s="108">
        <v>0</v>
      </c>
      <c r="AA215" s="108">
        <v>0</v>
      </c>
      <c r="AB215" s="108">
        <v>0</v>
      </c>
      <c r="AC215" s="108">
        <v>0</v>
      </c>
      <c r="AD215" s="108">
        <v>0</v>
      </c>
      <c r="AE215" s="108">
        <v>0</v>
      </c>
      <c r="AF215" s="108">
        <v>0</v>
      </c>
      <c r="AG215" s="108">
        <v>0</v>
      </c>
      <c r="AH215" s="108">
        <v>0</v>
      </c>
      <c r="AI215" s="108">
        <v>0</v>
      </c>
      <c r="AJ215" s="108">
        <v>0</v>
      </c>
      <c r="AK215" s="108">
        <v>0</v>
      </c>
      <c r="AL215" s="108">
        <v>0</v>
      </c>
      <c r="AM215" s="108">
        <v>0</v>
      </c>
      <c r="AN215" s="108">
        <v>0</v>
      </c>
      <c r="AO215" s="108">
        <v>0</v>
      </c>
      <c r="AP215" s="108">
        <v>0</v>
      </c>
      <c r="AQ215" s="108">
        <v>0</v>
      </c>
      <c r="AR215" s="108">
        <v>0</v>
      </c>
      <c r="AS215" s="108">
        <v>0</v>
      </c>
      <c r="AT215" s="108">
        <v>0</v>
      </c>
      <c r="AU215" s="108">
        <v>0</v>
      </c>
      <c r="AV215" s="108">
        <v>0</v>
      </c>
      <c r="AW215" s="108">
        <v>0</v>
      </c>
      <c r="AX215" s="108">
        <v>0</v>
      </c>
      <c r="AY215" s="108">
        <v>0</v>
      </c>
    </row>
    <row r="216" spans="1:51">
      <c r="A216" s="107"/>
      <c r="B216" s="116">
        <v>8</v>
      </c>
      <c r="C216" s="104">
        <v>0</v>
      </c>
      <c r="D216" s="108">
        <v>0</v>
      </c>
      <c r="E216" s="108">
        <v>0</v>
      </c>
      <c r="F216" s="108">
        <v>0</v>
      </c>
      <c r="G216" s="108">
        <v>0</v>
      </c>
      <c r="H216" s="108">
        <v>0</v>
      </c>
      <c r="I216" s="108">
        <v>0</v>
      </c>
      <c r="J216" s="108">
        <v>0</v>
      </c>
      <c r="K216" s="108">
        <v>0</v>
      </c>
      <c r="L216" s="108">
        <v>0</v>
      </c>
      <c r="M216" s="108">
        <v>0</v>
      </c>
      <c r="N216" s="108">
        <v>0</v>
      </c>
      <c r="O216" s="108">
        <v>0</v>
      </c>
      <c r="P216" s="108">
        <v>0</v>
      </c>
      <c r="Q216" s="108">
        <v>0</v>
      </c>
      <c r="R216" s="108">
        <v>0</v>
      </c>
      <c r="S216" s="108">
        <v>0</v>
      </c>
      <c r="T216" s="108">
        <v>0</v>
      </c>
      <c r="U216" s="108">
        <v>0</v>
      </c>
      <c r="V216" s="108">
        <v>0</v>
      </c>
      <c r="W216" s="108">
        <v>0</v>
      </c>
      <c r="X216" s="108">
        <v>0</v>
      </c>
      <c r="Y216" s="108">
        <v>0</v>
      </c>
      <c r="Z216" s="108">
        <v>0</v>
      </c>
      <c r="AA216" s="108">
        <v>0</v>
      </c>
      <c r="AB216" s="108">
        <v>0</v>
      </c>
      <c r="AC216" s="108">
        <v>0</v>
      </c>
      <c r="AD216" s="108">
        <v>0</v>
      </c>
      <c r="AE216" s="108">
        <v>0</v>
      </c>
      <c r="AF216" s="108">
        <v>0</v>
      </c>
      <c r="AG216" s="108">
        <v>0</v>
      </c>
      <c r="AH216" s="108">
        <v>0</v>
      </c>
      <c r="AI216" s="108">
        <v>0</v>
      </c>
      <c r="AJ216" s="108">
        <v>0</v>
      </c>
      <c r="AK216" s="108">
        <v>0</v>
      </c>
      <c r="AL216" s="108">
        <v>0</v>
      </c>
      <c r="AM216" s="108">
        <v>0</v>
      </c>
      <c r="AN216" s="108">
        <v>0</v>
      </c>
      <c r="AO216" s="108">
        <v>0</v>
      </c>
      <c r="AP216" s="108">
        <v>0</v>
      </c>
      <c r="AQ216" s="108">
        <v>0</v>
      </c>
      <c r="AR216" s="108">
        <v>0</v>
      </c>
      <c r="AS216" s="108">
        <v>0</v>
      </c>
      <c r="AT216" s="108">
        <v>0</v>
      </c>
      <c r="AU216" s="108">
        <v>0</v>
      </c>
      <c r="AV216" s="108">
        <v>0</v>
      </c>
      <c r="AW216" s="108">
        <v>0</v>
      </c>
      <c r="AX216" s="108">
        <v>0</v>
      </c>
      <c r="AY216" s="108">
        <v>0</v>
      </c>
    </row>
    <row r="217" spans="1:51">
      <c r="A217" s="107"/>
      <c r="B217" s="116">
        <v>9</v>
      </c>
      <c r="C217" s="104">
        <v>0</v>
      </c>
      <c r="D217" s="108">
        <v>0</v>
      </c>
      <c r="E217" s="108">
        <v>0</v>
      </c>
      <c r="F217" s="108">
        <v>0</v>
      </c>
      <c r="G217" s="108">
        <v>0</v>
      </c>
      <c r="H217" s="108">
        <v>0</v>
      </c>
      <c r="I217" s="108">
        <v>0</v>
      </c>
      <c r="J217" s="108">
        <v>0</v>
      </c>
      <c r="K217" s="108">
        <v>0</v>
      </c>
      <c r="L217" s="108">
        <v>0</v>
      </c>
      <c r="M217" s="108">
        <v>0</v>
      </c>
      <c r="N217" s="108">
        <v>0</v>
      </c>
      <c r="O217" s="108">
        <v>0</v>
      </c>
      <c r="P217" s="108">
        <v>0</v>
      </c>
      <c r="Q217" s="108">
        <v>0</v>
      </c>
      <c r="R217" s="108">
        <v>0</v>
      </c>
      <c r="S217" s="108">
        <v>0</v>
      </c>
      <c r="T217" s="108">
        <v>0</v>
      </c>
      <c r="U217" s="108">
        <v>0</v>
      </c>
      <c r="V217" s="108">
        <v>0</v>
      </c>
      <c r="W217" s="108">
        <v>0</v>
      </c>
      <c r="X217" s="108">
        <v>0</v>
      </c>
      <c r="Y217" s="108">
        <v>0</v>
      </c>
      <c r="Z217" s="108">
        <v>0</v>
      </c>
      <c r="AA217" s="108">
        <v>0</v>
      </c>
      <c r="AB217" s="108">
        <v>0</v>
      </c>
      <c r="AC217" s="108">
        <v>0</v>
      </c>
      <c r="AD217" s="108">
        <v>0</v>
      </c>
      <c r="AE217" s="108">
        <v>0</v>
      </c>
      <c r="AF217" s="108">
        <v>0</v>
      </c>
      <c r="AG217" s="108">
        <v>0</v>
      </c>
      <c r="AH217" s="108">
        <v>0</v>
      </c>
      <c r="AI217" s="108">
        <v>0</v>
      </c>
      <c r="AJ217" s="108">
        <v>0</v>
      </c>
      <c r="AK217" s="108">
        <v>0</v>
      </c>
      <c r="AL217" s="108">
        <v>0</v>
      </c>
      <c r="AM217" s="108">
        <v>0</v>
      </c>
      <c r="AN217" s="108">
        <v>0</v>
      </c>
      <c r="AO217" s="108">
        <v>0</v>
      </c>
      <c r="AP217" s="108">
        <v>0</v>
      </c>
      <c r="AQ217" s="108">
        <v>0</v>
      </c>
      <c r="AR217" s="108">
        <v>0</v>
      </c>
      <c r="AS217" s="108">
        <v>0</v>
      </c>
      <c r="AT217" s="108">
        <v>0</v>
      </c>
      <c r="AU217" s="108">
        <v>0</v>
      </c>
      <c r="AV217" s="108">
        <v>0</v>
      </c>
      <c r="AW217" s="108">
        <v>0</v>
      </c>
      <c r="AX217" s="108">
        <v>0</v>
      </c>
      <c r="AY217" s="108">
        <v>0</v>
      </c>
    </row>
    <row r="218" spans="1:51">
      <c r="A218" s="107"/>
      <c r="B218" s="116">
        <v>10</v>
      </c>
      <c r="C218" s="104">
        <v>0</v>
      </c>
      <c r="D218" s="108">
        <v>0</v>
      </c>
      <c r="E218" s="108">
        <v>0</v>
      </c>
      <c r="F218" s="108">
        <v>0</v>
      </c>
      <c r="G218" s="108">
        <v>0</v>
      </c>
      <c r="H218" s="108">
        <v>0</v>
      </c>
      <c r="I218" s="108">
        <v>0</v>
      </c>
      <c r="J218" s="108">
        <v>0</v>
      </c>
      <c r="K218" s="108">
        <v>0</v>
      </c>
      <c r="L218" s="108">
        <v>0</v>
      </c>
      <c r="M218" s="108">
        <v>0</v>
      </c>
      <c r="N218" s="108">
        <v>0</v>
      </c>
      <c r="O218" s="108">
        <v>0</v>
      </c>
      <c r="P218" s="108">
        <v>0</v>
      </c>
      <c r="Q218" s="108">
        <v>0</v>
      </c>
      <c r="R218" s="108">
        <v>0</v>
      </c>
      <c r="S218" s="108">
        <v>0</v>
      </c>
      <c r="T218" s="108">
        <v>0</v>
      </c>
      <c r="U218" s="108">
        <v>0</v>
      </c>
      <c r="V218" s="108">
        <v>0</v>
      </c>
      <c r="W218" s="108">
        <v>0</v>
      </c>
      <c r="X218" s="108">
        <v>0</v>
      </c>
      <c r="Y218" s="108">
        <v>0</v>
      </c>
      <c r="Z218" s="108">
        <v>0</v>
      </c>
      <c r="AA218" s="108">
        <v>0</v>
      </c>
      <c r="AB218" s="108">
        <v>0</v>
      </c>
      <c r="AC218" s="108">
        <v>0</v>
      </c>
      <c r="AD218" s="108">
        <v>0</v>
      </c>
      <c r="AE218" s="108">
        <v>0</v>
      </c>
      <c r="AF218" s="108">
        <v>0</v>
      </c>
      <c r="AG218" s="108">
        <v>0</v>
      </c>
      <c r="AH218" s="108">
        <v>0</v>
      </c>
      <c r="AI218" s="108">
        <v>0</v>
      </c>
      <c r="AJ218" s="108">
        <v>0</v>
      </c>
      <c r="AK218" s="108">
        <v>0</v>
      </c>
      <c r="AL218" s="108">
        <v>0</v>
      </c>
      <c r="AM218" s="108">
        <v>0</v>
      </c>
      <c r="AN218" s="108">
        <v>0</v>
      </c>
      <c r="AO218" s="108">
        <v>0</v>
      </c>
      <c r="AP218" s="108">
        <v>0</v>
      </c>
      <c r="AQ218" s="108">
        <v>0</v>
      </c>
      <c r="AR218" s="108">
        <v>0</v>
      </c>
      <c r="AS218" s="108">
        <v>0</v>
      </c>
      <c r="AT218" s="108">
        <v>0</v>
      </c>
      <c r="AU218" s="108">
        <v>0</v>
      </c>
      <c r="AV218" s="108">
        <v>0</v>
      </c>
      <c r="AW218" s="108">
        <v>0</v>
      </c>
      <c r="AX218" s="108">
        <v>0</v>
      </c>
      <c r="AY218" s="108">
        <v>0</v>
      </c>
    </row>
    <row r="219" spans="1:51">
      <c r="A219" s="107"/>
      <c r="B219" s="116">
        <v>11</v>
      </c>
      <c r="C219" s="104">
        <v>0</v>
      </c>
      <c r="D219" s="108">
        <v>0</v>
      </c>
      <c r="E219" s="108">
        <v>0</v>
      </c>
      <c r="F219" s="108">
        <v>0</v>
      </c>
      <c r="G219" s="108">
        <v>0</v>
      </c>
      <c r="H219" s="108">
        <v>0</v>
      </c>
      <c r="I219" s="108">
        <v>0</v>
      </c>
      <c r="J219" s="108">
        <v>0</v>
      </c>
      <c r="K219" s="108">
        <v>0</v>
      </c>
      <c r="L219" s="108">
        <v>0</v>
      </c>
      <c r="M219" s="108">
        <v>0</v>
      </c>
      <c r="N219" s="108">
        <v>0</v>
      </c>
      <c r="O219" s="108">
        <v>0</v>
      </c>
      <c r="P219" s="108">
        <v>0</v>
      </c>
      <c r="Q219" s="108">
        <v>0</v>
      </c>
      <c r="R219" s="108">
        <v>0</v>
      </c>
      <c r="S219" s="108">
        <v>0</v>
      </c>
      <c r="T219" s="108">
        <v>0</v>
      </c>
      <c r="U219" s="108">
        <v>0</v>
      </c>
      <c r="V219" s="108">
        <v>0</v>
      </c>
      <c r="W219" s="108">
        <v>0</v>
      </c>
      <c r="X219" s="108">
        <v>0</v>
      </c>
      <c r="Y219" s="108">
        <v>0</v>
      </c>
      <c r="Z219" s="108">
        <v>0</v>
      </c>
      <c r="AA219" s="108">
        <v>0</v>
      </c>
      <c r="AB219" s="108">
        <v>0</v>
      </c>
      <c r="AC219" s="108">
        <v>0</v>
      </c>
      <c r="AD219" s="108">
        <v>0</v>
      </c>
      <c r="AE219" s="108">
        <v>0</v>
      </c>
      <c r="AF219" s="108">
        <v>0</v>
      </c>
      <c r="AG219" s="108">
        <v>0</v>
      </c>
      <c r="AH219" s="108">
        <v>0</v>
      </c>
      <c r="AI219" s="108">
        <v>0</v>
      </c>
      <c r="AJ219" s="108">
        <v>0</v>
      </c>
      <c r="AK219" s="108">
        <v>0</v>
      </c>
      <c r="AL219" s="108">
        <v>0</v>
      </c>
      <c r="AM219" s="108">
        <v>0</v>
      </c>
      <c r="AN219" s="108">
        <v>0</v>
      </c>
      <c r="AO219" s="108">
        <v>0</v>
      </c>
      <c r="AP219" s="108">
        <v>0</v>
      </c>
      <c r="AQ219" s="108">
        <v>0</v>
      </c>
      <c r="AR219" s="108">
        <v>0</v>
      </c>
      <c r="AS219" s="108">
        <v>0</v>
      </c>
      <c r="AT219" s="108">
        <v>0</v>
      </c>
      <c r="AU219" s="108">
        <v>0</v>
      </c>
      <c r="AV219" s="108">
        <v>0</v>
      </c>
      <c r="AW219" s="108">
        <v>0</v>
      </c>
      <c r="AX219" s="108">
        <v>0</v>
      </c>
      <c r="AY219" s="108">
        <v>0</v>
      </c>
    </row>
    <row r="220" spans="1:51">
      <c r="A220" s="107"/>
      <c r="B220" s="116">
        <v>12</v>
      </c>
      <c r="C220" s="104">
        <v>0</v>
      </c>
      <c r="D220" s="108">
        <v>0</v>
      </c>
      <c r="E220" s="108">
        <v>0</v>
      </c>
      <c r="F220" s="108">
        <v>0</v>
      </c>
      <c r="G220" s="108">
        <v>0</v>
      </c>
      <c r="H220" s="108">
        <v>0</v>
      </c>
      <c r="I220" s="108">
        <v>0</v>
      </c>
      <c r="J220" s="108">
        <v>0</v>
      </c>
      <c r="K220" s="108">
        <v>0</v>
      </c>
      <c r="L220" s="108">
        <v>0</v>
      </c>
      <c r="M220" s="108">
        <v>0</v>
      </c>
      <c r="N220" s="108">
        <v>0</v>
      </c>
      <c r="O220" s="108">
        <v>0</v>
      </c>
      <c r="P220" s="108">
        <v>0</v>
      </c>
      <c r="Q220" s="108">
        <v>0</v>
      </c>
      <c r="R220" s="108">
        <v>0</v>
      </c>
      <c r="S220" s="108">
        <v>0</v>
      </c>
      <c r="T220" s="108">
        <v>0</v>
      </c>
      <c r="U220" s="108">
        <v>0</v>
      </c>
      <c r="V220" s="108">
        <v>0</v>
      </c>
      <c r="W220" s="108">
        <v>0</v>
      </c>
      <c r="X220" s="108">
        <v>0</v>
      </c>
      <c r="Y220" s="108">
        <v>0</v>
      </c>
      <c r="Z220" s="108">
        <v>0</v>
      </c>
      <c r="AA220" s="108">
        <v>0</v>
      </c>
      <c r="AB220" s="108">
        <v>0</v>
      </c>
      <c r="AC220" s="108">
        <v>0</v>
      </c>
      <c r="AD220" s="108">
        <v>0</v>
      </c>
      <c r="AE220" s="108">
        <v>0</v>
      </c>
      <c r="AF220" s="108">
        <v>0</v>
      </c>
      <c r="AG220" s="108">
        <v>0</v>
      </c>
      <c r="AH220" s="108">
        <v>0</v>
      </c>
      <c r="AI220" s="108">
        <v>0</v>
      </c>
      <c r="AJ220" s="108">
        <v>0</v>
      </c>
      <c r="AK220" s="108">
        <v>0</v>
      </c>
      <c r="AL220" s="108">
        <v>0</v>
      </c>
      <c r="AM220" s="108">
        <v>0</v>
      </c>
      <c r="AN220" s="108">
        <v>0</v>
      </c>
      <c r="AO220" s="108">
        <v>0</v>
      </c>
      <c r="AP220" s="108">
        <v>0</v>
      </c>
      <c r="AQ220" s="108">
        <v>0</v>
      </c>
      <c r="AR220" s="108">
        <v>0</v>
      </c>
      <c r="AS220" s="108">
        <v>0</v>
      </c>
      <c r="AT220" s="108">
        <v>0</v>
      </c>
      <c r="AU220" s="108">
        <v>0</v>
      </c>
      <c r="AV220" s="108">
        <v>0</v>
      </c>
      <c r="AW220" s="108">
        <v>0</v>
      </c>
      <c r="AX220" s="108">
        <v>0</v>
      </c>
      <c r="AY220" s="108">
        <v>0</v>
      </c>
    </row>
    <row r="221" spans="1:51">
      <c r="A221" s="107"/>
      <c r="B221" s="117">
        <v>13</v>
      </c>
      <c r="C221" s="104">
        <v>0</v>
      </c>
      <c r="D221" s="108">
        <v>0</v>
      </c>
      <c r="E221" s="108">
        <v>0</v>
      </c>
      <c r="F221" s="108">
        <v>0</v>
      </c>
      <c r="G221" s="108">
        <v>0</v>
      </c>
      <c r="H221" s="108">
        <v>0</v>
      </c>
      <c r="I221" s="108">
        <v>0</v>
      </c>
      <c r="J221" s="108">
        <v>0</v>
      </c>
      <c r="K221" s="108">
        <v>0</v>
      </c>
      <c r="L221" s="108">
        <v>0</v>
      </c>
      <c r="M221" s="108">
        <v>0</v>
      </c>
      <c r="N221" s="108">
        <v>0</v>
      </c>
      <c r="O221" s="108">
        <v>0</v>
      </c>
      <c r="P221" s="108">
        <v>0</v>
      </c>
      <c r="Q221" s="108">
        <v>0</v>
      </c>
      <c r="R221" s="108">
        <v>0</v>
      </c>
      <c r="S221" s="108">
        <v>0</v>
      </c>
      <c r="T221" s="108">
        <v>0</v>
      </c>
      <c r="U221" s="108">
        <v>0</v>
      </c>
      <c r="V221" s="108">
        <v>0</v>
      </c>
      <c r="W221" s="108">
        <v>0</v>
      </c>
      <c r="X221" s="108">
        <v>0</v>
      </c>
      <c r="Y221" s="108">
        <v>0</v>
      </c>
      <c r="Z221" s="108">
        <v>0</v>
      </c>
      <c r="AA221" s="108">
        <v>0</v>
      </c>
      <c r="AB221" s="108">
        <v>0</v>
      </c>
      <c r="AC221" s="108">
        <v>0</v>
      </c>
      <c r="AD221" s="108">
        <v>0</v>
      </c>
      <c r="AE221" s="108">
        <v>0</v>
      </c>
      <c r="AF221" s="108">
        <v>0</v>
      </c>
      <c r="AG221" s="108">
        <v>0</v>
      </c>
      <c r="AH221" s="108">
        <v>0</v>
      </c>
      <c r="AI221" s="108">
        <v>0</v>
      </c>
      <c r="AJ221" s="108">
        <v>0</v>
      </c>
      <c r="AK221" s="108">
        <v>0</v>
      </c>
      <c r="AL221" s="108">
        <v>0</v>
      </c>
      <c r="AM221" s="108">
        <v>0</v>
      </c>
      <c r="AN221" s="108">
        <v>0</v>
      </c>
      <c r="AO221" s="108">
        <v>0</v>
      </c>
      <c r="AP221" s="108">
        <v>0</v>
      </c>
      <c r="AQ221" s="108">
        <v>0</v>
      </c>
      <c r="AR221" s="108">
        <v>0</v>
      </c>
      <c r="AS221" s="108">
        <v>0</v>
      </c>
      <c r="AT221" s="108">
        <v>0</v>
      </c>
      <c r="AU221" s="108">
        <v>0</v>
      </c>
      <c r="AV221" s="108">
        <v>0</v>
      </c>
      <c r="AW221" s="108">
        <v>0</v>
      </c>
      <c r="AX221" s="108">
        <v>0</v>
      </c>
      <c r="AY221" s="108">
        <v>0</v>
      </c>
    </row>
    <row r="222" spans="1:51">
      <c r="A222" s="107"/>
      <c r="B222" s="117">
        <v>14</v>
      </c>
      <c r="C222" s="104">
        <v>0</v>
      </c>
      <c r="D222" s="108">
        <v>0</v>
      </c>
      <c r="E222" s="108">
        <v>0</v>
      </c>
      <c r="F222" s="108">
        <v>0</v>
      </c>
      <c r="G222" s="108">
        <v>0</v>
      </c>
      <c r="H222" s="108">
        <v>0</v>
      </c>
      <c r="I222" s="108">
        <v>0</v>
      </c>
      <c r="J222" s="108">
        <v>0</v>
      </c>
      <c r="K222" s="108">
        <v>0</v>
      </c>
      <c r="L222" s="108">
        <v>0</v>
      </c>
      <c r="M222" s="108">
        <v>0</v>
      </c>
      <c r="N222" s="108">
        <v>0</v>
      </c>
      <c r="O222" s="108">
        <v>0</v>
      </c>
      <c r="P222" s="108">
        <v>0</v>
      </c>
      <c r="Q222" s="108">
        <v>0</v>
      </c>
      <c r="R222" s="108">
        <v>0</v>
      </c>
      <c r="S222" s="108">
        <v>0</v>
      </c>
      <c r="T222" s="108">
        <v>0</v>
      </c>
      <c r="U222" s="108">
        <v>0</v>
      </c>
      <c r="V222" s="108">
        <v>0</v>
      </c>
      <c r="W222" s="108">
        <v>0</v>
      </c>
      <c r="X222" s="108">
        <v>0</v>
      </c>
      <c r="Y222" s="108">
        <v>0</v>
      </c>
      <c r="Z222" s="108">
        <v>0</v>
      </c>
      <c r="AA222" s="108">
        <v>0</v>
      </c>
      <c r="AB222" s="108">
        <v>0</v>
      </c>
      <c r="AC222" s="108">
        <v>0</v>
      </c>
      <c r="AD222" s="108">
        <v>0</v>
      </c>
      <c r="AE222" s="108">
        <v>0</v>
      </c>
      <c r="AF222" s="108">
        <v>0</v>
      </c>
      <c r="AG222" s="108">
        <v>0</v>
      </c>
      <c r="AH222" s="108">
        <v>0</v>
      </c>
      <c r="AI222" s="108">
        <v>0</v>
      </c>
      <c r="AJ222" s="108">
        <v>0</v>
      </c>
      <c r="AK222" s="108">
        <v>0</v>
      </c>
      <c r="AL222" s="108">
        <v>0</v>
      </c>
      <c r="AM222" s="108">
        <v>0</v>
      </c>
      <c r="AN222" s="108">
        <v>0</v>
      </c>
      <c r="AO222" s="108">
        <v>0</v>
      </c>
      <c r="AP222" s="108">
        <v>0</v>
      </c>
      <c r="AQ222" s="108">
        <v>0</v>
      </c>
      <c r="AR222" s="108">
        <v>0</v>
      </c>
      <c r="AS222" s="108">
        <v>0</v>
      </c>
      <c r="AT222" s="108">
        <v>0</v>
      </c>
      <c r="AU222" s="108">
        <v>0</v>
      </c>
      <c r="AV222" s="108">
        <v>0</v>
      </c>
      <c r="AW222" s="108">
        <v>0</v>
      </c>
      <c r="AX222" s="108">
        <v>0</v>
      </c>
      <c r="AY222" s="108">
        <v>0</v>
      </c>
    </row>
    <row r="223" spans="1:51">
      <c r="A223" s="107"/>
      <c r="B223" s="117">
        <v>15</v>
      </c>
      <c r="C223" s="104">
        <v>0</v>
      </c>
      <c r="D223" s="108">
        <v>0</v>
      </c>
      <c r="E223" s="108">
        <v>0</v>
      </c>
      <c r="F223" s="108">
        <v>0</v>
      </c>
      <c r="G223" s="108">
        <v>0</v>
      </c>
      <c r="H223" s="108">
        <v>0</v>
      </c>
      <c r="I223" s="108">
        <v>0</v>
      </c>
      <c r="J223" s="108">
        <v>0</v>
      </c>
      <c r="K223" s="108">
        <v>0</v>
      </c>
      <c r="L223" s="108">
        <v>0</v>
      </c>
      <c r="M223" s="108">
        <v>0</v>
      </c>
      <c r="N223" s="108">
        <v>0</v>
      </c>
      <c r="O223" s="108">
        <v>0</v>
      </c>
      <c r="P223" s="108">
        <v>0</v>
      </c>
      <c r="Q223" s="108">
        <v>0</v>
      </c>
      <c r="R223" s="108">
        <v>0</v>
      </c>
      <c r="S223" s="108">
        <v>0</v>
      </c>
      <c r="T223" s="108">
        <v>0</v>
      </c>
      <c r="U223" s="108">
        <v>0</v>
      </c>
      <c r="V223" s="108">
        <v>0</v>
      </c>
      <c r="W223" s="108">
        <v>0</v>
      </c>
      <c r="X223" s="108">
        <v>0</v>
      </c>
      <c r="Y223" s="108">
        <v>0</v>
      </c>
      <c r="Z223" s="108">
        <v>0</v>
      </c>
      <c r="AA223" s="108">
        <v>0</v>
      </c>
      <c r="AB223" s="108">
        <v>0</v>
      </c>
      <c r="AC223" s="108">
        <v>0</v>
      </c>
      <c r="AD223" s="108">
        <v>0</v>
      </c>
      <c r="AE223" s="108">
        <v>0</v>
      </c>
      <c r="AF223" s="108">
        <v>0</v>
      </c>
      <c r="AG223" s="108">
        <v>0</v>
      </c>
      <c r="AH223" s="108">
        <v>0</v>
      </c>
      <c r="AI223" s="108">
        <v>0</v>
      </c>
      <c r="AJ223" s="108">
        <v>0</v>
      </c>
      <c r="AK223" s="108">
        <v>0</v>
      </c>
      <c r="AL223" s="108">
        <v>0</v>
      </c>
      <c r="AM223" s="108">
        <v>0</v>
      </c>
      <c r="AN223" s="108">
        <v>0</v>
      </c>
      <c r="AO223" s="108">
        <v>0</v>
      </c>
      <c r="AP223" s="108">
        <v>0</v>
      </c>
      <c r="AQ223" s="108">
        <v>0</v>
      </c>
      <c r="AR223" s="108">
        <v>0</v>
      </c>
      <c r="AS223" s="108">
        <v>0</v>
      </c>
      <c r="AT223" s="108">
        <v>0</v>
      </c>
      <c r="AU223" s="108">
        <v>0</v>
      </c>
      <c r="AV223" s="108">
        <v>0</v>
      </c>
      <c r="AW223" s="108">
        <v>0</v>
      </c>
      <c r="AX223" s="108">
        <v>0</v>
      </c>
      <c r="AY223" s="108">
        <v>0</v>
      </c>
    </row>
    <row r="224" spans="1:51">
      <c r="A224" s="107"/>
      <c r="B224" s="117">
        <v>16</v>
      </c>
      <c r="C224" s="104">
        <v>0</v>
      </c>
      <c r="D224" s="108">
        <v>0</v>
      </c>
      <c r="E224" s="108">
        <v>0</v>
      </c>
      <c r="F224" s="108">
        <v>0</v>
      </c>
      <c r="G224" s="108">
        <v>0</v>
      </c>
      <c r="H224" s="108">
        <v>0</v>
      </c>
      <c r="I224" s="108">
        <v>0</v>
      </c>
      <c r="J224" s="108">
        <v>0</v>
      </c>
      <c r="K224" s="108">
        <v>0</v>
      </c>
      <c r="L224" s="108">
        <v>0</v>
      </c>
      <c r="M224" s="108">
        <v>0</v>
      </c>
      <c r="N224" s="108">
        <v>0</v>
      </c>
      <c r="O224" s="108">
        <v>0</v>
      </c>
      <c r="P224" s="108">
        <v>0</v>
      </c>
      <c r="Q224" s="108">
        <v>0</v>
      </c>
      <c r="R224" s="108">
        <v>0</v>
      </c>
      <c r="S224" s="108">
        <v>0</v>
      </c>
      <c r="T224" s="108">
        <v>0</v>
      </c>
      <c r="U224" s="108">
        <v>0</v>
      </c>
      <c r="V224" s="108">
        <v>0</v>
      </c>
      <c r="W224" s="108">
        <v>0</v>
      </c>
      <c r="X224" s="108">
        <v>0</v>
      </c>
      <c r="Y224" s="108">
        <v>0</v>
      </c>
      <c r="Z224" s="108">
        <v>0</v>
      </c>
      <c r="AA224" s="108">
        <v>0</v>
      </c>
      <c r="AB224" s="108">
        <v>0</v>
      </c>
      <c r="AC224" s="108">
        <v>0</v>
      </c>
      <c r="AD224" s="108">
        <v>0</v>
      </c>
      <c r="AE224" s="108">
        <v>0</v>
      </c>
      <c r="AF224" s="108">
        <v>0</v>
      </c>
      <c r="AG224" s="108">
        <v>0</v>
      </c>
      <c r="AH224" s="108">
        <v>0</v>
      </c>
      <c r="AI224" s="108">
        <v>0</v>
      </c>
      <c r="AJ224" s="108">
        <v>0</v>
      </c>
      <c r="AK224" s="108">
        <v>0</v>
      </c>
      <c r="AL224" s="108">
        <v>0</v>
      </c>
      <c r="AM224" s="108">
        <v>0</v>
      </c>
      <c r="AN224" s="108">
        <v>0</v>
      </c>
      <c r="AO224" s="108">
        <v>0</v>
      </c>
      <c r="AP224" s="108">
        <v>0</v>
      </c>
      <c r="AQ224" s="108">
        <v>0</v>
      </c>
      <c r="AR224" s="108">
        <v>0</v>
      </c>
      <c r="AS224" s="108">
        <v>0</v>
      </c>
      <c r="AT224" s="108">
        <v>0</v>
      </c>
      <c r="AU224" s="108">
        <v>0</v>
      </c>
      <c r="AV224" s="108">
        <v>0</v>
      </c>
      <c r="AW224" s="108">
        <v>0</v>
      </c>
      <c r="AX224" s="108">
        <v>0</v>
      </c>
      <c r="AY224" s="108">
        <v>0</v>
      </c>
    </row>
    <row r="225" spans="1:51">
      <c r="A225" s="107"/>
      <c r="B225" s="117">
        <v>17</v>
      </c>
      <c r="C225" s="104">
        <v>0</v>
      </c>
      <c r="D225" s="108">
        <v>0</v>
      </c>
      <c r="E225" s="108">
        <v>0</v>
      </c>
      <c r="F225" s="108">
        <v>0</v>
      </c>
      <c r="G225" s="108">
        <v>0</v>
      </c>
      <c r="H225" s="108">
        <v>0</v>
      </c>
      <c r="I225" s="108">
        <v>0</v>
      </c>
      <c r="J225" s="108">
        <v>0</v>
      </c>
      <c r="K225" s="108">
        <v>0</v>
      </c>
      <c r="L225" s="108">
        <v>0</v>
      </c>
      <c r="M225" s="108">
        <v>0</v>
      </c>
      <c r="N225" s="108">
        <v>0</v>
      </c>
      <c r="O225" s="108">
        <v>0</v>
      </c>
      <c r="P225" s="108">
        <v>0</v>
      </c>
      <c r="Q225" s="108">
        <v>0</v>
      </c>
      <c r="R225" s="108">
        <v>0</v>
      </c>
      <c r="S225" s="108">
        <v>0</v>
      </c>
      <c r="T225" s="108">
        <v>0</v>
      </c>
      <c r="U225" s="108">
        <v>0</v>
      </c>
      <c r="V225" s="108">
        <v>0</v>
      </c>
      <c r="W225" s="108">
        <v>0</v>
      </c>
      <c r="X225" s="108">
        <v>0</v>
      </c>
      <c r="Y225" s="108">
        <v>0</v>
      </c>
      <c r="Z225" s="108">
        <v>0</v>
      </c>
      <c r="AA225" s="108">
        <v>0</v>
      </c>
      <c r="AB225" s="108">
        <v>0</v>
      </c>
      <c r="AC225" s="108">
        <v>0</v>
      </c>
      <c r="AD225" s="108">
        <v>0</v>
      </c>
      <c r="AE225" s="108">
        <v>0</v>
      </c>
      <c r="AF225" s="108">
        <v>0</v>
      </c>
      <c r="AG225" s="108">
        <v>0</v>
      </c>
      <c r="AH225" s="108">
        <v>0</v>
      </c>
      <c r="AI225" s="108">
        <v>0</v>
      </c>
      <c r="AJ225" s="108">
        <v>0</v>
      </c>
      <c r="AK225" s="108">
        <v>0</v>
      </c>
      <c r="AL225" s="108">
        <v>0</v>
      </c>
      <c r="AM225" s="108">
        <v>0</v>
      </c>
      <c r="AN225" s="108">
        <v>0</v>
      </c>
      <c r="AO225" s="108">
        <v>0</v>
      </c>
      <c r="AP225" s="108">
        <v>0</v>
      </c>
      <c r="AQ225" s="108">
        <v>0</v>
      </c>
      <c r="AR225" s="108">
        <v>0</v>
      </c>
      <c r="AS225" s="108">
        <v>0</v>
      </c>
      <c r="AT225" s="108">
        <v>0</v>
      </c>
      <c r="AU225" s="108">
        <v>0</v>
      </c>
      <c r="AV225" s="108">
        <v>0</v>
      </c>
      <c r="AW225" s="108">
        <v>0</v>
      </c>
      <c r="AX225" s="108">
        <v>0</v>
      </c>
      <c r="AY225" s="108">
        <v>0</v>
      </c>
    </row>
    <row r="226" spans="1:51">
      <c r="A226" s="107"/>
      <c r="B226" s="117">
        <v>18</v>
      </c>
      <c r="C226" s="104">
        <v>0</v>
      </c>
      <c r="D226" s="108">
        <v>0</v>
      </c>
      <c r="E226" s="108">
        <v>0</v>
      </c>
      <c r="F226" s="108">
        <v>0</v>
      </c>
      <c r="G226" s="108">
        <v>0</v>
      </c>
      <c r="H226" s="108">
        <v>0</v>
      </c>
      <c r="I226" s="108">
        <v>0</v>
      </c>
      <c r="J226" s="108">
        <v>0</v>
      </c>
      <c r="K226" s="108">
        <v>0</v>
      </c>
      <c r="L226" s="108">
        <v>0</v>
      </c>
      <c r="M226" s="108">
        <v>0</v>
      </c>
      <c r="N226" s="108">
        <v>0</v>
      </c>
      <c r="O226" s="108">
        <v>0</v>
      </c>
      <c r="P226" s="108">
        <v>0</v>
      </c>
      <c r="Q226" s="108">
        <v>0</v>
      </c>
      <c r="R226" s="108">
        <v>0</v>
      </c>
      <c r="S226" s="108">
        <v>0</v>
      </c>
      <c r="T226" s="108">
        <v>0</v>
      </c>
      <c r="U226" s="108">
        <v>0</v>
      </c>
      <c r="V226" s="108">
        <v>0</v>
      </c>
      <c r="W226" s="108">
        <v>0</v>
      </c>
      <c r="X226" s="108">
        <v>0</v>
      </c>
      <c r="Y226" s="108">
        <v>0</v>
      </c>
      <c r="Z226" s="108">
        <v>0</v>
      </c>
      <c r="AA226" s="108">
        <v>0</v>
      </c>
      <c r="AB226" s="108">
        <v>0</v>
      </c>
      <c r="AC226" s="108">
        <v>0</v>
      </c>
      <c r="AD226" s="108">
        <v>0</v>
      </c>
      <c r="AE226" s="108">
        <v>0</v>
      </c>
      <c r="AF226" s="108">
        <v>0</v>
      </c>
      <c r="AG226" s="108">
        <v>0</v>
      </c>
      <c r="AH226" s="108">
        <v>0</v>
      </c>
      <c r="AI226" s="108">
        <v>0</v>
      </c>
      <c r="AJ226" s="108">
        <v>0</v>
      </c>
      <c r="AK226" s="108">
        <v>0</v>
      </c>
      <c r="AL226" s="108">
        <v>0</v>
      </c>
      <c r="AM226" s="108">
        <v>0</v>
      </c>
      <c r="AN226" s="108">
        <v>0</v>
      </c>
      <c r="AO226" s="108">
        <v>0</v>
      </c>
      <c r="AP226" s="108">
        <v>0</v>
      </c>
      <c r="AQ226" s="108">
        <v>0</v>
      </c>
      <c r="AR226" s="108">
        <v>0</v>
      </c>
      <c r="AS226" s="108">
        <v>0</v>
      </c>
      <c r="AT226" s="108">
        <v>0</v>
      </c>
      <c r="AU226" s="108">
        <v>0</v>
      </c>
      <c r="AV226" s="108">
        <v>0</v>
      </c>
      <c r="AW226" s="108">
        <v>0</v>
      </c>
      <c r="AX226" s="108">
        <v>0</v>
      </c>
      <c r="AY226" s="108">
        <v>0</v>
      </c>
    </row>
    <row r="227" spans="1:51">
      <c r="A227" s="107"/>
      <c r="B227" s="117">
        <v>19</v>
      </c>
      <c r="C227" s="104">
        <v>0</v>
      </c>
      <c r="D227" s="108">
        <v>0</v>
      </c>
      <c r="E227" s="108">
        <v>0</v>
      </c>
      <c r="F227" s="108">
        <v>0</v>
      </c>
      <c r="G227" s="108">
        <v>0</v>
      </c>
      <c r="H227" s="108">
        <v>0</v>
      </c>
      <c r="I227" s="108">
        <v>0</v>
      </c>
      <c r="J227" s="108">
        <v>0</v>
      </c>
      <c r="K227" s="108">
        <v>0</v>
      </c>
      <c r="L227" s="108">
        <v>0</v>
      </c>
      <c r="M227" s="108">
        <v>0</v>
      </c>
      <c r="N227" s="108">
        <v>0</v>
      </c>
      <c r="O227" s="108">
        <v>0</v>
      </c>
      <c r="P227" s="108">
        <v>0</v>
      </c>
      <c r="Q227" s="108">
        <v>0</v>
      </c>
      <c r="R227" s="108">
        <v>0</v>
      </c>
      <c r="S227" s="108">
        <v>0</v>
      </c>
      <c r="T227" s="108">
        <v>0</v>
      </c>
      <c r="U227" s="108">
        <v>0</v>
      </c>
      <c r="V227" s="108">
        <v>0</v>
      </c>
      <c r="W227" s="108">
        <v>0</v>
      </c>
      <c r="X227" s="108">
        <v>0</v>
      </c>
      <c r="Y227" s="108">
        <v>0</v>
      </c>
      <c r="Z227" s="108">
        <v>0</v>
      </c>
      <c r="AA227" s="108">
        <v>0</v>
      </c>
      <c r="AB227" s="108">
        <v>0</v>
      </c>
      <c r="AC227" s="108">
        <v>0</v>
      </c>
      <c r="AD227" s="108">
        <v>0</v>
      </c>
      <c r="AE227" s="108">
        <v>0</v>
      </c>
      <c r="AF227" s="108">
        <v>0</v>
      </c>
      <c r="AG227" s="108">
        <v>0</v>
      </c>
      <c r="AH227" s="108">
        <v>0</v>
      </c>
      <c r="AI227" s="108">
        <v>0</v>
      </c>
      <c r="AJ227" s="108">
        <v>0</v>
      </c>
      <c r="AK227" s="108">
        <v>0</v>
      </c>
      <c r="AL227" s="108">
        <v>0</v>
      </c>
      <c r="AM227" s="108">
        <v>0</v>
      </c>
      <c r="AN227" s="108">
        <v>0</v>
      </c>
      <c r="AO227" s="108">
        <v>0</v>
      </c>
      <c r="AP227" s="108">
        <v>0</v>
      </c>
      <c r="AQ227" s="108">
        <v>0</v>
      </c>
      <c r="AR227" s="108">
        <v>0</v>
      </c>
      <c r="AS227" s="108">
        <v>0</v>
      </c>
      <c r="AT227" s="108">
        <v>0</v>
      </c>
      <c r="AU227" s="108">
        <v>0</v>
      </c>
      <c r="AV227" s="108">
        <v>0</v>
      </c>
      <c r="AW227" s="108">
        <v>0</v>
      </c>
      <c r="AX227" s="108">
        <v>0</v>
      </c>
      <c r="AY227" s="108">
        <v>0</v>
      </c>
    </row>
    <row r="228" spans="1:51">
      <c r="A228" s="107"/>
      <c r="B228" s="117">
        <v>20</v>
      </c>
      <c r="C228" s="104">
        <v>0</v>
      </c>
      <c r="D228" s="108">
        <v>0</v>
      </c>
      <c r="E228" s="108">
        <v>0</v>
      </c>
      <c r="F228" s="108">
        <v>0</v>
      </c>
      <c r="G228" s="108">
        <v>0</v>
      </c>
      <c r="H228" s="108">
        <v>0</v>
      </c>
      <c r="I228" s="108">
        <v>0</v>
      </c>
      <c r="J228" s="108">
        <v>0</v>
      </c>
      <c r="K228" s="108">
        <v>0</v>
      </c>
      <c r="L228" s="108">
        <v>0</v>
      </c>
      <c r="M228" s="108">
        <v>0</v>
      </c>
      <c r="N228" s="108">
        <v>0</v>
      </c>
      <c r="O228" s="108">
        <v>0</v>
      </c>
      <c r="P228" s="108">
        <v>0</v>
      </c>
      <c r="Q228" s="108">
        <v>0</v>
      </c>
      <c r="R228" s="108">
        <v>0</v>
      </c>
      <c r="S228" s="108">
        <v>0</v>
      </c>
      <c r="T228" s="108">
        <v>0</v>
      </c>
      <c r="U228" s="108">
        <v>0</v>
      </c>
      <c r="V228" s="108">
        <v>0</v>
      </c>
      <c r="W228" s="108">
        <v>0</v>
      </c>
      <c r="X228" s="108">
        <v>0</v>
      </c>
      <c r="Y228" s="108">
        <v>0</v>
      </c>
      <c r="Z228" s="108">
        <v>0</v>
      </c>
      <c r="AA228" s="108">
        <v>0</v>
      </c>
      <c r="AB228" s="108">
        <v>0</v>
      </c>
      <c r="AC228" s="108">
        <v>0</v>
      </c>
      <c r="AD228" s="108">
        <v>0</v>
      </c>
      <c r="AE228" s="108">
        <v>0</v>
      </c>
      <c r="AF228" s="108">
        <v>0</v>
      </c>
      <c r="AG228" s="108">
        <v>0</v>
      </c>
      <c r="AH228" s="108">
        <v>0</v>
      </c>
      <c r="AI228" s="108">
        <v>0</v>
      </c>
      <c r="AJ228" s="108">
        <v>0</v>
      </c>
      <c r="AK228" s="108">
        <v>0</v>
      </c>
      <c r="AL228" s="108">
        <v>0</v>
      </c>
      <c r="AM228" s="108">
        <v>0</v>
      </c>
      <c r="AN228" s="108">
        <v>0</v>
      </c>
      <c r="AO228" s="108">
        <v>0</v>
      </c>
      <c r="AP228" s="108">
        <v>0</v>
      </c>
      <c r="AQ228" s="108">
        <v>0</v>
      </c>
      <c r="AR228" s="108">
        <v>0</v>
      </c>
      <c r="AS228" s="108">
        <v>0</v>
      </c>
      <c r="AT228" s="108">
        <v>0</v>
      </c>
      <c r="AU228" s="108">
        <v>0</v>
      </c>
      <c r="AV228" s="108">
        <v>0</v>
      </c>
      <c r="AW228" s="108">
        <v>0</v>
      </c>
      <c r="AX228" s="108">
        <v>0</v>
      </c>
      <c r="AY228" s="108">
        <v>0</v>
      </c>
    </row>
    <row r="229" spans="1:51">
      <c r="A229" s="107"/>
      <c r="B229" s="117">
        <v>21</v>
      </c>
      <c r="C229" s="104">
        <v>0</v>
      </c>
      <c r="D229" s="108">
        <v>0</v>
      </c>
      <c r="E229" s="108">
        <v>0</v>
      </c>
      <c r="F229" s="108">
        <v>0</v>
      </c>
      <c r="G229" s="108">
        <v>0</v>
      </c>
      <c r="H229" s="108">
        <v>0</v>
      </c>
      <c r="I229" s="108">
        <v>0</v>
      </c>
      <c r="J229" s="108">
        <v>0</v>
      </c>
      <c r="K229" s="108">
        <v>0</v>
      </c>
      <c r="L229" s="108">
        <v>0</v>
      </c>
      <c r="M229" s="108">
        <v>0</v>
      </c>
      <c r="N229" s="108">
        <v>0</v>
      </c>
      <c r="O229" s="108">
        <v>0</v>
      </c>
      <c r="P229" s="108">
        <v>0</v>
      </c>
      <c r="Q229" s="108">
        <v>0</v>
      </c>
      <c r="R229" s="108">
        <v>0</v>
      </c>
      <c r="S229" s="108">
        <v>0</v>
      </c>
      <c r="T229" s="108">
        <v>0</v>
      </c>
      <c r="U229" s="108">
        <v>0</v>
      </c>
      <c r="V229" s="108">
        <v>0</v>
      </c>
      <c r="W229" s="108">
        <v>0</v>
      </c>
      <c r="X229" s="108">
        <v>0</v>
      </c>
      <c r="Y229" s="108">
        <v>0</v>
      </c>
      <c r="Z229" s="108">
        <v>0</v>
      </c>
      <c r="AA229" s="108">
        <v>0</v>
      </c>
      <c r="AB229" s="108">
        <v>0</v>
      </c>
      <c r="AC229" s="108">
        <v>0</v>
      </c>
      <c r="AD229" s="108">
        <v>0</v>
      </c>
      <c r="AE229" s="108">
        <v>0</v>
      </c>
      <c r="AF229" s="108">
        <v>0</v>
      </c>
      <c r="AG229" s="108">
        <v>0</v>
      </c>
      <c r="AH229" s="108">
        <v>0</v>
      </c>
      <c r="AI229" s="108">
        <v>0</v>
      </c>
      <c r="AJ229" s="108">
        <v>0</v>
      </c>
      <c r="AK229" s="108">
        <v>0</v>
      </c>
      <c r="AL229" s="108">
        <v>0</v>
      </c>
      <c r="AM229" s="108">
        <v>0</v>
      </c>
      <c r="AN229" s="108">
        <v>0</v>
      </c>
      <c r="AO229" s="108">
        <v>0</v>
      </c>
      <c r="AP229" s="108">
        <v>0</v>
      </c>
      <c r="AQ229" s="108">
        <v>0</v>
      </c>
      <c r="AR229" s="108">
        <v>0</v>
      </c>
      <c r="AS229" s="108">
        <v>0</v>
      </c>
      <c r="AT229" s="108">
        <v>0</v>
      </c>
      <c r="AU229" s="108">
        <v>0</v>
      </c>
      <c r="AV229" s="108">
        <v>0</v>
      </c>
      <c r="AW229" s="108">
        <v>0</v>
      </c>
      <c r="AX229" s="108">
        <v>0</v>
      </c>
      <c r="AY229" s="108">
        <v>0</v>
      </c>
    </row>
    <row r="230" spans="1:51">
      <c r="A230" s="107"/>
      <c r="B230" s="117">
        <v>22</v>
      </c>
      <c r="C230" s="104">
        <v>0</v>
      </c>
      <c r="D230" s="108">
        <v>0</v>
      </c>
      <c r="E230" s="108">
        <v>0</v>
      </c>
      <c r="F230" s="108">
        <v>0</v>
      </c>
      <c r="G230" s="108">
        <v>0</v>
      </c>
      <c r="H230" s="108">
        <v>0</v>
      </c>
      <c r="I230" s="108">
        <v>0</v>
      </c>
      <c r="J230" s="108">
        <v>0</v>
      </c>
      <c r="K230" s="108">
        <v>0</v>
      </c>
      <c r="L230" s="108">
        <v>0</v>
      </c>
      <c r="M230" s="108">
        <v>0</v>
      </c>
      <c r="N230" s="108">
        <v>0</v>
      </c>
      <c r="O230" s="108">
        <v>0</v>
      </c>
      <c r="P230" s="108">
        <v>0</v>
      </c>
      <c r="Q230" s="108">
        <v>0</v>
      </c>
      <c r="R230" s="108">
        <v>0</v>
      </c>
      <c r="S230" s="108">
        <v>0</v>
      </c>
      <c r="T230" s="108">
        <v>0</v>
      </c>
      <c r="U230" s="108">
        <v>0</v>
      </c>
      <c r="V230" s="108">
        <v>0</v>
      </c>
      <c r="W230" s="108">
        <v>0</v>
      </c>
      <c r="X230" s="108">
        <v>0</v>
      </c>
      <c r="Y230" s="108">
        <v>0</v>
      </c>
      <c r="Z230" s="108">
        <v>0</v>
      </c>
      <c r="AA230" s="108">
        <v>0</v>
      </c>
      <c r="AB230" s="108">
        <v>0</v>
      </c>
      <c r="AC230" s="108">
        <v>0</v>
      </c>
      <c r="AD230" s="108">
        <v>0</v>
      </c>
      <c r="AE230" s="108">
        <v>0</v>
      </c>
      <c r="AF230" s="108">
        <v>0</v>
      </c>
      <c r="AG230" s="108">
        <v>0</v>
      </c>
      <c r="AH230" s="108">
        <v>0</v>
      </c>
      <c r="AI230" s="108">
        <v>0</v>
      </c>
      <c r="AJ230" s="108">
        <v>0</v>
      </c>
      <c r="AK230" s="108">
        <v>0</v>
      </c>
      <c r="AL230" s="108">
        <v>0</v>
      </c>
      <c r="AM230" s="108">
        <v>0</v>
      </c>
      <c r="AN230" s="108">
        <v>0</v>
      </c>
      <c r="AO230" s="108">
        <v>0</v>
      </c>
      <c r="AP230" s="108">
        <v>0</v>
      </c>
      <c r="AQ230" s="108">
        <v>0</v>
      </c>
      <c r="AR230" s="108">
        <v>0</v>
      </c>
      <c r="AS230" s="108">
        <v>0</v>
      </c>
      <c r="AT230" s="108">
        <v>0</v>
      </c>
      <c r="AU230" s="108">
        <v>0</v>
      </c>
      <c r="AV230" s="108">
        <v>0</v>
      </c>
      <c r="AW230" s="108">
        <v>0</v>
      </c>
      <c r="AX230" s="108">
        <v>0</v>
      </c>
      <c r="AY230" s="108">
        <v>0</v>
      </c>
    </row>
    <row r="231" spans="1:51">
      <c r="A231" s="107"/>
      <c r="B231" s="117">
        <v>23</v>
      </c>
      <c r="C231" s="104">
        <v>0</v>
      </c>
      <c r="D231" s="108">
        <v>0</v>
      </c>
      <c r="E231" s="108">
        <v>0</v>
      </c>
      <c r="F231" s="108">
        <v>0</v>
      </c>
      <c r="G231" s="108">
        <v>0</v>
      </c>
      <c r="H231" s="108">
        <v>0</v>
      </c>
      <c r="I231" s="108">
        <v>0</v>
      </c>
      <c r="J231" s="108">
        <v>0</v>
      </c>
      <c r="K231" s="108">
        <v>0</v>
      </c>
      <c r="L231" s="108">
        <v>0</v>
      </c>
      <c r="M231" s="108">
        <v>0</v>
      </c>
      <c r="N231" s="108">
        <v>0</v>
      </c>
      <c r="O231" s="108">
        <v>0</v>
      </c>
      <c r="P231" s="108">
        <v>0</v>
      </c>
      <c r="Q231" s="108">
        <v>0</v>
      </c>
      <c r="R231" s="108">
        <v>0</v>
      </c>
      <c r="S231" s="108">
        <v>0</v>
      </c>
      <c r="T231" s="108">
        <v>0</v>
      </c>
      <c r="U231" s="108">
        <v>0</v>
      </c>
      <c r="V231" s="108">
        <v>0</v>
      </c>
      <c r="W231" s="108">
        <v>0</v>
      </c>
      <c r="X231" s="108">
        <v>0</v>
      </c>
      <c r="Y231" s="108">
        <v>0</v>
      </c>
      <c r="Z231" s="108">
        <v>0</v>
      </c>
      <c r="AA231" s="108">
        <v>0</v>
      </c>
      <c r="AB231" s="108">
        <v>0</v>
      </c>
      <c r="AC231" s="108">
        <v>0</v>
      </c>
      <c r="AD231" s="108">
        <v>0</v>
      </c>
      <c r="AE231" s="108">
        <v>0</v>
      </c>
      <c r="AF231" s="108">
        <v>0</v>
      </c>
      <c r="AG231" s="108">
        <v>0</v>
      </c>
      <c r="AH231" s="108">
        <v>0</v>
      </c>
      <c r="AI231" s="108">
        <v>0</v>
      </c>
      <c r="AJ231" s="108">
        <v>0</v>
      </c>
      <c r="AK231" s="108">
        <v>0</v>
      </c>
      <c r="AL231" s="108">
        <v>0</v>
      </c>
      <c r="AM231" s="108">
        <v>0</v>
      </c>
      <c r="AN231" s="108">
        <v>0</v>
      </c>
      <c r="AO231" s="108">
        <v>0</v>
      </c>
      <c r="AP231" s="108">
        <v>0</v>
      </c>
      <c r="AQ231" s="108">
        <v>0</v>
      </c>
      <c r="AR231" s="108">
        <v>0</v>
      </c>
      <c r="AS231" s="108">
        <v>0</v>
      </c>
      <c r="AT231" s="108">
        <v>0</v>
      </c>
      <c r="AU231" s="108">
        <v>0</v>
      </c>
      <c r="AV231" s="108">
        <v>0</v>
      </c>
      <c r="AW231" s="108">
        <v>0</v>
      </c>
      <c r="AX231" s="108">
        <v>0</v>
      </c>
      <c r="AY231" s="108">
        <v>0</v>
      </c>
    </row>
    <row r="232" spans="1:51">
      <c r="A232" s="107"/>
      <c r="B232" s="117">
        <v>24</v>
      </c>
      <c r="C232" s="104">
        <v>0</v>
      </c>
      <c r="D232" s="108">
        <v>0</v>
      </c>
      <c r="E232" s="108">
        <v>0</v>
      </c>
      <c r="F232" s="108">
        <v>0</v>
      </c>
      <c r="G232" s="108">
        <v>0</v>
      </c>
      <c r="H232" s="108">
        <v>0</v>
      </c>
      <c r="I232" s="108">
        <v>0</v>
      </c>
      <c r="J232" s="108">
        <v>0</v>
      </c>
      <c r="K232" s="108">
        <v>0</v>
      </c>
      <c r="L232" s="108">
        <v>0</v>
      </c>
      <c r="M232" s="108">
        <v>0</v>
      </c>
      <c r="N232" s="108">
        <v>0</v>
      </c>
      <c r="O232" s="108">
        <v>0</v>
      </c>
      <c r="P232" s="108">
        <v>0</v>
      </c>
      <c r="Q232" s="108">
        <v>0</v>
      </c>
      <c r="R232" s="108">
        <v>0</v>
      </c>
      <c r="S232" s="108">
        <v>0</v>
      </c>
      <c r="T232" s="108">
        <v>0</v>
      </c>
      <c r="U232" s="108">
        <v>0</v>
      </c>
      <c r="V232" s="108">
        <v>0</v>
      </c>
      <c r="W232" s="108">
        <v>0</v>
      </c>
      <c r="X232" s="108">
        <v>0</v>
      </c>
      <c r="Y232" s="108">
        <v>0</v>
      </c>
      <c r="Z232" s="108">
        <v>0</v>
      </c>
      <c r="AA232" s="108">
        <v>0</v>
      </c>
      <c r="AB232" s="108">
        <v>0</v>
      </c>
      <c r="AC232" s="108">
        <v>0</v>
      </c>
      <c r="AD232" s="108">
        <v>0</v>
      </c>
      <c r="AE232" s="108">
        <v>0</v>
      </c>
      <c r="AF232" s="108">
        <v>0</v>
      </c>
      <c r="AG232" s="108">
        <v>0</v>
      </c>
      <c r="AH232" s="108">
        <v>0</v>
      </c>
      <c r="AI232" s="108">
        <v>0</v>
      </c>
      <c r="AJ232" s="108">
        <v>0</v>
      </c>
      <c r="AK232" s="108">
        <v>0</v>
      </c>
      <c r="AL232" s="108">
        <v>0</v>
      </c>
      <c r="AM232" s="108">
        <v>0</v>
      </c>
      <c r="AN232" s="108">
        <v>0</v>
      </c>
      <c r="AO232" s="108">
        <v>0</v>
      </c>
      <c r="AP232" s="108">
        <v>0</v>
      </c>
      <c r="AQ232" s="108">
        <v>0</v>
      </c>
      <c r="AR232" s="108">
        <v>0</v>
      </c>
      <c r="AS232" s="108">
        <v>0</v>
      </c>
      <c r="AT232" s="108">
        <v>0</v>
      </c>
      <c r="AU232" s="108">
        <v>0</v>
      </c>
      <c r="AV232" s="108">
        <v>0</v>
      </c>
      <c r="AW232" s="108">
        <v>0</v>
      </c>
      <c r="AX232" s="108">
        <v>0</v>
      </c>
      <c r="AY232" s="108">
        <v>0</v>
      </c>
    </row>
    <row r="233" spans="1:51">
      <c r="A233" s="107"/>
      <c r="B233" s="124">
        <v>25</v>
      </c>
      <c r="C233" s="104">
        <v>0</v>
      </c>
      <c r="D233" s="108">
        <v>0</v>
      </c>
      <c r="E233" s="108">
        <v>0</v>
      </c>
      <c r="F233" s="108">
        <v>0</v>
      </c>
      <c r="G233" s="108">
        <v>0</v>
      </c>
      <c r="H233" s="108">
        <v>0</v>
      </c>
      <c r="I233" s="108">
        <v>0</v>
      </c>
      <c r="J233" s="108">
        <v>0</v>
      </c>
      <c r="K233" s="108">
        <v>0</v>
      </c>
      <c r="L233" s="108">
        <v>0</v>
      </c>
      <c r="M233" s="108">
        <v>0</v>
      </c>
      <c r="N233" s="108">
        <v>0</v>
      </c>
      <c r="O233" s="108">
        <v>0</v>
      </c>
      <c r="P233" s="108">
        <v>0</v>
      </c>
      <c r="Q233" s="108">
        <v>0</v>
      </c>
      <c r="R233" s="108">
        <v>0</v>
      </c>
      <c r="S233" s="108">
        <v>0</v>
      </c>
      <c r="T233" s="108">
        <v>0</v>
      </c>
      <c r="U233" s="108">
        <v>0</v>
      </c>
      <c r="V233" s="108">
        <v>0</v>
      </c>
      <c r="W233" s="108">
        <v>0</v>
      </c>
      <c r="X233" s="108">
        <v>0</v>
      </c>
      <c r="Y233" s="108">
        <v>0</v>
      </c>
      <c r="Z233" s="108">
        <v>0</v>
      </c>
      <c r="AA233" s="108">
        <v>0</v>
      </c>
      <c r="AB233" s="108">
        <v>0</v>
      </c>
      <c r="AC233" s="108">
        <v>0</v>
      </c>
      <c r="AD233" s="108">
        <v>0</v>
      </c>
      <c r="AE233" s="108">
        <v>0</v>
      </c>
      <c r="AF233" s="108">
        <v>0</v>
      </c>
      <c r="AG233" s="108">
        <v>0</v>
      </c>
      <c r="AH233" s="108">
        <v>0</v>
      </c>
      <c r="AI233" s="108">
        <v>0</v>
      </c>
      <c r="AJ233" s="108">
        <v>0</v>
      </c>
      <c r="AK233" s="108">
        <v>0</v>
      </c>
      <c r="AL233" s="108">
        <v>0</v>
      </c>
      <c r="AM233" s="108">
        <v>0</v>
      </c>
      <c r="AN233" s="108">
        <v>0</v>
      </c>
      <c r="AO233" s="108">
        <v>0</v>
      </c>
      <c r="AP233" s="108">
        <v>0</v>
      </c>
      <c r="AQ233" s="108">
        <v>0</v>
      </c>
      <c r="AR233" s="108">
        <v>0</v>
      </c>
      <c r="AS233" s="108">
        <v>0</v>
      </c>
      <c r="AT233" s="108">
        <v>0</v>
      </c>
      <c r="AU233" s="108">
        <v>0</v>
      </c>
      <c r="AV233" s="108">
        <v>0</v>
      </c>
      <c r="AW233" s="108">
        <v>0</v>
      </c>
      <c r="AX233" s="108">
        <v>0</v>
      </c>
      <c r="AY233" s="108">
        <v>0</v>
      </c>
    </row>
    <row r="234" spans="1:51">
      <c r="A234" s="107"/>
      <c r="B234" s="124">
        <v>26</v>
      </c>
      <c r="C234" s="104">
        <v>0</v>
      </c>
      <c r="D234" s="108">
        <v>0</v>
      </c>
      <c r="E234" s="108">
        <v>0</v>
      </c>
      <c r="F234" s="108">
        <v>0</v>
      </c>
      <c r="G234" s="108">
        <v>0</v>
      </c>
      <c r="H234" s="108">
        <v>0</v>
      </c>
      <c r="I234" s="108">
        <v>0</v>
      </c>
      <c r="J234" s="108">
        <v>0</v>
      </c>
      <c r="K234" s="108">
        <v>0</v>
      </c>
      <c r="L234" s="108">
        <v>0</v>
      </c>
      <c r="M234" s="108">
        <v>0</v>
      </c>
      <c r="N234" s="108">
        <v>0</v>
      </c>
      <c r="O234" s="108">
        <v>0</v>
      </c>
      <c r="P234" s="108">
        <v>0</v>
      </c>
      <c r="Q234" s="108">
        <v>0</v>
      </c>
      <c r="R234" s="108">
        <v>0</v>
      </c>
      <c r="S234" s="108">
        <v>0</v>
      </c>
      <c r="T234" s="108">
        <v>0</v>
      </c>
      <c r="U234" s="108">
        <v>0</v>
      </c>
      <c r="V234" s="108">
        <v>0</v>
      </c>
      <c r="W234" s="108">
        <v>0</v>
      </c>
      <c r="X234" s="108">
        <v>0</v>
      </c>
      <c r="Y234" s="108">
        <v>0</v>
      </c>
      <c r="Z234" s="108">
        <v>0</v>
      </c>
      <c r="AA234" s="108">
        <v>0</v>
      </c>
      <c r="AB234" s="108">
        <v>0</v>
      </c>
      <c r="AC234" s="108">
        <v>0</v>
      </c>
      <c r="AD234" s="108">
        <v>0</v>
      </c>
      <c r="AE234" s="108">
        <v>0</v>
      </c>
      <c r="AF234" s="108">
        <v>0</v>
      </c>
      <c r="AG234" s="108">
        <v>0</v>
      </c>
      <c r="AH234" s="108">
        <v>0</v>
      </c>
      <c r="AI234" s="108">
        <v>0</v>
      </c>
      <c r="AJ234" s="108">
        <v>0</v>
      </c>
      <c r="AK234" s="108">
        <v>0</v>
      </c>
      <c r="AL234" s="108">
        <v>0</v>
      </c>
      <c r="AM234" s="108">
        <v>0</v>
      </c>
      <c r="AN234" s="108">
        <v>0</v>
      </c>
      <c r="AO234" s="108">
        <v>0</v>
      </c>
      <c r="AP234" s="108">
        <v>0</v>
      </c>
      <c r="AQ234" s="108">
        <v>0</v>
      </c>
      <c r="AR234" s="108">
        <v>0</v>
      </c>
      <c r="AS234" s="108">
        <v>0</v>
      </c>
      <c r="AT234" s="108">
        <v>0</v>
      </c>
      <c r="AU234" s="108">
        <v>0</v>
      </c>
      <c r="AV234" s="108">
        <v>0</v>
      </c>
      <c r="AW234" s="108">
        <v>0</v>
      </c>
      <c r="AX234" s="108">
        <v>0</v>
      </c>
      <c r="AY234" s="108">
        <v>0</v>
      </c>
    </row>
    <row r="235" spans="1:51">
      <c r="A235" s="107"/>
      <c r="B235" s="124">
        <v>27</v>
      </c>
      <c r="C235" s="104">
        <v>0</v>
      </c>
      <c r="D235" s="108">
        <v>0</v>
      </c>
      <c r="E235" s="108">
        <v>0</v>
      </c>
      <c r="F235" s="108">
        <v>0</v>
      </c>
      <c r="G235" s="108">
        <v>0</v>
      </c>
      <c r="H235" s="108">
        <v>0</v>
      </c>
      <c r="I235" s="108">
        <v>0</v>
      </c>
      <c r="J235" s="108">
        <v>0</v>
      </c>
      <c r="K235" s="108">
        <v>0</v>
      </c>
      <c r="L235" s="108">
        <v>0</v>
      </c>
      <c r="M235" s="108">
        <v>0</v>
      </c>
      <c r="N235" s="108">
        <v>0</v>
      </c>
      <c r="O235" s="108">
        <v>0</v>
      </c>
      <c r="P235" s="108">
        <v>0</v>
      </c>
      <c r="Q235" s="108">
        <v>0</v>
      </c>
      <c r="R235" s="108">
        <v>0</v>
      </c>
      <c r="S235" s="108">
        <v>0</v>
      </c>
      <c r="T235" s="108">
        <v>0</v>
      </c>
      <c r="U235" s="108">
        <v>0</v>
      </c>
      <c r="V235" s="108">
        <v>0</v>
      </c>
      <c r="W235" s="108">
        <v>0</v>
      </c>
      <c r="X235" s="108">
        <v>0</v>
      </c>
      <c r="Y235" s="108">
        <v>0</v>
      </c>
      <c r="Z235" s="108">
        <v>0</v>
      </c>
      <c r="AA235" s="108">
        <v>0</v>
      </c>
      <c r="AB235" s="108">
        <v>0</v>
      </c>
      <c r="AC235" s="108">
        <v>0</v>
      </c>
      <c r="AD235" s="108">
        <v>0</v>
      </c>
      <c r="AE235" s="108">
        <v>0</v>
      </c>
      <c r="AF235" s="108">
        <v>0</v>
      </c>
      <c r="AG235" s="108">
        <v>0</v>
      </c>
      <c r="AH235" s="108">
        <v>0</v>
      </c>
      <c r="AI235" s="108">
        <v>0</v>
      </c>
      <c r="AJ235" s="108">
        <v>0</v>
      </c>
      <c r="AK235" s="108">
        <v>0</v>
      </c>
      <c r="AL235" s="108">
        <v>0</v>
      </c>
      <c r="AM235" s="108">
        <v>0</v>
      </c>
      <c r="AN235" s="108">
        <v>0</v>
      </c>
      <c r="AO235" s="108">
        <v>0</v>
      </c>
      <c r="AP235" s="108">
        <v>0</v>
      </c>
      <c r="AQ235" s="108">
        <v>0</v>
      </c>
      <c r="AR235" s="108">
        <v>0</v>
      </c>
      <c r="AS235" s="108">
        <v>0</v>
      </c>
      <c r="AT235" s="108">
        <v>0</v>
      </c>
      <c r="AU235" s="108">
        <v>0</v>
      </c>
      <c r="AV235" s="108">
        <v>0</v>
      </c>
      <c r="AW235" s="108">
        <v>0</v>
      </c>
      <c r="AX235" s="108">
        <v>0</v>
      </c>
      <c r="AY235" s="108">
        <v>0</v>
      </c>
    </row>
    <row r="236" spans="1:51">
      <c r="A236" s="107"/>
      <c r="B236" s="124">
        <v>28</v>
      </c>
      <c r="C236" s="104">
        <v>0</v>
      </c>
      <c r="D236" s="108">
        <v>0</v>
      </c>
      <c r="E236" s="108">
        <v>0</v>
      </c>
      <c r="F236" s="108">
        <v>0</v>
      </c>
      <c r="G236" s="108">
        <v>0</v>
      </c>
      <c r="H236" s="108">
        <v>0</v>
      </c>
      <c r="I236" s="108">
        <v>0</v>
      </c>
      <c r="J236" s="108">
        <v>0</v>
      </c>
      <c r="K236" s="108">
        <v>0</v>
      </c>
      <c r="L236" s="108">
        <v>0</v>
      </c>
      <c r="M236" s="108">
        <v>0</v>
      </c>
      <c r="N236" s="108">
        <v>0</v>
      </c>
      <c r="O236" s="108">
        <v>0</v>
      </c>
      <c r="P236" s="108">
        <v>0</v>
      </c>
      <c r="Q236" s="108">
        <v>0</v>
      </c>
      <c r="R236" s="108">
        <v>0</v>
      </c>
      <c r="S236" s="108">
        <v>0</v>
      </c>
      <c r="T236" s="108">
        <v>0</v>
      </c>
      <c r="U236" s="108">
        <v>0</v>
      </c>
      <c r="V236" s="108">
        <v>0</v>
      </c>
      <c r="W236" s="108">
        <v>0</v>
      </c>
      <c r="X236" s="108">
        <v>0</v>
      </c>
      <c r="Y236" s="108">
        <v>0</v>
      </c>
      <c r="Z236" s="108">
        <v>0</v>
      </c>
      <c r="AA236" s="108">
        <v>0</v>
      </c>
      <c r="AB236" s="108">
        <v>0</v>
      </c>
      <c r="AC236" s="108">
        <v>0</v>
      </c>
      <c r="AD236" s="108">
        <v>0</v>
      </c>
      <c r="AE236" s="108">
        <v>0</v>
      </c>
      <c r="AF236" s="108">
        <v>0</v>
      </c>
      <c r="AG236" s="108">
        <v>0</v>
      </c>
      <c r="AH236" s="108">
        <v>0</v>
      </c>
      <c r="AI236" s="108">
        <v>0</v>
      </c>
      <c r="AJ236" s="108">
        <v>0</v>
      </c>
      <c r="AK236" s="108">
        <v>0</v>
      </c>
      <c r="AL236" s="108">
        <v>0</v>
      </c>
      <c r="AM236" s="108">
        <v>0</v>
      </c>
      <c r="AN236" s="108">
        <v>0</v>
      </c>
      <c r="AO236" s="108">
        <v>0</v>
      </c>
      <c r="AP236" s="108">
        <v>0</v>
      </c>
      <c r="AQ236" s="108">
        <v>0</v>
      </c>
      <c r="AR236" s="108">
        <v>0</v>
      </c>
      <c r="AS236" s="108">
        <v>0</v>
      </c>
      <c r="AT236" s="108">
        <v>0</v>
      </c>
      <c r="AU236" s="108">
        <v>0</v>
      </c>
      <c r="AV236" s="108">
        <v>0</v>
      </c>
      <c r="AW236" s="108">
        <v>0</v>
      </c>
      <c r="AX236" s="108">
        <v>0</v>
      </c>
      <c r="AY236" s="108">
        <v>0</v>
      </c>
    </row>
    <row r="237" spans="1:51">
      <c r="A237" s="107"/>
      <c r="B237" s="124">
        <v>29</v>
      </c>
      <c r="C237" s="104">
        <v>0</v>
      </c>
      <c r="D237" s="108">
        <v>0</v>
      </c>
      <c r="E237" s="108">
        <v>0</v>
      </c>
      <c r="F237" s="108">
        <v>0</v>
      </c>
      <c r="G237" s="108">
        <v>0</v>
      </c>
      <c r="H237" s="108">
        <v>0</v>
      </c>
      <c r="I237" s="108">
        <v>0</v>
      </c>
      <c r="J237" s="108">
        <v>0</v>
      </c>
      <c r="K237" s="108">
        <v>0</v>
      </c>
      <c r="L237" s="108">
        <v>0</v>
      </c>
      <c r="M237" s="108">
        <v>0</v>
      </c>
      <c r="N237" s="108">
        <v>0</v>
      </c>
      <c r="O237" s="108">
        <v>0</v>
      </c>
      <c r="P237" s="108">
        <v>0</v>
      </c>
      <c r="Q237" s="108">
        <v>0</v>
      </c>
      <c r="R237" s="108">
        <v>0</v>
      </c>
      <c r="S237" s="108">
        <v>0</v>
      </c>
      <c r="T237" s="108">
        <v>0</v>
      </c>
      <c r="U237" s="108">
        <v>0</v>
      </c>
      <c r="V237" s="108">
        <v>0</v>
      </c>
      <c r="W237" s="108">
        <v>0</v>
      </c>
      <c r="X237" s="108">
        <v>0</v>
      </c>
      <c r="Y237" s="108">
        <v>0</v>
      </c>
      <c r="Z237" s="108">
        <v>0</v>
      </c>
      <c r="AA237" s="108">
        <v>0</v>
      </c>
      <c r="AB237" s="108">
        <v>0</v>
      </c>
      <c r="AC237" s="108">
        <v>0</v>
      </c>
      <c r="AD237" s="108">
        <v>0</v>
      </c>
      <c r="AE237" s="108">
        <v>0</v>
      </c>
      <c r="AF237" s="108">
        <v>0</v>
      </c>
      <c r="AG237" s="108">
        <v>0</v>
      </c>
      <c r="AH237" s="108">
        <v>0</v>
      </c>
      <c r="AI237" s="108">
        <v>0</v>
      </c>
      <c r="AJ237" s="108">
        <v>0</v>
      </c>
      <c r="AK237" s="108">
        <v>0</v>
      </c>
      <c r="AL237" s="108">
        <v>0</v>
      </c>
      <c r="AM237" s="108">
        <v>0</v>
      </c>
      <c r="AN237" s="108">
        <v>0</v>
      </c>
      <c r="AO237" s="108">
        <v>0</v>
      </c>
      <c r="AP237" s="108">
        <v>0</v>
      </c>
      <c r="AQ237" s="108">
        <v>0</v>
      </c>
      <c r="AR237" s="108">
        <v>0</v>
      </c>
      <c r="AS237" s="108">
        <v>0</v>
      </c>
      <c r="AT237" s="108">
        <v>0</v>
      </c>
      <c r="AU237" s="108">
        <v>0</v>
      </c>
      <c r="AV237" s="108">
        <v>0</v>
      </c>
      <c r="AW237" s="108">
        <v>0</v>
      </c>
      <c r="AX237" s="108">
        <v>0</v>
      </c>
      <c r="AY237" s="108">
        <v>0</v>
      </c>
    </row>
    <row r="238" spans="1:51">
      <c r="A238" s="107"/>
      <c r="B238" s="124">
        <v>30</v>
      </c>
      <c r="C238" s="104">
        <v>0</v>
      </c>
      <c r="D238" s="108">
        <v>0</v>
      </c>
      <c r="E238" s="108">
        <v>0</v>
      </c>
      <c r="F238" s="108">
        <v>0</v>
      </c>
      <c r="G238" s="108">
        <v>0</v>
      </c>
      <c r="H238" s="108">
        <v>0</v>
      </c>
      <c r="I238" s="108">
        <v>0</v>
      </c>
      <c r="J238" s="108">
        <v>0</v>
      </c>
      <c r="K238" s="108">
        <v>0</v>
      </c>
      <c r="L238" s="108">
        <v>0</v>
      </c>
      <c r="M238" s="108">
        <v>0</v>
      </c>
      <c r="N238" s="108">
        <v>0</v>
      </c>
      <c r="O238" s="108">
        <v>0</v>
      </c>
      <c r="P238" s="108">
        <v>0</v>
      </c>
      <c r="Q238" s="108">
        <v>0</v>
      </c>
      <c r="R238" s="108">
        <v>0</v>
      </c>
      <c r="S238" s="108">
        <v>0</v>
      </c>
      <c r="T238" s="108">
        <v>0</v>
      </c>
      <c r="U238" s="108">
        <v>0</v>
      </c>
      <c r="V238" s="108">
        <v>0</v>
      </c>
      <c r="W238" s="108">
        <v>0</v>
      </c>
      <c r="X238" s="108">
        <v>0</v>
      </c>
      <c r="Y238" s="108">
        <v>0</v>
      </c>
      <c r="Z238" s="108">
        <v>0</v>
      </c>
      <c r="AA238" s="108">
        <v>0</v>
      </c>
      <c r="AB238" s="108">
        <v>0</v>
      </c>
      <c r="AC238" s="108">
        <v>0</v>
      </c>
      <c r="AD238" s="108">
        <v>0</v>
      </c>
      <c r="AE238" s="108">
        <v>0</v>
      </c>
      <c r="AF238" s="108">
        <v>0</v>
      </c>
      <c r="AG238" s="108">
        <v>0</v>
      </c>
      <c r="AH238" s="108">
        <v>0</v>
      </c>
      <c r="AI238" s="108">
        <v>0</v>
      </c>
      <c r="AJ238" s="108">
        <v>0</v>
      </c>
      <c r="AK238" s="108">
        <v>0</v>
      </c>
      <c r="AL238" s="108">
        <v>0</v>
      </c>
      <c r="AM238" s="108">
        <v>0</v>
      </c>
      <c r="AN238" s="108">
        <v>0</v>
      </c>
      <c r="AO238" s="108">
        <v>0</v>
      </c>
      <c r="AP238" s="108">
        <v>0</v>
      </c>
      <c r="AQ238" s="108">
        <v>0</v>
      </c>
      <c r="AR238" s="108">
        <v>0</v>
      </c>
      <c r="AS238" s="108">
        <v>0</v>
      </c>
      <c r="AT238" s="108">
        <v>0</v>
      </c>
      <c r="AU238" s="108">
        <v>0</v>
      </c>
      <c r="AV238" s="108">
        <v>0</v>
      </c>
      <c r="AW238" s="108">
        <v>0</v>
      </c>
      <c r="AX238" s="108">
        <v>0</v>
      </c>
      <c r="AY238" s="108">
        <v>0</v>
      </c>
    </row>
    <row r="239" spans="1:51">
      <c r="A239" s="107"/>
      <c r="B239" s="124">
        <v>31</v>
      </c>
      <c r="C239" s="104">
        <v>0</v>
      </c>
      <c r="D239" s="108">
        <v>0</v>
      </c>
      <c r="E239" s="108">
        <v>0</v>
      </c>
      <c r="F239" s="108">
        <v>0</v>
      </c>
      <c r="G239" s="108">
        <v>0</v>
      </c>
      <c r="H239" s="108">
        <v>0</v>
      </c>
      <c r="I239" s="108">
        <v>0</v>
      </c>
      <c r="J239" s="108">
        <v>0</v>
      </c>
      <c r="K239" s="108">
        <v>0</v>
      </c>
      <c r="L239" s="108">
        <v>0</v>
      </c>
      <c r="M239" s="108">
        <v>0</v>
      </c>
      <c r="N239" s="108">
        <v>0</v>
      </c>
      <c r="O239" s="108">
        <v>0</v>
      </c>
      <c r="P239" s="108">
        <v>0</v>
      </c>
      <c r="Q239" s="108">
        <v>0</v>
      </c>
      <c r="R239" s="108">
        <v>0</v>
      </c>
      <c r="S239" s="108">
        <v>0</v>
      </c>
      <c r="T239" s="108">
        <v>0</v>
      </c>
      <c r="U239" s="108">
        <v>0</v>
      </c>
      <c r="V239" s="108">
        <v>0</v>
      </c>
      <c r="W239" s="108">
        <v>0</v>
      </c>
      <c r="X239" s="108">
        <v>0</v>
      </c>
      <c r="Y239" s="108">
        <v>0</v>
      </c>
      <c r="Z239" s="108">
        <v>0</v>
      </c>
      <c r="AA239" s="108">
        <v>0</v>
      </c>
      <c r="AB239" s="108">
        <v>0</v>
      </c>
      <c r="AC239" s="108">
        <v>0</v>
      </c>
      <c r="AD239" s="108">
        <v>0</v>
      </c>
      <c r="AE239" s="108">
        <v>0</v>
      </c>
      <c r="AF239" s="108">
        <v>0</v>
      </c>
      <c r="AG239" s="108">
        <v>0</v>
      </c>
      <c r="AH239" s="108">
        <v>0</v>
      </c>
      <c r="AI239" s="108">
        <v>0</v>
      </c>
      <c r="AJ239" s="108">
        <v>0</v>
      </c>
      <c r="AK239" s="108">
        <v>0</v>
      </c>
      <c r="AL239" s="108">
        <v>0</v>
      </c>
      <c r="AM239" s="108">
        <v>0</v>
      </c>
      <c r="AN239" s="108">
        <v>0</v>
      </c>
      <c r="AO239" s="108">
        <v>0</v>
      </c>
      <c r="AP239" s="108">
        <v>0</v>
      </c>
      <c r="AQ239" s="108">
        <v>0</v>
      </c>
      <c r="AR239" s="108">
        <v>0</v>
      </c>
      <c r="AS239" s="108">
        <v>0</v>
      </c>
      <c r="AT239" s="108">
        <v>0</v>
      </c>
      <c r="AU239" s="108">
        <v>0</v>
      </c>
      <c r="AV239" s="108">
        <v>0</v>
      </c>
      <c r="AW239" s="108">
        <v>0</v>
      </c>
      <c r="AX239" s="108">
        <v>0</v>
      </c>
      <c r="AY239" s="108">
        <v>0</v>
      </c>
    </row>
    <row r="240" spans="1:51">
      <c r="A240" s="107"/>
      <c r="B240" s="124">
        <v>32</v>
      </c>
      <c r="C240" s="104">
        <v>0</v>
      </c>
      <c r="D240" s="108">
        <v>0</v>
      </c>
      <c r="E240" s="108">
        <v>0</v>
      </c>
      <c r="F240" s="108">
        <v>0</v>
      </c>
      <c r="G240" s="108">
        <v>0</v>
      </c>
      <c r="H240" s="108">
        <v>0</v>
      </c>
      <c r="I240" s="108">
        <v>0</v>
      </c>
      <c r="J240" s="108">
        <v>0</v>
      </c>
      <c r="K240" s="108">
        <v>0</v>
      </c>
      <c r="L240" s="108">
        <v>0</v>
      </c>
      <c r="M240" s="108">
        <v>0</v>
      </c>
      <c r="N240" s="108">
        <v>0</v>
      </c>
      <c r="O240" s="108">
        <v>0</v>
      </c>
      <c r="P240" s="108">
        <v>0</v>
      </c>
      <c r="Q240" s="108">
        <v>0</v>
      </c>
      <c r="R240" s="108">
        <v>0</v>
      </c>
      <c r="S240" s="108">
        <v>0</v>
      </c>
      <c r="T240" s="108">
        <v>0</v>
      </c>
      <c r="U240" s="108">
        <v>0</v>
      </c>
      <c r="V240" s="108">
        <v>0</v>
      </c>
      <c r="W240" s="108">
        <v>0</v>
      </c>
      <c r="X240" s="108">
        <v>0</v>
      </c>
      <c r="Y240" s="108">
        <v>0</v>
      </c>
      <c r="Z240" s="108">
        <v>0</v>
      </c>
      <c r="AA240" s="108">
        <v>0</v>
      </c>
      <c r="AB240" s="108">
        <v>0</v>
      </c>
      <c r="AC240" s="108">
        <v>0</v>
      </c>
      <c r="AD240" s="108">
        <v>0</v>
      </c>
      <c r="AE240" s="108">
        <v>0</v>
      </c>
      <c r="AF240" s="108">
        <v>0</v>
      </c>
      <c r="AG240" s="108">
        <v>0</v>
      </c>
      <c r="AH240" s="108">
        <v>0</v>
      </c>
      <c r="AI240" s="108">
        <v>0</v>
      </c>
      <c r="AJ240" s="108">
        <v>0</v>
      </c>
      <c r="AK240" s="108">
        <v>0</v>
      </c>
      <c r="AL240" s="108">
        <v>0</v>
      </c>
      <c r="AM240" s="108">
        <v>0</v>
      </c>
      <c r="AN240" s="108">
        <v>0</v>
      </c>
      <c r="AO240" s="108">
        <v>0</v>
      </c>
      <c r="AP240" s="108">
        <v>0</v>
      </c>
      <c r="AQ240" s="108">
        <v>0</v>
      </c>
      <c r="AR240" s="108">
        <v>0</v>
      </c>
      <c r="AS240" s="108">
        <v>0</v>
      </c>
      <c r="AT240" s="108">
        <v>0</v>
      </c>
      <c r="AU240" s="108">
        <v>0</v>
      </c>
      <c r="AV240" s="108">
        <v>0</v>
      </c>
      <c r="AW240" s="108">
        <v>0</v>
      </c>
      <c r="AX240" s="108">
        <v>0</v>
      </c>
      <c r="AY240" s="108">
        <v>0</v>
      </c>
    </row>
    <row r="241" spans="1:51">
      <c r="A241" s="107"/>
      <c r="B241" s="124">
        <v>33</v>
      </c>
      <c r="C241" s="104">
        <v>0</v>
      </c>
      <c r="D241" s="108">
        <v>0</v>
      </c>
      <c r="E241" s="108">
        <v>0</v>
      </c>
      <c r="F241" s="108">
        <v>0</v>
      </c>
      <c r="G241" s="108">
        <v>0</v>
      </c>
      <c r="H241" s="108">
        <v>0</v>
      </c>
      <c r="I241" s="108">
        <v>0</v>
      </c>
      <c r="J241" s="108">
        <v>0</v>
      </c>
      <c r="K241" s="108">
        <v>0</v>
      </c>
      <c r="L241" s="108">
        <v>0</v>
      </c>
      <c r="M241" s="108">
        <v>0</v>
      </c>
      <c r="N241" s="108">
        <v>0</v>
      </c>
      <c r="O241" s="108">
        <v>0</v>
      </c>
      <c r="P241" s="108">
        <v>0</v>
      </c>
      <c r="Q241" s="108">
        <v>0</v>
      </c>
      <c r="R241" s="108">
        <v>0</v>
      </c>
      <c r="S241" s="108">
        <v>0</v>
      </c>
      <c r="T241" s="108">
        <v>0</v>
      </c>
      <c r="U241" s="108">
        <v>0</v>
      </c>
      <c r="V241" s="108">
        <v>0</v>
      </c>
      <c r="W241" s="108">
        <v>0</v>
      </c>
      <c r="X241" s="108">
        <v>0</v>
      </c>
      <c r="Y241" s="108">
        <v>0</v>
      </c>
      <c r="Z241" s="108">
        <v>0</v>
      </c>
      <c r="AA241" s="108">
        <v>0</v>
      </c>
      <c r="AB241" s="108">
        <v>0</v>
      </c>
      <c r="AC241" s="108">
        <v>0</v>
      </c>
      <c r="AD241" s="108">
        <v>0</v>
      </c>
      <c r="AE241" s="108">
        <v>0</v>
      </c>
      <c r="AF241" s="108">
        <v>0</v>
      </c>
      <c r="AG241" s="108">
        <v>0</v>
      </c>
      <c r="AH241" s="108">
        <v>0</v>
      </c>
      <c r="AI241" s="108">
        <v>0</v>
      </c>
      <c r="AJ241" s="108">
        <v>0</v>
      </c>
      <c r="AK241" s="108">
        <v>0</v>
      </c>
      <c r="AL241" s="108">
        <v>0</v>
      </c>
      <c r="AM241" s="108">
        <v>0</v>
      </c>
      <c r="AN241" s="108">
        <v>0</v>
      </c>
      <c r="AO241" s="108">
        <v>0</v>
      </c>
      <c r="AP241" s="108">
        <v>0</v>
      </c>
      <c r="AQ241" s="108">
        <v>0</v>
      </c>
      <c r="AR241" s="108">
        <v>0</v>
      </c>
      <c r="AS241" s="108">
        <v>0</v>
      </c>
      <c r="AT241" s="108">
        <v>0</v>
      </c>
      <c r="AU241" s="108">
        <v>0</v>
      </c>
      <c r="AV241" s="108">
        <v>0</v>
      </c>
      <c r="AW241" s="108">
        <v>0</v>
      </c>
      <c r="AX241" s="108">
        <v>0</v>
      </c>
      <c r="AY241" s="108">
        <v>0</v>
      </c>
    </row>
    <row r="242" spans="1:51">
      <c r="A242" s="107"/>
      <c r="B242" s="124">
        <v>34</v>
      </c>
      <c r="C242" s="104">
        <v>0</v>
      </c>
      <c r="D242" s="108">
        <v>0</v>
      </c>
      <c r="E242" s="108">
        <v>0</v>
      </c>
      <c r="F242" s="108">
        <v>0</v>
      </c>
      <c r="G242" s="108">
        <v>0</v>
      </c>
      <c r="H242" s="108">
        <v>0</v>
      </c>
      <c r="I242" s="108">
        <v>0</v>
      </c>
      <c r="J242" s="108">
        <v>0</v>
      </c>
      <c r="K242" s="108">
        <v>0</v>
      </c>
      <c r="L242" s="108">
        <v>0</v>
      </c>
      <c r="M242" s="108">
        <v>0</v>
      </c>
      <c r="N242" s="108">
        <v>0</v>
      </c>
      <c r="O242" s="108">
        <v>0</v>
      </c>
      <c r="P242" s="108">
        <v>0</v>
      </c>
      <c r="Q242" s="108">
        <v>0</v>
      </c>
      <c r="R242" s="108">
        <v>0</v>
      </c>
      <c r="S242" s="108">
        <v>0</v>
      </c>
      <c r="T242" s="108">
        <v>0</v>
      </c>
      <c r="U242" s="108">
        <v>0</v>
      </c>
      <c r="V242" s="108">
        <v>0</v>
      </c>
      <c r="W242" s="108">
        <v>0</v>
      </c>
      <c r="X242" s="108">
        <v>0</v>
      </c>
      <c r="Y242" s="108">
        <v>0</v>
      </c>
      <c r="Z242" s="108">
        <v>0</v>
      </c>
      <c r="AA242" s="108">
        <v>0</v>
      </c>
      <c r="AB242" s="108">
        <v>0</v>
      </c>
      <c r="AC242" s="108">
        <v>0</v>
      </c>
      <c r="AD242" s="108">
        <v>0</v>
      </c>
      <c r="AE242" s="108">
        <v>0</v>
      </c>
      <c r="AF242" s="108">
        <v>0</v>
      </c>
      <c r="AG242" s="108">
        <v>0</v>
      </c>
      <c r="AH242" s="108">
        <v>0</v>
      </c>
      <c r="AI242" s="108">
        <v>0</v>
      </c>
      <c r="AJ242" s="108">
        <v>0</v>
      </c>
      <c r="AK242" s="108">
        <v>0</v>
      </c>
      <c r="AL242" s="108">
        <v>0</v>
      </c>
      <c r="AM242" s="108">
        <v>0</v>
      </c>
      <c r="AN242" s="108">
        <v>0</v>
      </c>
      <c r="AO242" s="108">
        <v>0</v>
      </c>
      <c r="AP242" s="108">
        <v>0</v>
      </c>
      <c r="AQ242" s="108">
        <v>0</v>
      </c>
      <c r="AR242" s="108">
        <v>0</v>
      </c>
      <c r="AS242" s="108">
        <v>0</v>
      </c>
      <c r="AT242" s="108">
        <v>0</v>
      </c>
      <c r="AU242" s="108">
        <v>0</v>
      </c>
      <c r="AV242" s="108">
        <v>0</v>
      </c>
      <c r="AW242" s="108">
        <v>0</v>
      </c>
      <c r="AX242" s="108">
        <v>0</v>
      </c>
      <c r="AY242" s="108">
        <v>0</v>
      </c>
    </row>
    <row r="243" spans="1:51">
      <c r="A243" s="107"/>
      <c r="B243" s="124">
        <v>35</v>
      </c>
      <c r="C243" s="104">
        <v>0</v>
      </c>
      <c r="D243" s="108">
        <v>0</v>
      </c>
      <c r="E243" s="108">
        <v>0</v>
      </c>
      <c r="F243" s="108">
        <v>0</v>
      </c>
      <c r="G243" s="108">
        <v>0</v>
      </c>
      <c r="H243" s="108">
        <v>0</v>
      </c>
      <c r="I243" s="108">
        <v>0</v>
      </c>
      <c r="J243" s="108">
        <v>0</v>
      </c>
      <c r="K243" s="108">
        <v>0</v>
      </c>
      <c r="L243" s="108">
        <v>0</v>
      </c>
      <c r="M243" s="108">
        <v>0</v>
      </c>
      <c r="N243" s="108">
        <v>0</v>
      </c>
      <c r="O243" s="108">
        <v>0</v>
      </c>
      <c r="P243" s="108">
        <v>0</v>
      </c>
      <c r="Q243" s="108">
        <v>0</v>
      </c>
      <c r="R243" s="108">
        <v>0</v>
      </c>
      <c r="S243" s="108">
        <v>0</v>
      </c>
      <c r="T243" s="108">
        <v>0</v>
      </c>
      <c r="U243" s="108">
        <v>0</v>
      </c>
      <c r="V243" s="108">
        <v>0</v>
      </c>
      <c r="W243" s="108">
        <v>0</v>
      </c>
      <c r="X243" s="108">
        <v>0</v>
      </c>
      <c r="Y243" s="108">
        <v>0</v>
      </c>
      <c r="Z243" s="108">
        <v>0</v>
      </c>
      <c r="AA243" s="108">
        <v>0</v>
      </c>
      <c r="AB243" s="108">
        <v>0</v>
      </c>
      <c r="AC243" s="108">
        <v>0</v>
      </c>
      <c r="AD243" s="108">
        <v>0</v>
      </c>
      <c r="AE243" s="108">
        <v>0</v>
      </c>
      <c r="AF243" s="108">
        <v>0</v>
      </c>
      <c r="AG243" s="108">
        <v>0</v>
      </c>
      <c r="AH243" s="108">
        <v>0</v>
      </c>
      <c r="AI243" s="108">
        <v>0</v>
      </c>
      <c r="AJ243" s="108">
        <v>0</v>
      </c>
      <c r="AK243" s="108">
        <v>0</v>
      </c>
      <c r="AL243" s="108">
        <v>0</v>
      </c>
      <c r="AM243" s="108">
        <v>0</v>
      </c>
      <c r="AN243" s="108">
        <v>0</v>
      </c>
      <c r="AO243" s="108">
        <v>0</v>
      </c>
      <c r="AP243" s="108">
        <v>0</v>
      </c>
      <c r="AQ243" s="108">
        <v>0</v>
      </c>
      <c r="AR243" s="108">
        <v>0</v>
      </c>
      <c r="AS243" s="108">
        <v>0</v>
      </c>
      <c r="AT243" s="108">
        <v>0</v>
      </c>
      <c r="AU243" s="108">
        <v>0</v>
      </c>
      <c r="AV243" s="108">
        <v>0</v>
      </c>
      <c r="AW243" s="108">
        <v>0</v>
      </c>
      <c r="AX243" s="108">
        <v>0</v>
      </c>
      <c r="AY243" s="108">
        <v>0</v>
      </c>
    </row>
    <row r="244" spans="1:51">
      <c r="A244" s="107"/>
      <c r="B244" s="124">
        <v>36</v>
      </c>
      <c r="C244" s="104">
        <v>0</v>
      </c>
      <c r="D244" s="108">
        <v>0</v>
      </c>
      <c r="E244" s="108">
        <v>0</v>
      </c>
      <c r="F244" s="108">
        <v>0</v>
      </c>
      <c r="G244" s="108">
        <v>0</v>
      </c>
      <c r="H244" s="108">
        <v>0</v>
      </c>
      <c r="I244" s="108">
        <v>0</v>
      </c>
      <c r="J244" s="108">
        <v>0</v>
      </c>
      <c r="K244" s="108">
        <v>0</v>
      </c>
      <c r="L244" s="108">
        <v>0</v>
      </c>
      <c r="M244" s="108">
        <v>0</v>
      </c>
      <c r="N244" s="108">
        <v>0</v>
      </c>
      <c r="O244" s="108">
        <v>0</v>
      </c>
      <c r="P244" s="108">
        <v>0</v>
      </c>
      <c r="Q244" s="108">
        <v>0</v>
      </c>
      <c r="R244" s="108">
        <v>0</v>
      </c>
      <c r="S244" s="108">
        <v>0</v>
      </c>
      <c r="T244" s="108">
        <v>0</v>
      </c>
      <c r="U244" s="108">
        <v>0</v>
      </c>
      <c r="V244" s="108">
        <v>0</v>
      </c>
      <c r="W244" s="108">
        <v>0</v>
      </c>
      <c r="X244" s="108">
        <v>0</v>
      </c>
      <c r="Y244" s="108">
        <v>0</v>
      </c>
      <c r="Z244" s="108">
        <v>0</v>
      </c>
      <c r="AA244" s="108">
        <v>0</v>
      </c>
      <c r="AB244" s="108">
        <v>0</v>
      </c>
      <c r="AC244" s="108">
        <v>0</v>
      </c>
      <c r="AD244" s="108">
        <v>0</v>
      </c>
      <c r="AE244" s="108">
        <v>0</v>
      </c>
      <c r="AF244" s="108">
        <v>0</v>
      </c>
      <c r="AG244" s="108">
        <v>0</v>
      </c>
      <c r="AH244" s="108">
        <v>0</v>
      </c>
      <c r="AI244" s="108">
        <v>0</v>
      </c>
      <c r="AJ244" s="108">
        <v>0</v>
      </c>
      <c r="AK244" s="108">
        <v>0</v>
      </c>
      <c r="AL244" s="108">
        <v>0</v>
      </c>
      <c r="AM244" s="108">
        <v>0</v>
      </c>
      <c r="AN244" s="108">
        <v>0</v>
      </c>
      <c r="AO244" s="108">
        <v>0</v>
      </c>
      <c r="AP244" s="108">
        <v>0</v>
      </c>
      <c r="AQ244" s="108">
        <v>0</v>
      </c>
      <c r="AR244" s="108">
        <v>0</v>
      </c>
      <c r="AS244" s="108">
        <v>0</v>
      </c>
      <c r="AT244" s="108">
        <v>0</v>
      </c>
      <c r="AU244" s="108">
        <v>0</v>
      </c>
      <c r="AV244" s="108">
        <v>0</v>
      </c>
      <c r="AW244" s="108">
        <v>0</v>
      </c>
      <c r="AX244" s="108">
        <v>0</v>
      </c>
      <c r="AY244" s="108">
        <v>0</v>
      </c>
    </row>
    <row r="245" spans="1:51">
      <c r="A245" s="107"/>
      <c r="B245" s="127">
        <v>37</v>
      </c>
      <c r="C245" s="104">
        <v>0</v>
      </c>
      <c r="D245" s="108">
        <v>0</v>
      </c>
      <c r="E245" s="108">
        <v>0</v>
      </c>
      <c r="F245" s="108">
        <v>0</v>
      </c>
      <c r="G245" s="108">
        <v>0</v>
      </c>
      <c r="H245" s="108">
        <v>0</v>
      </c>
      <c r="I245" s="108">
        <v>0</v>
      </c>
      <c r="J245" s="108">
        <v>0</v>
      </c>
      <c r="K245" s="108">
        <v>0</v>
      </c>
      <c r="L245" s="108">
        <v>0</v>
      </c>
      <c r="M245" s="108">
        <v>0</v>
      </c>
      <c r="N245" s="108">
        <v>0</v>
      </c>
      <c r="O245" s="108">
        <v>0</v>
      </c>
      <c r="P245" s="108">
        <v>0</v>
      </c>
      <c r="Q245" s="108">
        <v>0</v>
      </c>
      <c r="R245" s="108">
        <v>0</v>
      </c>
      <c r="S245" s="108">
        <v>0</v>
      </c>
      <c r="T245" s="108">
        <v>0</v>
      </c>
      <c r="U245" s="108">
        <v>0</v>
      </c>
      <c r="V245" s="108">
        <v>0</v>
      </c>
      <c r="W245" s="108">
        <v>0</v>
      </c>
      <c r="X245" s="108">
        <v>0</v>
      </c>
      <c r="Y245" s="108">
        <v>0</v>
      </c>
      <c r="Z245" s="108">
        <v>0</v>
      </c>
      <c r="AA245" s="108">
        <v>0</v>
      </c>
      <c r="AB245" s="108">
        <v>0</v>
      </c>
      <c r="AC245" s="108">
        <v>0</v>
      </c>
      <c r="AD245" s="108">
        <v>0</v>
      </c>
      <c r="AE245" s="108">
        <v>0</v>
      </c>
      <c r="AF245" s="108">
        <v>0</v>
      </c>
      <c r="AG245" s="108">
        <v>0</v>
      </c>
      <c r="AH245" s="108">
        <v>0</v>
      </c>
      <c r="AI245" s="108">
        <v>0</v>
      </c>
      <c r="AJ245" s="108">
        <v>0</v>
      </c>
      <c r="AK245" s="108">
        <v>0</v>
      </c>
      <c r="AL245" s="108">
        <v>0</v>
      </c>
      <c r="AM245" s="108">
        <v>0</v>
      </c>
      <c r="AN245" s="108">
        <v>0</v>
      </c>
      <c r="AO245" s="108">
        <v>0</v>
      </c>
      <c r="AP245" s="108">
        <v>0</v>
      </c>
      <c r="AQ245" s="108">
        <v>0</v>
      </c>
      <c r="AR245" s="108">
        <v>0</v>
      </c>
      <c r="AS245" s="108">
        <v>0</v>
      </c>
      <c r="AT245" s="108">
        <v>0</v>
      </c>
      <c r="AU245" s="108">
        <v>0</v>
      </c>
      <c r="AV245" s="108">
        <v>0</v>
      </c>
      <c r="AW245" s="108">
        <v>0</v>
      </c>
      <c r="AX245" s="108">
        <v>0</v>
      </c>
      <c r="AY245" s="108">
        <v>0</v>
      </c>
    </row>
    <row r="246" spans="1:51">
      <c r="A246" s="107"/>
      <c r="B246" s="127">
        <v>38</v>
      </c>
      <c r="C246" s="104">
        <v>0</v>
      </c>
      <c r="D246" s="108">
        <v>0</v>
      </c>
      <c r="E246" s="108">
        <v>0</v>
      </c>
      <c r="F246" s="108">
        <v>0</v>
      </c>
      <c r="G246" s="108">
        <v>0</v>
      </c>
      <c r="H246" s="108">
        <v>0</v>
      </c>
      <c r="I246" s="108">
        <v>0</v>
      </c>
      <c r="J246" s="108">
        <v>0</v>
      </c>
      <c r="K246" s="108">
        <v>0</v>
      </c>
      <c r="L246" s="108">
        <v>0</v>
      </c>
      <c r="M246" s="108">
        <v>0</v>
      </c>
      <c r="N246" s="108">
        <v>0</v>
      </c>
      <c r="O246" s="108">
        <v>0</v>
      </c>
      <c r="P246" s="108">
        <v>0</v>
      </c>
      <c r="Q246" s="108">
        <v>0</v>
      </c>
      <c r="R246" s="108">
        <v>0</v>
      </c>
      <c r="S246" s="108">
        <v>0</v>
      </c>
      <c r="T246" s="108">
        <v>0</v>
      </c>
      <c r="U246" s="108">
        <v>0</v>
      </c>
      <c r="V246" s="108">
        <v>0</v>
      </c>
      <c r="W246" s="108">
        <v>0</v>
      </c>
      <c r="X246" s="108">
        <v>0</v>
      </c>
      <c r="Y246" s="108">
        <v>0</v>
      </c>
      <c r="Z246" s="108">
        <v>0</v>
      </c>
      <c r="AA246" s="108">
        <v>0</v>
      </c>
      <c r="AB246" s="108">
        <v>0</v>
      </c>
      <c r="AC246" s="108">
        <v>0</v>
      </c>
      <c r="AD246" s="108">
        <v>0</v>
      </c>
      <c r="AE246" s="108">
        <v>0</v>
      </c>
      <c r="AF246" s="108">
        <v>0</v>
      </c>
      <c r="AG246" s="108">
        <v>0</v>
      </c>
      <c r="AH246" s="108">
        <v>0</v>
      </c>
      <c r="AI246" s="108">
        <v>0</v>
      </c>
      <c r="AJ246" s="108">
        <v>0</v>
      </c>
      <c r="AK246" s="108">
        <v>0</v>
      </c>
      <c r="AL246" s="108">
        <v>0</v>
      </c>
      <c r="AM246" s="108">
        <v>0</v>
      </c>
      <c r="AN246" s="108">
        <v>0</v>
      </c>
      <c r="AO246" s="108">
        <v>0</v>
      </c>
      <c r="AP246" s="108">
        <v>0</v>
      </c>
      <c r="AQ246" s="108">
        <v>0</v>
      </c>
      <c r="AR246" s="108">
        <v>0</v>
      </c>
      <c r="AS246" s="108">
        <v>0</v>
      </c>
      <c r="AT246" s="108">
        <v>0</v>
      </c>
      <c r="AU246" s="108">
        <v>0</v>
      </c>
      <c r="AV246" s="108">
        <v>0</v>
      </c>
      <c r="AW246" s="108">
        <v>0</v>
      </c>
      <c r="AX246" s="108">
        <v>0</v>
      </c>
      <c r="AY246" s="108">
        <v>0</v>
      </c>
    </row>
    <row r="247" spans="1:51">
      <c r="A247" s="107"/>
      <c r="B247" s="127">
        <v>39</v>
      </c>
      <c r="C247" s="104">
        <v>0</v>
      </c>
      <c r="D247" s="108">
        <v>0</v>
      </c>
      <c r="E247" s="108">
        <v>0</v>
      </c>
      <c r="F247" s="108">
        <v>0</v>
      </c>
      <c r="G247" s="108">
        <v>0</v>
      </c>
      <c r="H247" s="108">
        <v>0</v>
      </c>
      <c r="I247" s="108">
        <v>0</v>
      </c>
      <c r="J247" s="108">
        <v>0</v>
      </c>
      <c r="K247" s="108">
        <v>0</v>
      </c>
      <c r="L247" s="108">
        <v>0</v>
      </c>
      <c r="M247" s="108">
        <v>0</v>
      </c>
      <c r="N247" s="108">
        <v>0</v>
      </c>
      <c r="O247" s="108">
        <v>0</v>
      </c>
      <c r="P247" s="108">
        <v>0</v>
      </c>
      <c r="Q247" s="108">
        <v>0</v>
      </c>
      <c r="R247" s="108">
        <v>0</v>
      </c>
      <c r="S247" s="108">
        <v>0</v>
      </c>
      <c r="T247" s="108">
        <v>0</v>
      </c>
      <c r="U247" s="108">
        <v>0</v>
      </c>
      <c r="V247" s="108">
        <v>0</v>
      </c>
      <c r="W247" s="108">
        <v>0</v>
      </c>
      <c r="X247" s="108">
        <v>0</v>
      </c>
      <c r="Y247" s="108">
        <v>0</v>
      </c>
      <c r="Z247" s="108">
        <v>0</v>
      </c>
      <c r="AA247" s="108">
        <v>0</v>
      </c>
      <c r="AB247" s="108">
        <v>0</v>
      </c>
      <c r="AC247" s="108">
        <v>0</v>
      </c>
      <c r="AD247" s="108">
        <v>0</v>
      </c>
      <c r="AE247" s="108">
        <v>0</v>
      </c>
      <c r="AF247" s="108">
        <v>0</v>
      </c>
      <c r="AG247" s="108">
        <v>0</v>
      </c>
      <c r="AH247" s="108">
        <v>0</v>
      </c>
      <c r="AI247" s="108">
        <v>0</v>
      </c>
      <c r="AJ247" s="108">
        <v>0</v>
      </c>
      <c r="AK247" s="108">
        <v>0</v>
      </c>
      <c r="AL247" s="108">
        <v>0</v>
      </c>
      <c r="AM247" s="108">
        <v>0</v>
      </c>
      <c r="AN247" s="108">
        <v>0</v>
      </c>
      <c r="AO247" s="108">
        <v>0</v>
      </c>
      <c r="AP247" s="108">
        <v>0</v>
      </c>
      <c r="AQ247" s="108">
        <v>0</v>
      </c>
      <c r="AR247" s="108">
        <v>0</v>
      </c>
      <c r="AS247" s="108">
        <v>0</v>
      </c>
      <c r="AT247" s="108">
        <v>0</v>
      </c>
      <c r="AU247" s="108">
        <v>0</v>
      </c>
      <c r="AV247" s="108">
        <v>0</v>
      </c>
      <c r="AW247" s="108">
        <v>0</v>
      </c>
      <c r="AX247" s="108">
        <v>0</v>
      </c>
      <c r="AY247" s="108">
        <v>0</v>
      </c>
    </row>
    <row r="248" spans="1:51">
      <c r="A248" s="107"/>
      <c r="B248" s="127">
        <v>40</v>
      </c>
      <c r="C248" s="104">
        <v>0</v>
      </c>
      <c r="D248" s="108">
        <v>0</v>
      </c>
      <c r="E248" s="108">
        <v>0</v>
      </c>
      <c r="F248" s="108">
        <v>0</v>
      </c>
      <c r="G248" s="108">
        <v>0</v>
      </c>
      <c r="H248" s="108">
        <v>0</v>
      </c>
      <c r="I248" s="108">
        <v>0</v>
      </c>
      <c r="J248" s="108">
        <v>0</v>
      </c>
      <c r="K248" s="108">
        <v>0</v>
      </c>
      <c r="L248" s="108">
        <v>0</v>
      </c>
      <c r="M248" s="108">
        <v>0</v>
      </c>
      <c r="N248" s="108">
        <v>0</v>
      </c>
      <c r="O248" s="108">
        <v>0</v>
      </c>
      <c r="P248" s="108">
        <v>0</v>
      </c>
      <c r="Q248" s="108">
        <v>0</v>
      </c>
      <c r="R248" s="108">
        <v>0</v>
      </c>
      <c r="S248" s="108">
        <v>0</v>
      </c>
      <c r="T248" s="108">
        <v>0</v>
      </c>
      <c r="U248" s="108">
        <v>0</v>
      </c>
      <c r="V248" s="108">
        <v>0</v>
      </c>
      <c r="W248" s="108">
        <v>0</v>
      </c>
      <c r="X248" s="108">
        <v>0</v>
      </c>
      <c r="Y248" s="108">
        <v>0</v>
      </c>
      <c r="Z248" s="108">
        <v>0</v>
      </c>
      <c r="AA248" s="108">
        <v>0</v>
      </c>
      <c r="AB248" s="108">
        <v>0</v>
      </c>
      <c r="AC248" s="108">
        <v>0</v>
      </c>
      <c r="AD248" s="108">
        <v>0</v>
      </c>
      <c r="AE248" s="108">
        <v>0</v>
      </c>
      <c r="AF248" s="108">
        <v>0</v>
      </c>
      <c r="AG248" s="108">
        <v>0</v>
      </c>
      <c r="AH248" s="108">
        <v>0</v>
      </c>
      <c r="AI248" s="108">
        <v>0</v>
      </c>
      <c r="AJ248" s="108">
        <v>0</v>
      </c>
      <c r="AK248" s="108">
        <v>0</v>
      </c>
      <c r="AL248" s="108">
        <v>0</v>
      </c>
      <c r="AM248" s="108">
        <v>0</v>
      </c>
      <c r="AN248" s="108">
        <v>0</v>
      </c>
      <c r="AO248" s="108">
        <v>0</v>
      </c>
      <c r="AP248" s="108">
        <v>0</v>
      </c>
      <c r="AQ248" s="108">
        <v>0</v>
      </c>
      <c r="AR248" s="108">
        <v>0</v>
      </c>
      <c r="AS248" s="108">
        <v>0</v>
      </c>
      <c r="AT248" s="108">
        <v>0</v>
      </c>
      <c r="AU248" s="108">
        <v>0</v>
      </c>
      <c r="AV248" s="108">
        <v>0</v>
      </c>
      <c r="AW248" s="108">
        <v>0</v>
      </c>
      <c r="AX248" s="108">
        <v>0</v>
      </c>
      <c r="AY248" s="108">
        <v>0</v>
      </c>
    </row>
    <row r="249" spans="1:51">
      <c r="A249" s="107"/>
      <c r="B249" s="127">
        <v>41</v>
      </c>
      <c r="C249" s="104">
        <v>0</v>
      </c>
      <c r="D249" s="108">
        <v>0</v>
      </c>
      <c r="E249" s="108">
        <v>0</v>
      </c>
      <c r="F249" s="108">
        <v>0</v>
      </c>
      <c r="G249" s="108">
        <v>0</v>
      </c>
      <c r="H249" s="108">
        <v>0</v>
      </c>
      <c r="I249" s="108">
        <v>0</v>
      </c>
      <c r="J249" s="108">
        <v>0</v>
      </c>
      <c r="K249" s="108">
        <v>0</v>
      </c>
      <c r="L249" s="108">
        <v>0</v>
      </c>
      <c r="M249" s="108">
        <v>0</v>
      </c>
      <c r="N249" s="108">
        <v>0</v>
      </c>
      <c r="O249" s="108">
        <v>0</v>
      </c>
      <c r="P249" s="108">
        <v>0</v>
      </c>
      <c r="Q249" s="108">
        <v>0</v>
      </c>
      <c r="R249" s="108">
        <v>0</v>
      </c>
      <c r="S249" s="108">
        <v>0</v>
      </c>
      <c r="T249" s="108">
        <v>0</v>
      </c>
      <c r="U249" s="108">
        <v>0</v>
      </c>
      <c r="V249" s="108">
        <v>0</v>
      </c>
      <c r="W249" s="108">
        <v>0</v>
      </c>
      <c r="X249" s="108">
        <v>0</v>
      </c>
      <c r="Y249" s="108">
        <v>0</v>
      </c>
      <c r="Z249" s="108">
        <v>0</v>
      </c>
      <c r="AA249" s="108">
        <v>0</v>
      </c>
      <c r="AB249" s="108">
        <v>0</v>
      </c>
      <c r="AC249" s="108">
        <v>0</v>
      </c>
      <c r="AD249" s="108">
        <v>0</v>
      </c>
      <c r="AE249" s="108">
        <v>0</v>
      </c>
      <c r="AF249" s="108">
        <v>0</v>
      </c>
      <c r="AG249" s="108">
        <v>0</v>
      </c>
      <c r="AH249" s="108">
        <v>0</v>
      </c>
      <c r="AI249" s="108">
        <v>0</v>
      </c>
      <c r="AJ249" s="108">
        <v>0</v>
      </c>
      <c r="AK249" s="108">
        <v>0</v>
      </c>
      <c r="AL249" s="108">
        <v>0</v>
      </c>
      <c r="AM249" s="108">
        <v>0</v>
      </c>
      <c r="AN249" s="108">
        <v>0</v>
      </c>
      <c r="AO249" s="108">
        <v>0</v>
      </c>
      <c r="AP249" s="108">
        <v>0</v>
      </c>
      <c r="AQ249" s="108">
        <v>0</v>
      </c>
      <c r="AR249" s="108">
        <v>0</v>
      </c>
      <c r="AS249" s="108">
        <v>0</v>
      </c>
      <c r="AT249" s="108">
        <v>0</v>
      </c>
      <c r="AU249" s="108">
        <v>0</v>
      </c>
      <c r="AV249" s="108">
        <v>0</v>
      </c>
      <c r="AW249" s="108">
        <v>0</v>
      </c>
      <c r="AX249" s="108">
        <v>0</v>
      </c>
      <c r="AY249" s="108">
        <v>0</v>
      </c>
    </row>
    <row r="250" spans="1:51">
      <c r="A250" s="107"/>
      <c r="B250" s="127">
        <v>42</v>
      </c>
      <c r="C250" s="104">
        <v>0</v>
      </c>
      <c r="D250" s="108">
        <v>0</v>
      </c>
      <c r="E250" s="108">
        <v>0</v>
      </c>
      <c r="F250" s="108">
        <v>0</v>
      </c>
      <c r="G250" s="108">
        <v>0</v>
      </c>
      <c r="H250" s="108">
        <v>0</v>
      </c>
      <c r="I250" s="108">
        <v>0</v>
      </c>
      <c r="J250" s="108">
        <v>0</v>
      </c>
      <c r="K250" s="108">
        <v>0</v>
      </c>
      <c r="L250" s="108">
        <v>0</v>
      </c>
      <c r="M250" s="108">
        <v>0</v>
      </c>
      <c r="N250" s="108">
        <v>0</v>
      </c>
      <c r="O250" s="108">
        <v>0</v>
      </c>
      <c r="P250" s="108">
        <v>0</v>
      </c>
      <c r="Q250" s="108">
        <v>0</v>
      </c>
      <c r="R250" s="108">
        <v>0</v>
      </c>
      <c r="S250" s="108">
        <v>0</v>
      </c>
      <c r="T250" s="108">
        <v>0</v>
      </c>
      <c r="U250" s="108">
        <v>0</v>
      </c>
      <c r="V250" s="108">
        <v>0</v>
      </c>
      <c r="W250" s="108">
        <v>0</v>
      </c>
      <c r="X250" s="108">
        <v>0</v>
      </c>
      <c r="Y250" s="108">
        <v>0</v>
      </c>
      <c r="Z250" s="108">
        <v>0</v>
      </c>
      <c r="AA250" s="108">
        <v>0</v>
      </c>
      <c r="AB250" s="108">
        <v>0</v>
      </c>
      <c r="AC250" s="108">
        <v>0</v>
      </c>
      <c r="AD250" s="108">
        <v>0</v>
      </c>
      <c r="AE250" s="108">
        <v>0</v>
      </c>
      <c r="AF250" s="108">
        <v>0</v>
      </c>
      <c r="AG250" s="108">
        <v>0</v>
      </c>
      <c r="AH250" s="108">
        <v>0</v>
      </c>
      <c r="AI250" s="108">
        <v>0</v>
      </c>
      <c r="AJ250" s="108">
        <v>0</v>
      </c>
      <c r="AK250" s="108">
        <v>0</v>
      </c>
      <c r="AL250" s="108">
        <v>0</v>
      </c>
      <c r="AM250" s="108">
        <v>0</v>
      </c>
      <c r="AN250" s="108">
        <v>0</v>
      </c>
      <c r="AO250" s="108">
        <v>0</v>
      </c>
      <c r="AP250" s="108">
        <v>0</v>
      </c>
      <c r="AQ250" s="108">
        <v>0</v>
      </c>
      <c r="AR250" s="108">
        <v>0</v>
      </c>
      <c r="AS250" s="108">
        <v>0</v>
      </c>
      <c r="AT250" s="108">
        <v>0</v>
      </c>
      <c r="AU250" s="108">
        <v>0</v>
      </c>
      <c r="AV250" s="108">
        <v>0</v>
      </c>
      <c r="AW250" s="108">
        <v>0</v>
      </c>
      <c r="AX250" s="108">
        <v>0</v>
      </c>
      <c r="AY250" s="108">
        <v>0</v>
      </c>
    </row>
    <row r="251" spans="1:51">
      <c r="A251" s="107"/>
      <c r="B251" s="127">
        <v>43</v>
      </c>
      <c r="C251" s="104">
        <v>0</v>
      </c>
      <c r="D251" s="108">
        <v>0</v>
      </c>
      <c r="E251" s="108">
        <v>0</v>
      </c>
      <c r="F251" s="108">
        <v>0</v>
      </c>
      <c r="G251" s="108">
        <v>0</v>
      </c>
      <c r="H251" s="108">
        <v>0</v>
      </c>
      <c r="I251" s="108">
        <v>0</v>
      </c>
      <c r="J251" s="108">
        <v>0</v>
      </c>
      <c r="K251" s="108">
        <v>0</v>
      </c>
      <c r="L251" s="108">
        <v>0</v>
      </c>
      <c r="M251" s="108">
        <v>0</v>
      </c>
      <c r="N251" s="108">
        <v>0</v>
      </c>
      <c r="O251" s="108">
        <v>0</v>
      </c>
      <c r="P251" s="108">
        <v>0</v>
      </c>
      <c r="Q251" s="108">
        <v>0</v>
      </c>
      <c r="R251" s="108">
        <v>0</v>
      </c>
      <c r="S251" s="108">
        <v>0</v>
      </c>
      <c r="T251" s="108">
        <v>0</v>
      </c>
      <c r="U251" s="108">
        <v>0</v>
      </c>
      <c r="V251" s="108">
        <v>0</v>
      </c>
      <c r="W251" s="108">
        <v>0</v>
      </c>
      <c r="X251" s="108">
        <v>0</v>
      </c>
      <c r="Y251" s="108">
        <v>0</v>
      </c>
      <c r="Z251" s="108">
        <v>0</v>
      </c>
      <c r="AA251" s="108">
        <v>0</v>
      </c>
      <c r="AB251" s="108">
        <v>0</v>
      </c>
      <c r="AC251" s="108">
        <v>0</v>
      </c>
      <c r="AD251" s="108">
        <v>0</v>
      </c>
      <c r="AE251" s="108">
        <v>0</v>
      </c>
      <c r="AF251" s="108">
        <v>0</v>
      </c>
      <c r="AG251" s="108">
        <v>0</v>
      </c>
      <c r="AH251" s="108">
        <v>0</v>
      </c>
      <c r="AI251" s="108">
        <v>0</v>
      </c>
      <c r="AJ251" s="108">
        <v>0</v>
      </c>
      <c r="AK251" s="108">
        <v>0</v>
      </c>
      <c r="AL251" s="108">
        <v>0</v>
      </c>
      <c r="AM251" s="108">
        <v>0</v>
      </c>
      <c r="AN251" s="108">
        <v>0</v>
      </c>
      <c r="AO251" s="108">
        <v>0</v>
      </c>
      <c r="AP251" s="108">
        <v>0</v>
      </c>
      <c r="AQ251" s="108">
        <v>0</v>
      </c>
      <c r="AR251" s="108">
        <v>0</v>
      </c>
      <c r="AS251" s="108">
        <v>0</v>
      </c>
      <c r="AT251" s="108">
        <v>0</v>
      </c>
      <c r="AU251" s="108">
        <v>0</v>
      </c>
      <c r="AV251" s="108">
        <v>0</v>
      </c>
      <c r="AW251" s="108">
        <v>0</v>
      </c>
      <c r="AX251" s="108">
        <v>0</v>
      </c>
      <c r="AY251" s="108">
        <v>0</v>
      </c>
    </row>
    <row r="252" spans="1:51">
      <c r="A252" s="107"/>
      <c r="B252" s="127">
        <v>44</v>
      </c>
      <c r="C252" s="104">
        <v>0</v>
      </c>
      <c r="D252" s="108">
        <v>0</v>
      </c>
      <c r="E252" s="108">
        <v>0</v>
      </c>
      <c r="F252" s="108">
        <v>0</v>
      </c>
      <c r="G252" s="108">
        <v>0</v>
      </c>
      <c r="H252" s="108">
        <v>0</v>
      </c>
      <c r="I252" s="108">
        <v>0</v>
      </c>
      <c r="J252" s="108">
        <v>0</v>
      </c>
      <c r="K252" s="108">
        <v>0</v>
      </c>
      <c r="L252" s="108">
        <v>0</v>
      </c>
      <c r="M252" s="108">
        <v>0</v>
      </c>
      <c r="N252" s="108">
        <v>0</v>
      </c>
      <c r="O252" s="108">
        <v>0</v>
      </c>
      <c r="P252" s="108">
        <v>0</v>
      </c>
      <c r="Q252" s="108">
        <v>0</v>
      </c>
      <c r="R252" s="108">
        <v>0</v>
      </c>
      <c r="S252" s="108">
        <v>0</v>
      </c>
      <c r="T252" s="108">
        <v>0</v>
      </c>
      <c r="U252" s="108">
        <v>0</v>
      </c>
      <c r="V252" s="108">
        <v>0</v>
      </c>
      <c r="W252" s="108">
        <v>0</v>
      </c>
      <c r="X252" s="108">
        <v>0</v>
      </c>
      <c r="Y252" s="108">
        <v>0</v>
      </c>
      <c r="Z252" s="108">
        <v>0</v>
      </c>
      <c r="AA252" s="108">
        <v>0</v>
      </c>
      <c r="AB252" s="108">
        <v>0</v>
      </c>
      <c r="AC252" s="108">
        <v>0</v>
      </c>
      <c r="AD252" s="108">
        <v>0</v>
      </c>
      <c r="AE252" s="108">
        <v>0</v>
      </c>
      <c r="AF252" s="108">
        <v>0</v>
      </c>
      <c r="AG252" s="108">
        <v>0</v>
      </c>
      <c r="AH252" s="108">
        <v>0</v>
      </c>
      <c r="AI252" s="108">
        <v>0</v>
      </c>
      <c r="AJ252" s="108">
        <v>0</v>
      </c>
      <c r="AK252" s="108">
        <v>0</v>
      </c>
      <c r="AL252" s="108">
        <v>0</v>
      </c>
      <c r="AM252" s="108">
        <v>0</v>
      </c>
      <c r="AN252" s="108">
        <v>0</v>
      </c>
      <c r="AO252" s="108">
        <v>0</v>
      </c>
      <c r="AP252" s="108">
        <v>0</v>
      </c>
      <c r="AQ252" s="108">
        <v>0</v>
      </c>
      <c r="AR252" s="108">
        <v>0</v>
      </c>
      <c r="AS252" s="108">
        <v>0</v>
      </c>
      <c r="AT252" s="108">
        <v>0</v>
      </c>
      <c r="AU252" s="108">
        <v>0</v>
      </c>
      <c r="AV252" s="108">
        <v>0</v>
      </c>
      <c r="AW252" s="108">
        <v>0</v>
      </c>
      <c r="AX252" s="108">
        <v>0</v>
      </c>
      <c r="AY252" s="108">
        <v>0</v>
      </c>
    </row>
    <row r="253" spans="1:51">
      <c r="A253" s="107"/>
      <c r="B253" s="127">
        <v>45</v>
      </c>
      <c r="C253" s="104">
        <v>0</v>
      </c>
      <c r="D253" s="108">
        <v>0</v>
      </c>
      <c r="E253" s="108">
        <v>0</v>
      </c>
      <c r="F253" s="108">
        <v>0</v>
      </c>
      <c r="G253" s="108">
        <v>0</v>
      </c>
      <c r="H253" s="108">
        <v>0</v>
      </c>
      <c r="I253" s="108">
        <v>0</v>
      </c>
      <c r="J253" s="108">
        <v>0</v>
      </c>
      <c r="K253" s="108">
        <v>0</v>
      </c>
      <c r="L253" s="108">
        <v>0</v>
      </c>
      <c r="M253" s="108">
        <v>0</v>
      </c>
      <c r="N253" s="108">
        <v>0</v>
      </c>
      <c r="O253" s="108">
        <v>0</v>
      </c>
      <c r="P253" s="108">
        <v>0</v>
      </c>
      <c r="Q253" s="108">
        <v>0</v>
      </c>
      <c r="R253" s="108">
        <v>0</v>
      </c>
      <c r="S253" s="108">
        <v>0</v>
      </c>
      <c r="T253" s="108">
        <v>0</v>
      </c>
      <c r="U253" s="108">
        <v>0</v>
      </c>
      <c r="V253" s="108">
        <v>0</v>
      </c>
      <c r="W253" s="108">
        <v>0</v>
      </c>
      <c r="X253" s="108">
        <v>0</v>
      </c>
      <c r="Y253" s="108">
        <v>0</v>
      </c>
      <c r="Z253" s="108">
        <v>0</v>
      </c>
      <c r="AA253" s="108">
        <v>0</v>
      </c>
      <c r="AB253" s="108">
        <v>0</v>
      </c>
      <c r="AC253" s="108">
        <v>0</v>
      </c>
      <c r="AD253" s="108">
        <v>0</v>
      </c>
      <c r="AE253" s="108">
        <v>0</v>
      </c>
      <c r="AF253" s="108">
        <v>0</v>
      </c>
      <c r="AG253" s="108">
        <v>0</v>
      </c>
      <c r="AH253" s="108">
        <v>0</v>
      </c>
      <c r="AI253" s="108">
        <v>0</v>
      </c>
      <c r="AJ253" s="108">
        <v>0</v>
      </c>
      <c r="AK253" s="108">
        <v>0</v>
      </c>
      <c r="AL253" s="108">
        <v>0</v>
      </c>
      <c r="AM253" s="108">
        <v>0</v>
      </c>
      <c r="AN253" s="108">
        <v>0</v>
      </c>
      <c r="AO253" s="108">
        <v>0</v>
      </c>
      <c r="AP253" s="108">
        <v>0</v>
      </c>
      <c r="AQ253" s="108">
        <v>0</v>
      </c>
      <c r="AR253" s="108">
        <v>0</v>
      </c>
      <c r="AS253" s="108">
        <v>0</v>
      </c>
      <c r="AT253" s="108">
        <v>0</v>
      </c>
      <c r="AU253" s="108">
        <v>0</v>
      </c>
      <c r="AV253" s="108">
        <v>0</v>
      </c>
      <c r="AW253" s="108">
        <v>0</v>
      </c>
      <c r="AX253" s="108">
        <v>0</v>
      </c>
      <c r="AY253" s="108">
        <v>0</v>
      </c>
    </row>
    <row r="254" spans="1:51">
      <c r="A254" s="107"/>
      <c r="B254" s="127">
        <v>46</v>
      </c>
      <c r="C254" s="104">
        <v>0</v>
      </c>
      <c r="D254" s="108">
        <v>0</v>
      </c>
      <c r="E254" s="108">
        <v>0</v>
      </c>
      <c r="F254" s="108">
        <v>0</v>
      </c>
      <c r="G254" s="108">
        <v>0</v>
      </c>
      <c r="H254" s="108">
        <v>0</v>
      </c>
      <c r="I254" s="108">
        <v>0</v>
      </c>
      <c r="J254" s="108">
        <v>0</v>
      </c>
      <c r="K254" s="108">
        <v>0</v>
      </c>
      <c r="L254" s="108">
        <v>0</v>
      </c>
      <c r="M254" s="108">
        <v>0</v>
      </c>
      <c r="N254" s="108">
        <v>0</v>
      </c>
      <c r="O254" s="108">
        <v>0</v>
      </c>
      <c r="P254" s="108">
        <v>0</v>
      </c>
      <c r="Q254" s="108">
        <v>0</v>
      </c>
      <c r="R254" s="108">
        <v>0</v>
      </c>
      <c r="S254" s="108">
        <v>0</v>
      </c>
      <c r="T254" s="108">
        <v>0</v>
      </c>
      <c r="U254" s="108">
        <v>0</v>
      </c>
      <c r="V254" s="108">
        <v>0</v>
      </c>
      <c r="W254" s="108">
        <v>0</v>
      </c>
      <c r="X254" s="108">
        <v>0</v>
      </c>
      <c r="Y254" s="108">
        <v>0</v>
      </c>
      <c r="Z254" s="108">
        <v>0</v>
      </c>
      <c r="AA254" s="108">
        <v>0</v>
      </c>
      <c r="AB254" s="108">
        <v>0</v>
      </c>
      <c r="AC254" s="108">
        <v>0</v>
      </c>
      <c r="AD254" s="108">
        <v>0</v>
      </c>
      <c r="AE254" s="108">
        <v>0</v>
      </c>
      <c r="AF254" s="108">
        <v>0</v>
      </c>
      <c r="AG254" s="108">
        <v>0</v>
      </c>
      <c r="AH254" s="108">
        <v>0</v>
      </c>
      <c r="AI254" s="108">
        <v>0</v>
      </c>
      <c r="AJ254" s="108">
        <v>0</v>
      </c>
      <c r="AK254" s="108">
        <v>0</v>
      </c>
      <c r="AL254" s="108">
        <v>0</v>
      </c>
      <c r="AM254" s="108">
        <v>0</v>
      </c>
      <c r="AN254" s="108">
        <v>0</v>
      </c>
      <c r="AO254" s="108">
        <v>0</v>
      </c>
      <c r="AP254" s="108">
        <v>0</v>
      </c>
      <c r="AQ254" s="108">
        <v>0</v>
      </c>
      <c r="AR254" s="108">
        <v>0</v>
      </c>
      <c r="AS254" s="108">
        <v>0</v>
      </c>
      <c r="AT254" s="108">
        <v>0</v>
      </c>
      <c r="AU254" s="108">
        <v>0</v>
      </c>
      <c r="AV254" s="108">
        <v>0</v>
      </c>
      <c r="AW254" s="108">
        <v>0</v>
      </c>
      <c r="AX254" s="108">
        <v>0</v>
      </c>
      <c r="AY254" s="108">
        <v>0</v>
      </c>
    </row>
    <row r="255" spans="1:51">
      <c r="A255" s="107"/>
      <c r="B255" s="127">
        <v>47</v>
      </c>
      <c r="C255" s="104">
        <v>0</v>
      </c>
      <c r="D255" s="108">
        <v>0</v>
      </c>
      <c r="E255" s="108">
        <v>0</v>
      </c>
      <c r="F255" s="108">
        <v>0</v>
      </c>
      <c r="G255" s="108">
        <v>0</v>
      </c>
      <c r="H255" s="108">
        <v>0</v>
      </c>
      <c r="I255" s="108">
        <v>0</v>
      </c>
      <c r="J255" s="108">
        <v>0</v>
      </c>
      <c r="K255" s="108">
        <v>0</v>
      </c>
      <c r="L255" s="108">
        <v>0</v>
      </c>
      <c r="M255" s="108">
        <v>0</v>
      </c>
      <c r="N255" s="108">
        <v>0</v>
      </c>
      <c r="O255" s="108">
        <v>0</v>
      </c>
      <c r="P255" s="108">
        <v>0</v>
      </c>
      <c r="Q255" s="108">
        <v>0</v>
      </c>
      <c r="R255" s="108">
        <v>0</v>
      </c>
      <c r="S255" s="108">
        <v>0</v>
      </c>
      <c r="T255" s="108">
        <v>0</v>
      </c>
      <c r="U255" s="108">
        <v>0</v>
      </c>
      <c r="V255" s="108">
        <v>0</v>
      </c>
      <c r="W255" s="108">
        <v>0</v>
      </c>
      <c r="X255" s="108">
        <v>0</v>
      </c>
      <c r="Y255" s="108">
        <v>0</v>
      </c>
      <c r="Z255" s="108">
        <v>0</v>
      </c>
      <c r="AA255" s="108">
        <v>0</v>
      </c>
      <c r="AB255" s="108">
        <v>0</v>
      </c>
      <c r="AC255" s="108">
        <v>0</v>
      </c>
      <c r="AD255" s="108">
        <v>0</v>
      </c>
      <c r="AE255" s="108">
        <v>0</v>
      </c>
      <c r="AF255" s="108">
        <v>0</v>
      </c>
      <c r="AG255" s="108">
        <v>0</v>
      </c>
      <c r="AH255" s="108">
        <v>0</v>
      </c>
      <c r="AI255" s="108">
        <v>0</v>
      </c>
      <c r="AJ255" s="108">
        <v>0</v>
      </c>
      <c r="AK255" s="108">
        <v>0</v>
      </c>
      <c r="AL255" s="108">
        <v>0</v>
      </c>
      <c r="AM255" s="108">
        <v>0</v>
      </c>
      <c r="AN255" s="108">
        <v>0</v>
      </c>
      <c r="AO255" s="108">
        <v>0</v>
      </c>
      <c r="AP255" s="108">
        <v>0</v>
      </c>
      <c r="AQ255" s="108">
        <v>0</v>
      </c>
      <c r="AR255" s="108">
        <v>0</v>
      </c>
      <c r="AS255" s="108">
        <v>0</v>
      </c>
      <c r="AT255" s="108">
        <v>0</v>
      </c>
      <c r="AU255" s="108">
        <v>0</v>
      </c>
      <c r="AV255" s="108">
        <v>0</v>
      </c>
      <c r="AW255" s="108">
        <v>0</v>
      </c>
      <c r="AX255" s="108">
        <v>0</v>
      </c>
      <c r="AY255" s="108">
        <v>0</v>
      </c>
    </row>
    <row r="256" spans="1:51">
      <c r="A256" s="125"/>
      <c r="B256" s="126">
        <v>48</v>
      </c>
      <c r="C256" s="111">
        <v>0</v>
      </c>
      <c r="D256" s="122">
        <v>0</v>
      </c>
      <c r="E256" s="122">
        <v>0</v>
      </c>
      <c r="F256" s="122">
        <v>0</v>
      </c>
      <c r="G256" s="122">
        <v>0</v>
      </c>
      <c r="H256" s="122">
        <v>0</v>
      </c>
      <c r="I256" s="122">
        <v>0</v>
      </c>
      <c r="J256" s="122">
        <v>0</v>
      </c>
      <c r="K256" s="122">
        <v>0</v>
      </c>
      <c r="L256" s="122">
        <v>0</v>
      </c>
      <c r="M256" s="122">
        <v>0</v>
      </c>
      <c r="N256" s="122">
        <v>0</v>
      </c>
      <c r="O256" s="122">
        <v>0</v>
      </c>
      <c r="P256" s="122">
        <v>0</v>
      </c>
      <c r="Q256" s="122">
        <v>0</v>
      </c>
      <c r="R256" s="122">
        <v>0</v>
      </c>
      <c r="S256" s="122">
        <v>0</v>
      </c>
      <c r="T256" s="122">
        <v>0</v>
      </c>
      <c r="U256" s="122">
        <v>0</v>
      </c>
      <c r="V256" s="122">
        <v>0</v>
      </c>
      <c r="W256" s="122">
        <v>0</v>
      </c>
      <c r="X256" s="122">
        <v>0</v>
      </c>
      <c r="Y256" s="122">
        <v>0</v>
      </c>
      <c r="Z256" s="122">
        <v>0</v>
      </c>
      <c r="AA256" s="122">
        <v>0</v>
      </c>
      <c r="AB256" s="122">
        <v>0</v>
      </c>
      <c r="AC256" s="122">
        <v>0</v>
      </c>
      <c r="AD256" s="122">
        <v>0</v>
      </c>
      <c r="AE256" s="122">
        <v>0</v>
      </c>
      <c r="AF256" s="122">
        <v>0</v>
      </c>
      <c r="AG256" s="122">
        <v>0</v>
      </c>
      <c r="AH256" s="122">
        <v>0</v>
      </c>
      <c r="AI256" s="122">
        <v>0</v>
      </c>
      <c r="AJ256" s="122">
        <v>0</v>
      </c>
      <c r="AK256" s="122">
        <v>0</v>
      </c>
      <c r="AL256" s="122">
        <v>0</v>
      </c>
      <c r="AM256" s="122">
        <v>0</v>
      </c>
      <c r="AN256" s="122">
        <v>0</v>
      </c>
      <c r="AO256" s="122">
        <v>0</v>
      </c>
      <c r="AP256" s="122">
        <v>0</v>
      </c>
      <c r="AQ256" s="122">
        <v>0</v>
      </c>
      <c r="AR256" s="122">
        <v>0</v>
      </c>
      <c r="AS256" s="122">
        <v>0</v>
      </c>
      <c r="AT256" s="122">
        <v>0</v>
      </c>
      <c r="AU256" s="122">
        <v>0</v>
      </c>
      <c r="AV256" s="122">
        <v>0</v>
      </c>
      <c r="AW256" s="122">
        <v>0</v>
      </c>
      <c r="AX256" s="122">
        <v>0</v>
      </c>
      <c r="AY256" s="122">
        <v>0</v>
      </c>
    </row>
    <row r="258" spans="1:52">
      <c r="A258" s="1" t="s">
        <v>301</v>
      </c>
    </row>
    <row r="259" spans="1:52">
      <c r="A259" s="134" t="s">
        <v>124</v>
      </c>
      <c r="B259" s="135">
        <v>650</v>
      </c>
      <c r="C259" s="121" t="s">
        <v>293</v>
      </c>
      <c r="D259" s="121">
        <f>E$14*$B$259</f>
        <v>84983.571263991616</v>
      </c>
      <c r="E259" s="121">
        <f t="shared" ref="E259:AX259" si="5">F$14*$B$259</f>
        <v>68381.515797570944</v>
      </c>
      <c r="F259" s="121">
        <f t="shared" si="5"/>
        <v>66573.698152845769</v>
      </c>
      <c r="G259" s="121">
        <f t="shared" si="5"/>
        <v>53834.152271922292</v>
      </c>
      <c r="H259" s="121">
        <f t="shared" si="5"/>
        <v>54007.160199342325</v>
      </c>
      <c r="I259" s="121">
        <f t="shared" si="5"/>
        <v>41310.564906042899</v>
      </c>
      <c r="J259" s="121">
        <f t="shared" si="5"/>
        <v>55854.254738945798</v>
      </c>
      <c r="K259" s="121">
        <f t="shared" si="5"/>
        <v>41310.564906042913</v>
      </c>
      <c r="L259" s="121">
        <f t="shared" si="5"/>
        <v>15663.825957057867</v>
      </c>
      <c r="M259" s="121">
        <f t="shared" si="5"/>
        <v>86002.196794977048</v>
      </c>
      <c r="N259" s="121">
        <f t="shared" si="5"/>
        <v>21843.252669471622</v>
      </c>
      <c r="O259" s="121">
        <f t="shared" si="5"/>
        <v>79653.899148327342</v>
      </c>
      <c r="P259" s="121">
        <f t="shared" si="5"/>
        <v>28380.706178052002</v>
      </c>
      <c r="Q259" s="121">
        <f t="shared" si="5"/>
        <v>79653.899148327342</v>
      </c>
      <c r="R259" s="121">
        <f t="shared" si="5"/>
        <v>70710.802197115278</v>
      </c>
      <c r="S259" s="121">
        <f t="shared" si="5"/>
        <v>63723.454089013459</v>
      </c>
      <c r="T259" s="121">
        <f t="shared" si="5"/>
        <v>67306.594609204301</v>
      </c>
      <c r="U259" s="121">
        <f t="shared" si="5"/>
        <v>47224.736910866755</v>
      </c>
      <c r="V259" s="121">
        <f t="shared" si="5"/>
        <v>41988.855728534982</v>
      </c>
      <c r="W259" s="121">
        <f t="shared" si="5"/>
        <v>52836.777600142246</v>
      </c>
      <c r="X259" s="121">
        <f t="shared" si="5"/>
        <v>46488.479953492533</v>
      </c>
      <c r="Y259" s="121">
        <f t="shared" si="5"/>
        <v>46488.479953492533</v>
      </c>
      <c r="Z259" s="121">
        <f t="shared" si="5"/>
        <v>46437.770281015299</v>
      </c>
      <c r="AA259" s="121">
        <f t="shared" si="5"/>
        <v>9315.5283104081609</v>
      </c>
      <c r="AB259" s="121">
        <f t="shared" si="5"/>
        <v>54007.160199342325</v>
      </c>
      <c r="AC259" s="121">
        <f t="shared" si="5"/>
        <v>34911.557586915958</v>
      </c>
      <c r="AD259" s="121">
        <f t="shared" si="5"/>
        <v>47658.862552692612</v>
      </c>
      <c r="AE259" s="121">
        <f t="shared" si="5"/>
        <v>61921.22038093071</v>
      </c>
      <c r="AF259" s="121">
        <f t="shared" si="5"/>
        <v>48829.24515189269</v>
      </c>
      <c r="AG259" s="121">
        <f t="shared" si="5"/>
        <v>9315.5283104081609</v>
      </c>
      <c r="AH259" s="121">
        <f t="shared" si="5"/>
        <v>73305.601501677651</v>
      </c>
      <c r="AI259" s="121">
        <f t="shared" si="5"/>
        <v>62405.602101100878</v>
      </c>
      <c r="AJ259" s="121">
        <f t="shared" si="5"/>
        <v>55776.258299970861</v>
      </c>
      <c r="AK259" s="121">
        <f t="shared" si="5"/>
        <v>61505.172971710272</v>
      </c>
      <c r="AL259" s="121">
        <f t="shared" si="5"/>
        <v>51029.743946843417</v>
      </c>
      <c r="AM259" s="121">
        <f t="shared" si="5"/>
        <v>41310.564906042899</v>
      </c>
      <c r="AN259" s="121">
        <f t="shared" si="5"/>
        <v>47658.862552692612</v>
      </c>
      <c r="AO259" s="121">
        <f t="shared" si="5"/>
        <v>15663.82595705787</v>
      </c>
      <c r="AP259" s="121">
        <f t="shared" si="5"/>
        <v>47658.862552692612</v>
      </c>
      <c r="AQ259" s="121">
        <f t="shared" si="5"/>
        <v>79653.899148327342</v>
      </c>
      <c r="AR259" s="121">
        <f t="shared" si="5"/>
        <v>29946.908299447223</v>
      </c>
      <c r="AS259" s="121">
        <f t="shared" si="5"/>
        <v>47658.862552692612</v>
      </c>
      <c r="AT259" s="121">
        <f t="shared" si="5"/>
        <v>9315.5283104081609</v>
      </c>
      <c r="AU259" s="121">
        <f t="shared" si="5"/>
        <v>83661.431596576891</v>
      </c>
      <c r="AV259" s="121">
        <f t="shared" si="5"/>
        <v>63924.761656484086</v>
      </c>
      <c r="AW259" s="121">
        <f t="shared" si="5"/>
        <v>46488.479953492533</v>
      </c>
      <c r="AX259" s="121">
        <f t="shared" si="5"/>
        <v>22012.123603707583</v>
      </c>
      <c r="AY259" s="121">
        <f>AZ$14*$B$259</f>
        <v>61740.80305034398</v>
      </c>
      <c r="AZ259" s="136">
        <f>SUM($D259:$AY259)</f>
        <v>2427335.6089096549</v>
      </c>
    </row>
    <row r="260" spans="1:52">
      <c r="A260" s="137" t="s">
        <v>302</v>
      </c>
      <c r="B260" s="111">
        <v>60</v>
      </c>
      <c r="C260" s="122" t="s">
        <v>293</v>
      </c>
      <c r="D260" s="122">
        <f>(D$175-D$176+D$177-D$178+D$179-D$180+D$181-D$182)*$B$260</f>
        <v>43793.095825812474</v>
      </c>
      <c r="E260" s="122">
        <f t="shared" ref="E260:AY260" si="6">(E$175-E$176+E$177-E$178+E$179-E$180+E$181-E$182)*$B$260</f>
        <v>43530.422034377661</v>
      </c>
      <c r="F260" s="122">
        <f t="shared" si="6"/>
        <v>50183.207988795184</v>
      </c>
      <c r="G260" s="122">
        <f t="shared" si="6"/>
        <v>47359.440242592347</v>
      </c>
      <c r="H260" s="122">
        <f t="shared" si="6"/>
        <v>54071.646203878634</v>
      </c>
      <c r="I260" s="122">
        <f t="shared" si="6"/>
        <v>49904.665487415004</v>
      </c>
      <c r="J260" s="122">
        <f t="shared" si="6"/>
        <v>48629.292317475389</v>
      </c>
      <c r="K260" s="122">
        <f t="shared" si="6"/>
        <v>42441.832371451863</v>
      </c>
      <c r="L260" s="122">
        <f t="shared" si="6"/>
        <v>43527.768239502126</v>
      </c>
      <c r="M260" s="122">
        <f t="shared" si="6"/>
        <v>52860.502682543811</v>
      </c>
      <c r="N260" s="122">
        <f t="shared" si="6"/>
        <v>43268.264310217026</v>
      </c>
      <c r="O260" s="122">
        <f t="shared" si="6"/>
        <v>49346.981219616355</v>
      </c>
      <c r="P260" s="122">
        <f t="shared" si="6"/>
        <v>43139.382988599318</v>
      </c>
      <c r="Q260" s="122">
        <f t="shared" si="6"/>
        <v>48141.557144944534</v>
      </c>
      <c r="R260" s="122">
        <f t="shared" si="6"/>
        <v>50686.55709224481</v>
      </c>
      <c r="S260" s="122">
        <f t="shared" si="6"/>
        <v>53471.026377104121</v>
      </c>
      <c r="T260" s="122">
        <f t="shared" si="6"/>
        <v>54086.314229399592</v>
      </c>
      <c r="U260" s="122">
        <f t="shared" si="6"/>
        <v>52252.951497155977</v>
      </c>
      <c r="V260" s="122">
        <f t="shared" si="6"/>
        <v>52350.698157975508</v>
      </c>
      <c r="W260" s="122">
        <f t="shared" si="6"/>
        <v>46721.957706798159</v>
      </c>
      <c r="X260" s="122">
        <f t="shared" si="6"/>
        <v>50190.485715852075</v>
      </c>
      <c r="Y260" s="122">
        <f t="shared" si="6"/>
        <v>51190.528449756661</v>
      </c>
      <c r="Z260" s="122">
        <f t="shared" si="6"/>
        <v>47068.421470951871</v>
      </c>
      <c r="AA260" s="122">
        <f t="shared" si="6"/>
        <v>50334.984881507131</v>
      </c>
      <c r="AB260" s="122">
        <f t="shared" si="6"/>
        <v>49005.877945667911</v>
      </c>
      <c r="AC260" s="122">
        <f t="shared" si="6"/>
        <v>47312.227129640261</v>
      </c>
      <c r="AD260" s="122">
        <f t="shared" si="6"/>
        <v>45343.287283433616</v>
      </c>
      <c r="AE260" s="122">
        <f t="shared" si="6"/>
        <v>47135.39719505229</v>
      </c>
      <c r="AF260" s="122">
        <f t="shared" si="6"/>
        <v>51210.903481105895</v>
      </c>
      <c r="AG260" s="122">
        <f t="shared" si="6"/>
        <v>44190.138361005498</v>
      </c>
      <c r="AH260" s="122">
        <f t="shared" si="6"/>
        <v>49211.890671518871</v>
      </c>
      <c r="AI260" s="122">
        <f t="shared" si="6"/>
        <v>48129.658141040745</v>
      </c>
      <c r="AJ260" s="122">
        <f t="shared" si="6"/>
        <v>48043.868071372759</v>
      </c>
      <c r="AK260" s="122">
        <f t="shared" si="6"/>
        <v>45726.658857296221</v>
      </c>
      <c r="AL260" s="122">
        <f t="shared" si="6"/>
        <v>45357.200380951406</v>
      </c>
      <c r="AM260" s="122">
        <f t="shared" si="6"/>
        <v>45719.731738410504</v>
      </c>
      <c r="AN260" s="122">
        <f t="shared" si="6"/>
        <v>43736.269451897911</v>
      </c>
      <c r="AO260" s="122">
        <f t="shared" si="6"/>
        <v>41044.375501485571</v>
      </c>
      <c r="AP260" s="122">
        <f t="shared" si="6"/>
        <v>36187.605818096796</v>
      </c>
      <c r="AQ260" s="122">
        <f t="shared" si="6"/>
        <v>45351.765359362485</v>
      </c>
      <c r="AR260" s="122">
        <f t="shared" si="6"/>
        <v>42226.765738800517</v>
      </c>
      <c r="AS260" s="122">
        <f t="shared" si="6"/>
        <v>39649.592288920685</v>
      </c>
      <c r="AT260" s="122">
        <f t="shared" si="6"/>
        <v>37627.605818096796</v>
      </c>
      <c r="AU260" s="122">
        <f t="shared" si="6"/>
        <v>53392.918486831353</v>
      </c>
      <c r="AV260" s="122">
        <f t="shared" si="6"/>
        <v>46532.763687978528</v>
      </c>
      <c r="AW260" s="122">
        <f t="shared" si="6"/>
        <v>47544.797917617849</v>
      </c>
      <c r="AX260" s="122">
        <f t="shared" si="6"/>
        <v>35827.605818096796</v>
      </c>
      <c r="AY260" s="122">
        <f t="shared" si="6"/>
        <v>43089.981419006806</v>
      </c>
      <c r="AZ260" s="138">
        <f>SUM($D260:$AY260)</f>
        <v>2247150.871198656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55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customWidth="1"/>
    <col min="2" max="2" width="12.6640625" customWidth="1"/>
  </cols>
  <sheetData>
    <row r="1" spans="1:53">
      <c r="A1" s="1" t="s">
        <v>284</v>
      </c>
    </row>
    <row r="2" spans="1:53">
      <c r="A2" t="s">
        <v>285</v>
      </c>
      <c r="B2" s="105" t="s">
        <v>46</v>
      </c>
    </row>
    <row r="3" spans="1:53">
      <c r="A3" t="s">
        <v>286</v>
      </c>
      <c r="B3" s="106">
        <v>2250</v>
      </c>
      <c r="C3" s="107"/>
    </row>
    <row r="4" spans="1:53">
      <c r="B4" s="108"/>
      <c r="C4" s="108"/>
    </row>
    <row r="5" spans="1:53">
      <c r="C5" s="9" t="s">
        <v>287</v>
      </c>
    </row>
    <row r="6" spans="1:53">
      <c r="C6" s="109">
        <v>0</v>
      </c>
      <c r="D6" s="109">
        <v>1</v>
      </c>
      <c r="E6" s="109">
        <v>2</v>
      </c>
      <c r="F6" s="109">
        <v>3</v>
      </c>
      <c r="G6" s="109">
        <v>4</v>
      </c>
      <c r="H6" s="109">
        <v>5</v>
      </c>
      <c r="I6" s="109">
        <v>6</v>
      </c>
      <c r="J6" s="109">
        <v>7</v>
      </c>
      <c r="K6" s="109">
        <v>8</v>
      </c>
      <c r="L6" s="109">
        <v>9</v>
      </c>
      <c r="M6" s="109">
        <v>10</v>
      </c>
      <c r="N6" s="109">
        <v>11</v>
      </c>
      <c r="O6" s="109">
        <v>12</v>
      </c>
      <c r="P6" s="109">
        <v>13</v>
      </c>
      <c r="Q6" s="109">
        <v>14</v>
      </c>
      <c r="R6" s="109">
        <v>15</v>
      </c>
      <c r="S6" s="109">
        <v>16</v>
      </c>
      <c r="T6" s="109">
        <v>17</v>
      </c>
      <c r="U6" s="109">
        <v>18</v>
      </c>
      <c r="V6" s="109">
        <v>19</v>
      </c>
      <c r="W6" s="109">
        <v>20</v>
      </c>
      <c r="X6" s="109">
        <v>21</v>
      </c>
      <c r="Y6" s="109">
        <v>22</v>
      </c>
      <c r="Z6" s="109">
        <v>23</v>
      </c>
      <c r="AA6" s="109">
        <v>24</v>
      </c>
      <c r="AB6" s="109">
        <v>25</v>
      </c>
      <c r="AC6" s="109">
        <v>26</v>
      </c>
      <c r="AD6" s="109">
        <v>27</v>
      </c>
      <c r="AE6" s="109">
        <v>28</v>
      </c>
      <c r="AF6" s="109">
        <v>29</v>
      </c>
      <c r="AG6" s="109">
        <v>30</v>
      </c>
      <c r="AH6" s="109">
        <v>31</v>
      </c>
      <c r="AI6" s="109">
        <v>32</v>
      </c>
      <c r="AJ6" s="109">
        <v>33</v>
      </c>
      <c r="AK6" s="109">
        <v>34</v>
      </c>
      <c r="AL6" s="109">
        <v>35</v>
      </c>
      <c r="AM6" s="109">
        <v>36</v>
      </c>
      <c r="AN6" s="109">
        <v>37</v>
      </c>
      <c r="AO6" s="109">
        <v>38</v>
      </c>
      <c r="AP6" s="109">
        <v>39</v>
      </c>
      <c r="AQ6" s="109">
        <v>40</v>
      </c>
      <c r="AR6" s="109">
        <v>41</v>
      </c>
      <c r="AS6" s="109">
        <v>42</v>
      </c>
      <c r="AT6" s="109">
        <v>43</v>
      </c>
      <c r="AU6" s="109">
        <v>44</v>
      </c>
      <c r="AV6" s="109">
        <v>45</v>
      </c>
      <c r="AW6" s="109">
        <v>46</v>
      </c>
      <c r="AX6" s="109">
        <v>47</v>
      </c>
      <c r="AY6" s="109">
        <v>48</v>
      </c>
    </row>
    <row r="7" spans="1:53">
      <c r="B7" s="108"/>
      <c r="C7" s="110" t="s">
        <v>288</v>
      </c>
      <c r="D7" s="109" t="s">
        <v>289</v>
      </c>
      <c r="E7" s="109" t="s">
        <v>289</v>
      </c>
      <c r="F7" s="109" t="s">
        <v>289</v>
      </c>
      <c r="G7" s="109" t="s">
        <v>289</v>
      </c>
      <c r="H7" s="109" t="s">
        <v>289</v>
      </c>
      <c r="I7" s="109" t="s">
        <v>289</v>
      </c>
      <c r="J7" s="109" t="s">
        <v>289</v>
      </c>
      <c r="K7" s="109" t="s">
        <v>289</v>
      </c>
      <c r="L7" s="109" t="s">
        <v>289</v>
      </c>
      <c r="M7" s="109" t="s">
        <v>289</v>
      </c>
      <c r="N7" s="109" t="s">
        <v>289</v>
      </c>
      <c r="O7" s="109" t="s">
        <v>289</v>
      </c>
      <c r="P7" s="109" t="s">
        <v>289</v>
      </c>
      <c r="Q7" s="109" t="s">
        <v>289</v>
      </c>
      <c r="R7" s="109" t="s">
        <v>289</v>
      </c>
      <c r="S7" s="109" t="s">
        <v>289</v>
      </c>
      <c r="T7" s="109" t="s">
        <v>289</v>
      </c>
      <c r="U7" s="109" t="s">
        <v>289</v>
      </c>
      <c r="V7" s="109" t="s">
        <v>289</v>
      </c>
      <c r="W7" s="109" t="s">
        <v>289</v>
      </c>
      <c r="X7" s="109" t="s">
        <v>289</v>
      </c>
      <c r="Y7" s="109" t="s">
        <v>289</v>
      </c>
      <c r="Z7" s="109" t="s">
        <v>289</v>
      </c>
      <c r="AA7" s="109" t="s">
        <v>289</v>
      </c>
      <c r="AB7" s="109" t="s">
        <v>289</v>
      </c>
      <c r="AC7" s="109" t="s">
        <v>289</v>
      </c>
      <c r="AD7" s="109" t="s">
        <v>289</v>
      </c>
      <c r="AE7" s="109" t="s">
        <v>289</v>
      </c>
      <c r="AF7" s="109" t="s">
        <v>289</v>
      </c>
      <c r="AG7" s="109" t="s">
        <v>289</v>
      </c>
      <c r="AH7" s="109" t="s">
        <v>289</v>
      </c>
      <c r="AI7" s="109" t="s">
        <v>289</v>
      </c>
      <c r="AJ7" s="109" t="s">
        <v>289</v>
      </c>
      <c r="AK7" s="109" t="s">
        <v>289</v>
      </c>
      <c r="AL7" s="109" t="s">
        <v>289</v>
      </c>
      <c r="AM7" s="109" t="s">
        <v>289</v>
      </c>
      <c r="AN7" s="109" t="s">
        <v>289</v>
      </c>
      <c r="AO7" s="109" t="s">
        <v>289</v>
      </c>
      <c r="AP7" s="109" t="s">
        <v>289</v>
      </c>
      <c r="AQ7" s="109" t="s">
        <v>289</v>
      </c>
      <c r="AR7" s="109" t="s">
        <v>289</v>
      </c>
      <c r="AS7" s="109" t="s">
        <v>289</v>
      </c>
      <c r="AT7" s="109" t="s">
        <v>289</v>
      </c>
      <c r="AU7" s="109" t="s">
        <v>289</v>
      </c>
      <c r="AV7" s="109" t="s">
        <v>289</v>
      </c>
      <c r="AW7" s="109" t="s">
        <v>289</v>
      </c>
      <c r="AX7" s="109" t="s">
        <v>289</v>
      </c>
      <c r="AY7" s="9" t="s">
        <v>290</v>
      </c>
      <c r="AZ7" s="9" t="s">
        <v>291</v>
      </c>
    </row>
    <row r="8" spans="1:53">
      <c r="A8" s="1" t="s">
        <v>292</v>
      </c>
      <c r="B8" s="111"/>
      <c r="AY8" s="108"/>
    </row>
    <row r="9" spans="1:53">
      <c r="A9" s="112" t="s">
        <v>125</v>
      </c>
      <c r="B9" s="113">
        <v>1</v>
      </c>
      <c r="C9" s="114" t="s">
        <v>293</v>
      </c>
      <c r="D9" s="114">
        <v>214.93203885649555</v>
      </c>
      <c r="E9" s="114">
        <v>214.93203885649555</v>
      </c>
      <c r="F9" s="114">
        <v>214.93203885649555</v>
      </c>
      <c r="G9" s="114">
        <v>214.93203885649555</v>
      </c>
      <c r="H9" s="114">
        <v>214.93203885649555</v>
      </c>
      <c r="I9" s="114">
        <v>214.93203885649555</v>
      </c>
      <c r="J9" s="114">
        <v>214.93203885649555</v>
      </c>
      <c r="K9" s="114">
        <v>214.93203885649555</v>
      </c>
      <c r="L9" s="114">
        <v>214.93203885649555</v>
      </c>
      <c r="M9" s="114">
        <v>214.93203885649555</v>
      </c>
      <c r="N9" s="114">
        <v>214.93203885649555</v>
      </c>
      <c r="O9" s="114">
        <v>214.93203885649555</v>
      </c>
      <c r="P9" s="114">
        <v>214.93203885649555</v>
      </c>
      <c r="Q9" s="114">
        <v>214.93203885649555</v>
      </c>
      <c r="R9" s="114">
        <v>214.93203885649555</v>
      </c>
      <c r="S9" s="114">
        <v>214.93203885649555</v>
      </c>
      <c r="T9" s="114">
        <v>214.93203885649555</v>
      </c>
      <c r="U9" s="114">
        <v>214.93203885649555</v>
      </c>
      <c r="V9" s="114">
        <v>214.93203885649555</v>
      </c>
      <c r="W9" s="114">
        <v>214.93203885649555</v>
      </c>
      <c r="X9" s="114">
        <v>171.94563108519645</v>
      </c>
      <c r="Y9" s="114">
        <v>171.94563108519645</v>
      </c>
      <c r="Z9" s="114">
        <v>171.94563108519645</v>
      </c>
      <c r="AA9" s="114">
        <v>171.94563108519645</v>
      </c>
      <c r="AB9" s="114">
        <v>214.93203885649555</v>
      </c>
      <c r="AC9" s="114">
        <v>214.93203885649555</v>
      </c>
      <c r="AD9" s="114">
        <v>214.93203885649555</v>
      </c>
      <c r="AE9" s="114">
        <v>214.93203885649555</v>
      </c>
      <c r="AF9" s="114">
        <v>214.93203885649555</v>
      </c>
      <c r="AG9" s="114">
        <v>214.93203885649555</v>
      </c>
      <c r="AH9" s="114">
        <v>214.93203885649555</v>
      </c>
      <c r="AI9" s="114">
        <v>214.93203885649555</v>
      </c>
      <c r="AJ9" s="114">
        <v>214.93203885649555</v>
      </c>
      <c r="AK9" s="114">
        <v>214.93203885649555</v>
      </c>
      <c r="AL9" s="114">
        <v>214.93203885649555</v>
      </c>
      <c r="AM9" s="114">
        <v>214.93203885649555</v>
      </c>
      <c r="AN9" s="114">
        <v>214.93203885649555</v>
      </c>
      <c r="AO9" s="114">
        <v>214.93203885649555</v>
      </c>
      <c r="AP9" s="114">
        <v>214.93203885649555</v>
      </c>
      <c r="AQ9" s="114">
        <v>214.93203885649555</v>
      </c>
      <c r="AR9" s="114">
        <v>214.93203885649555</v>
      </c>
      <c r="AS9" s="114">
        <v>214.93203885649555</v>
      </c>
      <c r="AT9" s="114">
        <v>214.93203885649555</v>
      </c>
      <c r="AU9" s="114">
        <v>214.93203885649555</v>
      </c>
      <c r="AV9" s="114">
        <v>214.93203885649555</v>
      </c>
      <c r="AW9" s="114">
        <v>86.735561487260469</v>
      </c>
      <c r="AX9" s="114">
        <v>214.93203885649555</v>
      </c>
      <c r="AY9" s="114">
        <v>214.93203885649555</v>
      </c>
    </row>
    <row r="10" spans="1:53">
      <c r="A10" s="115" t="s">
        <v>133</v>
      </c>
      <c r="B10" s="116">
        <v>1</v>
      </c>
      <c r="C10" s="104" t="s">
        <v>293</v>
      </c>
      <c r="D10">
        <v>156.10211538858883</v>
      </c>
      <c r="E10">
        <v>154.07451359522719</v>
      </c>
      <c r="F10">
        <v>154.07451359522716</v>
      </c>
      <c r="G10">
        <v>154.07451359522719</v>
      </c>
      <c r="H10">
        <v>154.07451359522716</v>
      </c>
      <c r="I10">
        <v>154.07451359522719</v>
      </c>
      <c r="J10">
        <v>154.07451359522716</v>
      </c>
      <c r="K10">
        <v>154.07451359522719</v>
      </c>
      <c r="L10">
        <v>154.07451359522716</v>
      </c>
      <c r="M10">
        <v>154.07451359522719</v>
      </c>
      <c r="N10">
        <v>13.658819651627757</v>
      </c>
      <c r="O10">
        <v>154.07451359522719</v>
      </c>
      <c r="P10">
        <v>13.658819651627757</v>
      </c>
      <c r="Q10">
        <v>154.07451359522719</v>
      </c>
      <c r="R10">
        <v>13.658819651627757</v>
      </c>
      <c r="S10">
        <v>154.07451359522719</v>
      </c>
      <c r="T10">
        <v>154.07451359522716</v>
      </c>
      <c r="U10">
        <v>154.07451359522719</v>
      </c>
      <c r="V10">
        <v>13.658819651627757</v>
      </c>
      <c r="W10">
        <v>154.07451359522719</v>
      </c>
      <c r="X10">
        <v>154.07451359522716</v>
      </c>
      <c r="Y10">
        <v>154.07451359522719</v>
      </c>
      <c r="Z10">
        <v>13.658819651627756</v>
      </c>
      <c r="AA10">
        <v>0</v>
      </c>
      <c r="AB10">
        <v>154.07451359522719</v>
      </c>
      <c r="AC10">
        <v>13.658819651627756</v>
      </c>
      <c r="AD10">
        <v>154.07451359522719</v>
      </c>
      <c r="AE10">
        <v>154.07451359522716</v>
      </c>
      <c r="AF10">
        <v>154.07451359522719</v>
      </c>
      <c r="AG10">
        <v>13.658819651627757</v>
      </c>
      <c r="AH10">
        <v>154.07451359522719</v>
      </c>
      <c r="AI10">
        <v>13.658819651627757</v>
      </c>
      <c r="AJ10">
        <v>154.07451359522719</v>
      </c>
      <c r="AK10">
        <v>154.07451359522716</v>
      </c>
      <c r="AL10">
        <v>154.07451359522719</v>
      </c>
      <c r="AM10">
        <v>13.658819651627757</v>
      </c>
      <c r="AN10">
        <v>154.07451359522719</v>
      </c>
      <c r="AO10">
        <v>154.07451359522716</v>
      </c>
      <c r="AP10">
        <v>154.07451359522719</v>
      </c>
      <c r="AQ10">
        <v>13.658819651627757</v>
      </c>
      <c r="AR10">
        <v>0</v>
      </c>
      <c r="AS10">
        <v>154.07451359522719</v>
      </c>
      <c r="AT10">
        <v>154.07451359522716</v>
      </c>
      <c r="AU10">
        <v>154.07451359522719</v>
      </c>
      <c r="AV10">
        <v>154.07451359522716</v>
      </c>
      <c r="AW10">
        <v>154.07451359522719</v>
      </c>
      <c r="AX10">
        <v>154.07451359522716</v>
      </c>
      <c r="AY10">
        <v>62.176581577403596</v>
      </c>
      <c r="AZ10">
        <v>154.07451359522716</v>
      </c>
    </row>
    <row r="11" spans="1:53">
      <c r="B11" s="116">
        <v>2</v>
      </c>
      <c r="C11" s="104" t="s">
        <v>293</v>
      </c>
      <c r="H11">
        <v>0</v>
      </c>
      <c r="L11">
        <v>0</v>
      </c>
      <c r="M11">
        <v>0</v>
      </c>
      <c r="N11">
        <v>0</v>
      </c>
      <c r="O11">
        <v>140.41569394359939</v>
      </c>
      <c r="P11">
        <v>0</v>
      </c>
      <c r="Q11">
        <v>140.41569394359939</v>
      </c>
      <c r="R11">
        <v>0</v>
      </c>
      <c r="S11">
        <v>140.41569394359939</v>
      </c>
      <c r="W11">
        <v>140.41569394359939</v>
      </c>
      <c r="X11">
        <v>0</v>
      </c>
      <c r="AA11">
        <v>109.60079122455399</v>
      </c>
      <c r="AB11">
        <v>0</v>
      </c>
      <c r="AC11">
        <v>0</v>
      </c>
      <c r="AD11">
        <v>109.60079122455399</v>
      </c>
      <c r="AF11">
        <v>0</v>
      </c>
      <c r="AG11">
        <v>0</v>
      </c>
      <c r="AH11">
        <v>140.41569394359939</v>
      </c>
      <c r="AJ11">
        <v>140.41569394359939</v>
      </c>
      <c r="AO11">
        <v>0</v>
      </c>
      <c r="AQ11">
        <v>0</v>
      </c>
      <c r="AV11">
        <v>0</v>
      </c>
      <c r="AX11">
        <v>0</v>
      </c>
      <c r="AY11">
        <v>0</v>
      </c>
      <c r="AZ11">
        <v>0</v>
      </c>
    </row>
    <row r="12" spans="1:53">
      <c r="B12" s="117">
        <v>3</v>
      </c>
      <c r="C12" s="104" t="s">
        <v>293</v>
      </c>
      <c r="F12">
        <v>0</v>
      </c>
      <c r="J12">
        <v>0</v>
      </c>
      <c r="W12">
        <v>0</v>
      </c>
      <c r="AL12">
        <v>0</v>
      </c>
      <c r="AO12">
        <v>140.41569394359939</v>
      </c>
      <c r="AS12">
        <v>140.41569394359939</v>
      </c>
    </row>
    <row r="13" spans="1:53">
      <c r="B13" s="117">
        <v>4</v>
      </c>
      <c r="C13" s="104" t="s">
        <v>293</v>
      </c>
    </row>
    <row r="14" spans="1:53">
      <c r="A14" s="112" t="s">
        <v>134</v>
      </c>
      <c r="B14" s="118">
        <v>1</v>
      </c>
      <c r="C14" s="114" t="s">
        <v>293</v>
      </c>
      <c r="D14" s="114">
        <v>94.691233942891799</v>
      </c>
      <c r="E14" s="114">
        <f t="shared" ref="E14:AZ14" si="0">D$172*SUM(D$122:D$169)</f>
        <v>95.969237696917276</v>
      </c>
      <c r="F14" s="114">
        <f t="shared" si="0"/>
        <v>93.671584280728084</v>
      </c>
      <c r="G14" s="114">
        <f t="shared" si="0"/>
        <v>93.671584280728098</v>
      </c>
      <c r="H14" s="114">
        <f t="shared" si="0"/>
        <v>93.671584280728084</v>
      </c>
      <c r="I14" s="114">
        <f t="shared" si="0"/>
        <v>93.671584280728098</v>
      </c>
      <c r="J14" s="114">
        <f t="shared" si="0"/>
        <v>93.671584280728084</v>
      </c>
      <c r="K14" s="114">
        <f t="shared" si="0"/>
        <v>93.671584280728098</v>
      </c>
      <c r="L14" s="114">
        <f t="shared" si="0"/>
        <v>93.671584280728084</v>
      </c>
      <c r="M14" s="114">
        <f t="shared" si="0"/>
        <v>93.671584280728098</v>
      </c>
      <c r="N14" s="114">
        <f t="shared" si="0"/>
        <v>93.671584280728084</v>
      </c>
      <c r="O14" s="114">
        <f t="shared" si="0"/>
        <v>24.990220037469296</v>
      </c>
      <c r="P14" s="114">
        <f t="shared" si="0"/>
        <v>162.35294852398687</v>
      </c>
      <c r="Q14" s="114">
        <f t="shared" si="0"/>
        <v>34.65902301709491</v>
      </c>
      <c r="R14" s="114">
        <f t="shared" si="0"/>
        <v>162.35294852398687</v>
      </c>
      <c r="S14" s="114">
        <f t="shared" si="0"/>
        <v>32.76075477756639</v>
      </c>
      <c r="T14" s="114">
        <f t="shared" si="0"/>
        <v>162.35294852398687</v>
      </c>
      <c r="U14" s="114">
        <f t="shared" si="0"/>
        <v>120.77970920128938</v>
      </c>
      <c r="V14" s="114">
        <f t="shared" si="0"/>
        <v>93.671584280728084</v>
      </c>
      <c r="W14" s="114">
        <f t="shared" si="0"/>
        <v>24.990220037469296</v>
      </c>
      <c r="X14" s="114">
        <f t="shared" si="0"/>
        <v>162.35294852398687</v>
      </c>
      <c r="Y14" s="114">
        <f t="shared" si="0"/>
        <v>120.25735496493638</v>
      </c>
      <c r="Z14" s="114">
        <f t="shared" si="0"/>
        <v>99.348619716972635</v>
      </c>
      <c r="AA14" s="114">
        <f t="shared" si="0"/>
        <v>24.990220037469296</v>
      </c>
      <c r="AB14" s="114">
        <f t="shared" si="0"/>
        <v>71.918204443993645</v>
      </c>
      <c r="AC14" s="114">
        <f t="shared" si="0"/>
        <v>93.671584280728084</v>
      </c>
      <c r="AD14" s="114">
        <f t="shared" si="0"/>
        <v>24.990220037469296</v>
      </c>
      <c r="AE14" s="114">
        <f t="shared" si="0"/>
        <v>147.28049117732135</v>
      </c>
      <c r="AF14" s="114">
        <f t="shared" si="0"/>
        <v>93.671584280728098</v>
      </c>
      <c r="AG14" s="114">
        <f t="shared" si="0"/>
        <v>93.671584280728084</v>
      </c>
      <c r="AH14" s="114">
        <f t="shared" si="0"/>
        <v>24.990220037469296</v>
      </c>
      <c r="AI14" s="114">
        <f t="shared" si="0"/>
        <v>162.35294852398687</v>
      </c>
      <c r="AJ14" s="114">
        <f t="shared" si="0"/>
        <v>36.493575679920568</v>
      </c>
      <c r="AK14" s="114">
        <f t="shared" si="0"/>
        <v>162.35294852398687</v>
      </c>
      <c r="AL14" s="114">
        <f t="shared" si="0"/>
        <v>116.81235079564313</v>
      </c>
      <c r="AM14" s="114">
        <f t="shared" si="0"/>
        <v>113.66565594182273</v>
      </c>
      <c r="AN14" s="114">
        <f t="shared" si="0"/>
        <v>24.990220037469296</v>
      </c>
      <c r="AO14" s="114">
        <f t="shared" si="0"/>
        <v>93.671584280728084</v>
      </c>
      <c r="AP14" s="114">
        <f t="shared" si="0"/>
        <v>162.35294852398692</v>
      </c>
      <c r="AQ14" s="114">
        <f t="shared" si="0"/>
        <v>113.35109827549317</v>
      </c>
      <c r="AR14" s="114">
        <f t="shared" si="0"/>
        <v>24.990220037469296</v>
      </c>
      <c r="AS14" s="114">
        <f t="shared" si="0"/>
        <v>18.30929754740038</v>
      </c>
      <c r="AT14" s="114">
        <f t="shared" si="0"/>
        <v>162.35294852398687</v>
      </c>
      <c r="AU14" s="114">
        <f t="shared" si="0"/>
        <v>124.10228017838824</v>
      </c>
      <c r="AV14" s="114">
        <f t="shared" si="0"/>
        <v>95.080152608339702</v>
      </c>
      <c r="AW14" s="114">
        <f t="shared" si="0"/>
        <v>93.671584280728098</v>
      </c>
      <c r="AX14" s="114">
        <f t="shared" si="0"/>
        <v>93.671584280728084</v>
      </c>
      <c r="AY14" s="114">
        <f t="shared" si="0"/>
        <v>93.671584280728098</v>
      </c>
      <c r="AZ14" s="108">
        <f t="shared" si="0"/>
        <v>48.721656214613368</v>
      </c>
      <c r="BA14" s="105">
        <f>SUM($E14:$AZ14)</f>
        <v>4455.6815234642718</v>
      </c>
    </row>
    <row r="15" spans="1:53">
      <c r="A15" s="119" t="s">
        <v>123</v>
      </c>
      <c r="B15" s="120">
        <v>1</v>
      </c>
      <c r="C15" s="121" t="s">
        <v>293</v>
      </c>
      <c r="D15" s="121">
        <v>234.73564068918745</v>
      </c>
      <c r="E15" s="121">
        <v>229.11570288751216</v>
      </c>
      <c r="F15" s="121">
        <v>229.11570288751221</v>
      </c>
      <c r="G15" s="121">
        <v>229.11570288751216</v>
      </c>
      <c r="H15" s="121">
        <v>229.11570288751221</v>
      </c>
      <c r="I15" s="121">
        <v>229.11570288751216</v>
      </c>
      <c r="J15" s="121">
        <v>229.11570288751221</v>
      </c>
      <c r="K15" s="121">
        <v>229.11570288751216</v>
      </c>
      <c r="L15" s="121">
        <v>229.11570288751221</v>
      </c>
      <c r="M15" s="121">
        <v>229.11570288751216</v>
      </c>
      <c r="N15" s="121">
        <v>61.12474634825152</v>
      </c>
      <c r="O15" s="121">
        <v>229.11570288751216</v>
      </c>
      <c r="P15" s="121">
        <v>61.12474634825152</v>
      </c>
      <c r="Q15" s="121">
        <v>229.11570288751216</v>
      </c>
      <c r="R15" s="121">
        <v>61.12474634825152</v>
      </c>
      <c r="S15" s="121">
        <v>229.11570288751216</v>
      </c>
      <c r="T15" s="121">
        <v>229.11570288751221</v>
      </c>
      <c r="U15" s="121">
        <v>229.11570288751216</v>
      </c>
      <c r="V15" s="121">
        <v>61.12474634825152</v>
      </c>
      <c r="W15" s="121">
        <v>229.11570288751216</v>
      </c>
      <c r="X15" s="121">
        <v>229.11570288751221</v>
      </c>
      <c r="Y15" s="121">
        <v>229.11570288751216</v>
      </c>
      <c r="Z15" s="121">
        <v>61.12474634825152</v>
      </c>
      <c r="AA15" s="121">
        <v>44.783565999879279</v>
      </c>
      <c r="AB15" s="121">
        <v>229.11570288751216</v>
      </c>
      <c r="AC15" s="121">
        <v>61.12474634825152</v>
      </c>
      <c r="AD15" s="121">
        <v>229.11570288751216</v>
      </c>
      <c r="AE15" s="121">
        <v>229.11570288751221</v>
      </c>
      <c r="AF15" s="121">
        <v>229.11570288751216</v>
      </c>
      <c r="AG15" s="121">
        <v>61.12474634825152</v>
      </c>
      <c r="AH15" s="121">
        <v>229.11570288751216</v>
      </c>
      <c r="AI15" s="121">
        <v>61.12474634825152</v>
      </c>
      <c r="AJ15" s="121">
        <v>229.11570288751216</v>
      </c>
      <c r="AK15" s="121">
        <v>229.11570288751221</v>
      </c>
      <c r="AL15" s="121">
        <v>229.11570288751216</v>
      </c>
      <c r="AM15" s="121">
        <v>61.12474634825152</v>
      </c>
      <c r="AN15" s="121">
        <v>229.11570288751216</v>
      </c>
      <c r="AO15" s="121">
        <v>229.11570288751221</v>
      </c>
      <c r="AP15" s="121">
        <v>229.11570288751216</v>
      </c>
      <c r="AQ15" s="121">
        <v>61.12474634825152</v>
      </c>
      <c r="AR15" s="121">
        <v>44.783565999879279</v>
      </c>
      <c r="AS15" s="121">
        <v>229.11570288751216</v>
      </c>
      <c r="AT15" s="121">
        <v>229.11570288751221</v>
      </c>
      <c r="AU15" s="121">
        <v>229.11570288751216</v>
      </c>
      <c r="AV15" s="121">
        <v>229.11570288751221</v>
      </c>
      <c r="AW15" s="121">
        <v>229.11570288751216</v>
      </c>
      <c r="AX15" s="121">
        <v>229.11570288751221</v>
      </c>
      <c r="AY15" s="121">
        <v>119.17057446151802</v>
      </c>
      <c r="AZ15">
        <v>184.33213688763291</v>
      </c>
    </row>
    <row r="16" spans="1:53">
      <c r="A16" s="108"/>
      <c r="B16" s="116">
        <v>2</v>
      </c>
      <c r="C16" s="107" t="s">
        <v>293</v>
      </c>
      <c r="D16" s="104"/>
      <c r="E16" s="108"/>
      <c r="F16" s="108"/>
      <c r="G16" s="108"/>
      <c r="H16" s="108">
        <v>0</v>
      </c>
      <c r="I16" s="108"/>
      <c r="J16" s="108"/>
      <c r="K16" s="108"/>
      <c r="L16" s="108">
        <v>0</v>
      </c>
      <c r="M16" s="108">
        <v>0</v>
      </c>
      <c r="N16" s="108">
        <v>0</v>
      </c>
      <c r="O16" s="108">
        <v>167.99095653926068</v>
      </c>
      <c r="P16" s="108">
        <v>0</v>
      </c>
      <c r="Q16" s="108">
        <v>167.99095653926068</v>
      </c>
      <c r="R16" s="108">
        <v>0</v>
      </c>
      <c r="S16" s="108">
        <v>167.99095653926068</v>
      </c>
      <c r="T16" s="108"/>
      <c r="U16" s="108"/>
      <c r="V16" s="108"/>
      <c r="W16" s="108">
        <v>167.99095653926068</v>
      </c>
      <c r="X16" s="108">
        <v>0</v>
      </c>
      <c r="Y16" s="108"/>
      <c r="Z16" s="108"/>
      <c r="AA16" s="108">
        <v>131.12452916173413</v>
      </c>
      <c r="AB16" s="108">
        <v>0</v>
      </c>
      <c r="AC16" s="108">
        <v>0</v>
      </c>
      <c r="AD16" s="108">
        <v>131.12452916173413</v>
      </c>
      <c r="AE16" s="108"/>
      <c r="AF16" s="108">
        <v>0</v>
      </c>
      <c r="AG16" s="108">
        <v>0</v>
      </c>
      <c r="AH16" s="108">
        <v>167.99095653926068</v>
      </c>
      <c r="AI16" s="108"/>
      <c r="AJ16" s="108">
        <v>167.99095653926068</v>
      </c>
      <c r="AK16" s="108"/>
      <c r="AL16" s="108"/>
      <c r="AM16" s="108"/>
      <c r="AN16" s="108"/>
      <c r="AO16" s="108">
        <v>0</v>
      </c>
      <c r="AP16" s="108"/>
      <c r="AQ16" s="108">
        <v>0</v>
      </c>
      <c r="AR16" s="108"/>
      <c r="AS16" s="108"/>
      <c r="AT16" s="108"/>
      <c r="AU16" s="108"/>
      <c r="AV16" s="108">
        <v>0</v>
      </c>
      <c r="AW16" s="108"/>
      <c r="AX16" s="108">
        <v>0</v>
      </c>
      <c r="AY16" s="108">
        <v>0</v>
      </c>
      <c r="AZ16">
        <v>0</v>
      </c>
    </row>
    <row r="17" spans="1:51">
      <c r="A17" s="108"/>
      <c r="B17" s="116">
        <v>3</v>
      </c>
      <c r="C17" s="107" t="s">
        <v>293</v>
      </c>
      <c r="D17" s="104"/>
      <c r="E17" s="108"/>
      <c r="F17" s="108">
        <v>0</v>
      </c>
      <c r="G17" s="108"/>
      <c r="H17" s="108"/>
      <c r="I17" s="108"/>
      <c r="J17" s="108">
        <v>0</v>
      </c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>
        <v>0</v>
      </c>
      <c r="X17" s="108"/>
      <c r="Y17" s="108"/>
      <c r="Z17" s="108"/>
      <c r="AA17" s="108"/>
      <c r="AB17" s="108"/>
      <c r="AC17" s="108"/>
      <c r="AD17" s="108"/>
      <c r="AE17" s="108"/>
      <c r="AF17" s="108"/>
      <c r="AG17" s="108"/>
      <c r="AH17" s="108"/>
      <c r="AI17" s="108"/>
      <c r="AJ17" s="108"/>
      <c r="AK17" s="108"/>
      <c r="AL17" s="108">
        <v>0</v>
      </c>
      <c r="AM17" s="108"/>
      <c r="AN17" s="108"/>
      <c r="AO17" s="108">
        <v>167.99095653926068</v>
      </c>
      <c r="AP17" s="108"/>
      <c r="AQ17" s="108"/>
      <c r="AR17" s="108"/>
      <c r="AS17" s="108">
        <v>167.99095653926068</v>
      </c>
      <c r="AT17" s="108"/>
      <c r="AU17" s="108"/>
      <c r="AV17" s="108"/>
      <c r="AW17" s="108"/>
      <c r="AX17" s="108"/>
      <c r="AY17" s="108"/>
    </row>
    <row r="18" spans="1:51">
      <c r="A18" s="122"/>
      <c r="B18" s="113">
        <v>4</v>
      </c>
      <c r="C18" s="122" t="s">
        <v>293</v>
      </c>
      <c r="D18" s="122"/>
      <c r="E18" s="122"/>
      <c r="F18" s="122"/>
      <c r="G18" s="122"/>
      <c r="H18" s="122"/>
      <c r="I18" s="122"/>
      <c r="J18" s="122"/>
      <c r="K18" s="122"/>
      <c r="L18" s="122"/>
      <c r="M18" s="122"/>
      <c r="N18" s="122"/>
      <c r="O18" s="122"/>
      <c r="P18" s="122"/>
      <c r="Q18" s="122"/>
      <c r="R18" s="122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  <c r="AH18" s="122"/>
      <c r="AI18" s="122"/>
      <c r="AJ18" s="122"/>
      <c r="AK18" s="122"/>
      <c r="AL18" s="122"/>
      <c r="AM18" s="122"/>
      <c r="AN18" s="122"/>
      <c r="AO18" s="122"/>
      <c r="AP18" s="122"/>
      <c r="AQ18" s="122"/>
      <c r="AR18" s="122"/>
      <c r="AS18" s="122"/>
      <c r="AT18" s="122"/>
      <c r="AU18" s="122"/>
      <c r="AV18" s="122"/>
      <c r="AW18" s="122"/>
      <c r="AX18" s="122"/>
      <c r="AY18" s="122"/>
    </row>
    <row r="20" spans="1:51">
      <c r="A20" s="1" t="s">
        <v>294</v>
      </c>
    </row>
    <row r="21" spans="1:51">
      <c r="A21" s="123" t="s">
        <v>125</v>
      </c>
      <c r="B21" s="120">
        <v>1</v>
      </c>
      <c r="C21" s="121" t="s">
        <v>293</v>
      </c>
      <c r="D21" s="121"/>
      <c r="E21" s="121"/>
      <c r="F21" s="121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  <c r="AN21" s="121"/>
      <c r="AO21" s="121"/>
      <c r="AP21" s="121"/>
      <c r="AQ21" s="121"/>
      <c r="AR21" s="121"/>
      <c r="AS21" s="121"/>
      <c r="AT21" s="121"/>
      <c r="AU21" s="121"/>
      <c r="AV21" s="121"/>
      <c r="AW21" s="121"/>
      <c r="AX21" s="121"/>
      <c r="AY21" s="121"/>
    </row>
    <row r="22" spans="1:51">
      <c r="A22" s="107"/>
      <c r="B22" s="117">
        <v>2</v>
      </c>
      <c r="C22" s="108" t="s">
        <v>293</v>
      </c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  <c r="AN22" s="108"/>
      <c r="AO22" s="108"/>
      <c r="AP22" s="108"/>
      <c r="AQ22" s="108"/>
      <c r="AR22" s="108"/>
      <c r="AS22" s="108"/>
      <c r="AT22" s="108"/>
      <c r="AU22" s="108"/>
      <c r="AV22" s="108"/>
      <c r="AW22" s="108"/>
      <c r="AX22" s="108"/>
      <c r="AY22" s="108"/>
    </row>
    <row r="23" spans="1:51">
      <c r="A23" s="107"/>
      <c r="B23" s="124">
        <v>3</v>
      </c>
      <c r="C23" s="108" t="s">
        <v>293</v>
      </c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108"/>
      <c r="AU23" s="108"/>
      <c r="AV23" s="108"/>
      <c r="AW23" s="108"/>
      <c r="AX23" s="108"/>
      <c r="AY23" s="108"/>
    </row>
    <row r="24" spans="1:51">
      <c r="A24" s="125"/>
      <c r="B24" s="126">
        <v>4</v>
      </c>
      <c r="C24" s="125" t="s">
        <v>293</v>
      </c>
      <c r="D24" s="122">
        <v>0</v>
      </c>
      <c r="E24" s="122">
        <v>0</v>
      </c>
      <c r="F24" s="122">
        <v>0</v>
      </c>
      <c r="G24" s="122">
        <v>0</v>
      </c>
      <c r="H24" s="122">
        <v>0</v>
      </c>
      <c r="I24" s="122">
        <v>0</v>
      </c>
      <c r="J24" s="122">
        <v>0</v>
      </c>
      <c r="K24" s="122">
        <v>0</v>
      </c>
      <c r="L24" s="122">
        <v>0</v>
      </c>
      <c r="M24" s="122">
        <v>0</v>
      </c>
      <c r="N24" s="122">
        <v>0</v>
      </c>
      <c r="O24" s="122">
        <v>0</v>
      </c>
      <c r="P24" s="122">
        <v>0</v>
      </c>
      <c r="Q24" s="122">
        <v>0</v>
      </c>
      <c r="R24" s="122">
        <v>0</v>
      </c>
      <c r="S24" s="122">
        <v>0</v>
      </c>
      <c r="T24" s="122">
        <v>0</v>
      </c>
      <c r="U24" s="122">
        <v>0</v>
      </c>
      <c r="V24" s="122">
        <v>0</v>
      </c>
      <c r="W24" s="122">
        <v>0</v>
      </c>
      <c r="X24" s="122">
        <v>0</v>
      </c>
      <c r="Y24" s="122">
        <v>0</v>
      </c>
      <c r="Z24" s="122">
        <v>0</v>
      </c>
      <c r="AA24" s="122">
        <v>0</v>
      </c>
      <c r="AB24" s="122">
        <v>0</v>
      </c>
      <c r="AC24" s="122">
        <v>0</v>
      </c>
      <c r="AD24" s="122">
        <v>0</v>
      </c>
      <c r="AE24" s="122">
        <v>0</v>
      </c>
      <c r="AF24" s="122">
        <v>0</v>
      </c>
      <c r="AG24" s="122">
        <v>0</v>
      </c>
      <c r="AH24" s="122">
        <v>0</v>
      </c>
      <c r="AI24" s="122">
        <v>0</v>
      </c>
      <c r="AJ24" s="122">
        <v>0</v>
      </c>
      <c r="AK24" s="122">
        <v>0</v>
      </c>
      <c r="AL24" s="122">
        <v>0</v>
      </c>
      <c r="AM24" s="122">
        <v>0</v>
      </c>
      <c r="AN24" s="122">
        <v>0</v>
      </c>
      <c r="AO24" s="122">
        <v>0</v>
      </c>
      <c r="AP24" s="122">
        <v>0</v>
      </c>
      <c r="AQ24" s="122">
        <v>0</v>
      </c>
      <c r="AR24" s="122">
        <v>0</v>
      </c>
      <c r="AS24" s="122">
        <v>0</v>
      </c>
      <c r="AT24" s="122">
        <v>0</v>
      </c>
      <c r="AU24" s="122">
        <v>0</v>
      </c>
      <c r="AV24" s="122">
        <v>0</v>
      </c>
      <c r="AW24" s="122">
        <v>0</v>
      </c>
      <c r="AX24" s="122">
        <v>0</v>
      </c>
      <c r="AY24" s="122">
        <v>0</v>
      </c>
    </row>
    <row r="25" spans="1:51">
      <c r="A25" s="123" t="s">
        <v>133</v>
      </c>
      <c r="B25" s="120">
        <v>1</v>
      </c>
      <c r="C25" s="107" t="s">
        <v>293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</row>
    <row r="26" spans="1:51">
      <c r="A26" s="107"/>
      <c r="B26" s="116">
        <v>2</v>
      </c>
      <c r="C26" s="107" t="s">
        <v>293</v>
      </c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  <c r="AX26" s="108"/>
      <c r="AY26" s="108"/>
    </row>
    <row r="27" spans="1:51">
      <c r="A27" s="107"/>
      <c r="B27" s="117">
        <v>3</v>
      </c>
      <c r="C27" s="107" t="s">
        <v>293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8"/>
      <c r="AX27" s="108"/>
      <c r="AY27" s="108"/>
    </row>
    <row r="28" spans="1:51">
      <c r="A28" s="107"/>
      <c r="B28" s="117">
        <v>4</v>
      </c>
      <c r="C28" s="107" t="s">
        <v>293</v>
      </c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</row>
    <row r="29" spans="1:51">
      <c r="A29" s="107"/>
      <c r="B29" s="124">
        <v>5</v>
      </c>
      <c r="C29" s="107" t="s">
        <v>293</v>
      </c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  <c r="AX29" s="108"/>
      <c r="AY29" s="108"/>
    </row>
    <row r="30" spans="1:51">
      <c r="A30" s="107"/>
      <c r="B30" s="124">
        <v>6</v>
      </c>
      <c r="C30" s="107" t="s">
        <v>293</v>
      </c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</row>
    <row r="31" spans="1:51">
      <c r="A31" s="107"/>
      <c r="B31" s="127">
        <v>7</v>
      </c>
      <c r="C31" s="107" t="s">
        <v>293</v>
      </c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8"/>
      <c r="AT31" s="108"/>
      <c r="AU31" s="108"/>
      <c r="AV31" s="108"/>
      <c r="AW31" s="108"/>
      <c r="AX31" s="108"/>
      <c r="AY31" s="108"/>
    </row>
    <row r="32" spans="1:51">
      <c r="A32" s="125"/>
      <c r="B32" s="126">
        <v>8</v>
      </c>
      <c r="C32" s="125" t="s">
        <v>293</v>
      </c>
      <c r="D32" s="122">
        <v>0</v>
      </c>
      <c r="E32" s="122">
        <v>0</v>
      </c>
      <c r="F32" s="122">
        <v>0</v>
      </c>
      <c r="G32" s="122">
        <v>0</v>
      </c>
      <c r="H32" s="122">
        <v>0</v>
      </c>
      <c r="I32" s="122">
        <v>0</v>
      </c>
      <c r="J32" s="122">
        <v>0</v>
      </c>
      <c r="K32" s="122">
        <v>0</v>
      </c>
      <c r="L32" s="122">
        <v>0</v>
      </c>
      <c r="M32" s="122">
        <v>0</v>
      </c>
      <c r="N32" s="122">
        <v>0</v>
      </c>
      <c r="O32" s="122">
        <v>0</v>
      </c>
      <c r="P32" s="122">
        <v>0</v>
      </c>
      <c r="Q32" s="122">
        <v>0</v>
      </c>
      <c r="R32" s="122">
        <v>0</v>
      </c>
      <c r="S32" s="122">
        <v>0</v>
      </c>
      <c r="T32" s="122">
        <v>0</v>
      </c>
      <c r="U32" s="122">
        <v>0</v>
      </c>
      <c r="V32" s="122">
        <v>0</v>
      </c>
      <c r="W32" s="122">
        <v>0</v>
      </c>
      <c r="X32" s="122">
        <v>0</v>
      </c>
      <c r="Y32" s="122">
        <v>0</v>
      </c>
      <c r="Z32" s="122">
        <v>0</v>
      </c>
      <c r="AA32" s="122">
        <v>0</v>
      </c>
      <c r="AB32" s="122">
        <v>0</v>
      </c>
      <c r="AC32" s="122">
        <v>0</v>
      </c>
      <c r="AD32" s="122">
        <v>0</v>
      </c>
      <c r="AE32" s="122">
        <v>0</v>
      </c>
      <c r="AF32" s="122">
        <v>0</v>
      </c>
      <c r="AG32" s="122">
        <v>0</v>
      </c>
      <c r="AH32" s="122">
        <v>0</v>
      </c>
      <c r="AI32" s="122">
        <v>0</v>
      </c>
      <c r="AJ32" s="122">
        <v>0</v>
      </c>
      <c r="AK32" s="122">
        <v>0</v>
      </c>
      <c r="AL32" s="122">
        <v>0</v>
      </c>
      <c r="AM32" s="122">
        <v>0</v>
      </c>
      <c r="AN32" s="122">
        <v>0</v>
      </c>
      <c r="AO32" s="122">
        <v>0</v>
      </c>
      <c r="AP32" s="122">
        <v>0</v>
      </c>
      <c r="AQ32" s="122">
        <v>0</v>
      </c>
      <c r="AR32" s="122">
        <v>0</v>
      </c>
      <c r="AS32" s="122">
        <v>0</v>
      </c>
      <c r="AT32" s="122">
        <v>0</v>
      </c>
      <c r="AU32" s="122">
        <v>0</v>
      </c>
      <c r="AV32" s="122">
        <v>0</v>
      </c>
      <c r="AW32" s="122">
        <v>0</v>
      </c>
      <c r="AX32" s="122">
        <v>0</v>
      </c>
      <c r="AY32" s="122">
        <v>0</v>
      </c>
    </row>
    <row r="33" spans="1:51">
      <c r="A33" s="128" t="s">
        <v>134</v>
      </c>
      <c r="B33" s="116">
        <v>1</v>
      </c>
      <c r="C33" s="107" t="s">
        <v>293</v>
      </c>
      <c r="D33" s="104"/>
      <c r="E33" s="104"/>
      <c r="F33" s="104"/>
      <c r="G33" s="104"/>
      <c r="H33" s="104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  <c r="AM33" s="104"/>
      <c r="AN33" s="104"/>
      <c r="AO33" s="104"/>
      <c r="AP33" s="104"/>
      <c r="AQ33" s="104"/>
      <c r="AR33" s="104"/>
      <c r="AS33" s="104"/>
      <c r="AT33" s="104"/>
      <c r="AU33" s="104"/>
      <c r="AV33" s="104"/>
      <c r="AW33" s="104"/>
      <c r="AX33" s="104"/>
      <c r="AY33" s="104"/>
    </row>
    <row r="34" spans="1:51">
      <c r="A34" s="107"/>
      <c r="B34" s="116">
        <v>2</v>
      </c>
      <c r="C34" s="107" t="s">
        <v>293</v>
      </c>
      <c r="D34" s="104"/>
      <c r="E34" s="104"/>
      <c r="F34" s="104"/>
      <c r="G34" s="104"/>
      <c r="H34" s="10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  <c r="AM34" s="104"/>
      <c r="AN34" s="104"/>
      <c r="AO34" s="104"/>
      <c r="AP34" s="104"/>
      <c r="AQ34" s="104"/>
      <c r="AR34" s="104"/>
      <c r="AS34" s="104"/>
      <c r="AT34" s="104"/>
      <c r="AU34" s="104"/>
      <c r="AV34" s="104"/>
      <c r="AW34" s="104"/>
      <c r="AX34" s="104"/>
      <c r="AY34" s="104"/>
    </row>
    <row r="35" spans="1:51">
      <c r="A35" s="107"/>
      <c r="B35" s="116">
        <v>3</v>
      </c>
      <c r="C35" s="107" t="s">
        <v>293</v>
      </c>
      <c r="D35" s="104"/>
      <c r="E35" s="104"/>
      <c r="F35" s="104"/>
      <c r="G35" s="104"/>
      <c r="H35" s="104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  <c r="AM35" s="104"/>
      <c r="AN35" s="104"/>
      <c r="AO35" s="104"/>
      <c r="AP35" s="104"/>
      <c r="AQ35" s="104"/>
      <c r="AR35" s="104"/>
      <c r="AS35" s="104"/>
      <c r="AT35" s="104"/>
      <c r="AU35" s="104"/>
      <c r="AV35" s="104"/>
      <c r="AW35" s="104"/>
      <c r="AX35" s="104"/>
      <c r="AY35" s="104"/>
    </row>
    <row r="36" spans="1:51">
      <c r="A36" s="107"/>
      <c r="B36" s="117">
        <v>4</v>
      </c>
      <c r="C36" s="107" t="s">
        <v>293</v>
      </c>
      <c r="D36" s="104"/>
      <c r="E36" s="104"/>
      <c r="F36" s="104"/>
      <c r="G36" s="104"/>
      <c r="H36" s="104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4"/>
      <c r="AM36" s="104"/>
      <c r="AN36" s="104"/>
      <c r="AO36" s="104"/>
      <c r="AP36" s="104"/>
      <c r="AQ36" s="104"/>
      <c r="AR36" s="104"/>
      <c r="AS36" s="104"/>
      <c r="AT36" s="104"/>
      <c r="AU36" s="104"/>
      <c r="AV36" s="104"/>
      <c r="AW36" s="104"/>
      <c r="AX36" s="104"/>
      <c r="AY36" s="104"/>
    </row>
    <row r="37" spans="1:51">
      <c r="A37" s="107"/>
      <c r="B37" s="117">
        <v>5</v>
      </c>
      <c r="C37" s="107" t="s">
        <v>293</v>
      </c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  <c r="AM37" s="104"/>
      <c r="AN37" s="104"/>
      <c r="AO37" s="104"/>
      <c r="AP37" s="104"/>
      <c r="AQ37" s="104"/>
      <c r="AR37" s="104"/>
      <c r="AS37" s="104"/>
      <c r="AT37" s="104"/>
      <c r="AU37" s="104"/>
      <c r="AV37" s="104"/>
      <c r="AW37" s="104"/>
      <c r="AX37" s="104"/>
      <c r="AY37" s="104"/>
    </row>
    <row r="38" spans="1:51">
      <c r="A38" s="107"/>
      <c r="B38" s="117">
        <v>6</v>
      </c>
      <c r="C38" s="107" t="s">
        <v>293</v>
      </c>
      <c r="D38" s="104"/>
      <c r="E38" s="104"/>
      <c r="F38" s="104"/>
      <c r="G38" s="104"/>
      <c r="H38" s="104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 s="104"/>
      <c r="AW38" s="104"/>
      <c r="AX38" s="104"/>
      <c r="AY38" s="104"/>
    </row>
    <row r="39" spans="1:51">
      <c r="A39" s="107"/>
      <c r="B39" s="124">
        <v>7</v>
      </c>
      <c r="C39" s="107" t="s">
        <v>293</v>
      </c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4"/>
      <c r="AM39" s="104"/>
      <c r="AN39" s="104"/>
      <c r="AO39" s="104"/>
      <c r="AP39" s="104"/>
      <c r="AQ39" s="104"/>
      <c r="AR39" s="104"/>
      <c r="AS39" s="104"/>
      <c r="AT39" s="104"/>
      <c r="AU39" s="104"/>
      <c r="AV39" s="104"/>
      <c r="AW39" s="104"/>
      <c r="AX39" s="104"/>
      <c r="AY39" s="104"/>
    </row>
    <row r="40" spans="1:51">
      <c r="A40" s="107"/>
      <c r="B40" s="124">
        <v>8</v>
      </c>
      <c r="C40" s="107" t="s">
        <v>293</v>
      </c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  <c r="AM40" s="104"/>
      <c r="AN40" s="104"/>
      <c r="AO40" s="104"/>
      <c r="AP40" s="104"/>
      <c r="AQ40" s="104"/>
      <c r="AR40" s="104"/>
      <c r="AS40" s="104"/>
      <c r="AT40" s="104"/>
      <c r="AU40" s="104"/>
      <c r="AV40" s="104"/>
      <c r="AW40" s="104"/>
      <c r="AX40" s="104"/>
      <c r="AY40" s="104"/>
    </row>
    <row r="41" spans="1:51">
      <c r="A41" s="107"/>
      <c r="B41" s="124">
        <v>9</v>
      </c>
      <c r="C41" s="107" t="s">
        <v>293</v>
      </c>
      <c r="D41" s="104"/>
      <c r="E41" s="104"/>
      <c r="F41" s="104"/>
      <c r="G41" s="104"/>
      <c r="H41" s="104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04"/>
      <c r="AM41" s="104"/>
      <c r="AN41" s="104"/>
      <c r="AO41" s="104"/>
      <c r="AP41" s="104"/>
      <c r="AQ41" s="104"/>
      <c r="AR41" s="104"/>
      <c r="AS41" s="104"/>
      <c r="AT41" s="104"/>
      <c r="AU41" s="104"/>
      <c r="AV41" s="104"/>
      <c r="AW41" s="104"/>
      <c r="AX41" s="104"/>
      <c r="AY41" s="104"/>
    </row>
    <row r="42" spans="1:51">
      <c r="A42" s="107"/>
      <c r="B42" s="127">
        <v>10</v>
      </c>
      <c r="C42" s="107" t="s">
        <v>293</v>
      </c>
      <c r="D42" s="104"/>
      <c r="E42" s="104"/>
      <c r="F42" s="104"/>
      <c r="G42" s="104"/>
      <c r="H42" s="104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4"/>
      <c r="AM42" s="104"/>
      <c r="AN42" s="104"/>
      <c r="AO42" s="104"/>
      <c r="AP42" s="104"/>
      <c r="AQ42" s="104"/>
      <c r="AR42" s="104"/>
      <c r="AS42" s="104"/>
      <c r="AT42" s="104"/>
      <c r="AU42" s="104"/>
      <c r="AV42" s="104"/>
      <c r="AW42" s="104"/>
      <c r="AX42" s="104"/>
      <c r="AY42" s="104"/>
    </row>
    <row r="43" spans="1:51">
      <c r="A43" s="107"/>
      <c r="B43" s="127">
        <v>11</v>
      </c>
      <c r="C43" s="107" t="s">
        <v>293</v>
      </c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4"/>
      <c r="AM43" s="104"/>
      <c r="AN43" s="104"/>
      <c r="AO43" s="104"/>
      <c r="AP43" s="104"/>
      <c r="AQ43" s="104"/>
      <c r="AR43" s="104"/>
      <c r="AS43" s="104"/>
      <c r="AT43" s="104"/>
      <c r="AU43" s="104"/>
      <c r="AV43" s="104"/>
      <c r="AW43" s="104"/>
      <c r="AX43" s="104"/>
      <c r="AY43" s="104"/>
    </row>
    <row r="44" spans="1:51">
      <c r="A44" s="107"/>
      <c r="B44" s="127">
        <v>12</v>
      </c>
      <c r="C44" s="125" t="s">
        <v>293</v>
      </c>
      <c r="D44" s="104">
        <v>0</v>
      </c>
      <c r="E44" s="104">
        <v>0</v>
      </c>
      <c r="F44" s="104">
        <v>0</v>
      </c>
      <c r="G44" s="104">
        <v>0</v>
      </c>
      <c r="H44" s="104">
        <v>0</v>
      </c>
      <c r="I44" s="104">
        <v>0</v>
      </c>
      <c r="J44" s="104">
        <v>0</v>
      </c>
      <c r="K44" s="104">
        <v>0</v>
      </c>
      <c r="L44" s="104">
        <v>0</v>
      </c>
      <c r="M44" s="104">
        <v>0</v>
      </c>
      <c r="N44" s="104">
        <v>0</v>
      </c>
      <c r="O44" s="104">
        <v>0</v>
      </c>
      <c r="P44" s="104">
        <v>0</v>
      </c>
      <c r="Q44" s="104">
        <v>0</v>
      </c>
      <c r="R44" s="104">
        <v>0</v>
      </c>
      <c r="S44" s="104">
        <v>0</v>
      </c>
      <c r="T44" s="104">
        <v>0</v>
      </c>
      <c r="U44" s="104">
        <v>0</v>
      </c>
      <c r="V44" s="104">
        <v>0</v>
      </c>
      <c r="W44" s="104">
        <v>0</v>
      </c>
      <c r="X44" s="104">
        <v>0</v>
      </c>
      <c r="Y44" s="104">
        <v>0</v>
      </c>
      <c r="Z44" s="104">
        <v>0</v>
      </c>
      <c r="AA44" s="104">
        <v>0</v>
      </c>
      <c r="AB44" s="104">
        <v>0</v>
      </c>
      <c r="AC44" s="104">
        <v>0</v>
      </c>
      <c r="AD44" s="104">
        <v>0</v>
      </c>
      <c r="AE44" s="104">
        <v>0</v>
      </c>
      <c r="AF44" s="104">
        <v>0</v>
      </c>
      <c r="AG44" s="104">
        <v>0</v>
      </c>
      <c r="AH44" s="104">
        <v>0</v>
      </c>
      <c r="AI44" s="104">
        <v>0</v>
      </c>
      <c r="AJ44" s="104">
        <v>0</v>
      </c>
      <c r="AK44" s="104">
        <v>0</v>
      </c>
      <c r="AL44" s="104">
        <v>0</v>
      </c>
      <c r="AM44" s="104">
        <v>0</v>
      </c>
      <c r="AN44" s="104">
        <v>0</v>
      </c>
      <c r="AO44" s="104">
        <v>0</v>
      </c>
      <c r="AP44" s="104">
        <v>0</v>
      </c>
      <c r="AQ44" s="104">
        <v>0</v>
      </c>
      <c r="AR44" s="104">
        <v>0</v>
      </c>
      <c r="AS44" s="104">
        <v>0</v>
      </c>
      <c r="AT44" s="104">
        <v>0</v>
      </c>
      <c r="AU44" s="104">
        <v>0</v>
      </c>
      <c r="AV44" s="104">
        <v>0</v>
      </c>
      <c r="AW44" s="104">
        <v>0</v>
      </c>
      <c r="AX44" s="104">
        <v>0</v>
      </c>
      <c r="AY44" s="104">
        <v>0</v>
      </c>
    </row>
    <row r="45" spans="1:51">
      <c r="A45" s="123" t="s">
        <v>123</v>
      </c>
      <c r="B45" s="120">
        <v>1</v>
      </c>
      <c r="C45" s="107" t="s">
        <v>293</v>
      </c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  <c r="R45" s="121"/>
      <c r="S45" s="121"/>
      <c r="T45" s="121"/>
      <c r="U45" s="121"/>
      <c r="V45" s="121"/>
      <c r="W45" s="121"/>
      <c r="X45" s="121"/>
      <c r="Y45" s="121"/>
      <c r="Z45" s="121"/>
      <c r="AA45" s="121"/>
      <c r="AB45" s="121"/>
      <c r="AC45" s="121"/>
      <c r="AD45" s="121"/>
      <c r="AE45" s="121"/>
      <c r="AF45" s="121"/>
      <c r="AG45" s="121"/>
      <c r="AH45" s="121"/>
      <c r="AI45" s="121"/>
      <c r="AJ45" s="121"/>
      <c r="AK45" s="121"/>
      <c r="AL45" s="121"/>
      <c r="AM45" s="121"/>
      <c r="AN45" s="121"/>
      <c r="AO45" s="121"/>
      <c r="AP45" s="121"/>
      <c r="AQ45" s="121"/>
      <c r="AR45" s="121"/>
      <c r="AS45" s="121"/>
      <c r="AT45" s="121"/>
      <c r="AU45" s="121"/>
      <c r="AV45" s="121"/>
      <c r="AW45" s="121"/>
      <c r="AX45" s="121"/>
      <c r="AY45" s="121"/>
    </row>
    <row r="46" spans="1:51">
      <c r="A46" s="107"/>
      <c r="B46" s="116">
        <v>2</v>
      </c>
      <c r="C46" s="107" t="s">
        <v>293</v>
      </c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108"/>
      <c r="Y46" s="108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J46" s="108"/>
      <c r="AK46" s="108"/>
      <c r="AL46" s="108"/>
      <c r="AM46" s="108"/>
      <c r="AN46" s="108"/>
      <c r="AO46" s="108"/>
      <c r="AP46" s="108"/>
      <c r="AQ46" s="108"/>
      <c r="AR46" s="108"/>
      <c r="AS46" s="108"/>
      <c r="AT46" s="108"/>
      <c r="AU46" s="108"/>
      <c r="AV46" s="108"/>
      <c r="AW46" s="108"/>
      <c r="AX46" s="108"/>
      <c r="AY46" s="108"/>
    </row>
    <row r="47" spans="1:51">
      <c r="A47" s="107"/>
      <c r="B47" s="116">
        <v>3</v>
      </c>
      <c r="C47" s="107" t="s">
        <v>293</v>
      </c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08"/>
      <c r="AU47" s="108"/>
      <c r="AV47" s="108"/>
      <c r="AW47" s="108"/>
      <c r="AX47" s="108"/>
      <c r="AY47" s="108"/>
    </row>
    <row r="48" spans="1:51">
      <c r="A48" s="107"/>
      <c r="B48" s="116">
        <v>4</v>
      </c>
      <c r="C48" s="107" t="s">
        <v>293</v>
      </c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108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08"/>
      <c r="AU48" s="108"/>
      <c r="AV48" s="108"/>
      <c r="AW48" s="108"/>
      <c r="AX48" s="108"/>
      <c r="AY48" s="108"/>
    </row>
    <row r="49" spans="1:51">
      <c r="A49" s="107"/>
      <c r="B49" s="116">
        <v>5</v>
      </c>
      <c r="C49" s="107" t="s">
        <v>293</v>
      </c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108"/>
      <c r="AV49" s="108"/>
      <c r="AW49" s="108"/>
      <c r="AX49" s="108"/>
      <c r="AY49" s="108"/>
    </row>
    <row r="50" spans="1:51">
      <c r="A50" s="107"/>
      <c r="B50" s="116">
        <v>6</v>
      </c>
      <c r="C50" s="107" t="s">
        <v>293</v>
      </c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 s="108"/>
      <c r="AV50" s="108"/>
      <c r="AW50" s="108"/>
      <c r="AX50" s="108"/>
      <c r="AY50" s="108"/>
    </row>
    <row r="51" spans="1:51">
      <c r="A51" s="107"/>
      <c r="B51" s="116">
        <v>7</v>
      </c>
      <c r="C51" s="107" t="s">
        <v>293</v>
      </c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108"/>
      <c r="AU51" s="108"/>
      <c r="AV51" s="108"/>
      <c r="AW51" s="108"/>
      <c r="AX51" s="108"/>
      <c r="AY51" s="108"/>
    </row>
    <row r="52" spans="1:51">
      <c r="A52" s="107"/>
      <c r="B52" s="116">
        <v>8</v>
      </c>
      <c r="C52" s="107" t="s">
        <v>293</v>
      </c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 s="108"/>
      <c r="AV52" s="108"/>
      <c r="AW52" s="108"/>
      <c r="AX52" s="108"/>
      <c r="AY52" s="108"/>
    </row>
    <row r="53" spans="1:51">
      <c r="A53" s="107"/>
      <c r="B53" s="116">
        <v>9</v>
      </c>
      <c r="C53" s="107" t="s">
        <v>293</v>
      </c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 s="108"/>
      <c r="AV53" s="108"/>
      <c r="AW53" s="108"/>
      <c r="AX53" s="108"/>
      <c r="AY53" s="108"/>
    </row>
    <row r="54" spans="1:51">
      <c r="A54" s="107"/>
      <c r="B54" s="116">
        <v>10</v>
      </c>
      <c r="C54" s="107" t="s">
        <v>293</v>
      </c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 s="108"/>
      <c r="AV54" s="108"/>
      <c r="AW54" s="108"/>
      <c r="AX54" s="108"/>
      <c r="AY54" s="108"/>
    </row>
    <row r="55" spans="1:51">
      <c r="A55" s="107"/>
      <c r="B55" s="116">
        <v>11</v>
      </c>
      <c r="C55" s="107" t="s">
        <v>293</v>
      </c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 s="108"/>
      <c r="AV55" s="108"/>
      <c r="AW55" s="108"/>
      <c r="AX55" s="108"/>
      <c r="AY55" s="108"/>
    </row>
    <row r="56" spans="1:51">
      <c r="A56" s="107"/>
      <c r="B56" s="116">
        <v>12</v>
      </c>
      <c r="C56" s="107" t="s">
        <v>293</v>
      </c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108"/>
      <c r="AV56" s="108"/>
      <c r="AW56" s="108"/>
      <c r="AX56" s="108"/>
      <c r="AY56" s="108"/>
    </row>
    <row r="57" spans="1:51">
      <c r="A57" s="107"/>
      <c r="B57" s="117">
        <v>13</v>
      </c>
      <c r="C57" s="107" t="s">
        <v>293</v>
      </c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08"/>
      <c r="AV57" s="108"/>
      <c r="AW57" s="108"/>
      <c r="AX57" s="108"/>
      <c r="AY57" s="108"/>
    </row>
    <row r="58" spans="1:51">
      <c r="A58" s="107"/>
      <c r="B58" s="117">
        <v>14</v>
      </c>
      <c r="C58" s="107" t="s">
        <v>293</v>
      </c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</row>
    <row r="59" spans="1:51">
      <c r="A59" s="107"/>
      <c r="B59" s="117">
        <v>15</v>
      </c>
      <c r="C59" s="107" t="s">
        <v>293</v>
      </c>
      <c r="D59" s="108"/>
      <c r="E59" s="108"/>
      <c r="F59" s="108"/>
      <c r="G59" s="108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8"/>
      <c r="AL59" s="108"/>
      <c r="AM59" s="108"/>
      <c r="AN59" s="108"/>
      <c r="AO59" s="108"/>
      <c r="AP59" s="108"/>
      <c r="AQ59" s="108"/>
      <c r="AR59" s="108"/>
      <c r="AS59" s="108"/>
      <c r="AT59" s="108"/>
      <c r="AU59" s="108"/>
      <c r="AV59" s="108"/>
      <c r="AW59" s="108"/>
      <c r="AX59" s="108"/>
      <c r="AY59" s="108"/>
    </row>
    <row r="60" spans="1:51">
      <c r="A60" s="107"/>
      <c r="B60" s="117">
        <v>16</v>
      </c>
      <c r="C60" s="107" t="s">
        <v>293</v>
      </c>
      <c r="D60" s="108"/>
      <c r="E60" s="108"/>
      <c r="F60" s="108"/>
      <c r="G60" s="108"/>
      <c r="H60" s="108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8"/>
      <c r="AL60" s="108"/>
      <c r="AM60" s="108"/>
      <c r="AN60" s="108"/>
      <c r="AO60" s="108"/>
      <c r="AP60" s="108"/>
      <c r="AQ60" s="108"/>
      <c r="AR60" s="108"/>
      <c r="AS60" s="108"/>
      <c r="AT60" s="108"/>
      <c r="AU60" s="108"/>
      <c r="AV60" s="108"/>
      <c r="AW60" s="108"/>
      <c r="AX60" s="108"/>
      <c r="AY60" s="108"/>
    </row>
    <row r="61" spans="1:51">
      <c r="A61" s="107"/>
      <c r="B61" s="117">
        <v>17</v>
      </c>
      <c r="C61" s="107" t="s">
        <v>293</v>
      </c>
      <c r="D61" s="108"/>
      <c r="E61" s="108"/>
      <c r="F61" s="108"/>
      <c r="G61" s="108"/>
      <c r="H61" s="108"/>
      <c r="I61" s="108"/>
      <c r="J61" s="108"/>
      <c r="K61" s="108"/>
      <c r="L61" s="108"/>
      <c r="M61" s="108"/>
      <c r="N61" s="108"/>
      <c r="O61" s="108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8"/>
      <c r="AL61" s="108"/>
      <c r="AM61" s="108"/>
      <c r="AN61" s="108"/>
      <c r="AO61" s="108"/>
      <c r="AP61" s="108"/>
      <c r="AQ61" s="108"/>
      <c r="AR61" s="108"/>
      <c r="AS61" s="108"/>
      <c r="AT61" s="108"/>
      <c r="AU61" s="108"/>
      <c r="AV61" s="108"/>
      <c r="AW61" s="108"/>
      <c r="AX61" s="108"/>
      <c r="AY61" s="108"/>
    </row>
    <row r="62" spans="1:51">
      <c r="A62" s="107"/>
      <c r="B62" s="117">
        <v>18</v>
      </c>
      <c r="C62" s="107" t="s">
        <v>293</v>
      </c>
      <c r="D62" s="108"/>
      <c r="E62" s="108"/>
      <c r="F62" s="108"/>
      <c r="G62" s="108"/>
      <c r="H62" s="108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8"/>
      <c r="AL62" s="108"/>
      <c r="AM62" s="108"/>
      <c r="AN62" s="108"/>
      <c r="AO62" s="108"/>
      <c r="AP62" s="108"/>
      <c r="AQ62" s="108"/>
      <c r="AR62" s="108"/>
      <c r="AS62" s="108"/>
      <c r="AT62" s="108"/>
      <c r="AU62" s="108"/>
      <c r="AV62" s="108"/>
      <c r="AW62" s="108"/>
      <c r="AX62" s="108"/>
      <c r="AY62" s="108"/>
    </row>
    <row r="63" spans="1:51">
      <c r="A63" s="107"/>
      <c r="B63" s="117">
        <v>19</v>
      </c>
      <c r="C63" s="107" t="s">
        <v>293</v>
      </c>
      <c r="D63" s="108"/>
      <c r="E63" s="108"/>
      <c r="F63" s="108"/>
      <c r="G63" s="108"/>
      <c r="H63" s="108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08"/>
      <c r="AC63" s="108"/>
      <c r="AD63" s="108"/>
      <c r="AE63" s="108"/>
      <c r="AF63" s="108"/>
      <c r="AG63" s="108"/>
      <c r="AH63" s="108"/>
      <c r="AI63" s="108"/>
      <c r="AJ63" s="108"/>
      <c r="AK63" s="108"/>
      <c r="AL63" s="108"/>
      <c r="AM63" s="108"/>
      <c r="AN63" s="108"/>
      <c r="AO63" s="108"/>
      <c r="AP63" s="108"/>
      <c r="AQ63" s="108"/>
      <c r="AR63" s="108"/>
      <c r="AS63" s="108"/>
      <c r="AT63" s="108"/>
      <c r="AU63" s="108"/>
      <c r="AV63" s="108"/>
      <c r="AW63" s="108"/>
      <c r="AX63" s="108"/>
      <c r="AY63" s="108"/>
    </row>
    <row r="64" spans="1:51">
      <c r="A64" s="107"/>
      <c r="B64" s="117">
        <v>20</v>
      </c>
      <c r="C64" s="107" t="s">
        <v>293</v>
      </c>
      <c r="D64" s="108"/>
      <c r="E64" s="108"/>
      <c r="F64" s="108"/>
      <c r="G64" s="108"/>
      <c r="H64" s="108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  <c r="Y64" s="108"/>
      <c r="Z64" s="108"/>
      <c r="AA64" s="108"/>
      <c r="AB64" s="108"/>
      <c r="AC64" s="108"/>
      <c r="AD64" s="108"/>
      <c r="AE64" s="108"/>
      <c r="AF64" s="108"/>
      <c r="AG64" s="108"/>
      <c r="AH64" s="108"/>
      <c r="AI64" s="108"/>
      <c r="AJ64" s="108"/>
      <c r="AK64" s="108"/>
      <c r="AL64" s="108"/>
      <c r="AM64" s="108"/>
      <c r="AN64" s="108"/>
      <c r="AO64" s="108"/>
      <c r="AP64" s="108"/>
      <c r="AQ64" s="108"/>
      <c r="AR64" s="108"/>
      <c r="AS64" s="108"/>
      <c r="AT64" s="108"/>
      <c r="AU64" s="108"/>
      <c r="AV64" s="108"/>
      <c r="AW64" s="108"/>
      <c r="AX64" s="108"/>
      <c r="AY64" s="108"/>
    </row>
    <row r="65" spans="1:51">
      <c r="A65" s="107"/>
      <c r="B65" s="117">
        <v>21</v>
      </c>
      <c r="C65" s="107" t="s">
        <v>293</v>
      </c>
      <c r="D65" s="108"/>
      <c r="E65" s="108"/>
      <c r="F65" s="108"/>
      <c r="G65" s="108"/>
      <c r="H65" s="108"/>
      <c r="I65" s="108"/>
      <c r="J65" s="108"/>
      <c r="K65" s="108"/>
      <c r="L65" s="108"/>
      <c r="M65" s="108"/>
      <c r="N65" s="108"/>
      <c r="O65" s="108"/>
      <c r="P65" s="108"/>
      <c r="Q65" s="108"/>
      <c r="R65" s="108"/>
      <c r="S65" s="108"/>
      <c r="T65" s="108"/>
      <c r="U65" s="108"/>
      <c r="V65" s="108"/>
      <c r="W65" s="108"/>
      <c r="X65" s="108"/>
      <c r="Y65" s="108"/>
      <c r="Z65" s="108"/>
      <c r="AA65" s="108"/>
      <c r="AB65" s="108"/>
      <c r="AC65" s="108"/>
      <c r="AD65" s="108"/>
      <c r="AE65" s="108"/>
      <c r="AF65" s="108"/>
      <c r="AG65" s="108"/>
      <c r="AH65" s="108"/>
      <c r="AI65" s="108"/>
      <c r="AJ65" s="108"/>
      <c r="AK65" s="108"/>
      <c r="AL65" s="108"/>
      <c r="AM65" s="108"/>
      <c r="AN65" s="108"/>
      <c r="AO65" s="108"/>
      <c r="AP65" s="108"/>
      <c r="AQ65" s="108"/>
      <c r="AR65" s="108"/>
      <c r="AS65" s="108"/>
      <c r="AT65" s="108"/>
      <c r="AU65" s="108"/>
      <c r="AV65" s="108"/>
      <c r="AW65" s="108"/>
      <c r="AX65" s="108"/>
      <c r="AY65" s="108"/>
    </row>
    <row r="66" spans="1:51">
      <c r="A66" s="107"/>
      <c r="B66" s="117">
        <v>22</v>
      </c>
      <c r="C66" s="107" t="s">
        <v>293</v>
      </c>
      <c r="D66" s="108"/>
      <c r="E66" s="108"/>
      <c r="F66" s="108"/>
      <c r="G66" s="108"/>
      <c r="H66" s="108"/>
      <c r="I66" s="108"/>
      <c r="J66" s="108"/>
      <c r="K66" s="108"/>
      <c r="L66" s="108"/>
      <c r="M66" s="108"/>
      <c r="N66" s="108"/>
      <c r="O66" s="108"/>
      <c r="P66" s="108"/>
      <c r="Q66" s="108"/>
      <c r="R66" s="108"/>
      <c r="S66" s="108"/>
      <c r="T66" s="108"/>
      <c r="U66" s="108"/>
      <c r="V66" s="108"/>
      <c r="W66" s="108"/>
      <c r="X66" s="108"/>
      <c r="Y66" s="108"/>
      <c r="Z66" s="108"/>
      <c r="AA66" s="108"/>
      <c r="AB66" s="108"/>
      <c r="AC66" s="108"/>
      <c r="AD66" s="108"/>
      <c r="AE66" s="108"/>
      <c r="AF66" s="108"/>
      <c r="AG66" s="108"/>
      <c r="AH66" s="108"/>
      <c r="AI66" s="108"/>
      <c r="AJ66" s="108"/>
      <c r="AK66" s="108"/>
      <c r="AL66" s="108"/>
      <c r="AM66" s="108"/>
      <c r="AN66" s="108"/>
      <c r="AO66" s="108"/>
      <c r="AP66" s="108"/>
      <c r="AQ66" s="108"/>
      <c r="AR66" s="108"/>
      <c r="AS66" s="108"/>
      <c r="AT66" s="108"/>
      <c r="AU66" s="108"/>
      <c r="AV66" s="108"/>
      <c r="AW66" s="108"/>
      <c r="AX66" s="108"/>
      <c r="AY66" s="108"/>
    </row>
    <row r="67" spans="1:51">
      <c r="A67" s="107"/>
      <c r="B67" s="117">
        <v>23</v>
      </c>
      <c r="C67" s="107" t="s">
        <v>293</v>
      </c>
      <c r="D67" s="108"/>
      <c r="E67" s="108"/>
      <c r="F67" s="108"/>
      <c r="G67" s="108"/>
      <c r="H67" s="108"/>
      <c r="I67" s="108"/>
      <c r="J67" s="108"/>
      <c r="K67" s="108"/>
      <c r="L67" s="108"/>
      <c r="M67" s="108"/>
      <c r="N67" s="108"/>
      <c r="O67" s="108"/>
      <c r="P67" s="108"/>
      <c r="Q67" s="108"/>
      <c r="R67" s="108"/>
      <c r="S67" s="108"/>
      <c r="T67" s="108"/>
      <c r="U67" s="108"/>
      <c r="V67" s="108"/>
      <c r="W67" s="108"/>
      <c r="X67" s="108"/>
      <c r="Y67" s="108"/>
      <c r="Z67" s="108"/>
      <c r="AA67" s="108"/>
      <c r="AB67" s="108"/>
      <c r="AC67" s="108"/>
      <c r="AD67" s="108"/>
      <c r="AE67" s="108"/>
      <c r="AF67" s="108"/>
      <c r="AG67" s="108"/>
      <c r="AH67" s="108"/>
      <c r="AI67" s="108"/>
      <c r="AJ67" s="108"/>
      <c r="AK67" s="108"/>
      <c r="AL67" s="108"/>
      <c r="AM67" s="108"/>
      <c r="AN67" s="108"/>
      <c r="AO67" s="108"/>
      <c r="AP67" s="108"/>
      <c r="AQ67" s="108"/>
      <c r="AR67" s="108"/>
      <c r="AS67" s="108"/>
      <c r="AT67" s="108"/>
      <c r="AU67" s="108"/>
      <c r="AV67" s="108"/>
      <c r="AW67" s="108"/>
      <c r="AX67" s="108"/>
      <c r="AY67" s="108"/>
    </row>
    <row r="68" spans="1:51">
      <c r="A68" s="107"/>
      <c r="B68" s="117">
        <v>24</v>
      </c>
      <c r="C68" s="107" t="s">
        <v>293</v>
      </c>
      <c r="D68" s="108"/>
      <c r="E68" s="108"/>
      <c r="F68" s="108"/>
      <c r="G68" s="108"/>
      <c r="H68" s="108"/>
      <c r="I68" s="108"/>
      <c r="J68" s="108"/>
      <c r="K68" s="108"/>
      <c r="L68" s="108"/>
      <c r="M68" s="108"/>
      <c r="N68" s="108"/>
      <c r="O68" s="108"/>
      <c r="P68" s="108"/>
      <c r="Q68" s="108"/>
      <c r="R68" s="108"/>
      <c r="S68" s="108"/>
      <c r="T68" s="108"/>
      <c r="U68" s="108"/>
      <c r="V68" s="108"/>
      <c r="W68" s="108"/>
      <c r="X68" s="108"/>
      <c r="Y68" s="108"/>
      <c r="Z68" s="108"/>
      <c r="AA68" s="108"/>
      <c r="AB68" s="108"/>
      <c r="AC68" s="108"/>
      <c r="AD68" s="108"/>
      <c r="AE68" s="108"/>
      <c r="AF68" s="108"/>
      <c r="AG68" s="108"/>
      <c r="AH68" s="108"/>
      <c r="AI68" s="108"/>
      <c r="AJ68" s="108"/>
      <c r="AK68" s="108"/>
      <c r="AL68" s="108"/>
      <c r="AM68" s="108"/>
      <c r="AN68" s="108"/>
      <c r="AO68" s="108"/>
      <c r="AP68" s="108"/>
      <c r="AQ68" s="108"/>
      <c r="AR68" s="108"/>
      <c r="AS68" s="108"/>
      <c r="AT68" s="108"/>
      <c r="AU68" s="108"/>
      <c r="AV68" s="108"/>
      <c r="AW68" s="108"/>
      <c r="AX68" s="108"/>
      <c r="AY68" s="108"/>
    </row>
    <row r="69" spans="1:51">
      <c r="A69" s="107"/>
      <c r="B69" s="124">
        <v>25</v>
      </c>
      <c r="C69" s="107" t="s">
        <v>293</v>
      </c>
      <c r="D69" s="108"/>
      <c r="E69" s="108"/>
      <c r="F69" s="108"/>
      <c r="G69" s="108"/>
      <c r="H69" s="108"/>
      <c r="I69" s="108"/>
      <c r="J69" s="108"/>
      <c r="K69" s="108"/>
      <c r="L69" s="108"/>
      <c r="M69" s="108"/>
      <c r="N69" s="108"/>
      <c r="O69" s="108"/>
      <c r="P69" s="108"/>
      <c r="Q69" s="108"/>
      <c r="R69" s="108"/>
      <c r="S69" s="108"/>
      <c r="T69" s="108"/>
      <c r="U69" s="108"/>
      <c r="V69" s="108"/>
      <c r="W69" s="108"/>
      <c r="X69" s="108"/>
      <c r="Y69" s="108"/>
      <c r="Z69" s="108"/>
      <c r="AA69" s="108"/>
      <c r="AB69" s="108"/>
      <c r="AC69" s="108"/>
      <c r="AD69" s="108"/>
      <c r="AE69" s="108"/>
      <c r="AF69" s="108"/>
      <c r="AG69" s="108"/>
      <c r="AH69" s="108"/>
      <c r="AI69" s="108"/>
      <c r="AJ69" s="108"/>
      <c r="AK69" s="108"/>
      <c r="AL69" s="108"/>
      <c r="AM69" s="108"/>
      <c r="AN69" s="108"/>
      <c r="AO69" s="108"/>
      <c r="AP69" s="108"/>
      <c r="AQ69" s="108"/>
      <c r="AR69" s="108"/>
      <c r="AS69" s="108"/>
      <c r="AT69" s="108"/>
      <c r="AU69" s="108"/>
      <c r="AV69" s="108"/>
      <c r="AW69" s="108"/>
      <c r="AX69" s="108"/>
      <c r="AY69" s="108"/>
    </row>
    <row r="70" spans="1:51">
      <c r="A70" s="107"/>
      <c r="B70" s="124">
        <v>26</v>
      </c>
      <c r="C70" s="107" t="s">
        <v>293</v>
      </c>
      <c r="D70" s="108"/>
      <c r="E70" s="108"/>
      <c r="F70" s="108"/>
      <c r="G70" s="108"/>
      <c r="H70" s="108"/>
      <c r="I70" s="108"/>
      <c r="J70" s="108"/>
      <c r="K70" s="108"/>
      <c r="L70" s="108"/>
      <c r="M70" s="108"/>
      <c r="N70" s="108"/>
      <c r="O70" s="108"/>
      <c r="P70" s="108"/>
      <c r="Q70" s="108"/>
      <c r="R70" s="108"/>
      <c r="S70" s="108"/>
      <c r="T70" s="108"/>
      <c r="U70" s="108"/>
      <c r="V70" s="108"/>
      <c r="W70" s="108"/>
      <c r="X70" s="108"/>
      <c r="Y70" s="108"/>
      <c r="Z70" s="108"/>
      <c r="AA70" s="108"/>
      <c r="AB70" s="108"/>
      <c r="AC70" s="108"/>
      <c r="AD70" s="108"/>
      <c r="AE70" s="108"/>
      <c r="AF70" s="108"/>
      <c r="AG70" s="108"/>
      <c r="AH70" s="108"/>
      <c r="AI70" s="108"/>
      <c r="AJ70" s="108"/>
      <c r="AK70" s="108"/>
      <c r="AL70" s="108"/>
      <c r="AM70" s="108"/>
      <c r="AN70" s="108"/>
      <c r="AO70" s="108"/>
      <c r="AP70" s="108"/>
      <c r="AQ70" s="108"/>
      <c r="AR70" s="108"/>
      <c r="AS70" s="108"/>
      <c r="AT70" s="108"/>
      <c r="AU70" s="108"/>
      <c r="AV70" s="108"/>
      <c r="AW70" s="108"/>
      <c r="AX70" s="108"/>
      <c r="AY70" s="108"/>
    </row>
    <row r="71" spans="1:51">
      <c r="A71" s="107"/>
      <c r="B71" s="124">
        <v>27</v>
      </c>
      <c r="C71" s="107" t="s">
        <v>293</v>
      </c>
      <c r="D71" s="108"/>
      <c r="E71" s="108"/>
      <c r="F71" s="108"/>
      <c r="G71" s="108"/>
      <c r="H71" s="108"/>
      <c r="I71" s="108"/>
      <c r="J71" s="108"/>
      <c r="K71" s="108"/>
      <c r="L71" s="108"/>
      <c r="M71" s="108"/>
      <c r="N71" s="108"/>
      <c r="O71" s="108"/>
      <c r="P71" s="108"/>
      <c r="Q71" s="108"/>
      <c r="R71" s="108"/>
      <c r="S71" s="108"/>
      <c r="T71" s="108"/>
      <c r="U71" s="108"/>
      <c r="V71" s="108"/>
      <c r="W71" s="108"/>
      <c r="X71" s="108"/>
      <c r="Y71" s="108"/>
      <c r="Z71" s="108"/>
      <c r="AA71" s="108"/>
      <c r="AB71" s="108"/>
      <c r="AC71" s="108"/>
      <c r="AD71" s="108"/>
      <c r="AE71" s="108"/>
      <c r="AF71" s="108"/>
      <c r="AG71" s="108"/>
      <c r="AH71" s="108"/>
      <c r="AI71" s="108"/>
      <c r="AJ71" s="108"/>
      <c r="AK71" s="108"/>
      <c r="AL71" s="108"/>
      <c r="AM71" s="108"/>
      <c r="AN71" s="108"/>
      <c r="AO71" s="108"/>
      <c r="AP71" s="108"/>
      <c r="AQ71" s="108"/>
      <c r="AR71" s="108"/>
      <c r="AS71" s="108"/>
      <c r="AT71" s="108"/>
      <c r="AU71" s="108"/>
      <c r="AV71" s="108"/>
      <c r="AW71" s="108"/>
      <c r="AX71" s="108"/>
      <c r="AY71" s="108"/>
    </row>
    <row r="72" spans="1:51">
      <c r="A72" s="107"/>
      <c r="B72" s="124">
        <v>28</v>
      </c>
      <c r="C72" s="107" t="s">
        <v>293</v>
      </c>
      <c r="D72" s="108"/>
      <c r="E72" s="108"/>
      <c r="F72" s="108"/>
      <c r="G72" s="108"/>
      <c r="H72" s="108"/>
      <c r="I72" s="108"/>
      <c r="J72" s="108"/>
      <c r="K72" s="108"/>
      <c r="L72" s="108"/>
      <c r="M72" s="108"/>
      <c r="N72" s="108"/>
      <c r="O72" s="108"/>
      <c r="P72" s="108"/>
      <c r="Q72" s="108"/>
      <c r="R72" s="108"/>
      <c r="S72" s="108"/>
      <c r="T72" s="108"/>
      <c r="U72" s="108"/>
      <c r="V72" s="108"/>
      <c r="W72" s="108"/>
      <c r="X72" s="108"/>
      <c r="Y72" s="108"/>
      <c r="Z72" s="108"/>
      <c r="AA72" s="108"/>
      <c r="AB72" s="108"/>
      <c r="AC72" s="108"/>
      <c r="AD72" s="108"/>
      <c r="AE72" s="108"/>
      <c r="AF72" s="108"/>
      <c r="AG72" s="108"/>
      <c r="AH72" s="108"/>
      <c r="AI72" s="108"/>
      <c r="AJ72" s="108"/>
      <c r="AK72" s="108"/>
      <c r="AL72" s="108"/>
      <c r="AM72" s="108"/>
      <c r="AN72" s="108"/>
      <c r="AO72" s="108"/>
      <c r="AP72" s="108"/>
      <c r="AQ72" s="108"/>
      <c r="AR72" s="108"/>
      <c r="AS72" s="108"/>
      <c r="AT72" s="108"/>
      <c r="AU72" s="108"/>
      <c r="AV72" s="108"/>
      <c r="AW72" s="108"/>
      <c r="AX72" s="108"/>
      <c r="AY72" s="108"/>
    </row>
    <row r="73" spans="1:51">
      <c r="A73" s="107"/>
      <c r="B73" s="124">
        <v>29</v>
      </c>
      <c r="C73" s="107" t="s">
        <v>293</v>
      </c>
      <c r="D73" s="108"/>
      <c r="E73" s="108"/>
      <c r="F73" s="108"/>
      <c r="G73" s="108"/>
      <c r="H73" s="108"/>
      <c r="I73" s="108"/>
      <c r="J73" s="108"/>
      <c r="K73" s="108"/>
      <c r="L73" s="108"/>
      <c r="M73" s="108"/>
      <c r="N73" s="108"/>
      <c r="O73" s="108"/>
      <c r="P73" s="108"/>
      <c r="Q73" s="108"/>
      <c r="R73" s="108"/>
      <c r="S73" s="108"/>
      <c r="T73" s="108"/>
      <c r="U73" s="108"/>
      <c r="V73" s="108"/>
      <c r="W73" s="108"/>
      <c r="X73" s="108"/>
      <c r="Y73" s="108"/>
      <c r="Z73" s="108"/>
      <c r="AA73" s="108"/>
      <c r="AB73" s="108"/>
      <c r="AC73" s="108"/>
      <c r="AD73" s="108"/>
      <c r="AE73" s="108"/>
      <c r="AF73" s="108"/>
      <c r="AG73" s="108"/>
      <c r="AH73" s="108"/>
      <c r="AI73" s="108"/>
      <c r="AJ73" s="108"/>
      <c r="AK73" s="108"/>
      <c r="AL73" s="108"/>
      <c r="AM73" s="108"/>
      <c r="AN73" s="108"/>
      <c r="AO73" s="108"/>
      <c r="AP73" s="108"/>
      <c r="AQ73" s="108"/>
      <c r="AR73" s="108"/>
      <c r="AS73" s="108"/>
      <c r="AT73" s="108"/>
      <c r="AU73" s="108"/>
      <c r="AV73" s="108"/>
      <c r="AW73" s="108"/>
      <c r="AX73" s="108"/>
      <c r="AY73" s="108"/>
    </row>
    <row r="74" spans="1:51">
      <c r="A74" s="107"/>
      <c r="B74" s="124">
        <v>30</v>
      </c>
      <c r="C74" s="107" t="s">
        <v>293</v>
      </c>
      <c r="D74" s="108"/>
      <c r="E74" s="108"/>
      <c r="F74" s="108"/>
      <c r="G74" s="108"/>
      <c r="H74" s="108"/>
      <c r="I74" s="108"/>
      <c r="J74" s="108"/>
      <c r="K74" s="108"/>
      <c r="L74" s="108"/>
      <c r="M74" s="108"/>
      <c r="N74" s="108"/>
      <c r="O74" s="108"/>
      <c r="P74" s="108"/>
      <c r="Q74" s="108"/>
      <c r="R74" s="108"/>
      <c r="S74" s="108"/>
      <c r="T74" s="108"/>
      <c r="U74" s="108"/>
      <c r="V74" s="108"/>
      <c r="W74" s="108"/>
      <c r="X74" s="108"/>
      <c r="Y74" s="108"/>
      <c r="Z74" s="108"/>
      <c r="AA74" s="108"/>
      <c r="AB74" s="108"/>
      <c r="AC74" s="108"/>
      <c r="AD74" s="108"/>
      <c r="AE74" s="108"/>
      <c r="AF74" s="108"/>
      <c r="AG74" s="108"/>
      <c r="AH74" s="108"/>
      <c r="AI74" s="108"/>
      <c r="AJ74" s="108"/>
      <c r="AK74" s="108"/>
      <c r="AL74" s="108"/>
      <c r="AM74" s="108"/>
      <c r="AN74" s="108"/>
      <c r="AO74" s="108"/>
      <c r="AP74" s="108"/>
      <c r="AQ74" s="108"/>
      <c r="AR74" s="108"/>
      <c r="AS74" s="108"/>
      <c r="AT74" s="108"/>
      <c r="AU74" s="108"/>
      <c r="AV74" s="108"/>
      <c r="AW74" s="108"/>
      <c r="AX74" s="108"/>
      <c r="AY74" s="108"/>
    </row>
    <row r="75" spans="1:51">
      <c r="A75" s="107"/>
      <c r="B75" s="124">
        <v>31</v>
      </c>
      <c r="C75" s="107" t="s">
        <v>293</v>
      </c>
      <c r="D75" s="108"/>
      <c r="E75" s="108"/>
      <c r="F75" s="108"/>
      <c r="G75" s="108"/>
      <c r="H75" s="108"/>
      <c r="I75" s="108"/>
      <c r="J75" s="108"/>
      <c r="K75" s="108"/>
      <c r="L75" s="108"/>
      <c r="M75" s="108"/>
      <c r="N75" s="108"/>
      <c r="O75" s="108"/>
      <c r="P75" s="108"/>
      <c r="Q75" s="108"/>
      <c r="R75" s="108"/>
      <c r="S75" s="108"/>
      <c r="T75" s="108"/>
      <c r="U75" s="108"/>
      <c r="V75" s="108"/>
      <c r="W75" s="108"/>
      <c r="X75" s="108"/>
      <c r="Y75" s="108"/>
      <c r="Z75" s="108"/>
      <c r="AA75" s="108"/>
      <c r="AB75" s="108"/>
      <c r="AC75" s="108"/>
      <c r="AD75" s="108"/>
      <c r="AE75" s="108"/>
      <c r="AF75" s="108"/>
      <c r="AG75" s="108"/>
      <c r="AH75" s="108"/>
      <c r="AI75" s="108"/>
      <c r="AJ75" s="108"/>
      <c r="AK75" s="108"/>
      <c r="AL75" s="108"/>
      <c r="AM75" s="108"/>
      <c r="AN75" s="108"/>
      <c r="AO75" s="108"/>
      <c r="AP75" s="108"/>
      <c r="AQ75" s="108"/>
      <c r="AR75" s="108"/>
      <c r="AS75" s="108"/>
      <c r="AT75" s="108"/>
      <c r="AU75" s="108"/>
      <c r="AV75" s="108"/>
      <c r="AW75" s="108"/>
      <c r="AX75" s="108"/>
      <c r="AY75" s="108"/>
    </row>
    <row r="76" spans="1:51">
      <c r="A76" s="107"/>
      <c r="B76" s="124">
        <v>32</v>
      </c>
      <c r="C76" s="107" t="s">
        <v>293</v>
      </c>
      <c r="D76" s="108"/>
      <c r="E76" s="108"/>
      <c r="F76" s="108"/>
      <c r="G76" s="108"/>
      <c r="H76" s="108"/>
      <c r="I76" s="108"/>
      <c r="J76" s="108"/>
      <c r="K76" s="108"/>
      <c r="L76" s="108"/>
      <c r="M76" s="108"/>
      <c r="N76" s="108"/>
      <c r="O76" s="108"/>
      <c r="P76" s="108"/>
      <c r="Q76" s="108"/>
      <c r="R76" s="108"/>
      <c r="S76" s="108"/>
      <c r="T76" s="108"/>
      <c r="U76" s="108"/>
      <c r="V76" s="108"/>
      <c r="W76" s="108"/>
      <c r="X76" s="108"/>
      <c r="Y76" s="108"/>
      <c r="Z76" s="108"/>
      <c r="AA76" s="108"/>
      <c r="AB76" s="108"/>
      <c r="AC76" s="108"/>
      <c r="AD76" s="108"/>
      <c r="AE76" s="108"/>
      <c r="AF76" s="108"/>
      <c r="AG76" s="108"/>
      <c r="AH76" s="108"/>
      <c r="AI76" s="108"/>
      <c r="AJ76" s="108"/>
      <c r="AK76" s="108"/>
      <c r="AL76" s="108"/>
      <c r="AM76" s="108"/>
      <c r="AN76" s="108"/>
      <c r="AO76" s="108"/>
      <c r="AP76" s="108"/>
      <c r="AQ76" s="108"/>
      <c r="AR76" s="108"/>
      <c r="AS76" s="108"/>
      <c r="AT76" s="108"/>
      <c r="AU76" s="108"/>
      <c r="AV76" s="108"/>
      <c r="AW76" s="108"/>
      <c r="AX76" s="108"/>
      <c r="AY76" s="108"/>
    </row>
    <row r="77" spans="1:51">
      <c r="A77" s="107"/>
      <c r="B77" s="124">
        <v>33</v>
      </c>
      <c r="C77" s="107" t="s">
        <v>293</v>
      </c>
      <c r="D77" s="108"/>
      <c r="E77" s="108"/>
      <c r="F77" s="108"/>
      <c r="G77" s="108"/>
      <c r="H77" s="108"/>
      <c r="I77" s="108"/>
      <c r="J77" s="108"/>
      <c r="K77" s="108"/>
      <c r="L77" s="108"/>
      <c r="M77" s="108"/>
      <c r="N77" s="108"/>
      <c r="O77" s="108"/>
      <c r="P77" s="108"/>
      <c r="Q77" s="108"/>
      <c r="R77" s="108"/>
      <c r="S77" s="108"/>
      <c r="T77" s="108"/>
      <c r="U77" s="108"/>
      <c r="V77" s="108"/>
      <c r="W77" s="108"/>
      <c r="X77" s="108"/>
      <c r="Y77" s="108"/>
      <c r="Z77" s="108"/>
      <c r="AA77" s="108"/>
      <c r="AB77" s="108"/>
      <c r="AC77" s="108"/>
      <c r="AD77" s="108"/>
      <c r="AE77" s="108"/>
      <c r="AF77" s="108"/>
      <c r="AG77" s="108"/>
      <c r="AH77" s="108"/>
      <c r="AI77" s="108"/>
      <c r="AJ77" s="108"/>
      <c r="AK77" s="108"/>
      <c r="AL77" s="108"/>
      <c r="AM77" s="108"/>
      <c r="AN77" s="108"/>
      <c r="AO77" s="108"/>
      <c r="AP77" s="108"/>
      <c r="AQ77" s="108"/>
      <c r="AR77" s="108"/>
      <c r="AS77" s="108"/>
      <c r="AT77" s="108"/>
      <c r="AU77" s="108"/>
      <c r="AV77" s="108"/>
      <c r="AW77" s="108"/>
      <c r="AX77" s="108"/>
      <c r="AY77" s="108"/>
    </row>
    <row r="78" spans="1:51">
      <c r="A78" s="107"/>
      <c r="B78" s="124">
        <v>34</v>
      </c>
      <c r="C78" s="107" t="s">
        <v>293</v>
      </c>
      <c r="D78" s="108"/>
      <c r="E78" s="108"/>
      <c r="F78" s="108"/>
      <c r="G78" s="108"/>
      <c r="H78" s="108"/>
      <c r="I78" s="108"/>
      <c r="J78" s="108"/>
      <c r="K78" s="108"/>
      <c r="L78" s="108"/>
      <c r="M78" s="108"/>
      <c r="N78" s="108"/>
      <c r="O78" s="108"/>
      <c r="P78" s="108"/>
      <c r="Q78" s="108"/>
      <c r="R78" s="108"/>
      <c r="S78" s="108"/>
      <c r="T78" s="108"/>
      <c r="U78" s="108"/>
      <c r="V78" s="108"/>
      <c r="W78" s="108"/>
      <c r="X78" s="108"/>
      <c r="Y78" s="108"/>
      <c r="Z78" s="108"/>
      <c r="AA78" s="108"/>
      <c r="AB78" s="108"/>
      <c r="AC78" s="108"/>
      <c r="AD78" s="108"/>
      <c r="AE78" s="108"/>
      <c r="AF78" s="108"/>
      <c r="AG78" s="108"/>
      <c r="AH78" s="108"/>
      <c r="AI78" s="108"/>
      <c r="AJ78" s="108"/>
      <c r="AK78" s="108"/>
      <c r="AL78" s="108"/>
      <c r="AM78" s="108"/>
      <c r="AN78" s="108"/>
      <c r="AO78" s="108"/>
      <c r="AP78" s="108"/>
      <c r="AQ78" s="108"/>
      <c r="AR78" s="108"/>
      <c r="AS78" s="108"/>
      <c r="AT78" s="108"/>
      <c r="AU78" s="108"/>
      <c r="AV78" s="108"/>
      <c r="AW78" s="108"/>
      <c r="AX78" s="108"/>
      <c r="AY78" s="108"/>
    </row>
    <row r="79" spans="1:51">
      <c r="A79" s="107"/>
      <c r="B79" s="124">
        <v>35</v>
      </c>
      <c r="C79" s="107" t="s">
        <v>293</v>
      </c>
      <c r="D79" s="108"/>
      <c r="E79" s="108"/>
      <c r="F79" s="108"/>
      <c r="G79" s="108"/>
      <c r="H79" s="108"/>
      <c r="I79" s="108"/>
      <c r="J79" s="108"/>
      <c r="K79" s="108"/>
      <c r="L79" s="108"/>
      <c r="M79" s="108"/>
      <c r="N79" s="108"/>
      <c r="O79" s="108"/>
      <c r="P79" s="108"/>
      <c r="Q79" s="108"/>
      <c r="R79" s="108"/>
      <c r="S79" s="108"/>
      <c r="T79" s="108"/>
      <c r="U79" s="108"/>
      <c r="V79" s="108"/>
      <c r="W79" s="108"/>
      <c r="X79" s="108"/>
      <c r="Y79" s="108"/>
      <c r="Z79" s="108"/>
      <c r="AA79" s="108"/>
      <c r="AB79" s="108"/>
      <c r="AC79" s="108"/>
      <c r="AD79" s="108"/>
      <c r="AE79" s="108"/>
      <c r="AF79" s="108"/>
      <c r="AG79" s="108"/>
      <c r="AH79" s="108"/>
      <c r="AI79" s="108"/>
      <c r="AJ79" s="108"/>
      <c r="AK79" s="108"/>
      <c r="AL79" s="108"/>
      <c r="AM79" s="108"/>
      <c r="AN79" s="108"/>
      <c r="AO79" s="108"/>
      <c r="AP79" s="108"/>
      <c r="AQ79" s="108"/>
      <c r="AR79" s="108"/>
      <c r="AS79" s="108"/>
      <c r="AT79" s="108"/>
      <c r="AU79" s="108"/>
      <c r="AV79" s="108"/>
      <c r="AW79" s="108"/>
      <c r="AX79" s="108"/>
      <c r="AY79" s="108"/>
    </row>
    <row r="80" spans="1:51">
      <c r="A80" s="107"/>
      <c r="B80" s="124">
        <v>36</v>
      </c>
      <c r="C80" s="107" t="s">
        <v>293</v>
      </c>
      <c r="D80" s="108"/>
      <c r="E80" s="108"/>
      <c r="F80" s="108"/>
      <c r="G80" s="108"/>
      <c r="H80" s="108"/>
      <c r="I80" s="108"/>
      <c r="J80" s="108"/>
      <c r="K80" s="108"/>
      <c r="L80" s="108"/>
      <c r="M80" s="108"/>
      <c r="N80" s="108"/>
      <c r="O80" s="108"/>
      <c r="P80" s="108"/>
      <c r="Q80" s="108"/>
      <c r="R80" s="108"/>
      <c r="S80" s="108"/>
      <c r="T80" s="108"/>
      <c r="U80" s="108"/>
      <c r="V80" s="108"/>
      <c r="W80" s="108"/>
      <c r="X80" s="108"/>
      <c r="Y80" s="108"/>
      <c r="Z80" s="108"/>
      <c r="AA80" s="108"/>
      <c r="AB80" s="108"/>
      <c r="AC80" s="108"/>
      <c r="AD80" s="108"/>
      <c r="AE80" s="108"/>
      <c r="AF80" s="108"/>
      <c r="AG80" s="108"/>
      <c r="AH80" s="108"/>
      <c r="AI80" s="108"/>
      <c r="AJ80" s="108"/>
      <c r="AK80" s="108"/>
      <c r="AL80" s="108"/>
      <c r="AM80" s="108"/>
      <c r="AN80" s="108"/>
      <c r="AO80" s="108"/>
      <c r="AP80" s="108"/>
      <c r="AQ80" s="108"/>
      <c r="AR80" s="108"/>
      <c r="AS80" s="108"/>
      <c r="AT80" s="108"/>
      <c r="AU80" s="108"/>
      <c r="AV80" s="108"/>
      <c r="AW80" s="108"/>
      <c r="AX80" s="108"/>
      <c r="AY80" s="108"/>
    </row>
    <row r="81" spans="1:52">
      <c r="A81" s="107"/>
      <c r="B81" s="127">
        <v>37</v>
      </c>
      <c r="C81" s="107" t="s">
        <v>293</v>
      </c>
      <c r="D81" s="108"/>
      <c r="E81" s="108"/>
      <c r="F81" s="108"/>
      <c r="G81" s="108"/>
      <c r="H81" s="108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W81" s="108"/>
      <c r="X81" s="108"/>
      <c r="Y81" s="108"/>
      <c r="Z81" s="108"/>
      <c r="AA81" s="108"/>
      <c r="AB81" s="108"/>
      <c r="AC81" s="108"/>
      <c r="AD81" s="108"/>
      <c r="AE81" s="108"/>
      <c r="AF81" s="108"/>
      <c r="AG81" s="108"/>
      <c r="AH81" s="108"/>
      <c r="AI81" s="108"/>
      <c r="AJ81" s="108"/>
      <c r="AK81" s="108"/>
      <c r="AL81" s="108"/>
      <c r="AM81" s="108"/>
      <c r="AN81" s="108"/>
      <c r="AO81" s="108"/>
      <c r="AP81" s="108"/>
      <c r="AQ81" s="108"/>
      <c r="AR81" s="108"/>
      <c r="AS81" s="108"/>
      <c r="AT81" s="108"/>
      <c r="AU81" s="108"/>
      <c r="AV81" s="108"/>
      <c r="AW81" s="108"/>
      <c r="AX81" s="108"/>
      <c r="AY81" s="108"/>
    </row>
    <row r="82" spans="1:52">
      <c r="A82" s="107"/>
      <c r="B82" s="127">
        <v>38</v>
      </c>
      <c r="C82" s="107" t="s">
        <v>293</v>
      </c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 s="108"/>
      <c r="Y82" s="108"/>
      <c r="Z82" s="108"/>
      <c r="AA82" s="108"/>
      <c r="AB82" s="108"/>
      <c r="AC82" s="108"/>
      <c r="AD82" s="108"/>
      <c r="AE82" s="108"/>
      <c r="AF82" s="108"/>
      <c r="AG82" s="108"/>
      <c r="AH82" s="108"/>
      <c r="AI82" s="108"/>
      <c r="AJ82" s="108"/>
      <c r="AK82" s="108"/>
      <c r="AL82" s="108"/>
      <c r="AM82" s="108"/>
      <c r="AN82" s="108"/>
      <c r="AO82" s="108"/>
      <c r="AP82" s="108"/>
      <c r="AQ82" s="108"/>
      <c r="AR82" s="108"/>
      <c r="AS82" s="108"/>
      <c r="AT82" s="108"/>
      <c r="AU82" s="108"/>
      <c r="AV82" s="108"/>
      <c r="AW82" s="108"/>
      <c r="AX82" s="108"/>
      <c r="AY82" s="108"/>
    </row>
    <row r="83" spans="1:52">
      <c r="A83" s="107"/>
      <c r="B83" s="127">
        <v>39</v>
      </c>
      <c r="C83" s="107" t="s">
        <v>293</v>
      </c>
      <c r="D83" s="108"/>
      <c r="E83" s="108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Y83" s="108"/>
      <c r="Z83" s="108"/>
      <c r="AA83" s="108"/>
      <c r="AB83" s="108"/>
      <c r="AC83" s="108"/>
      <c r="AD83" s="108"/>
      <c r="AE83" s="108"/>
      <c r="AF83" s="108"/>
      <c r="AG83" s="108"/>
      <c r="AH83" s="108"/>
      <c r="AI83" s="108"/>
      <c r="AJ83" s="108"/>
      <c r="AK83" s="108"/>
      <c r="AL83" s="108"/>
      <c r="AM83" s="108"/>
      <c r="AN83" s="108"/>
      <c r="AO83" s="108"/>
      <c r="AP83" s="108"/>
      <c r="AQ83" s="108"/>
      <c r="AR83" s="108"/>
      <c r="AS83" s="108"/>
      <c r="AT83" s="108"/>
      <c r="AU83" s="108"/>
      <c r="AV83" s="108"/>
      <c r="AW83" s="108"/>
      <c r="AX83" s="108"/>
      <c r="AY83" s="108"/>
    </row>
    <row r="84" spans="1:52">
      <c r="A84" s="107"/>
      <c r="B84" s="127">
        <v>40</v>
      </c>
      <c r="C84" s="107" t="s">
        <v>293</v>
      </c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Y84" s="108"/>
      <c r="Z84" s="108"/>
      <c r="AA84" s="108"/>
      <c r="AB84" s="108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108"/>
      <c r="AV84" s="108"/>
      <c r="AW84" s="108"/>
      <c r="AX84" s="108"/>
      <c r="AY84" s="108"/>
    </row>
    <row r="85" spans="1:52">
      <c r="A85" s="107"/>
      <c r="B85" s="127">
        <v>41</v>
      </c>
      <c r="C85" s="107" t="s">
        <v>293</v>
      </c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108"/>
      <c r="X85" s="108"/>
      <c r="Y85" s="108"/>
      <c r="Z85" s="108"/>
      <c r="AA85" s="108"/>
      <c r="AB85" s="108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 s="108"/>
      <c r="AV85" s="108"/>
      <c r="AW85" s="108"/>
      <c r="AX85" s="108"/>
      <c r="AY85" s="108"/>
    </row>
    <row r="86" spans="1:52">
      <c r="A86" s="107"/>
      <c r="B86" s="127">
        <v>42</v>
      </c>
      <c r="C86" s="107" t="s">
        <v>293</v>
      </c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108"/>
      <c r="X86" s="108"/>
      <c r="Y86" s="108"/>
      <c r="Z86" s="108"/>
      <c r="AA86" s="108"/>
      <c r="AB86" s="108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 s="108"/>
      <c r="AV86" s="108"/>
      <c r="AW86" s="108"/>
      <c r="AX86" s="108"/>
      <c r="AY86" s="108"/>
    </row>
    <row r="87" spans="1:52">
      <c r="A87" s="107"/>
      <c r="B87" s="127">
        <v>43</v>
      </c>
      <c r="C87" s="107" t="s">
        <v>293</v>
      </c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  <c r="Y87" s="108"/>
      <c r="Z87" s="108"/>
      <c r="AA87" s="108"/>
      <c r="AB87" s="108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</row>
    <row r="88" spans="1:52">
      <c r="A88" s="107"/>
      <c r="B88" s="127">
        <v>44</v>
      </c>
      <c r="C88" s="107" t="s">
        <v>293</v>
      </c>
      <c r="D88" s="108"/>
      <c r="E88" s="108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  <c r="Y88" s="108"/>
      <c r="Z88" s="108"/>
      <c r="AA88" s="108"/>
      <c r="AB88" s="108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  <c r="AX88" s="108"/>
      <c r="AY88" s="108"/>
    </row>
    <row r="89" spans="1:52">
      <c r="A89" s="107"/>
      <c r="B89" s="127">
        <v>45</v>
      </c>
      <c r="C89" s="107" t="s">
        <v>293</v>
      </c>
      <c r="D89" s="108"/>
      <c r="E89" s="108"/>
      <c r="F89" s="108"/>
      <c r="G89" s="108"/>
      <c r="H89" s="108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  <c r="T89" s="108"/>
      <c r="U89" s="108"/>
      <c r="V89" s="108"/>
      <c r="W89" s="108"/>
      <c r="X89" s="108"/>
      <c r="Y89" s="108"/>
      <c r="Z89" s="108"/>
      <c r="AA89" s="108"/>
      <c r="AB89" s="108"/>
      <c r="AC89" s="108"/>
      <c r="AD89" s="108"/>
      <c r="AE89" s="108"/>
      <c r="AF89" s="108"/>
      <c r="AG89" s="108"/>
      <c r="AH89" s="108"/>
      <c r="AI89" s="108"/>
      <c r="AJ89" s="108"/>
      <c r="AK89" s="108"/>
      <c r="AL89" s="108"/>
      <c r="AM89" s="108"/>
      <c r="AN89" s="108"/>
      <c r="AO89" s="108"/>
      <c r="AP89" s="108"/>
      <c r="AQ89" s="108"/>
      <c r="AR89" s="108"/>
      <c r="AS89" s="108"/>
      <c r="AT89" s="108"/>
      <c r="AU89" s="108"/>
      <c r="AV89" s="108"/>
      <c r="AW89" s="108"/>
      <c r="AX89" s="108"/>
      <c r="AY89" s="108"/>
    </row>
    <row r="90" spans="1:52">
      <c r="A90" s="107"/>
      <c r="B90" s="127">
        <v>46</v>
      </c>
      <c r="C90" s="107" t="s">
        <v>293</v>
      </c>
      <c r="D90" s="108"/>
      <c r="E90" s="108"/>
      <c r="F90" s="108"/>
      <c r="G90" s="108"/>
      <c r="H90" s="108"/>
      <c r="I90" s="108"/>
      <c r="J90" s="108"/>
      <c r="K90" s="108"/>
      <c r="L90" s="108"/>
      <c r="M90" s="108"/>
      <c r="N90" s="108"/>
      <c r="O90" s="108"/>
      <c r="P90" s="108"/>
      <c r="Q90" s="108"/>
      <c r="R90" s="108"/>
      <c r="S90" s="108"/>
      <c r="T90" s="108"/>
      <c r="U90" s="108"/>
      <c r="V90" s="108"/>
      <c r="W90" s="108"/>
      <c r="X90" s="108"/>
      <c r="Y90" s="108"/>
      <c r="Z90" s="108"/>
      <c r="AA90" s="108"/>
      <c r="AB90" s="108"/>
      <c r="AC90" s="108"/>
      <c r="AD90" s="108"/>
      <c r="AE90" s="108"/>
      <c r="AF90" s="108"/>
      <c r="AG90" s="108"/>
      <c r="AH90" s="108"/>
      <c r="AI90" s="108"/>
      <c r="AJ90" s="108"/>
      <c r="AK90" s="108"/>
      <c r="AL90" s="108"/>
      <c r="AM90" s="108"/>
      <c r="AN90" s="108"/>
      <c r="AO90" s="108"/>
      <c r="AP90" s="108"/>
      <c r="AQ90" s="108"/>
      <c r="AR90" s="108"/>
      <c r="AS90" s="108"/>
      <c r="AT90" s="108"/>
      <c r="AU90" s="108"/>
      <c r="AV90" s="108"/>
      <c r="AW90" s="108"/>
      <c r="AX90" s="108"/>
      <c r="AY90" s="108"/>
    </row>
    <row r="91" spans="1:52">
      <c r="A91" s="107"/>
      <c r="B91" s="127">
        <v>47</v>
      </c>
      <c r="C91" s="107" t="s">
        <v>293</v>
      </c>
      <c r="D91" s="108"/>
      <c r="E91" s="108"/>
      <c r="F91" s="108"/>
      <c r="G91" s="108"/>
      <c r="H91" s="108"/>
      <c r="I91" s="108"/>
      <c r="J91" s="108"/>
      <c r="K91" s="108"/>
      <c r="L91" s="108"/>
      <c r="M91" s="108"/>
      <c r="N91" s="108"/>
      <c r="O91" s="108"/>
      <c r="P91" s="108"/>
      <c r="Q91" s="108"/>
      <c r="R91" s="108"/>
      <c r="S91" s="108"/>
      <c r="T91" s="108"/>
      <c r="U91" s="108"/>
      <c r="V91" s="108"/>
      <c r="W91" s="108"/>
      <c r="X91" s="108"/>
      <c r="Y91" s="108"/>
      <c r="Z91" s="108"/>
      <c r="AA91" s="108"/>
      <c r="AB91" s="108"/>
      <c r="AC91" s="108"/>
      <c r="AD91" s="108"/>
      <c r="AE91" s="108"/>
      <c r="AF91" s="108"/>
      <c r="AG91" s="108"/>
      <c r="AH91" s="108"/>
      <c r="AI91" s="108"/>
      <c r="AJ91" s="108"/>
      <c r="AK91" s="108"/>
      <c r="AL91" s="108"/>
      <c r="AM91" s="108"/>
      <c r="AN91" s="108"/>
      <c r="AO91" s="108"/>
      <c r="AP91" s="108"/>
      <c r="AQ91" s="108"/>
      <c r="AR91" s="108"/>
      <c r="AS91" s="108"/>
      <c r="AT91" s="108"/>
      <c r="AU91" s="108"/>
      <c r="AV91" s="108"/>
      <c r="AW91" s="108"/>
      <c r="AX91" s="108"/>
      <c r="AY91" s="108"/>
    </row>
    <row r="92" spans="1:52">
      <c r="A92" s="125"/>
      <c r="B92" s="126">
        <v>48</v>
      </c>
      <c r="C92" s="125" t="s">
        <v>293</v>
      </c>
      <c r="D92" s="122">
        <v>0</v>
      </c>
      <c r="E92" s="122">
        <v>0</v>
      </c>
      <c r="F92" s="122">
        <v>0</v>
      </c>
      <c r="G92" s="122">
        <v>0</v>
      </c>
      <c r="H92" s="122">
        <v>0</v>
      </c>
      <c r="I92" s="122">
        <v>0</v>
      </c>
      <c r="J92" s="122">
        <v>0</v>
      </c>
      <c r="K92" s="122">
        <v>0</v>
      </c>
      <c r="L92" s="122">
        <v>0</v>
      </c>
      <c r="M92" s="122">
        <v>0</v>
      </c>
      <c r="N92" s="122">
        <v>0</v>
      </c>
      <c r="O92" s="122">
        <v>0</v>
      </c>
      <c r="P92" s="122">
        <v>0</v>
      </c>
      <c r="Q92" s="122">
        <v>0</v>
      </c>
      <c r="R92" s="122">
        <v>0</v>
      </c>
      <c r="S92" s="122">
        <v>0</v>
      </c>
      <c r="T92" s="122">
        <v>0</v>
      </c>
      <c r="U92" s="122">
        <v>0</v>
      </c>
      <c r="V92" s="122">
        <v>0</v>
      </c>
      <c r="W92" s="122">
        <v>0</v>
      </c>
      <c r="X92" s="122">
        <v>0</v>
      </c>
      <c r="Y92" s="122">
        <v>0</v>
      </c>
      <c r="Z92" s="122">
        <v>0</v>
      </c>
      <c r="AA92" s="122">
        <v>0</v>
      </c>
      <c r="AB92" s="122">
        <v>0</v>
      </c>
      <c r="AC92" s="122">
        <v>0</v>
      </c>
      <c r="AD92" s="122">
        <v>0</v>
      </c>
      <c r="AE92" s="122">
        <v>0</v>
      </c>
      <c r="AF92" s="122">
        <v>0</v>
      </c>
      <c r="AG92" s="122">
        <v>0</v>
      </c>
      <c r="AH92" s="122">
        <v>0</v>
      </c>
      <c r="AI92" s="122">
        <v>0</v>
      </c>
      <c r="AJ92" s="122">
        <v>0</v>
      </c>
      <c r="AK92" s="122">
        <v>0</v>
      </c>
      <c r="AL92" s="122">
        <v>0</v>
      </c>
      <c r="AM92" s="122">
        <v>0</v>
      </c>
      <c r="AN92" s="122">
        <v>0</v>
      </c>
      <c r="AO92" s="122">
        <v>0</v>
      </c>
      <c r="AP92" s="122">
        <v>0</v>
      </c>
      <c r="AQ92" s="122">
        <v>0</v>
      </c>
      <c r="AR92" s="122">
        <v>0</v>
      </c>
      <c r="AS92" s="122">
        <v>0</v>
      </c>
      <c r="AT92" s="122">
        <v>0</v>
      </c>
      <c r="AU92" s="122">
        <v>0</v>
      </c>
      <c r="AV92" s="122">
        <v>0</v>
      </c>
      <c r="AW92" s="122">
        <v>0</v>
      </c>
      <c r="AX92" s="122">
        <v>0</v>
      </c>
      <c r="AY92" s="122">
        <v>0</v>
      </c>
      <c r="AZ92" s="105">
        <f>SUM(D21:AY92)</f>
        <v>0</v>
      </c>
    </row>
    <row r="94" spans="1:52">
      <c r="A94" s="1" t="s">
        <v>295</v>
      </c>
      <c r="B94" s="104"/>
      <c r="C94" s="104"/>
      <c r="D94" s="111"/>
      <c r="E94" s="111"/>
      <c r="F94" s="111"/>
      <c r="G94" s="111"/>
      <c r="H94" s="111"/>
      <c r="I94" s="111"/>
      <c r="J94" s="111"/>
      <c r="K94" s="111"/>
      <c r="L94" s="111"/>
      <c r="M94" s="111"/>
      <c r="N94" s="111"/>
      <c r="O94" s="111"/>
      <c r="P94" s="111"/>
      <c r="Q94" s="111"/>
      <c r="R94" s="111"/>
      <c r="S94" s="111"/>
      <c r="T94" s="111"/>
      <c r="U94" s="111"/>
      <c r="V94" s="111"/>
      <c r="W94" s="111"/>
      <c r="X94" s="111"/>
      <c r="Y94" s="111"/>
      <c r="Z94" s="111"/>
      <c r="AA94" s="111"/>
      <c r="AB94" s="111"/>
      <c r="AC94" s="111"/>
      <c r="AD94" s="111"/>
      <c r="AE94" s="111"/>
      <c r="AF94" s="111"/>
      <c r="AG94" s="111"/>
      <c r="AH94" s="111"/>
      <c r="AI94" s="111"/>
      <c r="AJ94" s="111"/>
      <c r="AK94" s="111"/>
      <c r="AL94" s="111"/>
      <c r="AM94" s="111"/>
      <c r="AN94" s="111"/>
      <c r="AO94" s="111"/>
      <c r="AP94" s="111"/>
      <c r="AQ94" s="111"/>
      <c r="AR94" s="111"/>
      <c r="AS94" s="111"/>
      <c r="AT94" s="111"/>
      <c r="AU94" s="111"/>
      <c r="AV94" s="111"/>
      <c r="AW94" s="111"/>
      <c r="AX94" s="111"/>
      <c r="AY94" s="111"/>
    </row>
    <row r="95" spans="1:52">
      <c r="A95" s="123" t="s">
        <v>125</v>
      </c>
      <c r="B95" s="120">
        <v>1</v>
      </c>
      <c r="C95" s="121">
        <v>214.08858367520591</v>
      </c>
      <c r="D95" s="108">
        <v>214.93203885649555</v>
      </c>
      <c r="E95" s="108">
        <v>214.93203885649555</v>
      </c>
      <c r="F95" s="108">
        <v>214.93203885649555</v>
      </c>
      <c r="G95" s="108">
        <v>214.93203885649555</v>
      </c>
      <c r="H95" s="108">
        <v>214.93203885649555</v>
      </c>
      <c r="I95" s="108">
        <v>214.93203885649555</v>
      </c>
      <c r="J95" s="108">
        <v>214.93203885649555</v>
      </c>
      <c r="K95" s="108">
        <v>214.93203885649555</v>
      </c>
      <c r="L95" s="108">
        <v>214.93203885649555</v>
      </c>
      <c r="M95" s="108">
        <v>214.93203885649555</v>
      </c>
      <c r="N95" s="108">
        <v>214.93203885649555</v>
      </c>
      <c r="O95" s="108">
        <v>214.93203885649555</v>
      </c>
      <c r="P95" s="108">
        <v>214.93203885649555</v>
      </c>
      <c r="Q95" s="108">
        <v>214.93203885649555</v>
      </c>
      <c r="R95" s="108">
        <v>214.93203885649555</v>
      </c>
      <c r="S95" s="108">
        <v>214.93203885649555</v>
      </c>
      <c r="T95" s="108">
        <v>214.93203885649555</v>
      </c>
      <c r="U95" s="108">
        <v>214.93203885649555</v>
      </c>
      <c r="V95" s="108">
        <v>214.93203885649555</v>
      </c>
      <c r="W95" s="108">
        <v>214.93203885649555</v>
      </c>
      <c r="X95" s="108">
        <v>171.94563108519645</v>
      </c>
      <c r="Y95" s="108">
        <v>171.94563108519645</v>
      </c>
      <c r="Z95" s="108">
        <v>171.94563108519645</v>
      </c>
      <c r="AA95" s="108">
        <v>171.94563108519645</v>
      </c>
      <c r="AB95" s="108">
        <v>214.93203885649555</v>
      </c>
      <c r="AC95" s="108">
        <v>214.93203885649555</v>
      </c>
      <c r="AD95" s="108">
        <v>214.93203885649555</v>
      </c>
      <c r="AE95" s="108">
        <v>214.93203885649555</v>
      </c>
      <c r="AF95" s="108">
        <v>214.93203885649555</v>
      </c>
      <c r="AG95" s="108">
        <v>214.93203885649555</v>
      </c>
      <c r="AH95" s="108">
        <v>214.93203885649555</v>
      </c>
      <c r="AI95" s="108">
        <v>214.93203885649555</v>
      </c>
      <c r="AJ95" s="108">
        <v>214.93203885649555</v>
      </c>
      <c r="AK95" s="108">
        <v>214.93203885649555</v>
      </c>
      <c r="AL95" s="108">
        <v>214.93203885649555</v>
      </c>
      <c r="AM95" s="108">
        <v>214.93203885649555</v>
      </c>
      <c r="AN95" s="108">
        <v>214.93203885649555</v>
      </c>
      <c r="AO95" s="108">
        <v>214.93203885649555</v>
      </c>
      <c r="AP95" s="108">
        <v>214.93203885649555</v>
      </c>
      <c r="AQ95" s="108">
        <v>214.93203885649555</v>
      </c>
      <c r="AR95" s="108">
        <v>214.93203885649555</v>
      </c>
      <c r="AS95" s="108">
        <v>214.93203885649555</v>
      </c>
      <c r="AT95" s="108">
        <v>214.93203885649555</v>
      </c>
      <c r="AU95" s="108">
        <v>214.93203885649555</v>
      </c>
      <c r="AV95" s="108">
        <v>214.93203885649555</v>
      </c>
      <c r="AW95" s="108">
        <v>86.735561487260469</v>
      </c>
      <c r="AX95" s="108">
        <v>214.93203885649555</v>
      </c>
      <c r="AY95" s="108">
        <v>214.93203885649555</v>
      </c>
    </row>
    <row r="96" spans="1:52">
      <c r="A96" s="107"/>
      <c r="B96" s="117">
        <v>2</v>
      </c>
      <c r="C96" s="108">
        <v>214.08858367520591</v>
      </c>
      <c r="D96" s="108">
        <v>214.08858367520591</v>
      </c>
      <c r="E96" s="108">
        <v>214.93203885649555</v>
      </c>
      <c r="F96" s="108">
        <v>214.93203885649555</v>
      </c>
      <c r="G96" s="108">
        <v>214.93203885649555</v>
      </c>
      <c r="H96" s="108">
        <v>214.93203885649555</v>
      </c>
      <c r="I96" s="108">
        <v>214.93203885649555</v>
      </c>
      <c r="J96" s="108">
        <v>214.93203885649555</v>
      </c>
      <c r="K96" s="108">
        <v>214.93203885649555</v>
      </c>
      <c r="L96" s="108">
        <v>214.93203885649555</v>
      </c>
      <c r="M96" s="108">
        <v>214.93203885649555</v>
      </c>
      <c r="N96" s="108">
        <v>214.93203885649555</v>
      </c>
      <c r="O96" s="108">
        <v>214.93203885649555</v>
      </c>
      <c r="P96" s="108">
        <v>214.93203885649555</v>
      </c>
      <c r="Q96" s="108">
        <v>214.93203885649555</v>
      </c>
      <c r="R96" s="108">
        <v>214.93203885649555</v>
      </c>
      <c r="S96" s="108">
        <v>214.93203885649555</v>
      </c>
      <c r="T96" s="108">
        <v>214.93203885649555</v>
      </c>
      <c r="U96" s="108">
        <v>214.93203885649555</v>
      </c>
      <c r="V96" s="108">
        <v>214.93203885649555</v>
      </c>
      <c r="W96" s="108">
        <v>214.93203885649555</v>
      </c>
      <c r="X96" s="108">
        <v>214.93203885649555</v>
      </c>
      <c r="Y96" s="108">
        <v>171.94563108519645</v>
      </c>
      <c r="Z96" s="108">
        <v>171.94563108519645</v>
      </c>
      <c r="AA96" s="108">
        <v>171.94563108519645</v>
      </c>
      <c r="AB96" s="108">
        <v>171.94563108519645</v>
      </c>
      <c r="AC96" s="108">
        <v>214.93203885649555</v>
      </c>
      <c r="AD96" s="108">
        <v>214.93203885649555</v>
      </c>
      <c r="AE96" s="108">
        <v>214.93203885649555</v>
      </c>
      <c r="AF96" s="108">
        <v>214.93203885649555</v>
      </c>
      <c r="AG96" s="108">
        <v>214.93203885649555</v>
      </c>
      <c r="AH96" s="108">
        <v>214.93203885649555</v>
      </c>
      <c r="AI96" s="108">
        <v>214.93203885649555</v>
      </c>
      <c r="AJ96" s="108">
        <v>214.93203885649555</v>
      </c>
      <c r="AK96" s="108">
        <v>214.93203885649555</v>
      </c>
      <c r="AL96" s="108">
        <v>214.93203885649555</v>
      </c>
      <c r="AM96" s="108">
        <v>214.93203885649555</v>
      </c>
      <c r="AN96" s="108">
        <v>214.93203885649555</v>
      </c>
      <c r="AO96" s="108">
        <v>214.93203885649555</v>
      </c>
      <c r="AP96" s="108">
        <v>214.93203885649555</v>
      </c>
      <c r="AQ96" s="108">
        <v>214.93203885649555</v>
      </c>
      <c r="AR96" s="108">
        <v>214.93203885649555</v>
      </c>
      <c r="AS96" s="108">
        <v>214.93203885649555</v>
      </c>
      <c r="AT96" s="108">
        <v>214.93203885649555</v>
      </c>
      <c r="AU96" s="108">
        <v>214.93203885649555</v>
      </c>
      <c r="AV96" s="108">
        <v>214.93203885649555</v>
      </c>
      <c r="AW96" s="108">
        <v>214.93203885649555</v>
      </c>
      <c r="AX96" s="108">
        <v>86.735561487260469</v>
      </c>
      <c r="AY96" s="108">
        <v>214.93203885649555</v>
      </c>
    </row>
    <row r="97" spans="1:52">
      <c r="A97" s="107"/>
      <c r="B97" s="124">
        <v>3</v>
      </c>
      <c r="C97" s="108">
        <v>214.08858367520591</v>
      </c>
      <c r="D97" s="108">
        <v>214.08858367520591</v>
      </c>
      <c r="E97" s="108">
        <v>214.08858367520591</v>
      </c>
      <c r="F97" s="108">
        <v>214.93203885649555</v>
      </c>
      <c r="G97" s="108">
        <v>214.93203885649555</v>
      </c>
      <c r="H97" s="108">
        <v>214.93203885649555</v>
      </c>
      <c r="I97" s="108">
        <v>214.93203885649555</v>
      </c>
      <c r="J97" s="108">
        <v>214.93203885649555</v>
      </c>
      <c r="K97" s="108">
        <v>214.93203885649555</v>
      </c>
      <c r="L97" s="108">
        <v>214.93203885649555</v>
      </c>
      <c r="M97" s="108">
        <v>214.93203885649555</v>
      </c>
      <c r="N97" s="108">
        <v>214.93203885649555</v>
      </c>
      <c r="O97" s="108">
        <v>214.93203885649555</v>
      </c>
      <c r="P97" s="108">
        <v>214.93203885649555</v>
      </c>
      <c r="Q97" s="108">
        <v>214.93203885649555</v>
      </c>
      <c r="R97" s="108">
        <v>214.93203885649555</v>
      </c>
      <c r="S97" s="108">
        <v>214.93203885649555</v>
      </c>
      <c r="T97" s="108">
        <v>214.93203885649555</v>
      </c>
      <c r="U97" s="108">
        <v>214.93203885649555</v>
      </c>
      <c r="V97" s="108">
        <v>214.93203885649555</v>
      </c>
      <c r="W97" s="108">
        <v>214.93203885649555</v>
      </c>
      <c r="X97" s="108">
        <v>214.93203885649555</v>
      </c>
      <c r="Y97" s="108">
        <v>214.93203885649555</v>
      </c>
      <c r="Z97" s="108">
        <v>171.94563108519645</v>
      </c>
      <c r="AA97" s="108">
        <v>171.94563108519645</v>
      </c>
      <c r="AB97" s="108">
        <v>171.94563108519645</v>
      </c>
      <c r="AC97" s="108">
        <v>171.94563108519645</v>
      </c>
      <c r="AD97" s="108">
        <v>214.93203885649555</v>
      </c>
      <c r="AE97" s="108">
        <v>214.93203885649555</v>
      </c>
      <c r="AF97" s="108">
        <v>214.93203885649555</v>
      </c>
      <c r="AG97" s="108">
        <v>214.93203885649555</v>
      </c>
      <c r="AH97" s="108">
        <v>214.93203885649555</v>
      </c>
      <c r="AI97" s="108">
        <v>214.93203885649555</v>
      </c>
      <c r="AJ97" s="108">
        <v>214.93203885649555</v>
      </c>
      <c r="AK97" s="108">
        <v>214.93203885649555</v>
      </c>
      <c r="AL97" s="108">
        <v>214.93203885649555</v>
      </c>
      <c r="AM97" s="108">
        <v>214.93203885649555</v>
      </c>
      <c r="AN97" s="108">
        <v>214.93203885649555</v>
      </c>
      <c r="AO97" s="108">
        <v>214.93203885649555</v>
      </c>
      <c r="AP97" s="108">
        <v>214.93203885649555</v>
      </c>
      <c r="AQ97" s="108">
        <v>214.93203885649555</v>
      </c>
      <c r="AR97" s="108">
        <v>214.93203885649555</v>
      </c>
      <c r="AS97" s="108">
        <v>214.93203885649555</v>
      </c>
      <c r="AT97" s="108">
        <v>214.93203885649555</v>
      </c>
      <c r="AU97" s="108">
        <v>214.93203885649555</v>
      </c>
      <c r="AV97" s="108">
        <v>214.93203885649555</v>
      </c>
      <c r="AW97" s="108">
        <v>214.93203885649555</v>
      </c>
      <c r="AX97" s="108">
        <v>214.93203885649555</v>
      </c>
      <c r="AY97" s="108">
        <v>86.735561487260469</v>
      </c>
    </row>
    <row r="98" spans="1:52">
      <c r="A98" s="107"/>
      <c r="B98" s="127">
        <v>4</v>
      </c>
      <c r="C98" s="104">
        <v>197.35433470082364</v>
      </c>
      <c r="D98" s="108">
        <v>209.44291837602955</v>
      </c>
      <c r="E98" s="108">
        <v>214.08858367520591</v>
      </c>
      <c r="F98" s="108">
        <v>214.08858367520591</v>
      </c>
      <c r="G98" s="108">
        <v>214.93203885649555</v>
      </c>
      <c r="H98" s="108">
        <v>214.93203885649555</v>
      </c>
      <c r="I98" s="108">
        <v>214.93203885649555</v>
      </c>
      <c r="J98" s="108">
        <v>206.8640777129911</v>
      </c>
      <c r="K98" s="108">
        <v>214.93203885649555</v>
      </c>
      <c r="L98" s="108">
        <v>214.93203885649555</v>
      </c>
      <c r="M98" s="108">
        <v>214.93203885649555</v>
      </c>
      <c r="N98" s="108">
        <v>214.93203885649555</v>
      </c>
      <c r="O98" s="108">
        <v>214.93203885649555</v>
      </c>
      <c r="P98" s="108">
        <v>214.8640777129911</v>
      </c>
      <c r="Q98" s="108">
        <v>214.93203885649555</v>
      </c>
      <c r="R98" s="108">
        <v>214.93203885649555</v>
      </c>
      <c r="S98" s="108">
        <v>214.93203885649555</v>
      </c>
      <c r="T98" s="108">
        <v>214.93203885649555</v>
      </c>
      <c r="U98" s="108">
        <v>214.93203885649555</v>
      </c>
      <c r="V98" s="108">
        <v>214.93203885649555</v>
      </c>
      <c r="W98" s="108">
        <v>214.93203885649555</v>
      </c>
      <c r="X98" s="108">
        <v>214.93203885649555</v>
      </c>
      <c r="Y98" s="108">
        <v>214.93203885649555</v>
      </c>
      <c r="Z98" s="108">
        <v>214.93203885649555</v>
      </c>
      <c r="AA98" s="108">
        <v>166.87766994169201</v>
      </c>
      <c r="AB98" s="108">
        <v>171.94563108519645</v>
      </c>
      <c r="AC98" s="108">
        <v>153.89126217039291</v>
      </c>
      <c r="AD98" s="108">
        <v>149.83689325558936</v>
      </c>
      <c r="AE98" s="108">
        <v>145.76893211208491</v>
      </c>
      <c r="AF98" s="108">
        <v>168.70097096858046</v>
      </c>
      <c r="AG98" s="108">
        <v>167.63300982507602</v>
      </c>
      <c r="AH98" s="108">
        <v>181.56504868157157</v>
      </c>
      <c r="AI98" s="108">
        <v>214.93203885649555</v>
      </c>
      <c r="AJ98" s="108">
        <v>214.93203885649555</v>
      </c>
      <c r="AK98" s="108">
        <v>198.8640777129911</v>
      </c>
      <c r="AL98" s="108">
        <v>209.79611656948666</v>
      </c>
      <c r="AM98" s="108">
        <v>214.93203885649555</v>
      </c>
      <c r="AN98" s="108">
        <v>214.93203885649555</v>
      </c>
      <c r="AO98" s="108">
        <v>214.93203885649555</v>
      </c>
      <c r="AP98" s="108">
        <v>214.93203885649555</v>
      </c>
      <c r="AQ98" s="108">
        <v>204.8640777129911</v>
      </c>
      <c r="AR98" s="108">
        <v>214.93203885649555</v>
      </c>
      <c r="AS98" s="108">
        <v>210.8640777129911</v>
      </c>
      <c r="AT98" s="108">
        <v>214.93203885649555</v>
      </c>
      <c r="AU98" s="108">
        <v>214.93203885649555</v>
      </c>
      <c r="AV98" s="108">
        <v>214.93203885649555</v>
      </c>
      <c r="AW98" s="108">
        <v>198.8640777129911</v>
      </c>
      <c r="AX98" s="108">
        <v>208.79611656948666</v>
      </c>
      <c r="AY98" s="108">
        <v>214.93203885649555</v>
      </c>
    </row>
    <row r="99" spans="1:52">
      <c r="A99" s="125"/>
      <c r="B99" s="129" t="s">
        <v>296</v>
      </c>
      <c r="C99" s="122">
        <v>0</v>
      </c>
      <c r="D99" s="122">
        <v>0</v>
      </c>
      <c r="E99" s="122">
        <v>30.442918376029553</v>
      </c>
      <c r="F99" s="122">
        <v>51.088583675205911</v>
      </c>
      <c r="G99" s="122">
        <v>54.088583675205911</v>
      </c>
      <c r="H99" s="122">
        <v>36.932038856495552</v>
      </c>
      <c r="I99" s="122">
        <v>14.932038856495552</v>
      </c>
      <c r="J99" s="122">
        <v>0</v>
      </c>
      <c r="K99" s="122">
        <v>49.864077712991104</v>
      </c>
      <c r="L99" s="122">
        <v>15.932038856495552</v>
      </c>
      <c r="M99" s="122">
        <v>7.9320388564955522</v>
      </c>
      <c r="N99" s="122">
        <v>41.932038856495552</v>
      </c>
      <c r="O99" s="122">
        <v>6.9320388564955522</v>
      </c>
      <c r="P99" s="122">
        <v>0</v>
      </c>
      <c r="Q99" s="122">
        <v>34.864077712991104</v>
      </c>
      <c r="R99" s="122">
        <v>38.932038856495552</v>
      </c>
      <c r="S99" s="122">
        <v>55.932038856495552</v>
      </c>
      <c r="T99" s="122">
        <v>21.932038856495552</v>
      </c>
      <c r="U99" s="122">
        <v>56.932038856495552</v>
      </c>
      <c r="V99" s="122">
        <v>26.932038856495552</v>
      </c>
      <c r="W99" s="122">
        <v>54.932038856495552</v>
      </c>
      <c r="X99" s="122">
        <v>28.932038856495552</v>
      </c>
      <c r="Y99" s="122">
        <v>20.932038856495552</v>
      </c>
      <c r="Z99" s="122">
        <v>52.932038856495552</v>
      </c>
      <c r="AA99" s="122">
        <v>0</v>
      </c>
      <c r="AB99" s="122">
        <v>13.877669941692005</v>
      </c>
      <c r="AC99" s="122">
        <v>0</v>
      </c>
      <c r="AD99" s="122">
        <v>0</v>
      </c>
      <c r="AE99" s="122">
        <v>0</v>
      </c>
      <c r="AF99" s="122">
        <v>0</v>
      </c>
      <c r="AG99" s="122">
        <v>0</v>
      </c>
      <c r="AH99" s="122">
        <v>0</v>
      </c>
      <c r="AI99" s="122">
        <v>1.5650486815715681</v>
      </c>
      <c r="AJ99" s="122">
        <v>40.932038856495552</v>
      </c>
      <c r="AK99" s="122">
        <v>0</v>
      </c>
      <c r="AL99" s="122">
        <v>0</v>
      </c>
      <c r="AM99" s="122">
        <v>53.796116569486657</v>
      </c>
      <c r="AN99" s="122">
        <v>52.932038856495552</v>
      </c>
      <c r="AO99" s="122">
        <v>21.932038856495552</v>
      </c>
      <c r="AP99" s="122">
        <v>33.932038856495552</v>
      </c>
      <c r="AQ99" s="122">
        <v>0</v>
      </c>
      <c r="AR99" s="122">
        <v>18.864077712991104</v>
      </c>
      <c r="AS99" s="122">
        <v>0</v>
      </c>
      <c r="AT99" s="122">
        <v>18.864077712991104</v>
      </c>
      <c r="AU99" s="122">
        <v>29.932038856495552</v>
      </c>
      <c r="AV99" s="122">
        <v>12.932038856495552</v>
      </c>
      <c r="AW99" s="122">
        <v>0</v>
      </c>
      <c r="AX99" s="122">
        <v>0</v>
      </c>
      <c r="AY99" s="122">
        <v>2.7961165694866565</v>
      </c>
      <c r="AZ99" s="105">
        <f>SUM($D99:$AY99)</f>
        <v>1005.6841643270488</v>
      </c>
    </row>
    <row r="100" spans="1:52">
      <c r="A100" s="128" t="s">
        <v>133</v>
      </c>
      <c r="B100" s="116">
        <v>1</v>
      </c>
      <c r="C100" s="104">
        <v>156.10211538858883</v>
      </c>
      <c r="D100" s="104">
        <v>156.10211538858883</v>
      </c>
      <c r="E100" s="104">
        <v>154.07451359522719</v>
      </c>
      <c r="F100" s="104">
        <v>154.07451359522716</v>
      </c>
      <c r="G100" s="104">
        <v>154.07451359522719</v>
      </c>
      <c r="H100" s="104">
        <v>154.07451359522716</v>
      </c>
      <c r="I100" s="104">
        <v>154.07451359522719</v>
      </c>
      <c r="J100" s="104">
        <v>154.07451359522716</v>
      </c>
      <c r="K100" s="104">
        <v>154.07451359522719</v>
      </c>
      <c r="L100" s="104">
        <v>154.07451359522716</v>
      </c>
      <c r="M100" s="104">
        <v>154.07451359522719</v>
      </c>
      <c r="N100" s="104">
        <v>13.658819651627757</v>
      </c>
      <c r="O100" s="104">
        <v>154.07451359522719</v>
      </c>
      <c r="P100" s="104">
        <v>13.658819651627757</v>
      </c>
      <c r="Q100" s="104">
        <v>154.07451359522719</v>
      </c>
      <c r="R100" s="104">
        <v>13.658819651627757</v>
      </c>
      <c r="S100" s="104">
        <v>154.07451359522719</v>
      </c>
      <c r="T100" s="104">
        <v>154.07451359522716</v>
      </c>
      <c r="U100" s="104">
        <v>154.07451359522719</v>
      </c>
      <c r="V100" s="104">
        <v>13.658819651627757</v>
      </c>
      <c r="W100" s="104">
        <v>154.07451359522719</v>
      </c>
      <c r="X100" s="104">
        <v>154.07451359522716</v>
      </c>
      <c r="Y100" s="104">
        <v>154.07451359522719</v>
      </c>
      <c r="Z100" s="104">
        <v>13.658819651627756</v>
      </c>
      <c r="AA100" s="104">
        <v>0</v>
      </c>
      <c r="AB100" s="104">
        <v>154.07451359522719</v>
      </c>
      <c r="AC100" s="104">
        <v>13.658819651627756</v>
      </c>
      <c r="AD100" s="104">
        <v>154.07451359522719</v>
      </c>
      <c r="AE100" s="104">
        <v>154.07451359522716</v>
      </c>
      <c r="AF100" s="104">
        <v>154.07451359522719</v>
      </c>
      <c r="AG100" s="104">
        <v>13.658819651627757</v>
      </c>
      <c r="AH100" s="104">
        <v>154.07451359522719</v>
      </c>
      <c r="AI100" s="104">
        <v>13.658819651627757</v>
      </c>
      <c r="AJ100" s="104">
        <v>154.07451359522719</v>
      </c>
      <c r="AK100" s="104">
        <v>154.07451359522716</v>
      </c>
      <c r="AL100" s="104">
        <v>154.07451359522719</v>
      </c>
      <c r="AM100" s="104">
        <v>13.658819651627757</v>
      </c>
      <c r="AN100" s="104">
        <v>154.07451359522719</v>
      </c>
      <c r="AO100" s="104">
        <v>154.07451359522716</v>
      </c>
      <c r="AP100" s="104">
        <v>154.07451359522719</v>
      </c>
      <c r="AQ100" s="104">
        <v>13.658819651627757</v>
      </c>
      <c r="AR100" s="104">
        <v>0</v>
      </c>
      <c r="AS100" s="104">
        <v>154.07451359522719</v>
      </c>
      <c r="AT100" s="104">
        <v>154.07451359522716</v>
      </c>
      <c r="AU100" s="104">
        <v>154.07451359522719</v>
      </c>
      <c r="AV100" s="104">
        <v>154.07451359522716</v>
      </c>
      <c r="AW100" s="104">
        <v>154.07451359522719</v>
      </c>
      <c r="AX100" s="104">
        <v>154.07451359522716</v>
      </c>
      <c r="AY100" s="104">
        <v>62.176581577403596</v>
      </c>
    </row>
    <row r="101" spans="1:52">
      <c r="A101" s="107"/>
      <c r="B101" s="116">
        <v>2</v>
      </c>
      <c r="C101" s="104">
        <v>42.773600151035367</v>
      </c>
      <c r="D101" s="104">
        <v>46.875715539624196</v>
      </c>
      <c r="E101" s="104">
        <v>24.977830928213024</v>
      </c>
      <c r="F101" s="104">
        <v>0</v>
      </c>
      <c r="G101" s="104">
        <v>0</v>
      </c>
      <c r="H101" s="104">
        <v>0</v>
      </c>
      <c r="I101" s="104">
        <v>0</v>
      </c>
      <c r="J101" s="104">
        <v>0</v>
      </c>
      <c r="K101" s="104">
        <v>0</v>
      </c>
      <c r="L101" s="104">
        <v>0</v>
      </c>
      <c r="M101" s="104">
        <v>0</v>
      </c>
      <c r="N101" s="104">
        <v>0</v>
      </c>
      <c r="O101" s="104">
        <v>140.41569394359939</v>
      </c>
      <c r="P101" s="104">
        <v>123.49020753882658</v>
      </c>
      <c r="Q101" s="104">
        <v>140.41569394359939</v>
      </c>
      <c r="R101" s="104">
        <v>145.49020753882658</v>
      </c>
      <c r="S101" s="104">
        <v>140.41569394359939</v>
      </c>
      <c r="T101" s="104">
        <v>76.490207538826581</v>
      </c>
      <c r="U101" s="104">
        <v>55.564721134053741</v>
      </c>
      <c r="V101" s="104">
        <v>19.639234729280929</v>
      </c>
      <c r="W101" s="104">
        <v>140.41569394359939</v>
      </c>
      <c r="X101" s="104">
        <v>118.49020753882658</v>
      </c>
      <c r="Y101" s="104">
        <v>56.564721134053741</v>
      </c>
      <c r="Z101" s="104">
        <v>29.639234729280929</v>
      </c>
      <c r="AA101" s="104">
        <v>109.60079122455399</v>
      </c>
      <c r="AB101" s="104">
        <v>0</v>
      </c>
      <c r="AC101" s="104">
        <v>0</v>
      </c>
      <c r="AD101" s="104">
        <v>109.60079122455399</v>
      </c>
      <c r="AE101" s="104">
        <v>28.675304819781175</v>
      </c>
      <c r="AF101" s="104">
        <v>0</v>
      </c>
      <c r="AG101" s="104">
        <v>0</v>
      </c>
      <c r="AH101" s="104">
        <v>140.41569394359939</v>
      </c>
      <c r="AI101" s="104">
        <v>98.490207538826581</v>
      </c>
      <c r="AJ101" s="104">
        <v>140.41569394359942</v>
      </c>
      <c r="AK101" s="104">
        <v>65.49020753882661</v>
      </c>
      <c r="AL101" s="104">
        <v>29.564721134053769</v>
      </c>
      <c r="AM101" s="104">
        <v>0</v>
      </c>
      <c r="AN101" s="104">
        <v>0</v>
      </c>
      <c r="AO101" s="104">
        <v>0</v>
      </c>
      <c r="AP101" s="104">
        <v>111.49020753882655</v>
      </c>
      <c r="AQ101" s="104">
        <v>52.564721134053741</v>
      </c>
      <c r="AR101" s="104">
        <v>5.3290705182007514E-15</v>
      </c>
      <c r="AS101" s="104">
        <v>0</v>
      </c>
      <c r="AT101" s="104">
        <v>78.490207538826581</v>
      </c>
      <c r="AU101" s="104">
        <v>77.564721134053741</v>
      </c>
      <c r="AV101" s="104">
        <v>24.639234729280929</v>
      </c>
      <c r="AW101" s="104">
        <v>0</v>
      </c>
      <c r="AX101" s="104">
        <v>0</v>
      </c>
      <c r="AY101" s="104">
        <v>0</v>
      </c>
    </row>
    <row r="102" spans="1:52">
      <c r="A102" s="107"/>
      <c r="B102" s="117">
        <v>3</v>
      </c>
      <c r="C102" s="104">
        <v>0</v>
      </c>
      <c r="D102" s="104">
        <v>0</v>
      </c>
      <c r="E102" s="104">
        <v>0</v>
      </c>
      <c r="F102" s="104">
        <v>0</v>
      </c>
      <c r="G102" s="104">
        <v>0</v>
      </c>
      <c r="H102" s="104">
        <v>0</v>
      </c>
      <c r="I102" s="104">
        <v>0</v>
      </c>
      <c r="J102" s="104">
        <v>0</v>
      </c>
      <c r="K102" s="104">
        <v>0</v>
      </c>
      <c r="L102" s="104">
        <v>0</v>
      </c>
      <c r="M102" s="104">
        <v>0</v>
      </c>
      <c r="N102" s="104">
        <v>0</v>
      </c>
      <c r="O102" s="104">
        <v>0</v>
      </c>
      <c r="P102" s="104">
        <v>0</v>
      </c>
      <c r="Q102" s="104">
        <v>0</v>
      </c>
      <c r="R102" s="104">
        <v>0</v>
      </c>
      <c r="S102" s="104">
        <v>0</v>
      </c>
      <c r="T102" s="104">
        <v>0</v>
      </c>
      <c r="U102" s="104">
        <v>0</v>
      </c>
      <c r="V102" s="104">
        <v>0</v>
      </c>
      <c r="W102" s="104">
        <v>0</v>
      </c>
      <c r="X102" s="104">
        <v>0</v>
      </c>
      <c r="Y102" s="104">
        <v>0</v>
      </c>
      <c r="Z102" s="104">
        <v>0</v>
      </c>
      <c r="AA102" s="104">
        <v>0</v>
      </c>
      <c r="AB102" s="104">
        <v>0</v>
      </c>
      <c r="AC102" s="104">
        <v>0</v>
      </c>
      <c r="AD102" s="104">
        <v>0</v>
      </c>
      <c r="AE102" s="104">
        <v>0</v>
      </c>
      <c r="AF102" s="104">
        <v>0</v>
      </c>
      <c r="AG102" s="104">
        <v>0</v>
      </c>
      <c r="AH102" s="104">
        <v>0</v>
      </c>
      <c r="AI102" s="104">
        <v>0</v>
      </c>
      <c r="AJ102" s="104">
        <v>0</v>
      </c>
      <c r="AK102" s="104">
        <v>0</v>
      </c>
      <c r="AL102" s="104">
        <v>0</v>
      </c>
      <c r="AM102" s="104">
        <v>0</v>
      </c>
      <c r="AN102" s="104">
        <v>0</v>
      </c>
      <c r="AO102" s="104">
        <v>140.41569394359939</v>
      </c>
      <c r="AP102" s="104">
        <v>0</v>
      </c>
      <c r="AQ102" s="104">
        <v>0</v>
      </c>
      <c r="AR102" s="104">
        <v>0</v>
      </c>
      <c r="AS102" s="104">
        <v>140.41569394359939</v>
      </c>
      <c r="AT102" s="104">
        <v>0</v>
      </c>
      <c r="AU102" s="104">
        <v>0</v>
      </c>
      <c r="AV102" s="104">
        <v>0</v>
      </c>
      <c r="AW102" s="104">
        <v>0</v>
      </c>
      <c r="AX102" s="104">
        <v>0</v>
      </c>
      <c r="AY102" s="104">
        <v>0</v>
      </c>
    </row>
    <row r="103" spans="1:52">
      <c r="A103" s="107"/>
      <c r="B103" s="117">
        <v>4</v>
      </c>
      <c r="C103" s="104">
        <v>0</v>
      </c>
      <c r="D103" s="104">
        <v>0</v>
      </c>
      <c r="E103" s="104">
        <v>0</v>
      </c>
      <c r="F103" s="104">
        <v>0</v>
      </c>
      <c r="G103" s="104">
        <v>0</v>
      </c>
      <c r="H103" s="104">
        <v>0</v>
      </c>
      <c r="I103" s="104">
        <v>0</v>
      </c>
      <c r="J103" s="104">
        <v>0</v>
      </c>
      <c r="K103" s="104">
        <v>0</v>
      </c>
      <c r="L103" s="104">
        <v>0</v>
      </c>
      <c r="M103" s="104">
        <v>0</v>
      </c>
      <c r="N103" s="104">
        <v>0</v>
      </c>
      <c r="O103" s="104">
        <v>0</v>
      </c>
      <c r="P103" s="104">
        <v>0</v>
      </c>
      <c r="Q103" s="104">
        <v>0</v>
      </c>
      <c r="R103" s="104">
        <v>0</v>
      </c>
      <c r="S103" s="104">
        <v>0</v>
      </c>
      <c r="T103" s="104">
        <v>0</v>
      </c>
      <c r="U103" s="104">
        <v>0</v>
      </c>
      <c r="V103" s="104">
        <v>0</v>
      </c>
      <c r="W103" s="104">
        <v>0</v>
      </c>
      <c r="X103" s="104">
        <v>0</v>
      </c>
      <c r="Y103" s="104">
        <v>0</v>
      </c>
      <c r="Z103" s="104">
        <v>0</v>
      </c>
      <c r="AA103" s="104">
        <v>0</v>
      </c>
      <c r="AB103" s="104">
        <v>0</v>
      </c>
      <c r="AC103" s="104">
        <v>0</v>
      </c>
      <c r="AD103" s="104">
        <v>0</v>
      </c>
      <c r="AE103" s="104">
        <v>0</v>
      </c>
      <c r="AF103" s="104">
        <v>0</v>
      </c>
      <c r="AG103" s="104">
        <v>0</v>
      </c>
      <c r="AH103" s="104">
        <v>0</v>
      </c>
      <c r="AI103" s="104">
        <v>0</v>
      </c>
      <c r="AJ103" s="104">
        <v>0</v>
      </c>
      <c r="AK103" s="104">
        <v>0</v>
      </c>
      <c r="AL103" s="104">
        <v>0</v>
      </c>
      <c r="AM103" s="104">
        <v>0</v>
      </c>
      <c r="AN103" s="104">
        <v>0</v>
      </c>
      <c r="AO103" s="104">
        <v>0</v>
      </c>
      <c r="AP103" s="104">
        <v>0</v>
      </c>
      <c r="AQ103" s="104">
        <v>0</v>
      </c>
      <c r="AR103" s="104">
        <v>0</v>
      </c>
      <c r="AS103" s="104">
        <v>0</v>
      </c>
      <c r="AT103" s="104">
        <v>0</v>
      </c>
      <c r="AU103" s="104">
        <v>0</v>
      </c>
      <c r="AV103" s="104">
        <v>0</v>
      </c>
      <c r="AW103" s="104">
        <v>0</v>
      </c>
      <c r="AX103" s="104">
        <v>0</v>
      </c>
      <c r="AY103" s="104">
        <v>0</v>
      </c>
    </row>
    <row r="104" spans="1:52">
      <c r="A104" s="107"/>
      <c r="B104" s="124">
        <v>5</v>
      </c>
      <c r="C104" s="104">
        <v>0</v>
      </c>
      <c r="D104" s="104">
        <v>0</v>
      </c>
      <c r="E104" s="104">
        <v>0</v>
      </c>
      <c r="F104" s="104">
        <v>0</v>
      </c>
      <c r="G104" s="104">
        <v>0</v>
      </c>
      <c r="H104" s="104">
        <v>0</v>
      </c>
      <c r="I104" s="104">
        <v>0</v>
      </c>
      <c r="J104" s="104">
        <v>0</v>
      </c>
      <c r="K104" s="104">
        <v>0</v>
      </c>
      <c r="L104" s="104">
        <v>0</v>
      </c>
      <c r="M104" s="104">
        <v>0</v>
      </c>
      <c r="N104" s="104">
        <v>0</v>
      </c>
      <c r="O104" s="104">
        <v>0</v>
      </c>
      <c r="P104" s="104">
        <v>0</v>
      </c>
      <c r="Q104" s="104">
        <v>0</v>
      </c>
      <c r="R104" s="104">
        <v>0</v>
      </c>
      <c r="S104" s="104">
        <v>0</v>
      </c>
      <c r="T104" s="104">
        <v>0</v>
      </c>
      <c r="U104" s="104">
        <v>0</v>
      </c>
      <c r="V104" s="104">
        <v>0</v>
      </c>
      <c r="W104" s="104">
        <v>0</v>
      </c>
      <c r="X104" s="104">
        <v>0</v>
      </c>
      <c r="Y104" s="104">
        <v>0</v>
      </c>
      <c r="Z104" s="104">
        <v>0</v>
      </c>
      <c r="AA104" s="104">
        <v>0</v>
      </c>
      <c r="AB104" s="104">
        <v>0</v>
      </c>
      <c r="AC104" s="104">
        <v>0</v>
      </c>
      <c r="AD104" s="104">
        <v>0</v>
      </c>
      <c r="AE104" s="104">
        <v>0</v>
      </c>
      <c r="AF104" s="104">
        <v>0</v>
      </c>
      <c r="AG104" s="104">
        <v>0</v>
      </c>
      <c r="AH104" s="104">
        <v>0</v>
      </c>
      <c r="AI104" s="104">
        <v>0</v>
      </c>
      <c r="AJ104" s="104">
        <v>0</v>
      </c>
      <c r="AK104" s="104">
        <v>0</v>
      </c>
      <c r="AL104" s="104">
        <v>0</v>
      </c>
      <c r="AM104" s="104">
        <v>0</v>
      </c>
      <c r="AN104" s="104">
        <v>0</v>
      </c>
      <c r="AO104" s="104">
        <v>0</v>
      </c>
      <c r="AP104" s="104">
        <v>0</v>
      </c>
      <c r="AQ104" s="104">
        <v>0</v>
      </c>
      <c r="AR104" s="104">
        <v>0</v>
      </c>
      <c r="AS104" s="104">
        <v>0</v>
      </c>
      <c r="AT104" s="104">
        <v>0</v>
      </c>
      <c r="AU104" s="104">
        <v>0</v>
      </c>
      <c r="AV104" s="104">
        <v>0</v>
      </c>
      <c r="AW104" s="104">
        <v>0</v>
      </c>
      <c r="AX104" s="104">
        <v>0</v>
      </c>
      <c r="AY104" s="104">
        <v>0</v>
      </c>
    </row>
    <row r="105" spans="1:52">
      <c r="A105" s="107"/>
      <c r="B105" s="124">
        <v>6</v>
      </c>
      <c r="C105" s="104">
        <v>0</v>
      </c>
      <c r="D105" s="104">
        <v>0</v>
      </c>
      <c r="E105" s="104">
        <v>0</v>
      </c>
      <c r="F105" s="104">
        <v>0</v>
      </c>
      <c r="G105" s="104">
        <v>0</v>
      </c>
      <c r="H105" s="104">
        <v>0</v>
      </c>
      <c r="I105" s="104">
        <v>0</v>
      </c>
      <c r="J105" s="104">
        <v>0</v>
      </c>
      <c r="K105" s="104">
        <v>0</v>
      </c>
      <c r="L105" s="104">
        <v>0</v>
      </c>
      <c r="M105" s="104">
        <v>0</v>
      </c>
      <c r="N105" s="104">
        <v>0</v>
      </c>
      <c r="O105" s="104">
        <v>0</v>
      </c>
      <c r="P105" s="104">
        <v>0</v>
      </c>
      <c r="Q105" s="104">
        <v>0</v>
      </c>
      <c r="R105" s="104">
        <v>0</v>
      </c>
      <c r="S105" s="104">
        <v>0</v>
      </c>
      <c r="T105" s="104">
        <v>0</v>
      </c>
      <c r="U105" s="104">
        <v>0</v>
      </c>
      <c r="V105" s="104">
        <v>0</v>
      </c>
      <c r="W105" s="104">
        <v>0</v>
      </c>
      <c r="X105" s="104">
        <v>0</v>
      </c>
      <c r="Y105" s="104">
        <v>0</v>
      </c>
      <c r="Z105" s="104">
        <v>0</v>
      </c>
      <c r="AA105" s="104">
        <v>0</v>
      </c>
      <c r="AB105" s="104">
        <v>0</v>
      </c>
      <c r="AC105" s="104">
        <v>0</v>
      </c>
      <c r="AD105" s="104">
        <v>0</v>
      </c>
      <c r="AE105" s="104">
        <v>0</v>
      </c>
      <c r="AF105" s="104">
        <v>0</v>
      </c>
      <c r="AG105" s="104">
        <v>0</v>
      </c>
      <c r="AH105" s="104">
        <v>0</v>
      </c>
      <c r="AI105" s="104">
        <v>0</v>
      </c>
      <c r="AJ105" s="104">
        <v>0</v>
      </c>
      <c r="AK105" s="104">
        <v>0</v>
      </c>
      <c r="AL105" s="104">
        <v>0</v>
      </c>
      <c r="AM105" s="104">
        <v>0</v>
      </c>
      <c r="AN105" s="104">
        <v>0</v>
      </c>
      <c r="AO105" s="104">
        <v>0</v>
      </c>
      <c r="AP105" s="104">
        <v>0</v>
      </c>
      <c r="AQ105" s="104">
        <v>0</v>
      </c>
      <c r="AR105" s="104">
        <v>0</v>
      </c>
      <c r="AS105" s="104">
        <v>0</v>
      </c>
      <c r="AT105" s="104">
        <v>0</v>
      </c>
      <c r="AU105" s="104">
        <v>0</v>
      </c>
      <c r="AV105" s="104">
        <v>0</v>
      </c>
      <c r="AW105" s="104">
        <v>0</v>
      </c>
      <c r="AX105" s="104">
        <v>0</v>
      </c>
      <c r="AY105" s="104">
        <v>0</v>
      </c>
    </row>
    <row r="106" spans="1:52">
      <c r="A106" s="107"/>
      <c r="B106" s="127">
        <v>7</v>
      </c>
      <c r="C106" s="104">
        <v>0</v>
      </c>
      <c r="D106" s="104">
        <v>0</v>
      </c>
      <c r="E106" s="104">
        <v>0</v>
      </c>
      <c r="F106" s="104">
        <v>0</v>
      </c>
      <c r="G106" s="104">
        <v>0</v>
      </c>
      <c r="H106" s="104">
        <v>0</v>
      </c>
      <c r="I106" s="104">
        <v>0</v>
      </c>
      <c r="J106" s="104">
        <v>0</v>
      </c>
      <c r="K106" s="104">
        <v>0</v>
      </c>
      <c r="L106" s="104">
        <v>0</v>
      </c>
      <c r="M106" s="104">
        <v>0</v>
      </c>
      <c r="N106" s="104">
        <v>0</v>
      </c>
      <c r="O106" s="104">
        <v>0</v>
      </c>
      <c r="P106" s="104">
        <v>0</v>
      </c>
      <c r="Q106" s="104">
        <v>0</v>
      </c>
      <c r="R106" s="104">
        <v>0</v>
      </c>
      <c r="S106" s="104">
        <v>0</v>
      </c>
      <c r="T106" s="104">
        <v>0</v>
      </c>
      <c r="U106" s="104">
        <v>0</v>
      </c>
      <c r="V106" s="104">
        <v>0</v>
      </c>
      <c r="W106" s="104">
        <v>0</v>
      </c>
      <c r="X106" s="104">
        <v>0</v>
      </c>
      <c r="Y106" s="104">
        <v>0</v>
      </c>
      <c r="Z106" s="104">
        <v>0</v>
      </c>
      <c r="AA106" s="104">
        <v>0</v>
      </c>
      <c r="AB106" s="104">
        <v>0</v>
      </c>
      <c r="AC106" s="104">
        <v>0</v>
      </c>
      <c r="AD106" s="104">
        <v>0</v>
      </c>
      <c r="AE106" s="104">
        <v>0</v>
      </c>
      <c r="AF106" s="104">
        <v>0</v>
      </c>
      <c r="AG106" s="104">
        <v>0</v>
      </c>
      <c r="AH106" s="104">
        <v>0</v>
      </c>
      <c r="AI106" s="104">
        <v>0</v>
      </c>
      <c r="AJ106" s="104">
        <v>0</v>
      </c>
      <c r="AK106" s="104">
        <v>0</v>
      </c>
      <c r="AL106" s="104">
        <v>0</v>
      </c>
      <c r="AM106" s="104">
        <v>0</v>
      </c>
      <c r="AN106" s="104">
        <v>0</v>
      </c>
      <c r="AO106" s="104">
        <v>0</v>
      </c>
      <c r="AP106" s="104">
        <v>0</v>
      </c>
      <c r="AQ106" s="104">
        <v>0</v>
      </c>
      <c r="AR106" s="104">
        <v>0</v>
      </c>
      <c r="AS106" s="104">
        <v>0</v>
      </c>
      <c r="AT106" s="104">
        <v>0</v>
      </c>
      <c r="AU106" s="104">
        <v>0</v>
      </c>
      <c r="AV106" s="104">
        <v>0</v>
      </c>
      <c r="AW106" s="104">
        <v>0</v>
      </c>
      <c r="AX106" s="104">
        <v>0</v>
      </c>
      <c r="AY106" s="104">
        <v>0</v>
      </c>
    </row>
    <row r="107" spans="1:52">
      <c r="A107" s="107"/>
      <c r="B107" s="127">
        <v>8</v>
      </c>
      <c r="C107" s="104">
        <v>0</v>
      </c>
      <c r="D107" s="104">
        <v>0</v>
      </c>
      <c r="E107" s="104">
        <v>0</v>
      </c>
      <c r="F107" s="104">
        <v>0</v>
      </c>
      <c r="G107" s="104">
        <v>0</v>
      </c>
      <c r="H107" s="104">
        <v>0</v>
      </c>
      <c r="I107" s="104">
        <v>0</v>
      </c>
      <c r="J107" s="104">
        <v>0</v>
      </c>
      <c r="K107" s="104">
        <v>0</v>
      </c>
      <c r="L107" s="104">
        <v>0</v>
      </c>
      <c r="M107" s="104">
        <v>0</v>
      </c>
      <c r="N107" s="104">
        <v>0</v>
      </c>
      <c r="O107" s="104">
        <v>0</v>
      </c>
      <c r="P107" s="104">
        <v>0</v>
      </c>
      <c r="Q107" s="104">
        <v>0</v>
      </c>
      <c r="R107" s="104">
        <v>0</v>
      </c>
      <c r="S107" s="104">
        <v>0</v>
      </c>
      <c r="T107" s="104">
        <v>0</v>
      </c>
      <c r="U107" s="104">
        <v>0</v>
      </c>
      <c r="V107" s="104">
        <v>0</v>
      </c>
      <c r="W107" s="104">
        <v>0</v>
      </c>
      <c r="X107" s="104">
        <v>0</v>
      </c>
      <c r="Y107" s="104">
        <v>0</v>
      </c>
      <c r="Z107" s="104">
        <v>0</v>
      </c>
      <c r="AA107" s="104">
        <v>0</v>
      </c>
      <c r="AB107" s="104">
        <v>0</v>
      </c>
      <c r="AC107" s="104">
        <v>0</v>
      </c>
      <c r="AD107" s="104">
        <v>0</v>
      </c>
      <c r="AE107" s="104">
        <v>0</v>
      </c>
      <c r="AF107" s="104">
        <v>0</v>
      </c>
      <c r="AG107" s="104">
        <v>0</v>
      </c>
      <c r="AH107" s="104">
        <v>0</v>
      </c>
      <c r="AI107" s="104">
        <v>0</v>
      </c>
      <c r="AJ107" s="104">
        <v>0</v>
      </c>
      <c r="AK107" s="104">
        <v>0</v>
      </c>
      <c r="AL107" s="104">
        <v>0</v>
      </c>
      <c r="AM107" s="104">
        <v>0</v>
      </c>
      <c r="AN107" s="104">
        <v>0</v>
      </c>
      <c r="AO107" s="104">
        <v>0</v>
      </c>
      <c r="AP107" s="104">
        <v>0</v>
      </c>
      <c r="AQ107" s="104">
        <v>0</v>
      </c>
      <c r="AR107" s="104">
        <v>0</v>
      </c>
      <c r="AS107" s="104">
        <v>0</v>
      </c>
      <c r="AT107" s="104">
        <v>0</v>
      </c>
      <c r="AU107" s="104">
        <v>0</v>
      </c>
      <c r="AV107" s="104">
        <v>0</v>
      </c>
      <c r="AW107" s="104">
        <v>0</v>
      </c>
      <c r="AX107" s="104">
        <v>0</v>
      </c>
      <c r="AY107" s="104">
        <v>0</v>
      </c>
    </row>
    <row r="108" spans="1:52">
      <c r="A108" s="125"/>
      <c r="B108" s="129" t="s">
        <v>296</v>
      </c>
      <c r="C108" s="111">
        <v>0</v>
      </c>
      <c r="D108" s="122">
        <v>0</v>
      </c>
      <c r="E108" s="122">
        <v>0</v>
      </c>
      <c r="F108" s="122">
        <v>0</v>
      </c>
      <c r="G108" s="122">
        <v>0</v>
      </c>
      <c r="H108" s="122">
        <v>0</v>
      </c>
      <c r="I108" s="122">
        <v>0</v>
      </c>
      <c r="J108" s="122">
        <v>0</v>
      </c>
      <c r="K108" s="122">
        <v>0</v>
      </c>
      <c r="L108" s="122">
        <v>0</v>
      </c>
      <c r="M108" s="122">
        <v>0</v>
      </c>
      <c r="N108" s="122">
        <v>0</v>
      </c>
      <c r="O108" s="122">
        <v>0</v>
      </c>
      <c r="P108" s="122">
        <v>0</v>
      </c>
      <c r="Q108" s="122">
        <v>0</v>
      </c>
      <c r="R108" s="122">
        <v>0</v>
      </c>
      <c r="S108" s="122">
        <v>0</v>
      </c>
      <c r="T108" s="122">
        <v>0</v>
      </c>
      <c r="U108" s="122">
        <v>0</v>
      </c>
      <c r="V108" s="122">
        <v>0</v>
      </c>
      <c r="W108" s="122">
        <v>0</v>
      </c>
      <c r="X108" s="122">
        <v>0</v>
      </c>
      <c r="Y108" s="122">
        <v>0</v>
      </c>
      <c r="Z108" s="122">
        <v>0</v>
      </c>
      <c r="AA108" s="122">
        <v>0</v>
      </c>
      <c r="AB108" s="122">
        <v>0</v>
      </c>
      <c r="AC108" s="122">
        <v>0</v>
      </c>
      <c r="AD108" s="122">
        <v>0</v>
      </c>
      <c r="AE108" s="122">
        <v>0</v>
      </c>
      <c r="AF108" s="122">
        <v>0</v>
      </c>
      <c r="AG108" s="122">
        <v>0</v>
      </c>
      <c r="AH108" s="122">
        <v>0</v>
      </c>
      <c r="AI108" s="122">
        <v>0</v>
      </c>
      <c r="AJ108" s="122">
        <v>0</v>
      </c>
      <c r="AK108" s="122">
        <v>0</v>
      </c>
      <c r="AL108" s="122">
        <v>0</v>
      </c>
      <c r="AM108" s="122">
        <v>0</v>
      </c>
      <c r="AN108" s="122">
        <v>0</v>
      </c>
      <c r="AO108" s="122">
        <v>0</v>
      </c>
      <c r="AP108" s="122">
        <v>0</v>
      </c>
      <c r="AQ108" s="122">
        <v>0</v>
      </c>
      <c r="AR108" s="122">
        <v>0</v>
      </c>
      <c r="AS108" s="122">
        <v>0</v>
      </c>
      <c r="AT108" s="122">
        <v>0</v>
      </c>
      <c r="AU108" s="122">
        <v>0</v>
      </c>
      <c r="AV108" s="122">
        <v>0</v>
      </c>
      <c r="AW108" s="122">
        <v>0</v>
      </c>
      <c r="AX108" s="122">
        <v>0</v>
      </c>
      <c r="AY108" s="122">
        <v>0</v>
      </c>
      <c r="AZ108" s="105">
        <f>SUM($D108:$AY108)</f>
        <v>0</v>
      </c>
    </row>
    <row r="109" spans="1:52">
      <c r="A109" s="128" t="s">
        <v>134</v>
      </c>
      <c r="B109" s="116">
        <v>1</v>
      </c>
      <c r="C109" s="104">
        <v>107.15964663279978</v>
      </c>
      <c r="D109" s="104">
        <v>94.691233942891799</v>
      </c>
      <c r="E109" s="104">
        <v>95.969237696917276</v>
      </c>
      <c r="F109" s="104">
        <v>93.671584280728084</v>
      </c>
      <c r="G109" s="104">
        <v>93.671584280728098</v>
      </c>
      <c r="H109" s="104">
        <v>93.671584280728084</v>
      </c>
      <c r="I109" s="104">
        <v>93.671584280728098</v>
      </c>
      <c r="J109" s="104">
        <v>93.671584280728084</v>
      </c>
      <c r="K109" s="104">
        <v>93.671584280728098</v>
      </c>
      <c r="L109" s="104">
        <v>93.671584280728084</v>
      </c>
      <c r="M109" s="104">
        <v>93.671584280728098</v>
      </c>
      <c r="N109" s="104">
        <v>93.671584280728084</v>
      </c>
      <c r="O109" s="104">
        <v>24.990220037469296</v>
      </c>
      <c r="P109" s="104">
        <v>162.35294852398687</v>
      </c>
      <c r="Q109" s="104">
        <v>34.65902301709491</v>
      </c>
      <c r="R109" s="104">
        <v>162.35294852398687</v>
      </c>
      <c r="S109" s="104">
        <v>32.76075477756639</v>
      </c>
      <c r="T109" s="104">
        <v>162.35294852398687</v>
      </c>
      <c r="U109" s="104">
        <v>120.77970920128938</v>
      </c>
      <c r="V109" s="104">
        <v>93.671584280728084</v>
      </c>
      <c r="W109" s="104">
        <v>24.990220037469296</v>
      </c>
      <c r="X109" s="104">
        <v>162.35294852398687</v>
      </c>
      <c r="Y109" s="104">
        <v>120.25735496493638</v>
      </c>
      <c r="Z109" s="104">
        <v>99.348619716972635</v>
      </c>
      <c r="AA109" s="104">
        <v>24.990220037469296</v>
      </c>
      <c r="AB109" s="104">
        <v>71.918204443993645</v>
      </c>
      <c r="AC109" s="104">
        <v>93.671584280728084</v>
      </c>
      <c r="AD109" s="104">
        <v>24.990220037469296</v>
      </c>
      <c r="AE109" s="104">
        <v>147.28049117732135</v>
      </c>
      <c r="AF109" s="104">
        <v>93.671584280728098</v>
      </c>
      <c r="AG109" s="104">
        <v>93.671584280728084</v>
      </c>
      <c r="AH109" s="104">
        <v>24.990220037469296</v>
      </c>
      <c r="AI109" s="104">
        <v>162.35294852398687</v>
      </c>
      <c r="AJ109" s="104">
        <v>36.493575679920568</v>
      </c>
      <c r="AK109" s="104">
        <v>162.35294852398687</v>
      </c>
      <c r="AL109" s="104">
        <v>116.81235079564313</v>
      </c>
      <c r="AM109" s="104">
        <v>113.66565594182273</v>
      </c>
      <c r="AN109" s="104">
        <v>24.990220037469296</v>
      </c>
      <c r="AO109" s="104">
        <v>93.671584280728084</v>
      </c>
      <c r="AP109" s="104">
        <v>162.35294852398692</v>
      </c>
      <c r="AQ109" s="104">
        <v>113.35109827549317</v>
      </c>
      <c r="AR109" s="104">
        <v>24.990220037469296</v>
      </c>
      <c r="AS109" s="104">
        <v>18.30929754740038</v>
      </c>
      <c r="AT109" s="104">
        <v>162.35294852398687</v>
      </c>
      <c r="AU109" s="104">
        <v>124.10228017838824</v>
      </c>
      <c r="AV109" s="104">
        <v>95.080152608339702</v>
      </c>
      <c r="AW109" s="104">
        <v>93.671584280728098</v>
      </c>
      <c r="AX109" s="104">
        <v>93.671584280728084</v>
      </c>
      <c r="AY109" s="104">
        <v>93.671584280728098</v>
      </c>
    </row>
    <row r="110" spans="1:52">
      <c r="A110" s="107"/>
      <c r="B110" s="116">
        <v>2</v>
      </c>
      <c r="C110" s="104">
        <v>0</v>
      </c>
      <c r="D110" s="104">
        <v>0</v>
      </c>
      <c r="E110" s="104">
        <v>0</v>
      </c>
      <c r="F110" s="104">
        <v>0</v>
      </c>
      <c r="G110" s="104">
        <v>0</v>
      </c>
      <c r="H110" s="104">
        <v>0</v>
      </c>
      <c r="I110" s="104">
        <v>0</v>
      </c>
      <c r="J110" s="104">
        <v>0</v>
      </c>
      <c r="K110" s="104">
        <v>0</v>
      </c>
      <c r="L110" s="104">
        <v>0</v>
      </c>
      <c r="M110" s="104">
        <v>0</v>
      </c>
      <c r="N110" s="104">
        <v>0</v>
      </c>
      <c r="O110" s="104">
        <v>0</v>
      </c>
      <c r="P110" s="104">
        <v>0</v>
      </c>
      <c r="Q110" s="104">
        <v>7.8402673189541474</v>
      </c>
      <c r="R110" s="104">
        <v>0</v>
      </c>
      <c r="S110" s="104">
        <v>0</v>
      </c>
      <c r="T110" s="104">
        <v>0</v>
      </c>
      <c r="U110" s="104">
        <v>8.3529485239868677</v>
      </c>
      <c r="V110" s="104">
        <v>28.132657725276246</v>
      </c>
      <c r="W110" s="104">
        <v>0</v>
      </c>
      <c r="X110" s="104">
        <v>0</v>
      </c>
      <c r="Y110" s="104">
        <v>22.352948523986868</v>
      </c>
      <c r="Z110" s="104">
        <v>0</v>
      </c>
      <c r="AA110" s="104">
        <v>0</v>
      </c>
      <c r="AB110" s="104">
        <v>0</v>
      </c>
      <c r="AC110" s="104">
        <v>0</v>
      </c>
      <c r="AD110" s="104">
        <v>0</v>
      </c>
      <c r="AE110" s="104">
        <v>0</v>
      </c>
      <c r="AF110" s="104">
        <v>0</v>
      </c>
      <c r="AG110" s="104">
        <v>0</v>
      </c>
      <c r="AH110" s="104">
        <v>0</v>
      </c>
      <c r="AI110" s="104">
        <v>0</v>
      </c>
      <c r="AJ110" s="104">
        <v>25.184554106072937</v>
      </c>
      <c r="AK110" s="104">
        <v>0</v>
      </c>
      <c r="AL110" s="104">
        <v>43.352948523986868</v>
      </c>
      <c r="AM110" s="104">
        <v>1.4210854715202004E-14</v>
      </c>
      <c r="AN110" s="104">
        <v>0</v>
      </c>
      <c r="AO110" s="104">
        <v>0</v>
      </c>
      <c r="AP110" s="104">
        <v>0</v>
      </c>
      <c r="AQ110" s="104">
        <v>0</v>
      </c>
      <c r="AR110" s="104">
        <v>0</v>
      </c>
      <c r="AS110" s="104">
        <v>0</v>
      </c>
      <c r="AT110" s="104">
        <v>0</v>
      </c>
      <c r="AU110" s="104">
        <v>32.352948523986868</v>
      </c>
      <c r="AV110" s="104">
        <v>0</v>
      </c>
      <c r="AW110" s="104">
        <v>0</v>
      </c>
      <c r="AX110" s="104">
        <v>0</v>
      </c>
      <c r="AY110" s="104">
        <v>0</v>
      </c>
    </row>
    <row r="111" spans="1:52">
      <c r="A111" s="107"/>
      <c r="B111" s="116">
        <v>3</v>
      </c>
      <c r="C111" s="104">
        <v>0</v>
      </c>
      <c r="D111" s="104">
        <v>0</v>
      </c>
      <c r="E111" s="104">
        <v>0</v>
      </c>
      <c r="F111" s="104">
        <v>0</v>
      </c>
      <c r="G111" s="104">
        <v>0</v>
      </c>
      <c r="H111" s="104">
        <v>0</v>
      </c>
      <c r="I111" s="104">
        <v>0</v>
      </c>
      <c r="J111" s="104">
        <v>0</v>
      </c>
      <c r="K111" s="104">
        <v>0</v>
      </c>
      <c r="L111" s="104">
        <v>0</v>
      </c>
      <c r="M111" s="104">
        <v>0</v>
      </c>
      <c r="N111" s="104">
        <v>0</v>
      </c>
      <c r="O111" s="104">
        <v>0</v>
      </c>
      <c r="P111" s="104">
        <v>0</v>
      </c>
      <c r="Q111" s="104">
        <v>0</v>
      </c>
      <c r="R111" s="104">
        <v>0</v>
      </c>
      <c r="S111" s="104">
        <v>0</v>
      </c>
      <c r="T111" s="104">
        <v>0</v>
      </c>
      <c r="U111" s="104">
        <v>0</v>
      </c>
      <c r="V111" s="104">
        <v>0</v>
      </c>
      <c r="W111" s="104">
        <v>0</v>
      </c>
      <c r="X111" s="104">
        <v>0</v>
      </c>
      <c r="Y111" s="104">
        <v>0</v>
      </c>
      <c r="Z111" s="104">
        <v>0</v>
      </c>
      <c r="AA111" s="104">
        <v>0</v>
      </c>
      <c r="AB111" s="104">
        <v>0</v>
      </c>
      <c r="AC111" s="104">
        <v>0</v>
      </c>
      <c r="AD111" s="104">
        <v>0</v>
      </c>
      <c r="AE111" s="104">
        <v>0</v>
      </c>
      <c r="AF111" s="104">
        <v>0</v>
      </c>
      <c r="AG111" s="104">
        <v>0</v>
      </c>
      <c r="AH111" s="104">
        <v>0</v>
      </c>
      <c r="AI111" s="104">
        <v>0</v>
      </c>
      <c r="AJ111" s="104">
        <v>0</v>
      </c>
      <c r="AK111" s="104">
        <v>0</v>
      </c>
      <c r="AL111" s="104">
        <v>0</v>
      </c>
      <c r="AM111" s="104">
        <v>0</v>
      </c>
      <c r="AN111" s="104">
        <v>0</v>
      </c>
      <c r="AO111" s="104">
        <v>0</v>
      </c>
      <c r="AP111" s="104">
        <v>0</v>
      </c>
      <c r="AQ111" s="104">
        <v>0</v>
      </c>
      <c r="AR111" s="104">
        <v>0</v>
      </c>
      <c r="AS111" s="104">
        <v>0</v>
      </c>
      <c r="AT111" s="104">
        <v>0</v>
      </c>
      <c r="AU111" s="104">
        <v>0</v>
      </c>
      <c r="AV111" s="104">
        <v>0</v>
      </c>
      <c r="AW111" s="104">
        <v>0</v>
      </c>
      <c r="AX111" s="104">
        <v>0</v>
      </c>
      <c r="AY111" s="104">
        <v>0</v>
      </c>
    </row>
    <row r="112" spans="1:52">
      <c r="A112" s="107"/>
      <c r="B112" s="117">
        <v>4</v>
      </c>
      <c r="C112" s="104">
        <v>0</v>
      </c>
      <c r="D112" s="104">
        <v>0</v>
      </c>
      <c r="E112" s="104">
        <v>0</v>
      </c>
      <c r="F112" s="104">
        <v>0</v>
      </c>
      <c r="G112" s="104">
        <v>0</v>
      </c>
      <c r="H112" s="104">
        <v>0</v>
      </c>
      <c r="I112" s="104">
        <v>0</v>
      </c>
      <c r="J112" s="104">
        <v>0</v>
      </c>
      <c r="K112" s="104">
        <v>0</v>
      </c>
      <c r="L112" s="104">
        <v>0</v>
      </c>
      <c r="M112" s="104">
        <v>0</v>
      </c>
      <c r="N112" s="104">
        <v>0</v>
      </c>
      <c r="O112" s="104">
        <v>0</v>
      </c>
      <c r="P112" s="104">
        <v>0</v>
      </c>
      <c r="Q112" s="104">
        <v>0</v>
      </c>
      <c r="R112" s="104">
        <v>0</v>
      </c>
      <c r="S112" s="104">
        <v>0</v>
      </c>
      <c r="T112" s="104">
        <v>0</v>
      </c>
      <c r="U112" s="104">
        <v>0</v>
      </c>
      <c r="V112" s="104">
        <v>0</v>
      </c>
      <c r="W112" s="104">
        <v>0</v>
      </c>
      <c r="X112" s="104">
        <v>0</v>
      </c>
      <c r="Y112" s="104">
        <v>0</v>
      </c>
      <c r="Z112" s="104">
        <v>0</v>
      </c>
      <c r="AA112" s="104">
        <v>0</v>
      </c>
      <c r="AB112" s="104">
        <v>0</v>
      </c>
      <c r="AC112" s="104">
        <v>0</v>
      </c>
      <c r="AD112" s="104">
        <v>0</v>
      </c>
      <c r="AE112" s="104">
        <v>0</v>
      </c>
      <c r="AF112" s="104">
        <v>0</v>
      </c>
      <c r="AG112" s="104">
        <v>0</v>
      </c>
      <c r="AH112" s="104">
        <v>0</v>
      </c>
      <c r="AI112" s="104">
        <v>0</v>
      </c>
      <c r="AJ112" s="104">
        <v>0</v>
      </c>
      <c r="AK112" s="104">
        <v>0</v>
      </c>
      <c r="AL112" s="104">
        <v>0</v>
      </c>
      <c r="AM112" s="104">
        <v>0</v>
      </c>
      <c r="AN112" s="104">
        <v>0</v>
      </c>
      <c r="AO112" s="104">
        <v>0</v>
      </c>
      <c r="AP112" s="104">
        <v>0</v>
      </c>
      <c r="AQ112" s="104">
        <v>0</v>
      </c>
      <c r="AR112" s="104">
        <v>0</v>
      </c>
      <c r="AS112" s="104">
        <v>0</v>
      </c>
      <c r="AT112" s="104">
        <v>0</v>
      </c>
      <c r="AU112" s="104">
        <v>0</v>
      </c>
      <c r="AV112" s="104">
        <v>0</v>
      </c>
      <c r="AW112" s="104">
        <v>0</v>
      </c>
      <c r="AX112" s="104">
        <v>0</v>
      </c>
      <c r="AY112" s="104">
        <v>0</v>
      </c>
    </row>
    <row r="113" spans="1:52">
      <c r="A113" s="107"/>
      <c r="B113" s="117">
        <v>5</v>
      </c>
      <c r="C113" s="104">
        <v>0</v>
      </c>
      <c r="D113" s="104">
        <v>0</v>
      </c>
      <c r="E113" s="104">
        <v>0</v>
      </c>
      <c r="F113" s="104">
        <v>0</v>
      </c>
      <c r="G113" s="104">
        <v>0</v>
      </c>
      <c r="H113" s="104">
        <v>0</v>
      </c>
      <c r="I113" s="104">
        <v>0</v>
      </c>
      <c r="J113" s="104">
        <v>0</v>
      </c>
      <c r="K113" s="104">
        <v>0</v>
      </c>
      <c r="L113" s="104">
        <v>0</v>
      </c>
      <c r="M113" s="104">
        <v>0</v>
      </c>
      <c r="N113" s="104">
        <v>0</v>
      </c>
      <c r="O113" s="104">
        <v>0</v>
      </c>
      <c r="P113" s="104">
        <v>0</v>
      </c>
      <c r="Q113" s="104">
        <v>0</v>
      </c>
      <c r="R113" s="104">
        <v>0</v>
      </c>
      <c r="S113" s="104">
        <v>0</v>
      </c>
      <c r="T113" s="104">
        <v>0</v>
      </c>
      <c r="U113" s="104">
        <v>0</v>
      </c>
      <c r="V113" s="104">
        <v>0</v>
      </c>
      <c r="W113" s="104">
        <v>0</v>
      </c>
      <c r="X113" s="104">
        <v>0</v>
      </c>
      <c r="Y113" s="104">
        <v>0</v>
      </c>
      <c r="Z113" s="104">
        <v>0</v>
      </c>
      <c r="AA113" s="104">
        <v>0</v>
      </c>
      <c r="AB113" s="104">
        <v>0</v>
      </c>
      <c r="AC113" s="104">
        <v>0</v>
      </c>
      <c r="AD113" s="104">
        <v>0</v>
      </c>
      <c r="AE113" s="104">
        <v>0</v>
      </c>
      <c r="AF113" s="104">
        <v>0</v>
      </c>
      <c r="AG113" s="104">
        <v>0</v>
      </c>
      <c r="AH113" s="104">
        <v>0</v>
      </c>
      <c r="AI113" s="104">
        <v>0</v>
      </c>
      <c r="AJ113" s="104">
        <v>0</v>
      </c>
      <c r="AK113" s="104">
        <v>0</v>
      </c>
      <c r="AL113" s="104">
        <v>0</v>
      </c>
      <c r="AM113" s="104">
        <v>0</v>
      </c>
      <c r="AN113" s="104">
        <v>0</v>
      </c>
      <c r="AO113" s="104">
        <v>0</v>
      </c>
      <c r="AP113" s="104">
        <v>0</v>
      </c>
      <c r="AQ113" s="104">
        <v>0</v>
      </c>
      <c r="AR113" s="104">
        <v>0</v>
      </c>
      <c r="AS113" s="104">
        <v>0</v>
      </c>
      <c r="AT113" s="104">
        <v>0</v>
      </c>
      <c r="AU113" s="104">
        <v>0</v>
      </c>
      <c r="AV113" s="104">
        <v>0</v>
      </c>
      <c r="AW113" s="104">
        <v>0</v>
      </c>
      <c r="AX113" s="104">
        <v>0</v>
      </c>
      <c r="AY113" s="104">
        <v>0</v>
      </c>
    </row>
    <row r="114" spans="1:52">
      <c r="A114" s="107"/>
      <c r="B114" s="117">
        <v>6</v>
      </c>
      <c r="C114" s="104">
        <v>0</v>
      </c>
      <c r="D114" s="104">
        <v>0</v>
      </c>
      <c r="E114" s="104">
        <v>0</v>
      </c>
      <c r="F114" s="104">
        <v>0</v>
      </c>
      <c r="G114" s="104">
        <v>0</v>
      </c>
      <c r="H114" s="104">
        <v>0</v>
      </c>
      <c r="I114" s="104">
        <v>0</v>
      </c>
      <c r="J114" s="104">
        <v>0</v>
      </c>
      <c r="K114" s="104">
        <v>0</v>
      </c>
      <c r="L114" s="104">
        <v>0</v>
      </c>
      <c r="M114" s="104">
        <v>0</v>
      </c>
      <c r="N114" s="104">
        <v>0</v>
      </c>
      <c r="O114" s="104">
        <v>0</v>
      </c>
      <c r="P114" s="104">
        <v>0</v>
      </c>
      <c r="Q114" s="104">
        <v>0</v>
      </c>
      <c r="R114" s="104">
        <v>0</v>
      </c>
      <c r="S114" s="104">
        <v>0</v>
      </c>
      <c r="T114" s="104">
        <v>0</v>
      </c>
      <c r="U114" s="104">
        <v>0</v>
      </c>
      <c r="V114" s="104">
        <v>0</v>
      </c>
      <c r="W114" s="104">
        <v>0</v>
      </c>
      <c r="X114" s="104">
        <v>0</v>
      </c>
      <c r="Y114" s="104">
        <v>0</v>
      </c>
      <c r="Z114" s="104">
        <v>0</v>
      </c>
      <c r="AA114" s="104">
        <v>0</v>
      </c>
      <c r="AB114" s="104">
        <v>0</v>
      </c>
      <c r="AC114" s="104">
        <v>0</v>
      </c>
      <c r="AD114" s="104">
        <v>0</v>
      </c>
      <c r="AE114" s="104">
        <v>0</v>
      </c>
      <c r="AF114" s="104">
        <v>0</v>
      </c>
      <c r="AG114" s="104">
        <v>0</v>
      </c>
      <c r="AH114" s="104">
        <v>0</v>
      </c>
      <c r="AI114" s="104">
        <v>0</v>
      </c>
      <c r="AJ114" s="104">
        <v>0</v>
      </c>
      <c r="AK114" s="104">
        <v>0</v>
      </c>
      <c r="AL114" s="104">
        <v>0</v>
      </c>
      <c r="AM114" s="104">
        <v>0</v>
      </c>
      <c r="AN114" s="104">
        <v>0</v>
      </c>
      <c r="AO114" s="104">
        <v>0</v>
      </c>
      <c r="AP114" s="104">
        <v>0</v>
      </c>
      <c r="AQ114" s="104">
        <v>0</v>
      </c>
      <c r="AR114" s="104">
        <v>0</v>
      </c>
      <c r="AS114" s="104">
        <v>0</v>
      </c>
      <c r="AT114" s="104">
        <v>0</v>
      </c>
      <c r="AU114" s="104">
        <v>0</v>
      </c>
      <c r="AV114" s="104">
        <v>0</v>
      </c>
      <c r="AW114" s="104">
        <v>0</v>
      </c>
      <c r="AX114" s="104">
        <v>0</v>
      </c>
      <c r="AY114" s="104">
        <v>0</v>
      </c>
    </row>
    <row r="115" spans="1:52">
      <c r="A115" s="107"/>
      <c r="B115" s="124">
        <v>7</v>
      </c>
      <c r="C115" s="104">
        <v>0</v>
      </c>
      <c r="D115" s="104">
        <v>0</v>
      </c>
      <c r="E115" s="104">
        <v>0</v>
      </c>
      <c r="F115" s="104">
        <v>0</v>
      </c>
      <c r="G115" s="104">
        <v>0</v>
      </c>
      <c r="H115" s="104">
        <v>0</v>
      </c>
      <c r="I115" s="104">
        <v>0</v>
      </c>
      <c r="J115" s="104">
        <v>0</v>
      </c>
      <c r="K115" s="104">
        <v>0</v>
      </c>
      <c r="L115" s="104">
        <v>0</v>
      </c>
      <c r="M115" s="104">
        <v>0</v>
      </c>
      <c r="N115" s="104">
        <v>0</v>
      </c>
      <c r="O115" s="104">
        <v>0</v>
      </c>
      <c r="P115" s="104">
        <v>0</v>
      </c>
      <c r="Q115" s="104">
        <v>0</v>
      </c>
      <c r="R115" s="104">
        <v>0</v>
      </c>
      <c r="S115" s="104">
        <v>0</v>
      </c>
      <c r="T115" s="104">
        <v>0</v>
      </c>
      <c r="U115" s="104">
        <v>0</v>
      </c>
      <c r="V115" s="104">
        <v>0</v>
      </c>
      <c r="W115" s="104">
        <v>0</v>
      </c>
      <c r="X115" s="104">
        <v>0</v>
      </c>
      <c r="Y115" s="104">
        <v>0</v>
      </c>
      <c r="Z115" s="104">
        <v>0</v>
      </c>
      <c r="AA115" s="104">
        <v>0</v>
      </c>
      <c r="AB115" s="104">
        <v>0</v>
      </c>
      <c r="AC115" s="104">
        <v>0</v>
      </c>
      <c r="AD115" s="104">
        <v>0</v>
      </c>
      <c r="AE115" s="104">
        <v>0</v>
      </c>
      <c r="AF115" s="104">
        <v>0</v>
      </c>
      <c r="AG115" s="104">
        <v>0</v>
      </c>
      <c r="AH115" s="104">
        <v>0</v>
      </c>
      <c r="AI115" s="104">
        <v>0</v>
      </c>
      <c r="AJ115" s="104">
        <v>0</v>
      </c>
      <c r="AK115" s="104">
        <v>0</v>
      </c>
      <c r="AL115" s="104">
        <v>0</v>
      </c>
      <c r="AM115" s="104">
        <v>0</v>
      </c>
      <c r="AN115" s="104">
        <v>0</v>
      </c>
      <c r="AO115" s="104">
        <v>0</v>
      </c>
      <c r="AP115" s="104">
        <v>0</v>
      </c>
      <c r="AQ115" s="104">
        <v>0</v>
      </c>
      <c r="AR115" s="104">
        <v>0</v>
      </c>
      <c r="AS115" s="104">
        <v>0</v>
      </c>
      <c r="AT115" s="104">
        <v>0</v>
      </c>
      <c r="AU115" s="104">
        <v>0</v>
      </c>
      <c r="AV115" s="104">
        <v>0</v>
      </c>
      <c r="AW115" s="104">
        <v>0</v>
      </c>
      <c r="AX115" s="104">
        <v>0</v>
      </c>
      <c r="AY115" s="104">
        <v>0</v>
      </c>
    </row>
    <row r="116" spans="1:52">
      <c r="A116" s="107"/>
      <c r="B116" s="124">
        <v>8</v>
      </c>
      <c r="C116" s="104">
        <v>0</v>
      </c>
      <c r="D116" s="104">
        <v>0</v>
      </c>
      <c r="E116" s="104">
        <v>0</v>
      </c>
      <c r="F116" s="104">
        <v>0</v>
      </c>
      <c r="G116" s="104">
        <v>0</v>
      </c>
      <c r="H116" s="104">
        <v>0</v>
      </c>
      <c r="I116" s="104">
        <v>0</v>
      </c>
      <c r="J116" s="104">
        <v>0</v>
      </c>
      <c r="K116" s="104">
        <v>0</v>
      </c>
      <c r="L116" s="104">
        <v>0</v>
      </c>
      <c r="M116" s="104">
        <v>0</v>
      </c>
      <c r="N116" s="104">
        <v>0</v>
      </c>
      <c r="O116" s="104">
        <v>0</v>
      </c>
      <c r="P116" s="104">
        <v>0</v>
      </c>
      <c r="Q116" s="104">
        <v>0</v>
      </c>
      <c r="R116" s="104">
        <v>0</v>
      </c>
      <c r="S116" s="104">
        <v>0</v>
      </c>
      <c r="T116" s="104">
        <v>0</v>
      </c>
      <c r="U116" s="104">
        <v>0</v>
      </c>
      <c r="V116" s="104">
        <v>0</v>
      </c>
      <c r="W116" s="104">
        <v>0</v>
      </c>
      <c r="X116" s="104">
        <v>0</v>
      </c>
      <c r="Y116" s="104">
        <v>0</v>
      </c>
      <c r="Z116" s="104">
        <v>0</v>
      </c>
      <c r="AA116" s="104">
        <v>0</v>
      </c>
      <c r="AB116" s="104">
        <v>0</v>
      </c>
      <c r="AC116" s="104">
        <v>0</v>
      </c>
      <c r="AD116" s="104">
        <v>0</v>
      </c>
      <c r="AE116" s="104">
        <v>0</v>
      </c>
      <c r="AF116" s="104">
        <v>0</v>
      </c>
      <c r="AG116" s="104">
        <v>0</v>
      </c>
      <c r="AH116" s="104">
        <v>0</v>
      </c>
      <c r="AI116" s="104">
        <v>0</v>
      </c>
      <c r="AJ116" s="104">
        <v>0</v>
      </c>
      <c r="AK116" s="104">
        <v>0</v>
      </c>
      <c r="AL116" s="104">
        <v>0</v>
      </c>
      <c r="AM116" s="104">
        <v>0</v>
      </c>
      <c r="AN116" s="104">
        <v>0</v>
      </c>
      <c r="AO116" s="104">
        <v>0</v>
      </c>
      <c r="AP116" s="104">
        <v>0</v>
      </c>
      <c r="AQ116" s="104">
        <v>0</v>
      </c>
      <c r="AR116" s="104">
        <v>0</v>
      </c>
      <c r="AS116" s="104">
        <v>0</v>
      </c>
      <c r="AT116" s="104">
        <v>0</v>
      </c>
      <c r="AU116" s="104">
        <v>0</v>
      </c>
      <c r="AV116" s="104">
        <v>0</v>
      </c>
      <c r="AW116" s="104">
        <v>0</v>
      </c>
      <c r="AX116" s="104">
        <v>0</v>
      </c>
      <c r="AY116" s="104">
        <v>0</v>
      </c>
    </row>
    <row r="117" spans="1:52">
      <c r="A117" s="107"/>
      <c r="B117" s="124">
        <v>9</v>
      </c>
      <c r="C117" s="104">
        <v>0</v>
      </c>
      <c r="D117" s="104">
        <v>0</v>
      </c>
      <c r="E117" s="104">
        <v>0</v>
      </c>
      <c r="F117" s="104">
        <v>0</v>
      </c>
      <c r="G117" s="104">
        <v>0</v>
      </c>
      <c r="H117" s="104">
        <v>0</v>
      </c>
      <c r="I117" s="104">
        <v>0</v>
      </c>
      <c r="J117" s="104">
        <v>0</v>
      </c>
      <c r="K117" s="104">
        <v>0</v>
      </c>
      <c r="L117" s="104">
        <v>0</v>
      </c>
      <c r="M117" s="104">
        <v>0</v>
      </c>
      <c r="N117" s="104">
        <v>0</v>
      </c>
      <c r="O117" s="104">
        <v>0</v>
      </c>
      <c r="P117" s="104">
        <v>0</v>
      </c>
      <c r="Q117" s="104">
        <v>0</v>
      </c>
      <c r="R117" s="104">
        <v>0</v>
      </c>
      <c r="S117" s="104">
        <v>0</v>
      </c>
      <c r="T117" s="104">
        <v>0</v>
      </c>
      <c r="U117" s="104">
        <v>0</v>
      </c>
      <c r="V117" s="104">
        <v>0</v>
      </c>
      <c r="W117" s="104">
        <v>0</v>
      </c>
      <c r="X117" s="104">
        <v>0</v>
      </c>
      <c r="Y117" s="104">
        <v>0</v>
      </c>
      <c r="Z117" s="104">
        <v>0</v>
      </c>
      <c r="AA117" s="104">
        <v>0</v>
      </c>
      <c r="AB117" s="104">
        <v>0</v>
      </c>
      <c r="AC117" s="104">
        <v>0</v>
      </c>
      <c r="AD117" s="104">
        <v>0</v>
      </c>
      <c r="AE117" s="104">
        <v>0</v>
      </c>
      <c r="AF117" s="104">
        <v>0</v>
      </c>
      <c r="AG117" s="104">
        <v>0</v>
      </c>
      <c r="AH117" s="104">
        <v>0</v>
      </c>
      <c r="AI117" s="104">
        <v>0</v>
      </c>
      <c r="AJ117" s="104">
        <v>0</v>
      </c>
      <c r="AK117" s="104">
        <v>0</v>
      </c>
      <c r="AL117" s="104">
        <v>0</v>
      </c>
      <c r="AM117" s="104">
        <v>0</v>
      </c>
      <c r="AN117" s="104">
        <v>0</v>
      </c>
      <c r="AO117" s="104">
        <v>0</v>
      </c>
      <c r="AP117" s="104">
        <v>0</v>
      </c>
      <c r="AQ117" s="104">
        <v>0</v>
      </c>
      <c r="AR117" s="104">
        <v>0</v>
      </c>
      <c r="AS117" s="104">
        <v>0</v>
      </c>
      <c r="AT117" s="104">
        <v>0</v>
      </c>
      <c r="AU117" s="104">
        <v>0</v>
      </c>
      <c r="AV117" s="104">
        <v>0</v>
      </c>
      <c r="AW117" s="104">
        <v>0</v>
      </c>
      <c r="AX117" s="104">
        <v>0</v>
      </c>
      <c r="AY117" s="104">
        <v>0</v>
      </c>
    </row>
    <row r="118" spans="1:52">
      <c r="A118" s="107"/>
      <c r="B118" s="127">
        <v>10</v>
      </c>
      <c r="C118" s="104">
        <v>0</v>
      </c>
      <c r="D118" s="104">
        <v>0</v>
      </c>
      <c r="E118" s="104">
        <v>0</v>
      </c>
      <c r="F118" s="104">
        <v>0</v>
      </c>
      <c r="G118" s="104">
        <v>0</v>
      </c>
      <c r="H118" s="104">
        <v>0</v>
      </c>
      <c r="I118" s="104">
        <v>0</v>
      </c>
      <c r="J118" s="104">
        <v>0</v>
      </c>
      <c r="K118" s="104">
        <v>0</v>
      </c>
      <c r="L118" s="104">
        <v>0</v>
      </c>
      <c r="M118" s="104">
        <v>0</v>
      </c>
      <c r="N118" s="104">
        <v>0</v>
      </c>
      <c r="O118" s="104">
        <v>0</v>
      </c>
      <c r="P118" s="104">
        <v>0</v>
      </c>
      <c r="Q118" s="104">
        <v>0</v>
      </c>
      <c r="R118" s="104">
        <v>0</v>
      </c>
      <c r="S118" s="104">
        <v>0</v>
      </c>
      <c r="T118" s="104">
        <v>0</v>
      </c>
      <c r="U118" s="104">
        <v>0</v>
      </c>
      <c r="V118" s="104">
        <v>0</v>
      </c>
      <c r="W118" s="104">
        <v>0</v>
      </c>
      <c r="X118" s="104">
        <v>0</v>
      </c>
      <c r="Y118" s="104">
        <v>0</v>
      </c>
      <c r="Z118" s="104">
        <v>0</v>
      </c>
      <c r="AA118" s="104">
        <v>0</v>
      </c>
      <c r="AB118" s="104">
        <v>0</v>
      </c>
      <c r="AC118" s="104">
        <v>0</v>
      </c>
      <c r="AD118" s="104">
        <v>0</v>
      </c>
      <c r="AE118" s="104">
        <v>0</v>
      </c>
      <c r="AF118" s="104">
        <v>0</v>
      </c>
      <c r="AG118" s="104">
        <v>0</v>
      </c>
      <c r="AH118" s="104">
        <v>0</v>
      </c>
      <c r="AI118" s="104">
        <v>0</v>
      </c>
      <c r="AJ118" s="104">
        <v>0</v>
      </c>
      <c r="AK118" s="104">
        <v>0</v>
      </c>
      <c r="AL118" s="104">
        <v>0</v>
      </c>
      <c r="AM118" s="104">
        <v>0</v>
      </c>
      <c r="AN118" s="104">
        <v>0</v>
      </c>
      <c r="AO118" s="104">
        <v>0</v>
      </c>
      <c r="AP118" s="104">
        <v>0</v>
      </c>
      <c r="AQ118" s="104">
        <v>0</v>
      </c>
      <c r="AR118" s="104">
        <v>0</v>
      </c>
      <c r="AS118" s="104">
        <v>0</v>
      </c>
      <c r="AT118" s="104">
        <v>0</v>
      </c>
      <c r="AU118" s="104">
        <v>0</v>
      </c>
      <c r="AV118" s="104">
        <v>0</v>
      </c>
      <c r="AW118" s="104">
        <v>0</v>
      </c>
      <c r="AX118" s="104">
        <v>0</v>
      </c>
      <c r="AY118" s="104">
        <v>0</v>
      </c>
    </row>
    <row r="119" spans="1:52">
      <c r="A119" s="107"/>
      <c r="B119" s="127">
        <v>11</v>
      </c>
      <c r="C119" s="104">
        <v>0</v>
      </c>
      <c r="D119" s="104">
        <v>0</v>
      </c>
      <c r="E119" s="104">
        <v>0</v>
      </c>
      <c r="F119" s="104">
        <v>0</v>
      </c>
      <c r="G119" s="104">
        <v>0</v>
      </c>
      <c r="H119" s="104">
        <v>0</v>
      </c>
      <c r="I119" s="104">
        <v>0</v>
      </c>
      <c r="J119" s="104">
        <v>0</v>
      </c>
      <c r="K119" s="104">
        <v>0</v>
      </c>
      <c r="L119" s="104">
        <v>0</v>
      </c>
      <c r="M119" s="104">
        <v>0</v>
      </c>
      <c r="N119" s="104">
        <v>0</v>
      </c>
      <c r="O119" s="104">
        <v>0</v>
      </c>
      <c r="P119" s="104">
        <v>0</v>
      </c>
      <c r="Q119" s="104">
        <v>0</v>
      </c>
      <c r="R119" s="104">
        <v>0</v>
      </c>
      <c r="S119" s="104">
        <v>0</v>
      </c>
      <c r="T119" s="104">
        <v>0</v>
      </c>
      <c r="U119" s="104">
        <v>0</v>
      </c>
      <c r="V119" s="104">
        <v>0</v>
      </c>
      <c r="W119" s="104">
        <v>0</v>
      </c>
      <c r="X119" s="104">
        <v>0</v>
      </c>
      <c r="Y119" s="104">
        <v>0</v>
      </c>
      <c r="Z119" s="104">
        <v>0</v>
      </c>
      <c r="AA119" s="104">
        <v>0</v>
      </c>
      <c r="AB119" s="104">
        <v>0</v>
      </c>
      <c r="AC119" s="104">
        <v>0</v>
      </c>
      <c r="AD119" s="104">
        <v>0</v>
      </c>
      <c r="AE119" s="104">
        <v>0</v>
      </c>
      <c r="AF119" s="104">
        <v>0</v>
      </c>
      <c r="AG119" s="104">
        <v>0</v>
      </c>
      <c r="AH119" s="104">
        <v>0</v>
      </c>
      <c r="AI119" s="104">
        <v>0</v>
      </c>
      <c r="AJ119" s="104">
        <v>0</v>
      </c>
      <c r="AK119" s="104">
        <v>0</v>
      </c>
      <c r="AL119" s="104">
        <v>0</v>
      </c>
      <c r="AM119" s="104">
        <v>0</v>
      </c>
      <c r="AN119" s="104">
        <v>0</v>
      </c>
      <c r="AO119" s="104">
        <v>0</v>
      </c>
      <c r="AP119" s="104">
        <v>0</v>
      </c>
      <c r="AQ119" s="104">
        <v>0</v>
      </c>
      <c r="AR119" s="104">
        <v>0</v>
      </c>
      <c r="AS119" s="104">
        <v>0</v>
      </c>
      <c r="AT119" s="104">
        <v>0</v>
      </c>
      <c r="AU119" s="104">
        <v>0</v>
      </c>
      <c r="AV119" s="104">
        <v>0</v>
      </c>
      <c r="AW119" s="104">
        <v>0</v>
      </c>
      <c r="AX119" s="104">
        <v>0</v>
      </c>
      <c r="AY119" s="104">
        <v>0</v>
      </c>
    </row>
    <row r="120" spans="1:52">
      <c r="A120" s="107"/>
      <c r="B120" s="127">
        <v>12</v>
      </c>
      <c r="C120" s="104">
        <v>0</v>
      </c>
      <c r="D120" s="104">
        <v>0</v>
      </c>
      <c r="E120" s="104">
        <v>0</v>
      </c>
      <c r="F120" s="104">
        <v>0</v>
      </c>
      <c r="G120" s="104">
        <v>0</v>
      </c>
      <c r="H120" s="104">
        <v>0</v>
      </c>
      <c r="I120" s="104">
        <v>0</v>
      </c>
      <c r="J120" s="104">
        <v>0</v>
      </c>
      <c r="K120" s="104">
        <v>0</v>
      </c>
      <c r="L120" s="104">
        <v>0</v>
      </c>
      <c r="M120" s="104">
        <v>0</v>
      </c>
      <c r="N120" s="104">
        <v>0</v>
      </c>
      <c r="O120" s="104">
        <v>0</v>
      </c>
      <c r="P120" s="104">
        <v>0</v>
      </c>
      <c r="Q120" s="104">
        <v>0</v>
      </c>
      <c r="R120" s="104">
        <v>0</v>
      </c>
      <c r="S120" s="104">
        <v>0</v>
      </c>
      <c r="T120" s="104">
        <v>0</v>
      </c>
      <c r="U120" s="104">
        <v>0</v>
      </c>
      <c r="V120" s="104">
        <v>0</v>
      </c>
      <c r="W120" s="104">
        <v>0</v>
      </c>
      <c r="X120" s="104">
        <v>0</v>
      </c>
      <c r="Y120" s="104">
        <v>0</v>
      </c>
      <c r="Z120" s="104">
        <v>0</v>
      </c>
      <c r="AA120" s="104">
        <v>0</v>
      </c>
      <c r="AB120" s="104">
        <v>0</v>
      </c>
      <c r="AC120" s="104">
        <v>0</v>
      </c>
      <c r="AD120" s="104">
        <v>0</v>
      </c>
      <c r="AE120" s="104">
        <v>0</v>
      </c>
      <c r="AF120" s="104">
        <v>0</v>
      </c>
      <c r="AG120" s="104">
        <v>0</v>
      </c>
      <c r="AH120" s="104">
        <v>0</v>
      </c>
      <c r="AI120" s="104">
        <v>0</v>
      </c>
      <c r="AJ120" s="104">
        <v>0</v>
      </c>
      <c r="AK120" s="104">
        <v>0</v>
      </c>
      <c r="AL120" s="104">
        <v>0</v>
      </c>
      <c r="AM120" s="104">
        <v>0</v>
      </c>
      <c r="AN120" s="104">
        <v>0</v>
      </c>
      <c r="AO120" s="104">
        <v>0</v>
      </c>
      <c r="AP120" s="104">
        <v>0</v>
      </c>
      <c r="AQ120" s="104">
        <v>0</v>
      </c>
      <c r="AR120" s="104">
        <v>0</v>
      </c>
      <c r="AS120" s="104">
        <v>0</v>
      </c>
      <c r="AT120" s="104">
        <v>0</v>
      </c>
      <c r="AU120" s="104">
        <v>0</v>
      </c>
      <c r="AV120" s="104">
        <v>0</v>
      </c>
      <c r="AW120" s="104">
        <v>0</v>
      </c>
      <c r="AX120" s="104">
        <v>0</v>
      </c>
      <c r="AY120" s="104">
        <v>0</v>
      </c>
    </row>
    <row r="121" spans="1:52">
      <c r="A121" s="125"/>
      <c r="B121" s="129" t="s">
        <v>296</v>
      </c>
      <c r="C121" s="111">
        <v>0</v>
      </c>
      <c r="D121" s="122">
        <v>0</v>
      </c>
      <c r="E121" s="122">
        <v>0</v>
      </c>
      <c r="F121" s="122">
        <v>0</v>
      </c>
      <c r="G121" s="122">
        <v>0</v>
      </c>
      <c r="H121" s="122">
        <v>0</v>
      </c>
      <c r="I121" s="122">
        <v>0</v>
      </c>
      <c r="J121" s="122">
        <v>0</v>
      </c>
      <c r="K121" s="122">
        <v>0</v>
      </c>
      <c r="L121" s="122">
        <v>0</v>
      </c>
      <c r="M121" s="122">
        <v>0</v>
      </c>
      <c r="N121" s="122">
        <v>0</v>
      </c>
      <c r="O121" s="122">
        <v>0</v>
      </c>
      <c r="P121" s="122">
        <v>0</v>
      </c>
      <c r="Q121" s="122">
        <v>0</v>
      </c>
      <c r="R121" s="122">
        <v>0</v>
      </c>
      <c r="S121" s="122">
        <v>0</v>
      </c>
      <c r="T121" s="122">
        <v>0</v>
      </c>
      <c r="U121" s="122">
        <v>0</v>
      </c>
      <c r="V121" s="122">
        <v>0</v>
      </c>
      <c r="W121" s="122">
        <v>0</v>
      </c>
      <c r="X121" s="122">
        <v>0</v>
      </c>
      <c r="Y121" s="122">
        <v>0</v>
      </c>
      <c r="Z121" s="122">
        <v>0</v>
      </c>
      <c r="AA121" s="122">
        <v>0</v>
      </c>
      <c r="AB121" s="122">
        <v>0</v>
      </c>
      <c r="AC121" s="122">
        <v>0</v>
      </c>
      <c r="AD121" s="122">
        <v>0</v>
      </c>
      <c r="AE121" s="122">
        <v>0</v>
      </c>
      <c r="AF121" s="122">
        <v>0</v>
      </c>
      <c r="AG121" s="122">
        <v>0</v>
      </c>
      <c r="AH121" s="122">
        <v>0</v>
      </c>
      <c r="AI121" s="122">
        <v>0</v>
      </c>
      <c r="AJ121" s="122">
        <v>0</v>
      </c>
      <c r="AK121" s="122">
        <v>0</v>
      </c>
      <c r="AL121" s="122">
        <v>0</v>
      </c>
      <c r="AM121" s="122">
        <v>0</v>
      </c>
      <c r="AN121" s="122">
        <v>0</v>
      </c>
      <c r="AO121" s="122">
        <v>0</v>
      </c>
      <c r="AP121" s="122">
        <v>0</v>
      </c>
      <c r="AQ121" s="122">
        <v>0</v>
      </c>
      <c r="AR121" s="122">
        <v>0</v>
      </c>
      <c r="AS121" s="122">
        <v>0</v>
      </c>
      <c r="AT121" s="122">
        <v>0</v>
      </c>
      <c r="AU121" s="122">
        <v>0</v>
      </c>
      <c r="AV121" s="122">
        <v>0</v>
      </c>
      <c r="AW121" s="122">
        <v>0</v>
      </c>
      <c r="AX121" s="122">
        <v>0</v>
      </c>
      <c r="AY121" s="122">
        <v>0</v>
      </c>
      <c r="AZ121" s="105">
        <f>SUM($D121:$AY121)</f>
        <v>0</v>
      </c>
    </row>
    <row r="122" spans="1:52">
      <c r="A122" s="128" t="s">
        <v>123</v>
      </c>
      <c r="B122" s="116">
        <v>1</v>
      </c>
      <c r="C122" s="104">
        <v>232.79838910207434</v>
      </c>
      <c r="D122" s="104">
        <v>234.73564068918745</v>
      </c>
      <c r="E122" s="104">
        <v>229.11570288751216</v>
      </c>
      <c r="F122" s="104">
        <v>229.11570288751221</v>
      </c>
      <c r="G122" s="104">
        <v>229.11570288751216</v>
      </c>
      <c r="H122" s="104">
        <v>229.11570288751221</v>
      </c>
      <c r="I122" s="104">
        <v>229.11570288751216</v>
      </c>
      <c r="J122" s="104">
        <v>229.11570288751221</v>
      </c>
      <c r="K122" s="104">
        <v>229.11570288751216</v>
      </c>
      <c r="L122" s="104">
        <v>229.11570288751221</v>
      </c>
      <c r="M122" s="104">
        <v>229.11570288751216</v>
      </c>
      <c r="N122" s="104">
        <v>61.12474634825152</v>
      </c>
      <c r="O122" s="104">
        <v>229.11570288751216</v>
      </c>
      <c r="P122" s="104">
        <v>61.12474634825152</v>
      </c>
      <c r="Q122" s="104">
        <v>229.11570288751216</v>
      </c>
      <c r="R122" s="104">
        <v>61.12474634825152</v>
      </c>
      <c r="S122" s="104">
        <v>229.11570288751216</v>
      </c>
      <c r="T122" s="104">
        <v>229.11570288751221</v>
      </c>
      <c r="U122" s="104">
        <v>229.11570288751216</v>
      </c>
      <c r="V122" s="104">
        <v>61.12474634825152</v>
      </c>
      <c r="W122" s="104">
        <v>229.11570288751216</v>
      </c>
      <c r="X122" s="104">
        <v>229.11570288751221</v>
      </c>
      <c r="Y122" s="104">
        <v>229.11570288751216</v>
      </c>
      <c r="Z122" s="104">
        <v>61.12474634825152</v>
      </c>
      <c r="AA122" s="104">
        <v>44.783565999879279</v>
      </c>
      <c r="AB122" s="104">
        <v>229.11570288751216</v>
      </c>
      <c r="AC122" s="104">
        <v>61.12474634825152</v>
      </c>
      <c r="AD122" s="104">
        <v>229.11570288751216</v>
      </c>
      <c r="AE122" s="104">
        <v>229.11570288751221</v>
      </c>
      <c r="AF122" s="104">
        <v>229.11570288751216</v>
      </c>
      <c r="AG122" s="104">
        <v>61.12474634825152</v>
      </c>
      <c r="AH122" s="104">
        <v>229.11570288751216</v>
      </c>
      <c r="AI122" s="104">
        <v>61.12474634825152</v>
      </c>
      <c r="AJ122" s="104">
        <v>229.11570288751216</v>
      </c>
      <c r="AK122" s="104">
        <v>229.11570288751221</v>
      </c>
      <c r="AL122" s="104">
        <v>229.11570288751216</v>
      </c>
      <c r="AM122" s="104">
        <v>61.12474634825152</v>
      </c>
      <c r="AN122" s="104">
        <v>229.11570288751216</v>
      </c>
      <c r="AO122" s="104">
        <v>229.11570288751221</v>
      </c>
      <c r="AP122" s="104">
        <v>229.11570288751216</v>
      </c>
      <c r="AQ122" s="104">
        <v>61.12474634825152</v>
      </c>
      <c r="AR122" s="104">
        <v>44.783565999879279</v>
      </c>
      <c r="AS122" s="104">
        <v>229.11570288751216</v>
      </c>
      <c r="AT122" s="104">
        <v>229.11570288751221</v>
      </c>
      <c r="AU122" s="104">
        <v>229.11570288751216</v>
      </c>
      <c r="AV122" s="104">
        <v>229.11570288751221</v>
      </c>
      <c r="AW122" s="104">
        <v>229.11570288751216</v>
      </c>
      <c r="AX122" s="104">
        <v>229.11570288751221</v>
      </c>
      <c r="AY122" s="104">
        <v>119.17057446151802</v>
      </c>
    </row>
    <row r="123" spans="1:52">
      <c r="A123" s="107"/>
      <c r="B123" s="116">
        <v>2</v>
      </c>
      <c r="C123" s="104">
        <v>2.8421709430404007E-14</v>
      </c>
      <c r="D123" s="104">
        <v>2.8421709430404007E-14</v>
      </c>
      <c r="E123" s="104">
        <v>0</v>
      </c>
      <c r="F123" s="104">
        <v>0</v>
      </c>
      <c r="G123" s="104">
        <v>0</v>
      </c>
      <c r="H123" s="104">
        <v>0</v>
      </c>
      <c r="I123" s="104">
        <v>0</v>
      </c>
      <c r="J123" s="104">
        <v>0</v>
      </c>
      <c r="K123" s="104">
        <v>0</v>
      </c>
      <c r="L123" s="104">
        <v>0</v>
      </c>
      <c r="M123" s="104">
        <v>0</v>
      </c>
      <c r="N123" s="104">
        <v>0</v>
      </c>
      <c r="O123" s="104">
        <v>167.99095653926068</v>
      </c>
      <c r="P123" s="104">
        <v>23.649376785586867</v>
      </c>
      <c r="Q123" s="104">
        <v>167.99095653926068</v>
      </c>
      <c r="R123" s="104">
        <v>19.006313840636778</v>
      </c>
      <c r="S123" s="104">
        <v>167.99095653926068</v>
      </c>
      <c r="T123" s="104">
        <v>66.305028817738304</v>
      </c>
      <c r="U123" s="104">
        <v>0</v>
      </c>
      <c r="V123" s="104">
        <v>0</v>
      </c>
      <c r="W123" s="104">
        <v>167.99095653926068</v>
      </c>
      <c r="X123" s="104">
        <v>65.027378194689049</v>
      </c>
      <c r="Y123" s="104">
        <v>13.88572611726488</v>
      </c>
      <c r="Z123" s="104">
        <v>0</v>
      </c>
      <c r="AA123" s="104">
        <v>131.12452916173413</v>
      </c>
      <c r="AB123" s="104">
        <v>7.1054273576010019E-15</v>
      </c>
      <c r="AC123" s="104">
        <v>0</v>
      </c>
      <c r="AD123" s="104">
        <v>131.12452916173413</v>
      </c>
      <c r="AE123" s="104">
        <v>0</v>
      </c>
      <c r="AF123" s="104">
        <v>0</v>
      </c>
      <c r="AG123" s="104">
        <v>0</v>
      </c>
      <c r="AH123" s="104">
        <v>167.99095653926068</v>
      </c>
      <c r="AI123" s="104">
        <v>28.136594825667942</v>
      </c>
      <c r="AJ123" s="104">
        <v>167.99095653926068</v>
      </c>
      <c r="AK123" s="104">
        <v>56.601081599421349</v>
      </c>
      <c r="AL123" s="104">
        <v>48.904433691290421</v>
      </c>
      <c r="AM123" s="104">
        <v>0</v>
      </c>
      <c r="AN123" s="104">
        <v>0</v>
      </c>
      <c r="AO123" s="104">
        <v>0</v>
      </c>
      <c r="AP123" s="104">
        <v>48.135042403920266</v>
      </c>
      <c r="AQ123" s="104">
        <v>0</v>
      </c>
      <c r="AR123" s="104">
        <v>0</v>
      </c>
      <c r="AS123" s="104">
        <v>0</v>
      </c>
      <c r="AT123" s="104">
        <v>74.431860350022703</v>
      </c>
      <c r="AU123" s="104">
        <v>3.445283059146675</v>
      </c>
      <c r="AV123" s="104">
        <v>0</v>
      </c>
      <c r="AW123" s="104">
        <v>0</v>
      </c>
      <c r="AX123" s="104">
        <v>0</v>
      </c>
      <c r="AY123" s="104">
        <v>0</v>
      </c>
    </row>
    <row r="124" spans="1:52">
      <c r="A124" s="107"/>
      <c r="B124" s="116">
        <v>3</v>
      </c>
      <c r="C124" s="104">
        <v>0</v>
      </c>
      <c r="D124" s="104">
        <v>0</v>
      </c>
      <c r="E124" s="104">
        <v>0</v>
      </c>
      <c r="F124" s="104">
        <v>0</v>
      </c>
      <c r="G124" s="104">
        <v>0</v>
      </c>
      <c r="H124" s="104">
        <v>0</v>
      </c>
      <c r="I124" s="104">
        <v>0</v>
      </c>
      <c r="J124" s="104">
        <v>0</v>
      </c>
      <c r="K124" s="104">
        <v>0</v>
      </c>
      <c r="L124" s="104">
        <v>0</v>
      </c>
      <c r="M124" s="104">
        <v>0</v>
      </c>
      <c r="N124" s="104">
        <v>0</v>
      </c>
      <c r="O124" s="104">
        <v>0</v>
      </c>
      <c r="P124" s="104">
        <v>0</v>
      </c>
      <c r="Q124" s="104">
        <v>0</v>
      </c>
      <c r="R124" s="104">
        <v>0</v>
      </c>
      <c r="S124" s="104">
        <v>0</v>
      </c>
      <c r="T124" s="104">
        <v>0</v>
      </c>
      <c r="U124" s="104">
        <v>0</v>
      </c>
      <c r="V124" s="104">
        <v>0</v>
      </c>
      <c r="W124" s="104">
        <v>0</v>
      </c>
      <c r="X124" s="104">
        <v>0</v>
      </c>
      <c r="Y124" s="104">
        <v>0</v>
      </c>
      <c r="Z124" s="104">
        <v>0</v>
      </c>
      <c r="AA124" s="104">
        <v>0</v>
      </c>
      <c r="AB124" s="104">
        <v>0</v>
      </c>
      <c r="AC124" s="104">
        <v>0</v>
      </c>
      <c r="AD124" s="104">
        <v>0</v>
      </c>
      <c r="AE124" s="104">
        <v>0</v>
      </c>
      <c r="AF124" s="104">
        <v>0</v>
      </c>
      <c r="AG124" s="104">
        <v>0</v>
      </c>
      <c r="AH124" s="104">
        <v>0</v>
      </c>
      <c r="AI124" s="104">
        <v>0</v>
      </c>
      <c r="AJ124" s="104">
        <v>0</v>
      </c>
      <c r="AK124" s="104">
        <v>0</v>
      </c>
      <c r="AL124" s="104">
        <v>0</v>
      </c>
      <c r="AM124" s="104">
        <v>0</v>
      </c>
      <c r="AN124" s="104">
        <v>0</v>
      </c>
      <c r="AO124" s="104">
        <v>167.99095653926068</v>
      </c>
      <c r="AP124" s="104">
        <v>0</v>
      </c>
      <c r="AQ124" s="104">
        <v>0</v>
      </c>
      <c r="AR124" s="104">
        <v>0</v>
      </c>
      <c r="AS124" s="104">
        <v>167.99095653926068</v>
      </c>
      <c r="AT124" s="104">
        <v>0</v>
      </c>
      <c r="AU124" s="104">
        <v>0</v>
      </c>
      <c r="AV124" s="104">
        <v>0</v>
      </c>
      <c r="AW124" s="104">
        <v>0</v>
      </c>
      <c r="AX124" s="104">
        <v>0</v>
      </c>
      <c r="AY124" s="104">
        <v>0</v>
      </c>
    </row>
    <row r="125" spans="1:52">
      <c r="A125" s="107"/>
      <c r="B125" s="116">
        <v>4</v>
      </c>
      <c r="C125" s="104">
        <v>0</v>
      </c>
      <c r="D125" s="104">
        <v>0</v>
      </c>
      <c r="E125" s="104">
        <v>0</v>
      </c>
      <c r="F125" s="104">
        <v>0</v>
      </c>
      <c r="G125" s="104">
        <v>0</v>
      </c>
      <c r="H125" s="104">
        <v>0</v>
      </c>
      <c r="I125" s="104">
        <v>0</v>
      </c>
      <c r="J125" s="104">
        <v>0</v>
      </c>
      <c r="K125" s="104">
        <v>0</v>
      </c>
      <c r="L125" s="104">
        <v>0</v>
      </c>
      <c r="M125" s="104">
        <v>0</v>
      </c>
      <c r="N125" s="104">
        <v>0</v>
      </c>
      <c r="O125" s="104">
        <v>0</v>
      </c>
      <c r="P125" s="104">
        <v>0</v>
      </c>
      <c r="Q125" s="104">
        <v>0</v>
      </c>
      <c r="R125" s="104">
        <v>0</v>
      </c>
      <c r="S125" s="104">
        <v>0</v>
      </c>
      <c r="T125" s="104">
        <v>0</v>
      </c>
      <c r="U125" s="104">
        <v>0</v>
      </c>
      <c r="V125" s="104">
        <v>0</v>
      </c>
      <c r="W125" s="104">
        <v>0</v>
      </c>
      <c r="X125" s="104">
        <v>0</v>
      </c>
      <c r="Y125" s="104">
        <v>0</v>
      </c>
      <c r="Z125" s="104">
        <v>0</v>
      </c>
      <c r="AA125" s="104">
        <v>0</v>
      </c>
      <c r="AB125" s="104">
        <v>0</v>
      </c>
      <c r="AC125" s="104">
        <v>0</v>
      </c>
      <c r="AD125" s="104">
        <v>0</v>
      </c>
      <c r="AE125" s="104">
        <v>0</v>
      </c>
      <c r="AF125" s="104">
        <v>0</v>
      </c>
      <c r="AG125" s="104">
        <v>0</v>
      </c>
      <c r="AH125" s="104">
        <v>0</v>
      </c>
      <c r="AI125" s="104">
        <v>0</v>
      </c>
      <c r="AJ125" s="104">
        <v>0</v>
      </c>
      <c r="AK125" s="104">
        <v>0</v>
      </c>
      <c r="AL125" s="104">
        <v>0</v>
      </c>
      <c r="AM125" s="104">
        <v>0</v>
      </c>
      <c r="AN125" s="104">
        <v>0</v>
      </c>
      <c r="AO125" s="104">
        <v>0</v>
      </c>
      <c r="AP125" s="104">
        <v>0</v>
      </c>
      <c r="AQ125" s="104">
        <v>0</v>
      </c>
      <c r="AR125" s="104">
        <v>0</v>
      </c>
      <c r="AS125" s="104">
        <v>0</v>
      </c>
      <c r="AT125" s="104">
        <v>0</v>
      </c>
      <c r="AU125" s="104">
        <v>0</v>
      </c>
      <c r="AV125" s="104">
        <v>0</v>
      </c>
      <c r="AW125" s="104">
        <v>0</v>
      </c>
      <c r="AX125" s="104">
        <v>0</v>
      </c>
      <c r="AY125" s="104">
        <v>0</v>
      </c>
    </row>
    <row r="126" spans="1:52">
      <c r="A126" s="107"/>
      <c r="B126" s="116">
        <v>5</v>
      </c>
      <c r="C126" s="104">
        <v>0</v>
      </c>
      <c r="D126" s="104">
        <v>0</v>
      </c>
      <c r="E126" s="104">
        <v>0</v>
      </c>
      <c r="F126" s="104">
        <v>0</v>
      </c>
      <c r="G126" s="104">
        <v>0</v>
      </c>
      <c r="H126" s="104">
        <v>0</v>
      </c>
      <c r="I126" s="104">
        <v>0</v>
      </c>
      <c r="J126" s="104">
        <v>0</v>
      </c>
      <c r="K126" s="104">
        <v>0</v>
      </c>
      <c r="L126" s="104">
        <v>0</v>
      </c>
      <c r="M126" s="104">
        <v>0</v>
      </c>
      <c r="N126" s="104">
        <v>0</v>
      </c>
      <c r="O126" s="104">
        <v>0</v>
      </c>
      <c r="P126" s="104">
        <v>0</v>
      </c>
      <c r="Q126" s="104">
        <v>0</v>
      </c>
      <c r="R126" s="104">
        <v>0</v>
      </c>
      <c r="S126" s="104">
        <v>0</v>
      </c>
      <c r="T126" s="104">
        <v>0</v>
      </c>
      <c r="U126" s="104">
        <v>0</v>
      </c>
      <c r="V126" s="104">
        <v>0</v>
      </c>
      <c r="W126" s="104">
        <v>0</v>
      </c>
      <c r="X126" s="104">
        <v>0</v>
      </c>
      <c r="Y126" s="104">
        <v>0</v>
      </c>
      <c r="Z126" s="104">
        <v>0</v>
      </c>
      <c r="AA126" s="104">
        <v>0</v>
      </c>
      <c r="AB126" s="104">
        <v>0</v>
      </c>
      <c r="AC126" s="104">
        <v>0</v>
      </c>
      <c r="AD126" s="104">
        <v>0</v>
      </c>
      <c r="AE126" s="104">
        <v>0</v>
      </c>
      <c r="AF126" s="104">
        <v>0</v>
      </c>
      <c r="AG126" s="104">
        <v>0</v>
      </c>
      <c r="AH126" s="104">
        <v>0</v>
      </c>
      <c r="AI126" s="104">
        <v>0</v>
      </c>
      <c r="AJ126" s="104">
        <v>0</v>
      </c>
      <c r="AK126" s="104">
        <v>0</v>
      </c>
      <c r="AL126" s="104">
        <v>0</v>
      </c>
      <c r="AM126" s="104">
        <v>0</v>
      </c>
      <c r="AN126" s="104">
        <v>0</v>
      </c>
      <c r="AO126" s="104">
        <v>0</v>
      </c>
      <c r="AP126" s="104">
        <v>0</v>
      </c>
      <c r="AQ126" s="104">
        <v>0</v>
      </c>
      <c r="AR126" s="104">
        <v>0</v>
      </c>
      <c r="AS126" s="104">
        <v>0</v>
      </c>
      <c r="AT126" s="104">
        <v>0</v>
      </c>
      <c r="AU126" s="104">
        <v>0</v>
      </c>
      <c r="AV126" s="104">
        <v>0</v>
      </c>
      <c r="AW126" s="104">
        <v>0</v>
      </c>
      <c r="AX126" s="104">
        <v>0</v>
      </c>
      <c r="AY126" s="104">
        <v>0</v>
      </c>
    </row>
    <row r="127" spans="1:52">
      <c r="A127" s="107"/>
      <c r="B127" s="116">
        <v>6</v>
      </c>
      <c r="C127" s="104">
        <v>0</v>
      </c>
      <c r="D127" s="104">
        <v>0</v>
      </c>
      <c r="E127" s="104">
        <v>0</v>
      </c>
      <c r="F127" s="104">
        <v>0</v>
      </c>
      <c r="G127" s="104">
        <v>0</v>
      </c>
      <c r="H127" s="104">
        <v>0</v>
      </c>
      <c r="I127" s="104">
        <v>0</v>
      </c>
      <c r="J127" s="104">
        <v>0</v>
      </c>
      <c r="K127" s="104">
        <v>0</v>
      </c>
      <c r="L127" s="104">
        <v>0</v>
      </c>
      <c r="M127" s="104">
        <v>0</v>
      </c>
      <c r="N127" s="104">
        <v>0</v>
      </c>
      <c r="O127" s="104">
        <v>0</v>
      </c>
      <c r="P127" s="104">
        <v>0</v>
      </c>
      <c r="Q127" s="104">
        <v>0</v>
      </c>
      <c r="R127" s="104">
        <v>0</v>
      </c>
      <c r="S127" s="104">
        <v>0</v>
      </c>
      <c r="T127" s="104">
        <v>0</v>
      </c>
      <c r="U127" s="104">
        <v>0</v>
      </c>
      <c r="V127" s="104">
        <v>0</v>
      </c>
      <c r="W127" s="104">
        <v>0</v>
      </c>
      <c r="X127" s="104">
        <v>0</v>
      </c>
      <c r="Y127" s="104">
        <v>0</v>
      </c>
      <c r="Z127" s="104">
        <v>0</v>
      </c>
      <c r="AA127" s="104">
        <v>0</v>
      </c>
      <c r="AB127" s="104">
        <v>0</v>
      </c>
      <c r="AC127" s="104">
        <v>0</v>
      </c>
      <c r="AD127" s="104">
        <v>0</v>
      </c>
      <c r="AE127" s="104">
        <v>0</v>
      </c>
      <c r="AF127" s="104">
        <v>0</v>
      </c>
      <c r="AG127" s="104">
        <v>0</v>
      </c>
      <c r="AH127" s="104">
        <v>0</v>
      </c>
      <c r="AI127" s="104">
        <v>0</v>
      </c>
      <c r="AJ127" s="104">
        <v>0</v>
      </c>
      <c r="AK127" s="104">
        <v>0</v>
      </c>
      <c r="AL127" s="104">
        <v>0</v>
      </c>
      <c r="AM127" s="104">
        <v>0</v>
      </c>
      <c r="AN127" s="104">
        <v>0</v>
      </c>
      <c r="AO127" s="104">
        <v>0</v>
      </c>
      <c r="AP127" s="104">
        <v>0</v>
      </c>
      <c r="AQ127" s="104">
        <v>0</v>
      </c>
      <c r="AR127" s="104">
        <v>0</v>
      </c>
      <c r="AS127" s="104">
        <v>0</v>
      </c>
      <c r="AT127" s="104">
        <v>0</v>
      </c>
      <c r="AU127" s="104">
        <v>0</v>
      </c>
      <c r="AV127" s="104">
        <v>0</v>
      </c>
      <c r="AW127" s="104">
        <v>0</v>
      </c>
      <c r="AX127" s="104">
        <v>0</v>
      </c>
      <c r="AY127" s="104">
        <v>0</v>
      </c>
    </row>
    <row r="128" spans="1:52">
      <c r="A128" s="107"/>
      <c r="B128" s="116">
        <v>7</v>
      </c>
      <c r="C128" s="104">
        <v>0</v>
      </c>
      <c r="D128" s="104">
        <v>0</v>
      </c>
      <c r="E128" s="104">
        <v>0</v>
      </c>
      <c r="F128" s="104">
        <v>0</v>
      </c>
      <c r="G128" s="104">
        <v>0</v>
      </c>
      <c r="H128" s="104">
        <v>0</v>
      </c>
      <c r="I128" s="104">
        <v>0</v>
      </c>
      <c r="J128" s="104">
        <v>0</v>
      </c>
      <c r="K128" s="104">
        <v>0</v>
      </c>
      <c r="L128" s="104">
        <v>0</v>
      </c>
      <c r="M128" s="104">
        <v>0</v>
      </c>
      <c r="N128" s="104">
        <v>0</v>
      </c>
      <c r="O128" s="104">
        <v>0</v>
      </c>
      <c r="P128" s="104">
        <v>0</v>
      </c>
      <c r="Q128" s="104">
        <v>0</v>
      </c>
      <c r="R128" s="104">
        <v>0</v>
      </c>
      <c r="S128" s="104">
        <v>0</v>
      </c>
      <c r="T128" s="104">
        <v>0</v>
      </c>
      <c r="U128" s="104">
        <v>0</v>
      </c>
      <c r="V128" s="104">
        <v>0</v>
      </c>
      <c r="W128" s="104">
        <v>0</v>
      </c>
      <c r="X128" s="104">
        <v>0</v>
      </c>
      <c r="Y128" s="104">
        <v>0</v>
      </c>
      <c r="Z128" s="104">
        <v>0</v>
      </c>
      <c r="AA128" s="104">
        <v>0</v>
      </c>
      <c r="AB128" s="104">
        <v>0</v>
      </c>
      <c r="AC128" s="104">
        <v>0</v>
      </c>
      <c r="AD128" s="104">
        <v>0</v>
      </c>
      <c r="AE128" s="104">
        <v>0</v>
      </c>
      <c r="AF128" s="104">
        <v>0</v>
      </c>
      <c r="AG128" s="104">
        <v>0</v>
      </c>
      <c r="AH128" s="104">
        <v>0</v>
      </c>
      <c r="AI128" s="104">
        <v>0</v>
      </c>
      <c r="AJ128" s="104">
        <v>0</v>
      </c>
      <c r="AK128" s="104">
        <v>0</v>
      </c>
      <c r="AL128" s="104">
        <v>0</v>
      </c>
      <c r="AM128" s="104">
        <v>0</v>
      </c>
      <c r="AN128" s="104">
        <v>0</v>
      </c>
      <c r="AO128" s="104">
        <v>0</v>
      </c>
      <c r="AP128" s="104">
        <v>0</v>
      </c>
      <c r="AQ128" s="104">
        <v>0</v>
      </c>
      <c r="AR128" s="104">
        <v>0</v>
      </c>
      <c r="AS128" s="104">
        <v>0</v>
      </c>
      <c r="AT128" s="104">
        <v>0</v>
      </c>
      <c r="AU128" s="104">
        <v>0</v>
      </c>
      <c r="AV128" s="104">
        <v>0</v>
      </c>
      <c r="AW128" s="104">
        <v>0</v>
      </c>
      <c r="AX128" s="104">
        <v>0</v>
      </c>
      <c r="AY128" s="104">
        <v>0</v>
      </c>
    </row>
    <row r="129" spans="1:51">
      <c r="A129" s="107"/>
      <c r="B129" s="116">
        <v>8</v>
      </c>
      <c r="C129" s="104">
        <v>0</v>
      </c>
      <c r="D129" s="104">
        <v>0</v>
      </c>
      <c r="E129" s="104">
        <v>0</v>
      </c>
      <c r="F129" s="104">
        <v>0</v>
      </c>
      <c r="G129" s="104">
        <v>0</v>
      </c>
      <c r="H129" s="104">
        <v>0</v>
      </c>
      <c r="I129" s="104">
        <v>0</v>
      </c>
      <c r="J129" s="104">
        <v>0</v>
      </c>
      <c r="K129" s="104">
        <v>0</v>
      </c>
      <c r="L129" s="104">
        <v>0</v>
      </c>
      <c r="M129" s="104">
        <v>0</v>
      </c>
      <c r="N129" s="104">
        <v>0</v>
      </c>
      <c r="O129" s="104">
        <v>0</v>
      </c>
      <c r="P129" s="104">
        <v>0</v>
      </c>
      <c r="Q129" s="104">
        <v>0</v>
      </c>
      <c r="R129" s="104">
        <v>0</v>
      </c>
      <c r="S129" s="104">
        <v>0</v>
      </c>
      <c r="T129" s="104">
        <v>0</v>
      </c>
      <c r="U129" s="104">
        <v>0</v>
      </c>
      <c r="V129" s="104">
        <v>0</v>
      </c>
      <c r="W129" s="104">
        <v>0</v>
      </c>
      <c r="X129" s="104">
        <v>0</v>
      </c>
      <c r="Y129" s="104">
        <v>0</v>
      </c>
      <c r="Z129" s="104">
        <v>0</v>
      </c>
      <c r="AA129" s="104">
        <v>0</v>
      </c>
      <c r="AB129" s="104">
        <v>0</v>
      </c>
      <c r="AC129" s="104">
        <v>0</v>
      </c>
      <c r="AD129" s="104">
        <v>0</v>
      </c>
      <c r="AE129" s="104">
        <v>0</v>
      </c>
      <c r="AF129" s="104">
        <v>0</v>
      </c>
      <c r="AG129" s="104">
        <v>0</v>
      </c>
      <c r="AH129" s="104">
        <v>0</v>
      </c>
      <c r="AI129" s="104">
        <v>0</v>
      </c>
      <c r="AJ129" s="104">
        <v>0</v>
      </c>
      <c r="AK129" s="104">
        <v>0</v>
      </c>
      <c r="AL129" s="104">
        <v>0</v>
      </c>
      <c r="AM129" s="104">
        <v>0</v>
      </c>
      <c r="AN129" s="104">
        <v>0</v>
      </c>
      <c r="AO129" s="104">
        <v>0</v>
      </c>
      <c r="AP129" s="104">
        <v>0</v>
      </c>
      <c r="AQ129" s="104">
        <v>0</v>
      </c>
      <c r="AR129" s="104">
        <v>0</v>
      </c>
      <c r="AS129" s="104">
        <v>0</v>
      </c>
      <c r="AT129" s="104">
        <v>0</v>
      </c>
      <c r="AU129" s="104">
        <v>0</v>
      </c>
      <c r="AV129" s="104">
        <v>0</v>
      </c>
      <c r="AW129" s="104">
        <v>0</v>
      </c>
      <c r="AX129" s="104">
        <v>0</v>
      </c>
      <c r="AY129" s="104">
        <v>0</v>
      </c>
    </row>
    <row r="130" spans="1:51">
      <c r="A130" s="107"/>
      <c r="B130" s="116">
        <v>9</v>
      </c>
      <c r="C130" s="104">
        <v>0</v>
      </c>
      <c r="D130" s="104">
        <v>0</v>
      </c>
      <c r="E130" s="104">
        <v>0</v>
      </c>
      <c r="F130" s="104">
        <v>0</v>
      </c>
      <c r="G130" s="104">
        <v>0</v>
      </c>
      <c r="H130" s="104">
        <v>0</v>
      </c>
      <c r="I130" s="104">
        <v>0</v>
      </c>
      <c r="J130" s="104">
        <v>0</v>
      </c>
      <c r="K130" s="104">
        <v>0</v>
      </c>
      <c r="L130" s="104">
        <v>0</v>
      </c>
      <c r="M130" s="104">
        <v>0</v>
      </c>
      <c r="N130" s="104">
        <v>0</v>
      </c>
      <c r="O130" s="104">
        <v>0</v>
      </c>
      <c r="P130" s="104">
        <v>0</v>
      </c>
      <c r="Q130" s="104">
        <v>0</v>
      </c>
      <c r="R130" s="104">
        <v>0</v>
      </c>
      <c r="S130" s="104">
        <v>0</v>
      </c>
      <c r="T130" s="104">
        <v>0</v>
      </c>
      <c r="U130" s="104">
        <v>0</v>
      </c>
      <c r="V130" s="104">
        <v>0</v>
      </c>
      <c r="W130" s="104">
        <v>0</v>
      </c>
      <c r="X130" s="104">
        <v>0</v>
      </c>
      <c r="Y130" s="104">
        <v>0</v>
      </c>
      <c r="Z130" s="104">
        <v>0</v>
      </c>
      <c r="AA130" s="104">
        <v>0</v>
      </c>
      <c r="AB130" s="104">
        <v>0</v>
      </c>
      <c r="AC130" s="104">
        <v>0</v>
      </c>
      <c r="AD130" s="104">
        <v>0</v>
      </c>
      <c r="AE130" s="104">
        <v>0</v>
      </c>
      <c r="AF130" s="104">
        <v>0</v>
      </c>
      <c r="AG130" s="104">
        <v>0</v>
      </c>
      <c r="AH130" s="104">
        <v>0</v>
      </c>
      <c r="AI130" s="104">
        <v>0</v>
      </c>
      <c r="AJ130" s="104">
        <v>0</v>
      </c>
      <c r="AK130" s="104">
        <v>0</v>
      </c>
      <c r="AL130" s="104">
        <v>0</v>
      </c>
      <c r="AM130" s="104">
        <v>0</v>
      </c>
      <c r="AN130" s="104">
        <v>0</v>
      </c>
      <c r="AO130" s="104">
        <v>0</v>
      </c>
      <c r="AP130" s="104">
        <v>0</v>
      </c>
      <c r="AQ130" s="104">
        <v>0</v>
      </c>
      <c r="AR130" s="104">
        <v>0</v>
      </c>
      <c r="AS130" s="104">
        <v>0</v>
      </c>
      <c r="AT130" s="104">
        <v>0</v>
      </c>
      <c r="AU130" s="104">
        <v>0</v>
      </c>
      <c r="AV130" s="104">
        <v>0</v>
      </c>
      <c r="AW130" s="104">
        <v>0</v>
      </c>
      <c r="AX130" s="104">
        <v>0</v>
      </c>
      <c r="AY130" s="104">
        <v>0</v>
      </c>
    </row>
    <row r="131" spans="1:51">
      <c r="A131" s="107"/>
      <c r="B131" s="116">
        <v>10</v>
      </c>
      <c r="C131" s="104">
        <v>0</v>
      </c>
      <c r="D131" s="104">
        <v>0</v>
      </c>
      <c r="E131" s="104">
        <v>0</v>
      </c>
      <c r="F131" s="104">
        <v>0</v>
      </c>
      <c r="G131" s="104">
        <v>0</v>
      </c>
      <c r="H131" s="104">
        <v>0</v>
      </c>
      <c r="I131" s="104">
        <v>0</v>
      </c>
      <c r="J131" s="104">
        <v>0</v>
      </c>
      <c r="K131" s="104">
        <v>0</v>
      </c>
      <c r="L131" s="104">
        <v>0</v>
      </c>
      <c r="M131" s="104">
        <v>0</v>
      </c>
      <c r="N131" s="104">
        <v>0</v>
      </c>
      <c r="O131" s="104">
        <v>0</v>
      </c>
      <c r="P131" s="104">
        <v>0</v>
      </c>
      <c r="Q131" s="104">
        <v>0</v>
      </c>
      <c r="R131" s="104">
        <v>0</v>
      </c>
      <c r="S131" s="104">
        <v>0</v>
      </c>
      <c r="T131" s="104">
        <v>0</v>
      </c>
      <c r="U131" s="104">
        <v>0</v>
      </c>
      <c r="V131" s="104">
        <v>0</v>
      </c>
      <c r="W131" s="104">
        <v>0</v>
      </c>
      <c r="X131" s="104">
        <v>0</v>
      </c>
      <c r="Y131" s="104">
        <v>0</v>
      </c>
      <c r="Z131" s="104">
        <v>0</v>
      </c>
      <c r="AA131" s="104">
        <v>0</v>
      </c>
      <c r="AB131" s="104">
        <v>0</v>
      </c>
      <c r="AC131" s="104">
        <v>0</v>
      </c>
      <c r="AD131" s="104">
        <v>0</v>
      </c>
      <c r="AE131" s="104">
        <v>0</v>
      </c>
      <c r="AF131" s="104">
        <v>0</v>
      </c>
      <c r="AG131" s="104">
        <v>0</v>
      </c>
      <c r="AH131" s="104">
        <v>0</v>
      </c>
      <c r="AI131" s="104">
        <v>0</v>
      </c>
      <c r="AJ131" s="104">
        <v>0</v>
      </c>
      <c r="AK131" s="104">
        <v>0</v>
      </c>
      <c r="AL131" s="104">
        <v>0</v>
      </c>
      <c r="AM131" s="104">
        <v>0</v>
      </c>
      <c r="AN131" s="104">
        <v>0</v>
      </c>
      <c r="AO131" s="104">
        <v>0</v>
      </c>
      <c r="AP131" s="104">
        <v>0</v>
      </c>
      <c r="AQ131" s="104">
        <v>0</v>
      </c>
      <c r="AR131" s="104">
        <v>0</v>
      </c>
      <c r="AS131" s="104">
        <v>0</v>
      </c>
      <c r="AT131" s="104">
        <v>0</v>
      </c>
      <c r="AU131" s="104">
        <v>0</v>
      </c>
      <c r="AV131" s="104">
        <v>0</v>
      </c>
      <c r="AW131" s="104">
        <v>0</v>
      </c>
      <c r="AX131" s="104">
        <v>0</v>
      </c>
      <c r="AY131" s="104">
        <v>0</v>
      </c>
    </row>
    <row r="132" spans="1:51">
      <c r="A132" s="107"/>
      <c r="B132" s="116">
        <v>11</v>
      </c>
      <c r="C132" s="104">
        <v>0</v>
      </c>
      <c r="D132" s="104">
        <v>0</v>
      </c>
      <c r="E132" s="104">
        <v>0</v>
      </c>
      <c r="F132" s="104">
        <v>0</v>
      </c>
      <c r="G132" s="104">
        <v>0</v>
      </c>
      <c r="H132" s="104">
        <v>0</v>
      </c>
      <c r="I132" s="104">
        <v>0</v>
      </c>
      <c r="J132" s="104">
        <v>0</v>
      </c>
      <c r="K132" s="104">
        <v>0</v>
      </c>
      <c r="L132" s="104">
        <v>0</v>
      </c>
      <c r="M132" s="104">
        <v>0</v>
      </c>
      <c r="N132" s="104">
        <v>0</v>
      </c>
      <c r="O132" s="104">
        <v>0</v>
      </c>
      <c r="P132" s="104">
        <v>0</v>
      </c>
      <c r="Q132" s="104">
        <v>0</v>
      </c>
      <c r="R132" s="104">
        <v>0</v>
      </c>
      <c r="S132" s="104">
        <v>0</v>
      </c>
      <c r="T132" s="104">
        <v>0</v>
      </c>
      <c r="U132" s="104">
        <v>0</v>
      </c>
      <c r="V132" s="104">
        <v>0</v>
      </c>
      <c r="W132" s="104">
        <v>0</v>
      </c>
      <c r="X132" s="104">
        <v>0</v>
      </c>
      <c r="Y132" s="104">
        <v>0</v>
      </c>
      <c r="Z132" s="104">
        <v>0</v>
      </c>
      <c r="AA132" s="104">
        <v>0</v>
      </c>
      <c r="AB132" s="104">
        <v>0</v>
      </c>
      <c r="AC132" s="104">
        <v>0</v>
      </c>
      <c r="AD132" s="104">
        <v>0</v>
      </c>
      <c r="AE132" s="104">
        <v>0</v>
      </c>
      <c r="AF132" s="104">
        <v>0</v>
      </c>
      <c r="AG132" s="104">
        <v>0</v>
      </c>
      <c r="AH132" s="104">
        <v>0</v>
      </c>
      <c r="AI132" s="104">
        <v>0</v>
      </c>
      <c r="AJ132" s="104">
        <v>0</v>
      </c>
      <c r="AK132" s="104">
        <v>0</v>
      </c>
      <c r="AL132" s="104">
        <v>0</v>
      </c>
      <c r="AM132" s="104">
        <v>0</v>
      </c>
      <c r="AN132" s="104">
        <v>0</v>
      </c>
      <c r="AO132" s="104">
        <v>0</v>
      </c>
      <c r="AP132" s="104">
        <v>0</v>
      </c>
      <c r="AQ132" s="104">
        <v>0</v>
      </c>
      <c r="AR132" s="104">
        <v>0</v>
      </c>
      <c r="AS132" s="104">
        <v>0</v>
      </c>
      <c r="AT132" s="104">
        <v>0</v>
      </c>
      <c r="AU132" s="104">
        <v>0</v>
      </c>
      <c r="AV132" s="104">
        <v>0</v>
      </c>
      <c r="AW132" s="104">
        <v>0</v>
      </c>
      <c r="AX132" s="104">
        <v>0</v>
      </c>
      <c r="AY132" s="104">
        <v>0</v>
      </c>
    </row>
    <row r="133" spans="1:51">
      <c r="A133" s="107"/>
      <c r="B133" s="116">
        <v>12</v>
      </c>
      <c r="C133" s="104">
        <v>0</v>
      </c>
      <c r="D133" s="104">
        <v>0</v>
      </c>
      <c r="E133" s="104">
        <v>0</v>
      </c>
      <c r="F133" s="104">
        <v>0</v>
      </c>
      <c r="G133" s="104">
        <v>0</v>
      </c>
      <c r="H133" s="104">
        <v>0</v>
      </c>
      <c r="I133" s="104">
        <v>0</v>
      </c>
      <c r="J133" s="104">
        <v>0</v>
      </c>
      <c r="K133" s="104">
        <v>0</v>
      </c>
      <c r="L133" s="104">
        <v>0</v>
      </c>
      <c r="M133" s="104">
        <v>0</v>
      </c>
      <c r="N133" s="104">
        <v>0</v>
      </c>
      <c r="O133" s="104">
        <v>0</v>
      </c>
      <c r="P133" s="104">
        <v>0</v>
      </c>
      <c r="Q133" s="104">
        <v>0</v>
      </c>
      <c r="R133" s="104">
        <v>0</v>
      </c>
      <c r="S133" s="104">
        <v>0</v>
      </c>
      <c r="T133" s="104">
        <v>0</v>
      </c>
      <c r="U133" s="104">
        <v>0</v>
      </c>
      <c r="V133" s="104">
        <v>0</v>
      </c>
      <c r="W133" s="104">
        <v>0</v>
      </c>
      <c r="X133" s="104">
        <v>0</v>
      </c>
      <c r="Y133" s="104">
        <v>0</v>
      </c>
      <c r="Z133" s="104">
        <v>0</v>
      </c>
      <c r="AA133" s="104">
        <v>0</v>
      </c>
      <c r="AB133" s="104">
        <v>0</v>
      </c>
      <c r="AC133" s="104">
        <v>0</v>
      </c>
      <c r="AD133" s="104">
        <v>0</v>
      </c>
      <c r="AE133" s="104">
        <v>0</v>
      </c>
      <c r="AF133" s="104">
        <v>0</v>
      </c>
      <c r="AG133" s="104">
        <v>0</v>
      </c>
      <c r="AH133" s="104">
        <v>0</v>
      </c>
      <c r="AI133" s="104">
        <v>0</v>
      </c>
      <c r="AJ133" s="104">
        <v>0</v>
      </c>
      <c r="AK133" s="104">
        <v>0</v>
      </c>
      <c r="AL133" s="104">
        <v>0</v>
      </c>
      <c r="AM133" s="104">
        <v>0</v>
      </c>
      <c r="AN133" s="104">
        <v>0</v>
      </c>
      <c r="AO133" s="104">
        <v>0</v>
      </c>
      <c r="AP133" s="104">
        <v>0</v>
      </c>
      <c r="AQ133" s="104">
        <v>0</v>
      </c>
      <c r="AR133" s="104">
        <v>0</v>
      </c>
      <c r="AS133" s="104">
        <v>0</v>
      </c>
      <c r="AT133" s="104">
        <v>0</v>
      </c>
      <c r="AU133" s="104">
        <v>0</v>
      </c>
      <c r="AV133" s="104">
        <v>0</v>
      </c>
      <c r="AW133" s="104">
        <v>0</v>
      </c>
      <c r="AX133" s="104">
        <v>0</v>
      </c>
      <c r="AY133" s="104">
        <v>0</v>
      </c>
    </row>
    <row r="134" spans="1:51">
      <c r="A134" s="107"/>
      <c r="B134" s="117">
        <v>13</v>
      </c>
      <c r="C134" s="104">
        <v>0</v>
      </c>
      <c r="D134" s="104">
        <v>0</v>
      </c>
      <c r="E134" s="104">
        <v>0</v>
      </c>
      <c r="F134" s="104">
        <v>0</v>
      </c>
      <c r="G134" s="104">
        <v>0</v>
      </c>
      <c r="H134" s="104">
        <v>0</v>
      </c>
      <c r="I134" s="104">
        <v>0</v>
      </c>
      <c r="J134" s="104">
        <v>0</v>
      </c>
      <c r="K134" s="104">
        <v>0</v>
      </c>
      <c r="L134" s="104">
        <v>0</v>
      </c>
      <c r="M134" s="104">
        <v>0</v>
      </c>
      <c r="N134" s="104">
        <v>0</v>
      </c>
      <c r="O134" s="104">
        <v>0</v>
      </c>
      <c r="P134" s="104">
        <v>0</v>
      </c>
      <c r="Q134" s="104">
        <v>0</v>
      </c>
      <c r="R134" s="104">
        <v>0</v>
      </c>
      <c r="S134" s="104">
        <v>0</v>
      </c>
      <c r="T134" s="104">
        <v>0</v>
      </c>
      <c r="U134" s="104">
        <v>0</v>
      </c>
      <c r="V134" s="104">
        <v>0</v>
      </c>
      <c r="W134" s="104">
        <v>0</v>
      </c>
      <c r="X134" s="104">
        <v>0</v>
      </c>
      <c r="Y134" s="104">
        <v>0</v>
      </c>
      <c r="Z134" s="104">
        <v>0</v>
      </c>
      <c r="AA134" s="104">
        <v>0</v>
      </c>
      <c r="AB134" s="104">
        <v>0</v>
      </c>
      <c r="AC134" s="104">
        <v>0</v>
      </c>
      <c r="AD134" s="104">
        <v>0</v>
      </c>
      <c r="AE134" s="104">
        <v>0</v>
      </c>
      <c r="AF134" s="104">
        <v>0</v>
      </c>
      <c r="AG134" s="104">
        <v>0</v>
      </c>
      <c r="AH134" s="104">
        <v>0</v>
      </c>
      <c r="AI134" s="104">
        <v>0</v>
      </c>
      <c r="AJ134" s="104">
        <v>0</v>
      </c>
      <c r="AK134" s="104">
        <v>0</v>
      </c>
      <c r="AL134" s="104">
        <v>0</v>
      </c>
      <c r="AM134" s="104">
        <v>0</v>
      </c>
      <c r="AN134" s="104">
        <v>0</v>
      </c>
      <c r="AO134" s="104">
        <v>0</v>
      </c>
      <c r="AP134" s="104">
        <v>0</v>
      </c>
      <c r="AQ134" s="104">
        <v>0</v>
      </c>
      <c r="AR134" s="104">
        <v>0</v>
      </c>
      <c r="AS134" s="104">
        <v>0</v>
      </c>
      <c r="AT134" s="104">
        <v>0</v>
      </c>
      <c r="AU134" s="104">
        <v>0</v>
      </c>
      <c r="AV134" s="104">
        <v>0</v>
      </c>
      <c r="AW134" s="104">
        <v>0</v>
      </c>
      <c r="AX134" s="104">
        <v>0</v>
      </c>
      <c r="AY134" s="104">
        <v>0</v>
      </c>
    </row>
    <row r="135" spans="1:51">
      <c r="A135" s="107"/>
      <c r="B135" s="117">
        <v>14</v>
      </c>
      <c r="C135" s="104">
        <v>0</v>
      </c>
      <c r="D135" s="104">
        <v>0</v>
      </c>
      <c r="E135" s="104">
        <v>0</v>
      </c>
      <c r="F135" s="104">
        <v>0</v>
      </c>
      <c r="G135" s="104">
        <v>0</v>
      </c>
      <c r="H135" s="104">
        <v>0</v>
      </c>
      <c r="I135" s="104">
        <v>0</v>
      </c>
      <c r="J135" s="104">
        <v>0</v>
      </c>
      <c r="K135" s="104">
        <v>0</v>
      </c>
      <c r="L135" s="104">
        <v>0</v>
      </c>
      <c r="M135" s="104">
        <v>0</v>
      </c>
      <c r="N135" s="104">
        <v>0</v>
      </c>
      <c r="O135" s="104">
        <v>0</v>
      </c>
      <c r="P135" s="104">
        <v>0</v>
      </c>
      <c r="Q135" s="104">
        <v>0</v>
      </c>
      <c r="R135" s="104">
        <v>0</v>
      </c>
      <c r="S135" s="104">
        <v>0</v>
      </c>
      <c r="T135" s="104">
        <v>0</v>
      </c>
      <c r="U135" s="104">
        <v>0</v>
      </c>
      <c r="V135" s="104">
        <v>0</v>
      </c>
      <c r="W135" s="104">
        <v>0</v>
      </c>
      <c r="X135" s="104">
        <v>0</v>
      </c>
      <c r="Y135" s="104">
        <v>0</v>
      </c>
      <c r="Z135" s="104">
        <v>0</v>
      </c>
      <c r="AA135" s="104">
        <v>0</v>
      </c>
      <c r="AB135" s="104">
        <v>0</v>
      </c>
      <c r="AC135" s="104">
        <v>0</v>
      </c>
      <c r="AD135" s="104">
        <v>0</v>
      </c>
      <c r="AE135" s="104">
        <v>0</v>
      </c>
      <c r="AF135" s="104">
        <v>0</v>
      </c>
      <c r="AG135" s="104">
        <v>0</v>
      </c>
      <c r="AH135" s="104">
        <v>0</v>
      </c>
      <c r="AI135" s="104">
        <v>0</v>
      </c>
      <c r="AJ135" s="104">
        <v>0</v>
      </c>
      <c r="AK135" s="104">
        <v>0</v>
      </c>
      <c r="AL135" s="104">
        <v>0</v>
      </c>
      <c r="AM135" s="104">
        <v>0</v>
      </c>
      <c r="AN135" s="104">
        <v>0</v>
      </c>
      <c r="AO135" s="104">
        <v>0</v>
      </c>
      <c r="AP135" s="104">
        <v>0</v>
      </c>
      <c r="AQ135" s="104">
        <v>0</v>
      </c>
      <c r="AR135" s="104">
        <v>0</v>
      </c>
      <c r="AS135" s="104">
        <v>0</v>
      </c>
      <c r="AT135" s="104">
        <v>0</v>
      </c>
      <c r="AU135" s="104">
        <v>0</v>
      </c>
      <c r="AV135" s="104">
        <v>0</v>
      </c>
      <c r="AW135" s="104">
        <v>0</v>
      </c>
      <c r="AX135" s="104">
        <v>0</v>
      </c>
      <c r="AY135" s="104">
        <v>0</v>
      </c>
    </row>
    <row r="136" spans="1:51">
      <c r="A136" s="107"/>
      <c r="B136" s="117">
        <v>15</v>
      </c>
      <c r="C136" s="104">
        <v>0</v>
      </c>
      <c r="D136" s="104">
        <v>0</v>
      </c>
      <c r="E136" s="104">
        <v>0</v>
      </c>
      <c r="F136" s="104">
        <v>0</v>
      </c>
      <c r="G136" s="104">
        <v>0</v>
      </c>
      <c r="H136" s="104">
        <v>0</v>
      </c>
      <c r="I136" s="104">
        <v>0</v>
      </c>
      <c r="J136" s="104">
        <v>0</v>
      </c>
      <c r="K136" s="104">
        <v>0</v>
      </c>
      <c r="L136" s="104">
        <v>0</v>
      </c>
      <c r="M136" s="104">
        <v>0</v>
      </c>
      <c r="N136" s="104">
        <v>0</v>
      </c>
      <c r="O136" s="104">
        <v>0</v>
      </c>
      <c r="P136" s="104">
        <v>0</v>
      </c>
      <c r="Q136" s="104">
        <v>0</v>
      </c>
      <c r="R136" s="104">
        <v>0</v>
      </c>
      <c r="S136" s="104">
        <v>0</v>
      </c>
      <c r="T136" s="104">
        <v>0</v>
      </c>
      <c r="U136" s="104">
        <v>0</v>
      </c>
      <c r="V136" s="104">
        <v>0</v>
      </c>
      <c r="W136" s="104">
        <v>0</v>
      </c>
      <c r="X136" s="104">
        <v>0</v>
      </c>
      <c r="Y136" s="104">
        <v>0</v>
      </c>
      <c r="Z136" s="104">
        <v>0</v>
      </c>
      <c r="AA136" s="104">
        <v>0</v>
      </c>
      <c r="AB136" s="104">
        <v>0</v>
      </c>
      <c r="AC136" s="104">
        <v>0</v>
      </c>
      <c r="AD136" s="104">
        <v>0</v>
      </c>
      <c r="AE136" s="104">
        <v>0</v>
      </c>
      <c r="AF136" s="104">
        <v>0</v>
      </c>
      <c r="AG136" s="104">
        <v>0</v>
      </c>
      <c r="AH136" s="104">
        <v>0</v>
      </c>
      <c r="AI136" s="104">
        <v>0</v>
      </c>
      <c r="AJ136" s="104">
        <v>0</v>
      </c>
      <c r="AK136" s="104">
        <v>0</v>
      </c>
      <c r="AL136" s="104">
        <v>0</v>
      </c>
      <c r="AM136" s="104">
        <v>0</v>
      </c>
      <c r="AN136" s="104">
        <v>0</v>
      </c>
      <c r="AO136" s="104">
        <v>0</v>
      </c>
      <c r="AP136" s="104">
        <v>0</v>
      </c>
      <c r="AQ136" s="104">
        <v>0</v>
      </c>
      <c r="AR136" s="104">
        <v>0</v>
      </c>
      <c r="AS136" s="104">
        <v>0</v>
      </c>
      <c r="AT136" s="104">
        <v>0</v>
      </c>
      <c r="AU136" s="104">
        <v>0</v>
      </c>
      <c r="AV136" s="104">
        <v>0</v>
      </c>
      <c r="AW136" s="104">
        <v>0</v>
      </c>
      <c r="AX136" s="104">
        <v>0</v>
      </c>
      <c r="AY136" s="104">
        <v>0</v>
      </c>
    </row>
    <row r="137" spans="1:51">
      <c r="A137" s="107"/>
      <c r="B137" s="117">
        <v>16</v>
      </c>
      <c r="C137" s="104">
        <v>0</v>
      </c>
      <c r="D137" s="104">
        <v>0</v>
      </c>
      <c r="E137" s="104">
        <v>0</v>
      </c>
      <c r="F137" s="104">
        <v>0</v>
      </c>
      <c r="G137" s="104">
        <v>0</v>
      </c>
      <c r="H137" s="104">
        <v>0</v>
      </c>
      <c r="I137" s="104">
        <v>0</v>
      </c>
      <c r="J137" s="104">
        <v>0</v>
      </c>
      <c r="K137" s="104">
        <v>0</v>
      </c>
      <c r="L137" s="104">
        <v>0</v>
      </c>
      <c r="M137" s="104">
        <v>0</v>
      </c>
      <c r="N137" s="104">
        <v>0</v>
      </c>
      <c r="O137" s="104">
        <v>0</v>
      </c>
      <c r="P137" s="104">
        <v>0</v>
      </c>
      <c r="Q137" s="104">
        <v>0</v>
      </c>
      <c r="R137" s="104">
        <v>0</v>
      </c>
      <c r="S137" s="104">
        <v>0</v>
      </c>
      <c r="T137" s="104">
        <v>0</v>
      </c>
      <c r="U137" s="104">
        <v>0</v>
      </c>
      <c r="V137" s="104">
        <v>0</v>
      </c>
      <c r="W137" s="104">
        <v>0</v>
      </c>
      <c r="X137" s="104">
        <v>0</v>
      </c>
      <c r="Y137" s="104">
        <v>0</v>
      </c>
      <c r="Z137" s="104">
        <v>0</v>
      </c>
      <c r="AA137" s="104">
        <v>0</v>
      </c>
      <c r="AB137" s="104">
        <v>0</v>
      </c>
      <c r="AC137" s="104">
        <v>0</v>
      </c>
      <c r="AD137" s="104">
        <v>0</v>
      </c>
      <c r="AE137" s="104">
        <v>0</v>
      </c>
      <c r="AF137" s="104">
        <v>0</v>
      </c>
      <c r="AG137" s="104">
        <v>0</v>
      </c>
      <c r="AH137" s="104">
        <v>0</v>
      </c>
      <c r="AI137" s="104">
        <v>0</v>
      </c>
      <c r="AJ137" s="104">
        <v>0</v>
      </c>
      <c r="AK137" s="104">
        <v>0</v>
      </c>
      <c r="AL137" s="104">
        <v>0</v>
      </c>
      <c r="AM137" s="104">
        <v>0</v>
      </c>
      <c r="AN137" s="104">
        <v>0</v>
      </c>
      <c r="AO137" s="104">
        <v>0</v>
      </c>
      <c r="AP137" s="104">
        <v>0</v>
      </c>
      <c r="AQ137" s="104">
        <v>0</v>
      </c>
      <c r="AR137" s="104">
        <v>0</v>
      </c>
      <c r="AS137" s="104">
        <v>0</v>
      </c>
      <c r="AT137" s="104">
        <v>0</v>
      </c>
      <c r="AU137" s="104">
        <v>0</v>
      </c>
      <c r="AV137" s="104">
        <v>0</v>
      </c>
      <c r="AW137" s="104">
        <v>0</v>
      </c>
      <c r="AX137" s="104">
        <v>0</v>
      </c>
      <c r="AY137" s="104">
        <v>0</v>
      </c>
    </row>
    <row r="138" spans="1:51">
      <c r="A138" s="107"/>
      <c r="B138" s="117">
        <v>17</v>
      </c>
      <c r="C138" s="104">
        <v>0</v>
      </c>
      <c r="D138" s="104">
        <v>0</v>
      </c>
      <c r="E138" s="104">
        <v>0</v>
      </c>
      <c r="F138" s="104">
        <v>0</v>
      </c>
      <c r="G138" s="104">
        <v>0</v>
      </c>
      <c r="H138" s="104">
        <v>0</v>
      </c>
      <c r="I138" s="104">
        <v>0</v>
      </c>
      <c r="J138" s="104">
        <v>0</v>
      </c>
      <c r="K138" s="104">
        <v>0</v>
      </c>
      <c r="L138" s="104">
        <v>0</v>
      </c>
      <c r="M138" s="104">
        <v>0</v>
      </c>
      <c r="N138" s="104">
        <v>0</v>
      </c>
      <c r="O138" s="104">
        <v>0</v>
      </c>
      <c r="P138" s="104">
        <v>0</v>
      </c>
      <c r="Q138" s="104">
        <v>0</v>
      </c>
      <c r="R138" s="104">
        <v>0</v>
      </c>
      <c r="S138" s="104">
        <v>0</v>
      </c>
      <c r="T138" s="104">
        <v>0</v>
      </c>
      <c r="U138" s="104">
        <v>0</v>
      </c>
      <c r="V138" s="104">
        <v>0</v>
      </c>
      <c r="W138" s="104">
        <v>0</v>
      </c>
      <c r="X138" s="104">
        <v>0</v>
      </c>
      <c r="Y138" s="104">
        <v>0</v>
      </c>
      <c r="Z138" s="104">
        <v>0</v>
      </c>
      <c r="AA138" s="104">
        <v>0</v>
      </c>
      <c r="AB138" s="104">
        <v>0</v>
      </c>
      <c r="AC138" s="104">
        <v>0</v>
      </c>
      <c r="AD138" s="104">
        <v>0</v>
      </c>
      <c r="AE138" s="104">
        <v>0</v>
      </c>
      <c r="AF138" s="104">
        <v>0</v>
      </c>
      <c r="AG138" s="104">
        <v>0</v>
      </c>
      <c r="AH138" s="104">
        <v>0</v>
      </c>
      <c r="AI138" s="104">
        <v>0</v>
      </c>
      <c r="AJ138" s="104">
        <v>0</v>
      </c>
      <c r="AK138" s="104">
        <v>0</v>
      </c>
      <c r="AL138" s="104">
        <v>0</v>
      </c>
      <c r="AM138" s="104">
        <v>0</v>
      </c>
      <c r="AN138" s="104">
        <v>0</v>
      </c>
      <c r="AO138" s="104">
        <v>0</v>
      </c>
      <c r="AP138" s="104">
        <v>0</v>
      </c>
      <c r="AQ138" s="104">
        <v>0</v>
      </c>
      <c r="AR138" s="104">
        <v>0</v>
      </c>
      <c r="AS138" s="104">
        <v>0</v>
      </c>
      <c r="AT138" s="104">
        <v>0</v>
      </c>
      <c r="AU138" s="104">
        <v>0</v>
      </c>
      <c r="AV138" s="104">
        <v>0</v>
      </c>
      <c r="AW138" s="104">
        <v>0</v>
      </c>
      <c r="AX138" s="104">
        <v>0</v>
      </c>
      <c r="AY138" s="104">
        <v>0</v>
      </c>
    </row>
    <row r="139" spans="1:51">
      <c r="A139" s="107"/>
      <c r="B139" s="117">
        <v>18</v>
      </c>
      <c r="C139" s="104">
        <v>0</v>
      </c>
      <c r="D139" s="104">
        <v>0</v>
      </c>
      <c r="E139" s="104">
        <v>0</v>
      </c>
      <c r="F139" s="104">
        <v>0</v>
      </c>
      <c r="G139" s="104">
        <v>0</v>
      </c>
      <c r="H139" s="104">
        <v>0</v>
      </c>
      <c r="I139" s="104">
        <v>0</v>
      </c>
      <c r="J139" s="104">
        <v>0</v>
      </c>
      <c r="K139" s="104">
        <v>0</v>
      </c>
      <c r="L139" s="104">
        <v>0</v>
      </c>
      <c r="M139" s="104">
        <v>0</v>
      </c>
      <c r="N139" s="104">
        <v>0</v>
      </c>
      <c r="O139" s="104">
        <v>0</v>
      </c>
      <c r="P139" s="104">
        <v>0</v>
      </c>
      <c r="Q139" s="104">
        <v>0</v>
      </c>
      <c r="R139" s="104">
        <v>0</v>
      </c>
      <c r="S139" s="104">
        <v>0</v>
      </c>
      <c r="T139" s="104">
        <v>0</v>
      </c>
      <c r="U139" s="104">
        <v>0</v>
      </c>
      <c r="V139" s="104">
        <v>0</v>
      </c>
      <c r="W139" s="104">
        <v>0</v>
      </c>
      <c r="X139" s="104">
        <v>0</v>
      </c>
      <c r="Y139" s="104">
        <v>0</v>
      </c>
      <c r="Z139" s="104">
        <v>0</v>
      </c>
      <c r="AA139" s="104">
        <v>0</v>
      </c>
      <c r="AB139" s="104">
        <v>0</v>
      </c>
      <c r="AC139" s="104">
        <v>0</v>
      </c>
      <c r="AD139" s="104">
        <v>0</v>
      </c>
      <c r="AE139" s="104">
        <v>0</v>
      </c>
      <c r="AF139" s="104">
        <v>0</v>
      </c>
      <c r="AG139" s="104">
        <v>0</v>
      </c>
      <c r="AH139" s="104">
        <v>0</v>
      </c>
      <c r="AI139" s="104">
        <v>0</v>
      </c>
      <c r="AJ139" s="104">
        <v>0</v>
      </c>
      <c r="AK139" s="104">
        <v>0</v>
      </c>
      <c r="AL139" s="104">
        <v>0</v>
      </c>
      <c r="AM139" s="104">
        <v>0</v>
      </c>
      <c r="AN139" s="104">
        <v>0</v>
      </c>
      <c r="AO139" s="104">
        <v>0</v>
      </c>
      <c r="AP139" s="104">
        <v>0</v>
      </c>
      <c r="AQ139" s="104">
        <v>0</v>
      </c>
      <c r="AR139" s="104">
        <v>0</v>
      </c>
      <c r="AS139" s="104">
        <v>0</v>
      </c>
      <c r="AT139" s="104">
        <v>0</v>
      </c>
      <c r="AU139" s="104">
        <v>0</v>
      </c>
      <c r="AV139" s="104">
        <v>0</v>
      </c>
      <c r="AW139" s="104">
        <v>0</v>
      </c>
      <c r="AX139" s="104">
        <v>0</v>
      </c>
      <c r="AY139" s="104">
        <v>0</v>
      </c>
    </row>
    <row r="140" spans="1:51">
      <c r="A140" s="107"/>
      <c r="B140" s="117">
        <v>19</v>
      </c>
      <c r="C140" s="104">
        <v>0</v>
      </c>
      <c r="D140" s="104">
        <v>0</v>
      </c>
      <c r="E140" s="104">
        <v>0</v>
      </c>
      <c r="F140" s="104">
        <v>0</v>
      </c>
      <c r="G140" s="104">
        <v>0</v>
      </c>
      <c r="H140" s="104">
        <v>0</v>
      </c>
      <c r="I140" s="104">
        <v>0</v>
      </c>
      <c r="J140" s="104">
        <v>0</v>
      </c>
      <c r="K140" s="104">
        <v>0</v>
      </c>
      <c r="L140" s="104">
        <v>0</v>
      </c>
      <c r="M140" s="104">
        <v>0</v>
      </c>
      <c r="N140" s="104">
        <v>0</v>
      </c>
      <c r="O140" s="104">
        <v>0</v>
      </c>
      <c r="P140" s="104">
        <v>0</v>
      </c>
      <c r="Q140" s="104">
        <v>0</v>
      </c>
      <c r="R140" s="104">
        <v>0</v>
      </c>
      <c r="S140" s="104">
        <v>0</v>
      </c>
      <c r="T140" s="104">
        <v>0</v>
      </c>
      <c r="U140" s="104">
        <v>0</v>
      </c>
      <c r="V140" s="104">
        <v>0</v>
      </c>
      <c r="W140" s="104">
        <v>0</v>
      </c>
      <c r="X140" s="104">
        <v>0</v>
      </c>
      <c r="Y140" s="104">
        <v>0</v>
      </c>
      <c r="Z140" s="104">
        <v>0</v>
      </c>
      <c r="AA140" s="104">
        <v>0</v>
      </c>
      <c r="AB140" s="104">
        <v>0</v>
      </c>
      <c r="AC140" s="104">
        <v>0</v>
      </c>
      <c r="AD140" s="104">
        <v>0</v>
      </c>
      <c r="AE140" s="104">
        <v>0</v>
      </c>
      <c r="AF140" s="104">
        <v>0</v>
      </c>
      <c r="AG140" s="104">
        <v>0</v>
      </c>
      <c r="AH140" s="104">
        <v>0</v>
      </c>
      <c r="AI140" s="104">
        <v>0</v>
      </c>
      <c r="AJ140" s="104">
        <v>0</v>
      </c>
      <c r="AK140" s="104">
        <v>0</v>
      </c>
      <c r="AL140" s="104">
        <v>0</v>
      </c>
      <c r="AM140" s="104">
        <v>0</v>
      </c>
      <c r="AN140" s="104">
        <v>0</v>
      </c>
      <c r="AO140" s="104">
        <v>0</v>
      </c>
      <c r="AP140" s="104">
        <v>0</v>
      </c>
      <c r="AQ140" s="104">
        <v>0</v>
      </c>
      <c r="AR140" s="104">
        <v>0</v>
      </c>
      <c r="AS140" s="104">
        <v>0</v>
      </c>
      <c r="AT140" s="104">
        <v>0</v>
      </c>
      <c r="AU140" s="104">
        <v>0</v>
      </c>
      <c r="AV140" s="104">
        <v>0</v>
      </c>
      <c r="AW140" s="104">
        <v>0</v>
      </c>
      <c r="AX140" s="104">
        <v>0</v>
      </c>
      <c r="AY140" s="104">
        <v>0</v>
      </c>
    </row>
    <row r="141" spans="1:51">
      <c r="A141" s="107"/>
      <c r="B141" s="117">
        <v>20</v>
      </c>
      <c r="C141" s="104">
        <v>0</v>
      </c>
      <c r="D141" s="104">
        <v>0</v>
      </c>
      <c r="E141" s="104">
        <v>0</v>
      </c>
      <c r="F141" s="104">
        <v>0</v>
      </c>
      <c r="G141" s="104">
        <v>0</v>
      </c>
      <c r="H141" s="104">
        <v>0</v>
      </c>
      <c r="I141" s="104">
        <v>0</v>
      </c>
      <c r="J141" s="104">
        <v>0</v>
      </c>
      <c r="K141" s="104">
        <v>0</v>
      </c>
      <c r="L141" s="104">
        <v>0</v>
      </c>
      <c r="M141" s="104">
        <v>0</v>
      </c>
      <c r="N141" s="104">
        <v>0</v>
      </c>
      <c r="O141" s="104">
        <v>0</v>
      </c>
      <c r="P141" s="104">
        <v>0</v>
      </c>
      <c r="Q141" s="104">
        <v>0</v>
      </c>
      <c r="R141" s="104">
        <v>0</v>
      </c>
      <c r="S141" s="104">
        <v>0</v>
      </c>
      <c r="T141" s="104">
        <v>0</v>
      </c>
      <c r="U141" s="104">
        <v>0</v>
      </c>
      <c r="V141" s="104">
        <v>0</v>
      </c>
      <c r="W141" s="104">
        <v>0</v>
      </c>
      <c r="X141" s="104">
        <v>0</v>
      </c>
      <c r="Y141" s="104">
        <v>0</v>
      </c>
      <c r="Z141" s="104">
        <v>0</v>
      </c>
      <c r="AA141" s="104">
        <v>0</v>
      </c>
      <c r="AB141" s="104">
        <v>0</v>
      </c>
      <c r="AC141" s="104">
        <v>0</v>
      </c>
      <c r="AD141" s="104">
        <v>0</v>
      </c>
      <c r="AE141" s="104">
        <v>0</v>
      </c>
      <c r="AF141" s="104">
        <v>0</v>
      </c>
      <c r="AG141" s="104">
        <v>0</v>
      </c>
      <c r="AH141" s="104">
        <v>0</v>
      </c>
      <c r="AI141" s="104">
        <v>0</v>
      </c>
      <c r="AJ141" s="104">
        <v>0</v>
      </c>
      <c r="AK141" s="104">
        <v>0</v>
      </c>
      <c r="AL141" s="104">
        <v>0</v>
      </c>
      <c r="AM141" s="104">
        <v>0</v>
      </c>
      <c r="AN141" s="104">
        <v>0</v>
      </c>
      <c r="AO141" s="104">
        <v>0</v>
      </c>
      <c r="AP141" s="104">
        <v>0</v>
      </c>
      <c r="AQ141" s="104">
        <v>0</v>
      </c>
      <c r="AR141" s="104">
        <v>0</v>
      </c>
      <c r="AS141" s="104">
        <v>0</v>
      </c>
      <c r="AT141" s="104">
        <v>0</v>
      </c>
      <c r="AU141" s="104">
        <v>0</v>
      </c>
      <c r="AV141" s="104">
        <v>0</v>
      </c>
      <c r="AW141" s="104">
        <v>0</v>
      </c>
      <c r="AX141" s="104">
        <v>0</v>
      </c>
      <c r="AY141" s="104">
        <v>0</v>
      </c>
    </row>
    <row r="142" spans="1:51">
      <c r="A142" s="107"/>
      <c r="B142" s="117">
        <v>21</v>
      </c>
      <c r="C142" s="104">
        <v>0</v>
      </c>
      <c r="D142" s="104">
        <v>0</v>
      </c>
      <c r="E142" s="104">
        <v>0</v>
      </c>
      <c r="F142" s="104">
        <v>0</v>
      </c>
      <c r="G142" s="104">
        <v>0</v>
      </c>
      <c r="H142" s="104">
        <v>0</v>
      </c>
      <c r="I142" s="104">
        <v>0</v>
      </c>
      <c r="J142" s="104">
        <v>0</v>
      </c>
      <c r="K142" s="104">
        <v>0</v>
      </c>
      <c r="L142" s="104">
        <v>0</v>
      </c>
      <c r="M142" s="104">
        <v>0</v>
      </c>
      <c r="N142" s="104">
        <v>0</v>
      </c>
      <c r="O142" s="104">
        <v>0</v>
      </c>
      <c r="P142" s="104">
        <v>0</v>
      </c>
      <c r="Q142" s="104">
        <v>0</v>
      </c>
      <c r="R142" s="104">
        <v>0</v>
      </c>
      <c r="S142" s="104">
        <v>0</v>
      </c>
      <c r="T142" s="104">
        <v>0</v>
      </c>
      <c r="U142" s="104">
        <v>0</v>
      </c>
      <c r="V142" s="104">
        <v>0</v>
      </c>
      <c r="W142" s="104">
        <v>0</v>
      </c>
      <c r="X142" s="104">
        <v>0</v>
      </c>
      <c r="Y142" s="104">
        <v>0</v>
      </c>
      <c r="Z142" s="104">
        <v>0</v>
      </c>
      <c r="AA142" s="104">
        <v>0</v>
      </c>
      <c r="AB142" s="104">
        <v>0</v>
      </c>
      <c r="AC142" s="104">
        <v>0</v>
      </c>
      <c r="AD142" s="104">
        <v>0</v>
      </c>
      <c r="AE142" s="104">
        <v>0</v>
      </c>
      <c r="AF142" s="104">
        <v>0</v>
      </c>
      <c r="AG142" s="104">
        <v>0</v>
      </c>
      <c r="AH142" s="104">
        <v>0</v>
      </c>
      <c r="AI142" s="104">
        <v>0</v>
      </c>
      <c r="AJ142" s="104">
        <v>0</v>
      </c>
      <c r="AK142" s="104">
        <v>0</v>
      </c>
      <c r="AL142" s="104">
        <v>0</v>
      </c>
      <c r="AM142" s="104">
        <v>0</v>
      </c>
      <c r="AN142" s="104">
        <v>0</v>
      </c>
      <c r="AO142" s="104">
        <v>0</v>
      </c>
      <c r="AP142" s="104">
        <v>0</v>
      </c>
      <c r="AQ142" s="104">
        <v>0</v>
      </c>
      <c r="AR142" s="104">
        <v>0</v>
      </c>
      <c r="AS142" s="104">
        <v>0</v>
      </c>
      <c r="AT142" s="104">
        <v>0</v>
      </c>
      <c r="AU142" s="104">
        <v>0</v>
      </c>
      <c r="AV142" s="104">
        <v>0</v>
      </c>
      <c r="AW142" s="104">
        <v>0</v>
      </c>
      <c r="AX142" s="104">
        <v>0</v>
      </c>
      <c r="AY142" s="104">
        <v>0</v>
      </c>
    </row>
    <row r="143" spans="1:51">
      <c r="A143" s="107"/>
      <c r="B143" s="117">
        <v>22</v>
      </c>
      <c r="C143" s="104">
        <v>0</v>
      </c>
      <c r="D143" s="104">
        <v>0</v>
      </c>
      <c r="E143" s="104">
        <v>0</v>
      </c>
      <c r="F143" s="104">
        <v>0</v>
      </c>
      <c r="G143" s="104">
        <v>0</v>
      </c>
      <c r="H143" s="104">
        <v>0</v>
      </c>
      <c r="I143" s="104">
        <v>0</v>
      </c>
      <c r="J143" s="104">
        <v>0</v>
      </c>
      <c r="K143" s="104">
        <v>0</v>
      </c>
      <c r="L143" s="104">
        <v>0</v>
      </c>
      <c r="M143" s="104">
        <v>0</v>
      </c>
      <c r="N143" s="104">
        <v>0</v>
      </c>
      <c r="O143" s="104">
        <v>0</v>
      </c>
      <c r="P143" s="104">
        <v>0</v>
      </c>
      <c r="Q143" s="104">
        <v>0</v>
      </c>
      <c r="R143" s="104">
        <v>0</v>
      </c>
      <c r="S143" s="104">
        <v>0</v>
      </c>
      <c r="T143" s="104">
        <v>0</v>
      </c>
      <c r="U143" s="104">
        <v>0</v>
      </c>
      <c r="V143" s="104">
        <v>0</v>
      </c>
      <c r="W143" s="104">
        <v>0</v>
      </c>
      <c r="X143" s="104">
        <v>0</v>
      </c>
      <c r="Y143" s="104">
        <v>0</v>
      </c>
      <c r="Z143" s="104">
        <v>0</v>
      </c>
      <c r="AA143" s="104">
        <v>0</v>
      </c>
      <c r="AB143" s="104">
        <v>0</v>
      </c>
      <c r="AC143" s="104">
        <v>0</v>
      </c>
      <c r="AD143" s="104">
        <v>0</v>
      </c>
      <c r="AE143" s="104">
        <v>0</v>
      </c>
      <c r="AF143" s="104">
        <v>0</v>
      </c>
      <c r="AG143" s="104">
        <v>0</v>
      </c>
      <c r="AH143" s="104">
        <v>0</v>
      </c>
      <c r="AI143" s="104">
        <v>0</v>
      </c>
      <c r="AJ143" s="104">
        <v>0</v>
      </c>
      <c r="AK143" s="104">
        <v>0</v>
      </c>
      <c r="AL143" s="104">
        <v>0</v>
      </c>
      <c r="AM143" s="104">
        <v>0</v>
      </c>
      <c r="AN143" s="104">
        <v>0</v>
      </c>
      <c r="AO143" s="104">
        <v>0</v>
      </c>
      <c r="AP143" s="104">
        <v>0</v>
      </c>
      <c r="AQ143" s="104">
        <v>0</v>
      </c>
      <c r="AR143" s="104">
        <v>0</v>
      </c>
      <c r="AS143" s="104">
        <v>0</v>
      </c>
      <c r="AT143" s="104">
        <v>0</v>
      </c>
      <c r="AU143" s="104">
        <v>0</v>
      </c>
      <c r="AV143" s="104">
        <v>0</v>
      </c>
      <c r="AW143" s="104">
        <v>0</v>
      </c>
      <c r="AX143" s="104">
        <v>0</v>
      </c>
      <c r="AY143" s="104">
        <v>0</v>
      </c>
    </row>
    <row r="144" spans="1:51">
      <c r="A144" s="107"/>
      <c r="B144" s="117">
        <v>23</v>
      </c>
      <c r="C144" s="104">
        <v>0</v>
      </c>
      <c r="D144" s="104">
        <v>0</v>
      </c>
      <c r="E144" s="104">
        <v>0</v>
      </c>
      <c r="F144" s="104">
        <v>0</v>
      </c>
      <c r="G144" s="104">
        <v>0</v>
      </c>
      <c r="H144" s="104">
        <v>0</v>
      </c>
      <c r="I144" s="104">
        <v>0</v>
      </c>
      <c r="J144" s="104">
        <v>0</v>
      </c>
      <c r="K144" s="104">
        <v>0</v>
      </c>
      <c r="L144" s="104">
        <v>0</v>
      </c>
      <c r="M144" s="104">
        <v>0</v>
      </c>
      <c r="N144" s="104">
        <v>0</v>
      </c>
      <c r="O144" s="104">
        <v>0</v>
      </c>
      <c r="P144" s="104">
        <v>0</v>
      </c>
      <c r="Q144" s="104">
        <v>0</v>
      </c>
      <c r="R144" s="104">
        <v>0</v>
      </c>
      <c r="S144" s="104">
        <v>0</v>
      </c>
      <c r="T144" s="104">
        <v>0</v>
      </c>
      <c r="U144" s="104">
        <v>0</v>
      </c>
      <c r="V144" s="104">
        <v>0</v>
      </c>
      <c r="W144" s="104">
        <v>0</v>
      </c>
      <c r="X144" s="104">
        <v>0</v>
      </c>
      <c r="Y144" s="104">
        <v>0</v>
      </c>
      <c r="Z144" s="104">
        <v>0</v>
      </c>
      <c r="AA144" s="104">
        <v>0</v>
      </c>
      <c r="AB144" s="104">
        <v>0</v>
      </c>
      <c r="AC144" s="104">
        <v>0</v>
      </c>
      <c r="AD144" s="104">
        <v>0</v>
      </c>
      <c r="AE144" s="104">
        <v>0</v>
      </c>
      <c r="AF144" s="104">
        <v>0</v>
      </c>
      <c r="AG144" s="104">
        <v>0</v>
      </c>
      <c r="AH144" s="104">
        <v>0</v>
      </c>
      <c r="AI144" s="104">
        <v>0</v>
      </c>
      <c r="AJ144" s="104">
        <v>0</v>
      </c>
      <c r="AK144" s="104">
        <v>0</v>
      </c>
      <c r="AL144" s="104">
        <v>0</v>
      </c>
      <c r="AM144" s="104">
        <v>0</v>
      </c>
      <c r="AN144" s="104">
        <v>0</v>
      </c>
      <c r="AO144" s="104">
        <v>0</v>
      </c>
      <c r="AP144" s="104">
        <v>0</v>
      </c>
      <c r="AQ144" s="104">
        <v>0</v>
      </c>
      <c r="AR144" s="104">
        <v>0</v>
      </c>
      <c r="AS144" s="104">
        <v>0</v>
      </c>
      <c r="AT144" s="104">
        <v>0</v>
      </c>
      <c r="AU144" s="104">
        <v>0</v>
      </c>
      <c r="AV144" s="104">
        <v>0</v>
      </c>
      <c r="AW144" s="104">
        <v>0</v>
      </c>
      <c r="AX144" s="104">
        <v>0</v>
      </c>
      <c r="AY144" s="104">
        <v>0</v>
      </c>
    </row>
    <row r="145" spans="1:51">
      <c r="A145" s="107"/>
      <c r="B145" s="117">
        <v>24</v>
      </c>
      <c r="C145" s="104">
        <v>0</v>
      </c>
      <c r="D145" s="104">
        <v>0</v>
      </c>
      <c r="E145" s="104">
        <v>0</v>
      </c>
      <c r="F145" s="104">
        <v>0</v>
      </c>
      <c r="G145" s="104">
        <v>0</v>
      </c>
      <c r="H145" s="104">
        <v>0</v>
      </c>
      <c r="I145" s="104">
        <v>0</v>
      </c>
      <c r="J145" s="104">
        <v>0</v>
      </c>
      <c r="K145" s="104">
        <v>0</v>
      </c>
      <c r="L145" s="104">
        <v>0</v>
      </c>
      <c r="M145" s="104">
        <v>0</v>
      </c>
      <c r="N145" s="104">
        <v>0</v>
      </c>
      <c r="O145" s="104">
        <v>0</v>
      </c>
      <c r="P145" s="104">
        <v>0</v>
      </c>
      <c r="Q145" s="104">
        <v>0</v>
      </c>
      <c r="R145" s="104">
        <v>0</v>
      </c>
      <c r="S145" s="104">
        <v>0</v>
      </c>
      <c r="T145" s="104">
        <v>0</v>
      </c>
      <c r="U145" s="104">
        <v>0</v>
      </c>
      <c r="V145" s="104">
        <v>0</v>
      </c>
      <c r="W145" s="104">
        <v>0</v>
      </c>
      <c r="X145" s="104">
        <v>0</v>
      </c>
      <c r="Y145" s="104">
        <v>0</v>
      </c>
      <c r="Z145" s="104">
        <v>0</v>
      </c>
      <c r="AA145" s="104">
        <v>0</v>
      </c>
      <c r="AB145" s="104">
        <v>0</v>
      </c>
      <c r="AC145" s="104">
        <v>0</v>
      </c>
      <c r="AD145" s="104">
        <v>0</v>
      </c>
      <c r="AE145" s="104">
        <v>0</v>
      </c>
      <c r="AF145" s="104">
        <v>0</v>
      </c>
      <c r="AG145" s="104">
        <v>0</v>
      </c>
      <c r="AH145" s="104">
        <v>0</v>
      </c>
      <c r="AI145" s="104">
        <v>0</v>
      </c>
      <c r="AJ145" s="104">
        <v>0</v>
      </c>
      <c r="AK145" s="104">
        <v>0</v>
      </c>
      <c r="AL145" s="104">
        <v>0</v>
      </c>
      <c r="AM145" s="104">
        <v>0</v>
      </c>
      <c r="AN145" s="104">
        <v>0</v>
      </c>
      <c r="AO145" s="104">
        <v>0</v>
      </c>
      <c r="AP145" s="104">
        <v>0</v>
      </c>
      <c r="AQ145" s="104">
        <v>0</v>
      </c>
      <c r="AR145" s="104">
        <v>0</v>
      </c>
      <c r="AS145" s="104">
        <v>0</v>
      </c>
      <c r="AT145" s="104">
        <v>0</v>
      </c>
      <c r="AU145" s="104">
        <v>0</v>
      </c>
      <c r="AV145" s="104">
        <v>0</v>
      </c>
      <c r="AW145" s="104">
        <v>0</v>
      </c>
      <c r="AX145" s="104">
        <v>0</v>
      </c>
      <c r="AY145" s="104">
        <v>0</v>
      </c>
    </row>
    <row r="146" spans="1:51">
      <c r="A146" s="107"/>
      <c r="B146" s="124">
        <v>25</v>
      </c>
      <c r="C146" s="104">
        <v>0</v>
      </c>
      <c r="D146" s="104">
        <v>0</v>
      </c>
      <c r="E146" s="104">
        <v>0</v>
      </c>
      <c r="F146" s="104">
        <v>0</v>
      </c>
      <c r="G146" s="104">
        <v>0</v>
      </c>
      <c r="H146" s="104">
        <v>0</v>
      </c>
      <c r="I146" s="104">
        <v>0</v>
      </c>
      <c r="J146" s="104">
        <v>0</v>
      </c>
      <c r="K146" s="104">
        <v>0</v>
      </c>
      <c r="L146" s="104">
        <v>0</v>
      </c>
      <c r="M146" s="104">
        <v>0</v>
      </c>
      <c r="N146" s="104">
        <v>0</v>
      </c>
      <c r="O146" s="104">
        <v>0</v>
      </c>
      <c r="P146" s="104">
        <v>0</v>
      </c>
      <c r="Q146" s="104">
        <v>0</v>
      </c>
      <c r="R146" s="104">
        <v>0</v>
      </c>
      <c r="S146" s="104">
        <v>0</v>
      </c>
      <c r="T146" s="104">
        <v>0</v>
      </c>
      <c r="U146" s="104">
        <v>0</v>
      </c>
      <c r="V146" s="104">
        <v>0</v>
      </c>
      <c r="W146" s="104">
        <v>0</v>
      </c>
      <c r="X146" s="104">
        <v>0</v>
      </c>
      <c r="Y146" s="104">
        <v>0</v>
      </c>
      <c r="Z146" s="104">
        <v>0</v>
      </c>
      <c r="AA146" s="104">
        <v>0</v>
      </c>
      <c r="AB146" s="104">
        <v>0</v>
      </c>
      <c r="AC146" s="104">
        <v>0</v>
      </c>
      <c r="AD146" s="104">
        <v>0</v>
      </c>
      <c r="AE146" s="104">
        <v>0</v>
      </c>
      <c r="AF146" s="104">
        <v>0</v>
      </c>
      <c r="AG146" s="104">
        <v>0</v>
      </c>
      <c r="AH146" s="104">
        <v>0</v>
      </c>
      <c r="AI146" s="104">
        <v>0</v>
      </c>
      <c r="AJ146" s="104">
        <v>0</v>
      </c>
      <c r="AK146" s="104">
        <v>0</v>
      </c>
      <c r="AL146" s="104">
        <v>0</v>
      </c>
      <c r="AM146" s="104">
        <v>0</v>
      </c>
      <c r="AN146" s="104">
        <v>0</v>
      </c>
      <c r="AO146" s="104">
        <v>0</v>
      </c>
      <c r="AP146" s="104">
        <v>0</v>
      </c>
      <c r="AQ146" s="104">
        <v>0</v>
      </c>
      <c r="AR146" s="104">
        <v>0</v>
      </c>
      <c r="AS146" s="104">
        <v>0</v>
      </c>
      <c r="AT146" s="104">
        <v>0</v>
      </c>
      <c r="AU146" s="104">
        <v>0</v>
      </c>
      <c r="AV146" s="104">
        <v>0</v>
      </c>
      <c r="AW146" s="104">
        <v>0</v>
      </c>
      <c r="AX146" s="104">
        <v>0</v>
      </c>
      <c r="AY146" s="104">
        <v>0</v>
      </c>
    </row>
    <row r="147" spans="1:51">
      <c r="A147" s="107"/>
      <c r="B147" s="124">
        <v>26</v>
      </c>
      <c r="C147" s="104">
        <v>0</v>
      </c>
      <c r="D147" s="104">
        <v>0</v>
      </c>
      <c r="E147" s="104">
        <v>0</v>
      </c>
      <c r="F147" s="104">
        <v>0</v>
      </c>
      <c r="G147" s="104">
        <v>0</v>
      </c>
      <c r="H147" s="104">
        <v>0</v>
      </c>
      <c r="I147" s="104">
        <v>0</v>
      </c>
      <c r="J147" s="104">
        <v>0</v>
      </c>
      <c r="K147" s="104">
        <v>0</v>
      </c>
      <c r="L147" s="104">
        <v>0</v>
      </c>
      <c r="M147" s="104">
        <v>0</v>
      </c>
      <c r="N147" s="104">
        <v>0</v>
      </c>
      <c r="O147" s="104">
        <v>0</v>
      </c>
      <c r="P147" s="104">
        <v>0</v>
      </c>
      <c r="Q147" s="104">
        <v>0</v>
      </c>
      <c r="R147" s="104">
        <v>0</v>
      </c>
      <c r="S147" s="104">
        <v>0</v>
      </c>
      <c r="T147" s="104">
        <v>0</v>
      </c>
      <c r="U147" s="104">
        <v>0</v>
      </c>
      <c r="V147" s="104">
        <v>0</v>
      </c>
      <c r="W147" s="104">
        <v>0</v>
      </c>
      <c r="X147" s="104">
        <v>0</v>
      </c>
      <c r="Y147" s="104">
        <v>0</v>
      </c>
      <c r="Z147" s="104">
        <v>0</v>
      </c>
      <c r="AA147" s="104">
        <v>0</v>
      </c>
      <c r="AB147" s="104">
        <v>0</v>
      </c>
      <c r="AC147" s="104">
        <v>0</v>
      </c>
      <c r="AD147" s="104">
        <v>0</v>
      </c>
      <c r="AE147" s="104">
        <v>0</v>
      </c>
      <c r="AF147" s="104">
        <v>0</v>
      </c>
      <c r="AG147" s="104">
        <v>0</v>
      </c>
      <c r="AH147" s="104">
        <v>0</v>
      </c>
      <c r="AI147" s="104">
        <v>0</v>
      </c>
      <c r="AJ147" s="104">
        <v>0</v>
      </c>
      <c r="AK147" s="104">
        <v>0</v>
      </c>
      <c r="AL147" s="104">
        <v>0</v>
      </c>
      <c r="AM147" s="104">
        <v>0</v>
      </c>
      <c r="AN147" s="104">
        <v>0</v>
      </c>
      <c r="AO147" s="104">
        <v>0</v>
      </c>
      <c r="AP147" s="104">
        <v>0</v>
      </c>
      <c r="AQ147" s="104">
        <v>0</v>
      </c>
      <c r="AR147" s="104">
        <v>0</v>
      </c>
      <c r="AS147" s="104">
        <v>0</v>
      </c>
      <c r="AT147" s="104">
        <v>0</v>
      </c>
      <c r="AU147" s="104">
        <v>0</v>
      </c>
      <c r="AV147" s="104">
        <v>0</v>
      </c>
      <c r="AW147" s="104">
        <v>0</v>
      </c>
      <c r="AX147" s="104">
        <v>0</v>
      </c>
      <c r="AY147" s="104">
        <v>0</v>
      </c>
    </row>
    <row r="148" spans="1:51">
      <c r="A148" s="107"/>
      <c r="B148" s="124">
        <v>27</v>
      </c>
      <c r="C148" s="104">
        <v>0</v>
      </c>
      <c r="D148" s="104">
        <v>0</v>
      </c>
      <c r="E148" s="104">
        <v>0</v>
      </c>
      <c r="F148" s="104">
        <v>0</v>
      </c>
      <c r="G148" s="104">
        <v>0</v>
      </c>
      <c r="H148" s="104">
        <v>0</v>
      </c>
      <c r="I148" s="104">
        <v>0</v>
      </c>
      <c r="J148" s="104">
        <v>0</v>
      </c>
      <c r="K148" s="104">
        <v>0</v>
      </c>
      <c r="L148" s="104">
        <v>0</v>
      </c>
      <c r="M148" s="104">
        <v>0</v>
      </c>
      <c r="N148" s="104">
        <v>0</v>
      </c>
      <c r="O148" s="104">
        <v>0</v>
      </c>
      <c r="P148" s="104">
        <v>0</v>
      </c>
      <c r="Q148" s="104">
        <v>0</v>
      </c>
      <c r="R148" s="104">
        <v>0</v>
      </c>
      <c r="S148" s="104">
        <v>0</v>
      </c>
      <c r="T148" s="104">
        <v>0</v>
      </c>
      <c r="U148" s="104">
        <v>0</v>
      </c>
      <c r="V148" s="104">
        <v>0</v>
      </c>
      <c r="W148" s="104">
        <v>0</v>
      </c>
      <c r="X148" s="104">
        <v>0</v>
      </c>
      <c r="Y148" s="104">
        <v>0</v>
      </c>
      <c r="Z148" s="104">
        <v>0</v>
      </c>
      <c r="AA148" s="104">
        <v>0</v>
      </c>
      <c r="AB148" s="104">
        <v>0</v>
      </c>
      <c r="AC148" s="104">
        <v>0</v>
      </c>
      <c r="AD148" s="104">
        <v>0</v>
      </c>
      <c r="AE148" s="104">
        <v>0</v>
      </c>
      <c r="AF148" s="104">
        <v>0</v>
      </c>
      <c r="AG148" s="104">
        <v>0</v>
      </c>
      <c r="AH148" s="104">
        <v>0</v>
      </c>
      <c r="AI148" s="104">
        <v>0</v>
      </c>
      <c r="AJ148" s="104">
        <v>0</v>
      </c>
      <c r="AK148" s="104">
        <v>0</v>
      </c>
      <c r="AL148" s="104">
        <v>0</v>
      </c>
      <c r="AM148" s="104">
        <v>0</v>
      </c>
      <c r="AN148" s="104">
        <v>0</v>
      </c>
      <c r="AO148" s="104">
        <v>0</v>
      </c>
      <c r="AP148" s="104">
        <v>0</v>
      </c>
      <c r="AQ148" s="104">
        <v>0</v>
      </c>
      <c r="AR148" s="104">
        <v>0</v>
      </c>
      <c r="AS148" s="104">
        <v>0</v>
      </c>
      <c r="AT148" s="104">
        <v>0</v>
      </c>
      <c r="AU148" s="104">
        <v>0</v>
      </c>
      <c r="AV148" s="104">
        <v>0</v>
      </c>
      <c r="AW148" s="104">
        <v>0</v>
      </c>
      <c r="AX148" s="104">
        <v>0</v>
      </c>
      <c r="AY148" s="104">
        <v>0</v>
      </c>
    </row>
    <row r="149" spans="1:51">
      <c r="A149" s="107"/>
      <c r="B149" s="124">
        <v>28</v>
      </c>
      <c r="C149" s="104">
        <v>0</v>
      </c>
      <c r="D149" s="104">
        <v>0</v>
      </c>
      <c r="E149" s="104">
        <v>0</v>
      </c>
      <c r="F149" s="104">
        <v>0</v>
      </c>
      <c r="G149" s="104">
        <v>0</v>
      </c>
      <c r="H149" s="104">
        <v>0</v>
      </c>
      <c r="I149" s="104">
        <v>0</v>
      </c>
      <c r="J149" s="104">
        <v>0</v>
      </c>
      <c r="K149" s="104">
        <v>0</v>
      </c>
      <c r="L149" s="104">
        <v>0</v>
      </c>
      <c r="M149" s="104">
        <v>0</v>
      </c>
      <c r="N149" s="104">
        <v>0</v>
      </c>
      <c r="O149" s="104">
        <v>0</v>
      </c>
      <c r="P149" s="104">
        <v>0</v>
      </c>
      <c r="Q149" s="104">
        <v>0</v>
      </c>
      <c r="R149" s="104">
        <v>0</v>
      </c>
      <c r="S149" s="104">
        <v>0</v>
      </c>
      <c r="T149" s="104">
        <v>0</v>
      </c>
      <c r="U149" s="104">
        <v>0</v>
      </c>
      <c r="V149" s="104">
        <v>0</v>
      </c>
      <c r="W149" s="104">
        <v>0</v>
      </c>
      <c r="X149" s="104">
        <v>0</v>
      </c>
      <c r="Y149" s="104">
        <v>0</v>
      </c>
      <c r="Z149" s="104">
        <v>0</v>
      </c>
      <c r="AA149" s="104">
        <v>0</v>
      </c>
      <c r="AB149" s="104">
        <v>0</v>
      </c>
      <c r="AC149" s="104">
        <v>0</v>
      </c>
      <c r="AD149" s="104">
        <v>0</v>
      </c>
      <c r="AE149" s="104">
        <v>0</v>
      </c>
      <c r="AF149" s="104">
        <v>0</v>
      </c>
      <c r="AG149" s="104">
        <v>0</v>
      </c>
      <c r="AH149" s="104">
        <v>0</v>
      </c>
      <c r="AI149" s="104">
        <v>0</v>
      </c>
      <c r="AJ149" s="104">
        <v>0</v>
      </c>
      <c r="AK149" s="104">
        <v>0</v>
      </c>
      <c r="AL149" s="104">
        <v>0</v>
      </c>
      <c r="AM149" s="104">
        <v>0</v>
      </c>
      <c r="AN149" s="104">
        <v>0</v>
      </c>
      <c r="AO149" s="104">
        <v>0</v>
      </c>
      <c r="AP149" s="104">
        <v>0</v>
      </c>
      <c r="AQ149" s="104">
        <v>0</v>
      </c>
      <c r="AR149" s="104">
        <v>0</v>
      </c>
      <c r="AS149" s="104">
        <v>0</v>
      </c>
      <c r="AT149" s="104">
        <v>0</v>
      </c>
      <c r="AU149" s="104">
        <v>0</v>
      </c>
      <c r="AV149" s="104">
        <v>0</v>
      </c>
      <c r="AW149" s="104">
        <v>0</v>
      </c>
      <c r="AX149" s="104">
        <v>0</v>
      </c>
      <c r="AY149" s="104">
        <v>0</v>
      </c>
    </row>
    <row r="150" spans="1:51">
      <c r="A150" s="107"/>
      <c r="B150" s="124">
        <v>29</v>
      </c>
      <c r="C150" s="104">
        <v>0</v>
      </c>
      <c r="D150" s="104">
        <v>0</v>
      </c>
      <c r="E150" s="104">
        <v>0</v>
      </c>
      <c r="F150" s="104">
        <v>0</v>
      </c>
      <c r="G150" s="104">
        <v>0</v>
      </c>
      <c r="H150" s="104">
        <v>0</v>
      </c>
      <c r="I150" s="104">
        <v>0</v>
      </c>
      <c r="J150" s="104">
        <v>0</v>
      </c>
      <c r="K150" s="104">
        <v>0</v>
      </c>
      <c r="L150" s="104">
        <v>0</v>
      </c>
      <c r="M150" s="104">
        <v>0</v>
      </c>
      <c r="N150" s="104">
        <v>0</v>
      </c>
      <c r="O150" s="104">
        <v>0</v>
      </c>
      <c r="P150" s="104">
        <v>0</v>
      </c>
      <c r="Q150" s="104">
        <v>0</v>
      </c>
      <c r="R150" s="104">
        <v>0</v>
      </c>
      <c r="S150" s="104">
        <v>0</v>
      </c>
      <c r="T150" s="104">
        <v>0</v>
      </c>
      <c r="U150" s="104">
        <v>0</v>
      </c>
      <c r="V150" s="104">
        <v>0</v>
      </c>
      <c r="W150" s="104">
        <v>0</v>
      </c>
      <c r="X150" s="104">
        <v>0</v>
      </c>
      <c r="Y150" s="104">
        <v>0</v>
      </c>
      <c r="Z150" s="104">
        <v>0</v>
      </c>
      <c r="AA150" s="104">
        <v>0</v>
      </c>
      <c r="AB150" s="104">
        <v>0</v>
      </c>
      <c r="AC150" s="104">
        <v>0</v>
      </c>
      <c r="AD150" s="104">
        <v>0</v>
      </c>
      <c r="AE150" s="104">
        <v>0</v>
      </c>
      <c r="AF150" s="104">
        <v>0</v>
      </c>
      <c r="AG150" s="104">
        <v>0</v>
      </c>
      <c r="AH150" s="104">
        <v>0</v>
      </c>
      <c r="AI150" s="104">
        <v>0</v>
      </c>
      <c r="AJ150" s="104">
        <v>0</v>
      </c>
      <c r="AK150" s="104">
        <v>0</v>
      </c>
      <c r="AL150" s="104">
        <v>0</v>
      </c>
      <c r="AM150" s="104">
        <v>0</v>
      </c>
      <c r="AN150" s="104">
        <v>0</v>
      </c>
      <c r="AO150" s="104">
        <v>0</v>
      </c>
      <c r="AP150" s="104">
        <v>0</v>
      </c>
      <c r="AQ150" s="104">
        <v>0</v>
      </c>
      <c r="AR150" s="104">
        <v>0</v>
      </c>
      <c r="AS150" s="104">
        <v>0</v>
      </c>
      <c r="AT150" s="104">
        <v>0</v>
      </c>
      <c r="AU150" s="104">
        <v>0</v>
      </c>
      <c r="AV150" s="104">
        <v>0</v>
      </c>
      <c r="AW150" s="104">
        <v>0</v>
      </c>
      <c r="AX150" s="104">
        <v>0</v>
      </c>
      <c r="AY150" s="104">
        <v>0</v>
      </c>
    </row>
    <row r="151" spans="1:51">
      <c r="A151" s="107"/>
      <c r="B151" s="124">
        <v>30</v>
      </c>
      <c r="C151" s="104">
        <v>0</v>
      </c>
      <c r="D151" s="104">
        <v>0</v>
      </c>
      <c r="E151" s="104">
        <v>0</v>
      </c>
      <c r="F151" s="104">
        <v>0</v>
      </c>
      <c r="G151" s="104">
        <v>0</v>
      </c>
      <c r="H151" s="104">
        <v>0</v>
      </c>
      <c r="I151" s="104">
        <v>0</v>
      </c>
      <c r="J151" s="104">
        <v>0</v>
      </c>
      <c r="K151" s="104">
        <v>0</v>
      </c>
      <c r="L151" s="104">
        <v>0</v>
      </c>
      <c r="M151" s="104">
        <v>0</v>
      </c>
      <c r="N151" s="104">
        <v>0</v>
      </c>
      <c r="O151" s="104">
        <v>0</v>
      </c>
      <c r="P151" s="104">
        <v>0</v>
      </c>
      <c r="Q151" s="104">
        <v>0</v>
      </c>
      <c r="R151" s="104">
        <v>0</v>
      </c>
      <c r="S151" s="104">
        <v>0</v>
      </c>
      <c r="T151" s="104">
        <v>0</v>
      </c>
      <c r="U151" s="104">
        <v>0</v>
      </c>
      <c r="V151" s="104">
        <v>0</v>
      </c>
      <c r="W151" s="104">
        <v>0</v>
      </c>
      <c r="X151" s="104">
        <v>0</v>
      </c>
      <c r="Y151" s="104">
        <v>0</v>
      </c>
      <c r="Z151" s="104">
        <v>0</v>
      </c>
      <c r="AA151" s="104">
        <v>0</v>
      </c>
      <c r="AB151" s="104">
        <v>0</v>
      </c>
      <c r="AC151" s="104">
        <v>0</v>
      </c>
      <c r="AD151" s="104">
        <v>0</v>
      </c>
      <c r="AE151" s="104">
        <v>0</v>
      </c>
      <c r="AF151" s="104">
        <v>0</v>
      </c>
      <c r="AG151" s="104">
        <v>0</v>
      </c>
      <c r="AH151" s="104">
        <v>0</v>
      </c>
      <c r="AI151" s="104">
        <v>0</v>
      </c>
      <c r="AJ151" s="104">
        <v>0</v>
      </c>
      <c r="AK151" s="104">
        <v>0</v>
      </c>
      <c r="AL151" s="104">
        <v>0</v>
      </c>
      <c r="AM151" s="104">
        <v>0</v>
      </c>
      <c r="AN151" s="104">
        <v>0</v>
      </c>
      <c r="AO151" s="104">
        <v>0</v>
      </c>
      <c r="AP151" s="104">
        <v>0</v>
      </c>
      <c r="AQ151" s="104">
        <v>0</v>
      </c>
      <c r="AR151" s="104">
        <v>0</v>
      </c>
      <c r="AS151" s="104">
        <v>0</v>
      </c>
      <c r="AT151" s="104">
        <v>0</v>
      </c>
      <c r="AU151" s="104">
        <v>0</v>
      </c>
      <c r="AV151" s="104">
        <v>0</v>
      </c>
      <c r="AW151" s="104">
        <v>0</v>
      </c>
      <c r="AX151" s="104">
        <v>0</v>
      </c>
      <c r="AY151" s="104">
        <v>0</v>
      </c>
    </row>
    <row r="152" spans="1:51">
      <c r="A152" s="107"/>
      <c r="B152" s="124">
        <v>31</v>
      </c>
      <c r="C152" s="104">
        <v>0</v>
      </c>
      <c r="D152" s="104">
        <v>0</v>
      </c>
      <c r="E152" s="104">
        <v>0</v>
      </c>
      <c r="F152" s="104">
        <v>0</v>
      </c>
      <c r="G152" s="104">
        <v>0</v>
      </c>
      <c r="H152" s="104">
        <v>0</v>
      </c>
      <c r="I152" s="104">
        <v>0</v>
      </c>
      <c r="J152" s="104">
        <v>0</v>
      </c>
      <c r="K152" s="104">
        <v>0</v>
      </c>
      <c r="L152" s="104">
        <v>0</v>
      </c>
      <c r="M152" s="104">
        <v>0</v>
      </c>
      <c r="N152" s="104">
        <v>0</v>
      </c>
      <c r="O152" s="104">
        <v>0</v>
      </c>
      <c r="P152" s="104">
        <v>0</v>
      </c>
      <c r="Q152" s="104">
        <v>0</v>
      </c>
      <c r="R152" s="104">
        <v>0</v>
      </c>
      <c r="S152" s="104">
        <v>0</v>
      </c>
      <c r="T152" s="104">
        <v>0</v>
      </c>
      <c r="U152" s="104">
        <v>0</v>
      </c>
      <c r="V152" s="104">
        <v>0</v>
      </c>
      <c r="W152" s="104">
        <v>0</v>
      </c>
      <c r="X152" s="104">
        <v>0</v>
      </c>
      <c r="Y152" s="104">
        <v>0</v>
      </c>
      <c r="Z152" s="104">
        <v>0</v>
      </c>
      <c r="AA152" s="104">
        <v>0</v>
      </c>
      <c r="AB152" s="104">
        <v>0</v>
      </c>
      <c r="AC152" s="104">
        <v>0</v>
      </c>
      <c r="AD152" s="104">
        <v>0</v>
      </c>
      <c r="AE152" s="104">
        <v>0</v>
      </c>
      <c r="AF152" s="104">
        <v>0</v>
      </c>
      <c r="AG152" s="104">
        <v>0</v>
      </c>
      <c r="AH152" s="104">
        <v>0</v>
      </c>
      <c r="AI152" s="104">
        <v>0</v>
      </c>
      <c r="AJ152" s="104">
        <v>0</v>
      </c>
      <c r="AK152" s="104">
        <v>0</v>
      </c>
      <c r="AL152" s="104">
        <v>0</v>
      </c>
      <c r="AM152" s="104">
        <v>0</v>
      </c>
      <c r="AN152" s="104">
        <v>0</v>
      </c>
      <c r="AO152" s="104">
        <v>0</v>
      </c>
      <c r="AP152" s="104">
        <v>0</v>
      </c>
      <c r="AQ152" s="104">
        <v>0</v>
      </c>
      <c r="AR152" s="104">
        <v>0</v>
      </c>
      <c r="AS152" s="104">
        <v>0</v>
      </c>
      <c r="AT152" s="104">
        <v>0</v>
      </c>
      <c r="AU152" s="104">
        <v>0</v>
      </c>
      <c r="AV152" s="104">
        <v>0</v>
      </c>
      <c r="AW152" s="104">
        <v>0</v>
      </c>
      <c r="AX152" s="104">
        <v>0</v>
      </c>
      <c r="AY152" s="104">
        <v>0</v>
      </c>
    </row>
    <row r="153" spans="1:51">
      <c r="A153" s="107"/>
      <c r="B153" s="124">
        <v>32</v>
      </c>
      <c r="C153" s="104">
        <v>0</v>
      </c>
      <c r="D153" s="104">
        <v>0</v>
      </c>
      <c r="E153" s="104">
        <v>0</v>
      </c>
      <c r="F153" s="104">
        <v>0</v>
      </c>
      <c r="G153" s="104">
        <v>0</v>
      </c>
      <c r="H153" s="104">
        <v>0</v>
      </c>
      <c r="I153" s="104">
        <v>0</v>
      </c>
      <c r="J153" s="104">
        <v>0</v>
      </c>
      <c r="K153" s="104">
        <v>0</v>
      </c>
      <c r="L153" s="104">
        <v>0</v>
      </c>
      <c r="M153" s="104">
        <v>0</v>
      </c>
      <c r="N153" s="104">
        <v>0</v>
      </c>
      <c r="O153" s="104">
        <v>0</v>
      </c>
      <c r="P153" s="104">
        <v>0</v>
      </c>
      <c r="Q153" s="104">
        <v>0</v>
      </c>
      <c r="R153" s="104">
        <v>0</v>
      </c>
      <c r="S153" s="104">
        <v>0</v>
      </c>
      <c r="T153" s="104">
        <v>0</v>
      </c>
      <c r="U153" s="104">
        <v>0</v>
      </c>
      <c r="V153" s="104">
        <v>0</v>
      </c>
      <c r="W153" s="104">
        <v>0</v>
      </c>
      <c r="X153" s="104">
        <v>0</v>
      </c>
      <c r="Y153" s="104">
        <v>0</v>
      </c>
      <c r="Z153" s="104">
        <v>0</v>
      </c>
      <c r="AA153" s="104">
        <v>0</v>
      </c>
      <c r="AB153" s="104">
        <v>0</v>
      </c>
      <c r="AC153" s="104">
        <v>0</v>
      </c>
      <c r="AD153" s="104">
        <v>0</v>
      </c>
      <c r="AE153" s="104">
        <v>0</v>
      </c>
      <c r="AF153" s="104">
        <v>0</v>
      </c>
      <c r="AG153" s="104">
        <v>0</v>
      </c>
      <c r="AH153" s="104">
        <v>0</v>
      </c>
      <c r="AI153" s="104">
        <v>0</v>
      </c>
      <c r="AJ153" s="104">
        <v>0</v>
      </c>
      <c r="AK153" s="104">
        <v>0</v>
      </c>
      <c r="AL153" s="104">
        <v>0</v>
      </c>
      <c r="AM153" s="104">
        <v>0</v>
      </c>
      <c r="AN153" s="104">
        <v>0</v>
      </c>
      <c r="AO153" s="104">
        <v>0</v>
      </c>
      <c r="AP153" s="104">
        <v>0</v>
      </c>
      <c r="AQ153" s="104">
        <v>0</v>
      </c>
      <c r="AR153" s="104">
        <v>0</v>
      </c>
      <c r="AS153" s="104">
        <v>0</v>
      </c>
      <c r="AT153" s="104">
        <v>0</v>
      </c>
      <c r="AU153" s="104">
        <v>0</v>
      </c>
      <c r="AV153" s="104">
        <v>0</v>
      </c>
      <c r="AW153" s="104">
        <v>0</v>
      </c>
      <c r="AX153" s="104">
        <v>0</v>
      </c>
      <c r="AY153" s="104">
        <v>0</v>
      </c>
    </row>
    <row r="154" spans="1:51">
      <c r="A154" s="107"/>
      <c r="B154" s="124">
        <v>33</v>
      </c>
      <c r="C154" s="104">
        <v>0</v>
      </c>
      <c r="D154" s="104">
        <v>0</v>
      </c>
      <c r="E154" s="104">
        <v>0</v>
      </c>
      <c r="F154" s="104">
        <v>0</v>
      </c>
      <c r="G154" s="104">
        <v>0</v>
      </c>
      <c r="H154" s="104">
        <v>0</v>
      </c>
      <c r="I154" s="104">
        <v>0</v>
      </c>
      <c r="J154" s="104">
        <v>0</v>
      </c>
      <c r="K154" s="104">
        <v>0</v>
      </c>
      <c r="L154" s="104">
        <v>0</v>
      </c>
      <c r="M154" s="104">
        <v>0</v>
      </c>
      <c r="N154" s="104">
        <v>0</v>
      </c>
      <c r="O154" s="104">
        <v>0</v>
      </c>
      <c r="P154" s="104">
        <v>0</v>
      </c>
      <c r="Q154" s="104">
        <v>0</v>
      </c>
      <c r="R154" s="104">
        <v>0</v>
      </c>
      <c r="S154" s="104">
        <v>0</v>
      </c>
      <c r="T154" s="104">
        <v>0</v>
      </c>
      <c r="U154" s="104">
        <v>0</v>
      </c>
      <c r="V154" s="104">
        <v>0</v>
      </c>
      <c r="W154" s="104">
        <v>0</v>
      </c>
      <c r="X154" s="104">
        <v>0</v>
      </c>
      <c r="Y154" s="104">
        <v>0</v>
      </c>
      <c r="Z154" s="104">
        <v>0</v>
      </c>
      <c r="AA154" s="104">
        <v>0</v>
      </c>
      <c r="AB154" s="104">
        <v>0</v>
      </c>
      <c r="AC154" s="104">
        <v>0</v>
      </c>
      <c r="AD154" s="104">
        <v>0</v>
      </c>
      <c r="AE154" s="104">
        <v>0</v>
      </c>
      <c r="AF154" s="104">
        <v>0</v>
      </c>
      <c r="AG154" s="104">
        <v>0</v>
      </c>
      <c r="AH154" s="104">
        <v>0</v>
      </c>
      <c r="AI154" s="104">
        <v>0</v>
      </c>
      <c r="AJ154" s="104">
        <v>0</v>
      </c>
      <c r="AK154" s="104">
        <v>0</v>
      </c>
      <c r="AL154" s="104">
        <v>0</v>
      </c>
      <c r="AM154" s="104">
        <v>0</v>
      </c>
      <c r="AN154" s="104">
        <v>0</v>
      </c>
      <c r="AO154" s="104">
        <v>0</v>
      </c>
      <c r="AP154" s="104">
        <v>0</v>
      </c>
      <c r="AQ154" s="104">
        <v>0</v>
      </c>
      <c r="AR154" s="104">
        <v>0</v>
      </c>
      <c r="AS154" s="104">
        <v>0</v>
      </c>
      <c r="AT154" s="104">
        <v>0</v>
      </c>
      <c r="AU154" s="104">
        <v>0</v>
      </c>
      <c r="AV154" s="104">
        <v>0</v>
      </c>
      <c r="AW154" s="104">
        <v>0</v>
      </c>
      <c r="AX154" s="104">
        <v>0</v>
      </c>
      <c r="AY154" s="104">
        <v>0</v>
      </c>
    </row>
    <row r="155" spans="1:51">
      <c r="A155" s="107"/>
      <c r="B155" s="124">
        <v>34</v>
      </c>
      <c r="C155" s="104">
        <v>0</v>
      </c>
      <c r="D155" s="104">
        <v>0</v>
      </c>
      <c r="E155" s="104">
        <v>0</v>
      </c>
      <c r="F155" s="104">
        <v>0</v>
      </c>
      <c r="G155" s="104">
        <v>0</v>
      </c>
      <c r="H155" s="104">
        <v>0</v>
      </c>
      <c r="I155" s="104">
        <v>0</v>
      </c>
      <c r="J155" s="104">
        <v>0</v>
      </c>
      <c r="K155" s="104">
        <v>0</v>
      </c>
      <c r="L155" s="104">
        <v>0</v>
      </c>
      <c r="M155" s="104">
        <v>0</v>
      </c>
      <c r="N155" s="104">
        <v>0</v>
      </c>
      <c r="O155" s="104">
        <v>0</v>
      </c>
      <c r="P155" s="104">
        <v>0</v>
      </c>
      <c r="Q155" s="104">
        <v>0</v>
      </c>
      <c r="R155" s="104">
        <v>0</v>
      </c>
      <c r="S155" s="104">
        <v>0</v>
      </c>
      <c r="T155" s="104">
        <v>0</v>
      </c>
      <c r="U155" s="104">
        <v>0</v>
      </c>
      <c r="V155" s="104">
        <v>0</v>
      </c>
      <c r="W155" s="104">
        <v>0</v>
      </c>
      <c r="X155" s="104">
        <v>0</v>
      </c>
      <c r="Y155" s="104">
        <v>0</v>
      </c>
      <c r="Z155" s="104">
        <v>0</v>
      </c>
      <c r="AA155" s="104">
        <v>0</v>
      </c>
      <c r="AB155" s="104">
        <v>0</v>
      </c>
      <c r="AC155" s="104">
        <v>0</v>
      </c>
      <c r="AD155" s="104">
        <v>0</v>
      </c>
      <c r="AE155" s="104">
        <v>0</v>
      </c>
      <c r="AF155" s="104">
        <v>0</v>
      </c>
      <c r="AG155" s="104">
        <v>0</v>
      </c>
      <c r="AH155" s="104">
        <v>0</v>
      </c>
      <c r="AI155" s="104">
        <v>0</v>
      </c>
      <c r="AJ155" s="104">
        <v>0</v>
      </c>
      <c r="AK155" s="104">
        <v>0</v>
      </c>
      <c r="AL155" s="104">
        <v>0</v>
      </c>
      <c r="AM155" s="104">
        <v>0</v>
      </c>
      <c r="AN155" s="104">
        <v>0</v>
      </c>
      <c r="AO155" s="104">
        <v>0</v>
      </c>
      <c r="AP155" s="104">
        <v>0</v>
      </c>
      <c r="AQ155" s="104">
        <v>0</v>
      </c>
      <c r="AR155" s="104">
        <v>0</v>
      </c>
      <c r="AS155" s="104">
        <v>0</v>
      </c>
      <c r="AT155" s="104">
        <v>0</v>
      </c>
      <c r="AU155" s="104">
        <v>0</v>
      </c>
      <c r="AV155" s="104">
        <v>0</v>
      </c>
      <c r="AW155" s="104">
        <v>0</v>
      </c>
      <c r="AX155" s="104">
        <v>0</v>
      </c>
      <c r="AY155" s="104">
        <v>0</v>
      </c>
    </row>
    <row r="156" spans="1:51">
      <c r="A156" s="107"/>
      <c r="B156" s="124">
        <v>35</v>
      </c>
      <c r="C156" s="104">
        <v>0</v>
      </c>
      <c r="D156" s="104">
        <v>0</v>
      </c>
      <c r="E156" s="104">
        <v>0</v>
      </c>
      <c r="F156" s="104">
        <v>0</v>
      </c>
      <c r="G156" s="104">
        <v>0</v>
      </c>
      <c r="H156" s="104">
        <v>0</v>
      </c>
      <c r="I156" s="104">
        <v>0</v>
      </c>
      <c r="J156" s="104">
        <v>0</v>
      </c>
      <c r="K156" s="104">
        <v>0</v>
      </c>
      <c r="L156" s="104">
        <v>0</v>
      </c>
      <c r="M156" s="104">
        <v>0</v>
      </c>
      <c r="N156" s="104">
        <v>0</v>
      </c>
      <c r="O156" s="104">
        <v>0</v>
      </c>
      <c r="P156" s="104">
        <v>0</v>
      </c>
      <c r="Q156" s="104">
        <v>0</v>
      </c>
      <c r="R156" s="104">
        <v>0</v>
      </c>
      <c r="S156" s="104">
        <v>0</v>
      </c>
      <c r="T156" s="104">
        <v>0</v>
      </c>
      <c r="U156" s="104">
        <v>0</v>
      </c>
      <c r="V156" s="104">
        <v>0</v>
      </c>
      <c r="W156" s="104">
        <v>0</v>
      </c>
      <c r="X156" s="104">
        <v>0</v>
      </c>
      <c r="Y156" s="104">
        <v>0</v>
      </c>
      <c r="Z156" s="104">
        <v>0</v>
      </c>
      <c r="AA156" s="104">
        <v>0</v>
      </c>
      <c r="AB156" s="104">
        <v>0</v>
      </c>
      <c r="AC156" s="104">
        <v>0</v>
      </c>
      <c r="AD156" s="104">
        <v>0</v>
      </c>
      <c r="AE156" s="104">
        <v>0</v>
      </c>
      <c r="AF156" s="104">
        <v>0</v>
      </c>
      <c r="AG156" s="104">
        <v>0</v>
      </c>
      <c r="AH156" s="104">
        <v>0</v>
      </c>
      <c r="AI156" s="104">
        <v>0</v>
      </c>
      <c r="AJ156" s="104">
        <v>0</v>
      </c>
      <c r="AK156" s="104">
        <v>0</v>
      </c>
      <c r="AL156" s="104">
        <v>0</v>
      </c>
      <c r="AM156" s="104">
        <v>0</v>
      </c>
      <c r="AN156" s="104">
        <v>0</v>
      </c>
      <c r="AO156" s="104">
        <v>0</v>
      </c>
      <c r="AP156" s="104">
        <v>0</v>
      </c>
      <c r="AQ156" s="104">
        <v>0</v>
      </c>
      <c r="AR156" s="104">
        <v>0</v>
      </c>
      <c r="AS156" s="104">
        <v>0</v>
      </c>
      <c r="AT156" s="104">
        <v>0</v>
      </c>
      <c r="AU156" s="104">
        <v>0</v>
      </c>
      <c r="AV156" s="104">
        <v>0</v>
      </c>
      <c r="AW156" s="104">
        <v>0</v>
      </c>
      <c r="AX156" s="104">
        <v>0</v>
      </c>
      <c r="AY156" s="104">
        <v>0</v>
      </c>
    </row>
    <row r="157" spans="1:51">
      <c r="A157" s="107"/>
      <c r="B157" s="124">
        <v>36</v>
      </c>
      <c r="C157" s="104">
        <v>0</v>
      </c>
      <c r="D157" s="104">
        <v>0</v>
      </c>
      <c r="E157" s="104">
        <v>0</v>
      </c>
      <c r="F157" s="104">
        <v>0</v>
      </c>
      <c r="G157" s="104">
        <v>0</v>
      </c>
      <c r="H157" s="104">
        <v>0</v>
      </c>
      <c r="I157" s="104">
        <v>0</v>
      </c>
      <c r="J157" s="104">
        <v>0</v>
      </c>
      <c r="K157" s="104">
        <v>0</v>
      </c>
      <c r="L157" s="104">
        <v>0</v>
      </c>
      <c r="M157" s="104">
        <v>0</v>
      </c>
      <c r="N157" s="104">
        <v>0</v>
      </c>
      <c r="O157" s="104">
        <v>0</v>
      </c>
      <c r="P157" s="104">
        <v>0</v>
      </c>
      <c r="Q157" s="104">
        <v>0</v>
      </c>
      <c r="R157" s="104">
        <v>0</v>
      </c>
      <c r="S157" s="104">
        <v>0</v>
      </c>
      <c r="T157" s="104">
        <v>0</v>
      </c>
      <c r="U157" s="104">
        <v>0</v>
      </c>
      <c r="V157" s="104">
        <v>0</v>
      </c>
      <c r="W157" s="104">
        <v>0</v>
      </c>
      <c r="X157" s="104">
        <v>0</v>
      </c>
      <c r="Y157" s="104">
        <v>0</v>
      </c>
      <c r="Z157" s="104">
        <v>0</v>
      </c>
      <c r="AA157" s="104">
        <v>0</v>
      </c>
      <c r="AB157" s="104">
        <v>0</v>
      </c>
      <c r="AC157" s="104">
        <v>0</v>
      </c>
      <c r="AD157" s="104">
        <v>0</v>
      </c>
      <c r="AE157" s="104">
        <v>0</v>
      </c>
      <c r="AF157" s="104">
        <v>0</v>
      </c>
      <c r="AG157" s="104">
        <v>0</v>
      </c>
      <c r="AH157" s="104">
        <v>0</v>
      </c>
      <c r="AI157" s="104">
        <v>0</v>
      </c>
      <c r="AJ157" s="104">
        <v>0</v>
      </c>
      <c r="AK157" s="104">
        <v>0</v>
      </c>
      <c r="AL157" s="104">
        <v>0</v>
      </c>
      <c r="AM157" s="104">
        <v>0</v>
      </c>
      <c r="AN157" s="104">
        <v>0</v>
      </c>
      <c r="AO157" s="104">
        <v>0</v>
      </c>
      <c r="AP157" s="104">
        <v>0</v>
      </c>
      <c r="AQ157" s="104">
        <v>0</v>
      </c>
      <c r="AR157" s="104">
        <v>0</v>
      </c>
      <c r="AS157" s="104">
        <v>0</v>
      </c>
      <c r="AT157" s="104">
        <v>0</v>
      </c>
      <c r="AU157" s="104">
        <v>0</v>
      </c>
      <c r="AV157" s="104">
        <v>0</v>
      </c>
      <c r="AW157" s="104">
        <v>0</v>
      </c>
      <c r="AX157" s="104">
        <v>0</v>
      </c>
      <c r="AY157" s="104">
        <v>0</v>
      </c>
    </row>
    <row r="158" spans="1:51">
      <c r="A158" s="107"/>
      <c r="B158" s="127">
        <v>37</v>
      </c>
      <c r="C158" s="104">
        <v>0</v>
      </c>
      <c r="D158" s="104">
        <v>0</v>
      </c>
      <c r="E158" s="104">
        <v>0</v>
      </c>
      <c r="F158" s="104">
        <v>0</v>
      </c>
      <c r="G158" s="104">
        <v>0</v>
      </c>
      <c r="H158" s="104">
        <v>0</v>
      </c>
      <c r="I158" s="104">
        <v>0</v>
      </c>
      <c r="J158" s="104">
        <v>0</v>
      </c>
      <c r="K158" s="104">
        <v>0</v>
      </c>
      <c r="L158" s="104">
        <v>0</v>
      </c>
      <c r="M158" s="104">
        <v>0</v>
      </c>
      <c r="N158" s="104">
        <v>0</v>
      </c>
      <c r="O158" s="104">
        <v>0</v>
      </c>
      <c r="P158" s="104">
        <v>0</v>
      </c>
      <c r="Q158" s="104">
        <v>0</v>
      </c>
      <c r="R158" s="104">
        <v>0</v>
      </c>
      <c r="S158" s="104">
        <v>0</v>
      </c>
      <c r="T158" s="104">
        <v>0</v>
      </c>
      <c r="U158" s="104">
        <v>0</v>
      </c>
      <c r="V158" s="104">
        <v>0</v>
      </c>
      <c r="W158" s="104">
        <v>0</v>
      </c>
      <c r="X158" s="104">
        <v>0</v>
      </c>
      <c r="Y158" s="104">
        <v>0</v>
      </c>
      <c r="Z158" s="104">
        <v>0</v>
      </c>
      <c r="AA158" s="104">
        <v>0</v>
      </c>
      <c r="AB158" s="104">
        <v>0</v>
      </c>
      <c r="AC158" s="104">
        <v>0</v>
      </c>
      <c r="AD158" s="104">
        <v>0</v>
      </c>
      <c r="AE158" s="104">
        <v>0</v>
      </c>
      <c r="AF158" s="104">
        <v>0</v>
      </c>
      <c r="AG158" s="104">
        <v>0</v>
      </c>
      <c r="AH158" s="104">
        <v>0</v>
      </c>
      <c r="AI158" s="104">
        <v>0</v>
      </c>
      <c r="AJ158" s="104">
        <v>0</v>
      </c>
      <c r="AK158" s="104">
        <v>0</v>
      </c>
      <c r="AL158" s="104">
        <v>0</v>
      </c>
      <c r="AM158" s="104">
        <v>0</v>
      </c>
      <c r="AN158" s="104">
        <v>0</v>
      </c>
      <c r="AO158" s="104">
        <v>0</v>
      </c>
      <c r="AP158" s="104">
        <v>0</v>
      </c>
      <c r="AQ158" s="104">
        <v>0</v>
      </c>
      <c r="AR158" s="104">
        <v>0</v>
      </c>
      <c r="AS158" s="104">
        <v>0</v>
      </c>
      <c r="AT158" s="104">
        <v>0</v>
      </c>
      <c r="AU158" s="104">
        <v>0</v>
      </c>
      <c r="AV158" s="104">
        <v>0</v>
      </c>
      <c r="AW158" s="104">
        <v>0</v>
      </c>
      <c r="AX158" s="104">
        <v>0</v>
      </c>
      <c r="AY158" s="104">
        <v>0</v>
      </c>
    </row>
    <row r="159" spans="1:51">
      <c r="A159" s="107"/>
      <c r="B159" s="127">
        <v>38</v>
      </c>
      <c r="C159" s="104">
        <v>0</v>
      </c>
      <c r="D159" s="104">
        <v>0</v>
      </c>
      <c r="E159" s="104">
        <v>0</v>
      </c>
      <c r="F159" s="104">
        <v>0</v>
      </c>
      <c r="G159" s="104">
        <v>0</v>
      </c>
      <c r="H159" s="104">
        <v>0</v>
      </c>
      <c r="I159" s="104">
        <v>0</v>
      </c>
      <c r="J159" s="104">
        <v>0</v>
      </c>
      <c r="K159" s="104">
        <v>0</v>
      </c>
      <c r="L159" s="104">
        <v>0</v>
      </c>
      <c r="M159" s="104">
        <v>0</v>
      </c>
      <c r="N159" s="104">
        <v>0</v>
      </c>
      <c r="O159" s="104">
        <v>0</v>
      </c>
      <c r="P159" s="104">
        <v>0</v>
      </c>
      <c r="Q159" s="104">
        <v>0</v>
      </c>
      <c r="R159" s="104">
        <v>0</v>
      </c>
      <c r="S159" s="104">
        <v>0</v>
      </c>
      <c r="T159" s="104">
        <v>0</v>
      </c>
      <c r="U159" s="104">
        <v>0</v>
      </c>
      <c r="V159" s="104">
        <v>0</v>
      </c>
      <c r="W159" s="104">
        <v>0</v>
      </c>
      <c r="X159" s="104">
        <v>0</v>
      </c>
      <c r="Y159" s="104">
        <v>0</v>
      </c>
      <c r="Z159" s="104">
        <v>0</v>
      </c>
      <c r="AA159" s="104">
        <v>0</v>
      </c>
      <c r="AB159" s="104">
        <v>0</v>
      </c>
      <c r="AC159" s="104">
        <v>0</v>
      </c>
      <c r="AD159" s="104">
        <v>0</v>
      </c>
      <c r="AE159" s="104">
        <v>0</v>
      </c>
      <c r="AF159" s="104">
        <v>0</v>
      </c>
      <c r="AG159" s="104">
        <v>0</v>
      </c>
      <c r="AH159" s="104">
        <v>0</v>
      </c>
      <c r="AI159" s="104">
        <v>0</v>
      </c>
      <c r="AJ159" s="104">
        <v>0</v>
      </c>
      <c r="AK159" s="104">
        <v>0</v>
      </c>
      <c r="AL159" s="104">
        <v>0</v>
      </c>
      <c r="AM159" s="104">
        <v>0</v>
      </c>
      <c r="AN159" s="104">
        <v>0</v>
      </c>
      <c r="AO159" s="104">
        <v>0</v>
      </c>
      <c r="AP159" s="104">
        <v>0</v>
      </c>
      <c r="AQ159" s="104">
        <v>0</v>
      </c>
      <c r="AR159" s="104">
        <v>0</v>
      </c>
      <c r="AS159" s="104">
        <v>0</v>
      </c>
      <c r="AT159" s="104">
        <v>0</v>
      </c>
      <c r="AU159" s="104">
        <v>0</v>
      </c>
      <c r="AV159" s="104">
        <v>0</v>
      </c>
      <c r="AW159" s="104">
        <v>0</v>
      </c>
      <c r="AX159" s="104">
        <v>0</v>
      </c>
      <c r="AY159" s="104">
        <v>0</v>
      </c>
    </row>
    <row r="160" spans="1:51">
      <c r="A160" s="107"/>
      <c r="B160" s="127">
        <v>39</v>
      </c>
      <c r="C160" s="104">
        <v>0</v>
      </c>
      <c r="D160" s="104">
        <v>0</v>
      </c>
      <c r="E160" s="104">
        <v>0</v>
      </c>
      <c r="F160" s="104">
        <v>0</v>
      </c>
      <c r="G160" s="104">
        <v>0</v>
      </c>
      <c r="H160" s="104">
        <v>0</v>
      </c>
      <c r="I160" s="104">
        <v>0</v>
      </c>
      <c r="J160" s="104">
        <v>0</v>
      </c>
      <c r="K160" s="104">
        <v>0</v>
      </c>
      <c r="L160" s="104">
        <v>0</v>
      </c>
      <c r="M160" s="104">
        <v>0</v>
      </c>
      <c r="N160" s="104">
        <v>0</v>
      </c>
      <c r="O160" s="104">
        <v>0</v>
      </c>
      <c r="P160" s="104">
        <v>0</v>
      </c>
      <c r="Q160" s="104">
        <v>0</v>
      </c>
      <c r="R160" s="104">
        <v>0</v>
      </c>
      <c r="S160" s="104">
        <v>0</v>
      </c>
      <c r="T160" s="104">
        <v>0</v>
      </c>
      <c r="U160" s="104">
        <v>0</v>
      </c>
      <c r="V160" s="104">
        <v>0</v>
      </c>
      <c r="W160" s="104">
        <v>0</v>
      </c>
      <c r="X160" s="104">
        <v>0</v>
      </c>
      <c r="Y160" s="104">
        <v>0</v>
      </c>
      <c r="Z160" s="104">
        <v>0</v>
      </c>
      <c r="AA160" s="104">
        <v>0</v>
      </c>
      <c r="AB160" s="104">
        <v>0</v>
      </c>
      <c r="AC160" s="104">
        <v>0</v>
      </c>
      <c r="AD160" s="104">
        <v>0</v>
      </c>
      <c r="AE160" s="104">
        <v>0</v>
      </c>
      <c r="AF160" s="104">
        <v>0</v>
      </c>
      <c r="AG160" s="104">
        <v>0</v>
      </c>
      <c r="AH160" s="104">
        <v>0</v>
      </c>
      <c r="AI160" s="104">
        <v>0</v>
      </c>
      <c r="AJ160" s="104">
        <v>0</v>
      </c>
      <c r="AK160" s="104">
        <v>0</v>
      </c>
      <c r="AL160" s="104">
        <v>0</v>
      </c>
      <c r="AM160" s="104">
        <v>0</v>
      </c>
      <c r="AN160" s="104">
        <v>0</v>
      </c>
      <c r="AO160" s="104">
        <v>0</v>
      </c>
      <c r="AP160" s="104">
        <v>0</v>
      </c>
      <c r="AQ160" s="104">
        <v>0</v>
      </c>
      <c r="AR160" s="104">
        <v>0</v>
      </c>
      <c r="AS160" s="104">
        <v>0</v>
      </c>
      <c r="AT160" s="104">
        <v>0</v>
      </c>
      <c r="AU160" s="104">
        <v>0</v>
      </c>
      <c r="AV160" s="104">
        <v>0</v>
      </c>
      <c r="AW160" s="104">
        <v>0</v>
      </c>
      <c r="AX160" s="104">
        <v>0</v>
      </c>
      <c r="AY160" s="104">
        <v>0</v>
      </c>
    </row>
    <row r="161" spans="1:52">
      <c r="A161" s="107"/>
      <c r="B161" s="127">
        <v>40</v>
      </c>
      <c r="C161" s="104">
        <v>0</v>
      </c>
      <c r="D161" s="104">
        <v>0</v>
      </c>
      <c r="E161" s="104">
        <v>0</v>
      </c>
      <c r="F161" s="104">
        <v>0</v>
      </c>
      <c r="G161" s="104">
        <v>0</v>
      </c>
      <c r="H161" s="104">
        <v>0</v>
      </c>
      <c r="I161" s="104">
        <v>0</v>
      </c>
      <c r="J161" s="104">
        <v>0</v>
      </c>
      <c r="K161" s="104">
        <v>0</v>
      </c>
      <c r="L161" s="104">
        <v>0</v>
      </c>
      <c r="M161" s="104">
        <v>0</v>
      </c>
      <c r="N161" s="104">
        <v>0</v>
      </c>
      <c r="O161" s="104">
        <v>0</v>
      </c>
      <c r="P161" s="104">
        <v>0</v>
      </c>
      <c r="Q161" s="104">
        <v>0</v>
      </c>
      <c r="R161" s="104">
        <v>0</v>
      </c>
      <c r="S161" s="104">
        <v>0</v>
      </c>
      <c r="T161" s="104">
        <v>0</v>
      </c>
      <c r="U161" s="104">
        <v>0</v>
      </c>
      <c r="V161" s="104">
        <v>0</v>
      </c>
      <c r="W161" s="104">
        <v>0</v>
      </c>
      <c r="X161" s="104">
        <v>0</v>
      </c>
      <c r="Y161" s="104">
        <v>0</v>
      </c>
      <c r="Z161" s="104">
        <v>0</v>
      </c>
      <c r="AA161" s="104">
        <v>0</v>
      </c>
      <c r="AB161" s="104">
        <v>0</v>
      </c>
      <c r="AC161" s="104">
        <v>0</v>
      </c>
      <c r="AD161" s="104">
        <v>0</v>
      </c>
      <c r="AE161" s="104">
        <v>0</v>
      </c>
      <c r="AF161" s="104">
        <v>0</v>
      </c>
      <c r="AG161" s="104">
        <v>0</v>
      </c>
      <c r="AH161" s="104">
        <v>0</v>
      </c>
      <c r="AI161" s="104">
        <v>0</v>
      </c>
      <c r="AJ161" s="104">
        <v>0</v>
      </c>
      <c r="AK161" s="104">
        <v>0</v>
      </c>
      <c r="AL161" s="104">
        <v>0</v>
      </c>
      <c r="AM161" s="104">
        <v>0</v>
      </c>
      <c r="AN161" s="104">
        <v>0</v>
      </c>
      <c r="AO161" s="104">
        <v>0</v>
      </c>
      <c r="AP161" s="104">
        <v>0</v>
      </c>
      <c r="AQ161" s="104">
        <v>0</v>
      </c>
      <c r="AR161" s="104">
        <v>0</v>
      </c>
      <c r="AS161" s="104">
        <v>0</v>
      </c>
      <c r="AT161" s="104">
        <v>0</v>
      </c>
      <c r="AU161" s="104">
        <v>0</v>
      </c>
      <c r="AV161" s="104">
        <v>0</v>
      </c>
      <c r="AW161" s="104">
        <v>0</v>
      </c>
      <c r="AX161" s="104">
        <v>0</v>
      </c>
      <c r="AY161" s="104">
        <v>0</v>
      </c>
    </row>
    <row r="162" spans="1:52">
      <c r="A162" s="107"/>
      <c r="B162" s="127">
        <v>41</v>
      </c>
      <c r="C162" s="104">
        <v>0</v>
      </c>
      <c r="D162" s="104">
        <v>0</v>
      </c>
      <c r="E162" s="104">
        <v>0</v>
      </c>
      <c r="F162" s="104">
        <v>0</v>
      </c>
      <c r="G162" s="104">
        <v>0</v>
      </c>
      <c r="H162" s="104">
        <v>0</v>
      </c>
      <c r="I162" s="104">
        <v>0</v>
      </c>
      <c r="J162" s="104">
        <v>0</v>
      </c>
      <c r="K162" s="104">
        <v>0</v>
      </c>
      <c r="L162" s="104">
        <v>0</v>
      </c>
      <c r="M162" s="104">
        <v>0</v>
      </c>
      <c r="N162" s="104">
        <v>0</v>
      </c>
      <c r="O162" s="104">
        <v>0</v>
      </c>
      <c r="P162" s="104">
        <v>0</v>
      </c>
      <c r="Q162" s="104">
        <v>0</v>
      </c>
      <c r="R162" s="104">
        <v>0</v>
      </c>
      <c r="S162" s="104">
        <v>0</v>
      </c>
      <c r="T162" s="104">
        <v>0</v>
      </c>
      <c r="U162" s="104">
        <v>0</v>
      </c>
      <c r="V162" s="104">
        <v>0</v>
      </c>
      <c r="W162" s="104">
        <v>0</v>
      </c>
      <c r="X162" s="104">
        <v>0</v>
      </c>
      <c r="Y162" s="104">
        <v>0</v>
      </c>
      <c r="Z162" s="104">
        <v>0</v>
      </c>
      <c r="AA162" s="104">
        <v>0</v>
      </c>
      <c r="AB162" s="104">
        <v>0</v>
      </c>
      <c r="AC162" s="104">
        <v>0</v>
      </c>
      <c r="AD162" s="104">
        <v>0</v>
      </c>
      <c r="AE162" s="104">
        <v>0</v>
      </c>
      <c r="AF162" s="104">
        <v>0</v>
      </c>
      <c r="AG162" s="104">
        <v>0</v>
      </c>
      <c r="AH162" s="104">
        <v>0</v>
      </c>
      <c r="AI162" s="104">
        <v>0</v>
      </c>
      <c r="AJ162" s="104">
        <v>0</v>
      </c>
      <c r="AK162" s="104">
        <v>0</v>
      </c>
      <c r="AL162" s="104">
        <v>0</v>
      </c>
      <c r="AM162" s="104">
        <v>0</v>
      </c>
      <c r="AN162" s="104">
        <v>0</v>
      </c>
      <c r="AO162" s="104">
        <v>0</v>
      </c>
      <c r="AP162" s="104">
        <v>0</v>
      </c>
      <c r="AQ162" s="104">
        <v>0</v>
      </c>
      <c r="AR162" s="104">
        <v>0</v>
      </c>
      <c r="AS162" s="104">
        <v>0</v>
      </c>
      <c r="AT162" s="104">
        <v>0</v>
      </c>
      <c r="AU162" s="104">
        <v>0</v>
      </c>
      <c r="AV162" s="104">
        <v>0</v>
      </c>
      <c r="AW162" s="104">
        <v>0</v>
      </c>
      <c r="AX162" s="104">
        <v>0</v>
      </c>
      <c r="AY162" s="104">
        <v>0</v>
      </c>
    </row>
    <row r="163" spans="1:52">
      <c r="A163" s="107"/>
      <c r="B163" s="127">
        <v>42</v>
      </c>
      <c r="C163" s="104">
        <v>0</v>
      </c>
      <c r="D163" s="104">
        <v>0</v>
      </c>
      <c r="E163" s="104">
        <v>0</v>
      </c>
      <c r="F163" s="104">
        <v>0</v>
      </c>
      <c r="G163" s="104">
        <v>0</v>
      </c>
      <c r="H163" s="104">
        <v>0</v>
      </c>
      <c r="I163" s="104">
        <v>0</v>
      </c>
      <c r="J163" s="104">
        <v>0</v>
      </c>
      <c r="K163" s="104">
        <v>0</v>
      </c>
      <c r="L163" s="104">
        <v>0</v>
      </c>
      <c r="M163" s="104">
        <v>0</v>
      </c>
      <c r="N163" s="104">
        <v>0</v>
      </c>
      <c r="O163" s="104">
        <v>0</v>
      </c>
      <c r="P163" s="104">
        <v>0</v>
      </c>
      <c r="Q163" s="104">
        <v>0</v>
      </c>
      <c r="R163" s="104">
        <v>0</v>
      </c>
      <c r="S163" s="104">
        <v>0</v>
      </c>
      <c r="T163" s="104">
        <v>0</v>
      </c>
      <c r="U163" s="104">
        <v>0</v>
      </c>
      <c r="V163" s="104">
        <v>0</v>
      </c>
      <c r="W163" s="104">
        <v>0</v>
      </c>
      <c r="X163" s="104">
        <v>0</v>
      </c>
      <c r="Y163" s="104">
        <v>0</v>
      </c>
      <c r="Z163" s="104">
        <v>0</v>
      </c>
      <c r="AA163" s="104">
        <v>0</v>
      </c>
      <c r="AB163" s="104">
        <v>0</v>
      </c>
      <c r="AC163" s="104">
        <v>0</v>
      </c>
      <c r="AD163" s="104">
        <v>0</v>
      </c>
      <c r="AE163" s="104">
        <v>0</v>
      </c>
      <c r="AF163" s="104">
        <v>0</v>
      </c>
      <c r="AG163" s="104">
        <v>0</v>
      </c>
      <c r="AH163" s="104">
        <v>0</v>
      </c>
      <c r="AI163" s="104">
        <v>0</v>
      </c>
      <c r="AJ163" s="104">
        <v>0</v>
      </c>
      <c r="AK163" s="104">
        <v>0</v>
      </c>
      <c r="AL163" s="104">
        <v>0</v>
      </c>
      <c r="AM163" s="104">
        <v>0</v>
      </c>
      <c r="AN163" s="104">
        <v>0</v>
      </c>
      <c r="AO163" s="104">
        <v>0</v>
      </c>
      <c r="AP163" s="104">
        <v>0</v>
      </c>
      <c r="AQ163" s="104">
        <v>0</v>
      </c>
      <c r="AR163" s="104">
        <v>0</v>
      </c>
      <c r="AS163" s="104">
        <v>0</v>
      </c>
      <c r="AT163" s="104">
        <v>0</v>
      </c>
      <c r="AU163" s="104">
        <v>0</v>
      </c>
      <c r="AV163" s="104">
        <v>0</v>
      </c>
      <c r="AW163" s="104">
        <v>0</v>
      </c>
      <c r="AX163" s="104">
        <v>0</v>
      </c>
      <c r="AY163" s="104">
        <v>0</v>
      </c>
    </row>
    <row r="164" spans="1:52">
      <c r="A164" s="107"/>
      <c r="B164" s="127">
        <v>43</v>
      </c>
      <c r="C164" s="104">
        <v>0</v>
      </c>
      <c r="D164" s="104">
        <v>0</v>
      </c>
      <c r="E164" s="104">
        <v>0</v>
      </c>
      <c r="F164" s="104">
        <v>0</v>
      </c>
      <c r="G164" s="104">
        <v>0</v>
      </c>
      <c r="H164" s="104">
        <v>0</v>
      </c>
      <c r="I164" s="104">
        <v>0</v>
      </c>
      <c r="J164" s="104">
        <v>0</v>
      </c>
      <c r="K164" s="104">
        <v>0</v>
      </c>
      <c r="L164" s="104">
        <v>0</v>
      </c>
      <c r="M164" s="104">
        <v>0</v>
      </c>
      <c r="N164" s="104">
        <v>0</v>
      </c>
      <c r="O164" s="104">
        <v>0</v>
      </c>
      <c r="P164" s="104">
        <v>0</v>
      </c>
      <c r="Q164" s="104">
        <v>0</v>
      </c>
      <c r="R164" s="104">
        <v>0</v>
      </c>
      <c r="S164" s="104">
        <v>0</v>
      </c>
      <c r="T164" s="104">
        <v>0</v>
      </c>
      <c r="U164" s="104">
        <v>0</v>
      </c>
      <c r="V164" s="104">
        <v>0</v>
      </c>
      <c r="W164" s="104">
        <v>0</v>
      </c>
      <c r="X164" s="104">
        <v>0</v>
      </c>
      <c r="Y164" s="104">
        <v>0</v>
      </c>
      <c r="Z164" s="104">
        <v>0</v>
      </c>
      <c r="AA164" s="104">
        <v>0</v>
      </c>
      <c r="AB164" s="104">
        <v>0</v>
      </c>
      <c r="AC164" s="104">
        <v>0</v>
      </c>
      <c r="AD164" s="104">
        <v>0</v>
      </c>
      <c r="AE164" s="104">
        <v>0</v>
      </c>
      <c r="AF164" s="104">
        <v>0</v>
      </c>
      <c r="AG164" s="104">
        <v>0</v>
      </c>
      <c r="AH164" s="104">
        <v>0</v>
      </c>
      <c r="AI164" s="104">
        <v>0</v>
      </c>
      <c r="AJ164" s="104">
        <v>0</v>
      </c>
      <c r="AK164" s="104">
        <v>0</v>
      </c>
      <c r="AL164" s="104">
        <v>0</v>
      </c>
      <c r="AM164" s="104">
        <v>0</v>
      </c>
      <c r="AN164" s="104">
        <v>0</v>
      </c>
      <c r="AO164" s="104">
        <v>0</v>
      </c>
      <c r="AP164" s="104">
        <v>0</v>
      </c>
      <c r="AQ164" s="104">
        <v>0</v>
      </c>
      <c r="AR164" s="104">
        <v>0</v>
      </c>
      <c r="AS164" s="104">
        <v>0</v>
      </c>
      <c r="AT164" s="104">
        <v>0</v>
      </c>
      <c r="AU164" s="104">
        <v>0</v>
      </c>
      <c r="AV164" s="104">
        <v>0</v>
      </c>
      <c r="AW164" s="104">
        <v>0</v>
      </c>
      <c r="AX164" s="104">
        <v>0</v>
      </c>
      <c r="AY164" s="104">
        <v>0</v>
      </c>
    </row>
    <row r="165" spans="1:52">
      <c r="A165" s="107"/>
      <c r="B165" s="127">
        <v>44</v>
      </c>
      <c r="C165" s="104">
        <v>0</v>
      </c>
      <c r="D165" s="104">
        <v>0</v>
      </c>
      <c r="E165" s="104">
        <v>0</v>
      </c>
      <c r="F165" s="104">
        <v>0</v>
      </c>
      <c r="G165" s="104">
        <v>0</v>
      </c>
      <c r="H165" s="104">
        <v>0</v>
      </c>
      <c r="I165" s="104">
        <v>0</v>
      </c>
      <c r="J165" s="104">
        <v>0</v>
      </c>
      <c r="K165" s="104">
        <v>0</v>
      </c>
      <c r="L165" s="104">
        <v>0</v>
      </c>
      <c r="M165" s="104">
        <v>0</v>
      </c>
      <c r="N165" s="104">
        <v>0</v>
      </c>
      <c r="O165" s="104">
        <v>0</v>
      </c>
      <c r="P165" s="104">
        <v>0</v>
      </c>
      <c r="Q165" s="104">
        <v>0</v>
      </c>
      <c r="R165" s="104">
        <v>0</v>
      </c>
      <c r="S165" s="104">
        <v>0</v>
      </c>
      <c r="T165" s="104">
        <v>0</v>
      </c>
      <c r="U165" s="104">
        <v>0</v>
      </c>
      <c r="V165" s="104">
        <v>0</v>
      </c>
      <c r="W165" s="104">
        <v>0</v>
      </c>
      <c r="X165" s="104">
        <v>0</v>
      </c>
      <c r="Y165" s="104">
        <v>0</v>
      </c>
      <c r="Z165" s="104">
        <v>0</v>
      </c>
      <c r="AA165" s="104">
        <v>0</v>
      </c>
      <c r="AB165" s="104">
        <v>0</v>
      </c>
      <c r="AC165" s="104">
        <v>0</v>
      </c>
      <c r="AD165" s="104">
        <v>0</v>
      </c>
      <c r="AE165" s="104">
        <v>0</v>
      </c>
      <c r="AF165" s="104">
        <v>0</v>
      </c>
      <c r="AG165" s="104">
        <v>0</v>
      </c>
      <c r="AH165" s="104">
        <v>0</v>
      </c>
      <c r="AI165" s="104">
        <v>0</v>
      </c>
      <c r="AJ165" s="104">
        <v>0</v>
      </c>
      <c r="AK165" s="104">
        <v>0</v>
      </c>
      <c r="AL165" s="104">
        <v>0</v>
      </c>
      <c r="AM165" s="104">
        <v>0</v>
      </c>
      <c r="AN165" s="104">
        <v>0</v>
      </c>
      <c r="AO165" s="104">
        <v>0</v>
      </c>
      <c r="AP165" s="104">
        <v>0</v>
      </c>
      <c r="AQ165" s="104">
        <v>0</v>
      </c>
      <c r="AR165" s="104">
        <v>0</v>
      </c>
      <c r="AS165" s="104">
        <v>0</v>
      </c>
      <c r="AT165" s="104">
        <v>0</v>
      </c>
      <c r="AU165" s="104">
        <v>0</v>
      </c>
      <c r="AV165" s="104">
        <v>0</v>
      </c>
      <c r="AW165" s="104">
        <v>0</v>
      </c>
      <c r="AX165" s="104">
        <v>0</v>
      </c>
      <c r="AY165" s="104">
        <v>0</v>
      </c>
    </row>
    <row r="166" spans="1:52">
      <c r="A166" s="107"/>
      <c r="B166" s="127">
        <v>45</v>
      </c>
      <c r="C166" s="104">
        <v>0</v>
      </c>
      <c r="D166" s="104">
        <v>0</v>
      </c>
      <c r="E166" s="104">
        <v>0</v>
      </c>
      <c r="F166" s="104">
        <v>0</v>
      </c>
      <c r="G166" s="104">
        <v>0</v>
      </c>
      <c r="H166" s="104">
        <v>0</v>
      </c>
      <c r="I166" s="104">
        <v>0</v>
      </c>
      <c r="J166" s="104">
        <v>0</v>
      </c>
      <c r="K166" s="104">
        <v>0</v>
      </c>
      <c r="L166" s="104">
        <v>0</v>
      </c>
      <c r="M166" s="104">
        <v>0</v>
      </c>
      <c r="N166" s="104">
        <v>0</v>
      </c>
      <c r="O166" s="104">
        <v>0</v>
      </c>
      <c r="P166" s="104">
        <v>0</v>
      </c>
      <c r="Q166" s="104">
        <v>0</v>
      </c>
      <c r="R166" s="104">
        <v>0</v>
      </c>
      <c r="S166" s="104">
        <v>0</v>
      </c>
      <c r="T166" s="104">
        <v>0</v>
      </c>
      <c r="U166" s="104">
        <v>0</v>
      </c>
      <c r="V166" s="104">
        <v>0</v>
      </c>
      <c r="W166" s="104">
        <v>0</v>
      </c>
      <c r="X166" s="104">
        <v>0</v>
      </c>
      <c r="Y166" s="104">
        <v>0</v>
      </c>
      <c r="Z166" s="104">
        <v>0</v>
      </c>
      <c r="AA166" s="104">
        <v>0</v>
      </c>
      <c r="AB166" s="104">
        <v>0</v>
      </c>
      <c r="AC166" s="104">
        <v>0</v>
      </c>
      <c r="AD166" s="104">
        <v>0</v>
      </c>
      <c r="AE166" s="104">
        <v>0</v>
      </c>
      <c r="AF166" s="104">
        <v>0</v>
      </c>
      <c r="AG166" s="104">
        <v>0</v>
      </c>
      <c r="AH166" s="104">
        <v>0</v>
      </c>
      <c r="AI166" s="104">
        <v>0</v>
      </c>
      <c r="AJ166" s="104">
        <v>0</v>
      </c>
      <c r="AK166" s="104">
        <v>0</v>
      </c>
      <c r="AL166" s="104">
        <v>0</v>
      </c>
      <c r="AM166" s="104">
        <v>0</v>
      </c>
      <c r="AN166" s="104">
        <v>0</v>
      </c>
      <c r="AO166" s="104">
        <v>0</v>
      </c>
      <c r="AP166" s="104">
        <v>0</v>
      </c>
      <c r="AQ166" s="104">
        <v>0</v>
      </c>
      <c r="AR166" s="104">
        <v>0</v>
      </c>
      <c r="AS166" s="104">
        <v>0</v>
      </c>
      <c r="AT166" s="104">
        <v>0</v>
      </c>
      <c r="AU166" s="104">
        <v>0</v>
      </c>
      <c r="AV166" s="104">
        <v>0</v>
      </c>
      <c r="AW166" s="104">
        <v>0</v>
      </c>
      <c r="AX166" s="104">
        <v>0</v>
      </c>
      <c r="AY166" s="104">
        <v>0</v>
      </c>
    </row>
    <row r="167" spans="1:52">
      <c r="A167" s="107"/>
      <c r="B167" s="127">
        <v>46</v>
      </c>
      <c r="C167" s="104">
        <v>0</v>
      </c>
      <c r="D167" s="104">
        <v>0</v>
      </c>
      <c r="E167" s="104">
        <v>0</v>
      </c>
      <c r="F167" s="104">
        <v>0</v>
      </c>
      <c r="G167" s="104">
        <v>0</v>
      </c>
      <c r="H167" s="104">
        <v>0</v>
      </c>
      <c r="I167" s="104">
        <v>0</v>
      </c>
      <c r="J167" s="104">
        <v>0</v>
      </c>
      <c r="K167" s="104">
        <v>0</v>
      </c>
      <c r="L167" s="104">
        <v>0</v>
      </c>
      <c r="M167" s="104">
        <v>0</v>
      </c>
      <c r="N167" s="104">
        <v>0</v>
      </c>
      <c r="O167" s="104">
        <v>0</v>
      </c>
      <c r="P167" s="104">
        <v>0</v>
      </c>
      <c r="Q167" s="104">
        <v>0</v>
      </c>
      <c r="R167" s="104">
        <v>0</v>
      </c>
      <c r="S167" s="104">
        <v>0</v>
      </c>
      <c r="T167" s="104">
        <v>0</v>
      </c>
      <c r="U167" s="104">
        <v>0</v>
      </c>
      <c r="V167" s="104">
        <v>0</v>
      </c>
      <c r="W167" s="104">
        <v>0</v>
      </c>
      <c r="X167" s="104">
        <v>0</v>
      </c>
      <c r="Y167" s="104">
        <v>0</v>
      </c>
      <c r="Z167" s="104">
        <v>0</v>
      </c>
      <c r="AA167" s="104">
        <v>0</v>
      </c>
      <c r="AB167" s="104">
        <v>0</v>
      </c>
      <c r="AC167" s="104">
        <v>0</v>
      </c>
      <c r="AD167" s="104">
        <v>0</v>
      </c>
      <c r="AE167" s="104">
        <v>0</v>
      </c>
      <c r="AF167" s="104">
        <v>0</v>
      </c>
      <c r="AG167" s="104">
        <v>0</v>
      </c>
      <c r="AH167" s="104">
        <v>0</v>
      </c>
      <c r="AI167" s="104">
        <v>0</v>
      </c>
      <c r="AJ167" s="104">
        <v>0</v>
      </c>
      <c r="AK167" s="104">
        <v>0</v>
      </c>
      <c r="AL167" s="104">
        <v>0</v>
      </c>
      <c r="AM167" s="104">
        <v>0</v>
      </c>
      <c r="AN167" s="104">
        <v>0</v>
      </c>
      <c r="AO167" s="104">
        <v>0</v>
      </c>
      <c r="AP167" s="104">
        <v>0</v>
      </c>
      <c r="AQ167" s="104">
        <v>0</v>
      </c>
      <c r="AR167" s="104">
        <v>0</v>
      </c>
      <c r="AS167" s="104">
        <v>0</v>
      </c>
      <c r="AT167" s="104">
        <v>0</v>
      </c>
      <c r="AU167" s="104">
        <v>0</v>
      </c>
      <c r="AV167" s="104">
        <v>0</v>
      </c>
      <c r="AW167" s="104">
        <v>0</v>
      </c>
      <c r="AX167" s="104">
        <v>0</v>
      </c>
      <c r="AY167" s="104">
        <v>0</v>
      </c>
    </row>
    <row r="168" spans="1:52">
      <c r="A168" s="107"/>
      <c r="B168" s="127">
        <v>47</v>
      </c>
      <c r="C168" s="104">
        <v>0</v>
      </c>
      <c r="D168" s="104">
        <v>0</v>
      </c>
      <c r="E168" s="104">
        <v>0</v>
      </c>
      <c r="F168" s="104">
        <v>0</v>
      </c>
      <c r="G168" s="104">
        <v>0</v>
      </c>
      <c r="H168" s="104">
        <v>0</v>
      </c>
      <c r="I168" s="104">
        <v>0</v>
      </c>
      <c r="J168" s="104">
        <v>0</v>
      </c>
      <c r="K168" s="104">
        <v>0</v>
      </c>
      <c r="L168" s="104">
        <v>0</v>
      </c>
      <c r="M168" s="104">
        <v>0</v>
      </c>
      <c r="N168" s="104">
        <v>0</v>
      </c>
      <c r="O168" s="104">
        <v>0</v>
      </c>
      <c r="P168" s="104">
        <v>0</v>
      </c>
      <c r="Q168" s="104">
        <v>0</v>
      </c>
      <c r="R168" s="104">
        <v>0</v>
      </c>
      <c r="S168" s="104">
        <v>0</v>
      </c>
      <c r="T168" s="104">
        <v>0</v>
      </c>
      <c r="U168" s="104">
        <v>0</v>
      </c>
      <c r="V168" s="104">
        <v>0</v>
      </c>
      <c r="W168" s="104">
        <v>0</v>
      </c>
      <c r="X168" s="104">
        <v>0</v>
      </c>
      <c r="Y168" s="104">
        <v>0</v>
      </c>
      <c r="Z168" s="104">
        <v>0</v>
      </c>
      <c r="AA168" s="104">
        <v>0</v>
      </c>
      <c r="AB168" s="104">
        <v>0</v>
      </c>
      <c r="AC168" s="104">
        <v>0</v>
      </c>
      <c r="AD168" s="104">
        <v>0</v>
      </c>
      <c r="AE168" s="104">
        <v>0</v>
      </c>
      <c r="AF168" s="104">
        <v>0</v>
      </c>
      <c r="AG168" s="104">
        <v>0</v>
      </c>
      <c r="AH168" s="104">
        <v>0</v>
      </c>
      <c r="AI168" s="104">
        <v>0</v>
      </c>
      <c r="AJ168" s="104">
        <v>0</v>
      </c>
      <c r="AK168" s="104">
        <v>0</v>
      </c>
      <c r="AL168" s="104">
        <v>0</v>
      </c>
      <c r="AM168" s="104">
        <v>0</v>
      </c>
      <c r="AN168" s="104">
        <v>0</v>
      </c>
      <c r="AO168" s="104">
        <v>0</v>
      </c>
      <c r="AP168" s="104">
        <v>0</v>
      </c>
      <c r="AQ168" s="104">
        <v>0</v>
      </c>
      <c r="AR168" s="104">
        <v>0</v>
      </c>
      <c r="AS168" s="104">
        <v>0</v>
      </c>
      <c r="AT168" s="104">
        <v>0</v>
      </c>
      <c r="AU168" s="104">
        <v>0</v>
      </c>
      <c r="AV168" s="104">
        <v>0</v>
      </c>
      <c r="AW168" s="104">
        <v>0</v>
      </c>
      <c r="AX168" s="104">
        <v>0</v>
      </c>
      <c r="AY168" s="104">
        <v>0</v>
      </c>
    </row>
    <row r="169" spans="1:52">
      <c r="A169" s="107"/>
      <c r="B169" s="127">
        <v>48</v>
      </c>
      <c r="C169" s="104">
        <v>0</v>
      </c>
      <c r="D169" s="104">
        <v>0</v>
      </c>
      <c r="E169" s="104">
        <v>0</v>
      </c>
      <c r="F169" s="104">
        <v>0</v>
      </c>
      <c r="G169" s="104">
        <v>0</v>
      </c>
      <c r="H169" s="104">
        <v>0</v>
      </c>
      <c r="I169" s="104">
        <v>0</v>
      </c>
      <c r="J169" s="104">
        <v>0</v>
      </c>
      <c r="K169" s="104">
        <v>0</v>
      </c>
      <c r="L169" s="104">
        <v>0</v>
      </c>
      <c r="M169" s="104">
        <v>0</v>
      </c>
      <c r="N169" s="104">
        <v>0</v>
      </c>
      <c r="O169" s="104">
        <v>0</v>
      </c>
      <c r="P169" s="104">
        <v>0</v>
      </c>
      <c r="Q169" s="104">
        <v>0</v>
      </c>
      <c r="R169" s="104">
        <v>0</v>
      </c>
      <c r="S169" s="104">
        <v>0</v>
      </c>
      <c r="T169" s="104">
        <v>0</v>
      </c>
      <c r="U169" s="104">
        <v>0</v>
      </c>
      <c r="V169" s="104">
        <v>0</v>
      </c>
      <c r="W169" s="104">
        <v>0</v>
      </c>
      <c r="X169" s="104">
        <v>0</v>
      </c>
      <c r="Y169" s="104">
        <v>0</v>
      </c>
      <c r="Z169" s="104">
        <v>0</v>
      </c>
      <c r="AA169" s="104">
        <v>0</v>
      </c>
      <c r="AB169" s="104">
        <v>0</v>
      </c>
      <c r="AC169" s="104">
        <v>0</v>
      </c>
      <c r="AD169" s="104">
        <v>0</v>
      </c>
      <c r="AE169" s="104">
        <v>0</v>
      </c>
      <c r="AF169" s="104">
        <v>0</v>
      </c>
      <c r="AG169" s="104">
        <v>0</v>
      </c>
      <c r="AH169" s="104">
        <v>0</v>
      </c>
      <c r="AI169" s="104">
        <v>0</v>
      </c>
      <c r="AJ169" s="104">
        <v>0</v>
      </c>
      <c r="AK169" s="104">
        <v>0</v>
      </c>
      <c r="AL169" s="104">
        <v>0</v>
      </c>
      <c r="AM169" s="104">
        <v>0</v>
      </c>
      <c r="AN169" s="104">
        <v>0</v>
      </c>
      <c r="AO169" s="104">
        <v>0</v>
      </c>
      <c r="AP169" s="104">
        <v>0</v>
      </c>
      <c r="AQ169" s="104">
        <v>0</v>
      </c>
      <c r="AR169" s="104">
        <v>0</v>
      </c>
      <c r="AS169" s="104">
        <v>0</v>
      </c>
      <c r="AT169" s="104">
        <v>0</v>
      </c>
      <c r="AU169" s="104">
        <v>0</v>
      </c>
      <c r="AV169" s="104">
        <v>0</v>
      </c>
      <c r="AW169" s="104">
        <v>0</v>
      </c>
      <c r="AX169" s="104">
        <v>0</v>
      </c>
      <c r="AY169" s="104">
        <v>0</v>
      </c>
    </row>
    <row r="170" spans="1:52">
      <c r="A170" s="125"/>
      <c r="B170" s="129" t="s">
        <v>296</v>
      </c>
      <c r="C170" s="111">
        <v>0</v>
      </c>
      <c r="D170" s="122">
        <v>0</v>
      </c>
      <c r="E170" s="122">
        <v>0</v>
      </c>
      <c r="F170" s="122">
        <v>0</v>
      </c>
      <c r="G170" s="122">
        <v>0</v>
      </c>
      <c r="H170" s="122">
        <v>0</v>
      </c>
      <c r="I170" s="122">
        <v>0</v>
      </c>
      <c r="J170" s="122">
        <v>0</v>
      </c>
      <c r="K170" s="122">
        <v>0</v>
      </c>
      <c r="L170" s="122">
        <v>0</v>
      </c>
      <c r="M170" s="122">
        <v>0</v>
      </c>
      <c r="N170" s="122">
        <v>0</v>
      </c>
      <c r="O170" s="122">
        <v>0</v>
      </c>
      <c r="P170" s="122">
        <v>0</v>
      </c>
      <c r="Q170" s="122">
        <v>0</v>
      </c>
      <c r="R170" s="122">
        <v>0</v>
      </c>
      <c r="S170" s="122">
        <v>0</v>
      </c>
      <c r="T170" s="122">
        <v>0</v>
      </c>
      <c r="U170" s="122">
        <v>0</v>
      </c>
      <c r="V170" s="122">
        <v>0</v>
      </c>
      <c r="W170" s="122">
        <v>0</v>
      </c>
      <c r="X170" s="122">
        <v>0</v>
      </c>
      <c r="Y170" s="122">
        <v>0</v>
      </c>
      <c r="Z170" s="122">
        <v>0</v>
      </c>
      <c r="AA170" s="122">
        <v>0</v>
      </c>
      <c r="AB170" s="122">
        <v>0</v>
      </c>
      <c r="AC170" s="122">
        <v>0</v>
      </c>
      <c r="AD170" s="122">
        <v>0</v>
      </c>
      <c r="AE170" s="122">
        <v>0</v>
      </c>
      <c r="AF170" s="122">
        <v>0</v>
      </c>
      <c r="AG170" s="122">
        <v>0</v>
      </c>
      <c r="AH170" s="122">
        <v>0</v>
      </c>
      <c r="AI170" s="122">
        <v>0</v>
      </c>
      <c r="AJ170" s="122">
        <v>0</v>
      </c>
      <c r="AK170" s="122">
        <v>0</v>
      </c>
      <c r="AL170" s="122">
        <v>0</v>
      </c>
      <c r="AM170" s="122">
        <v>0</v>
      </c>
      <c r="AN170" s="122">
        <v>0</v>
      </c>
      <c r="AO170" s="122">
        <v>0</v>
      </c>
      <c r="AP170" s="122">
        <v>0</v>
      </c>
      <c r="AQ170" s="122">
        <v>0</v>
      </c>
      <c r="AR170" s="122">
        <v>0</v>
      </c>
      <c r="AS170" s="122">
        <v>0</v>
      </c>
      <c r="AT170" s="122">
        <v>0</v>
      </c>
      <c r="AU170" s="122">
        <v>0</v>
      </c>
      <c r="AV170" s="122">
        <v>0</v>
      </c>
      <c r="AW170" s="122">
        <v>0</v>
      </c>
      <c r="AX170" s="122">
        <v>0</v>
      </c>
      <c r="AY170" s="122">
        <v>0</v>
      </c>
      <c r="AZ170" s="105">
        <f>SUM($D170:$AY170)</f>
        <v>0</v>
      </c>
    </row>
    <row r="172" spans="1:52">
      <c r="A172" s="1" t="s">
        <v>124</v>
      </c>
      <c r="B172" s="130" t="s">
        <v>297</v>
      </c>
      <c r="C172" s="131">
        <v>0.40675210128439865</v>
      </c>
      <c r="D172" s="131">
        <v>0.4088396521940601</v>
      </c>
      <c r="E172" s="131">
        <v>0.4088396521940601</v>
      </c>
      <c r="F172" s="131">
        <v>0.4088396521940601</v>
      </c>
      <c r="G172" s="131">
        <v>0.4088396521940601</v>
      </c>
      <c r="H172" s="131">
        <v>0.4088396521940601</v>
      </c>
      <c r="I172" s="131">
        <v>0.4088396521940601</v>
      </c>
      <c r="J172" s="131">
        <v>0.4088396521940601</v>
      </c>
      <c r="K172" s="131">
        <v>0.4088396521940601</v>
      </c>
      <c r="L172" s="131">
        <v>0.4088396521940601</v>
      </c>
      <c r="M172" s="131">
        <v>0.4088396521940601</v>
      </c>
      <c r="N172" s="131">
        <v>0.4088396521940601</v>
      </c>
      <c r="O172" s="131">
        <v>0.4088396521940601</v>
      </c>
      <c r="P172" s="131">
        <v>0.4088396521940601</v>
      </c>
      <c r="Q172" s="131">
        <v>0.4088396521940601</v>
      </c>
      <c r="R172" s="131">
        <v>0.4088396521940601</v>
      </c>
      <c r="S172" s="131">
        <v>0.4088396521940601</v>
      </c>
      <c r="T172" s="131">
        <v>0.4088396521940601</v>
      </c>
      <c r="U172" s="131">
        <v>0.4088396521940601</v>
      </c>
      <c r="V172" s="131">
        <v>0.4088396521940601</v>
      </c>
      <c r="W172" s="131">
        <v>0.4088396521940601</v>
      </c>
      <c r="X172" s="131">
        <v>0.4088396521940601</v>
      </c>
      <c r="Y172" s="131">
        <v>0.4088396521940601</v>
      </c>
      <c r="Z172" s="131">
        <v>0.4088396521940601</v>
      </c>
      <c r="AA172" s="131">
        <v>0.4088396521940601</v>
      </c>
      <c r="AB172" s="131">
        <v>0.4088396521940601</v>
      </c>
      <c r="AC172" s="131">
        <v>0.4088396521940601</v>
      </c>
      <c r="AD172" s="131">
        <v>0.4088396521940601</v>
      </c>
      <c r="AE172" s="131">
        <v>0.4088396521940601</v>
      </c>
      <c r="AF172" s="131">
        <v>0.4088396521940601</v>
      </c>
      <c r="AG172" s="131">
        <v>0.4088396521940601</v>
      </c>
      <c r="AH172" s="131">
        <v>0.4088396521940601</v>
      </c>
      <c r="AI172" s="131">
        <v>0.4088396521940601</v>
      </c>
      <c r="AJ172" s="131">
        <v>0.4088396521940601</v>
      </c>
      <c r="AK172" s="131">
        <v>0.4088396521940601</v>
      </c>
      <c r="AL172" s="131">
        <v>0.4088396521940601</v>
      </c>
      <c r="AM172" s="131">
        <v>0.4088396521940601</v>
      </c>
      <c r="AN172" s="131">
        <v>0.4088396521940601</v>
      </c>
      <c r="AO172" s="131">
        <v>0.4088396521940601</v>
      </c>
      <c r="AP172" s="131">
        <v>0.4088396521940601</v>
      </c>
      <c r="AQ172" s="131">
        <v>0.4088396521940601</v>
      </c>
      <c r="AR172" s="131">
        <v>0.4088396521940601</v>
      </c>
      <c r="AS172" s="131">
        <v>0.4088396521940601</v>
      </c>
      <c r="AT172" s="131">
        <v>0.4088396521940601</v>
      </c>
      <c r="AU172" s="131">
        <v>0.4088396521940601</v>
      </c>
      <c r="AV172" s="131">
        <v>0.4088396521940601</v>
      </c>
      <c r="AW172" s="131">
        <v>0.4088396521940601</v>
      </c>
      <c r="AX172" s="131">
        <v>0.4088396521940601</v>
      </c>
      <c r="AY172" s="131">
        <v>0.4088396521940601</v>
      </c>
    </row>
    <row r="174" spans="1:52">
      <c r="A174" s="1" t="s">
        <v>272</v>
      </c>
    </row>
    <row r="175" spans="1:52">
      <c r="A175" s="132" t="s">
        <v>125</v>
      </c>
      <c r="B175" s="132" t="s">
        <v>298</v>
      </c>
      <c r="C175" s="121" t="s">
        <v>293</v>
      </c>
      <c r="D175" s="121">
        <f t="shared" ref="D175:AY175" si="1">SUM(D95:D98)</f>
        <v>852.55212458293693</v>
      </c>
      <c r="E175" s="121">
        <f t="shared" si="1"/>
        <v>858.04124506340293</v>
      </c>
      <c r="F175" s="121">
        <f t="shared" si="1"/>
        <v>858.88470024469257</v>
      </c>
      <c r="G175" s="121">
        <f t="shared" si="1"/>
        <v>859.72815542598221</v>
      </c>
      <c r="H175" s="121">
        <f t="shared" si="1"/>
        <v>859.72815542598221</v>
      </c>
      <c r="I175" s="121">
        <f t="shared" si="1"/>
        <v>859.72815542598221</v>
      </c>
      <c r="J175" s="121">
        <f t="shared" si="1"/>
        <v>851.66019428247773</v>
      </c>
      <c r="K175" s="121">
        <f t="shared" si="1"/>
        <v>859.72815542598221</v>
      </c>
      <c r="L175" s="121">
        <f t="shared" si="1"/>
        <v>859.72815542598221</v>
      </c>
      <c r="M175" s="121">
        <f t="shared" si="1"/>
        <v>859.72815542598221</v>
      </c>
      <c r="N175" s="121">
        <f t="shared" si="1"/>
        <v>859.72815542598221</v>
      </c>
      <c r="O175" s="121">
        <f t="shared" si="1"/>
        <v>859.72815542598221</v>
      </c>
      <c r="P175" s="121">
        <f t="shared" si="1"/>
        <v>859.66019428247773</v>
      </c>
      <c r="Q175" s="121">
        <f t="shared" si="1"/>
        <v>859.72815542598221</v>
      </c>
      <c r="R175" s="121">
        <f t="shared" si="1"/>
        <v>859.72815542598221</v>
      </c>
      <c r="S175" s="121">
        <f t="shared" si="1"/>
        <v>859.72815542598221</v>
      </c>
      <c r="T175" s="121">
        <f t="shared" si="1"/>
        <v>859.72815542598221</v>
      </c>
      <c r="U175" s="121">
        <f t="shared" si="1"/>
        <v>859.72815542598221</v>
      </c>
      <c r="V175" s="121">
        <f t="shared" si="1"/>
        <v>859.72815542598221</v>
      </c>
      <c r="W175" s="121">
        <f t="shared" si="1"/>
        <v>859.72815542598221</v>
      </c>
      <c r="X175" s="121">
        <f t="shared" si="1"/>
        <v>816.74174765468308</v>
      </c>
      <c r="Y175" s="121">
        <f t="shared" si="1"/>
        <v>773.75533988338395</v>
      </c>
      <c r="Z175" s="121">
        <f t="shared" si="1"/>
        <v>730.76893211208483</v>
      </c>
      <c r="AA175" s="121">
        <f t="shared" si="1"/>
        <v>682.71456319728134</v>
      </c>
      <c r="AB175" s="121">
        <f t="shared" si="1"/>
        <v>730.76893211208494</v>
      </c>
      <c r="AC175" s="121">
        <f t="shared" si="1"/>
        <v>755.70097096858046</v>
      </c>
      <c r="AD175" s="121">
        <f t="shared" si="1"/>
        <v>794.63300982507599</v>
      </c>
      <c r="AE175" s="121">
        <f t="shared" si="1"/>
        <v>790.56504868157162</v>
      </c>
      <c r="AF175" s="121">
        <f t="shared" si="1"/>
        <v>813.49708753806715</v>
      </c>
      <c r="AG175" s="121">
        <f t="shared" si="1"/>
        <v>812.42912639456267</v>
      </c>
      <c r="AH175" s="121">
        <f t="shared" si="1"/>
        <v>826.36116525105831</v>
      </c>
      <c r="AI175" s="121">
        <f t="shared" si="1"/>
        <v>859.72815542598221</v>
      </c>
      <c r="AJ175" s="121">
        <f t="shared" si="1"/>
        <v>859.72815542598221</v>
      </c>
      <c r="AK175" s="121">
        <f t="shared" si="1"/>
        <v>843.66019428247773</v>
      </c>
      <c r="AL175" s="121">
        <f t="shared" si="1"/>
        <v>854.59223313897337</v>
      </c>
      <c r="AM175" s="121">
        <f t="shared" si="1"/>
        <v>859.72815542598221</v>
      </c>
      <c r="AN175" s="121">
        <f t="shared" si="1"/>
        <v>859.72815542598221</v>
      </c>
      <c r="AO175" s="121">
        <f t="shared" si="1"/>
        <v>859.72815542598221</v>
      </c>
      <c r="AP175" s="121">
        <f t="shared" si="1"/>
        <v>859.72815542598221</v>
      </c>
      <c r="AQ175" s="121">
        <f t="shared" si="1"/>
        <v>849.66019428247773</v>
      </c>
      <c r="AR175" s="121">
        <f t="shared" si="1"/>
        <v>859.72815542598221</v>
      </c>
      <c r="AS175" s="121">
        <f t="shared" si="1"/>
        <v>855.66019428247773</v>
      </c>
      <c r="AT175" s="121">
        <f t="shared" si="1"/>
        <v>859.72815542598221</v>
      </c>
      <c r="AU175" s="121">
        <f t="shared" si="1"/>
        <v>859.72815542598221</v>
      </c>
      <c r="AV175" s="121">
        <f t="shared" si="1"/>
        <v>859.72815542598221</v>
      </c>
      <c r="AW175" s="121">
        <f t="shared" si="1"/>
        <v>715.46371691324271</v>
      </c>
      <c r="AX175" s="121">
        <f t="shared" si="1"/>
        <v>725.39575576973823</v>
      </c>
      <c r="AY175" s="121">
        <f t="shared" si="1"/>
        <v>731.53167805674707</v>
      </c>
    </row>
    <row r="176" spans="1:52">
      <c r="A176" s="122"/>
      <c r="B176" s="133" t="s">
        <v>299</v>
      </c>
      <c r="C176" s="122" t="s">
        <v>293</v>
      </c>
      <c r="D176" s="122">
        <v>179</v>
      </c>
      <c r="E176" s="122">
        <v>163</v>
      </c>
      <c r="F176" s="122">
        <v>160</v>
      </c>
      <c r="G176" s="122">
        <v>178</v>
      </c>
      <c r="H176" s="122">
        <v>200</v>
      </c>
      <c r="I176" s="122">
        <v>223</v>
      </c>
      <c r="J176" s="122">
        <v>157</v>
      </c>
      <c r="K176" s="122">
        <v>199</v>
      </c>
      <c r="L176" s="122">
        <v>207</v>
      </c>
      <c r="M176" s="122">
        <v>173</v>
      </c>
      <c r="N176" s="122">
        <v>208</v>
      </c>
      <c r="O176" s="122">
        <v>215</v>
      </c>
      <c r="P176" s="122">
        <v>180</v>
      </c>
      <c r="Q176" s="122">
        <v>176</v>
      </c>
      <c r="R176" s="122">
        <v>159</v>
      </c>
      <c r="S176" s="122">
        <v>193</v>
      </c>
      <c r="T176" s="122">
        <v>158</v>
      </c>
      <c r="U176" s="122">
        <v>188</v>
      </c>
      <c r="V176" s="122">
        <v>160</v>
      </c>
      <c r="W176" s="122">
        <v>186</v>
      </c>
      <c r="X176" s="122">
        <v>194</v>
      </c>
      <c r="Y176" s="122">
        <v>162</v>
      </c>
      <c r="Z176" s="122">
        <v>220</v>
      </c>
      <c r="AA176" s="122">
        <v>153</v>
      </c>
      <c r="AB176" s="122">
        <v>190</v>
      </c>
      <c r="AC176" s="122">
        <v>176</v>
      </c>
      <c r="AD176" s="122">
        <v>219</v>
      </c>
      <c r="AE176" s="122">
        <v>192</v>
      </c>
      <c r="AF176" s="122">
        <v>216</v>
      </c>
      <c r="AG176" s="122">
        <v>201</v>
      </c>
      <c r="AH176" s="122">
        <v>180</v>
      </c>
      <c r="AI176" s="122">
        <v>174</v>
      </c>
      <c r="AJ176" s="122">
        <v>231</v>
      </c>
      <c r="AK176" s="122">
        <v>204</v>
      </c>
      <c r="AL176" s="122">
        <v>156</v>
      </c>
      <c r="AM176" s="122">
        <v>162</v>
      </c>
      <c r="AN176" s="122">
        <v>193</v>
      </c>
      <c r="AO176" s="122">
        <v>181</v>
      </c>
      <c r="AP176" s="122">
        <v>225</v>
      </c>
      <c r="AQ176" s="122">
        <v>186</v>
      </c>
      <c r="AR176" s="122">
        <v>219</v>
      </c>
      <c r="AS176" s="122">
        <v>192</v>
      </c>
      <c r="AT176" s="122">
        <v>185</v>
      </c>
      <c r="AU176" s="122">
        <v>202</v>
      </c>
      <c r="AV176" s="122">
        <v>231</v>
      </c>
      <c r="AW176" s="122">
        <v>205</v>
      </c>
      <c r="AX176" s="122">
        <v>206</v>
      </c>
      <c r="AY176" s="122">
        <v>210</v>
      </c>
    </row>
    <row r="177" spans="1:51">
      <c r="A177" s="132" t="s">
        <v>133</v>
      </c>
      <c r="B177" s="132" t="s">
        <v>298</v>
      </c>
      <c r="C177" s="121" t="s">
        <v>293</v>
      </c>
      <c r="D177" s="121">
        <f t="shared" ref="D177:AY177" si="2">SUM(D100:D107)</f>
        <v>202.97783092821302</v>
      </c>
      <c r="E177" s="121">
        <f t="shared" si="2"/>
        <v>179.05234452344021</v>
      </c>
      <c r="F177" s="121">
        <f t="shared" si="2"/>
        <v>154.07451359522716</v>
      </c>
      <c r="G177" s="121">
        <f t="shared" si="2"/>
        <v>154.07451359522719</v>
      </c>
      <c r="H177" s="121">
        <f t="shared" si="2"/>
        <v>154.07451359522716</v>
      </c>
      <c r="I177" s="121">
        <f t="shared" si="2"/>
        <v>154.07451359522719</v>
      </c>
      <c r="J177" s="121">
        <f t="shared" si="2"/>
        <v>154.07451359522716</v>
      </c>
      <c r="K177" s="121">
        <f t="shared" si="2"/>
        <v>154.07451359522719</v>
      </c>
      <c r="L177" s="121">
        <f t="shared" si="2"/>
        <v>154.07451359522716</v>
      </c>
      <c r="M177" s="121">
        <f t="shared" si="2"/>
        <v>154.07451359522719</v>
      </c>
      <c r="N177" s="121">
        <f t="shared" si="2"/>
        <v>13.658819651627757</v>
      </c>
      <c r="O177" s="121">
        <f t="shared" si="2"/>
        <v>294.49020753882655</v>
      </c>
      <c r="P177" s="121">
        <f t="shared" si="2"/>
        <v>137.14902719045435</v>
      </c>
      <c r="Q177" s="121">
        <f t="shared" si="2"/>
        <v>294.49020753882655</v>
      </c>
      <c r="R177" s="121">
        <f t="shared" si="2"/>
        <v>159.14902719045435</v>
      </c>
      <c r="S177" s="121">
        <f t="shared" si="2"/>
        <v>294.49020753882655</v>
      </c>
      <c r="T177" s="121">
        <f t="shared" si="2"/>
        <v>230.56472113405374</v>
      </c>
      <c r="U177" s="121">
        <f t="shared" si="2"/>
        <v>209.63923472928093</v>
      </c>
      <c r="V177" s="121">
        <f t="shared" si="2"/>
        <v>33.298054380908688</v>
      </c>
      <c r="W177" s="121">
        <f t="shared" si="2"/>
        <v>294.49020753882655</v>
      </c>
      <c r="X177" s="121">
        <f t="shared" si="2"/>
        <v>272.56472113405374</v>
      </c>
      <c r="Y177" s="121">
        <f t="shared" si="2"/>
        <v>210.63923472928093</v>
      </c>
      <c r="Z177" s="121">
        <f t="shared" si="2"/>
        <v>43.298054380908681</v>
      </c>
      <c r="AA177" s="121">
        <f t="shared" si="2"/>
        <v>109.60079122455399</v>
      </c>
      <c r="AB177" s="121">
        <f t="shared" si="2"/>
        <v>154.07451359522719</v>
      </c>
      <c r="AC177" s="121">
        <f t="shared" si="2"/>
        <v>13.658819651627756</v>
      </c>
      <c r="AD177" s="121">
        <f t="shared" si="2"/>
        <v>263.67530481978116</v>
      </c>
      <c r="AE177" s="121">
        <f t="shared" si="2"/>
        <v>182.74981841500835</v>
      </c>
      <c r="AF177" s="121">
        <f t="shared" si="2"/>
        <v>154.07451359522719</v>
      </c>
      <c r="AG177" s="121">
        <f t="shared" si="2"/>
        <v>13.658819651627757</v>
      </c>
      <c r="AH177" s="121">
        <f t="shared" si="2"/>
        <v>294.49020753882655</v>
      </c>
      <c r="AI177" s="121">
        <f t="shared" si="2"/>
        <v>112.14902719045433</v>
      </c>
      <c r="AJ177" s="121">
        <f t="shared" si="2"/>
        <v>294.49020753882661</v>
      </c>
      <c r="AK177" s="121">
        <f t="shared" si="2"/>
        <v>219.56472113405377</v>
      </c>
      <c r="AL177" s="121">
        <f t="shared" si="2"/>
        <v>183.63923472928096</v>
      </c>
      <c r="AM177" s="121">
        <f t="shared" si="2"/>
        <v>13.658819651627757</v>
      </c>
      <c r="AN177" s="121">
        <f t="shared" si="2"/>
        <v>154.07451359522719</v>
      </c>
      <c r="AO177" s="121">
        <f t="shared" si="2"/>
        <v>294.49020753882655</v>
      </c>
      <c r="AP177" s="121">
        <f t="shared" si="2"/>
        <v>265.56472113405374</v>
      </c>
      <c r="AQ177" s="121">
        <f t="shared" si="2"/>
        <v>66.223540785681493</v>
      </c>
      <c r="AR177" s="121">
        <f t="shared" si="2"/>
        <v>5.3290705182007514E-15</v>
      </c>
      <c r="AS177" s="121">
        <f t="shared" si="2"/>
        <v>294.49020753882655</v>
      </c>
      <c r="AT177" s="121">
        <f t="shared" si="2"/>
        <v>232.56472113405374</v>
      </c>
      <c r="AU177" s="121">
        <f t="shared" si="2"/>
        <v>231.63923472928093</v>
      </c>
      <c r="AV177" s="121">
        <f t="shared" si="2"/>
        <v>178.71374832450809</v>
      </c>
      <c r="AW177" s="121">
        <f t="shared" si="2"/>
        <v>154.07451359522719</v>
      </c>
      <c r="AX177" s="121">
        <f t="shared" si="2"/>
        <v>154.07451359522716</v>
      </c>
      <c r="AY177" s="121">
        <f t="shared" si="2"/>
        <v>62.176581577403596</v>
      </c>
    </row>
    <row r="178" spans="1:51">
      <c r="A178" s="122"/>
      <c r="B178" s="133" t="s">
        <v>299</v>
      </c>
      <c r="C178" s="122" t="s">
        <v>293</v>
      </c>
      <c r="D178" s="122">
        <v>178</v>
      </c>
      <c r="E178" s="122">
        <v>179.05234452344021</v>
      </c>
      <c r="F178" s="122">
        <v>154.07451359522716</v>
      </c>
      <c r="G178" s="122">
        <v>154.07451359522719</v>
      </c>
      <c r="H178" s="122">
        <v>154.07451359522716</v>
      </c>
      <c r="I178" s="122">
        <v>154.07451359522719</v>
      </c>
      <c r="J178" s="122">
        <v>154.07451359522716</v>
      </c>
      <c r="K178" s="122">
        <v>154.07451359522719</v>
      </c>
      <c r="L178" s="122">
        <v>154.07451359522716</v>
      </c>
      <c r="M178" s="122">
        <v>154.07451359522719</v>
      </c>
      <c r="N178" s="122">
        <v>13.658819651627757</v>
      </c>
      <c r="O178" s="122">
        <v>171</v>
      </c>
      <c r="P178" s="122">
        <v>137.14902719045435</v>
      </c>
      <c r="Q178" s="122">
        <v>149</v>
      </c>
      <c r="R178" s="122">
        <v>159.14902719045435</v>
      </c>
      <c r="S178" s="122">
        <v>218</v>
      </c>
      <c r="T178" s="122">
        <v>175</v>
      </c>
      <c r="U178" s="122">
        <v>190</v>
      </c>
      <c r="V178" s="122">
        <v>33.298054380908688</v>
      </c>
      <c r="W178" s="122">
        <v>176</v>
      </c>
      <c r="X178" s="122">
        <v>216</v>
      </c>
      <c r="Y178" s="122">
        <v>181</v>
      </c>
      <c r="Z178" s="122">
        <v>43.298054380908681</v>
      </c>
      <c r="AA178" s="122">
        <v>109.60079122455399</v>
      </c>
      <c r="AB178" s="122">
        <v>154.07451359522719</v>
      </c>
      <c r="AC178" s="122">
        <v>13.658819651627756</v>
      </c>
      <c r="AD178" s="122">
        <v>235</v>
      </c>
      <c r="AE178" s="122">
        <v>182.74981841500835</v>
      </c>
      <c r="AF178" s="122">
        <v>154.07451359522719</v>
      </c>
      <c r="AG178" s="122">
        <v>13.658819651627757</v>
      </c>
      <c r="AH178" s="122">
        <v>196</v>
      </c>
      <c r="AI178" s="122">
        <v>112.14902719045433</v>
      </c>
      <c r="AJ178" s="122">
        <v>229</v>
      </c>
      <c r="AK178" s="122">
        <v>190</v>
      </c>
      <c r="AL178" s="122">
        <v>183.63923472928096</v>
      </c>
      <c r="AM178" s="122">
        <v>13.658819651627757</v>
      </c>
      <c r="AN178" s="122">
        <v>154.07451359522719</v>
      </c>
      <c r="AO178" s="122">
        <v>183</v>
      </c>
      <c r="AP178" s="122">
        <v>213</v>
      </c>
      <c r="AQ178" s="122">
        <v>66.223540785681493</v>
      </c>
      <c r="AR178" s="122">
        <v>5.3290705182007514E-15</v>
      </c>
      <c r="AS178" s="122">
        <v>216</v>
      </c>
      <c r="AT178" s="122">
        <v>155</v>
      </c>
      <c r="AU178" s="122">
        <v>207</v>
      </c>
      <c r="AV178" s="122">
        <v>178.71374832450809</v>
      </c>
      <c r="AW178" s="122">
        <v>154.07451359522719</v>
      </c>
      <c r="AX178" s="122">
        <v>154.07451359522716</v>
      </c>
      <c r="AY178" s="122">
        <v>62.176581577403596</v>
      </c>
    </row>
    <row r="179" spans="1:51">
      <c r="A179" s="132" t="s">
        <v>134</v>
      </c>
      <c r="B179" s="132" t="s">
        <v>298</v>
      </c>
      <c r="C179" s="121" t="s">
        <v>293</v>
      </c>
      <c r="D179" s="121">
        <f t="shared" ref="D179:AY179" si="3">SUM(D109:D120)</f>
        <v>94.691233942891799</v>
      </c>
      <c r="E179" s="121">
        <f t="shared" si="3"/>
        <v>95.969237696917276</v>
      </c>
      <c r="F179" s="121">
        <f t="shared" si="3"/>
        <v>93.671584280728084</v>
      </c>
      <c r="G179" s="121">
        <f t="shared" si="3"/>
        <v>93.671584280728098</v>
      </c>
      <c r="H179" s="121">
        <f t="shared" si="3"/>
        <v>93.671584280728084</v>
      </c>
      <c r="I179" s="121">
        <f t="shared" si="3"/>
        <v>93.671584280728098</v>
      </c>
      <c r="J179" s="121">
        <f t="shared" si="3"/>
        <v>93.671584280728084</v>
      </c>
      <c r="K179" s="121">
        <f t="shared" si="3"/>
        <v>93.671584280728098</v>
      </c>
      <c r="L179" s="121">
        <f t="shared" si="3"/>
        <v>93.671584280728084</v>
      </c>
      <c r="M179" s="121">
        <f t="shared" si="3"/>
        <v>93.671584280728098</v>
      </c>
      <c r="N179" s="121">
        <f t="shared" si="3"/>
        <v>93.671584280728084</v>
      </c>
      <c r="O179" s="121">
        <f t="shared" si="3"/>
        <v>24.990220037469296</v>
      </c>
      <c r="P179" s="121">
        <f t="shared" si="3"/>
        <v>162.35294852398687</v>
      </c>
      <c r="Q179" s="121">
        <f t="shared" si="3"/>
        <v>42.499290336049057</v>
      </c>
      <c r="R179" s="121">
        <f t="shared" si="3"/>
        <v>162.35294852398687</v>
      </c>
      <c r="S179" s="121">
        <f t="shared" si="3"/>
        <v>32.76075477756639</v>
      </c>
      <c r="T179" s="121">
        <f t="shared" si="3"/>
        <v>162.35294852398687</v>
      </c>
      <c r="U179" s="121">
        <f t="shared" si="3"/>
        <v>129.13265772527626</v>
      </c>
      <c r="V179" s="121">
        <f t="shared" si="3"/>
        <v>121.80424200600433</v>
      </c>
      <c r="W179" s="121">
        <f t="shared" si="3"/>
        <v>24.990220037469296</v>
      </c>
      <c r="X179" s="121">
        <f t="shared" si="3"/>
        <v>162.35294852398687</v>
      </c>
      <c r="Y179" s="121">
        <f t="shared" si="3"/>
        <v>142.61030348892325</v>
      </c>
      <c r="Z179" s="121">
        <f t="shared" si="3"/>
        <v>99.348619716972635</v>
      </c>
      <c r="AA179" s="121">
        <f t="shared" si="3"/>
        <v>24.990220037469296</v>
      </c>
      <c r="AB179" s="121">
        <f t="shared" si="3"/>
        <v>71.918204443993645</v>
      </c>
      <c r="AC179" s="121">
        <f t="shared" si="3"/>
        <v>93.671584280728084</v>
      </c>
      <c r="AD179" s="121">
        <f t="shared" si="3"/>
        <v>24.990220037469296</v>
      </c>
      <c r="AE179" s="121">
        <f t="shared" si="3"/>
        <v>147.28049117732135</v>
      </c>
      <c r="AF179" s="121">
        <f t="shared" si="3"/>
        <v>93.671584280728098</v>
      </c>
      <c r="AG179" s="121">
        <f t="shared" si="3"/>
        <v>93.671584280728084</v>
      </c>
      <c r="AH179" s="121">
        <f t="shared" si="3"/>
        <v>24.990220037469296</v>
      </c>
      <c r="AI179" s="121">
        <f t="shared" si="3"/>
        <v>162.35294852398687</v>
      </c>
      <c r="AJ179" s="121">
        <f t="shared" si="3"/>
        <v>61.678129785993505</v>
      </c>
      <c r="AK179" s="121">
        <f t="shared" si="3"/>
        <v>162.35294852398687</v>
      </c>
      <c r="AL179" s="121">
        <f t="shared" si="3"/>
        <v>160.16529931962998</v>
      </c>
      <c r="AM179" s="121">
        <f t="shared" si="3"/>
        <v>113.66565594182275</v>
      </c>
      <c r="AN179" s="121">
        <f t="shared" si="3"/>
        <v>24.990220037469296</v>
      </c>
      <c r="AO179" s="121">
        <f t="shared" si="3"/>
        <v>93.671584280728084</v>
      </c>
      <c r="AP179" s="121">
        <f t="shared" si="3"/>
        <v>162.35294852398692</v>
      </c>
      <c r="AQ179" s="121">
        <f t="shared" si="3"/>
        <v>113.35109827549317</v>
      </c>
      <c r="AR179" s="121">
        <f t="shared" si="3"/>
        <v>24.990220037469296</v>
      </c>
      <c r="AS179" s="121">
        <f t="shared" si="3"/>
        <v>18.30929754740038</v>
      </c>
      <c r="AT179" s="121">
        <f t="shared" si="3"/>
        <v>162.35294852398687</v>
      </c>
      <c r="AU179" s="121">
        <f t="shared" si="3"/>
        <v>156.45522870237511</v>
      </c>
      <c r="AV179" s="121">
        <f t="shared" si="3"/>
        <v>95.080152608339702</v>
      </c>
      <c r="AW179" s="121">
        <f t="shared" si="3"/>
        <v>93.671584280728098</v>
      </c>
      <c r="AX179" s="121">
        <f t="shared" si="3"/>
        <v>93.671584280728084</v>
      </c>
      <c r="AY179" s="121">
        <f t="shared" si="3"/>
        <v>93.671584280728098</v>
      </c>
    </row>
    <row r="180" spans="1:51">
      <c r="A180" s="122"/>
      <c r="B180" s="133" t="s">
        <v>299</v>
      </c>
      <c r="C180" s="122" t="s">
        <v>293</v>
      </c>
      <c r="D180" s="122">
        <v>94.691233942891799</v>
      </c>
      <c r="E180" s="122">
        <v>95.969237696917276</v>
      </c>
      <c r="F180" s="122">
        <v>93.671584280728084</v>
      </c>
      <c r="G180" s="122">
        <v>93.671584280728098</v>
      </c>
      <c r="H180" s="122">
        <v>93.671584280728084</v>
      </c>
      <c r="I180" s="122">
        <v>93.671584280728098</v>
      </c>
      <c r="J180" s="122">
        <v>93.671584280728084</v>
      </c>
      <c r="K180" s="122">
        <v>93.671584280728098</v>
      </c>
      <c r="L180" s="122">
        <v>93.671584280728084</v>
      </c>
      <c r="M180" s="122">
        <v>93.671584280728098</v>
      </c>
      <c r="N180" s="122">
        <v>93.671584280728084</v>
      </c>
      <c r="O180" s="122">
        <v>24.990220037469296</v>
      </c>
      <c r="P180" s="122">
        <v>154.51268120503272</v>
      </c>
      <c r="Q180" s="122">
        <v>42.499290336049057</v>
      </c>
      <c r="R180" s="122">
        <v>162.35294852398687</v>
      </c>
      <c r="S180" s="122">
        <v>32.76075477756639</v>
      </c>
      <c r="T180" s="122">
        <v>154</v>
      </c>
      <c r="U180" s="122">
        <v>101</v>
      </c>
      <c r="V180" s="122">
        <v>121.80424200600433</v>
      </c>
      <c r="W180" s="122">
        <v>24.990220037469296</v>
      </c>
      <c r="X180" s="122">
        <v>140</v>
      </c>
      <c r="Y180" s="122">
        <v>142.61030348892325</v>
      </c>
      <c r="Z180" s="122">
        <v>99.348619716972635</v>
      </c>
      <c r="AA180" s="122">
        <v>24.990220037469296</v>
      </c>
      <c r="AB180" s="122">
        <v>71.918204443993645</v>
      </c>
      <c r="AC180" s="122">
        <v>93.671584280728084</v>
      </c>
      <c r="AD180" s="122">
        <v>24.990220037469296</v>
      </c>
      <c r="AE180" s="122">
        <v>147.28049117732135</v>
      </c>
      <c r="AF180" s="122">
        <v>93.671584280728098</v>
      </c>
      <c r="AG180" s="122">
        <v>93.671584280728084</v>
      </c>
      <c r="AH180" s="122">
        <v>24.990220037469296</v>
      </c>
      <c r="AI180" s="122">
        <v>137.16839441791393</v>
      </c>
      <c r="AJ180" s="122">
        <v>61.678129785993505</v>
      </c>
      <c r="AK180" s="122">
        <v>119</v>
      </c>
      <c r="AL180" s="122">
        <v>160.16529931962998</v>
      </c>
      <c r="AM180" s="122">
        <v>113.66565594182275</v>
      </c>
      <c r="AN180" s="122">
        <v>24.990220037469296</v>
      </c>
      <c r="AO180" s="122">
        <v>93.671584280728084</v>
      </c>
      <c r="AP180" s="122">
        <v>162.35294852398692</v>
      </c>
      <c r="AQ180" s="122">
        <v>113.35109827549317</v>
      </c>
      <c r="AR180" s="122">
        <v>24.990220037469296</v>
      </c>
      <c r="AS180" s="122">
        <v>18.30929754740038</v>
      </c>
      <c r="AT180" s="122">
        <v>130</v>
      </c>
      <c r="AU180" s="122">
        <v>156.45522870237511</v>
      </c>
      <c r="AV180" s="122">
        <v>95.080152608339702</v>
      </c>
      <c r="AW180" s="122">
        <v>93.671584280728098</v>
      </c>
      <c r="AX180" s="122">
        <v>93.671584280728084</v>
      </c>
      <c r="AY180" s="122">
        <v>93.671584280728098</v>
      </c>
    </row>
    <row r="181" spans="1:51">
      <c r="A181" s="132" t="s">
        <v>123</v>
      </c>
      <c r="B181" s="132" t="s">
        <v>298</v>
      </c>
      <c r="C181" s="121" t="s">
        <v>293</v>
      </c>
      <c r="D181" s="121">
        <f t="shared" ref="D181:AY181" si="4">(1-D172)*SUM(D122:D169)</f>
        <v>138.76640299227023</v>
      </c>
      <c r="E181" s="121">
        <f t="shared" si="4"/>
        <v>135.44411860678409</v>
      </c>
      <c r="F181" s="121">
        <f t="shared" si="4"/>
        <v>135.44411860678412</v>
      </c>
      <c r="G181" s="121">
        <f t="shared" si="4"/>
        <v>135.44411860678409</v>
      </c>
      <c r="H181" s="121">
        <f t="shared" si="4"/>
        <v>135.44411860678412</v>
      </c>
      <c r="I181" s="121">
        <f t="shared" si="4"/>
        <v>135.44411860678409</v>
      </c>
      <c r="J181" s="121">
        <f t="shared" si="4"/>
        <v>135.44411860678412</v>
      </c>
      <c r="K181" s="121">
        <f t="shared" si="4"/>
        <v>135.44411860678409</v>
      </c>
      <c r="L181" s="121">
        <f t="shared" si="4"/>
        <v>135.44411860678412</v>
      </c>
      <c r="M181" s="121">
        <f t="shared" si="4"/>
        <v>135.44411860678409</v>
      </c>
      <c r="N181" s="121">
        <f t="shared" si="4"/>
        <v>36.134526310782228</v>
      </c>
      <c r="O181" s="121">
        <f t="shared" si="4"/>
        <v>234.75371090278597</v>
      </c>
      <c r="P181" s="121">
        <f t="shared" si="4"/>
        <v>50.115100116743484</v>
      </c>
      <c r="Q181" s="121">
        <f t="shared" si="4"/>
        <v>234.75371090278597</v>
      </c>
      <c r="R181" s="121">
        <f t="shared" si="4"/>
        <v>47.370305411321915</v>
      </c>
      <c r="S181" s="121">
        <f t="shared" si="4"/>
        <v>234.75371090278597</v>
      </c>
      <c r="T181" s="121">
        <f t="shared" si="4"/>
        <v>174.64102250396118</v>
      </c>
      <c r="U181" s="121">
        <f t="shared" si="4"/>
        <v>135.44411860678409</v>
      </c>
      <c r="V181" s="121">
        <f t="shared" si="4"/>
        <v>36.134526310782228</v>
      </c>
      <c r="W181" s="121">
        <f t="shared" si="4"/>
        <v>234.75371090278597</v>
      </c>
      <c r="X181" s="121">
        <f t="shared" si="4"/>
        <v>173.88572611726491</v>
      </c>
      <c r="Y181" s="121">
        <f t="shared" si="4"/>
        <v>143.65280928780442</v>
      </c>
      <c r="Z181" s="121">
        <f t="shared" si="4"/>
        <v>36.134526310782228</v>
      </c>
      <c r="AA181" s="121">
        <f t="shared" si="4"/>
        <v>103.98989071761976</v>
      </c>
      <c r="AB181" s="121">
        <f t="shared" si="4"/>
        <v>135.44411860678409</v>
      </c>
      <c r="AC181" s="121">
        <f t="shared" si="4"/>
        <v>36.134526310782228</v>
      </c>
      <c r="AD181" s="121">
        <f t="shared" si="4"/>
        <v>212.95974087192496</v>
      </c>
      <c r="AE181" s="121">
        <f t="shared" si="4"/>
        <v>135.44411860678412</v>
      </c>
      <c r="AF181" s="121">
        <f t="shared" si="4"/>
        <v>135.44411860678409</v>
      </c>
      <c r="AG181" s="121">
        <f t="shared" si="4"/>
        <v>36.134526310782228</v>
      </c>
      <c r="AH181" s="121">
        <f t="shared" si="4"/>
        <v>234.75371090278597</v>
      </c>
      <c r="AI181" s="121">
        <f t="shared" si="4"/>
        <v>52.767765493998901</v>
      </c>
      <c r="AJ181" s="121">
        <f t="shared" si="4"/>
        <v>234.75371090278597</v>
      </c>
      <c r="AK181" s="121">
        <f t="shared" si="4"/>
        <v>168.90443369129042</v>
      </c>
      <c r="AL181" s="121">
        <f t="shared" si="4"/>
        <v>164.35448063697987</v>
      </c>
      <c r="AM181" s="121">
        <f t="shared" si="4"/>
        <v>36.134526310782228</v>
      </c>
      <c r="AN181" s="121">
        <f t="shared" si="4"/>
        <v>135.44411860678409</v>
      </c>
      <c r="AO181" s="121">
        <f t="shared" si="4"/>
        <v>234.75371090278603</v>
      </c>
      <c r="AP181" s="121">
        <f t="shared" si="4"/>
        <v>163.89964701593925</v>
      </c>
      <c r="AQ181" s="121">
        <f t="shared" si="4"/>
        <v>36.134526310782228</v>
      </c>
      <c r="AR181" s="121">
        <f t="shared" si="4"/>
        <v>26.474268452478903</v>
      </c>
      <c r="AS181" s="121">
        <f t="shared" si="4"/>
        <v>234.75371090278597</v>
      </c>
      <c r="AT181" s="121">
        <f t="shared" si="4"/>
        <v>179.4452830591467</v>
      </c>
      <c r="AU181" s="121">
        <f t="shared" si="4"/>
        <v>137.48083333831914</v>
      </c>
      <c r="AV181" s="121">
        <f t="shared" si="4"/>
        <v>135.44411860678412</v>
      </c>
      <c r="AW181" s="121">
        <f t="shared" si="4"/>
        <v>135.44411860678409</v>
      </c>
      <c r="AX181" s="121">
        <f t="shared" si="4"/>
        <v>135.44411860678412</v>
      </c>
      <c r="AY181" s="121">
        <f t="shared" si="4"/>
        <v>70.448918246904654</v>
      </c>
    </row>
    <row r="182" spans="1:51">
      <c r="A182" s="122"/>
      <c r="B182" s="133" t="s">
        <v>299</v>
      </c>
      <c r="C182" s="122" t="s">
        <v>293</v>
      </c>
      <c r="D182" s="122">
        <v>138.76640299227023</v>
      </c>
      <c r="E182" s="122">
        <v>135.44411860678409</v>
      </c>
      <c r="F182" s="122">
        <v>135.44411860678412</v>
      </c>
      <c r="G182" s="122">
        <v>135.44411860678409</v>
      </c>
      <c r="H182" s="122">
        <v>135.44411860678412</v>
      </c>
      <c r="I182" s="122">
        <v>135.44411860678409</v>
      </c>
      <c r="J182" s="122">
        <v>135.44411860678412</v>
      </c>
      <c r="K182" s="122">
        <v>135.44411860678409</v>
      </c>
      <c r="L182" s="122">
        <v>135.44411860678412</v>
      </c>
      <c r="M182" s="122">
        <v>135.44411860678409</v>
      </c>
      <c r="N182" s="122">
        <v>36.134526310782228</v>
      </c>
      <c r="O182" s="122">
        <v>211.1043341171991</v>
      </c>
      <c r="P182" s="122">
        <v>50.115100116743484</v>
      </c>
      <c r="Q182" s="122">
        <v>215.74739706214919</v>
      </c>
      <c r="R182" s="122">
        <v>47.370305411321915</v>
      </c>
      <c r="S182" s="122">
        <v>168.44868208504766</v>
      </c>
      <c r="T182" s="122">
        <v>174.64102250396118</v>
      </c>
      <c r="U182" s="122">
        <v>135.44411860678409</v>
      </c>
      <c r="V182" s="122">
        <v>36.134526310782228</v>
      </c>
      <c r="W182" s="122">
        <v>169.72633270809692</v>
      </c>
      <c r="X182" s="122">
        <v>160</v>
      </c>
      <c r="Y182" s="122">
        <v>143.65280928780442</v>
      </c>
      <c r="Z182" s="122">
        <v>36.134526310782228</v>
      </c>
      <c r="AA182" s="122">
        <v>103.98989071761976</v>
      </c>
      <c r="AB182" s="122">
        <v>135.44411860678409</v>
      </c>
      <c r="AC182" s="122">
        <v>36.134526310782228</v>
      </c>
      <c r="AD182" s="122">
        <v>212.95974087192496</v>
      </c>
      <c r="AE182" s="122">
        <v>135.44411860678412</v>
      </c>
      <c r="AF182" s="122">
        <v>135.44411860678409</v>
      </c>
      <c r="AG182" s="122">
        <v>36.134526310782228</v>
      </c>
      <c r="AH182" s="122">
        <v>206.61711607711803</v>
      </c>
      <c r="AI182" s="122">
        <v>52.767765493998901</v>
      </c>
      <c r="AJ182" s="122">
        <v>178.15262930336462</v>
      </c>
      <c r="AK182" s="122">
        <v>120</v>
      </c>
      <c r="AL182" s="122">
        <v>164.35448063697987</v>
      </c>
      <c r="AM182" s="122">
        <v>36.134526310782228</v>
      </c>
      <c r="AN182" s="122">
        <v>135.44411860678409</v>
      </c>
      <c r="AO182" s="122">
        <v>186.61866849886573</v>
      </c>
      <c r="AP182" s="122">
        <v>163.89964701593925</v>
      </c>
      <c r="AQ182" s="122">
        <v>36.134526310782228</v>
      </c>
      <c r="AR182" s="122">
        <v>26.474268452478903</v>
      </c>
      <c r="AS182" s="122">
        <v>160.32185055276327</v>
      </c>
      <c r="AT182" s="122">
        <v>176</v>
      </c>
      <c r="AU182" s="122">
        <v>137.48083333831914</v>
      </c>
      <c r="AV182" s="122">
        <v>135.44411860678412</v>
      </c>
      <c r="AW182" s="122">
        <v>135.44411860678409</v>
      </c>
      <c r="AX182" s="122">
        <v>135.44411860678412</v>
      </c>
      <c r="AY182" s="122">
        <v>70.448918246904654</v>
      </c>
    </row>
    <row r="184" spans="1:51">
      <c r="A184" s="1" t="s">
        <v>300</v>
      </c>
    </row>
    <row r="185" spans="1:51">
      <c r="A185" s="123" t="s">
        <v>125</v>
      </c>
      <c r="B185" s="120">
        <v>1</v>
      </c>
      <c r="C185" s="121">
        <v>0</v>
      </c>
      <c r="D185" s="121">
        <v>0</v>
      </c>
      <c r="E185" s="121">
        <v>0</v>
      </c>
      <c r="F185" s="121">
        <v>0</v>
      </c>
      <c r="G185" s="121">
        <v>0</v>
      </c>
      <c r="H185" s="121">
        <v>0</v>
      </c>
      <c r="I185" s="121">
        <v>0</v>
      </c>
      <c r="J185" s="121">
        <v>0</v>
      </c>
      <c r="K185" s="121">
        <v>0</v>
      </c>
      <c r="L185" s="121">
        <v>0</v>
      </c>
      <c r="M185" s="121">
        <v>0</v>
      </c>
      <c r="N185" s="121">
        <v>0</v>
      </c>
      <c r="O185" s="121">
        <v>0</v>
      </c>
      <c r="P185" s="121">
        <v>0</v>
      </c>
      <c r="Q185" s="121">
        <v>0</v>
      </c>
      <c r="R185" s="121">
        <v>0</v>
      </c>
      <c r="S185" s="121">
        <v>0</v>
      </c>
      <c r="T185" s="121">
        <v>0</v>
      </c>
      <c r="U185" s="121">
        <v>0</v>
      </c>
      <c r="V185" s="121">
        <v>0</v>
      </c>
      <c r="W185" s="121">
        <v>0</v>
      </c>
      <c r="X185" s="121">
        <v>0</v>
      </c>
      <c r="Y185" s="121">
        <v>0</v>
      </c>
      <c r="Z185" s="121">
        <v>0</v>
      </c>
      <c r="AA185" s="121">
        <v>0</v>
      </c>
      <c r="AB185" s="121">
        <v>0</v>
      </c>
      <c r="AC185" s="121">
        <v>0</v>
      </c>
      <c r="AD185" s="121">
        <v>0</v>
      </c>
      <c r="AE185" s="121">
        <v>0</v>
      </c>
      <c r="AF185" s="121">
        <v>0</v>
      </c>
      <c r="AG185" s="121">
        <v>0</v>
      </c>
      <c r="AH185" s="121">
        <v>0</v>
      </c>
      <c r="AI185" s="121">
        <v>0</v>
      </c>
      <c r="AJ185" s="121">
        <v>0</v>
      </c>
      <c r="AK185" s="121">
        <v>0</v>
      </c>
      <c r="AL185" s="121">
        <v>0</v>
      </c>
      <c r="AM185" s="121">
        <v>0</v>
      </c>
      <c r="AN185" s="121">
        <v>0</v>
      </c>
      <c r="AO185" s="121">
        <v>0</v>
      </c>
      <c r="AP185" s="121">
        <v>0</v>
      </c>
      <c r="AQ185" s="121">
        <v>0</v>
      </c>
      <c r="AR185" s="121">
        <v>0</v>
      </c>
      <c r="AS185" s="121">
        <v>0</v>
      </c>
      <c r="AT185" s="121">
        <v>0</v>
      </c>
      <c r="AU185" s="121">
        <v>0</v>
      </c>
      <c r="AV185" s="121">
        <v>0</v>
      </c>
      <c r="AW185" s="121">
        <v>0</v>
      </c>
      <c r="AX185" s="121">
        <v>0</v>
      </c>
      <c r="AY185" s="121">
        <v>0</v>
      </c>
    </row>
    <row r="186" spans="1:51">
      <c r="A186" s="107"/>
      <c r="B186" s="117">
        <v>2</v>
      </c>
      <c r="C186" s="104">
        <v>0</v>
      </c>
      <c r="D186" s="104">
        <v>0</v>
      </c>
      <c r="E186" s="104">
        <v>0</v>
      </c>
      <c r="F186" s="104">
        <v>0</v>
      </c>
      <c r="G186" s="104">
        <v>0</v>
      </c>
      <c r="H186" s="104">
        <v>0</v>
      </c>
      <c r="I186" s="104">
        <v>0</v>
      </c>
      <c r="J186" s="104">
        <v>0</v>
      </c>
      <c r="K186" s="104">
        <v>0</v>
      </c>
      <c r="L186" s="104">
        <v>0</v>
      </c>
      <c r="M186" s="104">
        <v>0</v>
      </c>
      <c r="N186" s="104">
        <v>0</v>
      </c>
      <c r="O186" s="104">
        <v>0</v>
      </c>
      <c r="P186" s="104">
        <v>0</v>
      </c>
      <c r="Q186" s="104">
        <v>0</v>
      </c>
      <c r="R186" s="104">
        <v>0</v>
      </c>
      <c r="S186" s="104">
        <v>0</v>
      </c>
      <c r="T186" s="104">
        <v>0</v>
      </c>
      <c r="U186" s="104">
        <v>0</v>
      </c>
      <c r="V186" s="104">
        <v>0</v>
      </c>
      <c r="W186" s="104">
        <v>0</v>
      </c>
      <c r="X186" s="104">
        <v>0</v>
      </c>
      <c r="Y186" s="104">
        <v>0</v>
      </c>
      <c r="Z186" s="104">
        <v>0</v>
      </c>
      <c r="AA186" s="104">
        <v>0</v>
      </c>
      <c r="AB186" s="104">
        <v>0</v>
      </c>
      <c r="AC186" s="104">
        <v>0</v>
      </c>
      <c r="AD186" s="104">
        <v>0</v>
      </c>
      <c r="AE186" s="104">
        <v>0</v>
      </c>
      <c r="AF186" s="104">
        <v>0</v>
      </c>
      <c r="AG186" s="104">
        <v>0</v>
      </c>
      <c r="AH186" s="104">
        <v>0</v>
      </c>
      <c r="AI186" s="104">
        <v>0</v>
      </c>
      <c r="AJ186" s="104">
        <v>0</v>
      </c>
      <c r="AK186" s="104">
        <v>0</v>
      </c>
      <c r="AL186" s="104">
        <v>0</v>
      </c>
      <c r="AM186" s="104">
        <v>0</v>
      </c>
      <c r="AN186" s="104">
        <v>0</v>
      </c>
      <c r="AO186" s="104">
        <v>0</v>
      </c>
      <c r="AP186" s="104">
        <v>0</v>
      </c>
      <c r="AQ186" s="104">
        <v>0</v>
      </c>
      <c r="AR186" s="104">
        <v>0</v>
      </c>
      <c r="AS186" s="104">
        <v>0</v>
      </c>
      <c r="AT186" s="104">
        <v>0</v>
      </c>
      <c r="AU186" s="104">
        <v>0</v>
      </c>
      <c r="AV186" s="104">
        <v>0</v>
      </c>
      <c r="AW186" s="104">
        <v>0</v>
      </c>
      <c r="AX186" s="104">
        <v>0</v>
      </c>
      <c r="AY186" s="104">
        <v>0</v>
      </c>
    </row>
    <row r="187" spans="1:51">
      <c r="A187" s="107"/>
      <c r="B187" s="124">
        <v>3</v>
      </c>
      <c r="C187" s="104">
        <v>4.6456652991763576</v>
      </c>
      <c r="D187" s="104">
        <v>0</v>
      </c>
      <c r="E187" s="104">
        <v>0</v>
      </c>
      <c r="F187" s="104">
        <v>0</v>
      </c>
      <c r="G187" s="104">
        <v>0</v>
      </c>
      <c r="H187" s="104">
        <v>0</v>
      </c>
      <c r="I187" s="104">
        <v>8.0679611435044478</v>
      </c>
      <c r="J187" s="104">
        <v>0</v>
      </c>
      <c r="K187" s="104">
        <v>0</v>
      </c>
      <c r="L187" s="104">
        <v>0</v>
      </c>
      <c r="M187" s="104">
        <v>0</v>
      </c>
      <c r="N187" s="104">
        <v>0</v>
      </c>
      <c r="O187" s="104">
        <v>6.7961143504447818E-2</v>
      </c>
      <c r="P187" s="104">
        <v>0</v>
      </c>
      <c r="Q187" s="104">
        <v>0</v>
      </c>
      <c r="R187" s="104">
        <v>0</v>
      </c>
      <c r="S187" s="104">
        <v>0</v>
      </c>
      <c r="T187" s="104">
        <v>0</v>
      </c>
      <c r="U187" s="104">
        <v>0</v>
      </c>
      <c r="V187" s="104">
        <v>0</v>
      </c>
      <c r="W187" s="104">
        <v>0</v>
      </c>
      <c r="X187" s="104">
        <v>0</v>
      </c>
      <c r="Y187" s="104">
        <v>0</v>
      </c>
      <c r="Z187" s="104">
        <v>5.0679611435044478</v>
      </c>
      <c r="AA187" s="104">
        <v>0</v>
      </c>
      <c r="AB187" s="104">
        <v>18.054368914803547</v>
      </c>
      <c r="AC187" s="104">
        <v>22.108737829607094</v>
      </c>
      <c r="AD187" s="104">
        <v>69.163106744410641</v>
      </c>
      <c r="AE187" s="104">
        <v>46.231067887915088</v>
      </c>
      <c r="AF187" s="104">
        <v>47.299029031419536</v>
      </c>
      <c r="AG187" s="104">
        <v>33.366990174923984</v>
      </c>
      <c r="AH187" s="104">
        <v>0</v>
      </c>
      <c r="AI187" s="104">
        <v>0</v>
      </c>
      <c r="AJ187" s="104">
        <v>16.067961143504448</v>
      </c>
      <c r="AK187" s="104">
        <v>5.1359222870088956</v>
      </c>
      <c r="AL187" s="104">
        <v>0</v>
      </c>
      <c r="AM187" s="104">
        <v>0</v>
      </c>
      <c r="AN187" s="104">
        <v>0</v>
      </c>
      <c r="AO187" s="104">
        <v>0</v>
      </c>
      <c r="AP187" s="104">
        <v>10.067961143504448</v>
      </c>
      <c r="AQ187" s="104">
        <v>0</v>
      </c>
      <c r="AR187" s="104">
        <v>4.0679611435044478</v>
      </c>
      <c r="AS187" s="104">
        <v>0</v>
      </c>
      <c r="AT187" s="104">
        <v>0</v>
      </c>
      <c r="AU187" s="104">
        <v>0</v>
      </c>
      <c r="AV187" s="104">
        <v>16.067961143504448</v>
      </c>
      <c r="AW187" s="104">
        <v>6.1359222870088956</v>
      </c>
      <c r="AX187" s="104">
        <v>0</v>
      </c>
      <c r="AY187" s="104">
        <v>0</v>
      </c>
    </row>
    <row r="188" spans="1:51">
      <c r="A188" s="125"/>
      <c r="B188" s="126">
        <v>4</v>
      </c>
      <c r="C188" s="104">
        <v>197.35433470082364</v>
      </c>
      <c r="D188" s="104">
        <v>179</v>
      </c>
      <c r="E188" s="104">
        <v>163</v>
      </c>
      <c r="F188" s="104">
        <v>160</v>
      </c>
      <c r="G188" s="104">
        <v>178</v>
      </c>
      <c r="H188" s="104">
        <v>200</v>
      </c>
      <c r="I188" s="104">
        <v>214.93203885649555</v>
      </c>
      <c r="J188" s="104">
        <v>157</v>
      </c>
      <c r="K188" s="104">
        <v>199</v>
      </c>
      <c r="L188" s="104">
        <v>207</v>
      </c>
      <c r="M188" s="104">
        <v>173</v>
      </c>
      <c r="N188" s="104">
        <v>208</v>
      </c>
      <c r="O188" s="104">
        <v>214.93203885649555</v>
      </c>
      <c r="P188" s="104">
        <v>180</v>
      </c>
      <c r="Q188" s="104">
        <v>176</v>
      </c>
      <c r="R188" s="104">
        <v>159</v>
      </c>
      <c r="S188" s="104">
        <v>193</v>
      </c>
      <c r="T188" s="104">
        <v>158</v>
      </c>
      <c r="U188" s="104">
        <v>188</v>
      </c>
      <c r="V188" s="104">
        <v>160</v>
      </c>
      <c r="W188" s="104">
        <v>186</v>
      </c>
      <c r="X188" s="104">
        <v>194</v>
      </c>
      <c r="Y188" s="104">
        <v>162</v>
      </c>
      <c r="Z188" s="104">
        <v>214.93203885649555</v>
      </c>
      <c r="AA188" s="104">
        <v>153</v>
      </c>
      <c r="AB188" s="104">
        <v>171.94563108519645</v>
      </c>
      <c r="AC188" s="104">
        <v>153.89126217039291</v>
      </c>
      <c r="AD188" s="104">
        <v>149.83689325558936</v>
      </c>
      <c r="AE188" s="104">
        <v>145.76893211208491</v>
      </c>
      <c r="AF188" s="104">
        <v>168.70097096858046</v>
      </c>
      <c r="AG188" s="104">
        <v>167.63300982507602</v>
      </c>
      <c r="AH188" s="104">
        <v>180</v>
      </c>
      <c r="AI188" s="104">
        <v>174</v>
      </c>
      <c r="AJ188" s="104">
        <v>214.93203885649555</v>
      </c>
      <c r="AK188" s="104">
        <v>198.8640777129911</v>
      </c>
      <c r="AL188" s="104">
        <v>156</v>
      </c>
      <c r="AM188" s="104">
        <v>162</v>
      </c>
      <c r="AN188" s="104">
        <v>193</v>
      </c>
      <c r="AO188" s="104">
        <v>181</v>
      </c>
      <c r="AP188" s="104">
        <v>214.93203885649555</v>
      </c>
      <c r="AQ188" s="104">
        <v>186</v>
      </c>
      <c r="AR188" s="104">
        <v>214.93203885649555</v>
      </c>
      <c r="AS188" s="104">
        <v>192</v>
      </c>
      <c r="AT188" s="104">
        <v>185</v>
      </c>
      <c r="AU188" s="104">
        <v>202</v>
      </c>
      <c r="AV188" s="104">
        <v>214.93203885649555</v>
      </c>
      <c r="AW188" s="104">
        <v>198.8640777129911</v>
      </c>
      <c r="AX188" s="104">
        <v>206</v>
      </c>
      <c r="AY188" s="104">
        <v>210</v>
      </c>
    </row>
    <row r="189" spans="1:51">
      <c r="A189" s="123" t="s">
        <v>133</v>
      </c>
      <c r="B189" s="120">
        <v>1</v>
      </c>
      <c r="C189" s="121">
        <v>109.22639984896463</v>
      </c>
      <c r="D189" s="121">
        <v>131.1242844603758</v>
      </c>
      <c r="E189" s="121">
        <v>154.07451359522719</v>
      </c>
      <c r="F189" s="121">
        <v>154.07451359522716</v>
      </c>
      <c r="G189" s="121">
        <v>154.07451359522719</v>
      </c>
      <c r="H189" s="121">
        <v>154.07451359522716</v>
      </c>
      <c r="I189" s="121">
        <v>154.07451359522719</v>
      </c>
      <c r="J189" s="121">
        <v>154.07451359522716</v>
      </c>
      <c r="K189" s="121">
        <v>154.07451359522719</v>
      </c>
      <c r="L189" s="121">
        <v>154.07451359522716</v>
      </c>
      <c r="M189" s="121">
        <v>154.07451359522719</v>
      </c>
      <c r="N189" s="121">
        <v>13.658819651627757</v>
      </c>
      <c r="O189" s="121">
        <v>30.584306056400607</v>
      </c>
      <c r="P189" s="121">
        <v>13.658819651627757</v>
      </c>
      <c r="Q189" s="121">
        <v>8.5843060564006066</v>
      </c>
      <c r="R189" s="121">
        <v>13.658819651627757</v>
      </c>
      <c r="S189" s="121">
        <v>77.584306056400607</v>
      </c>
      <c r="T189" s="121">
        <v>98.509792461173419</v>
      </c>
      <c r="U189" s="121">
        <v>134.43527886594626</v>
      </c>
      <c r="V189" s="121">
        <v>13.658819651627757</v>
      </c>
      <c r="W189" s="121">
        <v>35.584306056400607</v>
      </c>
      <c r="X189" s="121">
        <v>97.509792461173419</v>
      </c>
      <c r="Y189" s="121">
        <v>124.43527886594626</v>
      </c>
      <c r="Z189" s="121">
        <v>13.658819651627752</v>
      </c>
      <c r="AA189" s="121">
        <v>0</v>
      </c>
      <c r="AB189" s="121">
        <v>154.07451359522719</v>
      </c>
      <c r="AC189" s="121">
        <v>13.658819651627756</v>
      </c>
      <c r="AD189" s="121">
        <v>125.39920877544601</v>
      </c>
      <c r="AE189" s="121">
        <v>154.07451359522716</v>
      </c>
      <c r="AF189" s="121">
        <v>154.07451359522719</v>
      </c>
      <c r="AG189" s="121">
        <v>13.658819651627757</v>
      </c>
      <c r="AH189" s="121">
        <v>55.584306056400607</v>
      </c>
      <c r="AI189" s="121">
        <v>13.658819651627752</v>
      </c>
      <c r="AJ189" s="121">
        <v>88.584306056400578</v>
      </c>
      <c r="AK189" s="121">
        <v>124.50979246117339</v>
      </c>
      <c r="AL189" s="121">
        <v>154.07451359522719</v>
      </c>
      <c r="AM189" s="121">
        <v>13.658819651627757</v>
      </c>
      <c r="AN189" s="121">
        <v>154.07451359522719</v>
      </c>
      <c r="AO189" s="121">
        <v>42.584306056400607</v>
      </c>
      <c r="AP189" s="121">
        <v>101.50979246117345</v>
      </c>
      <c r="AQ189" s="121">
        <v>13.658819651627752</v>
      </c>
      <c r="AR189" s="121">
        <v>0</v>
      </c>
      <c r="AS189" s="121">
        <v>75.584306056400607</v>
      </c>
      <c r="AT189" s="121">
        <v>76.509792461173419</v>
      </c>
      <c r="AU189" s="121">
        <v>129.43527886594626</v>
      </c>
      <c r="AV189" s="121">
        <v>154.07451359522716</v>
      </c>
      <c r="AW189" s="121">
        <v>154.07451359522719</v>
      </c>
      <c r="AX189" s="121">
        <v>154.07451359522716</v>
      </c>
      <c r="AY189" s="121">
        <v>62.176581577403596</v>
      </c>
    </row>
    <row r="190" spans="1:51">
      <c r="A190" s="107"/>
      <c r="B190" s="116">
        <v>2</v>
      </c>
      <c r="C190" s="104">
        <v>42.773600151035367</v>
      </c>
      <c r="D190" s="104">
        <v>46.875715539624196</v>
      </c>
      <c r="E190" s="104">
        <v>24.977830928213024</v>
      </c>
      <c r="F190" s="104">
        <v>0</v>
      </c>
      <c r="G190" s="104">
        <v>0</v>
      </c>
      <c r="H190" s="104">
        <v>0</v>
      </c>
      <c r="I190" s="104">
        <v>0</v>
      </c>
      <c r="J190" s="104">
        <v>0</v>
      </c>
      <c r="K190" s="104">
        <v>0</v>
      </c>
      <c r="L190" s="104">
        <v>0</v>
      </c>
      <c r="M190" s="104">
        <v>0</v>
      </c>
      <c r="N190" s="104">
        <v>0</v>
      </c>
      <c r="O190" s="104">
        <v>140.41569394359939</v>
      </c>
      <c r="P190" s="104">
        <v>123.49020753882658</v>
      </c>
      <c r="Q190" s="104">
        <v>140.41569394359939</v>
      </c>
      <c r="R190" s="104">
        <v>145.49020753882658</v>
      </c>
      <c r="S190" s="104">
        <v>140.41569394359939</v>
      </c>
      <c r="T190" s="104">
        <v>76.490207538826581</v>
      </c>
      <c r="U190" s="104">
        <v>55.564721134053741</v>
      </c>
      <c r="V190" s="104">
        <v>19.639234729280929</v>
      </c>
      <c r="W190" s="104">
        <v>140.41569394359939</v>
      </c>
      <c r="X190" s="104">
        <v>118.49020753882658</v>
      </c>
      <c r="Y190" s="104">
        <v>56.564721134053741</v>
      </c>
      <c r="Z190" s="104">
        <v>29.639234729280929</v>
      </c>
      <c r="AA190" s="104">
        <v>109.60079122455399</v>
      </c>
      <c r="AB190" s="104">
        <v>0</v>
      </c>
      <c r="AC190" s="104">
        <v>0</v>
      </c>
      <c r="AD190" s="104">
        <v>109.60079122455399</v>
      </c>
      <c r="AE190" s="104">
        <v>28.675304819781175</v>
      </c>
      <c r="AF190" s="104">
        <v>0</v>
      </c>
      <c r="AG190" s="104">
        <v>0</v>
      </c>
      <c r="AH190" s="104">
        <v>140.41569394359939</v>
      </c>
      <c r="AI190" s="104">
        <v>98.490207538826581</v>
      </c>
      <c r="AJ190" s="104">
        <v>140.41569394359942</v>
      </c>
      <c r="AK190" s="104">
        <v>65.49020753882661</v>
      </c>
      <c r="AL190" s="104">
        <v>29.564721134053769</v>
      </c>
      <c r="AM190" s="104">
        <v>0</v>
      </c>
      <c r="AN190" s="104">
        <v>0</v>
      </c>
      <c r="AO190" s="104">
        <v>0</v>
      </c>
      <c r="AP190" s="104">
        <v>111.49020753882655</v>
      </c>
      <c r="AQ190" s="104">
        <v>52.564721134053741</v>
      </c>
      <c r="AR190" s="104">
        <v>5.3290705182007514E-15</v>
      </c>
      <c r="AS190" s="104">
        <v>0</v>
      </c>
      <c r="AT190" s="104">
        <v>78.490207538826581</v>
      </c>
      <c r="AU190" s="104">
        <v>77.564721134053741</v>
      </c>
      <c r="AV190" s="104">
        <v>24.639234729280929</v>
      </c>
      <c r="AW190" s="104">
        <v>0</v>
      </c>
      <c r="AX190" s="104">
        <v>0</v>
      </c>
      <c r="AY190" s="104">
        <v>0</v>
      </c>
    </row>
    <row r="191" spans="1:51">
      <c r="A191" s="107"/>
      <c r="B191" s="117">
        <v>3</v>
      </c>
      <c r="C191" s="104">
        <v>0</v>
      </c>
      <c r="D191" s="104">
        <v>0</v>
      </c>
      <c r="E191" s="104">
        <v>0</v>
      </c>
      <c r="F191" s="104">
        <v>0</v>
      </c>
      <c r="G191" s="104">
        <v>0</v>
      </c>
      <c r="H191" s="104">
        <v>0</v>
      </c>
      <c r="I191" s="104">
        <v>0</v>
      </c>
      <c r="J191" s="104">
        <v>0</v>
      </c>
      <c r="K191" s="104">
        <v>0</v>
      </c>
      <c r="L191" s="104">
        <v>0</v>
      </c>
      <c r="M191" s="104">
        <v>0</v>
      </c>
      <c r="N191" s="104">
        <v>0</v>
      </c>
      <c r="O191" s="104">
        <v>0</v>
      </c>
      <c r="P191" s="104">
        <v>0</v>
      </c>
      <c r="Q191" s="104">
        <v>0</v>
      </c>
      <c r="R191" s="104">
        <v>0</v>
      </c>
      <c r="S191" s="104">
        <v>0</v>
      </c>
      <c r="T191" s="104">
        <v>0</v>
      </c>
      <c r="U191" s="104">
        <v>0</v>
      </c>
      <c r="V191" s="104">
        <v>0</v>
      </c>
      <c r="W191" s="104">
        <v>0</v>
      </c>
      <c r="X191" s="104">
        <v>0</v>
      </c>
      <c r="Y191" s="104">
        <v>0</v>
      </c>
      <c r="Z191" s="104">
        <v>0</v>
      </c>
      <c r="AA191" s="104">
        <v>0</v>
      </c>
      <c r="AB191" s="104">
        <v>0</v>
      </c>
      <c r="AC191" s="104">
        <v>0</v>
      </c>
      <c r="AD191" s="104">
        <v>0</v>
      </c>
      <c r="AE191" s="104">
        <v>0</v>
      </c>
      <c r="AF191" s="104">
        <v>0</v>
      </c>
      <c r="AG191" s="104">
        <v>0</v>
      </c>
      <c r="AH191" s="104">
        <v>0</v>
      </c>
      <c r="AI191" s="104">
        <v>0</v>
      </c>
      <c r="AJ191" s="104">
        <v>0</v>
      </c>
      <c r="AK191" s="104">
        <v>0</v>
      </c>
      <c r="AL191" s="104">
        <v>0</v>
      </c>
      <c r="AM191" s="104">
        <v>0</v>
      </c>
      <c r="AN191" s="104">
        <v>0</v>
      </c>
      <c r="AO191" s="104">
        <v>140.41569394359939</v>
      </c>
      <c r="AP191" s="104">
        <v>0</v>
      </c>
      <c r="AQ191" s="104">
        <v>0</v>
      </c>
      <c r="AR191" s="104">
        <v>0</v>
      </c>
      <c r="AS191" s="104">
        <v>140.41569394359939</v>
      </c>
      <c r="AT191" s="104">
        <v>0</v>
      </c>
      <c r="AU191" s="104">
        <v>0</v>
      </c>
      <c r="AV191" s="104">
        <v>0</v>
      </c>
      <c r="AW191" s="104">
        <v>0</v>
      </c>
      <c r="AX191" s="104">
        <v>0</v>
      </c>
      <c r="AY191" s="104">
        <v>0</v>
      </c>
    </row>
    <row r="192" spans="1:51">
      <c r="A192" s="107"/>
      <c r="B192" s="117">
        <v>4</v>
      </c>
      <c r="C192" s="104">
        <v>0</v>
      </c>
      <c r="D192" s="104">
        <v>0</v>
      </c>
      <c r="E192" s="104">
        <v>0</v>
      </c>
      <c r="F192" s="104">
        <v>0</v>
      </c>
      <c r="G192" s="104">
        <v>0</v>
      </c>
      <c r="H192" s="104">
        <v>0</v>
      </c>
      <c r="I192" s="104">
        <v>0</v>
      </c>
      <c r="J192" s="104">
        <v>0</v>
      </c>
      <c r="K192" s="104">
        <v>0</v>
      </c>
      <c r="L192" s="104">
        <v>0</v>
      </c>
      <c r="M192" s="104">
        <v>0</v>
      </c>
      <c r="N192" s="104">
        <v>0</v>
      </c>
      <c r="O192" s="104">
        <v>0</v>
      </c>
      <c r="P192" s="104">
        <v>0</v>
      </c>
      <c r="Q192" s="104">
        <v>0</v>
      </c>
      <c r="R192" s="104">
        <v>0</v>
      </c>
      <c r="S192" s="104">
        <v>0</v>
      </c>
      <c r="T192" s="104">
        <v>0</v>
      </c>
      <c r="U192" s="104">
        <v>0</v>
      </c>
      <c r="V192" s="104">
        <v>0</v>
      </c>
      <c r="W192" s="104">
        <v>0</v>
      </c>
      <c r="X192" s="104">
        <v>0</v>
      </c>
      <c r="Y192" s="104">
        <v>0</v>
      </c>
      <c r="Z192" s="104">
        <v>0</v>
      </c>
      <c r="AA192" s="104">
        <v>0</v>
      </c>
      <c r="AB192" s="104">
        <v>0</v>
      </c>
      <c r="AC192" s="104">
        <v>0</v>
      </c>
      <c r="AD192" s="104">
        <v>0</v>
      </c>
      <c r="AE192" s="104">
        <v>0</v>
      </c>
      <c r="AF192" s="104">
        <v>0</v>
      </c>
      <c r="AG192" s="104">
        <v>0</v>
      </c>
      <c r="AH192" s="104">
        <v>0</v>
      </c>
      <c r="AI192" s="104">
        <v>0</v>
      </c>
      <c r="AJ192" s="104">
        <v>0</v>
      </c>
      <c r="AK192" s="104">
        <v>0</v>
      </c>
      <c r="AL192" s="104">
        <v>0</v>
      </c>
      <c r="AM192" s="104">
        <v>0</v>
      </c>
      <c r="AN192" s="104">
        <v>0</v>
      </c>
      <c r="AO192" s="104">
        <v>0</v>
      </c>
      <c r="AP192" s="104">
        <v>0</v>
      </c>
      <c r="AQ192" s="104">
        <v>0</v>
      </c>
      <c r="AR192" s="104">
        <v>0</v>
      </c>
      <c r="AS192" s="104">
        <v>0</v>
      </c>
      <c r="AT192" s="104">
        <v>0</v>
      </c>
      <c r="AU192" s="104">
        <v>0</v>
      </c>
      <c r="AV192" s="104">
        <v>0</v>
      </c>
      <c r="AW192" s="104">
        <v>0</v>
      </c>
      <c r="AX192" s="104">
        <v>0</v>
      </c>
      <c r="AY192" s="104">
        <v>0</v>
      </c>
    </row>
    <row r="193" spans="1:51">
      <c r="A193" s="107"/>
      <c r="B193" s="124">
        <v>5</v>
      </c>
      <c r="C193" s="104">
        <v>0</v>
      </c>
      <c r="D193" s="104">
        <v>0</v>
      </c>
      <c r="E193" s="104">
        <v>0</v>
      </c>
      <c r="F193" s="104">
        <v>0</v>
      </c>
      <c r="G193" s="104">
        <v>0</v>
      </c>
      <c r="H193" s="104">
        <v>0</v>
      </c>
      <c r="I193" s="104">
        <v>0</v>
      </c>
      <c r="J193" s="104">
        <v>0</v>
      </c>
      <c r="K193" s="104">
        <v>0</v>
      </c>
      <c r="L193" s="104">
        <v>0</v>
      </c>
      <c r="M193" s="104">
        <v>0</v>
      </c>
      <c r="N193" s="104">
        <v>0</v>
      </c>
      <c r="O193" s="104">
        <v>0</v>
      </c>
      <c r="P193" s="104">
        <v>0</v>
      </c>
      <c r="Q193" s="104">
        <v>0</v>
      </c>
      <c r="R193" s="104">
        <v>0</v>
      </c>
      <c r="S193" s="104">
        <v>0</v>
      </c>
      <c r="T193" s="104">
        <v>0</v>
      </c>
      <c r="U193" s="104">
        <v>0</v>
      </c>
      <c r="V193" s="104">
        <v>0</v>
      </c>
      <c r="W193" s="104">
        <v>0</v>
      </c>
      <c r="X193" s="104">
        <v>0</v>
      </c>
      <c r="Y193" s="104">
        <v>0</v>
      </c>
      <c r="Z193" s="104">
        <v>0</v>
      </c>
      <c r="AA193" s="104">
        <v>0</v>
      </c>
      <c r="AB193" s="104">
        <v>0</v>
      </c>
      <c r="AC193" s="104">
        <v>0</v>
      </c>
      <c r="AD193" s="104">
        <v>0</v>
      </c>
      <c r="AE193" s="104">
        <v>0</v>
      </c>
      <c r="AF193" s="104">
        <v>0</v>
      </c>
      <c r="AG193" s="104">
        <v>0</v>
      </c>
      <c r="AH193" s="104">
        <v>0</v>
      </c>
      <c r="AI193" s="104">
        <v>0</v>
      </c>
      <c r="AJ193" s="104">
        <v>0</v>
      </c>
      <c r="AK193" s="104">
        <v>0</v>
      </c>
      <c r="AL193" s="104">
        <v>0</v>
      </c>
      <c r="AM193" s="104">
        <v>0</v>
      </c>
      <c r="AN193" s="104">
        <v>0</v>
      </c>
      <c r="AO193" s="104">
        <v>0</v>
      </c>
      <c r="AP193" s="104">
        <v>0</v>
      </c>
      <c r="AQ193" s="104">
        <v>0</v>
      </c>
      <c r="AR193" s="104">
        <v>0</v>
      </c>
      <c r="AS193" s="104">
        <v>0</v>
      </c>
      <c r="AT193" s="104">
        <v>0</v>
      </c>
      <c r="AU193" s="104">
        <v>0</v>
      </c>
      <c r="AV193" s="104">
        <v>0</v>
      </c>
      <c r="AW193" s="104">
        <v>0</v>
      </c>
      <c r="AX193" s="104">
        <v>0</v>
      </c>
      <c r="AY193" s="104">
        <v>0</v>
      </c>
    </row>
    <row r="194" spans="1:51">
      <c r="A194" s="107"/>
      <c r="B194" s="124">
        <v>6</v>
      </c>
      <c r="C194" s="104">
        <v>0</v>
      </c>
      <c r="D194" s="104">
        <v>0</v>
      </c>
      <c r="E194" s="104">
        <v>0</v>
      </c>
      <c r="F194" s="104">
        <v>0</v>
      </c>
      <c r="G194" s="104">
        <v>0</v>
      </c>
      <c r="H194" s="104">
        <v>0</v>
      </c>
      <c r="I194" s="104">
        <v>0</v>
      </c>
      <c r="J194" s="104">
        <v>0</v>
      </c>
      <c r="K194" s="104">
        <v>0</v>
      </c>
      <c r="L194" s="104">
        <v>0</v>
      </c>
      <c r="M194" s="104">
        <v>0</v>
      </c>
      <c r="N194" s="104">
        <v>0</v>
      </c>
      <c r="O194" s="104">
        <v>0</v>
      </c>
      <c r="P194" s="104">
        <v>0</v>
      </c>
      <c r="Q194" s="104">
        <v>0</v>
      </c>
      <c r="R194" s="104">
        <v>0</v>
      </c>
      <c r="S194" s="104">
        <v>0</v>
      </c>
      <c r="T194" s="104">
        <v>0</v>
      </c>
      <c r="U194" s="104">
        <v>0</v>
      </c>
      <c r="V194" s="104">
        <v>0</v>
      </c>
      <c r="W194" s="104">
        <v>0</v>
      </c>
      <c r="X194" s="104">
        <v>0</v>
      </c>
      <c r="Y194" s="104">
        <v>0</v>
      </c>
      <c r="Z194" s="104">
        <v>0</v>
      </c>
      <c r="AA194" s="104">
        <v>0</v>
      </c>
      <c r="AB194" s="104">
        <v>0</v>
      </c>
      <c r="AC194" s="104">
        <v>0</v>
      </c>
      <c r="AD194" s="104">
        <v>0</v>
      </c>
      <c r="AE194" s="104">
        <v>0</v>
      </c>
      <c r="AF194" s="104">
        <v>0</v>
      </c>
      <c r="AG194" s="104">
        <v>0</v>
      </c>
      <c r="AH194" s="104">
        <v>0</v>
      </c>
      <c r="AI194" s="104">
        <v>0</v>
      </c>
      <c r="AJ194" s="104">
        <v>0</v>
      </c>
      <c r="AK194" s="104">
        <v>0</v>
      </c>
      <c r="AL194" s="104">
        <v>0</v>
      </c>
      <c r="AM194" s="104">
        <v>0</v>
      </c>
      <c r="AN194" s="104">
        <v>0</v>
      </c>
      <c r="AO194" s="104">
        <v>0</v>
      </c>
      <c r="AP194" s="104">
        <v>0</v>
      </c>
      <c r="AQ194" s="104">
        <v>0</v>
      </c>
      <c r="AR194" s="104">
        <v>0</v>
      </c>
      <c r="AS194" s="104">
        <v>0</v>
      </c>
      <c r="AT194" s="104">
        <v>0</v>
      </c>
      <c r="AU194" s="104">
        <v>0</v>
      </c>
      <c r="AV194" s="104">
        <v>0</v>
      </c>
      <c r="AW194" s="104">
        <v>0</v>
      </c>
      <c r="AX194" s="104">
        <v>0</v>
      </c>
      <c r="AY194" s="104">
        <v>0</v>
      </c>
    </row>
    <row r="195" spans="1:51">
      <c r="A195" s="107"/>
      <c r="B195" s="127">
        <v>7</v>
      </c>
      <c r="C195" s="104">
        <v>0</v>
      </c>
      <c r="D195" s="104">
        <v>0</v>
      </c>
      <c r="E195" s="104">
        <v>0</v>
      </c>
      <c r="F195" s="104">
        <v>0</v>
      </c>
      <c r="G195" s="104">
        <v>0</v>
      </c>
      <c r="H195" s="104">
        <v>0</v>
      </c>
      <c r="I195" s="104">
        <v>0</v>
      </c>
      <c r="J195" s="104">
        <v>0</v>
      </c>
      <c r="K195" s="104">
        <v>0</v>
      </c>
      <c r="L195" s="104">
        <v>0</v>
      </c>
      <c r="M195" s="104">
        <v>0</v>
      </c>
      <c r="N195" s="104">
        <v>0</v>
      </c>
      <c r="O195" s="104">
        <v>0</v>
      </c>
      <c r="P195" s="104">
        <v>0</v>
      </c>
      <c r="Q195" s="104">
        <v>0</v>
      </c>
      <c r="R195" s="104">
        <v>0</v>
      </c>
      <c r="S195" s="104">
        <v>0</v>
      </c>
      <c r="T195" s="104">
        <v>0</v>
      </c>
      <c r="U195" s="104">
        <v>0</v>
      </c>
      <c r="V195" s="104">
        <v>0</v>
      </c>
      <c r="W195" s="104">
        <v>0</v>
      </c>
      <c r="X195" s="104">
        <v>0</v>
      </c>
      <c r="Y195" s="104">
        <v>0</v>
      </c>
      <c r="Z195" s="104">
        <v>0</v>
      </c>
      <c r="AA195" s="104">
        <v>0</v>
      </c>
      <c r="AB195" s="104">
        <v>0</v>
      </c>
      <c r="AC195" s="104">
        <v>0</v>
      </c>
      <c r="AD195" s="104">
        <v>0</v>
      </c>
      <c r="AE195" s="104">
        <v>0</v>
      </c>
      <c r="AF195" s="104">
        <v>0</v>
      </c>
      <c r="AG195" s="104">
        <v>0</v>
      </c>
      <c r="AH195" s="104">
        <v>0</v>
      </c>
      <c r="AI195" s="104">
        <v>0</v>
      </c>
      <c r="AJ195" s="104">
        <v>0</v>
      </c>
      <c r="AK195" s="104">
        <v>0</v>
      </c>
      <c r="AL195" s="104">
        <v>0</v>
      </c>
      <c r="AM195" s="104">
        <v>0</v>
      </c>
      <c r="AN195" s="104">
        <v>0</v>
      </c>
      <c r="AO195" s="104">
        <v>0</v>
      </c>
      <c r="AP195" s="104">
        <v>0</v>
      </c>
      <c r="AQ195" s="104">
        <v>0</v>
      </c>
      <c r="AR195" s="104">
        <v>0</v>
      </c>
      <c r="AS195" s="104">
        <v>0</v>
      </c>
      <c r="AT195" s="104">
        <v>0</v>
      </c>
      <c r="AU195" s="104">
        <v>0</v>
      </c>
      <c r="AV195" s="104">
        <v>0</v>
      </c>
      <c r="AW195" s="104">
        <v>0</v>
      </c>
      <c r="AX195" s="104">
        <v>0</v>
      </c>
      <c r="AY195" s="104">
        <v>0</v>
      </c>
    </row>
    <row r="196" spans="1:51">
      <c r="A196" s="125"/>
      <c r="B196" s="126">
        <v>8</v>
      </c>
      <c r="C196" s="111">
        <v>0</v>
      </c>
      <c r="D196" s="111">
        <v>0</v>
      </c>
      <c r="E196" s="111">
        <v>0</v>
      </c>
      <c r="F196" s="111">
        <v>0</v>
      </c>
      <c r="G196" s="111">
        <v>0</v>
      </c>
      <c r="H196" s="111">
        <v>0</v>
      </c>
      <c r="I196" s="111">
        <v>0</v>
      </c>
      <c r="J196" s="111">
        <v>0</v>
      </c>
      <c r="K196" s="111">
        <v>0</v>
      </c>
      <c r="L196" s="111">
        <v>0</v>
      </c>
      <c r="M196" s="111">
        <v>0</v>
      </c>
      <c r="N196" s="111">
        <v>0</v>
      </c>
      <c r="O196" s="111">
        <v>0</v>
      </c>
      <c r="P196" s="111">
        <v>0</v>
      </c>
      <c r="Q196" s="111">
        <v>0</v>
      </c>
      <c r="R196" s="111">
        <v>0</v>
      </c>
      <c r="S196" s="111">
        <v>0</v>
      </c>
      <c r="T196" s="111">
        <v>0</v>
      </c>
      <c r="U196" s="111">
        <v>0</v>
      </c>
      <c r="V196" s="111">
        <v>0</v>
      </c>
      <c r="W196" s="111">
        <v>0</v>
      </c>
      <c r="X196" s="111">
        <v>0</v>
      </c>
      <c r="Y196" s="111">
        <v>0</v>
      </c>
      <c r="Z196" s="111">
        <v>0</v>
      </c>
      <c r="AA196" s="111">
        <v>0</v>
      </c>
      <c r="AB196" s="111">
        <v>0</v>
      </c>
      <c r="AC196" s="111">
        <v>0</v>
      </c>
      <c r="AD196" s="111">
        <v>0</v>
      </c>
      <c r="AE196" s="111">
        <v>0</v>
      </c>
      <c r="AF196" s="111">
        <v>0</v>
      </c>
      <c r="AG196" s="111">
        <v>0</v>
      </c>
      <c r="AH196" s="111">
        <v>0</v>
      </c>
      <c r="AI196" s="111">
        <v>0</v>
      </c>
      <c r="AJ196" s="111">
        <v>0</v>
      </c>
      <c r="AK196" s="111">
        <v>0</v>
      </c>
      <c r="AL196" s="111">
        <v>0</v>
      </c>
      <c r="AM196" s="111">
        <v>0</v>
      </c>
      <c r="AN196" s="111">
        <v>0</v>
      </c>
      <c r="AO196" s="111">
        <v>0</v>
      </c>
      <c r="AP196" s="111">
        <v>0</v>
      </c>
      <c r="AQ196" s="111">
        <v>0</v>
      </c>
      <c r="AR196" s="111">
        <v>0</v>
      </c>
      <c r="AS196" s="111">
        <v>0</v>
      </c>
      <c r="AT196" s="111">
        <v>0</v>
      </c>
      <c r="AU196" s="111">
        <v>0</v>
      </c>
      <c r="AV196" s="111">
        <v>0</v>
      </c>
      <c r="AW196" s="111">
        <v>0</v>
      </c>
      <c r="AX196" s="111">
        <v>0</v>
      </c>
      <c r="AY196" s="111">
        <v>0</v>
      </c>
    </row>
    <row r="197" spans="1:51">
      <c r="A197" s="128" t="s">
        <v>134</v>
      </c>
      <c r="B197" s="116">
        <v>1</v>
      </c>
      <c r="C197" s="104">
        <v>107.15964663279978</v>
      </c>
      <c r="D197" s="104">
        <v>94.691233942891799</v>
      </c>
      <c r="E197" s="104">
        <v>95.969237696917276</v>
      </c>
      <c r="F197" s="104">
        <v>93.671584280728084</v>
      </c>
      <c r="G197" s="104">
        <v>93.671584280728098</v>
      </c>
      <c r="H197" s="104">
        <v>93.671584280728084</v>
      </c>
      <c r="I197" s="104">
        <v>93.671584280728098</v>
      </c>
      <c r="J197" s="104">
        <v>93.671584280728084</v>
      </c>
      <c r="K197" s="104">
        <v>93.671584280728098</v>
      </c>
      <c r="L197" s="104">
        <v>93.671584280728084</v>
      </c>
      <c r="M197" s="104">
        <v>93.671584280728098</v>
      </c>
      <c r="N197" s="104">
        <v>93.671584280728084</v>
      </c>
      <c r="O197" s="104">
        <v>24.990220037469296</v>
      </c>
      <c r="P197" s="104">
        <v>154.51268120503272</v>
      </c>
      <c r="Q197" s="104">
        <v>34.65902301709491</v>
      </c>
      <c r="R197" s="104">
        <v>162.35294852398687</v>
      </c>
      <c r="S197" s="104">
        <v>32.76075477756639</v>
      </c>
      <c r="T197" s="104">
        <v>154</v>
      </c>
      <c r="U197" s="104">
        <v>92.647051476013132</v>
      </c>
      <c r="V197" s="104">
        <v>93.671584280728084</v>
      </c>
      <c r="W197" s="104">
        <v>24.990220037469296</v>
      </c>
      <c r="X197" s="104">
        <v>140</v>
      </c>
      <c r="Y197" s="104">
        <v>120.25735496493638</v>
      </c>
      <c r="Z197" s="104">
        <v>99.348619716972635</v>
      </c>
      <c r="AA197" s="104">
        <v>24.990220037469296</v>
      </c>
      <c r="AB197" s="104">
        <v>71.918204443993645</v>
      </c>
      <c r="AC197" s="104">
        <v>93.671584280728084</v>
      </c>
      <c r="AD197" s="104">
        <v>24.990220037469296</v>
      </c>
      <c r="AE197" s="104">
        <v>147.28049117732135</v>
      </c>
      <c r="AF197" s="104">
        <v>93.671584280728098</v>
      </c>
      <c r="AG197" s="104">
        <v>93.671584280728084</v>
      </c>
      <c r="AH197" s="104">
        <v>24.990220037469296</v>
      </c>
      <c r="AI197" s="104">
        <v>137.16839441791393</v>
      </c>
      <c r="AJ197" s="104">
        <v>36.493575679920568</v>
      </c>
      <c r="AK197" s="104">
        <v>119</v>
      </c>
      <c r="AL197" s="104">
        <v>116.81235079564311</v>
      </c>
      <c r="AM197" s="104">
        <v>113.66565594182273</v>
      </c>
      <c r="AN197" s="104">
        <v>24.990220037469296</v>
      </c>
      <c r="AO197" s="104">
        <v>93.671584280728084</v>
      </c>
      <c r="AP197" s="104">
        <v>162.35294852398692</v>
      </c>
      <c r="AQ197" s="104">
        <v>113.35109827549317</v>
      </c>
      <c r="AR197" s="104">
        <v>24.990220037469296</v>
      </c>
      <c r="AS197" s="104">
        <v>18.30929754740038</v>
      </c>
      <c r="AT197" s="104">
        <v>130</v>
      </c>
      <c r="AU197" s="104">
        <v>124.10228017838824</v>
      </c>
      <c r="AV197" s="104">
        <v>95.080152608339702</v>
      </c>
      <c r="AW197" s="104">
        <v>93.671584280728098</v>
      </c>
      <c r="AX197" s="104">
        <v>93.671584280728084</v>
      </c>
      <c r="AY197" s="104">
        <v>93.671584280728098</v>
      </c>
    </row>
    <row r="198" spans="1:51">
      <c r="A198" s="107"/>
      <c r="B198" s="116">
        <v>2</v>
      </c>
      <c r="C198" s="104">
        <v>0</v>
      </c>
      <c r="D198" s="104">
        <v>0</v>
      </c>
      <c r="E198" s="104">
        <v>0</v>
      </c>
      <c r="F198" s="104">
        <v>0</v>
      </c>
      <c r="G198" s="104">
        <v>0</v>
      </c>
      <c r="H198" s="104">
        <v>0</v>
      </c>
      <c r="I198" s="104">
        <v>0</v>
      </c>
      <c r="J198" s="104">
        <v>0</v>
      </c>
      <c r="K198" s="104">
        <v>0</v>
      </c>
      <c r="L198" s="104">
        <v>0</v>
      </c>
      <c r="M198" s="104">
        <v>0</v>
      </c>
      <c r="N198" s="104">
        <v>0</v>
      </c>
      <c r="O198" s="104">
        <v>0</v>
      </c>
      <c r="P198" s="104">
        <v>0</v>
      </c>
      <c r="Q198" s="104">
        <v>7.8402673189541474</v>
      </c>
      <c r="R198" s="104">
        <v>0</v>
      </c>
      <c r="S198" s="104">
        <v>0</v>
      </c>
      <c r="T198" s="104">
        <v>0</v>
      </c>
      <c r="U198" s="104">
        <v>8.3529485239868677</v>
      </c>
      <c r="V198" s="104">
        <v>28.132657725276246</v>
      </c>
      <c r="W198" s="104">
        <v>0</v>
      </c>
      <c r="X198" s="104">
        <v>0</v>
      </c>
      <c r="Y198" s="104">
        <v>22.352948523986868</v>
      </c>
      <c r="Z198" s="104">
        <v>0</v>
      </c>
      <c r="AA198" s="104">
        <v>0</v>
      </c>
      <c r="AB198" s="104">
        <v>0</v>
      </c>
      <c r="AC198" s="104">
        <v>0</v>
      </c>
      <c r="AD198" s="104">
        <v>0</v>
      </c>
      <c r="AE198" s="104">
        <v>0</v>
      </c>
      <c r="AF198" s="104">
        <v>0</v>
      </c>
      <c r="AG198" s="104">
        <v>0</v>
      </c>
      <c r="AH198" s="104">
        <v>0</v>
      </c>
      <c r="AI198" s="104">
        <v>0</v>
      </c>
      <c r="AJ198" s="104">
        <v>25.184554106072937</v>
      </c>
      <c r="AK198" s="104">
        <v>0</v>
      </c>
      <c r="AL198" s="104">
        <v>43.352948523986868</v>
      </c>
      <c r="AM198" s="104">
        <v>1.4210854715202004E-14</v>
      </c>
      <c r="AN198" s="104">
        <v>0</v>
      </c>
      <c r="AO198" s="104">
        <v>0</v>
      </c>
      <c r="AP198" s="104">
        <v>0</v>
      </c>
      <c r="AQ198" s="104">
        <v>0</v>
      </c>
      <c r="AR198" s="104">
        <v>0</v>
      </c>
      <c r="AS198" s="104">
        <v>0</v>
      </c>
      <c r="AT198" s="104">
        <v>0</v>
      </c>
      <c r="AU198" s="104">
        <v>32.352948523986868</v>
      </c>
      <c r="AV198" s="104">
        <v>0</v>
      </c>
      <c r="AW198" s="104">
        <v>0</v>
      </c>
      <c r="AX198" s="104">
        <v>0</v>
      </c>
      <c r="AY198" s="104">
        <v>0</v>
      </c>
    </row>
    <row r="199" spans="1:51">
      <c r="A199" s="107"/>
      <c r="B199" s="116">
        <v>3</v>
      </c>
      <c r="C199" s="104">
        <v>0</v>
      </c>
      <c r="D199" s="104">
        <v>0</v>
      </c>
      <c r="E199" s="104">
        <v>0</v>
      </c>
      <c r="F199" s="104">
        <v>0</v>
      </c>
      <c r="G199" s="104">
        <v>0</v>
      </c>
      <c r="H199" s="104">
        <v>0</v>
      </c>
      <c r="I199" s="104">
        <v>0</v>
      </c>
      <c r="J199" s="104">
        <v>0</v>
      </c>
      <c r="K199" s="104">
        <v>0</v>
      </c>
      <c r="L199" s="104">
        <v>0</v>
      </c>
      <c r="M199" s="104">
        <v>0</v>
      </c>
      <c r="N199" s="104">
        <v>0</v>
      </c>
      <c r="O199" s="104">
        <v>0</v>
      </c>
      <c r="P199" s="104">
        <v>0</v>
      </c>
      <c r="Q199" s="104">
        <v>0</v>
      </c>
      <c r="R199" s="104">
        <v>0</v>
      </c>
      <c r="S199" s="104">
        <v>0</v>
      </c>
      <c r="T199" s="104">
        <v>0</v>
      </c>
      <c r="U199" s="104">
        <v>0</v>
      </c>
      <c r="V199" s="104">
        <v>0</v>
      </c>
      <c r="W199" s="104">
        <v>0</v>
      </c>
      <c r="X199" s="104">
        <v>0</v>
      </c>
      <c r="Y199" s="104">
        <v>0</v>
      </c>
      <c r="Z199" s="104">
        <v>0</v>
      </c>
      <c r="AA199" s="104">
        <v>0</v>
      </c>
      <c r="AB199" s="104">
        <v>0</v>
      </c>
      <c r="AC199" s="104">
        <v>0</v>
      </c>
      <c r="AD199" s="104">
        <v>0</v>
      </c>
      <c r="AE199" s="104">
        <v>0</v>
      </c>
      <c r="AF199" s="104">
        <v>0</v>
      </c>
      <c r="AG199" s="104">
        <v>0</v>
      </c>
      <c r="AH199" s="104">
        <v>0</v>
      </c>
      <c r="AI199" s="104">
        <v>0</v>
      </c>
      <c r="AJ199" s="104">
        <v>0</v>
      </c>
      <c r="AK199" s="104">
        <v>0</v>
      </c>
      <c r="AL199" s="104">
        <v>0</v>
      </c>
      <c r="AM199" s="104">
        <v>0</v>
      </c>
      <c r="AN199" s="104">
        <v>0</v>
      </c>
      <c r="AO199" s="104">
        <v>0</v>
      </c>
      <c r="AP199" s="104">
        <v>0</v>
      </c>
      <c r="AQ199" s="104">
        <v>0</v>
      </c>
      <c r="AR199" s="104">
        <v>0</v>
      </c>
      <c r="AS199" s="104">
        <v>0</v>
      </c>
      <c r="AT199" s="104">
        <v>0</v>
      </c>
      <c r="AU199" s="104">
        <v>0</v>
      </c>
      <c r="AV199" s="104">
        <v>0</v>
      </c>
      <c r="AW199" s="104">
        <v>0</v>
      </c>
      <c r="AX199" s="104">
        <v>0</v>
      </c>
      <c r="AY199" s="104">
        <v>0</v>
      </c>
    </row>
    <row r="200" spans="1:51">
      <c r="A200" s="107"/>
      <c r="B200" s="117">
        <v>4</v>
      </c>
      <c r="C200" s="104">
        <v>0</v>
      </c>
      <c r="D200" s="104">
        <v>0</v>
      </c>
      <c r="E200" s="104">
        <v>0</v>
      </c>
      <c r="F200" s="104">
        <v>0</v>
      </c>
      <c r="G200" s="104">
        <v>0</v>
      </c>
      <c r="H200" s="104">
        <v>0</v>
      </c>
      <c r="I200" s="104">
        <v>0</v>
      </c>
      <c r="J200" s="104">
        <v>0</v>
      </c>
      <c r="K200" s="104">
        <v>0</v>
      </c>
      <c r="L200" s="104">
        <v>0</v>
      </c>
      <c r="M200" s="104">
        <v>0</v>
      </c>
      <c r="N200" s="104">
        <v>0</v>
      </c>
      <c r="O200" s="104">
        <v>0</v>
      </c>
      <c r="P200" s="104">
        <v>0</v>
      </c>
      <c r="Q200" s="104">
        <v>0</v>
      </c>
      <c r="R200" s="104">
        <v>0</v>
      </c>
      <c r="S200" s="104">
        <v>0</v>
      </c>
      <c r="T200" s="104">
        <v>0</v>
      </c>
      <c r="U200" s="104">
        <v>0</v>
      </c>
      <c r="V200" s="104">
        <v>0</v>
      </c>
      <c r="W200" s="104">
        <v>0</v>
      </c>
      <c r="X200" s="104">
        <v>0</v>
      </c>
      <c r="Y200" s="104">
        <v>0</v>
      </c>
      <c r="Z200" s="104">
        <v>0</v>
      </c>
      <c r="AA200" s="104">
        <v>0</v>
      </c>
      <c r="AB200" s="104">
        <v>0</v>
      </c>
      <c r="AC200" s="104">
        <v>0</v>
      </c>
      <c r="AD200" s="104">
        <v>0</v>
      </c>
      <c r="AE200" s="104">
        <v>0</v>
      </c>
      <c r="AF200" s="104">
        <v>0</v>
      </c>
      <c r="AG200" s="104">
        <v>0</v>
      </c>
      <c r="AH200" s="104">
        <v>0</v>
      </c>
      <c r="AI200" s="104">
        <v>0</v>
      </c>
      <c r="AJ200" s="104">
        <v>0</v>
      </c>
      <c r="AK200" s="104">
        <v>0</v>
      </c>
      <c r="AL200" s="104">
        <v>0</v>
      </c>
      <c r="AM200" s="104">
        <v>0</v>
      </c>
      <c r="AN200" s="104">
        <v>0</v>
      </c>
      <c r="AO200" s="104">
        <v>0</v>
      </c>
      <c r="AP200" s="104">
        <v>0</v>
      </c>
      <c r="AQ200" s="104">
        <v>0</v>
      </c>
      <c r="AR200" s="104">
        <v>0</v>
      </c>
      <c r="AS200" s="104">
        <v>0</v>
      </c>
      <c r="AT200" s="104">
        <v>0</v>
      </c>
      <c r="AU200" s="104">
        <v>0</v>
      </c>
      <c r="AV200" s="104">
        <v>0</v>
      </c>
      <c r="AW200" s="104">
        <v>0</v>
      </c>
      <c r="AX200" s="104">
        <v>0</v>
      </c>
      <c r="AY200" s="104">
        <v>0</v>
      </c>
    </row>
    <row r="201" spans="1:51">
      <c r="A201" s="107"/>
      <c r="B201" s="117">
        <v>5</v>
      </c>
      <c r="C201" s="104">
        <v>0</v>
      </c>
      <c r="D201" s="104">
        <v>0</v>
      </c>
      <c r="E201" s="104">
        <v>0</v>
      </c>
      <c r="F201" s="104">
        <v>0</v>
      </c>
      <c r="G201" s="104">
        <v>0</v>
      </c>
      <c r="H201" s="104">
        <v>0</v>
      </c>
      <c r="I201" s="104">
        <v>0</v>
      </c>
      <c r="J201" s="104">
        <v>0</v>
      </c>
      <c r="K201" s="104">
        <v>0</v>
      </c>
      <c r="L201" s="104">
        <v>0</v>
      </c>
      <c r="M201" s="104">
        <v>0</v>
      </c>
      <c r="N201" s="104">
        <v>0</v>
      </c>
      <c r="O201" s="104">
        <v>0</v>
      </c>
      <c r="P201" s="104">
        <v>0</v>
      </c>
      <c r="Q201" s="104">
        <v>0</v>
      </c>
      <c r="R201" s="104">
        <v>0</v>
      </c>
      <c r="S201" s="104">
        <v>0</v>
      </c>
      <c r="T201" s="104">
        <v>0</v>
      </c>
      <c r="U201" s="104">
        <v>0</v>
      </c>
      <c r="V201" s="104">
        <v>0</v>
      </c>
      <c r="W201" s="104">
        <v>0</v>
      </c>
      <c r="X201" s="104">
        <v>0</v>
      </c>
      <c r="Y201" s="104">
        <v>0</v>
      </c>
      <c r="Z201" s="104">
        <v>0</v>
      </c>
      <c r="AA201" s="104">
        <v>0</v>
      </c>
      <c r="AB201" s="104">
        <v>0</v>
      </c>
      <c r="AC201" s="104">
        <v>0</v>
      </c>
      <c r="AD201" s="104">
        <v>0</v>
      </c>
      <c r="AE201" s="104">
        <v>0</v>
      </c>
      <c r="AF201" s="104">
        <v>0</v>
      </c>
      <c r="AG201" s="104">
        <v>0</v>
      </c>
      <c r="AH201" s="104">
        <v>0</v>
      </c>
      <c r="AI201" s="104">
        <v>0</v>
      </c>
      <c r="AJ201" s="104">
        <v>0</v>
      </c>
      <c r="AK201" s="104">
        <v>0</v>
      </c>
      <c r="AL201" s="104">
        <v>0</v>
      </c>
      <c r="AM201" s="104">
        <v>0</v>
      </c>
      <c r="AN201" s="104">
        <v>0</v>
      </c>
      <c r="AO201" s="104">
        <v>0</v>
      </c>
      <c r="AP201" s="104">
        <v>0</v>
      </c>
      <c r="AQ201" s="104">
        <v>0</v>
      </c>
      <c r="AR201" s="104">
        <v>0</v>
      </c>
      <c r="AS201" s="104">
        <v>0</v>
      </c>
      <c r="AT201" s="104">
        <v>0</v>
      </c>
      <c r="AU201" s="104">
        <v>0</v>
      </c>
      <c r="AV201" s="104">
        <v>0</v>
      </c>
      <c r="AW201" s="104">
        <v>0</v>
      </c>
      <c r="AX201" s="104">
        <v>0</v>
      </c>
      <c r="AY201" s="104">
        <v>0</v>
      </c>
    </row>
    <row r="202" spans="1:51">
      <c r="A202" s="107"/>
      <c r="B202" s="117">
        <v>6</v>
      </c>
      <c r="C202" s="104">
        <v>0</v>
      </c>
      <c r="D202" s="104">
        <v>0</v>
      </c>
      <c r="E202" s="104">
        <v>0</v>
      </c>
      <c r="F202" s="104">
        <v>0</v>
      </c>
      <c r="G202" s="104">
        <v>0</v>
      </c>
      <c r="H202" s="104">
        <v>0</v>
      </c>
      <c r="I202" s="104">
        <v>0</v>
      </c>
      <c r="J202" s="104">
        <v>0</v>
      </c>
      <c r="K202" s="104">
        <v>0</v>
      </c>
      <c r="L202" s="104">
        <v>0</v>
      </c>
      <c r="M202" s="104">
        <v>0</v>
      </c>
      <c r="N202" s="104">
        <v>0</v>
      </c>
      <c r="O202" s="104">
        <v>0</v>
      </c>
      <c r="P202" s="104">
        <v>0</v>
      </c>
      <c r="Q202" s="104">
        <v>0</v>
      </c>
      <c r="R202" s="104">
        <v>0</v>
      </c>
      <c r="S202" s="104">
        <v>0</v>
      </c>
      <c r="T202" s="104">
        <v>0</v>
      </c>
      <c r="U202" s="104">
        <v>0</v>
      </c>
      <c r="V202" s="104">
        <v>0</v>
      </c>
      <c r="W202" s="104">
        <v>0</v>
      </c>
      <c r="X202" s="104">
        <v>0</v>
      </c>
      <c r="Y202" s="104">
        <v>0</v>
      </c>
      <c r="Z202" s="104">
        <v>0</v>
      </c>
      <c r="AA202" s="104">
        <v>0</v>
      </c>
      <c r="AB202" s="104">
        <v>0</v>
      </c>
      <c r="AC202" s="104">
        <v>0</v>
      </c>
      <c r="AD202" s="104">
        <v>0</v>
      </c>
      <c r="AE202" s="104">
        <v>0</v>
      </c>
      <c r="AF202" s="104">
        <v>0</v>
      </c>
      <c r="AG202" s="104">
        <v>0</v>
      </c>
      <c r="AH202" s="104">
        <v>0</v>
      </c>
      <c r="AI202" s="104">
        <v>0</v>
      </c>
      <c r="AJ202" s="104">
        <v>0</v>
      </c>
      <c r="AK202" s="104">
        <v>0</v>
      </c>
      <c r="AL202" s="104">
        <v>0</v>
      </c>
      <c r="AM202" s="104">
        <v>0</v>
      </c>
      <c r="AN202" s="104">
        <v>0</v>
      </c>
      <c r="AO202" s="104">
        <v>0</v>
      </c>
      <c r="AP202" s="104">
        <v>0</v>
      </c>
      <c r="AQ202" s="104">
        <v>0</v>
      </c>
      <c r="AR202" s="104">
        <v>0</v>
      </c>
      <c r="AS202" s="104">
        <v>0</v>
      </c>
      <c r="AT202" s="104">
        <v>0</v>
      </c>
      <c r="AU202" s="104">
        <v>0</v>
      </c>
      <c r="AV202" s="104">
        <v>0</v>
      </c>
      <c r="AW202" s="104">
        <v>0</v>
      </c>
      <c r="AX202" s="104">
        <v>0</v>
      </c>
      <c r="AY202" s="104">
        <v>0</v>
      </c>
    </row>
    <row r="203" spans="1:51">
      <c r="A203" s="107"/>
      <c r="B203" s="124">
        <v>7</v>
      </c>
      <c r="C203" s="104">
        <v>0</v>
      </c>
      <c r="D203" s="104">
        <v>0</v>
      </c>
      <c r="E203" s="104">
        <v>0</v>
      </c>
      <c r="F203" s="104">
        <v>0</v>
      </c>
      <c r="G203" s="104">
        <v>0</v>
      </c>
      <c r="H203" s="104">
        <v>0</v>
      </c>
      <c r="I203" s="104">
        <v>0</v>
      </c>
      <c r="J203" s="104">
        <v>0</v>
      </c>
      <c r="K203" s="104">
        <v>0</v>
      </c>
      <c r="L203" s="104">
        <v>0</v>
      </c>
      <c r="M203" s="104">
        <v>0</v>
      </c>
      <c r="N203" s="104">
        <v>0</v>
      </c>
      <c r="O203" s="104">
        <v>0</v>
      </c>
      <c r="P203" s="104">
        <v>0</v>
      </c>
      <c r="Q203" s="104">
        <v>0</v>
      </c>
      <c r="R203" s="104">
        <v>0</v>
      </c>
      <c r="S203" s="104">
        <v>0</v>
      </c>
      <c r="T203" s="104">
        <v>0</v>
      </c>
      <c r="U203" s="104">
        <v>0</v>
      </c>
      <c r="V203" s="104">
        <v>0</v>
      </c>
      <c r="W203" s="104">
        <v>0</v>
      </c>
      <c r="X203" s="104">
        <v>0</v>
      </c>
      <c r="Y203" s="104">
        <v>0</v>
      </c>
      <c r="Z203" s="104">
        <v>0</v>
      </c>
      <c r="AA203" s="104">
        <v>0</v>
      </c>
      <c r="AB203" s="104">
        <v>0</v>
      </c>
      <c r="AC203" s="104">
        <v>0</v>
      </c>
      <c r="AD203" s="104">
        <v>0</v>
      </c>
      <c r="AE203" s="104">
        <v>0</v>
      </c>
      <c r="AF203" s="104">
        <v>0</v>
      </c>
      <c r="AG203" s="104">
        <v>0</v>
      </c>
      <c r="AH203" s="104">
        <v>0</v>
      </c>
      <c r="AI203" s="104">
        <v>0</v>
      </c>
      <c r="AJ203" s="104">
        <v>0</v>
      </c>
      <c r="AK203" s="104">
        <v>0</v>
      </c>
      <c r="AL203" s="104">
        <v>0</v>
      </c>
      <c r="AM203" s="104">
        <v>0</v>
      </c>
      <c r="AN203" s="104">
        <v>0</v>
      </c>
      <c r="AO203" s="104">
        <v>0</v>
      </c>
      <c r="AP203" s="104">
        <v>0</v>
      </c>
      <c r="AQ203" s="104">
        <v>0</v>
      </c>
      <c r="AR203" s="104">
        <v>0</v>
      </c>
      <c r="AS203" s="104">
        <v>0</v>
      </c>
      <c r="AT203" s="104">
        <v>0</v>
      </c>
      <c r="AU203" s="104">
        <v>0</v>
      </c>
      <c r="AV203" s="104">
        <v>0</v>
      </c>
      <c r="AW203" s="104">
        <v>0</v>
      </c>
      <c r="AX203" s="104">
        <v>0</v>
      </c>
      <c r="AY203" s="104">
        <v>0</v>
      </c>
    </row>
    <row r="204" spans="1:51">
      <c r="A204" s="107"/>
      <c r="B204" s="124">
        <v>8</v>
      </c>
      <c r="C204" s="104">
        <v>0</v>
      </c>
      <c r="D204" s="104">
        <v>0</v>
      </c>
      <c r="E204" s="104">
        <v>0</v>
      </c>
      <c r="F204" s="104">
        <v>0</v>
      </c>
      <c r="G204" s="104">
        <v>0</v>
      </c>
      <c r="H204" s="104">
        <v>0</v>
      </c>
      <c r="I204" s="104">
        <v>0</v>
      </c>
      <c r="J204" s="104">
        <v>0</v>
      </c>
      <c r="K204" s="104">
        <v>0</v>
      </c>
      <c r="L204" s="104">
        <v>0</v>
      </c>
      <c r="M204" s="104">
        <v>0</v>
      </c>
      <c r="N204" s="104">
        <v>0</v>
      </c>
      <c r="O204" s="104">
        <v>0</v>
      </c>
      <c r="P204" s="104">
        <v>0</v>
      </c>
      <c r="Q204" s="104">
        <v>0</v>
      </c>
      <c r="R204" s="104">
        <v>0</v>
      </c>
      <c r="S204" s="104">
        <v>0</v>
      </c>
      <c r="T204" s="104">
        <v>0</v>
      </c>
      <c r="U204" s="104">
        <v>0</v>
      </c>
      <c r="V204" s="104">
        <v>0</v>
      </c>
      <c r="W204" s="104">
        <v>0</v>
      </c>
      <c r="X204" s="104">
        <v>0</v>
      </c>
      <c r="Y204" s="104">
        <v>0</v>
      </c>
      <c r="Z204" s="104">
        <v>0</v>
      </c>
      <c r="AA204" s="104">
        <v>0</v>
      </c>
      <c r="AB204" s="104">
        <v>0</v>
      </c>
      <c r="AC204" s="104">
        <v>0</v>
      </c>
      <c r="AD204" s="104">
        <v>0</v>
      </c>
      <c r="AE204" s="104">
        <v>0</v>
      </c>
      <c r="AF204" s="104">
        <v>0</v>
      </c>
      <c r="AG204" s="104">
        <v>0</v>
      </c>
      <c r="AH204" s="104">
        <v>0</v>
      </c>
      <c r="AI204" s="104">
        <v>0</v>
      </c>
      <c r="AJ204" s="104">
        <v>0</v>
      </c>
      <c r="AK204" s="104">
        <v>0</v>
      </c>
      <c r="AL204" s="104">
        <v>0</v>
      </c>
      <c r="AM204" s="104">
        <v>0</v>
      </c>
      <c r="AN204" s="104">
        <v>0</v>
      </c>
      <c r="AO204" s="104">
        <v>0</v>
      </c>
      <c r="AP204" s="104">
        <v>0</v>
      </c>
      <c r="AQ204" s="104">
        <v>0</v>
      </c>
      <c r="AR204" s="104">
        <v>0</v>
      </c>
      <c r="AS204" s="104">
        <v>0</v>
      </c>
      <c r="AT204" s="104">
        <v>0</v>
      </c>
      <c r="AU204" s="104">
        <v>0</v>
      </c>
      <c r="AV204" s="104">
        <v>0</v>
      </c>
      <c r="AW204" s="104">
        <v>0</v>
      </c>
      <c r="AX204" s="104">
        <v>0</v>
      </c>
      <c r="AY204" s="104">
        <v>0</v>
      </c>
    </row>
    <row r="205" spans="1:51">
      <c r="A205" s="107"/>
      <c r="B205" s="124">
        <v>9</v>
      </c>
      <c r="C205" s="104">
        <v>0</v>
      </c>
      <c r="D205" s="104">
        <v>0</v>
      </c>
      <c r="E205" s="104">
        <v>0</v>
      </c>
      <c r="F205" s="104">
        <v>0</v>
      </c>
      <c r="G205" s="104">
        <v>0</v>
      </c>
      <c r="H205" s="104">
        <v>0</v>
      </c>
      <c r="I205" s="104">
        <v>0</v>
      </c>
      <c r="J205" s="104">
        <v>0</v>
      </c>
      <c r="K205" s="104">
        <v>0</v>
      </c>
      <c r="L205" s="104">
        <v>0</v>
      </c>
      <c r="M205" s="104">
        <v>0</v>
      </c>
      <c r="N205" s="104">
        <v>0</v>
      </c>
      <c r="O205" s="104">
        <v>0</v>
      </c>
      <c r="P205" s="104">
        <v>0</v>
      </c>
      <c r="Q205" s="104">
        <v>0</v>
      </c>
      <c r="R205" s="104">
        <v>0</v>
      </c>
      <c r="S205" s="104">
        <v>0</v>
      </c>
      <c r="T205" s="104">
        <v>0</v>
      </c>
      <c r="U205" s="104">
        <v>0</v>
      </c>
      <c r="V205" s="104">
        <v>0</v>
      </c>
      <c r="W205" s="104">
        <v>0</v>
      </c>
      <c r="X205" s="104">
        <v>0</v>
      </c>
      <c r="Y205" s="104">
        <v>0</v>
      </c>
      <c r="Z205" s="104">
        <v>0</v>
      </c>
      <c r="AA205" s="104">
        <v>0</v>
      </c>
      <c r="AB205" s="104">
        <v>0</v>
      </c>
      <c r="AC205" s="104">
        <v>0</v>
      </c>
      <c r="AD205" s="104">
        <v>0</v>
      </c>
      <c r="AE205" s="104">
        <v>0</v>
      </c>
      <c r="AF205" s="104">
        <v>0</v>
      </c>
      <c r="AG205" s="104">
        <v>0</v>
      </c>
      <c r="AH205" s="104">
        <v>0</v>
      </c>
      <c r="AI205" s="104">
        <v>0</v>
      </c>
      <c r="AJ205" s="104">
        <v>0</v>
      </c>
      <c r="AK205" s="104">
        <v>0</v>
      </c>
      <c r="AL205" s="104">
        <v>0</v>
      </c>
      <c r="AM205" s="104">
        <v>0</v>
      </c>
      <c r="AN205" s="104">
        <v>0</v>
      </c>
      <c r="AO205" s="104">
        <v>0</v>
      </c>
      <c r="AP205" s="104">
        <v>0</v>
      </c>
      <c r="AQ205" s="104">
        <v>0</v>
      </c>
      <c r="AR205" s="104">
        <v>0</v>
      </c>
      <c r="AS205" s="104">
        <v>0</v>
      </c>
      <c r="AT205" s="104">
        <v>0</v>
      </c>
      <c r="AU205" s="104">
        <v>0</v>
      </c>
      <c r="AV205" s="104">
        <v>0</v>
      </c>
      <c r="AW205" s="104">
        <v>0</v>
      </c>
      <c r="AX205" s="104">
        <v>0</v>
      </c>
      <c r="AY205" s="104">
        <v>0</v>
      </c>
    </row>
    <row r="206" spans="1:51">
      <c r="A206" s="107"/>
      <c r="B206" s="127">
        <v>10</v>
      </c>
      <c r="C206" s="104">
        <v>0</v>
      </c>
      <c r="D206" s="104">
        <v>0</v>
      </c>
      <c r="E206" s="104">
        <v>0</v>
      </c>
      <c r="F206" s="104">
        <v>0</v>
      </c>
      <c r="G206" s="104">
        <v>0</v>
      </c>
      <c r="H206" s="104">
        <v>0</v>
      </c>
      <c r="I206" s="104">
        <v>0</v>
      </c>
      <c r="J206" s="104">
        <v>0</v>
      </c>
      <c r="K206" s="104">
        <v>0</v>
      </c>
      <c r="L206" s="104">
        <v>0</v>
      </c>
      <c r="M206" s="104">
        <v>0</v>
      </c>
      <c r="N206" s="104">
        <v>0</v>
      </c>
      <c r="O206" s="104">
        <v>0</v>
      </c>
      <c r="P206" s="104">
        <v>0</v>
      </c>
      <c r="Q206" s="104">
        <v>0</v>
      </c>
      <c r="R206" s="104">
        <v>0</v>
      </c>
      <c r="S206" s="104">
        <v>0</v>
      </c>
      <c r="T206" s="104">
        <v>0</v>
      </c>
      <c r="U206" s="104">
        <v>0</v>
      </c>
      <c r="V206" s="104">
        <v>0</v>
      </c>
      <c r="W206" s="104">
        <v>0</v>
      </c>
      <c r="X206" s="104">
        <v>0</v>
      </c>
      <c r="Y206" s="104">
        <v>0</v>
      </c>
      <c r="Z206" s="104">
        <v>0</v>
      </c>
      <c r="AA206" s="104">
        <v>0</v>
      </c>
      <c r="AB206" s="104">
        <v>0</v>
      </c>
      <c r="AC206" s="104">
        <v>0</v>
      </c>
      <c r="AD206" s="104">
        <v>0</v>
      </c>
      <c r="AE206" s="104">
        <v>0</v>
      </c>
      <c r="AF206" s="104">
        <v>0</v>
      </c>
      <c r="AG206" s="104">
        <v>0</v>
      </c>
      <c r="AH206" s="104">
        <v>0</v>
      </c>
      <c r="AI206" s="104">
        <v>0</v>
      </c>
      <c r="AJ206" s="104">
        <v>0</v>
      </c>
      <c r="AK206" s="104">
        <v>0</v>
      </c>
      <c r="AL206" s="104">
        <v>0</v>
      </c>
      <c r="AM206" s="104">
        <v>0</v>
      </c>
      <c r="AN206" s="104">
        <v>0</v>
      </c>
      <c r="AO206" s="104">
        <v>0</v>
      </c>
      <c r="AP206" s="104">
        <v>0</v>
      </c>
      <c r="AQ206" s="104">
        <v>0</v>
      </c>
      <c r="AR206" s="104">
        <v>0</v>
      </c>
      <c r="AS206" s="104">
        <v>0</v>
      </c>
      <c r="AT206" s="104">
        <v>0</v>
      </c>
      <c r="AU206" s="104">
        <v>0</v>
      </c>
      <c r="AV206" s="104">
        <v>0</v>
      </c>
      <c r="AW206" s="104">
        <v>0</v>
      </c>
      <c r="AX206" s="104">
        <v>0</v>
      </c>
      <c r="AY206" s="104">
        <v>0</v>
      </c>
    </row>
    <row r="207" spans="1:51">
      <c r="A207" s="107"/>
      <c r="B207" s="127">
        <v>11</v>
      </c>
      <c r="C207" s="104">
        <v>0</v>
      </c>
      <c r="D207" s="104">
        <v>0</v>
      </c>
      <c r="E207" s="104">
        <v>0</v>
      </c>
      <c r="F207" s="104">
        <v>0</v>
      </c>
      <c r="G207" s="104">
        <v>0</v>
      </c>
      <c r="H207" s="104">
        <v>0</v>
      </c>
      <c r="I207" s="104">
        <v>0</v>
      </c>
      <c r="J207" s="104">
        <v>0</v>
      </c>
      <c r="K207" s="104">
        <v>0</v>
      </c>
      <c r="L207" s="104">
        <v>0</v>
      </c>
      <c r="M207" s="104">
        <v>0</v>
      </c>
      <c r="N207" s="104">
        <v>0</v>
      </c>
      <c r="O207" s="104">
        <v>0</v>
      </c>
      <c r="P207" s="104">
        <v>0</v>
      </c>
      <c r="Q207" s="104">
        <v>0</v>
      </c>
      <c r="R207" s="104">
        <v>0</v>
      </c>
      <c r="S207" s="104">
        <v>0</v>
      </c>
      <c r="T207" s="104">
        <v>0</v>
      </c>
      <c r="U207" s="104">
        <v>0</v>
      </c>
      <c r="V207" s="104">
        <v>0</v>
      </c>
      <c r="W207" s="104">
        <v>0</v>
      </c>
      <c r="X207" s="104">
        <v>0</v>
      </c>
      <c r="Y207" s="104">
        <v>0</v>
      </c>
      <c r="Z207" s="104">
        <v>0</v>
      </c>
      <c r="AA207" s="104">
        <v>0</v>
      </c>
      <c r="AB207" s="104">
        <v>0</v>
      </c>
      <c r="AC207" s="104">
        <v>0</v>
      </c>
      <c r="AD207" s="104">
        <v>0</v>
      </c>
      <c r="AE207" s="104">
        <v>0</v>
      </c>
      <c r="AF207" s="104">
        <v>0</v>
      </c>
      <c r="AG207" s="104">
        <v>0</v>
      </c>
      <c r="AH207" s="104">
        <v>0</v>
      </c>
      <c r="AI207" s="104">
        <v>0</v>
      </c>
      <c r="AJ207" s="104">
        <v>0</v>
      </c>
      <c r="AK207" s="104">
        <v>0</v>
      </c>
      <c r="AL207" s="104">
        <v>0</v>
      </c>
      <c r="AM207" s="104">
        <v>0</v>
      </c>
      <c r="AN207" s="104">
        <v>0</v>
      </c>
      <c r="AO207" s="104">
        <v>0</v>
      </c>
      <c r="AP207" s="104">
        <v>0</v>
      </c>
      <c r="AQ207" s="104">
        <v>0</v>
      </c>
      <c r="AR207" s="104">
        <v>0</v>
      </c>
      <c r="AS207" s="104">
        <v>0</v>
      </c>
      <c r="AT207" s="104">
        <v>0</v>
      </c>
      <c r="AU207" s="104">
        <v>0</v>
      </c>
      <c r="AV207" s="104">
        <v>0</v>
      </c>
      <c r="AW207" s="104">
        <v>0</v>
      </c>
      <c r="AX207" s="104">
        <v>0</v>
      </c>
      <c r="AY207" s="104">
        <v>0</v>
      </c>
    </row>
    <row r="208" spans="1:51">
      <c r="A208" s="107"/>
      <c r="B208" s="127">
        <v>12</v>
      </c>
      <c r="C208" s="104">
        <v>0</v>
      </c>
      <c r="D208" s="104">
        <v>0</v>
      </c>
      <c r="E208" s="104">
        <v>0</v>
      </c>
      <c r="F208" s="104">
        <v>0</v>
      </c>
      <c r="G208" s="104">
        <v>0</v>
      </c>
      <c r="H208" s="104">
        <v>0</v>
      </c>
      <c r="I208" s="104">
        <v>0</v>
      </c>
      <c r="J208" s="104">
        <v>0</v>
      </c>
      <c r="K208" s="104">
        <v>0</v>
      </c>
      <c r="L208" s="104">
        <v>0</v>
      </c>
      <c r="M208" s="104">
        <v>0</v>
      </c>
      <c r="N208" s="104">
        <v>0</v>
      </c>
      <c r="O208" s="104">
        <v>0</v>
      </c>
      <c r="P208" s="104">
        <v>0</v>
      </c>
      <c r="Q208" s="104">
        <v>0</v>
      </c>
      <c r="R208" s="104">
        <v>0</v>
      </c>
      <c r="S208" s="104">
        <v>0</v>
      </c>
      <c r="T208" s="104">
        <v>0</v>
      </c>
      <c r="U208" s="104">
        <v>0</v>
      </c>
      <c r="V208" s="104">
        <v>0</v>
      </c>
      <c r="W208" s="104">
        <v>0</v>
      </c>
      <c r="X208" s="104">
        <v>0</v>
      </c>
      <c r="Y208" s="104">
        <v>0</v>
      </c>
      <c r="Z208" s="104">
        <v>0</v>
      </c>
      <c r="AA208" s="104">
        <v>0</v>
      </c>
      <c r="AB208" s="104">
        <v>0</v>
      </c>
      <c r="AC208" s="104">
        <v>0</v>
      </c>
      <c r="AD208" s="104">
        <v>0</v>
      </c>
      <c r="AE208" s="104">
        <v>0</v>
      </c>
      <c r="AF208" s="104">
        <v>0</v>
      </c>
      <c r="AG208" s="104">
        <v>0</v>
      </c>
      <c r="AH208" s="104">
        <v>0</v>
      </c>
      <c r="AI208" s="104">
        <v>0</v>
      </c>
      <c r="AJ208" s="104">
        <v>0</v>
      </c>
      <c r="AK208" s="104">
        <v>0</v>
      </c>
      <c r="AL208" s="104">
        <v>0</v>
      </c>
      <c r="AM208" s="104">
        <v>0</v>
      </c>
      <c r="AN208" s="104">
        <v>0</v>
      </c>
      <c r="AO208" s="104">
        <v>0</v>
      </c>
      <c r="AP208" s="104">
        <v>0</v>
      </c>
      <c r="AQ208" s="104">
        <v>0</v>
      </c>
      <c r="AR208" s="104">
        <v>0</v>
      </c>
      <c r="AS208" s="104">
        <v>0</v>
      </c>
      <c r="AT208" s="104">
        <v>0</v>
      </c>
      <c r="AU208" s="104">
        <v>0</v>
      </c>
      <c r="AV208" s="104">
        <v>0</v>
      </c>
      <c r="AW208" s="104">
        <v>0</v>
      </c>
      <c r="AX208" s="104">
        <v>0</v>
      </c>
      <c r="AY208" s="104">
        <v>0</v>
      </c>
    </row>
    <row r="209" spans="1:51">
      <c r="A209" s="123" t="s">
        <v>123</v>
      </c>
      <c r="B209" s="120">
        <v>1</v>
      </c>
      <c r="C209" s="121">
        <v>138.10715515918253</v>
      </c>
      <c r="D209" s="121">
        <v>138.7664029922702</v>
      </c>
      <c r="E209" s="121">
        <v>135.44411860678409</v>
      </c>
      <c r="F209" s="121">
        <v>135.44411860678412</v>
      </c>
      <c r="G209" s="121">
        <v>135.44411860678409</v>
      </c>
      <c r="H209" s="121">
        <v>135.44411860678412</v>
      </c>
      <c r="I209" s="121">
        <v>135.44411860678409</v>
      </c>
      <c r="J209" s="121">
        <v>135.44411860678412</v>
      </c>
      <c r="K209" s="121">
        <v>135.44411860678409</v>
      </c>
      <c r="L209" s="121">
        <v>135.44411860678412</v>
      </c>
      <c r="M209" s="121">
        <v>135.44411860678409</v>
      </c>
      <c r="N209" s="121">
        <v>36.134526310782228</v>
      </c>
      <c r="O209" s="121">
        <v>111.79474182119722</v>
      </c>
      <c r="P209" s="121">
        <v>36.134526310782228</v>
      </c>
      <c r="Q209" s="121">
        <v>116.43780476614731</v>
      </c>
      <c r="R209" s="121">
        <v>36.134526310782228</v>
      </c>
      <c r="S209" s="121">
        <v>69.139089789045784</v>
      </c>
      <c r="T209" s="121">
        <v>135.44411860678412</v>
      </c>
      <c r="U209" s="121">
        <v>135.44411860678409</v>
      </c>
      <c r="V209" s="121">
        <v>36.134526310782228</v>
      </c>
      <c r="W209" s="121">
        <v>70.416740412095038</v>
      </c>
      <c r="X209" s="121">
        <v>121.55839248951924</v>
      </c>
      <c r="Y209" s="121">
        <v>135.44411860678409</v>
      </c>
      <c r="Z209" s="121">
        <v>36.134526310782228</v>
      </c>
      <c r="AA209" s="121">
        <v>26.474268452478896</v>
      </c>
      <c r="AB209" s="121">
        <v>135.44411860678409</v>
      </c>
      <c r="AC209" s="121">
        <v>36.134526310782228</v>
      </c>
      <c r="AD209" s="121">
        <v>135.44411860678409</v>
      </c>
      <c r="AE209" s="121">
        <v>135.44411860678412</v>
      </c>
      <c r="AF209" s="121">
        <v>135.44411860678409</v>
      </c>
      <c r="AG209" s="121">
        <v>36.134526310782228</v>
      </c>
      <c r="AH209" s="121">
        <v>107.30752378111615</v>
      </c>
      <c r="AI209" s="121">
        <v>36.134526310782228</v>
      </c>
      <c r="AJ209" s="121">
        <v>78.843037007362739</v>
      </c>
      <c r="AK209" s="121">
        <v>86.539684915493694</v>
      </c>
      <c r="AL209" s="121">
        <v>135.44411860678409</v>
      </c>
      <c r="AM209" s="121">
        <v>36.134526310782228</v>
      </c>
      <c r="AN209" s="121">
        <v>135.44411860678409</v>
      </c>
      <c r="AO209" s="121">
        <v>87.309076202863849</v>
      </c>
      <c r="AP209" s="121">
        <v>135.44411860678409</v>
      </c>
      <c r="AQ209" s="121">
        <v>36.134526310782228</v>
      </c>
      <c r="AR209" s="121">
        <v>26.474268452478903</v>
      </c>
      <c r="AS209" s="121">
        <v>61.012258256761385</v>
      </c>
      <c r="AT209" s="121">
        <v>131.99883554763744</v>
      </c>
      <c r="AU209" s="121">
        <v>135.44411860678409</v>
      </c>
      <c r="AV209" s="121">
        <v>135.44411860678412</v>
      </c>
      <c r="AW209" s="121">
        <v>135.44411860678409</v>
      </c>
      <c r="AX209" s="121">
        <v>135.44411860678412</v>
      </c>
      <c r="AY209" s="121">
        <v>70.448918246904654</v>
      </c>
    </row>
    <row r="210" spans="1:51">
      <c r="A210" s="107"/>
      <c r="B210" s="116">
        <v>2</v>
      </c>
      <c r="C210" s="104">
        <v>1.6861119397492568E-14</v>
      </c>
      <c r="D210" s="108">
        <v>1.6801787632116997E-14</v>
      </c>
      <c r="E210" s="108">
        <v>0</v>
      </c>
      <c r="F210" s="108">
        <v>0</v>
      </c>
      <c r="G210" s="108">
        <v>0</v>
      </c>
      <c r="H210" s="108">
        <v>0</v>
      </c>
      <c r="I210" s="108">
        <v>0</v>
      </c>
      <c r="J210" s="108">
        <v>0</v>
      </c>
      <c r="K210" s="108">
        <v>0</v>
      </c>
      <c r="L210" s="108">
        <v>0</v>
      </c>
      <c r="M210" s="108">
        <v>0</v>
      </c>
      <c r="N210" s="108">
        <v>0</v>
      </c>
      <c r="O210" s="108">
        <v>99.309592296001881</v>
      </c>
      <c r="P210" s="108">
        <v>13.980573805961255</v>
      </c>
      <c r="Q210" s="108">
        <v>99.309592296001881</v>
      </c>
      <c r="R210" s="108">
        <v>11.235779100539688</v>
      </c>
      <c r="S210" s="108">
        <v>99.309592296001881</v>
      </c>
      <c r="T210" s="108">
        <v>39.196903897177044</v>
      </c>
      <c r="U210" s="108">
        <v>0</v>
      </c>
      <c r="V210" s="108">
        <v>0</v>
      </c>
      <c r="W210" s="108">
        <v>99.309592296001881</v>
      </c>
      <c r="X210" s="108">
        <v>38.441607510480772</v>
      </c>
      <c r="Y210" s="108">
        <v>8.2086906810203306</v>
      </c>
      <c r="Z210" s="108">
        <v>0</v>
      </c>
      <c r="AA210" s="108">
        <v>77.515622265140863</v>
      </c>
      <c r="AB210" s="108">
        <v>4.2004469080292492E-15</v>
      </c>
      <c r="AC210" s="108">
        <v>0</v>
      </c>
      <c r="AD210" s="108">
        <v>77.515622265140863</v>
      </c>
      <c r="AE210" s="108">
        <v>0</v>
      </c>
      <c r="AF210" s="108">
        <v>0</v>
      </c>
      <c r="AG210" s="108">
        <v>0</v>
      </c>
      <c r="AH210" s="108">
        <v>99.309592296001881</v>
      </c>
      <c r="AI210" s="108">
        <v>16.63323918321667</v>
      </c>
      <c r="AJ210" s="108">
        <v>99.309592296001881</v>
      </c>
      <c r="AK210" s="108">
        <v>33.460315084506313</v>
      </c>
      <c r="AL210" s="108">
        <v>28.910362030195774</v>
      </c>
      <c r="AM210" s="108">
        <v>0</v>
      </c>
      <c r="AN210" s="108">
        <v>0</v>
      </c>
      <c r="AO210" s="108">
        <v>0</v>
      </c>
      <c r="AP210" s="108">
        <v>28.455528409155171</v>
      </c>
      <c r="AQ210" s="108">
        <v>0</v>
      </c>
      <c r="AR210" s="108">
        <v>0</v>
      </c>
      <c r="AS210" s="108">
        <v>0</v>
      </c>
      <c r="AT210" s="108">
        <v>44.001164452362573</v>
      </c>
      <c r="AU210" s="108">
        <v>2.0367147315350613</v>
      </c>
      <c r="AV210" s="108">
        <v>0</v>
      </c>
      <c r="AW210" s="108">
        <v>0</v>
      </c>
      <c r="AX210" s="108">
        <v>0</v>
      </c>
      <c r="AY210" s="108">
        <v>0</v>
      </c>
    </row>
    <row r="211" spans="1:51">
      <c r="A211" s="107"/>
      <c r="B211" s="116">
        <v>3</v>
      </c>
      <c r="C211" s="104">
        <v>0</v>
      </c>
      <c r="D211" s="108">
        <v>0</v>
      </c>
      <c r="E211" s="108">
        <v>0</v>
      </c>
      <c r="F211" s="108">
        <v>0</v>
      </c>
      <c r="G211" s="108">
        <v>0</v>
      </c>
      <c r="H211" s="108">
        <v>0</v>
      </c>
      <c r="I211" s="108">
        <v>0</v>
      </c>
      <c r="J211" s="108">
        <v>0</v>
      </c>
      <c r="K211" s="108">
        <v>0</v>
      </c>
      <c r="L211" s="108">
        <v>0</v>
      </c>
      <c r="M211" s="108">
        <v>0</v>
      </c>
      <c r="N211" s="108">
        <v>0</v>
      </c>
      <c r="O211" s="108">
        <v>0</v>
      </c>
      <c r="P211" s="108">
        <v>0</v>
      </c>
      <c r="Q211" s="108">
        <v>0</v>
      </c>
      <c r="R211" s="108">
        <v>0</v>
      </c>
      <c r="S211" s="108">
        <v>0</v>
      </c>
      <c r="T211" s="108">
        <v>0</v>
      </c>
      <c r="U211" s="108">
        <v>0</v>
      </c>
      <c r="V211" s="108">
        <v>0</v>
      </c>
      <c r="W211" s="108">
        <v>0</v>
      </c>
      <c r="X211" s="108">
        <v>0</v>
      </c>
      <c r="Y211" s="108">
        <v>0</v>
      </c>
      <c r="Z211" s="108">
        <v>0</v>
      </c>
      <c r="AA211" s="108">
        <v>0</v>
      </c>
      <c r="AB211" s="108">
        <v>0</v>
      </c>
      <c r="AC211" s="108">
        <v>0</v>
      </c>
      <c r="AD211" s="108">
        <v>0</v>
      </c>
      <c r="AE211" s="108">
        <v>0</v>
      </c>
      <c r="AF211" s="108">
        <v>0</v>
      </c>
      <c r="AG211" s="108">
        <v>0</v>
      </c>
      <c r="AH211" s="108">
        <v>0</v>
      </c>
      <c r="AI211" s="108">
        <v>0</v>
      </c>
      <c r="AJ211" s="108">
        <v>0</v>
      </c>
      <c r="AK211" s="108">
        <v>0</v>
      </c>
      <c r="AL211" s="108">
        <v>0</v>
      </c>
      <c r="AM211" s="108">
        <v>0</v>
      </c>
      <c r="AN211" s="108">
        <v>0</v>
      </c>
      <c r="AO211" s="108">
        <v>99.309592296001881</v>
      </c>
      <c r="AP211" s="108">
        <v>0</v>
      </c>
      <c r="AQ211" s="108">
        <v>0</v>
      </c>
      <c r="AR211" s="108">
        <v>0</v>
      </c>
      <c r="AS211" s="108">
        <v>99.309592296001881</v>
      </c>
      <c r="AT211" s="108">
        <v>0</v>
      </c>
      <c r="AU211" s="108">
        <v>0</v>
      </c>
      <c r="AV211" s="108">
        <v>0</v>
      </c>
      <c r="AW211" s="108">
        <v>0</v>
      </c>
      <c r="AX211" s="108">
        <v>0</v>
      </c>
      <c r="AY211" s="108">
        <v>0</v>
      </c>
    </row>
    <row r="212" spans="1:51">
      <c r="A212" s="107"/>
      <c r="B212" s="116">
        <v>4</v>
      </c>
      <c r="C212" s="104">
        <v>0</v>
      </c>
      <c r="D212" s="108">
        <v>0</v>
      </c>
      <c r="E212" s="108">
        <v>0</v>
      </c>
      <c r="F212" s="108">
        <v>0</v>
      </c>
      <c r="G212" s="108">
        <v>0</v>
      </c>
      <c r="H212" s="108">
        <v>0</v>
      </c>
      <c r="I212" s="108">
        <v>0</v>
      </c>
      <c r="J212" s="108">
        <v>0</v>
      </c>
      <c r="K212" s="108">
        <v>0</v>
      </c>
      <c r="L212" s="108">
        <v>0</v>
      </c>
      <c r="M212" s="108">
        <v>0</v>
      </c>
      <c r="N212" s="108">
        <v>0</v>
      </c>
      <c r="O212" s="108">
        <v>0</v>
      </c>
      <c r="P212" s="108">
        <v>0</v>
      </c>
      <c r="Q212" s="108">
        <v>0</v>
      </c>
      <c r="R212" s="108">
        <v>0</v>
      </c>
      <c r="S212" s="108">
        <v>0</v>
      </c>
      <c r="T212" s="108">
        <v>0</v>
      </c>
      <c r="U212" s="108">
        <v>0</v>
      </c>
      <c r="V212" s="108">
        <v>0</v>
      </c>
      <c r="W212" s="108">
        <v>0</v>
      </c>
      <c r="X212" s="108">
        <v>0</v>
      </c>
      <c r="Y212" s="108">
        <v>0</v>
      </c>
      <c r="Z212" s="108">
        <v>0</v>
      </c>
      <c r="AA212" s="108">
        <v>0</v>
      </c>
      <c r="AB212" s="108">
        <v>0</v>
      </c>
      <c r="AC212" s="108">
        <v>0</v>
      </c>
      <c r="AD212" s="108">
        <v>0</v>
      </c>
      <c r="AE212" s="108">
        <v>0</v>
      </c>
      <c r="AF212" s="108">
        <v>0</v>
      </c>
      <c r="AG212" s="108">
        <v>0</v>
      </c>
      <c r="AH212" s="108">
        <v>0</v>
      </c>
      <c r="AI212" s="108">
        <v>0</v>
      </c>
      <c r="AJ212" s="108">
        <v>0</v>
      </c>
      <c r="AK212" s="108">
        <v>0</v>
      </c>
      <c r="AL212" s="108">
        <v>0</v>
      </c>
      <c r="AM212" s="108">
        <v>0</v>
      </c>
      <c r="AN212" s="108">
        <v>0</v>
      </c>
      <c r="AO212" s="108">
        <v>0</v>
      </c>
      <c r="AP212" s="108">
        <v>0</v>
      </c>
      <c r="AQ212" s="108">
        <v>0</v>
      </c>
      <c r="AR212" s="108">
        <v>0</v>
      </c>
      <c r="AS212" s="108">
        <v>0</v>
      </c>
      <c r="AT212" s="108">
        <v>0</v>
      </c>
      <c r="AU212" s="108">
        <v>0</v>
      </c>
      <c r="AV212" s="108">
        <v>0</v>
      </c>
      <c r="AW212" s="108">
        <v>0</v>
      </c>
      <c r="AX212" s="108">
        <v>0</v>
      </c>
      <c r="AY212" s="108">
        <v>0</v>
      </c>
    </row>
    <row r="213" spans="1:51">
      <c r="A213" s="107"/>
      <c r="B213" s="116">
        <v>5</v>
      </c>
      <c r="C213" s="104">
        <v>0</v>
      </c>
      <c r="D213" s="108">
        <v>0</v>
      </c>
      <c r="E213" s="108">
        <v>0</v>
      </c>
      <c r="F213" s="108">
        <v>0</v>
      </c>
      <c r="G213" s="108">
        <v>0</v>
      </c>
      <c r="H213" s="108">
        <v>0</v>
      </c>
      <c r="I213" s="108">
        <v>0</v>
      </c>
      <c r="J213" s="108">
        <v>0</v>
      </c>
      <c r="K213" s="108">
        <v>0</v>
      </c>
      <c r="L213" s="108">
        <v>0</v>
      </c>
      <c r="M213" s="108">
        <v>0</v>
      </c>
      <c r="N213" s="108">
        <v>0</v>
      </c>
      <c r="O213" s="108">
        <v>0</v>
      </c>
      <c r="P213" s="108">
        <v>0</v>
      </c>
      <c r="Q213" s="108">
        <v>0</v>
      </c>
      <c r="R213" s="108">
        <v>0</v>
      </c>
      <c r="S213" s="108">
        <v>0</v>
      </c>
      <c r="T213" s="108">
        <v>0</v>
      </c>
      <c r="U213" s="108">
        <v>0</v>
      </c>
      <c r="V213" s="108">
        <v>0</v>
      </c>
      <c r="W213" s="108">
        <v>0</v>
      </c>
      <c r="X213" s="108">
        <v>0</v>
      </c>
      <c r="Y213" s="108">
        <v>0</v>
      </c>
      <c r="Z213" s="108">
        <v>0</v>
      </c>
      <c r="AA213" s="108">
        <v>0</v>
      </c>
      <c r="AB213" s="108">
        <v>0</v>
      </c>
      <c r="AC213" s="108">
        <v>0</v>
      </c>
      <c r="AD213" s="108">
        <v>0</v>
      </c>
      <c r="AE213" s="108">
        <v>0</v>
      </c>
      <c r="AF213" s="108">
        <v>0</v>
      </c>
      <c r="AG213" s="108">
        <v>0</v>
      </c>
      <c r="AH213" s="108">
        <v>0</v>
      </c>
      <c r="AI213" s="108">
        <v>0</v>
      </c>
      <c r="AJ213" s="108">
        <v>0</v>
      </c>
      <c r="AK213" s="108">
        <v>0</v>
      </c>
      <c r="AL213" s="108">
        <v>0</v>
      </c>
      <c r="AM213" s="108">
        <v>0</v>
      </c>
      <c r="AN213" s="108">
        <v>0</v>
      </c>
      <c r="AO213" s="108">
        <v>0</v>
      </c>
      <c r="AP213" s="108">
        <v>0</v>
      </c>
      <c r="AQ213" s="108">
        <v>0</v>
      </c>
      <c r="AR213" s="108">
        <v>0</v>
      </c>
      <c r="AS213" s="108">
        <v>0</v>
      </c>
      <c r="AT213" s="108">
        <v>0</v>
      </c>
      <c r="AU213" s="108">
        <v>0</v>
      </c>
      <c r="AV213" s="108">
        <v>0</v>
      </c>
      <c r="AW213" s="108">
        <v>0</v>
      </c>
      <c r="AX213" s="108">
        <v>0</v>
      </c>
      <c r="AY213" s="108">
        <v>0</v>
      </c>
    </row>
    <row r="214" spans="1:51">
      <c r="A214" s="107"/>
      <c r="B214" s="116">
        <v>6</v>
      </c>
      <c r="C214" s="104">
        <v>0</v>
      </c>
      <c r="D214" s="108">
        <v>0</v>
      </c>
      <c r="E214" s="108">
        <v>0</v>
      </c>
      <c r="F214" s="108">
        <v>0</v>
      </c>
      <c r="G214" s="108">
        <v>0</v>
      </c>
      <c r="H214" s="108">
        <v>0</v>
      </c>
      <c r="I214" s="108">
        <v>0</v>
      </c>
      <c r="J214" s="108">
        <v>0</v>
      </c>
      <c r="K214" s="108">
        <v>0</v>
      </c>
      <c r="L214" s="108">
        <v>0</v>
      </c>
      <c r="M214" s="108">
        <v>0</v>
      </c>
      <c r="N214" s="108">
        <v>0</v>
      </c>
      <c r="O214" s="108">
        <v>0</v>
      </c>
      <c r="P214" s="108">
        <v>0</v>
      </c>
      <c r="Q214" s="108">
        <v>0</v>
      </c>
      <c r="R214" s="108">
        <v>0</v>
      </c>
      <c r="S214" s="108">
        <v>0</v>
      </c>
      <c r="T214" s="108">
        <v>0</v>
      </c>
      <c r="U214" s="108">
        <v>0</v>
      </c>
      <c r="V214" s="108">
        <v>0</v>
      </c>
      <c r="W214" s="108">
        <v>0</v>
      </c>
      <c r="X214" s="108">
        <v>0</v>
      </c>
      <c r="Y214" s="108">
        <v>0</v>
      </c>
      <c r="Z214" s="108">
        <v>0</v>
      </c>
      <c r="AA214" s="108">
        <v>0</v>
      </c>
      <c r="AB214" s="108">
        <v>0</v>
      </c>
      <c r="AC214" s="108">
        <v>0</v>
      </c>
      <c r="AD214" s="108">
        <v>0</v>
      </c>
      <c r="AE214" s="108">
        <v>0</v>
      </c>
      <c r="AF214" s="108">
        <v>0</v>
      </c>
      <c r="AG214" s="108">
        <v>0</v>
      </c>
      <c r="AH214" s="108">
        <v>0</v>
      </c>
      <c r="AI214" s="108">
        <v>0</v>
      </c>
      <c r="AJ214" s="108">
        <v>0</v>
      </c>
      <c r="AK214" s="108">
        <v>0</v>
      </c>
      <c r="AL214" s="108">
        <v>0</v>
      </c>
      <c r="AM214" s="108">
        <v>0</v>
      </c>
      <c r="AN214" s="108">
        <v>0</v>
      </c>
      <c r="AO214" s="108">
        <v>0</v>
      </c>
      <c r="AP214" s="108">
        <v>0</v>
      </c>
      <c r="AQ214" s="108">
        <v>0</v>
      </c>
      <c r="AR214" s="108">
        <v>0</v>
      </c>
      <c r="AS214" s="108">
        <v>0</v>
      </c>
      <c r="AT214" s="108">
        <v>0</v>
      </c>
      <c r="AU214" s="108">
        <v>0</v>
      </c>
      <c r="AV214" s="108">
        <v>0</v>
      </c>
      <c r="AW214" s="108">
        <v>0</v>
      </c>
      <c r="AX214" s="108">
        <v>0</v>
      </c>
      <c r="AY214" s="108">
        <v>0</v>
      </c>
    </row>
    <row r="215" spans="1:51">
      <c r="A215" s="107"/>
      <c r="B215" s="116">
        <v>7</v>
      </c>
      <c r="C215" s="104">
        <v>0</v>
      </c>
      <c r="D215" s="108">
        <v>0</v>
      </c>
      <c r="E215" s="108">
        <v>0</v>
      </c>
      <c r="F215" s="108">
        <v>0</v>
      </c>
      <c r="G215" s="108">
        <v>0</v>
      </c>
      <c r="H215" s="108">
        <v>0</v>
      </c>
      <c r="I215" s="108">
        <v>0</v>
      </c>
      <c r="J215" s="108">
        <v>0</v>
      </c>
      <c r="K215" s="108">
        <v>0</v>
      </c>
      <c r="L215" s="108">
        <v>0</v>
      </c>
      <c r="M215" s="108">
        <v>0</v>
      </c>
      <c r="N215" s="108">
        <v>0</v>
      </c>
      <c r="O215" s="108">
        <v>0</v>
      </c>
      <c r="P215" s="108">
        <v>0</v>
      </c>
      <c r="Q215" s="108">
        <v>0</v>
      </c>
      <c r="R215" s="108">
        <v>0</v>
      </c>
      <c r="S215" s="108">
        <v>0</v>
      </c>
      <c r="T215" s="108">
        <v>0</v>
      </c>
      <c r="U215" s="108">
        <v>0</v>
      </c>
      <c r="V215" s="108">
        <v>0</v>
      </c>
      <c r="W215" s="108">
        <v>0</v>
      </c>
      <c r="X215" s="108">
        <v>0</v>
      </c>
      <c r="Y215" s="108">
        <v>0</v>
      </c>
      <c r="Z215" s="108">
        <v>0</v>
      </c>
      <c r="AA215" s="108">
        <v>0</v>
      </c>
      <c r="AB215" s="108">
        <v>0</v>
      </c>
      <c r="AC215" s="108">
        <v>0</v>
      </c>
      <c r="AD215" s="108">
        <v>0</v>
      </c>
      <c r="AE215" s="108">
        <v>0</v>
      </c>
      <c r="AF215" s="108">
        <v>0</v>
      </c>
      <c r="AG215" s="108">
        <v>0</v>
      </c>
      <c r="AH215" s="108">
        <v>0</v>
      </c>
      <c r="AI215" s="108">
        <v>0</v>
      </c>
      <c r="AJ215" s="108">
        <v>0</v>
      </c>
      <c r="AK215" s="108">
        <v>0</v>
      </c>
      <c r="AL215" s="108">
        <v>0</v>
      </c>
      <c r="AM215" s="108">
        <v>0</v>
      </c>
      <c r="AN215" s="108">
        <v>0</v>
      </c>
      <c r="AO215" s="108">
        <v>0</v>
      </c>
      <c r="AP215" s="108">
        <v>0</v>
      </c>
      <c r="AQ215" s="108">
        <v>0</v>
      </c>
      <c r="AR215" s="108">
        <v>0</v>
      </c>
      <c r="AS215" s="108">
        <v>0</v>
      </c>
      <c r="AT215" s="108">
        <v>0</v>
      </c>
      <c r="AU215" s="108">
        <v>0</v>
      </c>
      <c r="AV215" s="108">
        <v>0</v>
      </c>
      <c r="AW215" s="108">
        <v>0</v>
      </c>
      <c r="AX215" s="108">
        <v>0</v>
      </c>
      <c r="AY215" s="108">
        <v>0</v>
      </c>
    </row>
    <row r="216" spans="1:51">
      <c r="A216" s="107"/>
      <c r="B216" s="116">
        <v>8</v>
      </c>
      <c r="C216" s="104">
        <v>0</v>
      </c>
      <c r="D216" s="108">
        <v>0</v>
      </c>
      <c r="E216" s="108">
        <v>0</v>
      </c>
      <c r="F216" s="108">
        <v>0</v>
      </c>
      <c r="G216" s="108">
        <v>0</v>
      </c>
      <c r="H216" s="108">
        <v>0</v>
      </c>
      <c r="I216" s="108">
        <v>0</v>
      </c>
      <c r="J216" s="108">
        <v>0</v>
      </c>
      <c r="K216" s="108">
        <v>0</v>
      </c>
      <c r="L216" s="108">
        <v>0</v>
      </c>
      <c r="M216" s="108">
        <v>0</v>
      </c>
      <c r="N216" s="108">
        <v>0</v>
      </c>
      <c r="O216" s="108">
        <v>0</v>
      </c>
      <c r="P216" s="108">
        <v>0</v>
      </c>
      <c r="Q216" s="108">
        <v>0</v>
      </c>
      <c r="R216" s="108">
        <v>0</v>
      </c>
      <c r="S216" s="108">
        <v>0</v>
      </c>
      <c r="T216" s="108">
        <v>0</v>
      </c>
      <c r="U216" s="108">
        <v>0</v>
      </c>
      <c r="V216" s="108">
        <v>0</v>
      </c>
      <c r="W216" s="108">
        <v>0</v>
      </c>
      <c r="X216" s="108">
        <v>0</v>
      </c>
      <c r="Y216" s="108">
        <v>0</v>
      </c>
      <c r="Z216" s="108">
        <v>0</v>
      </c>
      <c r="AA216" s="108">
        <v>0</v>
      </c>
      <c r="AB216" s="108">
        <v>0</v>
      </c>
      <c r="AC216" s="108">
        <v>0</v>
      </c>
      <c r="AD216" s="108">
        <v>0</v>
      </c>
      <c r="AE216" s="108">
        <v>0</v>
      </c>
      <c r="AF216" s="108">
        <v>0</v>
      </c>
      <c r="AG216" s="108">
        <v>0</v>
      </c>
      <c r="AH216" s="108">
        <v>0</v>
      </c>
      <c r="AI216" s="108">
        <v>0</v>
      </c>
      <c r="AJ216" s="108">
        <v>0</v>
      </c>
      <c r="AK216" s="108">
        <v>0</v>
      </c>
      <c r="AL216" s="108">
        <v>0</v>
      </c>
      <c r="AM216" s="108">
        <v>0</v>
      </c>
      <c r="AN216" s="108">
        <v>0</v>
      </c>
      <c r="AO216" s="108">
        <v>0</v>
      </c>
      <c r="AP216" s="108">
        <v>0</v>
      </c>
      <c r="AQ216" s="108">
        <v>0</v>
      </c>
      <c r="AR216" s="108">
        <v>0</v>
      </c>
      <c r="AS216" s="108">
        <v>0</v>
      </c>
      <c r="AT216" s="108">
        <v>0</v>
      </c>
      <c r="AU216" s="108">
        <v>0</v>
      </c>
      <c r="AV216" s="108">
        <v>0</v>
      </c>
      <c r="AW216" s="108">
        <v>0</v>
      </c>
      <c r="AX216" s="108">
        <v>0</v>
      </c>
      <c r="AY216" s="108">
        <v>0</v>
      </c>
    </row>
    <row r="217" spans="1:51">
      <c r="A217" s="107"/>
      <c r="B217" s="116">
        <v>9</v>
      </c>
      <c r="C217" s="104">
        <v>0</v>
      </c>
      <c r="D217" s="108">
        <v>0</v>
      </c>
      <c r="E217" s="108">
        <v>0</v>
      </c>
      <c r="F217" s="108">
        <v>0</v>
      </c>
      <c r="G217" s="108">
        <v>0</v>
      </c>
      <c r="H217" s="108">
        <v>0</v>
      </c>
      <c r="I217" s="108">
        <v>0</v>
      </c>
      <c r="J217" s="108">
        <v>0</v>
      </c>
      <c r="K217" s="108">
        <v>0</v>
      </c>
      <c r="L217" s="108">
        <v>0</v>
      </c>
      <c r="M217" s="108">
        <v>0</v>
      </c>
      <c r="N217" s="108">
        <v>0</v>
      </c>
      <c r="O217" s="108">
        <v>0</v>
      </c>
      <c r="P217" s="108">
        <v>0</v>
      </c>
      <c r="Q217" s="108">
        <v>0</v>
      </c>
      <c r="R217" s="108">
        <v>0</v>
      </c>
      <c r="S217" s="108">
        <v>0</v>
      </c>
      <c r="T217" s="108">
        <v>0</v>
      </c>
      <c r="U217" s="108">
        <v>0</v>
      </c>
      <c r="V217" s="108">
        <v>0</v>
      </c>
      <c r="W217" s="108">
        <v>0</v>
      </c>
      <c r="X217" s="108">
        <v>0</v>
      </c>
      <c r="Y217" s="108">
        <v>0</v>
      </c>
      <c r="Z217" s="108">
        <v>0</v>
      </c>
      <c r="AA217" s="108">
        <v>0</v>
      </c>
      <c r="AB217" s="108">
        <v>0</v>
      </c>
      <c r="AC217" s="108">
        <v>0</v>
      </c>
      <c r="AD217" s="108">
        <v>0</v>
      </c>
      <c r="AE217" s="108">
        <v>0</v>
      </c>
      <c r="AF217" s="108">
        <v>0</v>
      </c>
      <c r="AG217" s="108">
        <v>0</v>
      </c>
      <c r="AH217" s="108">
        <v>0</v>
      </c>
      <c r="AI217" s="108">
        <v>0</v>
      </c>
      <c r="AJ217" s="108">
        <v>0</v>
      </c>
      <c r="AK217" s="108">
        <v>0</v>
      </c>
      <c r="AL217" s="108">
        <v>0</v>
      </c>
      <c r="AM217" s="108">
        <v>0</v>
      </c>
      <c r="AN217" s="108">
        <v>0</v>
      </c>
      <c r="AO217" s="108">
        <v>0</v>
      </c>
      <c r="AP217" s="108">
        <v>0</v>
      </c>
      <c r="AQ217" s="108">
        <v>0</v>
      </c>
      <c r="AR217" s="108">
        <v>0</v>
      </c>
      <c r="AS217" s="108">
        <v>0</v>
      </c>
      <c r="AT217" s="108">
        <v>0</v>
      </c>
      <c r="AU217" s="108">
        <v>0</v>
      </c>
      <c r="AV217" s="108">
        <v>0</v>
      </c>
      <c r="AW217" s="108">
        <v>0</v>
      </c>
      <c r="AX217" s="108">
        <v>0</v>
      </c>
      <c r="AY217" s="108">
        <v>0</v>
      </c>
    </row>
    <row r="218" spans="1:51">
      <c r="A218" s="107"/>
      <c r="B218" s="116">
        <v>10</v>
      </c>
      <c r="C218" s="104">
        <v>0</v>
      </c>
      <c r="D218" s="108">
        <v>0</v>
      </c>
      <c r="E218" s="108">
        <v>0</v>
      </c>
      <c r="F218" s="108">
        <v>0</v>
      </c>
      <c r="G218" s="108">
        <v>0</v>
      </c>
      <c r="H218" s="108">
        <v>0</v>
      </c>
      <c r="I218" s="108">
        <v>0</v>
      </c>
      <c r="J218" s="108">
        <v>0</v>
      </c>
      <c r="K218" s="108">
        <v>0</v>
      </c>
      <c r="L218" s="108">
        <v>0</v>
      </c>
      <c r="M218" s="108">
        <v>0</v>
      </c>
      <c r="N218" s="108">
        <v>0</v>
      </c>
      <c r="O218" s="108">
        <v>0</v>
      </c>
      <c r="P218" s="108">
        <v>0</v>
      </c>
      <c r="Q218" s="108">
        <v>0</v>
      </c>
      <c r="R218" s="108">
        <v>0</v>
      </c>
      <c r="S218" s="108">
        <v>0</v>
      </c>
      <c r="T218" s="108">
        <v>0</v>
      </c>
      <c r="U218" s="108">
        <v>0</v>
      </c>
      <c r="V218" s="108">
        <v>0</v>
      </c>
      <c r="W218" s="108">
        <v>0</v>
      </c>
      <c r="X218" s="108">
        <v>0</v>
      </c>
      <c r="Y218" s="108">
        <v>0</v>
      </c>
      <c r="Z218" s="108">
        <v>0</v>
      </c>
      <c r="AA218" s="108">
        <v>0</v>
      </c>
      <c r="AB218" s="108">
        <v>0</v>
      </c>
      <c r="AC218" s="108">
        <v>0</v>
      </c>
      <c r="AD218" s="108">
        <v>0</v>
      </c>
      <c r="AE218" s="108">
        <v>0</v>
      </c>
      <c r="AF218" s="108">
        <v>0</v>
      </c>
      <c r="AG218" s="108">
        <v>0</v>
      </c>
      <c r="AH218" s="108">
        <v>0</v>
      </c>
      <c r="AI218" s="108">
        <v>0</v>
      </c>
      <c r="AJ218" s="108">
        <v>0</v>
      </c>
      <c r="AK218" s="108">
        <v>0</v>
      </c>
      <c r="AL218" s="108">
        <v>0</v>
      </c>
      <c r="AM218" s="108">
        <v>0</v>
      </c>
      <c r="AN218" s="108">
        <v>0</v>
      </c>
      <c r="AO218" s="108">
        <v>0</v>
      </c>
      <c r="AP218" s="108">
        <v>0</v>
      </c>
      <c r="AQ218" s="108">
        <v>0</v>
      </c>
      <c r="AR218" s="108">
        <v>0</v>
      </c>
      <c r="AS218" s="108">
        <v>0</v>
      </c>
      <c r="AT218" s="108">
        <v>0</v>
      </c>
      <c r="AU218" s="108">
        <v>0</v>
      </c>
      <c r="AV218" s="108">
        <v>0</v>
      </c>
      <c r="AW218" s="108">
        <v>0</v>
      </c>
      <c r="AX218" s="108">
        <v>0</v>
      </c>
      <c r="AY218" s="108">
        <v>0</v>
      </c>
    </row>
    <row r="219" spans="1:51">
      <c r="A219" s="107"/>
      <c r="B219" s="116">
        <v>11</v>
      </c>
      <c r="C219" s="104">
        <v>0</v>
      </c>
      <c r="D219" s="108">
        <v>0</v>
      </c>
      <c r="E219" s="108">
        <v>0</v>
      </c>
      <c r="F219" s="108">
        <v>0</v>
      </c>
      <c r="G219" s="108">
        <v>0</v>
      </c>
      <c r="H219" s="108">
        <v>0</v>
      </c>
      <c r="I219" s="108">
        <v>0</v>
      </c>
      <c r="J219" s="108">
        <v>0</v>
      </c>
      <c r="K219" s="108">
        <v>0</v>
      </c>
      <c r="L219" s="108">
        <v>0</v>
      </c>
      <c r="M219" s="108">
        <v>0</v>
      </c>
      <c r="N219" s="108">
        <v>0</v>
      </c>
      <c r="O219" s="108">
        <v>0</v>
      </c>
      <c r="P219" s="108">
        <v>0</v>
      </c>
      <c r="Q219" s="108">
        <v>0</v>
      </c>
      <c r="R219" s="108">
        <v>0</v>
      </c>
      <c r="S219" s="108">
        <v>0</v>
      </c>
      <c r="T219" s="108">
        <v>0</v>
      </c>
      <c r="U219" s="108">
        <v>0</v>
      </c>
      <c r="V219" s="108">
        <v>0</v>
      </c>
      <c r="W219" s="108">
        <v>0</v>
      </c>
      <c r="X219" s="108">
        <v>0</v>
      </c>
      <c r="Y219" s="108">
        <v>0</v>
      </c>
      <c r="Z219" s="108">
        <v>0</v>
      </c>
      <c r="AA219" s="108">
        <v>0</v>
      </c>
      <c r="AB219" s="108">
        <v>0</v>
      </c>
      <c r="AC219" s="108">
        <v>0</v>
      </c>
      <c r="AD219" s="108">
        <v>0</v>
      </c>
      <c r="AE219" s="108">
        <v>0</v>
      </c>
      <c r="AF219" s="108">
        <v>0</v>
      </c>
      <c r="AG219" s="108">
        <v>0</v>
      </c>
      <c r="AH219" s="108">
        <v>0</v>
      </c>
      <c r="AI219" s="108">
        <v>0</v>
      </c>
      <c r="AJ219" s="108">
        <v>0</v>
      </c>
      <c r="AK219" s="108">
        <v>0</v>
      </c>
      <c r="AL219" s="108">
        <v>0</v>
      </c>
      <c r="AM219" s="108">
        <v>0</v>
      </c>
      <c r="AN219" s="108">
        <v>0</v>
      </c>
      <c r="AO219" s="108">
        <v>0</v>
      </c>
      <c r="AP219" s="108">
        <v>0</v>
      </c>
      <c r="AQ219" s="108">
        <v>0</v>
      </c>
      <c r="AR219" s="108">
        <v>0</v>
      </c>
      <c r="AS219" s="108">
        <v>0</v>
      </c>
      <c r="AT219" s="108">
        <v>0</v>
      </c>
      <c r="AU219" s="108">
        <v>0</v>
      </c>
      <c r="AV219" s="108">
        <v>0</v>
      </c>
      <c r="AW219" s="108">
        <v>0</v>
      </c>
      <c r="AX219" s="108">
        <v>0</v>
      </c>
      <c r="AY219" s="108">
        <v>0</v>
      </c>
    </row>
    <row r="220" spans="1:51">
      <c r="A220" s="107"/>
      <c r="B220" s="116">
        <v>12</v>
      </c>
      <c r="C220" s="104">
        <v>0</v>
      </c>
      <c r="D220" s="108">
        <v>0</v>
      </c>
      <c r="E220" s="108">
        <v>0</v>
      </c>
      <c r="F220" s="108">
        <v>0</v>
      </c>
      <c r="G220" s="108">
        <v>0</v>
      </c>
      <c r="H220" s="108">
        <v>0</v>
      </c>
      <c r="I220" s="108">
        <v>0</v>
      </c>
      <c r="J220" s="108">
        <v>0</v>
      </c>
      <c r="K220" s="108">
        <v>0</v>
      </c>
      <c r="L220" s="108">
        <v>0</v>
      </c>
      <c r="M220" s="108">
        <v>0</v>
      </c>
      <c r="N220" s="108">
        <v>0</v>
      </c>
      <c r="O220" s="108">
        <v>0</v>
      </c>
      <c r="P220" s="108">
        <v>0</v>
      </c>
      <c r="Q220" s="108">
        <v>0</v>
      </c>
      <c r="R220" s="108">
        <v>0</v>
      </c>
      <c r="S220" s="108">
        <v>0</v>
      </c>
      <c r="T220" s="108">
        <v>0</v>
      </c>
      <c r="U220" s="108">
        <v>0</v>
      </c>
      <c r="V220" s="108">
        <v>0</v>
      </c>
      <c r="W220" s="108">
        <v>0</v>
      </c>
      <c r="X220" s="108">
        <v>0</v>
      </c>
      <c r="Y220" s="108">
        <v>0</v>
      </c>
      <c r="Z220" s="108">
        <v>0</v>
      </c>
      <c r="AA220" s="108">
        <v>0</v>
      </c>
      <c r="AB220" s="108">
        <v>0</v>
      </c>
      <c r="AC220" s="108">
        <v>0</v>
      </c>
      <c r="AD220" s="108">
        <v>0</v>
      </c>
      <c r="AE220" s="108">
        <v>0</v>
      </c>
      <c r="AF220" s="108">
        <v>0</v>
      </c>
      <c r="AG220" s="108">
        <v>0</v>
      </c>
      <c r="AH220" s="108">
        <v>0</v>
      </c>
      <c r="AI220" s="108">
        <v>0</v>
      </c>
      <c r="AJ220" s="108">
        <v>0</v>
      </c>
      <c r="AK220" s="108">
        <v>0</v>
      </c>
      <c r="AL220" s="108">
        <v>0</v>
      </c>
      <c r="AM220" s="108">
        <v>0</v>
      </c>
      <c r="AN220" s="108">
        <v>0</v>
      </c>
      <c r="AO220" s="108">
        <v>0</v>
      </c>
      <c r="AP220" s="108">
        <v>0</v>
      </c>
      <c r="AQ220" s="108">
        <v>0</v>
      </c>
      <c r="AR220" s="108">
        <v>0</v>
      </c>
      <c r="AS220" s="108">
        <v>0</v>
      </c>
      <c r="AT220" s="108">
        <v>0</v>
      </c>
      <c r="AU220" s="108">
        <v>0</v>
      </c>
      <c r="AV220" s="108">
        <v>0</v>
      </c>
      <c r="AW220" s="108">
        <v>0</v>
      </c>
      <c r="AX220" s="108">
        <v>0</v>
      </c>
      <c r="AY220" s="108">
        <v>0</v>
      </c>
    </row>
    <row r="221" spans="1:51">
      <c r="A221" s="107"/>
      <c r="B221" s="117">
        <v>13</v>
      </c>
      <c r="C221" s="104">
        <v>0</v>
      </c>
      <c r="D221" s="108">
        <v>0</v>
      </c>
      <c r="E221" s="108">
        <v>0</v>
      </c>
      <c r="F221" s="108">
        <v>0</v>
      </c>
      <c r="G221" s="108">
        <v>0</v>
      </c>
      <c r="H221" s="108">
        <v>0</v>
      </c>
      <c r="I221" s="108">
        <v>0</v>
      </c>
      <c r="J221" s="108">
        <v>0</v>
      </c>
      <c r="K221" s="108">
        <v>0</v>
      </c>
      <c r="L221" s="108">
        <v>0</v>
      </c>
      <c r="M221" s="108">
        <v>0</v>
      </c>
      <c r="N221" s="108">
        <v>0</v>
      </c>
      <c r="O221" s="108">
        <v>0</v>
      </c>
      <c r="P221" s="108">
        <v>0</v>
      </c>
      <c r="Q221" s="108">
        <v>0</v>
      </c>
      <c r="R221" s="108">
        <v>0</v>
      </c>
      <c r="S221" s="108">
        <v>0</v>
      </c>
      <c r="T221" s="108">
        <v>0</v>
      </c>
      <c r="U221" s="108">
        <v>0</v>
      </c>
      <c r="V221" s="108">
        <v>0</v>
      </c>
      <c r="W221" s="108">
        <v>0</v>
      </c>
      <c r="X221" s="108">
        <v>0</v>
      </c>
      <c r="Y221" s="108">
        <v>0</v>
      </c>
      <c r="Z221" s="108">
        <v>0</v>
      </c>
      <c r="AA221" s="108">
        <v>0</v>
      </c>
      <c r="AB221" s="108">
        <v>0</v>
      </c>
      <c r="AC221" s="108">
        <v>0</v>
      </c>
      <c r="AD221" s="108">
        <v>0</v>
      </c>
      <c r="AE221" s="108">
        <v>0</v>
      </c>
      <c r="AF221" s="108">
        <v>0</v>
      </c>
      <c r="AG221" s="108">
        <v>0</v>
      </c>
      <c r="AH221" s="108">
        <v>0</v>
      </c>
      <c r="AI221" s="108">
        <v>0</v>
      </c>
      <c r="AJ221" s="108">
        <v>0</v>
      </c>
      <c r="AK221" s="108">
        <v>0</v>
      </c>
      <c r="AL221" s="108">
        <v>0</v>
      </c>
      <c r="AM221" s="108">
        <v>0</v>
      </c>
      <c r="AN221" s="108">
        <v>0</v>
      </c>
      <c r="AO221" s="108">
        <v>0</v>
      </c>
      <c r="AP221" s="108">
        <v>0</v>
      </c>
      <c r="AQ221" s="108">
        <v>0</v>
      </c>
      <c r="AR221" s="108">
        <v>0</v>
      </c>
      <c r="AS221" s="108">
        <v>0</v>
      </c>
      <c r="AT221" s="108">
        <v>0</v>
      </c>
      <c r="AU221" s="108">
        <v>0</v>
      </c>
      <c r="AV221" s="108">
        <v>0</v>
      </c>
      <c r="AW221" s="108">
        <v>0</v>
      </c>
      <c r="AX221" s="108">
        <v>0</v>
      </c>
      <c r="AY221" s="108">
        <v>0</v>
      </c>
    </row>
    <row r="222" spans="1:51">
      <c r="A222" s="107"/>
      <c r="B222" s="117">
        <v>14</v>
      </c>
      <c r="C222" s="104">
        <v>0</v>
      </c>
      <c r="D222" s="108">
        <v>0</v>
      </c>
      <c r="E222" s="108">
        <v>0</v>
      </c>
      <c r="F222" s="108">
        <v>0</v>
      </c>
      <c r="G222" s="108">
        <v>0</v>
      </c>
      <c r="H222" s="108">
        <v>0</v>
      </c>
      <c r="I222" s="108">
        <v>0</v>
      </c>
      <c r="J222" s="108">
        <v>0</v>
      </c>
      <c r="K222" s="108">
        <v>0</v>
      </c>
      <c r="L222" s="108">
        <v>0</v>
      </c>
      <c r="M222" s="108">
        <v>0</v>
      </c>
      <c r="N222" s="108">
        <v>0</v>
      </c>
      <c r="O222" s="108">
        <v>0</v>
      </c>
      <c r="P222" s="108">
        <v>0</v>
      </c>
      <c r="Q222" s="108">
        <v>0</v>
      </c>
      <c r="R222" s="108">
        <v>0</v>
      </c>
      <c r="S222" s="108">
        <v>0</v>
      </c>
      <c r="T222" s="108">
        <v>0</v>
      </c>
      <c r="U222" s="108">
        <v>0</v>
      </c>
      <c r="V222" s="108">
        <v>0</v>
      </c>
      <c r="W222" s="108">
        <v>0</v>
      </c>
      <c r="X222" s="108">
        <v>0</v>
      </c>
      <c r="Y222" s="108">
        <v>0</v>
      </c>
      <c r="Z222" s="108">
        <v>0</v>
      </c>
      <c r="AA222" s="108">
        <v>0</v>
      </c>
      <c r="AB222" s="108">
        <v>0</v>
      </c>
      <c r="AC222" s="108">
        <v>0</v>
      </c>
      <c r="AD222" s="108">
        <v>0</v>
      </c>
      <c r="AE222" s="108">
        <v>0</v>
      </c>
      <c r="AF222" s="108">
        <v>0</v>
      </c>
      <c r="AG222" s="108">
        <v>0</v>
      </c>
      <c r="AH222" s="108">
        <v>0</v>
      </c>
      <c r="AI222" s="108">
        <v>0</v>
      </c>
      <c r="AJ222" s="108">
        <v>0</v>
      </c>
      <c r="AK222" s="108">
        <v>0</v>
      </c>
      <c r="AL222" s="108">
        <v>0</v>
      </c>
      <c r="AM222" s="108">
        <v>0</v>
      </c>
      <c r="AN222" s="108">
        <v>0</v>
      </c>
      <c r="AO222" s="108">
        <v>0</v>
      </c>
      <c r="AP222" s="108">
        <v>0</v>
      </c>
      <c r="AQ222" s="108">
        <v>0</v>
      </c>
      <c r="AR222" s="108">
        <v>0</v>
      </c>
      <c r="AS222" s="108">
        <v>0</v>
      </c>
      <c r="AT222" s="108">
        <v>0</v>
      </c>
      <c r="AU222" s="108">
        <v>0</v>
      </c>
      <c r="AV222" s="108">
        <v>0</v>
      </c>
      <c r="AW222" s="108">
        <v>0</v>
      </c>
      <c r="AX222" s="108">
        <v>0</v>
      </c>
      <c r="AY222" s="108">
        <v>0</v>
      </c>
    </row>
    <row r="223" spans="1:51">
      <c r="A223" s="107"/>
      <c r="B223" s="117">
        <v>15</v>
      </c>
      <c r="C223" s="104">
        <v>0</v>
      </c>
      <c r="D223" s="108">
        <v>0</v>
      </c>
      <c r="E223" s="108">
        <v>0</v>
      </c>
      <c r="F223" s="108">
        <v>0</v>
      </c>
      <c r="G223" s="108">
        <v>0</v>
      </c>
      <c r="H223" s="108">
        <v>0</v>
      </c>
      <c r="I223" s="108">
        <v>0</v>
      </c>
      <c r="J223" s="108">
        <v>0</v>
      </c>
      <c r="K223" s="108">
        <v>0</v>
      </c>
      <c r="L223" s="108">
        <v>0</v>
      </c>
      <c r="M223" s="108">
        <v>0</v>
      </c>
      <c r="N223" s="108">
        <v>0</v>
      </c>
      <c r="O223" s="108">
        <v>0</v>
      </c>
      <c r="P223" s="108">
        <v>0</v>
      </c>
      <c r="Q223" s="108">
        <v>0</v>
      </c>
      <c r="R223" s="108">
        <v>0</v>
      </c>
      <c r="S223" s="108">
        <v>0</v>
      </c>
      <c r="T223" s="108">
        <v>0</v>
      </c>
      <c r="U223" s="108">
        <v>0</v>
      </c>
      <c r="V223" s="108">
        <v>0</v>
      </c>
      <c r="W223" s="108">
        <v>0</v>
      </c>
      <c r="X223" s="108">
        <v>0</v>
      </c>
      <c r="Y223" s="108">
        <v>0</v>
      </c>
      <c r="Z223" s="108">
        <v>0</v>
      </c>
      <c r="AA223" s="108">
        <v>0</v>
      </c>
      <c r="AB223" s="108">
        <v>0</v>
      </c>
      <c r="AC223" s="108">
        <v>0</v>
      </c>
      <c r="AD223" s="108">
        <v>0</v>
      </c>
      <c r="AE223" s="108">
        <v>0</v>
      </c>
      <c r="AF223" s="108">
        <v>0</v>
      </c>
      <c r="AG223" s="108">
        <v>0</v>
      </c>
      <c r="AH223" s="108">
        <v>0</v>
      </c>
      <c r="AI223" s="108">
        <v>0</v>
      </c>
      <c r="AJ223" s="108">
        <v>0</v>
      </c>
      <c r="AK223" s="108">
        <v>0</v>
      </c>
      <c r="AL223" s="108">
        <v>0</v>
      </c>
      <c r="AM223" s="108">
        <v>0</v>
      </c>
      <c r="AN223" s="108">
        <v>0</v>
      </c>
      <c r="AO223" s="108">
        <v>0</v>
      </c>
      <c r="AP223" s="108">
        <v>0</v>
      </c>
      <c r="AQ223" s="108">
        <v>0</v>
      </c>
      <c r="AR223" s="108">
        <v>0</v>
      </c>
      <c r="AS223" s="108">
        <v>0</v>
      </c>
      <c r="AT223" s="108">
        <v>0</v>
      </c>
      <c r="AU223" s="108">
        <v>0</v>
      </c>
      <c r="AV223" s="108">
        <v>0</v>
      </c>
      <c r="AW223" s="108">
        <v>0</v>
      </c>
      <c r="AX223" s="108">
        <v>0</v>
      </c>
      <c r="AY223" s="108">
        <v>0</v>
      </c>
    </row>
    <row r="224" spans="1:51">
      <c r="A224" s="107"/>
      <c r="B224" s="117">
        <v>16</v>
      </c>
      <c r="C224" s="104">
        <v>0</v>
      </c>
      <c r="D224" s="108">
        <v>0</v>
      </c>
      <c r="E224" s="108">
        <v>0</v>
      </c>
      <c r="F224" s="108">
        <v>0</v>
      </c>
      <c r="G224" s="108">
        <v>0</v>
      </c>
      <c r="H224" s="108">
        <v>0</v>
      </c>
      <c r="I224" s="108">
        <v>0</v>
      </c>
      <c r="J224" s="108">
        <v>0</v>
      </c>
      <c r="K224" s="108">
        <v>0</v>
      </c>
      <c r="L224" s="108">
        <v>0</v>
      </c>
      <c r="M224" s="108">
        <v>0</v>
      </c>
      <c r="N224" s="108">
        <v>0</v>
      </c>
      <c r="O224" s="108">
        <v>0</v>
      </c>
      <c r="P224" s="108">
        <v>0</v>
      </c>
      <c r="Q224" s="108">
        <v>0</v>
      </c>
      <c r="R224" s="108">
        <v>0</v>
      </c>
      <c r="S224" s="108">
        <v>0</v>
      </c>
      <c r="T224" s="108">
        <v>0</v>
      </c>
      <c r="U224" s="108">
        <v>0</v>
      </c>
      <c r="V224" s="108">
        <v>0</v>
      </c>
      <c r="W224" s="108">
        <v>0</v>
      </c>
      <c r="X224" s="108">
        <v>0</v>
      </c>
      <c r="Y224" s="108">
        <v>0</v>
      </c>
      <c r="Z224" s="108">
        <v>0</v>
      </c>
      <c r="AA224" s="108">
        <v>0</v>
      </c>
      <c r="AB224" s="108">
        <v>0</v>
      </c>
      <c r="AC224" s="108">
        <v>0</v>
      </c>
      <c r="AD224" s="108">
        <v>0</v>
      </c>
      <c r="AE224" s="108">
        <v>0</v>
      </c>
      <c r="AF224" s="108">
        <v>0</v>
      </c>
      <c r="AG224" s="108">
        <v>0</v>
      </c>
      <c r="AH224" s="108">
        <v>0</v>
      </c>
      <c r="AI224" s="108">
        <v>0</v>
      </c>
      <c r="AJ224" s="108">
        <v>0</v>
      </c>
      <c r="AK224" s="108">
        <v>0</v>
      </c>
      <c r="AL224" s="108">
        <v>0</v>
      </c>
      <c r="AM224" s="108">
        <v>0</v>
      </c>
      <c r="AN224" s="108">
        <v>0</v>
      </c>
      <c r="AO224" s="108">
        <v>0</v>
      </c>
      <c r="AP224" s="108">
        <v>0</v>
      </c>
      <c r="AQ224" s="108">
        <v>0</v>
      </c>
      <c r="AR224" s="108">
        <v>0</v>
      </c>
      <c r="AS224" s="108">
        <v>0</v>
      </c>
      <c r="AT224" s="108">
        <v>0</v>
      </c>
      <c r="AU224" s="108">
        <v>0</v>
      </c>
      <c r="AV224" s="108">
        <v>0</v>
      </c>
      <c r="AW224" s="108">
        <v>0</v>
      </c>
      <c r="AX224" s="108">
        <v>0</v>
      </c>
      <c r="AY224" s="108">
        <v>0</v>
      </c>
    </row>
    <row r="225" spans="1:51">
      <c r="A225" s="107"/>
      <c r="B225" s="117">
        <v>17</v>
      </c>
      <c r="C225" s="104">
        <v>0</v>
      </c>
      <c r="D225" s="108">
        <v>0</v>
      </c>
      <c r="E225" s="108">
        <v>0</v>
      </c>
      <c r="F225" s="108">
        <v>0</v>
      </c>
      <c r="G225" s="108">
        <v>0</v>
      </c>
      <c r="H225" s="108">
        <v>0</v>
      </c>
      <c r="I225" s="108">
        <v>0</v>
      </c>
      <c r="J225" s="108">
        <v>0</v>
      </c>
      <c r="K225" s="108">
        <v>0</v>
      </c>
      <c r="L225" s="108">
        <v>0</v>
      </c>
      <c r="M225" s="108">
        <v>0</v>
      </c>
      <c r="N225" s="108">
        <v>0</v>
      </c>
      <c r="O225" s="108">
        <v>0</v>
      </c>
      <c r="P225" s="108">
        <v>0</v>
      </c>
      <c r="Q225" s="108">
        <v>0</v>
      </c>
      <c r="R225" s="108">
        <v>0</v>
      </c>
      <c r="S225" s="108">
        <v>0</v>
      </c>
      <c r="T225" s="108">
        <v>0</v>
      </c>
      <c r="U225" s="108">
        <v>0</v>
      </c>
      <c r="V225" s="108">
        <v>0</v>
      </c>
      <c r="W225" s="108">
        <v>0</v>
      </c>
      <c r="X225" s="108">
        <v>0</v>
      </c>
      <c r="Y225" s="108">
        <v>0</v>
      </c>
      <c r="Z225" s="108">
        <v>0</v>
      </c>
      <c r="AA225" s="108">
        <v>0</v>
      </c>
      <c r="AB225" s="108">
        <v>0</v>
      </c>
      <c r="AC225" s="108">
        <v>0</v>
      </c>
      <c r="AD225" s="108">
        <v>0</v>
      </c>
      <c r="AE225" s="108">
        <v>0</v>
      </c>
      <c r="AF225" s="108">
        <v>0</v>
      </c>
      <c r="AG225" s="108">
        <v>0</v>
      </c>
      <c r="AH225" s="108">
        <v>0</v>
      </c>
      <c r="AI225" s="108">
        <v>0</v>
      </c>
      <c r="AJ225" s="108">
        <v>0</v>
      </c>
      <c r="AK225" s="108">
        <v>0</v>
      </c>
      <c r="AL225" s="108">
        <v>0</v>
      </c>
      <c r="AM225" s="108">
        <v>0</v>
      </c>
      <c r="AN225" s="108">
        <v>0</v>
      </c>
      <c r="AO225" s="108">
        <v>0</v>
      </c>
      <c r="AP225" s="108">
        <v>0</v>
      </c>
      <c r="AQ225" s="108">
        <v>0</v>
      </c>
      <c r="AR225" s="108">
        <v>0</v>
      </c>
      <c r="AS225" s="108">
        <v>0</v>
      </c>
      <c r="AT225" s="108">
        <v>0</v>
      </c>
      <c r="AU225" s="108">
        <v>0</v>
      </c>
      <c r="AV225" s="108">
        <v>0</v>
      </c>
      <c r="AW225" s="108">
        <v>0</v>
      </c>
      <c r="AX225" s="108">
        <v>0</v>
      </c>
      <c r="AY225" s="108">
        <v>0</v>
      </c>
    </row>
    <row r="226" spans="1:51">
      <c r="A226" s="107"/>
      <c r="B226" s="117">
        <v>18</v>
      </c>
      <c r="C226" s="104">
        <v>0</v>
      </c>
      <c r="D226" s="108">
        <v>0</v>
      </c>
      <c r="E226" s="108">
        <v>0</v>
      </c>
      <c r="F226" s="108">
        <v>0</v>
      </c>
      <c r="G226" s="108">
        <v>0</v>
      </c>
      <c r="H226" s="108">
        <v>0</v>
      </c>
      <c r="I226" s="108">
        <v>0</v>
      </c>
      <c r="J226" s="108">
        <v>0</v>
      </c>
      <c r="K226" s="108">
        <v>0</v>
      </c>
      <c r="L226" s="108">
        <v>0</v>
      </c>
      <c r="M226" s="108">
        <v>0</v>
      </c>
      <c r="N226" s="108">
        <v>0</v>
      </c>
      <c r="O226" s="108">
        <v>0</v>
      </c>
      <c r="P226" s="108">
        <v>0</v>
      </c>
      <c r="Q226" s="108">
        <v>0</v>
      </c>
      <c r="R226" s="108">
        <v>0</v>
      </c>
      <c r="S226" s="108">
        <v>0</v>
      </c>
      <c r="T226" s="108">
        <v>0</v>
      </c>
      <c r="U226" s="108">
        <v>0</v>
      </c>
      <c r="V226" s="108">
        <v>0</v>
      </c>
      <c r="W226" s="108">
        <v>0</v>
      </c>
      <c r="X226" s="108">
        <v>0</v>
      </c>
      <c r="Y226" s="108">
        <v>0</v>
      </c>
      <c r="Z226" s="108">
        <v>0</v>
      </c>
      <c r="AA226" s="108">
        <v>0</v>
      </c>
      <c r="AB226" s="108">
        <v>0</v>
      </c>
      <c r="AC226" s="108">
        <v>0</v>
      </c>
      <c r="AD226" s="108">
        <v>0</v>
      </c>
      <c r="AE226" s="108">
        <v>0</v>
      </c>
      <c r="AF226" s="108">
        <v>0</v>
      </c>
      <c r="AG226" s="108">
        <v>0</v>
      </c>
      <c r="AH226" s="108">
        <v>0</v>
      </c>
      <c r="AI226" s="108">
        <v>0</v>
      </c>
      <c r="AJ226" s="108">
        <v>0</v>
      </c>
      <c r="AK226" s="108">
        <v>0</v>
      </c>
      <c r="AL226" s="108">
        <v>0</v>
      </c>
      <c r="AM226" s="108">
        <v>0</v>
      </c>
      <c r="AN226" s="108">
        <v>0</v>
      </c>
      <c r="AO226" s="108">
        <v>0</v>
      </c>
      <c r="AP226" s="108">
        <v>0</v>
      </c>
      <c r="AQ226" s="108">
        <v>0</v>
      </c>
      <c r="AR226" s="108">
        <v>0</v>
      </c>
      <c r="AS226" s="108">
        <v>0</v>
      </c>
      <c r="AT226" s="108">
        <v>0</v>
      </c>
      <c r="AU226" s="108">
        <v>0</v>
      </c>
      <c r="AV226" s="108">
        <v>0</v>
      </c>
      <c r="AW226" s="108">
        <v>0</v>
      </c>
      <c r="AX226" s="108">
        <v>0</v>
      </c>
      <c r="AY226" s="108">
        <v>0</v>
      </c>
    </row>
    <row r="227" spans="1:51">
      <c r="A227" s="107"/>
      <c r="B227" s="117">
        <v>19</v>
      </c>
      <c r="C227" s="104">
        <v>0</v>
      </c>
      <c r="D227" s="108">
        <v>0</v>
      </c>
      <c r="E227" s="108">
        <v>0</v>
      </c>
      <c r="F227" s="108">
        <v>0</v>
      </c>
      <c r="G227" s="108">
        <v>0</v>
      </c>
      <c r="H227" s="108">
        <v>0</v>
      </c>
      <c r="I227" s="108">
        <v>0</v>
      </c>
      <c r="J227" s="108">
        <v>0</v>
      </c>
      <c r="K227" s="108">
        <v>0</v>
      </c>
      <c r="L227" s="108">
        <v>0</v>
      </c>
      <c r="M227" s="108">
        <v>0</v>
      </c>
      <c r="N227" s="108">
        <v>0</v>
      </c>
      <c r="O227" s="108">
        <v>0</v>
      </c>
      <c r="P227" s="108">
        <v>0</v>
      </c>
      <c r="Q227" s="108">
        <v>0</v>
      </c>
      <c r="R227" s="108">
        <v>0</v>
      </c>
      <c r="S227" s="108">
        <v>0</v>
      </c>
      <c r="T227" s="108">
        <v>0</v>
      </c>
      <c r="U227" s="108">
        <v>0</v>
      </c>
      <c r="V227" s="108">
        <v>0</v>
      </c>
      <c r="W227" s="108">
        <v>0</v>
      </c>
      <c r="X227" s="108">
        <v>0</v>
      </c>
      <c r="Y227" s="108">
        <v>0</v>
      </c>
      <c r="Z227" s="108">
        <v>0</v>
      </c>
      <c r="AA227" s="108">
        <v>0</v>
      </c>
      <c r="AB227" s="108">
        <v>0</v>
      </c>
      <c r="AC227" s="108">
        <v>0</v>
      </c>
      <c r="AD227" s="108">
        <v>0</v>
      </c>
      <c r="AE227" s="108">
        <v>0</v>
      </c>
      <c r="AF227" s="108">
        <v>0</v>
      </c>
      <c r="AG227" s="108">
        <v>0</v>
      </c>
      <c r="AH227" s="108">
        <v>0</v>
      </c>
      <c r="AI227" s="108">
        <v>0</v>
      </c>
      <c r="AJ227" s="108">
        <v>0</v>
      </c>
      <c r="AK227" s="108">
        <v>0</v>
      </c>
      <c r="AL227" s="108">
        <v>0</v>
      </c>
      <c r="AM227" s="108">
        <v>0</v>
      </c>
      <c r="AN227" s="108">
        <v>0</v>
      </c>
      <c r="AO227" s="108">
        <v>0</v>
      </c>
      <c r="AP227" s="108">
        <v>0</v>
      </c>
      <c r="AQ227" s="108">
        <v>0</v>
      </c>
      <c r="AR227" s="108">
        <v>0</v>
      </c>
      <c r="AS227" s="108">
        <v>0</v>
      </c>
      <c r="AT227" s="108">
        <v>0</v>
      </c>
      <c r="AU227" s="108">
        <v>0</v>
      </c>
      <c r="AV227" s="108">
        <v>0</v>
      </c>
      <c r="AW227" s="108">
        <v>0</v>
      </c>
      <c r="AX227" s="108">
        <v>0</v>
      </c>
      <c r="AY227" s="108">
        <v>0</v>
      </c>
    </row>
    <row r="228" spans="1:51">
      <c r="A228" s="107"/>
      <c r="B228" s="117">
        <v>20</v>
      </c>
      <c r="C228" s="104">
        <v>0</v>
      </c>
      <c r="D228" s="108">
        <v>0</v>
      </c>
      <c r="E228" s="108">
        <v>0</v>
      </c>
      <c r="F228" s="108">
        <v>0</v>
      </c>
      <c r="G228" s="108">
        <v>0</v>
      </c>
      <c r="H228" s="108">
        <v>0</v>
      </c>
      <c r="I228" s="108">
        <v>0</v>
      </c>
      <c r="J228" s="108">
        <v>0</v>
      </c>
      <c r="K228" s="108">
        <v>0</v>
      </c>
      <c r="L228" s="108">
        <v>0</v>
      </c>
      <c r="M228" s="108">
        <v>0</v>
      </c>
      <c r="N228" s="108">
        <v>0</v>
      </c>
      <c r="O228" s="108">
        <v>0</v>
      </c>
      <c r="P228" s="108">
        <v>0</v>
      </c>
      <c r="Q228" s="108">
        <v>0</v>
      </c>
      <c r="R228" s="108">
        <v>0</v>
      </c>
      <c r="S228" s="108">
        <v>0</v>
      </c>
      <c r="T228" s="108">
        <v>0</v>
      </c>
      <c r="U228" s="108">
        <v>0</v>
      </c>
      <c r="V228" s="108">
        <v>0</v>
      </c>
      <c r="W228" s="108">
        <v>0</v>
      </c>
      <c r="X228" s="108">
        <v>0</v>
      </c>
      <c r="Y228" s="108">
        <v>0</v>
      </c>
      <c r="Z228" s="108">
        <v>0</v>
      </c>
      <c r="AA228" s="108">
        <v>0</v>
      </c>
      <c r="AB228" s="108">
        <v>0</v>
      </c>
      <c r="AC228" s="108">
        <v>0</v>
      </c>
      <c r="AD228" s="108">
        <v>0</v>
      </c>
      <c r="AE228" s="108">
        <v>0</v>
      </c>
      <c r="AF228" s="108">
        <v>0</v>
      </c>
      <c r="AG228" s="108">
        <v>0</v>
      </c>
      <c r="AH228" s="108">
        <v>0</v>
      </c>
      <c r="AI228" s="108">
        <v>0</v>
      </c>
      <c r="AJ228" s="108">
        <v>0</v>
      </c>
      <c r="AK228" s="108">
        <v>0</v>
      </c>
      <c r="AL228" s="108">
        <v>0</v>
      </c>
      <c r="AM228" s="108">
        <v>0</v>
      </c>
      <c r="AN228" s="108">
        <v>0</v>
      </c>
      <c r="AO228" s="108">
        <v>0</v>
      </c>
      <c r="AP228" s="108">
        <v>0</v>
      </c>
      <c r="AQ228" s="108">
        <v>0</v>
      </c>
      <c r="AR228" s="108">
        <v>0</v>
      </c>
      <c r="AS228" s="108">
        <v>0</v>
      </c>
      <c r="AT228" s="108">
        <v>0</v>
      </c>
      <c r="AU228" s="108">
        <v>0</v>
      </c>
      <c r="AV228" s="108">
        <v>0</v>
      </c>
      <c r="AW228" s="108">
        <v>0</v>
      </c>
      <c r="AX228" s="108">
        <v>0</v>
      </c>
      <c r="AY228" s="108">
        <v>0</v>
      </c>
    </row>
    <row r="229" spans="1:51">
      <c r="A229" s="107"/>
      <c r="B229" s="117">
        <v>21</v>
      </c>
      <c r="C229" s="104">
        <v>0</v>
      </c>
      <c r="D229" s="108">
        <v>0</v>
      </c>
      <c r="E229" s="108">
        <v>0</v>
      </c>
      <c r="F229" s="108">
        <v>0</v>
      </c>
      <c r="G229" s="108">
        <v>0</v>
      </c>
      <c r="H229" s="108">
        <v>0</v>
      </c>
      <c r="I229" s="108">
        <v>0</v>
      </c>
      <c r="J229" s="108">
        <v>0</v>
      </c>
      <c r="K229" s="108">
        <v>0</v>
      </c>
      <c r="L229" s="108">
        <v>0</v>
      </c>
      <c r="M229" s="108">
        <v>0</v>
      </c>
      <c r="N229" s="108">
        <v>0</v>
      </c>
      <c r="O229" s="108">
        <v>0</v>
      </c>
      <c r="P229" s="108">
        <v>0</v>
      </c>
      <c r="Q229" s="108">
        <v>0</v>
      </c>
      <c r="R229" s="108">
        <v>0</v>
      </c>
      <c r="S229" s="108">
        <v>0</v>
      </c>
      <c r="T229" s="108">
        <v>0</v>
      </c>
      <c r="U229" s="108">
        <v>0</v>
      </c>
      <c r="V229" s="108">
        <v>0</v>
      </c>
      <c r="W229" s="108">
        <v>0</v>
      </c>
      <c r="X229" s="108">
        <v>0</v>
      </c>
      <c r="Y229" s="108">
        <v>0</v>
      </c>
      <c r="Z229" s="108">
        <v>0</v>
      </c>
      <c r="AA229" s="108">
        <v>0</v>
      </c>
      <c r="AB229" s="108">
        <v>0</v>
      </c>
      <c r="AC229" s="108">
        <v>0</v>
      </c>
      <c r="AD229" s="108">
        <v>0</v>
      </c>
      <c r="AE229" s="108">
        <v>0</v>
      </c>
      <c r="AF229" s="108">
        <v>0</v>
      </c>
      <c r="AG229" s="108">
        <v>0</v>
      </c>
      <c r="AH229" s="108">
        <v>0</v>
      </c>
      <c r="AI229" s="108">
        <v>0</v>
      </c>
      <c r="AJ229" s="108">
        <v>0</v>
      </c>
      <c r="AK229" s="108">
        <v>0</v>
      </c>
      <c r="AL229" s="108">
        <v>0</v>
      </c>
      <c r="AM229" s="108">
        <v>0</v>
      </c>
      <c r="AN229" s="108">
        <v>0</v>
      </c>
      <c r="AO229" s="108">
        <v>0</v>
      </c>
      <c r="AP229" s="108">
        <v>0</v>
      </c>
      <c r="AQ229" s="108">
        <v>0</v>
      </c>
      <c r="AR229" s="108">
        <v>0</v>
      </c>
      <c r="AS229" s="108">
        <v>0</v>
      </c>
      <c r="AT229" s="108">
        <v>0</v>
      </c>
      <c r="AU229" s="108">
        <v>0</v>
      </c>
      <c r="AV229" s="108">
        <v>0</v>
      </c>
      <c r="AW229" s="108">
        <v>0</v>
      </c>
      <c r="AX229" s="108">
        <v>0</v>
      </c>
      <c r="AY229" s="108">
        <v>0</v>
      </c>
    </row>
    <row r="230" spans="1:51">
      <c r="A230" s="107"/>
      <c r="B230" s="117">
        <v>22</v>
      </c>
      <c r="C230" s="104">
        <v>0</v>
      </c>
      <c r="D230" s="108">
        <v>0</v>
      </c>
      <c r="E230" s="108">
        <v>0</v>
      </c>
      <c r="F230" s="108">
        <v>0</v>
      </c>
      <c r="G230" s="108">
        <v>0</v>
      </c>
      <c r="H230" s="108">
        <v>0</v>
      </c>
      <c r="I230" s="108">
        <v>0</v>
      </c>
      <c r="J230" s="108">
        <v>0</v>
      </c>
      <c r="K230" s="108">
        <v>0</v>
      </c>
      <c r="L230" s="108">
        <v>0</v>
      </c>
      <c r="M230" s="108">
        <v>0</v>
      </c>
      <c r="N230" s="108">
        <v>0</v>
      </c>
      <c r="O230" s="108">
        <v>0</v>
      </c>
      <c r="P230" s="108">
        <v>0</v>
      </c>
      <c r="Q230" s="108">
        <v>0</v>
      </c>
      <c r="R230" s="108">
        <v>0</v>
      </c>
      <c r="S230" s="108">
        <v>0</v>
      </c>
      <c r="T230" s="108">
        <v>0</v>
      </c>
      <c r="U230" s="108">
        <v>0</v>
      </c>
      <c r="V230" s="108">
        <v>0</v>
      </c>
      <c r="W230" s="108">
        <v>0</v>
      </c>
      <c r="X230" s="108">
        <v>0</v>
      </c>
      <c r="Y230" s="108">
        <v>0</v>
      </c>
      <c r="Z230" s="108">
        <v>0</v>
      </c>
      <c r="AA230" s="108">
        <v>0</v>
      </c>
      <c r="AB230" s="108">
        <v>0</v>
      </c>
      <c r="AC230" s="108">
        <v>0</v>
      </c>
      <c r="AD230" s="108">
        <v>0</v>
      </c>
      <c r="AE230" s="108">
        <v>0</v>
      </c>
      <c r="AF230" s="108">
        <v>0</v>
      </c>
      <c r="AG230" s="108">
        <v>0</v>
      </c>
      <c r="AH230" s="108">
        <v>0</v>
      </c>
      <c r="AI230" s="108">
        <v>0</v>
      </c>
      <c r="AJ230" s="108">
        <v>0</v>
      </c>
      <c r="AK230" s="108">
        <v>0</v>
      </c>
      <c r="AL230" s="108">
        <v>0</v>
      </c>
      <c r="AM230" s="108">
        <v>0</v>
      </c>
      <c r="AN230" s="108">
        <v>0</v>
      </c>
      <c r="AO230" s="108">
        <v>0</v>
      </c>
      <c r="AP230" s="108">
        <v>0</v>
      </c>
      <c r="AQ230" s="108">
        <v>0</v>
      </c>
      <c r="AR230" s="108">
        <v>0</v>
      </c>
      <c r="AS230" s="108">
        <v>0</v>
      </c>
      <c r="AT230" s="108">
        <v>0</v>
      </c>
      <c r="AU230" s="108">
        <v>0</v>
      </c>
      <c r="AV230" s="108">
        <v>0</v>
      </c>
      <c r="AW230" s="108">
        <v>0</v>
      </c>
      <c r="AX230" s="108">
        <v>0</v>
      </c>
      <c r="AY230" s="108">
        <v>0</v>
      </c>
    </row>
    <row r="231" spans="1:51">
      <c r="A231" s="107"/>
      <c r="B231" s="117">
        <v>23</v>
      </c>
      <c r="C231" s="104">
        <v>0</v>
      </c>
      <c r="D231" s="108">
        <v>0</v>
      </c>
      <c r="E231" s="108">
        <v>0</v>
      </c>
      <c r="F231" s="108">
        <v>0</v>
      </c>
      <c r="G231" s="108">
        <v>0</v>
      </c>
      <c r="H231" s="108">
        <v>0</v>
      </c>
      <c r="I231" s="108">
        <v>0</v>
      </c>
      <c r="J231" s="108">
        <v>0</v>
      </c>
      <c r="K231" s="108">
        <v>0</v>
      </c>
      <c r="L231" s="108">
        <v>0</v>
      </c>
      <c r="M231" s="108">
        <v>0</v>
      </c>
      <c r="N231" s="108">
        <v>0</v>
      </c>
      <c r="O231" s="108">
        <v>0</v>
      </c>
      <c r="P231" s="108">
        <v>0</v>
      </c>
      <c r="Q231" s="108">
        <v>0</v>
      </c>
      <c r="R231" s="108">
        <v>0</v>
      </c>
      <c r="S231" s="108">
        <v>0</v>
      </c>
      <c r="T231" s="108">
        <v>0</v>
      </c>
      <c r="U231" s="108">
        <v>0</v>
      </c>
      <c r="V231" s="108">
        <v>0</v>
      </c>
      <c r="W231" s="108">
        <v>0</v>
      </c>
      <c r="X231" s="108">
        <v>0</v>
      </c>
      <c r="Y231" s="108">
        <v>0</v>
      </c>
      <c r="Z231" s="108">
        <v>0</v>
      </c>
      <c r="AA231" s="108">
        <v>0</v>
      </c>
      <c r="AB231" s="108">
        <v>0</v>
      </c>
      <c r="AC231" s="108">
        <v>0</v>
      </c>
      <c r="AD231" s="108">
        <v>0</v>
      </c>
      <c r="AE231" s="108">
        <v>0</v>
      </c>
      <c r="AF231" s="108">
        <v>0</v>
      </c>
      <c r="AG231" s="108">
        <v>0</v>
      </c>
      <c r="AH231" s="108">
        <v>0</v>
      </c>
      <c r="AI231" s="108">
        <v>0</v>
      </c>
      <c r="AJ231" s="108">
        <v>0</v>
      </c>
      <c r="AK231" s="108">
        <v>0</v>
      </c>
      <c r="AL231" s="108">
        <v>0</v>
      </c>
      <c r="AM231" s="108">
        <v>0</v>
      </c>
      <c r="AN231" s="108">
        <v>0</v>
      </c>
      <c r="AO231" s="108">
        <v>0</v>
      </c>
      <c r="AP231" s="108">
        <v>0</v>
      </c>
      <c r="AQ231" s="108">
        <v>0</v>
      </c>
      <c r="AR231" s="108">
        <v>0</v>
      </c>
      <c r="AS231" s="108">
        <v>0</v>
      </c>
      <c r="AT231" s="108">
        <v>0</v>
      </c>
      <c r="AU231" s="108">
        <v>0</v>
      </c>
      <c r="AV231" s="108">
        <v>0</v>
      </c>
      <c r="AW231" s="108">
        <v>0</v>
      </c>
      <c r="AX231" s="108">
        <v>0</v>
      </c>
      <c r="AY231" s="108">
        <v>0</v>
      </c>
    </row>
    <row r="232" spans="1:51">
      <c r="A232" s="107"/>
      <c r="B232" s="117">
        <v>24</v>
      </c>
      <c r="C232" s="104">
        <v>0</v>
      </c>
      <c r="D232" s="108">
        <v>0</v>
      </c>
      <c r="E232" s="108">
        <v>0</v>
      </c>
      <c r="F232" s="108">
        <v>0</v>
      </c>
      <c r="G232" s="108">
        <v>0</v>
      </c>
      <c r="H232" s="108">
        <v>0</v>
      </c>
      <c r="I232" s="108">
        <v>0</v>
      </c>
      <c r="J232" s="108">
        <v>0</v>
      </c>
      <c r="K232" s="108">
        <v>0</v>
      </c>
      <c r="L232" s="108">
        <v>0</v>
      </c>
      <c r="M232" s="108">
        <v>0</v>
      </c>
      <c r="N232" s="108">
        <v>0</v>
      </c>
      <c r="O232" s="108">
        <v>0</v>
      </c>
      <c r="P232" s="108">
        <v>0</v>
      </c>
      <c r="Q232" s="108">
        <v>0</v>
      </c>
      <c r="R232" s="108">
        <v>0</v>
      </c>
      <c r="S232" s="108">
        <v>0</v>
      </c>
      <c r="T232" s="108">
        <v>0</v>
      </c>
      <c r="U232" s="108">
        <v>0</v>
      </c>
      <c r="V232" s="108">
        <v>0</v>
      </c>
      <c r="W232" s="108">
        <v>0</v>
      </c>
      <c r="X232" s="108">
        <v>0</v>
      </c>
      <c r="Y232" s="108">
        <v>0</v>
      </c>
      <c r="Z232" s="108">
        <v>0</v>
      </c>
      <c r="AA232" s="108">
        <v>0</v>
      </c>
      <c r="AB232" s="108">
        <v>0</v>
      </c>
      <c r="AC232" s="108">
        <v>0</v>
      </c>
      <c r="AD232" s="108">
        <v>0</v>
      </c>
      <c r="AE232" s="108">
        <v>0</v>
      </c>
      <c r="AF232" s="108">
        <v>0</v>
      </c>
      <c r="AG232" s="108">
        <v>0</v>
      </c>
      <c r="AH232" s="108">
        <v>0</v>
      </c>
      <c r="AI232" s="108">
        <v>0</v>
      </c>
      <c r="AJ232" s="108">
        <v>0</v>
      </c>
      <c r="AK232" s="108">
        <v>0</v>
      </c>
      <c r="AL232" s="108">
        <v>0</v>
      </c>
      <c r="AM232" s="108">
        <v>0</v>
      </c>
      <c r="AN232" s="108">
        <v>0</v>
      </c>
      <c r="AO232" s="108">
        <v>0</v>
      </c>
      <c r="AP232" s="108">
        <v>0</v>
      </c>
      <c r="AQ232" s="108">
        <v>0</v>
      </c>
      <c r="AR232" s="108">
        <v>0</v>
      </c>
      <c r="AS232" s="108">
        <v>0</v>
      </c>
      <c r="AT232" s="108">
        <v>0</v>
      </c>
      <c r="AU232" s="108">
        <v>0</v>
      </c>
      <c r="AV232" s="108">
        <v>0</v>
      </c>
      <c r="AW232" s="108">
        <v>0</v>
      </c>
      <c r="AX232" s="108">
        <v>0</v>
      </c>
      <c r="AY232" s="108">
        <v>0</v>
      </c>
    </row>
    <row r="233" spans="1:51">
      <c r="A233" s="107"/>
      <c r="B233" s="124">
        <v>25</v>
      </c>
      <c r="C233" s="104">
        <v>0</v>
      </c>
      <c r="D233" s="108">
        <v>0</v>
      </c>
      <c r="E233" s="108">
        <v>0</v>
      </c>
      <c r="F233" s="108">
        <v>0</v>
      </c>
      <c r="G233" s="108">
        <v>0</v>
      </c>
      <c r="H233" s="108">
        <v>0</v>
      </c>
      <c r="I233" s="108">
        <v>0</v>
      </c>
      <c r="J233" s="108">
        <v>0</v>
      </c>
      <c r="K233" s="108">
        <v>0</v>
      </c>
      <c r="L233" s="108">
        <v>0</v>
      </c>
      <c r="M233" s="108">
        <v>0</v>
      </c>
      <c r="N233" s="108">
        <v>0</v>
      </c>
      <c r="O233" s="108">
        <v>0</v>
      </c>
      <c r="P233" s="108">
        <v>0</v>
      </c>
      <c r="Q233" s="108">
        <v>0</v>
      </c>
      <c r="R233" s="108">
        <v>0</v>
      </c>
      <c r="S233" s="108">
        <v>0</v>
      </c>
      <c r="T233" s="108">
        <v>0</v>
      </c>
      <c r="U233" s="108">
        <v>0</v>
      </c>
      <c r="V233" s="108">
        <v>0</v>
      </c>
      <c r="W233" s="108">
        <v>0</v>
      </c>
      <c r="X233" s="108">
        <v>0</v>
      </c>
      <c r="Y233" s="108">
        <v>0</v>
      </c>
      <c r="Z233" s="108">
        <v>0</v>
      </c>
      <c r="AA233" s="108">
        <v>0</v>
      </c>
      <c r="AB233" s="108">
        <v>0</v>
      </c>
      <c r="AC233" s="108">
        <v>0</v>
      </c>
      <c r="AD233" s="108">
        <v>0</v>
      </c>
      <c r="AE233" s="108">
        <v>0</v>
      </c>
      <c r="AF233" s="108">
        <v>0</v>
      </c>
      <c r="AG233" s="108">
        <v>0</v>
      </c>
      <c r="AH233" s="108">
        <v>0</v>
      </c>
      <c r="AI233" s="108">
        <v>0</v>
      </c>
      <c r="AJ233" s="108">
        <v>0</v>
      </c>
      <c r="AK233" s="108">
        <v>0</v>
      </c>
      <c r="AL233" s="108">
        <v>0</v>
      </c>
      <c r="AM233" s="108">
        <v>0</v>
      </c>
      <c r="AN233" s="108">
        <v>0</v>
      </c>
      <c r="AO233" s="108">
        <v>0</v>
      </c>
      <c r="AP233" s="108">
        <v>0</v>
      </c>
      <c r="AQ233" s="108">
        <v>0</v>
      </c>
      <c r="AR233" s="108">
        <v>0</v>
      </c>
      <c r="AS233" s="108">
        <v>0</v>
      </c>
      <c r="AT233" s="108">
        <v>0</v>
      </c>
      <c r="AU233" s="108">
        <v>0</v>
      </c>
      <c r="AV233" s="108">
        <v>0</v>
      </c>
      <c r="AW233" s="108">
        <v>0</v>
      </c>
      <c r="AX233" s="108">
        <v>0</v>
      </c>
      <c r="AY233" s="108">
        <v>0</v>
      </c>
    </row>
    <row r="234" spans="1:51">
      <c r="A234" s="107"/>
      <c r="B234" s="124">
        <v>26</v>
      </c>
      <c r="C234" s="104">
        <v>0</v>
      </c>
      <c r="D234" s="108">
        <v>0</v>
      </c>
      <c r="E234" s="108">
        <v>0</v>
      </c>
      <c r="F234" s="108">
        <v>0</v>
      </c>
      <c r="G234" s="108">
        <v>0</v>
      </c>
      <c r="H234" s="108">
        <v>0</v>
      </c>
      <c r="I234" s="108">
        <v>0</v>
      </c>
      <c r="J234" s="108">
        <v>0</v>
      </c>
      <c r="K234" s="108">
        <v>0</v>
      </c>
      <c r="L234" s="108">
        <v>0</v>
      </c>
      <c r="M234" s="108">
        <v>0</v>
      </c>
      <c r="N234" s="108">
        <v>0</v>
      </c>
      <c r="O234" s="108">
        <v>0</v>
      </c>
      <c r="P234" s="108">
        <v>0</v>
      </c>
      <c r="Q234" s="108">
        <v>0</v>
      </c>
      <c r="R234" s="108">
        <v>0</v>
      </c>
      <c r="S234" s="108">
        <v>0</v>
      </c>
      <c r="T234" s="108">
        <v>0</v>
      </c>
      <c r="U234" s="108">
        <v>0</v>
      </c>
      <c r="V234" s="108">
        <v>0</v>
      </c>
      <c r="W234" s="108">
        <v>0</v>
      </c>
      <c r="X234" s="108">
        <v>0</v>
      </c>
      <c r="Y234" s="108">
        <v>0</v>
      </c>
      <c r="Z234" s="108">
        <v>0</v>
      </c>
      <c r="AA234" s="108">
        <v>0</v>
      </c>
      <c r="AB234" s="108">
        <v>0</v>
      </c>
      <c r="AC234" s="108">
        <v>0</v>
      </c>
      <c r="AD234" s="108">
        <v>0</v>
      </c>
      <c r="AE234" s="108">
        <v>0</v>
      </c>
      <c r="AF234" s="108">
        <v>0</v>
      </c>
      <c r="AG234" s="108">
        <v>0</v>
      </c>
      <c r="AH234" s="108">
        <v>0</v>
      </c>
      <c r="AI234" s="108">
        <v>0</v>
      </c>
      <c r="AJ234" s="108">
        <v>0</v>
      </c>
      <c r="AK234" s="108">
        <v>0</v>
      </c>
      <c r="AL234" s="108">
        <v>0</v>
      </c>
      <c r="AM234" s="108">
        <v>0</v>
      </c>
      <c r="AN234" s="108">
        <v>0</v>
      </c>
      <c r="AO234" s="108">
        <v>0</v>
      </c>
      <c r="AP234" s="108">
        <v>0</v>
      </c>
      <c r="AQ234" s="108">
        <v>0</v>
      </c>
      <c r="AR234" s="108">
        <v>0</v>
      </c>
      <c r="AS234" s="108">
        <v>0</v>
      </c>
      <c r="AT234" s="108">
        <v>0</v>
      </c>
      <c r="AU234" s="108">
        <v>0</v>
      </c>
      <c r="AV234" s="108">
        <v>0</v>
      </c>
      <c r="AW234" s="108">
        <v>0</v>
      </c>
      <c r="AX234" s="108">
        <v>0</v>
      </c>
      <c r="AY234" s="108">
        <v>0</v>
      </c>
    </row>
    <row r="235" spans="1:51">
      <c r="A235" s="107"/>
      <c r="B235" s="124">
        <v>27</v>
      </c>
      <c r="C235" s="104">
        <v>0</v>
      </c>
      <c r="D235" s="108">
        <v>0</v>
      </c>
      <c r="E235" s="108">
        <v>0</v>
      </c>
      <c r="F235" s="108">
        <v>0</v>
      </c>
      <c r="G235" s="108">
        <v>0</v>
      </c>
      <c r="H235" s="108">
        <v>0</v>
      </c>
      <c r="I235" s="108">
        <v>0</v>
      </c>
      <c r="J235" s="108">
        <v>0</v>
      </c>
      <c r="K235" s="108">
        <v>0</v>
      </c>
      <c r="L235" s="108">
        <v>0</v>
      </c>
      <c r="M235" s="108">
        <v>0</v>
      </c>
      <c r="N235" s="108">
        <v>0</v>
      </c>
      <c r="O235" s="108">
        <v>0</v>
      </c>
      <c r="P235" s="108">
        <v>0</v>
      </c>
      <c r="Q235" s="108">
        <v>0</v>
      </c>
      <c r="R235" s="108">
        <v>0</v>
      </c>
      <c r="S235" s="108">
        <v>0</v>
      </c>
      <c r="T235" s="108">
        <v>0</v>
      </c>
      <c r="U235" s="108">
        <v>0</v>
      </c>
      <c r="V235" s="108">
        <v>0</v>
      </c>
      <c r="W235" s="108">
        <v>0</v>
      </c>
      <c r="X235" s="108">
        <v>0</v>
      </c>
      <c r="Y235" s="108">
        <v>0</v>
      </c>
      <c r="Z235" s="108">
        <v>0</v>
      </c>
      <c r="AA235" s="108">
        <v>0</v>
      </c>
      <c r="AB235" s="108">
        <v>0</v>
      </c>
      <c r="AC235" s="108">
        <v>0</v>
      </c>
      <c r="AD235" s="108">
        <v>0</v>
      </c>
      <c r="AE235" s="108">
        <v>0</v>
      </c>
      <c r="AF235" s="108">
        <v>0</v>
      </c>
      <c r="AG235" s="108">
        <v>0</v>
      </c>
      <c r="AH235" s="108">
        <v>0</v>
      </c>
      <c r="AI235" s="108">
        <v>0</v>
      </c>
      <c r="AJ235" s="108">
        <v>0</v>
      </c>
      <c r="AK235" s="108">
        <v>0</v>
      </c>
      <c r="AL235" s="108">
        <v>0</v>
      </c>
      <c r="AM235" s="108">
        <v>0</v>
      </c>
      <c r="AN235" s="108">
        <v>0</v>
      </c>
      <c r="AO235" s="108">
        <v>0</v>
      </c>
      <c r="AP235" s="108">
        <v>0</v>
      </c>
      <c r="AQ235" s="108">
        <v>0</v>
      </c>
      <c r="AR235" s="108">
        <v>0</v>
      </c>
      <c r="AS235" s="108">
        <v>0</v>
      </c>
      <c r="AT235" s="108">
        <v>0</v>
      </c>
      <c r="AU235" s="108">
        <v>0</v>
      </c>
      <c r="AV235" s="108">
        <v>0</v>
      </c>
      <c r="AW235" s="108">
        <v>0</v>
      </c>
      <c r="AX235" s="108">
        <v>0</v>
      </c>
      <c r="AY235" s="108">
        <v>0</v>
      </c>
    </row>
    <row r="236" spans="1:51">
      <c r="A236" s="107"/>
      <c r="B236" s="124">
        <v>28</v>
      </c>
      <c r="C236" s="104">
        <v>0</v>
      </c>
      <c r="D236" s="108">
        <v>0</v>
      </c>
      <c r="E236" s="108">
        <v>0</v>
      </c>
      <c r="F236" s="108">
        <v>0</v>
      </c>
      <c r="G236" s="108">
        <v>0</v>
      </c>
      <c r="H236" s="108">
        <v>0</v>
      </c>
      <c r="I236" s="108">
        <v>0</v>
      </c>
      <c r="J236" s="108">
        <v>0</v>
      </c>
      <c r="K236" s="108">
        <v>0</v>
      </c>
      <c r="L236" s="108">
        <v>0</v>
      </c>
      <c r="M236" s="108">
        <v>0</v>
      </c>
      <c r="N236" s="108">
        <v>0</v>
      </c>
      <c r="O236" s="108">
        <v>0</v>
      </c>
      <c r="P236" s="108">
        <v>0</v>
      </c>
      <c r="Q236" s="108">
        <v>0</v>
      </c>
      <c r="R236" s="108">
        <v>0</v>
      </c>
      <c r="S236" s="108">
        <v>0</v>
      </c>
      <c r="T236" s="108">
        <v>0</v>
      </c>
      <c r="U236" s="108">
        <v>0</v>
      </c>
      <c r="V236" s="108">
        <v>0</v>
      </c>
      <c r="W236" s="108">
        <v>0</v>
      </c>
      <c r="X236" s="108">
        <v>0</v>
      </c>
      <c r="Y236" s="108">
        <v>0</v>
      </c>
      <c r="Z236" s="108">
        <v>0</v>
      </c>
      <c r="AA236" s="108">
        <v>0</v>
      </c>
      <c r="AB236" s="108">
        <v>0</v>
      </c>
      <c r="AC236" s="108">
        <v>0</v>
      </c>
      <c r="AD236" s="108">
        <v>0</v>
      </c>
      <c r="AE236" s="108">
        <v>0</v>
      </c>
      <c r="AF236" s="108">
        <v>0</v>
      </c>
      <c r="AG236" s="108">
        <v>0</v>
      </c>
      <c r="AH236" s="108">
        <v>0</v>
      </c>
      <c r="AI236" s="108">
        <v>0</v>
      </c>
      <c r="AJ236" s="108">
        <v>0</v>
      </c>
      <c r="AK236" s="108">
        <v>0</v>
      </c>
      <c r="AL236" s="108">
        <v>0</v>
      </c>
      <c r="AM236" s="108">
        <v>0</v>
      </c>
      <c r="AN236" s="108">
        <v>0</v>
      </c>
      <c r="AO236" s="108">
        <v>0</v>
      </c>
      <c r="AP236" s="108">
        <v>0</v>
      </c>
      <c r="AQ236" s="108">
        <v>0</v>
      </c>
      <c r="AR236" s="108">
        <v>0</v>
      </c>
      <c r="AS236" s="108">
        <v>0</v>
      </c>
      <c r="AT236" s="108">
        <v>0</v>
      </c>
      <c r="AU236" s="108">
        <v>0</v>
      </c>
      <c r="AV236" s="108">
        <v>0</v>
      </c>
      <c r="AW236" s="108">
        <v>0</v>
      </c>
      <c r="AX236" s="108">
        <v>0</v>
      </c>
      <c r="AY236" s="108">
        <v>0</v>
      </c>
    </row>
    <row r="237" spans="1:51">
      <c r="A237" s="107"/>
      <c r="B237" s="124">
        <v>29</v>
      </c>
      <c r="C237" s="104">
        <v>0</v>
      </c>
      <c r="D237" s="108">
        <v>0</v>
      </c>
      <c r="E237" s="108">
        <v>0</v>
      </c>
      <c r="F237" s="108">
        <v>0</v>
      </c>
      <c r="G237" s="108">
        <v>0</v>
      </c>
      <c r="H237" s="108">
        <v>0</v>
      </c>
      <c r="I237" s="108">
        <v>0</v>
      </c>
      <c r="J237" s="108">
        <v>0</v>
      </c>
      <c r="K237" s="108">
        <v>0</v>
      </c>
      <c r="L237" s="108">
        <v>0</v>
      </c>
      <c r="M237" s="108">
        <v>0</v>
      </c>
      <c r="N237" s="108">
        <v>0</v>
      </c>
      <c r="O237" s="108">
        <v>0</v>
      </c>
      <c r="P237" s="108">
        <v>0</v>
      </c>
      <c r="Q237" s="108">
        <v>0</v>
      </c>
      <c r="R237" s="108">
        <v>0</v>
      </c>
      <c r="S237" s="108">
        <v>0</v>
      </c>
      <c r="T237" s="108">
        <v>0</v>
      </c>
      <c r="U237" s="108">
        <v>0</v>
      </c>
      <c r="V237" s="108">
        <v>0</v>
      </c>
      <c r="W237" s="108">
        <v>0</v>
      </c>
      <c r="X237" s="108">
        <v>0</v>
      </c>
      <c r="Y237" s="108">
        <v>0</v>
      </c>
      <c r="Z237" s="108">
        <v>0</v>
      </c>
      <c r="AA237" s="108">
        <v>0</v>
      </c>
      <c r="AB237" s="108">
        <v>0</v>
      </c>
      <c r="AC237" s="108">
        <v>0</v>
      </c>
      <c r="AD237" s="108">
        <v>0</v>
      </c>
      <c r="AE237" s="108">
        <v>0</v>
      </c>
      <c r="AF237" s="108">
        <v>0</v>
      </c>
      <c r="AG237" s="108">
        <v>0</v>
      </c>
      <c r="AH237" s="108">
        <v>0</v>
      </c>
      <c r="AI237" s="108">
        <v>0</v>
      </c>
      <c r="AJ237" s="108">
        <v>0</v>
      </c>
      <c r="AK237" s="108">
        <v>0</v>
      </c>
      <c r="AL237" s="108">
        <v>0</v>
      </c>
      <c r="AM237" s="108">
        <v>0</v>
      </c>
      <c r="AN237" s="108">
        <v>0</v>
      </c>
      <c r="AO237" s="108">
        <v>0</v>
      </c>
      <c r="AP237" s="108">
        <v>0</v>
      </c>
      <c r="AQ237" s="108">
        <v>0</v>
      </c>
      <c r="AR237" s="108">
        <v>0</v>
      </c>
      <c r="AS237" s="108">
        <v>0</v>
      </c>
      <c r="AT237" s="108">
        <v>0</v>
      </c>
      <c r="AU237" s="108">
        <v>0</v>
      </c>
      <c r="AV237" s="108">
        <v>0</v>
      </c>
      <c r="AW237" s="108">
        <v>0</v>
      </c>
      <c r="AX237" s="108">
        <v>0</v>
      </c>
      <c r="AY237" s="108">
        <v>0</v>
      </c>
    </row>
    <row r="238" spans="1:51">
      <c r="A238" s="107"/>
      <c r="B238" s="124">
        <v>30</v>
      </c>
      <c r="C238" s="104">
        <v>0</v>
      </c>
      <c r="D238" s="108">
        <v>0</v>
      </c>
      <c r="E238" s="108">
        <v>0</v>
      </c>
      <c r="F238" s="108">
        <v>0</v>
      </c>
      <c r="G238" s="108">
        <v>0</v>
      </c>
      <c r="H238" s="108">
        <v>0</v>
      </c>
      <c r="I238" s="108">
        <v>0</v>
      </c>
      <c r="J238" s="108">
        <v>0</v>
      </c>
      <c r="K238" s="108">
        <v>0</v>
      </c>
      <c r="L238" s="108">
        <v>0</v>
      </c>
      <c r="M238" s="108">
        <v>0</v>
      </c>
      <c r="N238" s="108">
        <v>0</v>
      </c>
      <c r="O238" s="108">
        <v>0</v>
      </c>
      <c r="P238" s="108">
        <v>0</v>
      </c>
      <c r="Q238" s="108">
        <v>0</v>
      </c>
      <c r="R238" s="108">
        <v>0</v>
      </c>
      <c r="S238" s="108">
        <v>0</v>
      </c>
      <c r="T238" s="108">
        <v>0</v>
      </c>
      <c r="U238" s="108">
        <v>0</v>
      </c>
      <c r="V238" s="108">
        <v>0</v>
      </c>
      <c r="W238" s="108">
        <v>0</v>
      </c>
      <c r="X238" s="108">
        <v>0</v>
      </c>
      <c r="Y238" s="108">
        <v>0</v>
      </c>
      <c r="Z238" s="108">
        <v>0</v>
      </c>
      <c r="AA238" s="108">
        <v>0</v>
      </c>
      <c r="AB238" s="108">
        <v>0</v>
      </c>
      <c r="AC238" s="108">
        <v>0</v>
      </c>
      <c r="AD238" s="108">
        <v>0</v>
      </c>
      <c r="AE238" s="108">
        <v>0</v>
      </c>
      <c r="AF238" s="108">
        <v>0</v>
      </c>
      <c r="AG238" s="108">
        <v>0</v>
      </c>
      <c r="AH238" s="108">
        <v>0</v>
      </c>
      <c r="AI238" s="108">
        <v>0</v>
      </c>
      <c r="AJ238" s="108">
        <v>0</v>
      </c>
      <c r="AK238" s="108">
        <v>0</v>
      </c>
      <c r="AL238" s="108">
        <v>0</v>
      </c>
      <c r="AM238" s="108">
        <v>0</v>
      </c>
      <c r="AN238" s="108">
        <v>0</v>
      </c>
      <c r="AO238" s="108">
        <v>0</v>
      </c>
      <c r="AP238" s="108">
        <v>0</v>
      </c>
      <c r="AQ238" s="108">
        <v>0</v>
      </c>
      <c r="AR238" s="108">
        <v>0</v>
      </c>
      <c r="AS238" s="108">
        <v>0</v>
      </c>
      <c r="AT238" s="108">
        <v>0</v>
      </c>
      <c r="AU238" s="108">
        <v>0</v>
      </c>
      <c r="AV238" s="108">
        <v>0</v>
      </c>
      <c r="AW238" s="108">
        <v>0</v>
      </c>
      <c r="AX238" s="108">
        <v>0</v>
      </c>
      <c r="AY238" s="108">
        <v>0</v>
      </c>
    </row>
    <row r="239" spans="1:51">
      <c r="A239" s="107"/>
      <c r="B239" s="124">
        <v>31</v>
      </c>
      <c r="C239" s="104">
        <v>0</v>
      </c>
      <c r="D239" s="108">
        <v>0</v>
      </c>
      <c r="E239" s="108">
        <v>0</v>
      </c>
      <c r="F239" s="108">
        <v>0</v>
      </c>
      <c r="G239" s="108">
        <v>0</v>
      </c>
      <c r="H239" s="108">
        <v>0</v>
      </c>
      <c r="I239" s="108">
        <v>0</v>
      </c>
      <c r="J239" s="108">
        <v>0</v>
      </c>
      <c r="K239" s="108">
        <v>0</v>
      </c>
      <c r="L239" s="108">
        <v>0</v>
      </c>
      <c r="M239" s="108">
        <v>0</v>
      </c>
      <c r="N239" s="108">
        <v>0</v>
      </c>
      <c r="O239" s="108">
        <v>0</v>
      </c>
      <c r="P239" s="108">
        <v>0</v>
      </c>
      <c r="Q239" s="108">
        <v>0</v>
      </c>
      <c r="R239" s="108">
        <v>0</v>
      </c>
      <c r="S239" s="108">
        <v>0</v>
      </c>
      <c r="T239" s="108">
        <v>0</v>
      </c>
      <c r="U239" s="108">
        <v>0</v>
      </c>
      <c r="V239" s="108">
        <v>0</v>
      </c>
      <c r="W239" s="108">
        <v>0</v>
      </c>
      <c r="X239" s="108">
        <v>0</v>
      </c>
      <c r="Y239" s="108">
        <v>0</v>
      </c>
      <c r="Z239" s="108">
        <v>0</v>
      </c>
      <c r="AA239" s="108">
        <v>0</v>
      </c>
      <c r="AB239" s="108">
        <v>0</v>
      </c>
      <c r="AC239" s="108">
        <v>0</v>
      </c>
      <c r="AD239" s="108">
        <v>0</v>
      </c>
      <c r="AE239" s="108">
        <v>0</v>
      </c>
      <c r="AF239" s="108">
        <v>0</v>
      </c>
      <c r="AG239" s="108">
        <v>0</v>
      </c>
      <c r="AH239" s="108">
        <v>0</v>
      </c>
      <c r="AI239" s="108">
        <v>0</v>
      </c>
      <c r="AJ239" s="108">
        <v>0</v>
      </c>
      <c r="AK239" s="108">
        <v>0</v>
      </c>
      <c r="AL239" s="108">
        <v>0</v>
      </c>
      <c r="AM239" s="108">
        <v>0</v>
      </c>
      <c r="AN239" s="108">
        <v>0</v>
      </c>
      <c r="AO239" s="108">
        <v>0</v>
      </c>
      <c r="AP239" s="108">
        <v>0</v>
      </c>
      <c r="AQ239" s="108">
        <v>0</v>
      </c>
      <c r="AR239" s="108">
        <v>0</v>
      </c>
      <c r="AS239" s="108">
        <v>0</v>
      </c>
      <c r="AT239" s="108">
        <v>0</v>
      </c>
      <c r="AU239" s="108">
        <v>0</v>
      </c>
      <c r="AV239" s="108">
        <v>0</v>
      </c>
      <c r="AW239" s="108">
        <v>0</v>
      </c>
      <c r="AX239" s="108">
        <v>0</v>
      </c>
      <c r="AY239" s="108">
        <v>0</v>
      </c>
    </row>
    <row r="240" spans="1:51">
      <c r="A240" s="107"/>
      <c r="B240" s="124">
        <v>32</v>
      </c>
      <c r="C240" s="104">
        <v>0</v>
      </c>
      <c r="D240" s="108">
        <v>0</v>
      </c>
      <c r="E240" s="108">
        <v>0</v>
      </c>
      <c r="F240" s="108">
        <v>0</v>
      </c>
      <c r="G240" s="108">
        <v>0</v>
      </c>
      <c r="H240" s="108">
        <v>0</v>
      </c>
      <c r="I240" s="108">
        <v>0</v>
      </c>
      <c r="J240" s="108">
        <v>0</v>
      </c>
      <c r="K240" s="108">
        <v>0</v>
      </c>
      <c r="L240" s="108">
        <v>0</v>
      </c>
      <c r="M240" s="108">
        <v>0</v>
      </c>
      <c r="N240" s="108">
        <v>0</v>
      </c>
      <c r="O240" s="108">
        <v>0</v>
      </c>
      <c r="P240" s="108">
        <v>0</v>
      </c>
      <c r="Q240" s="108">
        <v>0</v>
      </c>
      <c r="R240" s="108">
        <v>0</v>
      </c>
      <c r="S240" s="108">
        <v>0</v>
      </c>
      <c r="T240" s="108">
        <v>0</v>
      </c>
      <c r="U240" s="108">
        <v>0</v>
      </c>
      <c r="V240" s="108">
        <v>0</v>
      </c>
      <c r="W240" s="108">
        <v>0</v>
      </c>
      <c r="X240" s="108">
        <v>0</v>
      </c>
      <c r="Y240" s="108">
        <v>0</v>
      </c>
      <c r="Z240" s="108">
        <v>0</v>
      </c>
      <c r="AA240" s="108">
        <v>0</v>
      </c>
      <c r="AB240" s="108">
        <v>0</v>
      </c>
      <c r="AC240" s="108">
        <v>0</v>
      </c>
      <c r="AD240" s="108">
        <v>0</v>
      </c>
      <c r="AE240" s="108">
        <v>0</v>
      </c>
      <c r="AF240" s="108">
        <v>0</v>
      </c>
      <c r="AG240" s="108">
        <v>0</v>
      </c>
      <c r="AH240" s="108">
        <v>0</v>
      </c>
      <c r="AI240" s="108">
        <v>0</v>
      </c>
      <c r="AJ240" s="108">
        <v>0</v>
      </c>
      <c r="AK240" s="108">
        <v>0</v>
      </c>
      <c r="AL240" s="108">
        <v>0</v>
      </c>
      <c r="AM240" s="108">
        <v>0</v>
      </c>
      <c r="AN240" s="108">
        <v>0</v>
      </c>
      <c r="AO240" s="108">
        <v>0</v>
      </c>
      <c r="AP240" s="108">
        <v>0</v>
      </c>
      <c r="AQ240" s="108">
        <v>0</v>
      </c>
      <c r="AR240" s="108">
        <v>0</v>
      </c>
      <c r="AS240" s="108">
        <v>0</v>
      </c>
      <c r="AT240" s="108">
        <v>0</v>
      </c>
      <c r="AU240" s="108">
        <v>0</v>
      </c>
      <c r="AV240" s="108">
        <v>0</v>
      </c>
      <c r="AW240" s="108">
        <v>0</v>
      </c>
      <c r="AX240" s="108">
        <v>0</v>
      </c>
      <c r="AY240" s="108">
        <v>0</v>
      </c>
    </row>
    <row r="241" spans="1:51">
      <c r="A241" s="107"/>
      <c r="B241" s="124">
        <v>33</v>
      </c>
      <c r="C241" s="104">
        <v>0</v>
      </c>
      <c r="D241" s="108">
        <v>0</v>
      </c>
      <c r="E241" s="108">
        <v>0</v>
      </c>
      <c r="F241" s="108">
        <v>0</v>
      </c>
      <c r="G241" s="108">
        <v>0</v>
      </c>
      <c r="H241" s="108">
        <v>0</v>
      </c>
      <c r="I241" s="108">
        <v>0</v>
      </c>
      <c r="J241" s="108">
        <v>0</v>
      </c>
      <c r="K241" s="108">
        <v>0</v>
      </c>
      <c r="L241" s="108">
        <v>0</v>
      </c>
      <c r="M241" s="108">
        <v>0</v>
      </c>
      <c r="N241" s="108">
        <v>0</v>
      </c>
      <c r="O241" s="108">
        <v>0</v>
      </c>
      <c r="P241" s="108">
        <v>0</v>
      </c>
      <c r="Q241" s="108">
        <v>0</v>
      </c>
      <c r="R241" s="108">
        <v>0</v>
      </c>
      <c r="S241" s="108">
        <v>0</v>
      </c>
      <c r="T241" s="108">
        <v>0</v>
      </c>
      <c r="U241" s="108">
        <v>0</v>
      </c>
      <c r="V241" s="108">
        <v>0</v>
      </c>
      <c r="W241" s="108">
        <v>0</v>
      </c>
      <c r="X241" s="108">
        <v>0</v>
      </c>
      <c r="Y241" s="108">
        <v>0</v>
      </c>
      <c r="Z241" s="108">
        <v>0</v>
      </c>
      <c r="AA241" s="108">
        <v>0</v>
      </c>
      <c r="AB241" s="108">
        <v>0</v>
      </c>
      <c r="AC241" s="108">
        <v>0</v>
      </c>
      <c r="AD241" s="108">
        <v>0</v>
      </c>
      <c r="AE241" s="108">
        <v>0</v>
      </c>
      <c r="AF241" s="108">
        <v>0</v>
      </c>
      <c r="AG241" s="108">
        <v>0</v>
      </c>
      <c r="AH241" s="108">
        <v>0</v>
      </c>
      <c r="AI241" s="108">
        <v>0</v>
      </c>
      <c r="AJ241" s="108">
        <v>0</v>
      </c>
      <c r="AK241" s="108">
        <v>0</v>
      </c>
      <c r="AL241" s="108">
        <v>0</v>
      </c>
      <c r="AM241" s="108">
        <v>0</v>
      </c>
      <c r="AN241" s="108">
        <v>0</v>
      </c>
      <c r="AO241" s="108">
        <v>0</v>
      </c>
      <c r="AP241" s="108">
        <v>0</v>
      </c>
      <c r="AQ241" s="108">
        <v>0</v>
      </c>
      <c r="AR241" s="108">
        <v>0</v>
      </c>
      <c r="AS241" s="108">
        <v>0</v>
      </c>
      <c r="AT241" s="108">
        <v>0</v>
      </c>
      <c r="AU241" s="108">
        <v>0</v>
      </c>
      <c r="AV241" s="108">
        <v>0</v>
      </c>
      <c r="AW241" s="108">
        <v>0</v>
      </c>
      <c r="AX241" s="108">
        <v>0</v>
      </c>
      <c r="AY241" s="108">
        <v>0</v>
      </c>
    </row>
    <row r="242" spans="1:51">
      <c r="A242" s="107"/>
      <c r="B242" s="124">
        <v>34</v>
      </c>
      <c r="C242" s="104">
        <v>0</v>
      </c>
      <c r="D242" s="108">
        <v>0</v>
      </c>
      <c r="E242" s="108">
        <v>0</v>
      </c>
      <c r="F242" s="108">
        <v>0</v>
      </c>
      <c r="G242" s="108">
        <v>0</v>
      </c>
      <c r="H242" s="108">
        <v>0</v>
      </c>
      <c r="I242" s="108">
        <v>0</v>
      </c>
      <c r="J242" s="108">
        <v>0</v>
      </c>
      <c r="K242" s="108">
        <v>0</v>
      </c>
      <c r="L242" s="108">
        <v>0</v>
      </c>
      <c r="M242" s="108">
        <v>0</v>
      </c>
      <c r="N242" s="108">
        <v>0</v>
      </c>
      <c r="O242" s="108">
        <v>0</v>
      </c>
      <c r="P242" s="108">
        <v>0</v>
      </c>
      <c r="Q242" s="108">
        <v>0</v>
      </c>
      <c r="R242" s="108">
        <v>0</v>
      </c>
      <c r="S242" s="108">
        <v>0</v>
      </c>
      <c r="T242" s="108">
        <v>0</v>
      </c>
      <c r="U242" s="108">
        <v>0</v>
      </c>
      <c r="V242" s="108">
        <v>0</v>
      </c>
      <c r="W242" s="108">
        <v>0</v>
      </c>
      <c r="X242" s="108">
        <v>0</v>
      </c>
      <c r="Y242" s="108">
        <v>0</v>
      </c>
      <c r="Z242" s="108">
        <v>0</v>
      </c>
      <c r="AA242" s="108">
        <v>0</v>
      </c>
      <c r="AB242" s="108">
        <v>0</v>
      </c>
      <c r="AC242" s="108">
        <v>0</v>
      </c>
      <c r="AD242" s="108">
        <v>0</v>
      </c>
      <c r="AE242" s="108">
        <v>0</v>
      </c>
      <c r="AF242" s="108">
        <v>0</v>
      </c>
      <c r="AG242" s="108">
        <v>0</v>
      </c>
      <c r="AH242" s="108">
        <v>0</v>
      </c>
      <c r="AI242" s="108">
        <v>0</v>
      </c>
      <c r="AJ242" s="108">
        <v>0</v>
      </c>
      <c r="AK242" s="108">
        <v>0</v>
      </c>
      <c r="AL242" s="108">
        <v>0</v>
      </c>
      <c r="AM242" s="108">
        <v>0</v>
      </c>
      <c r="AN242" s="108">
        <v>0</v>
      </c>
      <c r="AO242" s="108">
        <v>0</v>
      </c>
      <c r="AP242" s="108">
        <v>0</v>
      </c>
      <c r="AQ242" s="108">
        <v>0</v>
      </c>
      <c r="AR242" s="108">
        <v>0</v>
      </c>
      <c r="AS242" s="108">
        <v>0</v>
      </c>
      <c r="AT242" s="108">
        <v>0</v>
      </c>
      <c r="AU242" s="108">
        <v>0</v>
      </c>
      <c r="AV242" s="108">
        <v>0</v>
      </c>
      <c r="AW242" s="108">
        <v>0</v>
      </c>
      <c r="AX242" s="108">
        <v>0</v>
      </c>
      <c r="AY242" s="108">
        <v>0</v>
      </c>
    </row>
    <row r="243" spans="1:51">
      <c r="A243" s="107"/>
      <c r="B243" s="124">
        <v>35</v>
      </c>
      <c r="C243" s="104">
        <v>0</v>
      </c>
      <c r="D243" s="108">
        <v>0</v>
      </c>
      <c r="E243" s="108">
        <v>0</v>
      </c>
      <c r="F243" s="108">
        <v>0</v>
      </c>
      <c r="G243" s="108">
        <v>0</v>
      </c>
      <c r="H243" s="108">
        <v>0</v>
      </c>
      <c r="I243" s="108">
        <v>0</v>
      </c>
      <c r="J243" s="108">
        <v>0</v>
      </c>
      <c r="K243" s="108">
        <v>0</v>
      </c>
      <c r="L243" s="108">
        <v>0</v>
      </c>
      <c r="M243" s="108">
        <v>0</v>
      </c>
      <c r="N243" s="108">
        <v>0</v>
      </c>
      <c r="O243" s="108">
        <v>0</v>
      </c>
      <c r="P243" s="108">
        <v>0</v>
      </c>
      <c r="Q243" s="108">
        <v>0</v>
      </c>
      <c r="R243" s="108">
        <v>0</v>
      </c>
      <c r="S243" s="108">
        <v>0</v>
      </c>
      <c r="T243" s="108">
        <v>0</v>
      </c>
      <c r="U243" s="108">
        <v>0</v>
      </c>
      <c r="V243" s="108">
        <v>0</v>
      </c>
      <c r="W243" s="108">
        <v>0</v>
      </c>
      <c r="X243" s="108">
        <v>0</v>
      </c>
      <c r="Y243" s="108">
        <v>0</v>
      </c>
      <c r="Z243" s="108">
        <v>0</v>
      </c>
      <c r="AA243" s="108">
        <v>0</v>
      </c>
      <c r="AB243" s="108">
        <v>0</v>
      </c>
      <c r="AC243" s="108">
        <v>0</v>
      </c>
      <c r="AD243" s="108">
        <v>0</v>
      </c>
      <c r="AE243" s="108">
        <v>0</v>
      </c>
      <c r="AF243" s="108">
        <v>0</v>
      </c>
      <c r="AG243" s="108">
        <v>0</v>
      </c>
      <c r="AH243" s="108">
        <v>0</v>
      </c>
      <c r="AI243" s="108">
        <v>0</v>
      </c>
      <c r="AJ243" s="108">
        <v>0</v>
      </c>
      <c r="AK243" s="108">
        <v>0</v>
      </c>
      <c r="AL243" s="108">
        <v>0</v>
      </c>
      <c r="AM243" s="108">
        <v>0</v>
      </c>
      <c r="AN243" s="108">
        <v>0</v>
      </c>
      <c r="AO243" s="108">
        <v>0</v>
      </c>
      <c r="AP243" s="108">
        <v>0</v>
      </c>
      <c r="AQ243" s="108">
        <v>0</v>
      </c>
      <c r="AR243" s="108">
        <v>0</v>
      </c>
      <c r="AS243" s="108">
        <v>0</v>
      </c>
      <c r="AT243" s="108">
        <v>0</v>
      </c>
      <c r="AU243" s="108">
        <v>0</v>
      </c>
      <c r="AV243" s="108">
        <v>0</v>
      </c>
      <c r="AW243" s="108">
        <v>0</v>
      </c>
      <c r="AX243" s="108">
        <v>0</v>
      </c>
      <c r="AY243" s="108">
        <v>0</v>
      </c>
    </row>
    <row r="244" spans="1:51">
      <c r="A244" s="107"/>
      <c r="B244" s="124">
        <v>36</v>
      </c>
      <c r="C244" s="104">
        <v>0</v>
      </c>
      <c r="D244" s="108">
        <v>0</v>
      </c>
      <c r="E244" s="108">
        <v>0</v>
      </c>
      <c r="F244" s="108">
        <v>0</v>
      </c>
      <c r="G244" s="108">
        <v>0</v>
      </c>
      <c r="H244" s="108">
        <v>0</v>
      </c>
      <c r="I244" s="108">
        <v>0</v>
      </c>
      <c r="J244" s="108">
        <v>0</v>
      </c>
      <c r="K244" s="108">
        <v>0</v>
      </c>
      <c r="L244" s="108">
        <v>0</v>
      </c>
      <c r="M244" s="108">
        <v>0</v>
      </c>
      <c r="N244" s="108">
        <v>0</v>
      </c>
      <c r="O244" s="108">
        <v>0</v>
      </c>
      <c r="P244" s="108">
        <v>0</v>
      </c>
      <c r="Q244" s="108">
        <v>0</v>
      </c>
      <c r="R244" s="108">
        <v>0</v>
      </c>
      <c r="S244" s="108">
        <v>0</v>
      </c>
      <c r="T244" s="108">
        <v>0</v>
      </c>
      <c r="U244" s="108">
        <v>0</v>
      </c>
      <c r="V244" s="108">
        <v>0</v>
      </c>
      <c r="W244" s="108">
        <v>0</v>
      </c>
      <c r="X244" s="108">
        <v>0</v>
      </c>
      <c r="Y244" s="108">
        <v>0</v>
      </c>
      <c r="Z244" s="108">
        <v>0</v>
      </c>
      <c r="AA244" s="108">
        <v>0</v>
      </c>
      <c r="AB244" s="108">
        <v>0</v>
      </c>
      <c r="AC244" s="108">
        <v>0</v>
      </c>
      <c r="AD244" s="108">
        <v>0</v>
      </c>
      <c r="AE244" s="108">
        <v>0</v>
      </c>
      <c r="AF244" s="108">
        <v>0</v>
      </c>
      <c r="AG244" s="108">
        <v>0</v>
      </c>
      <c r="AH244" s="108">
        <v>0</v>
      </c>
      <c r="AI244" s="108">
        <v>0</v>
      </c>
      <c r="AJ244" s="108">
        <v>0</v>
      </c>
      <c r="AK244" s="108">
        <v>0</v>
      </c>
      <c r="AL244" s="108">
        <v>0</v>
      </c>
      <c r="AM244" s="108">
        <v>0</v>
      </c>
      <c r="AN244" s="108">
        <v>0</v>
      </c>
      <c r="AO244" s="108">
        <v>0</v>
      </c>
      <c r="AP244" s="108">
        <v>0</v>
      </c>
      <c r="AQ244" s="108">
        <v>0</v>
      </c>
      <c r="AR244" s="108">
        <v>0</v>
      </c>
      <c r="AS244" s="108">
        <v>0</v>
      </c>
      <c r="AT244" s="108">
        <v>0</v>
      </c>
      <c r="AU244" s="108">
        <v>0</v>
      </c>
      <c r="AV244" s="108">
        <v>0</v>
      </c>
      <c r="AW244" s="108">
        <v>0</v>
      </c>
      <c r="AX244" s="108">
        <v>0</v>
      </c>
      <c r="AY244" s="108">
        <v>0</v>
      </c>
    </row>
    <row r="245" spans="1:51">
      <c r="A245" s="107"/>
      <c r="B245" s="127">
        <v>37</v>
      </c>
      <c r="C245" s="104">
        <v>0</v>
      </c>
      <c r="D245" s="108">
        <v>0</v>
      </c>
      <c r="E245" s="108">
        <v>0</v>
      </c>
      <c r="F245" s="108">
        <v>0</v>
      </c>
      <c r="G245" s="108">
        <v>0</v>
      </c>
      <c r="H245" s="108">
        <v>0</v>
      </c>
      <c r="I245" s="108">
        <v>0</v>
      </c>
      <c r="J245" s="108">
        <v>0</v>
      </c>
      <c r="K245" s="108">
        <v>0</v>
      </c>
      <c r="L245" s="108">
        <v>0</v>
      </c>
      <c r="M245" s="108">
        <v>0</v>
      </c>
      <c r="N245" s="108">
        <v>0</v>
      </c>
      <c r="O245" s="108">
        <v>0</v>
      </c>
      <c r="P245" s="108">
        <v>0</v>
      </c>
      <c r="Q245" s="108">
        <v>0</v>
      </c>
      <c r="R245" s="108">
        <v>0</v>
      </c>
      <c r="S245" s="108">
        <v>0</v>
      </c>
      <c r="T245" s="108">
        <v>0</v>
      </c>
      <c r="U245" s="108">
        <v>0</v>
      </c>
      <c r="V245" s="108">
        <v>0</v>
      </c>
      <c r="W245" s="108">
        <v>0</v>
      </c>
      <c r="X245" s="108">
        <v>0</v>
      </c>
      <c r="Y245" s="108">
        <v>0</v>
      </c>
      <c r="Z245" s="108">
        <v>0</v>
      </c>
      <c r="AA245" s="108">
        <v>0</v>
      </c>
      <c r="AB245" s="108">
        <v>0</v>
      </c>
      <c r="AC245" s="108">
        <v>0</v>
      </c>
      <c r="AD245" s="108">
        <v>0</v>
      </c>
      <c r="AE245" s="108">
        <v>0</v>
      </c>
      <c r="AF245" s="108">
        <v>0</v>
      </c>
      <c r="AG245" s="108">
        <v>0</v>
      </c>
      <c r="AH245" s="108">
        <v>0</v>
      </c>
      <c r="AI245" s="108">
        <v>0</v>
      </c>
      <c r="AJ245" s="108">
        <v>0</v>
      </c>
      <c r="AK245" s="108">
        <v>0</v>
      </c>
      <c r="AL245" s="108">
        <v>0</v>
      </c>
      <c r="AM245" s="108">
        <v>0</v>
      </c>
      <c r="AN245" s="108">
        <v>0</v>
      </c>
      <c r="AO245" s="108">
        <v>0</v>
      </c>
      <c r="AP245" s="108">
        <v>0</v>
      </c>
      <c r="AQ245" s="108">
        <v>0</v>
      </c>
      <c r="AR245" s="108">
        <v>0</v>
      </c>
      <c r="AS245" s="108">
        <v>0</v>
      </c>
      <c r="AT245" s="108">
        <v>0</v>
      </c>
      <c r="AU245" s="108">
        <v>0</v>
      </c>
      <c r="AV245" s="108">
        <v>0</v>
      </c>
      <c r="AW245" s="108">
        <v>0</v>
      </c>
      <c r="AX245" s="108">
        <v>0</v>
      </c>
      <c r="AY245" s="108">
        <v>0</v>
      </c>
    </row>
    <row r="246" spans="1:51">
      <c r="A246" s="107"/>
      <c r="B246" s="127">
        <v>38</v>
      </c>
      <c r="C246" s="104">
        <v>0</v>
      </c>
      <c r="D246" s="108">
        <v>0</v>
      </c>
      <c r="E246" s="108">
        <v>0</v>
      </c>
      <c r="F246" s="108">
        <v>0</v>
      </c>
      <c r="G246" s="108">
        <v>0</v>
      </c>
      <c r="H246" s="108">
        <v>0</v>
      </c>
      <c r="I246" s="108">
        <v>0</v>
      </c>
      <c r="J246" s="108">
        <v>0</v>
      </c>
      <c r="K246" s="108">
        <v>0</v>
      </c>
      <c r="L246" s="108">
        <v>0</v>
      </c>
      <c r="M246" s="108">
        <v>0</v>
      </c>
      <c r="N246" s="108">
        <v>0</v>
      </c>
      <c r="O246" s="108">
        <v>0</v>
      </c>
      <c r="P246" s="108">
        <v>0</v>
      </c>
      <c r="Q246" s="108">
        <v>0</v>
      </c>
      <c r="R246" s="108">
        <v>0</v>
      </c>
      <c r="S246" s="108">
        <v>0</v>
      </c>
      <c r="T246" s="108">
        <v>0</v>
      </c>
      <c r="U246" s="108">
        <v>0</v>
      </c>
      <c r="V246" s="108">
        <v>0</v>
      </c>
      <c r="W246" s="108">
        <v>0</v>
      </c>
      <c r="X246" s="108">
        <v>0</v>
      </c>
      <c r="Y246" s="108">
        <v>0</v>
      </c>
      <c r="Z246" s="108">
        <v>0</v>
      </c>
      <c r="AA246" s="108">
        <v>0</v>
      </c>
      <c r="AB246" s="108">
        <v>0</v>
      </c>
      <c r="AC246" s="108">
        <v>0</v>
      </c>
      <c r="AD246" s="108">
        <v>0</v>
      </c>
      <c r="AE246" s="108">
        <v>0</v>
      </c>
      <c r="AF246" s="108">
        <v>0</v>
      </c>
      <c r="AG246" s="108">
        <v>0</v>
      </c>
      <c r="AH246" s="108">
        <v>0</v>
      </c>
      <c r="AI246" s="108">
        <v>0</v>
      </c>
      <c r="AJ246" s="108">
        <v>0</v>
      </c>
      <c r="AK246" s="108">
        <v>0</v>
      </c>
      <c r="AL246" s="108">
        <v>0</v>
      </c>
      <c r="AM246" s="108">
        <v>0</v>
      </c>
      <c r="AN246" s="108">
        <v>0</v>
      </c>
      <c r="AO246" s="108">
        <v>0</v>
      </c>
      <c r="AP246" s="108">
        <v>0</v>
      </c>
      <c r="AQ246" s="108">
        <v>0</v>
      </c>
      <c r="AR246" s="108">
        <v>0</v>
      </c>
      <c r="AS246" s="108">
        <v>0</v>
      </c>
      <c r="AT246" s="108">
        <v>0</v>
      </c>
      <c r="AU246" s="108">
        <v>0</v>
      </c>
      <c r="AV246" s="108">
        <v>0</v>
      </c>
      <c r="AW246" s="108">
        <v>0</v>
      </c>
      <c r="AX246" s="108">
        <v>0</v>
      </c>
      <c r="AY246" s="108">
        <v>0</v>
      </c>
    </row>
    <row r="247" spans="1:51">
      <c r="A247" s="107"/>
      <c r="B247" s="127">
        <v>39</v>
      </c>
      <c r="C247" s="104">
        <v>0</v>
      </c>
      <c r="D247" s="108">
        <v>0</v>
      </c>
      <c r="E247" s="108">
        <v>0</v>
      </c>
      <c r="F247" s="108">
        <v>0</v>
      </c>
      <c r="G247" s="108">
        <v>0</v>
      </c>
      <c r="H247" s="108">
        <v>0</v>
      </c>
      <c r="I247" s="108">
        <v>0</v>
      </c>
      <c r="J247" s="108">
        <v>0</v>
      </c>
      <c r="K247" s="108">
        <v>0</v>
      </c>
      <c r="L247" s="108">
        <v>0</v>
      </c>
      <c r="M247" s="108">
        <v>0</v>
      </c>
      <c r="N247" s="108">
        <v>0</v>
      </c>
      <c r="O247" s="108">
        <v>0</v>
      </c>
      <c r="P247" s="108">
        <v>0</v>
      </c>
      <c r="Q247" s="108">
        <v>0</v>
      </c>
      <c r="R247" s="108">
        <v>0</v>
      </c>
      <c r="S247" s="108">
        <v>0</v>
      </c>
      <c r="T247" s="108">
        <v>0</v>
      </c>
      <c r="U247" s="108">
        <v>0</v>
      </c>
      <c r="V247" s="108">
        <v>0</v>
      </c>
      <c r="W247" s="108">
        <v>0</v>
      </c>
      <c r="X247" s="108">
        <v>0</v>
      </c>
      <c r="Y247" s="108">
        <v>0</v>
      </c>
      <c r="Z247" s="108">
        <v>0</v>
      </c>
      <c r="AA247" s="108">
        <v>0</v>
      </c>
      <c r="AB247" s="108">
        <v>0</v>
      </c>
      <c r="AC247" s="108">
        <v>0</v>
      </c>
      <c r="AD247" s="108">
        <v>0</v>
      </c>
      <c r="AE247" s="108">
        <v>0</v>
      </c>
      <c r="AF247" s="108">
        <v>0</v>
      </c>
      <c r="AG247" s="108">
        <v>0</v>
      </c>
      <c r="AH247" s="108">
        <v>0</v>
      </c>
      <c r="AI247" s="108">
        <v>0</v>
      </c>
      <c r="AJ247" s="108">
        <v>0</v>
      </c>
      <c r="AK247" s="108">
        <v>0</v>
      </c>
      <c r="AL247" s="108">
        <v>0</v>
      </c>
      <c r="AM247" s="108">
        <v>0</v>
      </c>
      <c r="AN247" s="108">
        <v>0</v>
      </c>
      <c r="AO247" s="108">
        <v>0</v>
      </c>
      <c r="AP247" s="108">
        <v>0</v>
      </c>
      <c r="AQ247" s="108">
        <v>0</v>
      </c>
      <c r="AR247" s="108">
        <v>0</v>
      </c>
      <c r="AS247" s="108">
        <v>0</v>
      </c>
      <c r="AT247" s="108">
        <v>0</v>
      </c>
      <c r="AU247" s="108">
        <v>0</v>
      </c>
      <c r="AV247" s="108">
        <v>0</v>
      </c>
      <c r="AW247" s="108">
        <v>0</v>
      </c>
      <c r="AX247" s="108">
        <v>0</v>
      </c>
      <c r="AY247" s="108">
        <v>0</v>
      </c>
    </row>
    <row r="248" spans="1:51">
      <c r="A248" s="107"/>
      <c r="B248" s="127">
        <v>40</v>
      </c>
      <c r="C248" s="104">
        <v>0</v>
      </c>
      <c r="D248" s="108">
        <v>0</v>
      </c>
      <c r="E248" s="108">
        <v>0</v>
      </c>
      <c r="F248" s="108">
        <v>0</v>
      </c>
      <c r="G248" s="108">
        <v>0</v>
      </c>
      <c r="H248" s="108">
        <v>0</v>
      </c>
      <c r="I248" s="108">
        <v>0</v>
      </c>
      <c r="J248" s="108">
        <v>0</v>
      </c>
      <c r="K248" s="108">
        <v>0</v>
      </c>
      <c r="L248" s="108">
        <v>0</v>
      </c>
      <c r="M248" s="108">
        <v>0</v>
      </c>
      <c r="N248" s="108">
        <v>0</v>
      </c>
      <c r="O248" s="108">
        <v>0</v>
      </c>
      <c r="P248" s="108">
        <v>0</v>
      </c>
      <c r="Q248" s="108">
        <v>0</v>
      </c>
      <c r="R248" s="108">
        <v>0</v>
      </c>
      <c r="S248" s="108">
        <v>0</v>
      </c>
      <c r="T248" s="108">
        <v>0</v>
      </c>
      <c r="U248" s="108">
        <v>0</v>
      </c>
      <c r="V248" s="108">
        <v>0</v>
      </c>
      <c r="W248" s="108">
        <v>0</v>
      </c>
      <c r="X248" s="108">
        <v>0</v>
      </c>
      <c r="Y248" s="108">
        <v>0</v>
      </c>
      <c r="Z248" s="108">
        <v>0</v>
      </c>
      <c r="AA248" s="108">
        <v>0</v>
      </c>
      <c r="AB248" s="108">
        <v>0</v>
      </c>
      <c r="AC248" s="108">
        <v>0</v>
      </c>
      <c r="AD248" s="108">
        <v>0</v>
      </c>
      <c r="AE248" s="108">
        <v>0</v>
      </c>
      <c r="AF248" s="108">
        <v>0</v>
      </c>
      <c r="AG248" s="108">
        <v>0</v>
      </c>
      <c r="AH248" s="108">
        <v>0</v>
      </c>
      <c r="AI248" s="108">
        <v>0</v>
      </c>
      <c r="AJ248" s="108">
        <v>0</v>
      </c>
      <c r="AK248" s="108">
        <v>0</v>
      </c>
      <c r="AL248" s="108">
        <v>0</v>
      </c>
      <c r="AM248" s="108">
        <v>0</v>
      </c>
      <c r="AN248" s="108">
        <v>0</v>
      </c>
      <c r="AO248" s="108">
        <v>0</v>
      </c>
      <c r="AP248" s="108">
        <v>0</v>
      </c>
      <c r="AQ248" s="108">
        <v>0</v>
      </c>
      <c r="AR248" s="108">
        <v>0</v>
      </c>
      <c r="AS248" s="108">
        <v>0</v>
      </c>
      <c r="AT248" s="108">
        <v>0</v>
      </c>
      <c r="AU248" s="108">
        <v>0</v>
      </c>
      <c r="AV248" s="108">
        <v>0</v>
      </c>
      <c r="AW248" s="108">
        <v>0</v>
      </c>
      <c r="AX248" s="108">
        <v>0</v>
      </c>
      <c r="AY248" s="108">
        <v>0</v>
      </c>
    </row>
    <row r="249" spans="1:51">
      <c r="A249" s="107"/>
      <c r="B249" s="127">
        <v>41</v>
      </c>
      <c r="C249" s="104">
        <v>0</v>
      </c>
      <c r="D249" s="108">
        <v>0</v>
      </c>
      <c r="E249" s="108">
        <v>0</v>
      </c>
      <c r="F249" s="108">
        <v>0</v>
      </c>
      <c r="G249" s="108">
        <v>0</v>
      </c>
      <c r="H249" s="108">
        <v>0</v>
      </c>
      <c r="I249" s="108">
        <v>0</v>
      </c>
      <c r="J249" s="108">
        <v>0</v>
      </c>
      <c r="K249" s="108">
        <v>0</v>
      </c>
      <c r="L249" s="108">
        <v>0</v>
      </c>
      <c r="M249" s="108">
        <v>0</v>
      </c>
      <c r="N249" s="108">
        <v>0</v>
      </c>
      <c r="O249" s="108">
        <v>0</v>
      </c>
      <c r="P249" s="108">
        <v>0</v>
      </c>
      <c r="Q249" s="108">
        <v>0</v>
      </c>
      <c r="R249" s="108">
        <v>0</v>
      </c>
      <c r="S249" s="108">
        <v>0</v>
      </c>
      <c r="T249" s="108">
        <v>0</v>
      </c>
      <c r="U249" s="108">
        <v>0</v>
      </c>
      <c r="V249" s="108">
        <v>0</v>
      </c>
      <c r="W249" s="108">
        <v>0</v>
      </c>
      <c r="X249" s="108">
        <v>0</v>
      </c>
      <c r="Y249" s="108">
        <v>0</v>
      </c>
      <c r="Z249" s="108">
        <v>0</v>
      </c>
      <c r="AA249" s="108">
        <v>0</v>
      </c>
      <c r="AB249" s="108">
        <v>0</v>
      </c>
      <c r="AC249" s="108">
        <v>0</v>
      </c>
      <c r="AD249" s="108">
        <v>0</v>
      </c>
      <c r="AE249" s="108">
        <v>0</v>
      </c>
      <c r="AF249" s="108">
        <v>0</v>
      </c>
      <c r="AG249" s="108">
        <v>0</v>
      </c>
      <c r="AH249" s="108">
        <v>0</v>
      </c>
      <c r="AI249" s="108">
        <v>0</v>
      </c>
      <c r="AJ249" s="108">
        <v>0</v>
      </c>
      <c r="AK249" s="108">
        <v>0</v>
      </c>
      <c r="AL249" s="108">
        <v>0</v>
      </c>
      <c r="AM249" s="108">
        <v>0</v>
      </c>
      <c r="AN249" s="108">
        <v>0</v>
      </c>
      <c r="AO249" s="108">
        <v>0</v>
      </c>
      <c r="AP249" s="108">
        <v>0</v>
      </c>
      <c r="AQ249" s="108">
        <v>0</v>
      </c>
      <c r="AR249" s="108">
        <v>0</v>
      </c>
      <c r="AS249" s="108">
        <v>0</v>
      </c>
      <c r="AT249" s="108">
        <v>0</v>
      </c>
      <c r="AU249" s="108">
        <v>0</v>
      </c>
      <c r="AV249" s="108">
        <v>0</v>
      </c>
      <c r="AW249" s="108">
        <v>0</v>
      </c>
      <c r="AX249" s="108">
        <v>0</v>
      </c>
      <c r="AY249" s="108">
        <v>0</v>
      </c>
    </row>
    <row r="250" spans="1:51">
      <c r="A250" s="107"/>
      <c r="B250" s="127">
        <v>42</v>
      </c>
      <c r="C250" s="104">
        <v>0</v>
      </c>
      <c r="D250" s="108">
        <v>0</v>
      </c>
      <c r="E250" s="108">
        <v>0</v>
      </c>
      <c r="F250" s="108">
        <v>0</v>
      </c>
      <c r="G250" s="108">
        <v>0</v>
      </c>
      <c r="H250" s="108">
        <v>0</v>
      </c>
      <c r="I250" s="108">
        <v>0</v>
      </c>
      <c r="J250" s="108">
        <v>0</v>
      </c>
      <c r="K250" s="108">
        <v>0</v>
      </c>
      <c r="L250" s="108">
        <v>0</v>
      </c>
      <c r="M250" s="108">
        <v>0</v>
      </c>
      <c r="N250" s="108">
        <v>0</v>
      </c>
      <c r="O250" s="108">
        <v>0</v>
      </c>
      <c r="P250" s="108">
        <v>0</v>
      </c>
      <c r="Q250" s="108">
        <v>0</v>
      </c>
      <c r="R250" s="108">
        <v>0</v>
      </c>
      <c r="S250" s="108">
        <v>0</v>
      </c>
      <c r="T250" s="108">
        <v>0</v>
      </c>
      <c r="U250" s="108">
        <v>0</v>
      </c>
      <c r="V250" s="108">
        <v>0</v>
      </c>
      <c r="W250" s="108">
        <v>0</v>
      </c>
      <c r="X250" s="108">
        <v>0</v>
      </c>
      <c r="Y250" s="108">
        <v>0</v>
      </c>
      <c r="Z250" s="108">
        <v>0</v>
      </c>
      <c r="AA250" s="108">
        <v>0</v>
      </c>
      <c r="AB250" s="108">
        <v>0</v>
      </c>
      <c r="AC250" s="108">
        <v>0</v>
      </c>
      <c r="AD250" s="108">
        <v>0</v>
      </c>
      <c r="AE250" s="108">
        <v>0</v>
      </c>
      <c r="AF250" s="108">
        <v>0</v>
      </c>
      <c r="AG250" s="108">
        <v>0</v>
      </c>
      <c r="AH250" s="108">
        <v>0</v>
      </c>
      <c r="AI250" s="108">
        <v>0</v>
      </c>
      <c r="AJ250" s="108">
        <v>0</v>
      </c>
      <c r="AK250" s="108">
        <v>0</v>
      </c>
      <c r="AL250" s="108">
        <v>0</v>
      </c>
      <c r="AM250" s="108">
        <v>0</v>
      </c>
      <c r="AN250" s="108">
        <v>0</v>
      </c>
      <c r="AO250" s="108">
        <v>0</v>
      </c>
      <c r="AP250" s="108">
        <v>0</v>
      </c>
      <c r="AQ250" s="108">
        <v>0</v>
      </c>
      <c r="AR250" s="108">
        <v>0</v>
      </c>
      <c r="AS250" s="108">
        <v>0</v>
      </c>
      <c r="AT250" s="108">
        <v>0</v>
      </c>
      <c r="AU250" s="108">
        <v>0</v>
      </c>
      <c r="AV250" s="108">
        <v>0</v>
      </c>
      <c r="AW250" s="108">
        <v>0</v>
      </c>
      <c r="AX250" s="108">
        <v>0</v>
      </c>
      <c r="AY250" s="108">
        <v>0</v>
      </c>
    </row>
    <row r="251" spans="1:51">
      <c r="A251" s="107"/>
      <c r="B251" s="127">
        <v>43</v>
      </c>
      <c r="C251" s="104">
        <v>0</v>
      </c>
      <c r="D251" s="108">
        <v>0</v>
      </c>
      <c r="E251" s="108">
        <v>0</v>
      </c>
      <c r="F251" s="108">
        <v>0</v>
      </c>
      <c r="G251" s="108">
        <v>0</v>
      </c>
      <c r="H251" s="108">
        <v>0</v>
      </c>
      <c r="I251" s="108">
        <v>0</v>
      </c>
      <c r="J251" s="108">
        <v>0</v>
      </c>
      <c r="K251" s="108">
        <v>0</v>
      </c>
      <c r="L251" s="108">
        <v>0</v>
      </c>
      <c r="M251" s="108">
        <v>0</v>
      </c>
      <c r="N251" s="108">
        <v>0</v>
      </c>
      <c r="O251" s="108">
        <v>0</v>
      </c>
      <c r="P251" s="108">
        <v>0</v>
      </c>
      <c r="Q251" s="108">
        <v>0</v>
      </c>
      <c r="R251" s="108">
        <v>0</v>
      </c>
      <c r="S251" s="108">
        <v>0</v>
      </c>
      <c r="T251" s="108">
        <v>0</v>
      </c>
      <c r="U251" s="108">
        <v>0</v>
      </c>
      <c r="V251" s="108">
        <v>0</v>
      </c>
      <c r="W251" s="108">
        <v>0</v>
      </c>
      <c r="X251" s="108">
        <v>0</v>
      </c>
      <c r="Y251" s="108">
        <v>0</v>
      </c>
      <c r="Z251" s="108">
        <v>0</v>
      </c>
      <c r="AA251" s="108">
        <v>0</v>
      </c>
      <c r="AB251" s="108">
        <v>0</v>
      </c>
      <c r="AC251" s="108">
        <v>0</v>
      </c>
      <c r="AD251" s="108">
        <v>0</v>
      </c>
      <c r="AE251" s="108">
        <v>0</v>
      </c>
      <c r="AF251" s="108">
        <v>0</v>
      </c>
      <c r="AG251" s="108">
        <v>0</v>
      </c>
      <c r="AH251" s="108">
        <v>0</v>
      </c>
      <c r="AI251" s="108">
        <v>0</v>
      </c>
      <c r="AJ251" s="108">
        <v>0</v>
      </c>
      <c r="AK251" s="108">
        <v>0</v>
      </c>
      <c r="AL251" s="108">
        <v>0</v>
      </c>
      <c r="AM251" s="108">
        <v>0</v>
      </c>
      <c r="AN251" s="108">
        <v>0</v>
      </c>
      <c r="AO251" s="108">
        <v>0</v>
      </c>
      <c r="AP251" s="108">
        <v>0</v>
      </c>
      <c r="AQ251" s="108">
        <v>0</v>
      </c>
      <c r="AR251" s="108">
        <v>0</v>
      </c>
      <c r="AS251" s="108">
        <v>0</v>
      </c>
      <c r="AT251" s="108">
        <v>0</v>
      </c>
      <c r="AU251" s="108">
        <v>0</v>
      </c>
      <c r="AV251" s="108">
        <v>0</v>
      </c>
      <c r="AW251" s="108">
        <v>0</v>
      </c>
      <c r="AX251" s="108">
        <v>0</v>
      </c>
      <c r="AY251" s="108">
        <v>0</v>
      </c>
    </row>
    <row r="252" spans="1:51">
      <c r="A252" s="107"/>
      <c r="B252" s="127">
        <v>44</v>
      </c>
      <c r="C252" s="104">
        <v>0</v>
      </c>
      <c r="D252" s="108">
        <v>0</v>
      </c>
      <c r="E252" s="108">
        <v>0</v>
      </c>
      <c r="F252" s="108">
        <v>0</v>
      </c>
      <c r="G252" s="108">
        <v>0</v>
      </c>
      <c r="H252" s="108">
        <v>0</v>
      </c>
      <c r="I252" s="108">
        <v>0</v>
      </c>
      <c r="J252" s="108">
        <v>0</v>
      </c>
      <c r="K252" s="108">
        <v>0</v>
      </c>
      <c r="L252" s="108">
        <v>0</v>
      </c>
      <c r="M252" s="108">
        <v>0</v>
      </c>
      <c r="N252" s="108">
        <v>0</v>
      </c>
      <c r="O252" s="108">
        <v>0</v>
      </c>
      <c r="P252" s="108">
        <v>0</v>
      </c>
      <c r="Q252" s="108">
        <v>0</v>
      </c>
      <c r="R252" s="108">
        <v>0</v>
      </c>
      <c r="S252" s="108">
        <v>0</v>
      </c>
      <c r="T252" s="108">
        <v>0</v>
      </c>
      <c r="U252" s="108">
        <v>0</v>
      </c>
      <c r="V252" s="108">
        <v>0</v>
      </c>
      <c r="W252" s="108">
        <v>0</v>
      </c>
      <c r="X252" s="108">
        <v>0</v>
      </c>
      <c r="Y252" s="108">
        <v>0</v>
      </c>
      <c r="Z252" s="108">
        <v>0</v>
      </c>
      <c r="AA252" s="108">
        <v>0</v>
      </c>
      <c r="AB252" s="108">
        <v>0</v>
      </c>
      <c r="AC252" s="108">
        <v>0</v>
      </c>
      <c r="AD252" s="108">
        <v>0</v>
      </c>
      <c r="AE252" s="108">
        <v>0</v>
      </c>
      <c r="AF252" s="108">
        <v>0</v>
      </c>
      <c r="AG252" s="108">
        <v>0</v>
      </c>
      <c r="AH252" s="108">
        <v>0</v>
      </c>
      <c r="AI252" s="108">
        <v>0</v>
      </c>
      <c r="AJ252" s="108">
        <v>0</v>
      </c>
      <c r="AK252" s="108">
        <v>0</v>
      </c>
      <c r="AL252" s="108">
        <v>0</v>
      </c>
      <c r="AM252" s="108">
        <v>0</v>
      </c>
      <c r="AN252" s="108">
        <v>0</v>
      </c>
      <c r="AO252" s="108">
        <v>0</v>
      </c>
      <c r="AP252" s="108">
        <v>0</v>
      </c>
      <c r="AQ252" s="108">
        <v>0</v>
      </c>
      <c r="AR252" s="108">
        <v>0</v>
      </c>
      <c r="AS252" s="108">
        <v>0</v>
      </c>
      <c r="AT252" s="108">
        <v>0</v>
      </c>
      <c r="AU252" s="108">
        <v>0</v>
      </c>
      <c r="AV252" s="108">
        <v>0</v>
      </c>
      <c r="AW252" s="108">
        <v>0</v>
      </c>
      <c r="AX252" s="108">
        <v>0</v>
      </c>
      <c r="AY252" s="108">
        <v>0</v>
      </c>
    </row>
    <row r="253" spans="1:51">
      <c r="A253" s="107"/>
      <c r="B253" s="127">
        <v>45</v>
      </c>
      <c r="C253" s="104">
        <v>0</v>
      </c>
      <c r="D253" s="108">
        <v>0</v>
      </c>
      <c r="E253" s="108">
        <v>0</v>
      </c>
      <c r="F253" s="108">
        <v>0</v>
      </c>
      <c r="G253" s="108">
        <v>0</v>
      </c>
      <c r="H253" s="108">
        <v>0</v>
      </c>
      <c r="I253" s="108">
        <v>0</v>
      </c>
      <c r="J253" s="108">
        <v>0</v>
      </c>
      <c r="K253" s="108">
        <v>0</v>
      </c>
      <c r="L253" s="108">
        <v>0</v>
      </c>
      <c r="M253" s="108">
        <v>0</v>
      </c>
      <c r="N253" s="108">
        <v>0</v>
      </c>
      <c r="O253" s="108">
        <v>0</v>
      </c>
      <c r="P253" s="108">
        <v>0</v>
      </c>
      <c r="Q253" s="108">
        <v>0</v>
      </c>
      <c r="R253" s="108">
        <v>0</v>
      </c>
      <c r="S253" s="108">
        <v>0</v>
      </c>
      <c r="T253" s="108">
        <v>0</v>
      </c>
      <c r="U253" s="108">
        <v>0</v>
      </c>
      <c r="V253" s="108">
        <v>0</v>
      </c>
      <c r="W253" s="108">
        <v>0</v>
      </c>
      <c r="X253" s="108">
        <v>0</v>
      </c>
      <c r="Y253" s="108">
        <v>0</v>
      </c>
      <c r="Z253" s="108">
        <v>0</v>
      </c>
      <c r="AA253" s="108">
        <v>0</v>
      </c>
      <c r="AB253" s="108">
        <v>0</v>
      </c>
      <c r="AC253" s="108">
        <v>0</v>
      </c>
      <c r="AD253" s="108">
        <v>0</v>
      </c>
      <c r="AE253" s="108">
        <v>0</v>
      </c>
      <c r="AF253" s="108">
        <v>0</v>
      </c>
      <c r="AG253" s="108">
        <v>0</v>
      </c>
      <c r="AH253" s="108">
        <v>0</v>
      </c>
      <c r="AI253" s="108">
        <v>0</v>
      </c>
      <c r="AJ253" s="108">
        <v>0</v>
      </c>
      <c r="AK253" s="108">
        <v>0</v>
      </c>
      <c r="AL253" s="108">
        <v>0</v>
      </c>
      <c r="AM253" s="108">
        <v>0</v>
      </c>
      <c r="AN253" s="108">
        <v>0</v>
      </c>
      <c r="AO253" s="108">
        <v>0</v>
      </c>
      <c r="AP253" s="108">
        <v>0</v>
      </c>
      <c r="AQ253" s="108">
        <v>0</v>
      </c>
      <c r="AR253" s="108">
        <v>0</v>
      </c>
      <c r="AS253" s="108">
        <v>0</v>
      </c>
      <c r="AT253" s="108">
        <v>0</v>
      </c>
      <c r="AU253" s="108">
        <v>0</v>
      </c>
      <c r="AV253" s="108">
        <v>0</v>
      </c>
      <c r="AW253" s="108">
        <v>0</v>
      </c>
      <c r="AX253" s="108">
        <v>0</v>
      </c>
      <c r="AY253" s="108">
        <v>0</v>
      </c>
    </row>
    <row r="254" spans="1:51">
      <c r="A254" s="107"/>
      <c r="B254" s="127">
        <v>46</v>
      </c>
      <c r="C254" s="104">
        <v>0</v>
      </c>
      <c r="D254" s="108">
        <v>0</v>
      </c>
      <c r="E254" s="108">
        <v>0</v>
      </c>
      <c r="F254" s="108">
        <v>0</v>
      </c>
      <c r="G254" s="108">
        <v>0</v>
      </c>
      <c r="H254" s="108">
        <v>0</v>
      </c>
      <c r="I254" s="108">
        <v>0</v>
      </c>
      <c r="J254" s="108">
        <v>0</v>
      </c>
      <c r="K254" s="108">
        <v>0</v>
      </c>
      <c r="L254" s="108">
        <v>0</v>
      </c>
      <c r="M254" s="108">
        <v>0</v>
      </c>
      <c r="N254" s="108">
        <v>0</v>
      </c>
      <c r="O254" s="108">
        <v>0</v>
      </c>
      <c r="P254" s="108">
        <v>0</v>
      </c>
      <c r="Q254" s="108">
        <v>0</v>
      </c>
      <c r="R254" s="108">
        <v>0</v>
      </c>
      <c r="S254" s="108">
        <v>0</v>
      </c>
      <c r="T254" s="108">
        <v>0</v>
      </c>
      <c r="U254" s="108">
        <v>0</v>
      </c>
      <c r="V254" s="108">
        <v>0</v>
      </c>
      <c r="W254" s="108">
        <v>0</v>
      </c>
      <c r="X254" s="108">
        <v>0</v>
      </c>
      <c r="Y254" s="108">
        <v>0</v>
      </c>
      <c r="Z254" s="108">
        <v>0</v>
      </c>
      <c r="AA254" s="108">
        <v>0</v>
      </c>
      <c r="AB254" s="108">
        <v>0</v>
      </c>
      <c r="AC254" s="108">
        <v>0</v>
      </c>
      <c r="AD254" s="108">
        <v>0</v>
      </c>
      <c r="AE254" s="108">
        <v>0</v>
      </c>
      <c r="AF254" s="108">
        <v>0</v>
      </c>
      <c r="AG254" s="108">
        <v>0</v>
      </c>
      <c r="AH254" s="108">
        <v>0</v>
      </c>
      <c r="AI254" s="108">
        <v>0</v>
      </c>
      <c r="AJ254" s="108">
        <v>0</v>
      </c>
      <c r="AK254" s="108">
        <v>0</v>
      </c>
      <c r="AL254" s="108">
        <v>0</v>
      </c>
      <c r="AM254" s="108">
        <v>0</v>
      </c>
      <c r="AN254" s="108">
        <v>0</v>
      </c>
      <c r="AO254" s="108">
        <v>0</v>
      </c>
      <c r="AP254" s="108">
        <v>0</v>
      </c>
      <c r="AQ254" s="108">
        <v>0</v>
      </c>
      <c r="AR254" s="108">
        <v>0</v>
      </c>
      <c r="AS254" s="108">
        <v>0</v>
      </c>
      <c r="AT254" s="108">
        <v>0</v>
      </c>
      <c r="AU254" s="108">
        <v>0</v>
      </c>
      <c r="AV254" s="108">
        <v>0</v>
      </c>
      <c r="AW254" s="108">
        <v>0</v>
      </c>
      <c r="AX254" s="108">
        <v>0</v>
      </c>
      <c r="AY254" s="108">
        <v>0</v>
      </c>
    </row>
    <row r="255" spans="1:51">
      <c r="A255" s="107"/>
      <c r="B255" s="127">
        <v>47</v>
      </c>
      <c r="C255" s="104">
        <v>0</v>
      </c>
      <c r="D255" s="108">
        <v>0</v>
      </c>
      <c r="E255" s="108">
        <v>0</v>
      </c>
      <c r="F255" s="108">
        <v>0</v>
      </c>
      <c r="G255" s="108">
        <v>0</v>
      </c>
      <c r="H255" s="108">
        <v>0</v>
      </c>
      <c r="I255" s="108">
        <v>0</v>
      </c>
      <c r="J255" s="108">
        <v>0</v>
      </c>
      <c r="K255" s="108">
        <v>0</v>
      </c>
      <c r="L255" s="108">
        <v>0</v>
      </c>
      <c r="M255" s="108">
        <v>0</v>
      </c>
      <c r="N255" s="108">
        <v>0</v>
      </c>
      <c r="O255" s="108">
        <v>0</v>
      </c>
      <c r="P255" s="108">
        <v>0</v>
      </c>
      <c r="Q255" s="108">
        <v>0</v>
      </c>
      <c r="R255" s="108">
        <v>0</v>
      </c>
      <c r="S255" s="108">
        <v>0</v>
      </c>
      <c r="T255" s="108">
        <v>0</v>
      </c>
      <c r="U255" s="108">
        <v>0</v>
      </c>
      <c r="V255" s="108">
        <v>0</v>
      </c>
      <c r="W255" s="108">
        <v>0</v>
      </c>
      <c r="X255" s="108">
        <v>0</v>
      </c>
      <c r="Y255" s="108">
        <v>0</v>
      </c>
      <c r="Z255" s="108">
        <v>0</v>
      </c>
      <c r="AA255" s="108">
        <v>0</v>
      </c>
      <c r="AB255" s="108">
        <v>0</v>
      </c>
      <c r="AC255" s="108">
        <v>0</v>
      </c>
      <c r="AD255" s="108">
        <v>0</v>
      </c>
      <c r="AE255" s="108">
        <v>0</v>
      </c>
      <c r="AF255" s="108">
        <v>0</v>
      </c>
      <c r="AG255" s="108">
        <v>0</v>
      </c>
      <c r="AH255" s="108">
        <v>0</v>
      </c>
      <c r="AI255" s="108">
        <v>0</v>
      </c>
      <c r="AJ255" s="108">
        <v>0</v>
      </c>
      <c r="AK255" s="108">
        <v>0</v>
      </c>
      <c r="AL255" s="108">
        <v>0</v>
      </c>
      <c r="AM255" s="108">
        <v>0</v>
      </c>
      <c r="AN255" s="108">
        <v>0</v>
      </c>
      <c r="AO255" s="108">
        <v>0</v>
      </c>
      <c r="AP255" s="108">
        <v>0</v>
      </c>
      <c r="AQ255" s="108">
        <v>0</v>
      </c>
      <c r="AR255" s="108">
        <v>0</v>
      </c>
      <c r="AS255" s="108">
        <v>0</v>
      </c>
      <c r="AT255" s="108">
        <v>0</v>
      </c>
      <c r="AU255" s="108">
        <v>0</v>
      </c>
      <c r="AV255" s="108">
        <v>0</v>
      </c>
      <c r="AW255" s="108">
        <v>0</v>
      </c>
      <c r="AX255" s="108">
        <v>0</v>
      </c>
      <c r="AY255" s="108">
        <v>0</v>
      </c>
    </row>
    <row r="256" spans="1:51">
      <c r="A256" s="125"/>
      <c r="B256" s="126">
        <v>48</v>
      </c>
      <c r="C256" s="111">
        <v>0</v>
      </c>
      <c r="D256" s="122">
        <v>0</v>
      </c>
      <c r="E256" s="122">
        <v>0</v>
      </c>
      <c r="F256" s="122">
        <v>0</v>
      </c>
      <c r="G256" s="122">
        <v>0</v>
      </c>
      <c r="H256" s="122">
        <v>0</v>
      </c>
      <c r="I256" s="122">
        <v>0</v>
      </c>
      <c r="J256" s="122">
        <v>0</v>
      </c>
      <c r="K256" s="122">
        <v>0</v>
      </c>
      <c r="L256" s="122">
        <v>0</v>
      </c>
      <c r="M256" s="122">
        <v>0</v>
      </c>
      <c r="N256" s="122">
        <v>0</v>
      </c>
      <c r="O256" s="122">
        <v>0</v>
      </c>
      <c r="P256" s="122">
        <v>0</v>
      </c>
      <c r="Q256" s="122">
        <v>0</v>
      </c>
      <c r="R256" s="122">
        <v>0</v>
      </c>
      <c r="S256" s="122">
        <v>0</v>
      </c>
      <c r="T256" s="122">
        <v>0</v>
      </c>
      <c r="U256" s="122">
        <v>0</v>
      </c>
      <c r="V256" s="122">
        <v>0</v>
      </c>
      <c r="W256" s="122">
        <v>0</v>
      </c>
      <c r="X256" s="122">
        <v>0</v>
      </c>
      <c r="Y256" s="122">
        <v>0</v>
      </c>
      <c r="Z256" s="122">
        <v>0</v>
      </c>
      <c r="AA256" s="122">
        <v>0</v>
      </c>
      <c r="AB256" s="122">
        <v>0</v>
      </c>
      <c r="AC256" s="122">
        <v>0</v>
      </c>
      <c r="AD256" s="122">
        <v>0</v>
      </c>
      <c r="AE256" s="122">
        <v>0</v>
      </c>
      <c r="AF256" s="122">
        <v>0</v>
      </c>
      <c r="AG256" s="122">
        <v>0</v>
      </c>
      <c r="AH256" s="122">
        <v>0</v>
      </c>
      <c r="AI256" s="122">
        <v>0</v>
      </c>
      <c r="AJ256" s="122">
        <v>0</v>
      </c>
      <c r="AK256" s="122">
        <v>0</v>
      </c>
      <c r="AL256" s="122">
        <v>0</v>
      </c>
      <c r="AM256" s="122">
        <v>0</v>
      </c>
      <c r="AN256" s="122">
        <v>0</v>
      </c>
      <c r="AO256" s="122">
        <v>0</v>
      </c>
      <c r="AP256" s="122">
        <v>0</v>
      </c>
      <c r="AQ256" s="122">
        <v>0</v>
      </c>
      <c r="AR256" s="122">
        <v>0</v>
      </c>
      <c r="AS256" s="122">
        <v>0</v>
      </c>
      <c r="AT256" s="122">
        <v>0</v>
      </c>
      <c r="AU256" s="122">
        <v>0</v>
      </c>
      <c r="AV256" s="122">
        <v>0</v>
      </c>
      <c r="AW256" s="122">
        <v>0</v>
      </c>
      <c r="AX256" s="122">
        <v>0</v>
      </c>
      <c r="AY256" s="122">
        <v>0</v>
      </c>
    </row>
    <row r="258" spans="1:52">
      <c r="A258" s="1" t="s">
        <v>301</v>
      </c>
    </row>
    <row r="259" spans="1:52">
      <c r="A259" s="134" t="s">
        <v>124</v>
      </c>
      <c r="B259" s="135">
        <v>650</v>
      </c>
      <c r="C259" s="121" t="s">
        <v>293</v>
      </c>
      <c r="D259" s="121">
        <f>E$14*$B$259</f>
        <v>62380.004502996228</v>
      </c>
      <c r="E259" s="121">
        <f t="shared" ref="E259:AX259" si="5">F$14*$B$259</f>
        <v>60886.529782473255</v>
      </c>
      <c r="F259" s="121">
        <f t="shared" si="5"/>
        <v>60886.529782473262</v>
      </c>
      <c r="G259" s="121">
        <f t="shared" si="5"/>
        <v>60886.529782473255</v>
      </c>
      <c r="H259" s="121">
        <f t="shared" si="5"/>
        <v>60886.529782473262</v>
      </c>
      <c r="I259" s="121">
        <f t="shared" si="5"/>
        <v>60886.529782473255</v>
      </c>
      <c r="J259" s="121">
        <f t="shared" si="5"/>
        <v>60886.529782473262</v>
      </c>
      <c r="K259" s="121">
        <f t="shared" si="5"/>
        <v>60886.529782473255</v>
      </c>
      <c r="L259" s="121">
        <f t="shared" si="5"/>
        <v>60886.529782473262</v>
      </c>
      <c r="M259" s="121">
        <f t="shared" si="5"/>
        <v>60886.529782473255</v>
      </c>
      <c r="N259" s="121">
        <f t="shared" si="5"/>
        <v>16243.643024355042</v>
      </c>
      <c r="O259" s="121">
        <f t="shared" si="5"/>
        <v>105529.41654059147</v>
      </c>
      <c r="P259" s="121">
        <f t="shared" si="5"/>
        <v>22528.364961111693</v>
      </c>
      <c r="Q259" s="121">
        <f t="shared" si="5"/>
        <v>105529.41654059147</v>
      </c>
      <c r="R259" s="121">
        <f t="shared" si="5"/>
        <v>21294.490605418152</v>
      </c>
      <c r="S259" s="121">
        <f t="shared" si="5"/>
        <v>105529.41654059147</v>
      </c>
      <c r="T259" s="121">
        <f t="shared" si="5"/>
        <v>78506.810980838098</v>
      </c>
      <c r="U259" s="121">
        <f t="shared" si="5"/>
        <v>60886.529782473255</v>
      </c>
      <c r="V259" s="121">
        <f t="shared" si="5"/>
        <v>16243.643024355042</v>
      </c>
      <c r="W259" s="121">
        <f t="shared" si="5"/>
        <v>105529.41654059147</v>
      </c>
      <c r="X259" s="121">
        <f t="shared" si="5"/>
        <v>78167.28072720865</v>
      </c>
      <c r="Y259" s="121">
        <f t="shared" si="5"/>
        <v>64576.602816032209</v>
      </c>
      <c r="Z259" s="121">
        <f t="shared" si="5"/>
        <v>16243.643024355042</v>
      </c>
      <c r="AA259" s="121">
        <f t="shared" si="5"/>
        <v>46746.832888595869</v>
      </c>
      <c r="AB259" s="121">
        <f t="shared" si="5"/>
        <v>60886.529782473255</v>
      </c>
      <c r="AC259" s="121">
        <f t="shared" si="5"/>
        <v>16243.643024355042</v>
      </c>
      <c r="AD259" s="121">
        <f t="shared" si="5"/>
        <v>95732.319265258877</v>
      </c>
      <c r="AE259" s="121">
        <f t="shared" si="5"/>
        <v>60886.529782473262</v>
      </c>
      <c r="AF259" s="121">
        <f t="shared" si="5"/>
        <v>60886.529782473255</v>
      </c>
      <c r="AG259" s="121">
        <f t="shared" si="5"/>
        <v>16243.643024355042</v>
      </c>
      <c r="AH259" s="121">
        <f t="shared" si="5"/>
        <v>105529.41654059147</v>
      </c>
      <c r="AI259" s="121">
        <f t="shared" si="5"/>
        <v>23720.82419194837</v>
      </c>
      <c r="AJ259" s="121">
        <f t="shared" si="5"/>
        <v>105529.41654059147</v>
      </c>
      <c r="AK259" s="121">
        <f t="shared" si="5"/>
        <v>75928.028017168035</v>
      </c>
      <c r="AL259" s="121">
        <f t="shared" si="5"/>
        <v>73882.676362184779</v>
      </c>
      <c r="AM259" s="121">
        <f t="shared" si="5"/>
        <v>16243.643024355042</v>
      </c>
      <c r="AN259" s="121">
        <f t="shared" si="5"/>
        <v>60886.529782473255</v>
      </c>
      <c r="AO259" s="121">
        <f t="shared" si="5"/>
        <v>105529.4165405915</v>
      </c>
      <c r="AP259" s="121">
        <f t="shared" si="5"/>
        <v>73678.213879070565</v>
      </c>
      <c r="AQ259" s="121">
        <f t="shared" si="5"/>
        <v>16243.643024355042</v>
      </c>
      <c r="AR259" s="121">
        <f t="shared" si="5"/>
        <v>11901.043405810247</v>
      </c>
      <c r="AS259" s="121">
        <f t="shared" si="5"/>
        <v>105529.41654059147</v>
      </c>
      <c r="AT259" s="121">
        <f t="shared" si="5"/>
        <v>80666.482115952356</v>
      </c>
      <c r="AU259" s="121">
        <f t="shared" si="5"/>
        <v>61802.099195420808</v>
      </c>
      <c r="AV259" s="121">
        <f t="shared" si="5"/>
        <v>60886.529782473262</v>
      </c>
      <c r="AW259" s="121">
        <f t="shared" si="5"/>
        <v>60886.529782473255</v>
      </c>
      <c r="AX259" s="121">
        <f t="shared" si="5"/>
        <v>60886.529782473262</v>
      </c>
      <c r="AY259" s="121">
        <f>AZ$14*$B$259</f>
        <v>31669.076539498688</v>
      </c>
      <c r="AZ259" s="136">
        <f>SUM($D259:$AY259)</f>
        <v>2896192.9902517758</v>
      </c>
    </row>
    <row r="260" spans="1:52">
      <c r="A260" s="137" t="s">
        <v>302</v>
      </c>
      <c r="B260" s="111">
        <v>60</v>
      </c>
      <c r="C260" s="122" t="s">
        <v>293</v>
      </c>
      <c r="D260" s="122">
        <f>(D$175-D$176+D$177-D$178+D$179-D$180+D$181-D$182)*$B$260</f>
        <v>41911.797330668989</v>
      </c>
      <c r="E260" s="122">
        <f t="shared" ref="E260:AY260" si="6">(E$175-E$176+E$177-E$178+E$179-E$180+E$181-E$182)*$B$260</f>
        <v>41702.474703804175</v>
      </c>
      <c r="F260" s="122">
        <f t="shared" si="6"/>
        <v>41933.082014681553</v>
      </c>
      <c r="G260" s="122">
        <f t="shared" si="6"/>
        <v>40903.689325558924</v>
      </c>
      <c r="H260" s="122">
        <f t="shared" si="6"/>
        <v>39583.689325558938</v>
      </c>
      <c r="I260" s="122">
        <f t="shared" si="6"/>
        <v>38203.689325558924</v>
      </c>
      <c r="J260" s="122">
        <f t="shared" si="6"/>
        <v>41679.611656948662</v>
      </c>
      <c r="K260" s="122">
        <f t="shared" si="6"/>
        <v>39643.689325558924</v>
      </c>
      <c r="L260" s="122">
        <f t="shared" si="6"/>
        <v>39163.689325558938</v>
      </c>
      <c r="M260" s="122">
        <f t="shared" si="6"/>
        <v>41203.689325558924</v>
      </c>
      <c r="N260" s="122">
        <f t="shared" si="6"/>
        <v>39103.689325558931</v>
      </c>
      <c r="O260" s="122">
        <f t="shared" si="6"/>
        <v>47512.064385023739</v>
      </c>
      <c r="P260" s="122">
        <f t="shared" si="6"/>
        <v>41250.027696085912</v>
      </c>
      <c r="Q260" s="122">
        <f t="shared" si="6"/>
        <v>50893.480608326732</v>
      </c>
      <c r="R260" s="122">
        <f t="shared" si="6"/>
        <v>42043.689325558924</v>
      </c>
      <c r="S260" s="122">
        <f t="shared" si="6"/>
        <v>48571.403506952833</v>
      </c>
      <c r="T260" s="122">
        <f t="shared" si="6"/>
        <v>45938.749505041371</v>
      </c>
      <c r="U260" s="122">
        <f t="shared" si="6"/>
        <v>43170.00287283236</v>
      </c>
      <c r="V260" s="122">
        <f t="shared" si="6"/>
        <v>41983.689325558931</v>
      </c>
      <c r="W260" s="122">
        <f t="shared" si="6"/>
        <v>51434.744469569865</v>
      </c>
      <c r="X260" s="122">
        <f t="shared" si="6"/>
        <v>42932.708605799315</v>
      </c>
      <c r="Y260" s="122">
        <f t="shared" si="6"/>
        <v>38483.674476759894</v>
      </c>
      <c r="Z260" s="122">
        <f t="shared" si="6"/>
        <v>30646.135926725088</v>
      </c>
      <c r="AA260" s="122">
        <f t="shared" si="6"/>
        <v>31782.873791836879</v>
      </c>
      <c r="AB260" s="122">
        <f t="shared" si="6"/>
        <v>32446.135926725095</v>
      </c>
      <c r="AC260" s="122">
        <f t="shared" si="6"/>
        <v>34782.058258114826</v>
      </c>
      <c r="AD260" s="122">
        <f t="shared" si="6"/>
        <v>36258.498878691425</v>
      </c>
      <c r="AE260" s="122">
        <f t="shared" si="6"/>
        <v>35913.902920894296</v>
      </c>
      <c r="AF260" s="122">
        <f t="shared" si="6"/>
        <v>35849.825252284019</v>
      </c>
      <c r="AG260" s="122">
        <f t="shared" si="6"/>
        <v>36685.747583673758</v>
      </c>
      <c r="AH260" s="122">
        <f t="shared" si="6"/>
        <v>46379.278056933174</v>
      </c>
      <c r="AI260" s="122">
        <f t="shared" si="6"/>
        <v>42654.762571923304</v>
      </c>
      <c r="AJ260" s="122">
        <f t="shared" si="6"/>
        <v>45049.166673853819</v>
      </c>
      <c r="AK260" s="122">
        <f t="shared" si="6"/>
        <v>45688.937857908539</v>
      </c>
      <c r="AL260" s="122">
        <f t="shared" si="6"/>
        <v>41915.5339883384</v>
      </c>
      <c r="AM260" s="122">
        <f t="shared" si="6"/>
        <v>41863.689325558931</v>
      </c>
      <c r="AN260" s="122">
        <f t="shared" si="6"/>
        <v>40003.689325558924</v>
      </c>
      <c r="AO260" s="122">
        <f t="shared" si="6"/>
        <v>50301.204322123747</v>
      </c>
      <c r="AP260" s="122">
        <f t="shared" si="6"/>
        <v>41237.572593602155</v>
      </c>
      <c r="AQ260" s="122">
        <f t="shared" si="6"/>
        <v>39819.611656948662</v>
      </c>
      <c r="AR260" s="122">
        <f t="shared" si="6"/>
        <v>38443.689325558931</v>
      </c>
      <c r="AS260" s="122">
        <f t="shared" si="6"/>
        <v>48994.93573027962</v>
      </c>
      <c r="AT260" s="122">
        <f t="shared" si="6"/>
        <v>47285.466488590173</v>
      </c>
      <c r="AU260" s="122">
        <f t="shared" si="6"/>
        <v>40942.043409315789</v>
      </c>
      <c r="AV260" s="122">
        <f t="shared" si="6"/>
        <v>37723.689325558938</v>
      </c>
      <c r="AW260" s="122">
        <f t="shared" si="6"/>
        <v>30627.823014794569</v>
      </c>
      <c r="AX260" s="122">
        <f t="shared" si="6"/>
        <v>31163.7453461843</v>
      </c>
      <c r="AY260" s="122">
        <f t="shared" si="6"/>
        <v>31291.900683404823</v>
      </c>
      <c r="AZ260" s="138">
        <f>SUM($D260:$AY260)</f>
        <v>1954998.9439979082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55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customWidth="1"/>
    <col min="2" max="2" width="12.6640625" customWidth="1"/>
  </cols>
  <sheetData>
    <row r="1" spans="1:53">
      <c r="A1" s="1" t="s">
        <v>284</v>
      </c>
    </row>
    <row r="2" spans="1:53">
      <c r="A2" t="s">
        <v>285</v>
      </c>
      <c r="B2" s="105" t="s">
        <v>59</v>
      </c>
    </row>
    <row r="3" spans="1:53">
      <c r="A3" t="s">
        <v>286</v>
      </c>
      <c r="B3" s="106">
        <v>6000</v>
      </c>
      <c r="C3" s="107"/>
    </row>
    <row r="4" spans="1:53">
      <c r="B4" s="108"/>
      <c r="C4" s="108"/>
    </row>
    <row r="5" spans="1:53">
      <c r="C5" s="9" t="s">
        <v>287</v>
      </c>
    </row>
    <row r="6" spans="1:53">
      <c r="C6" s="109">
        <v>0</v>
      </c>
      <c r="D6" s="109">
        <v>1</v>
      </c>
      <c r="E6" s="109">
        <v>2</v>
      </c>
      <c r="F6" s="109">
        <v>3</v>
      </c>
      <c r="G6" s="109">
        <v>4</v>
      </c>
      <c r="H6" s="109">
        <v>5</v>
      </c>
      <c r="I6" s="109">
        <v>6</v>
      </c>
      <c r="J6" s="109">
        <v>7</v>
      </c>
      <c r="K6" s="109">
        <v>8</v>
      </c>
      <c r="L6" s="109">
        <v>9</v>
      </c>
      <c r="M6" s="109">
        <v>10</v>
      </c>
      <c r="N6" s="109">
        <v>11</v>
      </c>
      <c r="O6" s="109">
        <v>12</v>
      </c>
      <c r="P6" s="109">
        <v>13</v>
      </c>
      <c r="Q6" s="109">
        <v>14</v>
      </c>
      <c r="R6" s="109">
        <v>15</v>
      </c>
      <c r="S6" s="109">
        <v>16</v>
      </c>
      <c r="T6" s="109">
        <v>17</v>
      </c>
      <c r="U6" s="109">
        <v>18</v>
      </c>
      <c r="V6" s="109">
        <v>19</v>
      </c>
      <c r="W6" s="109">
        <v>20</v>
      </c>
      <c r="X6" s="109">
        <v>21</v>
      </c>
      <c r="Y6" s="109">
        <v>22</v>
      </c>
      <c r="Z6" s="109">
        <v>23</v>
      </c>
      <c r="AA6" s="109">
        <v>24</v>
      </c>
      <c r="AB6" s="109">
        <v>25</v>
      </c>
      <c r="AC6" s="109">
        <v>26</v>
      </c>
      <c r="AD6" s="109">
        <v>27</v>
      </c>
      <c r="AE6" s="109">
        <v>28</v>
      </c>
      <c r="AF6" s="109">
        <v>29</v>
      </c>
      <c r="AG6" s="109">
        <v>30</v>
      </c>
      <c r="AH6" s="109">
        <v>31</v>
      </c>
      <c r="AI6" s="109">
        <v>32</v>
      </c>
      <c r="AJ6" s="109">
        <v>33</v>
      </c>
      <c r="AK6" s="109">
        <v>34</v>
      </c>
      <c r="AL6" s="109">
        <v>35</v>
      </c>
      <c r="AM6" s="109">
        <v>36</v>
      </c>
      <c r="AN6" s="109">
        <v>37</v>
      </c>
      <c r="AO6" s="109">
        <v>38</v>
      </c>
      <c r="AP6" s="109">
        <v>39</v>
      </c>
      <c r="AQ6" s="109">
        <v>40</v>
      </c>
      <c r="AR6" s="109">
        <v>41</v>
      </c>
      <c r="AS6" s="109">
        <v>42</v>
      </c>
      <c r="AT6" s="109">
        <v>43</v>
      </c>
      <c r="AU6" s="109">
        <v>44</v>
      </c>
      <c r="AV6" s="109">
        <v>45</v>
      </c>
      <c r="AW6" s="109">
        <v>46</v>
      </c>
      <c r="AX6" s="109">
        <v>47</v>
      </c>
      <c r="AY6" s="109">
        <v>48</v>
      </c>
    </row>
    <row r="7" spans="1:53">
      <c r="B7" s="108"/>
      <c r="C7" s="110" t="s">
        <v>288</v>
      </c>
      <c r="D7" s="109" t="s">
        <v>289</v>
      </c>
      <c r="E7" s="109" t="s">
        <v>289</v>
      </c>
      <c r="F7" s="109" t="s">
        <v>289</v>
      </c>
      <c r="G7" s="109" t="s">
        <v>289</v>
      </c>
      <c r="H7" s="109" t="s">
        <v>289</v>
      </c>
      <c r="I7" s="109" t="s">
        <v>289</v>
      </c>
      <c r="J7" s="109" t="s">
        <v>289</v>
      </c>
      <c r="K7" s="109" t="s">
        <v>289</v>
      </c>
      <c r="L7" s="109" t="s">
        <v>289</v>
      </c>
      <c r="M7" s="109" t="s">
        <v>289</v>
      </c>
      <c r="N7" s="109" t="s">
        <v>289</v>
      </c>
      <c r="O7" s="109" t="s">
        <v>289</v>
      </c>
      <c r="P7" s="109" t="s">
        <v>289</v>
      </c>
      <c r="Q7" s="109" t="s">
        <v>289</v>
      </c>
      <c r="R7" s="109" t="s">
        <v>289</v>
      </c>
      <c r="S7" s="109" t="s">
        <v>289</v>
      </c>
      <c r="T7" s="109" t="s">
        <v>289</v>
      </c>
      <c r="U7" s="109" t="s">
        <v>289</v>
      </c>
      <c r="V7" s="109" t="s">
        <v>289</v>
      </c>
      <c r="W7" s="109" t="s">
        <v>289</v>
      </c>
      <c r="X7" s="109" t="s">
        <v>289</v>
      </c>
      <c r="Y7" s="109" t="s">
        <v>289</v>
      </c>
      <c r="Z7" s="109" t="s">
        <v>289</v>
      </c>
      <c r="AA7" s="109" t="s">
        <v>289</v>
      </c>
      <c r="AB7" s="109" t="s">
        <v>289</v>
      </c>
      <c r="AC7" s="109" t="s">
        <v>289</v>
      </c>
      <c r="AD7" s="109" t="s">
        <v>289</v>
      </c>
      <c r="AE7" s="109" t="s">
        <v>289</v>
      </c>
      <c r="AF7" s="109" t="s">
        <v>289</v>
      </c>
      <c r="AG7" s="109" t="s">
        <v>289</v>
      </c>
      <c r="AH7" s="109" t="s">
        <v>289</v>
      </c>
      <c r="AI7" s="109" t="s">
        <v>289</v>
      </c>
      <c r="AJ7" s="109" t="s">
        <v>289</v>
      </c>
      <c r="AK7" s="109" t="s">
        <v>289</v>
      </c>
      <c r="AL7" s="109" t="s">
        <v>289</v>
      </c>
      <c r="AM7" s="109" t="s">
        <v>289</v>
      </c>
      <c r="AN7" s="109" t="s">
        <v>289</v>
      </c>
      <c r="AO7" s="109" t="s">
        <v>289</v>
      </c>
      <c r="AP7" s="109" t="s">
        <v>289</v>
      </c>
      <c r="AQ7" s="109" t="s">
        <v>289</v>
      </c>
      <c r="AR7" s="109" t="s">
        <v>289</v>
      </c>
      <c r="AS7" s="109" t="s">
        <v>289</v>
      </c>
      <c r="AT7" s="109" t="s">
        <v>289</v>
      </c>
      <c r="AU7" s="109" t="s">
        <v>289</v>
      </c>
      <c r="AV7" s="109" t="s">
        <v>289</v>
      </c>
      <c r="AW7" s="109" t="s">
        <v>289</v>
      </c>
      <c r="AX7" s="109" t="s">
        <v>289</v>
      </c>
      <c r="AY7" s="9" t="s">
        <v>290</v>
      </c>
      <c r="AZ7" s="9" t="s">
        <v>291</v>
      </c>
    </row>
    <row r="8" spans="1:53">
      <c r="A8" s="1" t="s">
        <v>292</v>
      </c>
      <c r="B8" s="111"/>
      <c r="AY8" s="108"/>
    </row>
    <row r="9" spans="1:53">
      <c r="A9" s="112" t="s">
        <v>125</v>
      </c>
      <c r="B9" s="113">
        <v>1</v>
      </c>
      <c r="C9" s="114" t="s">
        <v>293</v>
      </c>
      <c r="D9" s="114">
        <v>1049.963833253772</v>
      </c>
      <c r="E9" s="114">
        <v>1049.963833253772</v>
      </c>
      <c r="F9" s="114">
        <v>1049.963833253772</v>
      </c>
      <c r="G9" s="114">
        <v>1049.963833253772</v>
      </c>
      <c r="H9" s="114">
        <v>1049.963833253772</v>
      </c>
      <c r="I9" s="114">
        <v>1049.963833253772</v>
      </c>
      <c r="J9" s="114">
        <v>1049.963833253772</v>
      </c>
      <c r="K9" s="114">
        <v>1049.963833253772</v>
      </c>
      <c r="L9" s="114">
        <v>1049.963833253772</v>
      </c>
      <c r="M9" s="114">
        <v>1049.963833253772</v>
      </c>
      <c r="N9" s="114">
        <v>1049.963833253772</v>
      </c>
      <c r="O9" s="114">
        <v>1049.963833253772</v>
      </c>
      <c r="P9" s="114">
        <v>1049.963833253772</v>
      </c>
      <c r="Q9" s="114">
        <v>1049.963833253772</v>
      </c>
      <c r="R9" s="114">
        <v>1049.963833253772</v>
      </c>
      <c r="S9" s="114">
        <v>1049.963833253772</v>
      </c>
      <c r="T9" s="114">
        <v>856.3907734149418</v>
      </c>
      <c r="U9" s="114">
        <v>856.3907734149418</v>
      </c>
      <c r="V9" s="114">
        <v>856.3907734149418</v>
      </c>
      <c r="W9" s="114">
        <v>856.3907734149418</v>
      </c>
      <c r="X9" s="114">
        <v>1049.963833253772</v>
      </c>
      <c r="Y9" s="114">
        <v>1049.963833253772</v>
      </c>
      <c r="Z9" s="114">
        <v>1049.963833253772</v>
      </c>
      <c r="AA9" s="114">
        <v>1049.963833253772</v>
      </c>
      <c r="AB9" s="114">
        <v>1243.5368930926027</v>
      </c>
      <c r="AC9" s="114">
        <v>1243.5368930926027</v>
      </c>
      <c r="AD9" s="114">
        <v>1243.5368930926027</v>
      </c>
      <c r="AE9" s="114">
        <v>1243.5368930926027</v>
      </c>
      <c r="AF9" s="114">
        <v>1243.5368930926027</v>
      </c>
      <c r="AG9" s="114">
        <v>1243.5368930926027</v>
      </c>
      <c r="AH9" s="114">
        <v>1243.5368930926027</v>
      </c>
      <c r="AI9" s="114">
        <v>1243.5368930926027</v>
      </c>
      <c r="AJ9" s="114">
        <v>1049.963833253772</v>
      </c>
      <c r="AK9" s="114">
        <v>1049.963833253772</v>
      </c>
      <c r="AL9" s="114">
        <v>1049.963833253772</v>
      </c>
      <c r="AM9" s="114">
        <v>1049.963833253772</v>
      </c>
      <c r="AN9" s="114">
        <v>1049.963833253772</v>
      </c>
      <c r="AO9" s="114">
        <v>1049.963833253772</v>
      </c>
      <c r="AP9" s="114">
        <v>1049.963833253772</v>
      </c>
      <c r="AQ9" s="114">
        <v>1049.963833253772</v>
      </c>
      <c r="AR9" s="114">
        <v>856.3907734149418</v>
      </c>
      <c r="AS9" s="114">
        <v>856.3907734149418</v>
      </c>
      <c r="AT9" s="114">
        <v>856.3907734149418</v>
      </c>
      <c r="AU9" s="114">
        <v>856.3907734149418</v>
      </c>
      <c r="AV9" s="114">
        <v>1243.5368930926027</v>
      </c>
      <c r="AW9" s="114">
        <v>1243.5368930926027</v>
      </c>
      <c r="AX9" s="114">
        <v>1243.5368930926027</v>
      </c>
      <c r="AY9" s="114">
        <v>1243.5368930926027</v>
      </c>
    </row>
    <row r="10" spans="1:53">
      <c r="A10" s="115" t="s">
        <v>133</v>
      </c>
      <c r="B10" s="116">
        <v>1</v>
      </c>
      <c r="C10" s="104" t="s">
        <v>293</v>
      </c>
      <c r="D10">
        <v>208.90505571946304</v>
      </c>
      <c r="E10">
        <v>632.71513337225815</v>
      </c>
      <c r="F10">
        <v>211.40140051419237</v>
      </c>
      <c r="G10">
        <v>613.71009798773321</v>
      </c>
      <c r="H10">
        <v>211.40140051419237</v>
      </c>
      <c r="I10">
        <v>0</v>
      </c>
      <c r="J10">
        <v>1227.4201959754664</v>
      </c>
      <c r="K10">
        <v>613.71009798773321</v>
      </c>
      <c r="L10">
        <v>613.71009798773321</v>
      </c>
      <c r="M10">
        <v>0</v>
      </c>
      <c r="N10">
        <v>211.40140051419237</v>
      </c>
      <c r="O10">
        <v>613.71009798773321</v>
      </c>
      <c r="P10">
        <v>613.71009798773321</v>
      </c>
      <c r="Q10">
        <v>613.71009798773321</v>
      </c>
      <c r="R10">
        <v>613.71009798773321</v>
      </c>
      <c r="S10">
        <v>613.71009798773321</v>
      </c>
      <c r="T10">
        <v>211.40140051419237</v>
      </c>
      <c r="U10">
        <v>0</v>
      </c>
      <c r="V10">
        <v>1114.2755925529586</v>
      </c>
      <c r="W10">
        <v>500.56549456522561</v>
      </c>
      <c r="X10">
        <v>500.56549456522555</v>
      </c>
      <c r="Y10">
        <v>500.56549456522561</v>
      </c>
      <c r="Z10">
        <v>211.40140051419237</v>
      </c>
      <c r="AA10">
        <v>613.71009798773321</v>
      </c>
      <c r="AB10">
        <v>613.71009798773321</v>
      </c>
      <c r="AC10">
        <v>613.71009798773321</v>
      </c>
      <c r="AD10">
        <v>211.40140051419237</v>
      </c>
      <c r="AE10">
        <v>726.85470141024086</v>
      </c>
      <c r="AF10">
        <v>726.85470141024086</v>
      </c>
      <c r="AG10">
        <v>0</v>
      </c>
      <c r="AH10">
        <v>1453.7094028204815</v>
      </c>
      <c r="AI10">
        <v>726.85470141024086</v>
      </c>
      <c r="AJ10">
        <v>726.85470141024086</v>
      </c>
      <c r="AK10">
        <v>0</v>
      </c>
      <c r="AL10">
        <v>211.40140051419237</v>
      </c>
      <c r="AM10">
        <v>613.71009798773321</v>
      </c>
      <c r="AN10">
        <v>613.71009798773321</v>
      </c>
      <c r="AO10">
        <v>613.71009798773321</v>
      </c>
      <c r="AP10">
        <v>211.40140051419237</v>
      </c>
      <c r="AQ10">
        <v>0</v>
      </c>
      <c r="AR10">
        <v>613.71009798773321</v>
      </c>
      <c r="AS10">
        <v>613.71009798773321</v>
      </c>
      <c r="AT10">
        <v>500.56549456522555</v>
      </c>
      <c r="AU10">
        <v>500.56549456522561</v>
      </c>
      <c r="AV10">
        <v>211.40140051419215</v>
      </c>
      <c r="AW10">
        <v>0</v>
      </c>
      <c r="AX10">
        <v>726.85470141024086</v>
      </c>
      <c r="AY10">
        <v>726.85470141024086</v>
      </c>
      <c r="AZ10">
        <v>211.40140051419237</v>
      </c>
    </row>
    <row r="11" spans="1:53">
      <c r="B11" s="116">
        <v>2</v>
      </c>
      <c r="C11" s="104" t="s">
        <v>293</v>
      </c>
      <c r="D11">
        <v>0</v>
      </c>
      <c r="E11">
        <v>0</v>
      </c>
      <c r="G11">
        <v>0</v>
      </c>
      <c r="H11">
        <v>0</v>
      </c>
      <c r="I11">
        <v>402.30869747354086</v>
      </c>
      <c r="K11">
        <v>0</v>
      </c>
      <c r="L11">
        <v>0</v>
      </c>
      <c r="M11">
        <v>0</v>
      </c>
      <c r="N11">
        <v>613.71009798773321</v>
      </c>
      <c r="O11">
        <v>402.30869747354086</v>
      </c>
      <c r="P11">
        <v>0</v>
      </c>
      <c r="S11">
        <v>0</v>
      </c>
      <c r="U11">
        <v>402.30869747354086</v>
      </c>
      <c r="V11">
        <v>0</v>
      </c>
      <c r="Y11">
        <v>0</v>
      </c>
      <c r="Z11">
        <v>0</v>
      </c>
      <c r="AA11">
        <v>402.30869747354086</v>
      </c>
      <c r="AB11">
        <v>0</v>
      </c>
      <c r="AD11">
        <v>0</v>
      </c>
      <c r="AE11">
        <v>515.45330089604852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402.30869747354086</v>
      </c>
      <c r="AP11">
        <v>0</v>
      </c>
      <c r="AQ11">
        <v>0</v>
      </c>
      <c r="AR11">
        <v>0</v>
      </c>
      <c r="AS11">
        <v>0</v>
      </c>
      <c r="AW11">
        <v>289.16409405103343</v>
      </c>
      <c r="AX11">
        <v>500.56549456522561</v>
      </c>
      <c r="AY11">
        <v>0</v>
      </c>
      <c r="AZ11">
        <v>0</v>
      </c>
      <c r="BA11">
        <v>515.45330089604852</v>
      </c>
    </row>
    <row r="12" spans="1:53">
      <c r="B12" s="117">
        <v>3</v>
      </c>
      <c r="C12" s="104" t="s">
        <v>293</v>
      </c>
      <c r="F12">
        <v>410.11719756529453</v>
      </c>
      <c r="H12">
        <v>402.30869747354086</v>
      </c>
      <c r="J12">
        <v>0</v>
      </c>
      <c r="K12">
        <v>0</v>
      </c>
      <c r="R12">
        <v>0</v>
      </c>
      <c r="S12">
        <v>0</v>
      </c>
      <c r="V12">
        <v>0</v>
      </c>
      <c r="W12">
        <v>0</v>
      </c>
      <c r="X12">
        <v>0</v>
      </c>
      <c r="Y12">
        <v>0</v>
      </c>
      <c r="AD12">
        <v>0</v>
      </c>
      <c r="AM12">
        <v>726.85470141024086</v>
      </c>
      <c r="AO12">
        <v>0</v>
      </c>
      <c r="AP12">
        <v>0</v>
      </c>
      <c r="AR12">
        <v>402.30869747354086</v>
      </c>
      <c r="AS12">
        <v>613.71009798773321</v>
      </c>
      <c r="AU12">
        <v>0</v>
      </c>
      <c r="AV12">
        <v>0</v>
      </c>
      <c r="AW12">
        <v>0</v>
      </c>
    </row>
    <row r="13" spans="1:53">
      <c r="B13" s="117">
        <v>4</v>
      </c>
      <c r="C13" s="104" t="s">
        <v>293</v>
      </c>
      <c r="H13">
        <v>0</v>
      </c>
      <c r="V13">
        <v>0</v>
      </c>
      <c r="AZ13">
        <v>0</v>
      </c>
    </row>
    <row r="14" spans="1:53">
      <c r="A14" s="112" t="s">
        <v>134</v>
      </c>
      <c r="B14" s="118">
        <v>1</v>
      </c>
      <c r="C14" s="114" t="s">
        <v>293</v>
      </c>
      <c r="D14" s="114">
        <v>578.93789604789731</v>
      </c>
      <c r="E14" s="114">
        <f t="shared" ref="E14:AZ14" si="0">D$172*SUM(D$122:D$169)</f>
        <v>212.45714524061958</v>
      </c>
      <c r="F14" s="114">
        <f t="shared" si="0"/>
        <v>383.48707151470427</v>
      </c>
      <c r="G14" s="114">
        <f t="shared" si="0"/>
        <v>382.52879758687857</v>
      </c>
      <c r="H14" s="114">
        <f t="shared" si="0"/>
        <v>374.16495087293441</v>
      </c>
      <c r="I14" s="114">
        <f t="shared" si="0"/>
        <v>374.16495087293441</v>
      </c>
      <c r="J14" s="114">
        <f t="shared" si="0"/>
        <v>270.47088666524229</v>
      </c>
      <c r="K14" s="114">
        <f t="shared" si="0"/>
        <v>675.19462310245581</v>
      </c>
      <c r="L14" s="114">
        <f t="shared" si="0"/>
        <v>467.24234068334232</v>
      </c>
      <c r="M14" s="114">
        <f t="shared" si="0"/>
        <v>374.16495087293441</v>
      </c>
      <c r="N14" s="114">
        <f t="shared" si="0"/>
        <v>73.135278643413088</v>
      </c>
      <c r="O14" s="114">
        <f t="shared" si="0"/>
        <v>477.85901508062653</v>
      </c>
      <c r="P14" s="114">
        <f t="shared" si="0"/>
        <v>571.50055889476369</v>
      </c>
      <c r="Q14" s="114">
        <f t="shared" si="0"/>
        <v>439.81164339610609</v>
      </c>
      <c r="R14" s="114">
        <f t="shared" si="0"/>
        <v>395.97683014236929</v>
      </c>
      <c r="S14" s="114">
        <f t="shared" si="0"/>
        <v>374.16495087293441</v>
      </c>
      <c r="T14" s="114">
        <f t="shared" si="0"/>
        <v>374.16495087293441</v>
      </c>
      <c r="U14" s="114">
        <f t="shared" si="0"/>
        <v>176.82934285110517</v>
      </c>
      <c r="V14" s="114">
        <f t="shared" si="0"/>
        <v>270.47088666524229</v>
      </c>
      <c r="W14" s="114">
        <f t="shared" si="0"/>
        <v>619.69629743616156</v>
      </c>
      <c r="X14" s="114">
        <f t="shared" si="0"/>
        <v>351.72743555735252</v>
      </c>
      <c r="Y14" s="114">
        <f t="shared" si="0"/>
        <v>318.66662520664016</v>
      </c>
      <c r="Z14" s="114">
        <f t="shared" si="0"/>
        <v>318.66662520664011</v>
      </c>
      <c r="AA14" s="114">
        <f t="shared" si="0"/>
        <v>176.82934285110517</v>
      </c>
      <c r="AB14" s="114">
        <f t="shared" si="0"/>
        <v>571.50055889476369</v>
      </c>
      <c r="AC14" s="114">
        <f t="shared" si="0"/>
        <v>405.8308676707893</v>
      </c>
      <c r="AD14" s="114">
        <f t="shared" si="0"/>
        <v>380.24074345936458</v>
      </c>
      <c r="AE14" s="114">
        <f t="shared" si="0"/>
        <v>176.82934285110517</v>
      </c>
      <c r="AF14" s="114">
        <f t="shared" si="0"/>
        <v>682.49721022735253</v>
      </c>
      <c r="AG14" s="114">
        <f t="shared" si="0"/>
        <v>479.85325367859775</v>
      </c>
      <c r="AH14" s="114">
        <f t="shared" si="0"/>
        <v>98.899193121974406</v>
      </c>
      <c r="AI14" s="114">
        <f t="shared" si="0"/>
        <v>786.19127443504465</v>
      </c>
      <c r="AJ14" s="114">
        <f t="shared" si="0"/>
        <v>553.05719656753729</v>
      </c>
      <c r="AK14" s="114">
        <f t="shared" si="0"/>
        <v>524.19653826627939</v>
      </c>
      <c r="AL14" s="114">
        <f t="shared" si="0"/>
        <v>154.39279083411205</v>
      </c>
      <c r="AM14" s="114">
        <f t="shared" si="0"/>
        <v>176.82934285110517</v>
      </c>
      <c r="AN14" s="114">
        <f t="shared" si="0"/>
        <v>928.0285567905795</v>
      </c>
      <c r="AO14" s="114">
        <f t="shared" si="0"/>
        <v>613.17645611331875</v>
      </c>
      <c r="AP14" s="114">
        <f t="shared" si="0"/>
        <v>427.93930498530119</v>
      </c>
      <c r="AQ14" s="114">
        <f t="shared" si="0"/>
        <v>176.8293428511052</v>
      </c>
      <c r="AR14" s="114">
        <f t="shared" si="0"/>
        <v>73.135278643413088</v>
      </c>
      <c r="AS14" s="114">
        <f t="shared" si="0"/>
        <v>571.50055889476357</v>
      </c>
      <c r="AT14" s="114">
        <f t="shared" si="0"/>
        <v>675.19462310245581</v>
      </c>
      <c r="AU14" s="114">
        <f t="shared" si="0"/>
        <v>462.70000932696797</v>
      </c>
      <c r="AV14" s="114">
        <f t="shared" si="0"/>
        <v>325.60550963133772</v>
      </c>
      <c r="AW14" s="114">
        <f t="shared" si="0"/>
        <v>176.82934285110528</v>
      </c>
      <c r="AX14" s="114">
        <f t="shared" si="0"/>
        <v>214.97256099894796</v>
      </c>
      <c r="AY14" s="114">
        <f t="shared" si="0"/>
        <v>675.19462310245592</v>
      </c>
      <c r="AZ14" s="108">
        <f t="shared" si="0"/>
        <v>468.52588222082903</v>
      </c>
      <c r="BA14" s="105">
        <f>SUM($E14:$AZ14)</f>
        <v>19233.325863460053</v>
      </c>
    </row>
    <row r="15" spans="1:53">
      <c r="A15" s="119" t="s">
        <v>123</v>
      </c>
      <c r="B15" s="120">
        <v>1</v>
      </c>
      <c r="C15" s="121" t="s">
        <v>293</v>
      </c>
      <c r="D15" s="121">
        <v>409.3782032178234</v>
      </c>
      <c r="E15" s="121">
        <v>882.39841772480827</v>
      </c>
      <c r="F15" s="121">
        <v>406.88185842309406</v>
      </c>
      <c r="G15" s="121">
        <v>860.94834778725613</v>
      </c>
      <c r="H15" s="121">
        <v>406.88185842309406</v>
      </c>
      <c r="I15" s="121">
        <v>168.28325893728646</v>
      </c>
      <c r="J15" s="121">
        <v>1553.6134366372257</v>
      </c>
      <c r="K15" s="121">
        <v>860.94834778725613</v>
      </c>
      <c r="L15" s="121">
        <v>860.94834778725601</v>
      </c>
      <c r="M15" s="121">
        <v>168.28325893728646</v>
      </c>
      <c r="N15" s="121">
        <v>406.88185842309406</v>
      </c>
      <c r="O15" s="121">
        <v>860.94834778725613</v>
      </c>
      <c r="P15" s="121">
        <v>860.94834778725601</v>
      </c>
      <c r="Q15" s="121">
        <v>860.94834778725613</v>
      </c>
      <c r="R15" s="121">
        <v>860.94834778725601</v>
      </c>
      <c r="S15" s="121">
        <v>860.94834778725613</v>
      </c>
      <c r="T15" s="121">
        <v>406.88185842309406</v>
      </c>
      <c r="U15" s="121">
        <v>168.28325893728646</v>
      </c>
      <c r="V15" s="121">
        <v>1425.9125611921029</v>
      </c>
      <c r="W15" s="121">
        <v>733.24747234213305</v>
      </c>
      <c r="X15" s="121">
        <v>733.24747234213316</v>
      </c>
      <c r="Y15" s="121">
        <v>733.24747234213305</v>
      </c>
      <c r="Z15" s="121">
        <v>406.88185842309406</v>
      </c>
      <c r="AA15" s="121">
        <v>860.94834778725613</v>
      </c>
      <c r="AB15" s="121">
        <v>860.94834778725601</v>
      </c>
      <c r="AC15" s="121">
        <v>860.94834778725613</v>
      </c>
      <c r="AD15" s="121">
        <v>406.88185842309406</v>
      </c>
      <c r="AE15" s="121">
        <v>988.64922323237943</v>
      </c>
      <c r="AF15" s="121">
        <v>988.64922323237931</v>
      </c>
      <c r="AG15" s="121">
        <v>168.28325893728646</v>
      </c>
      <c r="AH15" s="121">
        <v>1809.0151875274723</v>
      </c>
      <c r="AI15" s="121">
        <v>988.64922323237943</v>
      </c>
      <c r="AJ15" s="121">
        <v>988.64922323237931</v>
      </c>
      <c r="AK15" s="121">
        <v>168.28325893728646</v>
      </c>
      <c r="AL15" s="121">
        <v>406.88185842309406</v>
      </c>
      <c r="AM15" s="121">
        <v>860.94834778725613</v>
      </c>
      <c r="AN15" s="121">
        <v>860.94834778725601</v>
      </c>
      <c r="AO15" s="121">
        <v>860.94834778725613</v>
      </c>
      <c r="AP15" s="121">
        <v>406.88185842309406</v>
      </c>
      <c r="AQ15" s="121">
        <v>168.28325893728646</v>
      </c>
      <c r="AR15" s="121">
        <v>860.94834778725601</v>
      </c>
      <c r="AS15" s="121">
        <v>860.94834778725613</v>
      </c>
      <c r="AT15" s="121">
        <v>733.24747234213316</v>
      </c>
      <c r="AU15" s="121">
        <v>733.24747234213305</v>
      </c>
      <c r="AV15" s="121">
        <v>406.88185842309429</v>
      </c>
      <c r="AW15" s="121">
        <v>168.28325893728646</v>
      </c>
      <c r="AX15" s="121">
        <v>988.64922323237931</v>
      </c>
      <c r="AY15" s="121">
        <v>988.64922323237943</v>
      </c>
      <c r="AZ15">
        <v>238.59859948580763</v>
      </c>
    </row>
    <row r="16" spans="1:53">
      <c r="A16" s="108"/>
      <c r="B16" s="116">
        <v>2</v>
      </c>
      <c r="C16" s="107" t="s">
        <v>293</v>
      </c>
      <c r="D16" s="104">
        <v>0</v>
      </c>
      <c r="E16" s="108">
        <v>0</v>
      </c>
      <c r="F16" s="108"/>
      <c r="G16" s="108">
        <v>0</v>
      </c>
      <c r="H16" s="108">
        <v>0</v>
      </c>
      <c r="I16" s="108">
        <v>454.06648936416195</v>
      </c>
      <c r="J16" s="108"/>
      <c r="K16" s="108">
        <v>0</v>
      </c>
      <c r="L16" s="108">
        <v>0</v>
      </c>
      <c r="M16" s="108">
        <v>0</v>
      </c>
      <c r="N16" s="108">
        <v>692.66508884996961</v>
      </c>
      <c r="O16" s="108">
        <v>454.06648936416195</v>
      </c>
      <c r="P16" s="108">
        <v>0</v>
      </c>
      <c r="Q16" s="108"/>
      <c r="R16" s="108"/>
      <c r="S16" s="108">
        <v>0</v>
      </c>
      <c r="T16" s="108"/>
      <c r="U16" s="108">
        <v>454.06648936416195</v>
      </c>
      <c r="V16" s="108">
        <v>0</v>
      </c>
      <c r="W16" s="108"/>
      <c r="X16" s="108"/>
      <c r="Y16" s="108">
        <v>0</v>
      </c>
      <c r="Z16" s="108">
        <v>0</v>
      </c>
      <c r="AA16" s="108">
        <v>454.06648936416195</v>
      </c>
      <c r="AB16" s="108">
        <v>0</v>
      </c>
      <c r="AC16" s="108"/>
      <c r="AD16" s="108">
        <v>0</v>
      </c>
      <c r="AE16" s="108">
        <v>581.76736480928525</v>
      </c>
      <c r="AF16" s="108">
        <v>0</v>
      </c>
      <c r="AG16" s="108">
        <v>0</v>
      </c>
      <c r="AH16" s="108">
        <v>0</v>
      </c>
      <c r="AI16" s="108">
        <v>0</v>
      </c>
      <c r="AJ16" s="108">
        <v>0</v>
      </c>
      <c r="AK16" s="108">
        <v>0</v>
      </c>
      <c r="AL16" s="108">
        <v>0</v>
      </c>
      <c r="AM16" s="108">
        <v>454.06648936416195</v>
      </c>
      <c r="AN16" s="108"/>
      <c r="AO16" s="108"/>
      <c r="AP16" s="108">
        <v>0</v>
      </c>
      <c r="AQ16" s="108">
        <v>0</v>
      </c>
      <c r="AR16" s="108">
        <v>0</v>
      </c>
      <c r="AS16" s="108">
        <v>0</v>
      </c>
      <c r="AT16" s="108"/>
      <c r="AU16" s="108"/>
      <c r="AV16" s="108"/>
      <c r="AW16" s="108">
        <v>326.36561391903888</v>
      </c>
      <c r="AX16" s="108">
        <v>564.96421340484665</v>
      </c>
      <c r="AY16" s="108">
        <v>0</v>
      </c>
      <c r="AZ16">
        <v>0</v>
      </c>
      <c r="BA16">
        <v>581.76736480928525</v>
      </c>
    </row>
    <row r="17" spans="1:52">
      <c r="A17" s="108"/>
      <c r="B17" s="116">
        <v>3</v>
      </c>
      <c r="C17" s="107" t="s">
        <v>293</v>
      </c>
      <c r="D17" s="104"/>
      <c r="E17" s="108"/>
      <c r="F17" s="108">
        <v>473.31158432219161</v>
      </c>
      <c r="G17" s="108"/>
      <c r="H17" s="108">
        <v>454.06648936416195</v>
      </c>
      <c r="I17" s="108"/>
      <c r="J17" s="108">
        <v>0</v>
      </c>
      <c r="K17" s="108">
        <v>0</v>
      </c>
      <c r="L17" s="108"/>
      <c r="M17" s="108"/>
      <c r="N17" s="108"/>
      <c r="O17" s="108"/>
      <c r="P17" s="108"/>
      <c r="Q17" s="108"/>
      <c r="R17" s="108">
        <v>0</v>
      </c>
      <c r="S17" s="108">
        <v>0</v>
      </c>
      <c r="T17" s="108"/>
      <c r="U17" s="108"/>
      <c r="V17" s="108">
        <v>0</v>
      </c>
      <c r="W17" s="108">
        <v>0</v>
      </c>
      <c r="X17" s="108">
        <v>0</v>
      </c>
      <c r="Y17" s="108">
        <v>0</v>
      </c>
      <c r="Z17" s="108"/>
      <c r="AA17" s="108"/>
      <c r="AB17" s="108"/>
      <c r="AC17" s="108"/>
      <c r="AD17" s="108">
        <v>0</v>
      </c>
      <c r="AE17" s="108"/>
      <c r="AF17" s="108"/>
      <c r="AG17" s="108"/>
      <c r="AH17" s="108"/>
      <c r="AI17" s="108"/>
      <c r="AJ17" s="108"/>
      <c r="AK17" s="108"/>
      <c r="AL17" s="108"/>
      <c r="AM17" s="108">
        <v>820.36596429509291</v>
      </c>
      <c r="AN17" s="108"/>
      <c r="AO17" s="108">
        <v>0</v>
      </c>
      <c r="AP17" s="108">
        <v>0</v>
      </c>
      <c r="AQ17" s="108"/>
      <c r="AR17" s="108">
        <v>454.06648936416195</v>
      </c>
      <c r="AS17" s="108">
        <v>692.66508884996961</v>
      </c>
      <c r="AT17" s="108"/>
      <c r="AU17" s="108">
        <v>0</v>
      </c>
      <c r="AV17" s="108">
        <v>0</v>
      </c>
      <c r="AW17" s="108">
        <v>0</v>
      </c>
      <c r="AX17" s="108"/>
      <c r="AY17" s="108"/>
    </row>
    <row r="18" spans="1:52">
      <c r="A18" s="122"/>
      <c r="B18" s="113">
        <v>4</v>
      </c>
      <c r="C18" s="122" t="s">
        <v>293</v>
      </c>
      <c r="D18" s="122"/>
      <c r="E18" s="122"/>
      <c r="F18" s="122"/>
      <c r="G18" s="122"/>
      <c r="H18" s="122">
        <v>0</v>
      </c>
      <c r="I18" s="122"/>
      <c r="J18" s="122"/>
      <c r="K18" s="122"/>
      <c r="L18" s="122"/>
      <c r="M18" s="122"/>
      <c r="N18" s="122"/>
      <c r="O18" s="122"/>
      <c r="P18" s="122"/>
      <c r="Q18" s="122"/>
      <c r="R18" s="122"/>
      <c r="S18" s="122"/>
      <c r="T18" s="122"/>
      <c r="U18" s="122"/>
      <c r="V18" s="122">
        <v>0</v>
      </c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  <c r="AH18" s="122"/>
      <c r="AI18" s="122"/>
      <c r="AJ18" s="122"/>
      <c r="AK18" s="122"/>
      <c r="AL18" s="122"/>
      <c r="AM18" s="122"/>
      <c r="AN18" s="122"/>
      <c r="AO18" s="122"/>
      <c r="AP18" s="122"/>
      <c r="AQ18" s="122"/>
      <c r="AR18" s="122"/>
      <c r="AS18" s="122"/>
      <c r="AT18" s="122"/>
      <c r="AU18" s="122"/>
      <c r="AV18" s="122"/>
      <c r="AW18" s="122"/>
      <c r="AX18" s="122"/>
      <c r="AY18" s="122"/>
      <c r="AZ18">
        <v>0</v>
      </c>
    </row>
    <row r="20" spans="1:52">
      <c r="A20" s="1" t="s">
        <v>294</v>
      </c>
    </row>
    <row r="21" spans="1:52">
      <c r="A21" s="123" t="s">
        <v>125</v>
      </c>
      <c r="B21" s="120">
        <v>1</v>
      </c>
      <c r="C21" s="121" t="s">
        <v>293</v>
      </c>
      <c r="D21" s="121"/>
      <c r="E21" s="121"/>
      <c r="F21" s="121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  <c r="AN21" s="121"/>
      <c r="AO21" s="121"/>
      <c r="AP21" s="121"/>
      <c r="AQ21" s="121"/>
      <c r="AR21" s="121"/>
      <c r="AS21" s="121"/>
      <c r="AT21" s="121"/>
      <c r="AU21" s="121"/>
      <c r="AV21" s="121"/>
      <c r="AW21" s="121"/>
      <c r="AX21" s="121"/>
      <c r="AY21" s="121"/>
    </row>
    <row r="22" spans="1:52">
      <c r="A22" s="107"/>
      <c r="B22" s="117">
        <v>2</v>
      </c>
      <c r="C22" s="108" t="s">
        <v>293</v>
      </c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>
        <v>34.406081811785043</v>
      </c>
      <c r="AJ22" s="108"/>
      <c r="AK22" s="108"/>
      <c r="AL22" s="108"/>
      <c r="AM22" s="108">
        <v>174.20288547766313</v>
      </c>
      <c r="AN22" s="108"/>
      <c r="AO22" s="108"/>
      <c r="AP22" s="108"/>
      <c r="AQ22" s="108"/>
      <c r="AR22" s="108"/>
      <c r="AS22" s="108"/>
      <c r="AT22" s="108"/>
      <c r="AU22" s="108"/>
      <c r="AV22" s="108"/>
      <c r="AW22" s="108"/>
      <c r="AX22" s="108"/>
      <c r="AY22" s="108"/>
    </row>
    <row r="23" spans="1:52">
      <c r="A23" s="107"/>
      <c r="B23" s="124">
        <v>3</v>
      </c>
      <c r="C23" s="108" t="s">
        <v>293</v>
      </c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>
        <v>140.11285831693203</v>
      </c>
      <c r="AJ23" s="108"/>
      <c r="AK23" s="108"/>
      <c r="AL23" s="108"/>
      <c r="AM23" s="108">
        <v>190.59537088096431</v>
      </c>
      <c r="AN23" s="108"/>
      <c r="AO23" s="108"/>
      <c r="AP23" s="108"/>
      <c r="AQ23" s="108"/>
      <c r="AR23" s="108"/>
      <c r="AS23" s="108"/>
      <c r="AT23" s="108"/>
      <c r="AU23" s="108"/>
      <c r="AV23" s="108"/>
      <c r="AW23" s="108"/>
      <c r="AX23" s="108"/>
      <c r="AY23" s="108"/>
    </row>
    <row r="24" spans="1:52">
      <c r="A24" s="125"/>
      <c r="B24" s="126">
        <v>4</v>
      </c>
      <c r="C24" s="125" t="s">
        <v>293</v>
      </c>
      <c r="D24" s="122">
        <v>0</v>
      </c>
      <c r="E24" s="122">
        <v>0</v>
      </c>
      <c r="F24" s="122">
        <v>0</v>
      </c>
      <c r="G24" s="122">
        <v>0</v>
      </c>
      <c r="H24" s="122">
        <v>0</v>
      </c>
      <c r="I24" s="122">
        <v>0</v>
      </c>
      <c r="J24" s="122">
        <v>0</v>
      </c>
      <c r="K24" s="122">
        <v>0</v>
      </c>
      <c r="L24" s="122">
        <v>0</v>
      </c>
      <c r="M24" s="122">
        <v>0</v>
      </c>
      <c r="N24" s="122">
        <v>0</v>
      </c>
      <c r="O24" s="122">
        <v>0</v>
      </c>
      <c r="P24" s="122">
        <v>0</v>
      </c>
      <c r="Q24" s="122">
        <v>0</v>
      </c>
      <c r="R24" s="122">
        <v>0</v>
      </c>
      <c r="S24" s="122">
        <v>0</v>
      </c>
      <c r="T24" s="122">
        <v>0</v>
      </c>
      <c r="U24" s="122">
        <v>0</v>
      </c>
      <c r="V24" s="122">
        <v>0</v>
      </c>
      <c r="W24" s="122">
        <v>0</v>
      </c>
      <c r="X24" s="122">
        <v>0</v>
      </c>
      <c r="Y24" s="122">
        <v>0</v>
      </c>
      <c r="Z24" s="122">
        <v>0</v>
      </c>
      <c r="AA24" s="122">
        <v>0</v>
      </c>
      <c r="AB24" s="122">
        <v>0</v>
      </c>
      <c r="AC24" s="122">
        <v>0</v>
      </c>
      <c r="AD24" s="122">
        <v>0</v>
      </c>
      <c r="AE24" s="122">
        <v>0</v>
      </c>
      <c r="AF24" s="122">
        <v>0</v>
      </c>
      <c r="AG24" s="122">
        <v>0</v>
      </c>
      <c r="AH24" s="122">
        <v>0</v>
      </c>
      <c r="AI24" s="122">
        <v>0</v>
      </c>
      <c r="AJ24" s="122">
        <v>0</v>
      </c>
      <c r="AK24" s="122">
        <v>0</v>
      </c>
      <c r="AL24" s="122">
        <v>0</v>
      </c>
      <c r="AM24" s="122">
        <v>0</v>
      </c>
      <c r="AN24" s="122">
        <v>0</v>
      </c>
      <c r="AO24" s="122">
        <v>0</v>
      </c>
      <c r="AP24" s="122">
        <v>0</v>
      </c>
      <c r="AQ24" s="122">
        <v>0</v>
      </c>
      <c r="AR24" s="122">
        <v>0</v>
      </c>
      <c r="AS24" s="122">
        <v>0</v>
      </c>
      <c r="AT24" s="122">
        <v>0</v>
      </c>
      <c r="AU24" s="122">
        <v>0</v>
      </c>
      <c r="AV24" s="122">
        <v>0</v>
      </c>
      <c r="AW24" s="122">
        <v>0</v>
      </c>
      <c r="AX24" s="122">
        <v>0</v>
      </c>
      <c r="AY24" s="122">
        <v>0</v>
      </c>
    </row>
    <row r="25" spans="1:52">
      <c r="A25" s="123" t="s">
        <v>133</v>
      </c>
      <c r="B25" s="120">
        <v>1</v>
      </c>
      <c r="C25" s="107" t="s">
        <v>293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</row>
    <row r="26" spans="1:52">
      <c r="A26" s="107"/>
      <c r="B26" s="116">
        <v>2</v>
      </c>
      <c r="C26" s="107" t="s">
        <v>293</v>
      </c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  <c r="AX26" s="108"/>
      <c r="AY26" s="108"/>
    </row>
    <row r="27" spans="1:52">
      <c r="A27" s="107"/>
      <c r="B27" s="117">
        <v>3</v>
      </c>
      <c r="C27" s="107" t="s">
        <v>293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8"/>
      <c r="AX27" s="108"/>
      <c r="AY27" s="108"/>
    </row>
    <row r="28" spans="1:52">
      <c r="A28" s="107"/>
      <c r="B28" s="117">
        <v>4</v>
      </c>
      <c r="C28" s="107" t="s">
        <v>293</v>
      </c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</row>
    <row r="29" spans="1:52">
      <c r="A29" s="107"/>
      <c r="B29" s="124">
        <v>5</v>
      </c>
      <c r="C29" s="107" t="s">
        <v>293</v>
      </c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  <c r="AX29" s="108"/>
      <c r="AY29" s="108"/>
    </row>
    <row r="30" spans="1:52">
      <c r="A30" s="107"/>
      <c r="B30" s="124">
        <v>6</v>
      </c>
      <c r="C30" s="107" t="s">
        <v>293</v>
      </c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>
        <v>0</v>
      </c>
      <c r="AJ30" s="108"/>
      <c r="AK30" s="108"/>
      <c r="AL30" s="108"/>
      <c r="AM30" s="108">
        <v>0</v>
      </c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</row>
    <row r="31" spans="1:52">
      <c r="A31" s="107"/>
      <c r="B31" s="127">
        <v>7</v>
      </c>
      <c r="C31" s="107" t="s">
        <v>293</v>
      </c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>
        <v>0</v>
      </c>
      <c r="AJ31" s="108"/>
      <c r="AK31" s="108"/>
      <c r="AL31" s="108"/>
      <c r="AM31" s="108">
        <v>0</v>
      </c>
      <c r="AN31" s="108"/>
      <c r="AO31" s="108"/>
      <c r="AP31" s="108"/>
      <c r="AQ31" s="108"/>
      <c r="AR31" s="108"/>
      <c r="AS31" s="108"/>
      <c r="AT31" s="108"/>
      <c r="AU31" s="108"/>
      <c r="AV31" s="108"/>
      <c r="AW31" s="108"/>
      <c r="AX31" s="108"/>
      <c r="AY31" s="108"/>
    </row>
    <row r="32" spans="1:52">
      <c r="A32" s="125"/>
      <c r="B32" s="126">
        <v>8</v>
      </c>
      <c r="C32" s="125" t="s">
        <v>293</v>
      </c>
      <c r="D32" s="122">
        <v>0</v>
      </c>
      <c r="E32" s="122">
        <v>0</v>
      </c>
      <c r="F32" s="122">
        <v>0</v>
      </c>
      <c r="G32" s="122">
        <v>0</v>
      </c>
      <c r="H32" s="122">
        <v>0</v>
      </c>
      <c r="I32" s="122">
        <v>0</v>
      </c>
      <c r="J32" s="122">
        <v>0</v>
      </c>
      <c r="K32" s="122">
        <v>0</v>
      </c>
      <c r="L32" s="122">
        <v>0</v>
      </c>
      <c r="M32" s="122">
        <v>0</v>
      </c>
      <c r="N32" s="122">
        <v>0</v>
      </c>
      <c r="O32" s="122">
        <v>0</v>
      </c>
      <c r="P32" s="122">
        <v>0</v>
      </c>
      <c r="Q32" s="122">
        <v>0</v>
      </c>
      <c r="R32" s="122">
        <v>0</v>
      </c>
      <c r="S32" s="122">
        <v>0</v>
      </c>
      <c r="T32" s="122">
        <v>0</v>
      </c>
      <c r="U32" s="122">
        <v>0</v>
      </c>
      <c r="V32" s="122">
        <v>0</v>
      </c>
      <c r="W32" s="122">
        <v>0</v>
      </c>
      <c r="X32" s="122">
        <v>0</v>
      </c>
      <c r="Y32" s="122">
        <v>0</v>
      </c>
      <c r="Z32" s="122">
        <v>0</v>
      </c>
      <c r="AA32" s="122">
        <v>0</v>
      </c>
      <c r="AB32" s="122">
        <v>0</v>
      </c>
      <c r="AC32" s="122">
        <v>0</v>
      </c>
      <c r="AD32" s="122">
        <v>0</v>
      </c>
      <c r="AE32" s="122">
        <v>0</v>
      </c>
      <c r="AF32" s="122">
        <v>0</v>
      </c>
      <c r="AG32" s="122">
        <v>0</v>
      </c>
      <c r="AH32" s="122">
        <v>0</v>
      </c>
      <c r="AI32" s="122">
        <v>0</v>
      </c>
      <c r="AJ32" s="122">
        <v>0</v>
      </c>
      <c r="AK32" s="122">
        <v>0</v>
      </c>
      <c r="AL32" s="122">
        <v>0</v>
      </c>
      <c r="AM32" s="122">
        <v>0</v>
      </c>
      <c r="AN32" s="122">
        <v>0</v>
      </c>
      <c r="AO32" s="122">
        <v>0</v>
      </c>
      <c r="AP32" s="122">
        <v>0</v>
      </c>
      <c r="AQ32" s="122">
        <v>0</v>
      </c>
      <c r="AR32" s="122">
        <v>0</v>
      </c>
      <c r="AS32" s="122">
        <v>0</v>
      </c>
      <c r="AT32" s="122">
        <v>0</v>
      </c>
      <c r="AU32" s="122">
        <v>0</v>
      </c>
      <c r="AV32" s="122">
        <v>0</v>
      </c>
      <c r="AW32" s="122">
        <v>0</v>
      </c>
      <c r="AX32" s="122">
        <v>0</v>
      </c>
      <c r="AY32" s="122">
        <v>0</v>
      </c>
    </row>
    <row r="33" spans="1:51">
      <c r="A33" s="128" t="s">
        <v>134</v>
      </c>
      <c r="B33" s="116">
        <v>1</v>
      </c>
      <c r="C33" s="107" t="s">
        <v>293</v>
      </c>
      <c r="D33" s="104"/>
      <c r="E33" s="104"/>
      <c r="F33" s="104"/>
      <c r="G33" s="104"/>
      <c r="H33" s="104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  <c r="AM33" s="104"/>
      <c r="AN33" s="104"/>
      <c r="AO33" s="104"/>
      <c r="AP33" s="104"/>
      <c r="AQ33" s="104"/>
      <c r="AR33" s="104"/>
      <c r="AS33" s="104"/>
      <c r="AT33" s="104"/>
      <c r="AU33" s="104"/>
      <c r="AV33" s="104"/>
      <c r="AW33" s="104"/>
      <c r="AX33" s="104"/>
      <c r="AY33" s="104"/>
    </row>
    <row r="34" spans="1:51">
      <c r="A34" s="107"/>
      <c r="B34" s="116">
        <v>2</v>
      </c>
      <c r="C34" s="107" t="s">
        <v>293</v>
      </c>
      <c r="D34" s="104"/>
      <c r="E34" s="104"/>
      <c r="F34" s="104"/>
      <c r="G34" s="104"/>
      <c r="H34" s="10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  <c r="AM34" s="104"/>
      <c r="AN34" s="104"/>
      <c r="AO34" s="104"/>
      <c r="AP34" s="104"/>
      <c r="AQ34" s="104"/>
      <c r="AR34" s="104"/>
      <c r="AS34" s="104"/>
      <c r="AT34" s="104"/>
      <c r="AU34" s="104"/>
      <c r="AV34" s="104"/>
      <c r="AW34" s="104"/>
      <c r="AX34" s="104"/>
      <c r="AY34" s="104"/>
    </row>
    <row r="35" spans="1:51">
      <c r="A35" s="107"/>
      <c r="B35" s="116">
        <v>3</v>
      </c>
      <c r="C35" s="107" t="s">
        <v>293</v>
      </c>
      <c r="D35" s="104"/>
      <c r="E35" s="104"/>
      <c r="F35" s="104"/>
      <c r="G35" s="104"/>
      <c r="H35" s="104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  <c r="AM35" s="104"/>
      <c r="AN35" s="104"/>
      <c r="AO35" s="104"/>
      <c r="AP35" s="104"/>
      <c r="AQ35" s="104"/>
      <c r="AR35" s="104"/>
      <c r="AS35" s="104"/>
      <c r="AT35" s="104"/>
      <c r="AU35" s="104"/>
      <c r="AV35" s="104"/>
      <c r="AW35" s="104"/>
      <c r="AX35" s="104"/>
      <c r="AY35" s="104"/>
    </row>
    <row r="36" spans="1:51">
      <c r="A36" s="107"/>
      <c r="B36" s="117">
        <v>4</v>
      </c>
      <c r="C36" s="107" t="s">
        <v>293</v>
      </c>
      <c r="D36" s="104"/>
      <c r="E36" s="104"/>
      <c r="F36" s="104"/>
      <c r="G36" s="104"/>
      <c r="H36" s="104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4"/>
      <c r="AM36" s="104"/>
      <c r="AN36" s="104"/>
      <c r="AO36" s="104"/>
      <c r="AP36" s="104"/>
      <c r="AQ36" s="104"/>
      <c r="AR36" s="104"/>
      <c r="AS36" s="104"/>
      <c r="AT36" s="104"/>
      <c r="AU36" s="104"/>
      <c r="AV36" s="104"/>
      <c r="AW36" s="104"/>
      <c r="AX36" s="104"/>
      <c r="AY36" s="104"/>
    </row>
    <row r="37" spans="1:51">
      <c r="A37" s="107"/>
      <c r="B37" s="117">
        <v>5</v>
      </c>
      <c r="C37" s="107" t="s">
        <v>293</v>
      </c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  <c r="AM37" s="104"/>
      <c r="AN37" s="104"/>
      <c r="AO37" s="104"/>
      <c r="AP37" s="104"/>
      <c r="AQ37" s="104"/>
      <c r="AR37" s="104"/>
      <c r="AS37" s="104"/>
      <c r="AT37" s="104"/>
      <c r="AU37" s="104"/>
      <c r="AV37" s="104"/>
      <c r="AW37" s="104"/>
      <c r="AX37" s="104"/>
      <c r="AY37" s="104"/>
    </row>
    <row r="38" spans="1:51">
      <c r="A38" s="107"/>
      <c r="B38" s="117">
        <v>6</v>
      </c>
      <c r="C38" s="107" t="s">
        <v>293</v>
      </c>
      <c r="D38" s="104"/>
      <c r="E38" s="104"/>
      <c r="F38" s="104"/>
      <c r="G38" s="104"/>
      <c r="H38" s="104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 s="104"/>
      <c r="AW38" s="104"/>
      <c r="AX38" s="104"/>
      <c r="AY38" s="104"/>
    </row>
    <row r="39" spans="1:51">
      <c r="A39" s="107"/>
      <c r="B39" s="124">
        <v>7</v>
      </c>
      <c r="C39" s="107" t="s">
        <v>293</v>
      </c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4"/>
      <c r="AM39" s="104"/>
      <c r="AN39" s="104"/>
      <c r="AO39" s="104"/>
      <c r="AP39" s="104"/>
      <c r="AQ39" s="104"/>
      <c r="AR39" s="104"/>
      <c r="AS39" s="104"/>
      <c r="AT39" s="104"/>
      <c r="AU39" s="104"/>
      <c r="AV39" s="104"/>
      <c r="AW39" s="104"/>
      <c r="AX39" s="104"/>
      <c r="AY39" s="104"/>
    </row>
    <row r="40" spans="1:51">
      <c r="A40" s="107"/>
      <c r="B40" s="124">
        <v>8</v>
      </c>
      <c r="C40" s="107" t="s">
        <v>293</v>
      </c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  <c r="AM40" s="104"/>
      <c r="AN40" s="104"/>
      <c r="AO40" s="104"/>
      <c r="AP40" s="104"/>
      <c r="AQ40" s="104"/>
      <c r="AR40" s="104"/>
      <c r="AS40" s="104"/>
      <c r="AT40" s="104"/>
      <c r="AU40" s="104"/>
      <c r="AV40" s="104"/>
      <c r="AW40" s="104"/>
      <c r="AX40" s="104"/>
      <c r="AY40" s="104"/>
    </row>
    <row r="41" spans="1:51">
      <c r="A41" s="107"/>
      <c r="B41" s="124">
        <v>9</v>
      </c>
      <c r="C41" s="107" t="s">
        <v>293</v>
      </c>
      <c r="D41" s="104"/>
      <c r="E41" s="104"/>
      <c r="F41" s="104"/>
      <c r="G41" s="104"/>
      <c r="H41" s="104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04"/>
      <c r="AM41" s="104"/>
      <c r="AN41" s="104"/>
      <c r="AO41" s="104"/>
      <c r="AP41" s="104"/>
      <c r="AQ41" s="104"/>
      <c r="AR41" s="104"/>
      <c r="AS41" s="104"/>
      <c r="AT41" s="104"/>
      <c r="AU41" s="104"/>
      <c r="AV41" s="104"/>
      <c r="AW41" s="104"/>
      <c r="AX41" s="104"/>
      <c r="AY41" s="104"/>
    </row>
    <row r="42" spans="1:51">
      <c r="A42" s="107"/>
      <c r="B42" s="127">
        <v>10</v>
      </c>
      <c r="C42" s="107" t="s">
        <v>293</v>
      </c>
      <c r="D42" s="104"/>
      <c r="E42" s="104"/>
      <c r="F42" s="104"/>
      <c r="G42" s="104"/>
      <c r="H42" s="104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>
        <v>0</v>
      </c>
      <c r="AJ42" s="104"/>
      <c r="AK42" s="104"/>
      <c r="AL42" s="104"/>
      <c r="AM42" s="104">
        <v>0</v>
      </c>
      <c r="AN42" s="104"/>
      <c r="AO42" s="104"/>
      <c r="AP42" s="104"/>
      <c r="AQ42" s="104"/>
      <c r="AR42" s="104"/>
      <c r="AS42" s="104"/>
      <c r="AT42" s="104"/>
      <c r="AU42" s="104"/>
      <c r="AV42" s="104"/>
      <c r="AW42" s="104"/>
      <c r="AX42" s="104"/>
      <c r="AY42" s="104"/>
    </row>
    <row r="43" spans="1:51">
      <c r="A43" s="107"/>
      <c r="B43" s="127">
        <v>11</v>
      </c>
      <c r="C43" s="107" t="s">
        <v>293</v>
      </c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>
        <v>0</v>
      </c>
      <c r="AJ43" s="104"/>
      <c r="AK43" s="104"/>
      <c r="AL43" s="104"/>
      <c r="AM43" s="104">
        <v>0</v>
      </c>
      <c r="AN43" s="104"/>
      <c r="AO43" s="104"/>
      <c r="AP43" s="104"/>
      <c r="AQ43" s="104"/>
      <c r="AR43" s="104"/>
      <c r="AS43" s="104"/>
      <c r="AT43" s="104"/>
      <c r="AU43" s="104"/>
      <c r="AV43" s="104"/>
      <c r="AW43" s="104"/>
      <c r="AX43" s="104"/>
      <c r="AY43" s="104"/>
    </row>
    <row r="44" spans="1:51">
      <c r="A44" s="107"/>
      <c r="B44" s="127">
        <v>12</v>
      </c>
      <c r="C44" s="125" t="s">
        <v>293</v>
      </c>
      <c r="D44" s="104">
        <v>0</v>
      </c>
      <c r="E44" s="104">
        <v>0</v>
      </c>
      <c r="F44" s="104">
        <v>0</v>
      </c>
      <c r="G44" s="104">
        <v>0</v>
      </c>
      <c r="H44" s="104">
        <v>0</v>
      </c>
      <c r="I44" s="104">
        <v>0</v>
      </c>
      <c r="J44" s="104">
        <v>0</v>
      </c>
      <c r="K44" s="104">
        <v>0</v>
      </c>
      <c r="L44" s="104">
        <v>0</v>
      </c>
      <c r="M44" s="104">
        <v>0</v>
      </c>
      <c r="N44" s="104">
        <v>0</v>
      </c>
      <c r="O44" s="104">
        <v>0</v>
      </c>
      <c r="P44" s="104">
        <v>0</v>
      </c>
      <c r="Q44" s="104">
        <v>0</v>
      </c>
      <c r="R44" s="104">
        <v>0</v>
      </c>
      <c r="S44" s="104">
        <v>0</v>
      </c>
      <c r="T44" s="104">
        <v>0</v>
      </c>
      <c r="U44" s="104">
        <v>0</v>
      </c>
      <c r="V44" s="104">
        <v>0</v>
      </c>
      <c r="W44" s="104">
        <v>0</v>
      </c>
      <c r="X44" s="104">
        <v>0</v>
      </c>
      <c r="Y44" s="104">
        <v>0</v>
      </c>
      <c r="Z44" s="104">
        <v>0</v>
      </c>
      <c r="AA44" s="104">
        <v>0</v>
      </c>
      <c r="AB44" s="104">
        <v>0</v>
      </c>
      <c r="AC44" s="104">
        <v>0</v>
      </c>
      <c r="AD44" s="104">
        <v>0</v>
      </c>
      <c r="AE44" s="104">
        <v>0</v>
      </c>
      <c r="AF44" s="104">
        <v>0</v>
      </c>
      <c r="AG44" s="104">
        <v>0</v>
      </c>
      <c r="AH44" s="104">
        <v>0</v>
      </c>
      <c r="AI44" s="104">
        <v>0</v>
      </c>
      <c r="AJ44" s="104">
        <v>0</v>
      </c>
      <c r="AK44" s="104">
        <v>0</v>
      </c>
      <c r="AL44" s="104">
        <v>0</v>
      </c>
      <c r="AM44" s="104">
        <v>0</v>
      </c>
      <c r="AN44" s="104">
        <v>0</v>
      </c>
      <c r="AO44" s="104">
        <v>0</v>
      </c>
      <c r="AP44" s="104">
        <v>0</v>
      </c>
      <c r="AQ44" s="104">
        <v>0</v>
      </c>
      <c r="AR44" s="104">
        <v>0</v>
      </c>
      <c r="AS44" s="104">
        <v>0</v>
      </c>
      <c r="AT44" s="104">
        <v>0</v>
      </c>
      <c r="AU44" s="104">
        <v>0</v>
      </c>
      <c r="AV44" s="104">
        <v>0</v>
      </c>
      <c r="AW44" s="104">
        <v>0</v>
      </c>
      <c r="AX44" s="104">
        <v>0</v>
      </c>
      <c r="AY44" s="104">
        <v>0</v>
      </c>
    </row>
    <row r="45" spans="1:51">
      <c r="A45" s="123" t="s">
        <v>123</v>
      </c>
      <c r="B45" s="120">
        <v>1</v>
      </c>
      <c r="C45" s="107" t="s">
        <v>293</v>
      </c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  <c r="R45" s="121"/>
      <c r="S45" s="121"/>
      <c r="T45" s="121"/>
      <c r="U45" s="121"/>
      <c r="V45" s="121"/>
      <c r="W45" s="121"/>
      <c r="X45" s="121"/>
      <c r="Y45" s="121"/>
      <c r="Z45" s="121"/>
      <c r="AA45" s="121"/>
      <c r="AB45" s="121"/>
      <c r="AC45" s="121"/>
      <c r="AD45" s="121"/>
      <c r="AE45" s="121"/>
      <c r="AF45" s="121"/>
      <c r="AG45" s="121"/>
      <c r="AH45" s="121"/>
      <c r="AI45" s="121"/>
      <c r="AJ45" s="121"/>
      <c r="AK45" s="121"/>
      <c r="AL45" s="121"/>
      <c r="AM45" s="121"/>
      <c r="AN45" s="121"/>
      <c r="AO45" s="121"/>
      <c r="AP45" s="121"/>
      <c r="AQ45" s="121"/>
      <c r="AR45" s="121"/>
      <c r="AS45" s="121"/>
      <c r="AT45" s="121"/>
      <c r="AU45" s="121"/>
      <c r="AV45" s="121"/>
      <c r="AW45" s="121"/>
      <c r="AX45" s="121"/>
      <c r="AY45" s="121"/>
    </row>
    <row r="46" spans="1:51">
      <c r="A46" s="107"/>
      <c r="B46" s="116">
        <v>2</v>
      </c>
      <c r="C46" s="107" t="s">
        <v>293</v>
      </c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108"/>
      <c r="Y46" s="108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J46" s="108"/>
      <c r="AK46" s="108"/>
      <c r="AL46" s="108"/>
      <c r="AM46" s="108"/>
      <c r="AN46" s="108"/>
      <c r="AO46" s="108"/>
      <c r="AP46" s="108"/>
      <c r="AQ46" s="108"/>
      <c r="AR46" s="108"/>
      <c r="AS46" s="108"/>
      <c r="AT46" s="108"/>
      <c r="AU46" s="108"/>
      <c r="AV46" s="108"/>
      <c r="AW46" s="108"/>
      <c r="AX46" s="108"/>
      <c r="AY46" s="108"/>
    </row>
    <row r="47" spans="1:51">
      <c r="A47" s="107"/>
      <c r="B47" s="116">
        <v>3</v>
      </c>
      <c r="C47" s="107" t="s">
        <v>293</v>
      </c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08"/>
      <c r="AU47" s="108"/>
      <c r="AV47" s="108"/>
      <c r="AW47" s="108"/>
      <c r="AX47" s="108"/>
      <c r="AY47" s="108"/>
    </row>
    <row r="48" spans="1:51">
      <c r="A48" s="107"/>
      <c r="B48" s="116">
        <v>4</v>
      </c>
      <c r="C48" s="107" t="s">
        <v>293</v>
      </c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108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08"/>
      <c r="AU48" s="108"/>
      <c r="AV48" s="108"/>
      <c r="AW48" s="108"/>
      <c r="AX48" s="108"/>
      <c r="AY48" s="108"/>
    </row>
    <row r="49" spans="1:51">
      <c r="A49" s="107"/>
      <c r="B49" s="116">
        <v>5</v>
      </c>
      <c r="C49" s="107" t="s">
        <v>293</v>
      </c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108"/>
      <c r="AV49" s="108"/>
      <c r="AW49" s="108"/>
      <c r="AX49" s="108"/>
      <c r="AY49" s="108"/>
    </row>
    <row r="50" spans="1:51">
      <c r="A50" s="107"/>
      <c r="B50" s="116">
        <v>6</v>
      </c>
      <c r="C50" s="107" t="s">
        <v>293</v>
      </c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 s="108"/>
      <c r="AV50" s="108"/>
      <c r="AW50" s="108"/>
      <c r="AX50" s="108"/>
      <c r="AY50" s="108"/>
    </row>
    <row r="51" spans="1:51">
      <c r="A51" s="107"/>
      <c r="B51" s="116">
        <v>7</v>
      </c>
      <c r="C51" s="107" t="s">
        <v>293</v>
      </c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108"/>
      <c r="AU51" s="108"/>
      <c r="AV51" s="108"/>
      <c r="AW51" s="108"/>
      <c r="AX51" s="108"/>
      <c r="AY51" s="108"/>
    </row>
    <row r="52" spans="1:51">
      <c r="A52" s="107"/>
      <c r="B52" s="116">
        <v>8</v>
      </c>
      <c r="C52" s="107" t="s">
        <v>293</v>
      </c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 s="108"/>
      <c r="AV52" s="108"/>
      <c r="AW52" s="108"/>
      <c r="AX52" s="108"/>
      <c r="AY52" s="108"/>
    </row>
    <row r="53" spans="1:51">
      <c r="A53" s="107"/>
      <c r="B53" s="116">
        <v>9</v>
      </c>
      <c r="C53" s="107" t="s">
        <v>293</v>
      </c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 s="108"/>
      <c r="AV53" s="108"/>
      <c r="AW53" s="108"/>
      <c r="AX53" s="108"/>
      <c r="AY53" s="108"/>
    </row>
    <row r="54" spans="1:51">
      <c r="A54" s="107"/>
      <c r="B54" s="116">
        <v>10</v>
      </c>
      <c r="C54" s="107" t="s">
        <v>293</v>
      </c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 s="108"/>
      <c r="AV54" s="108"/>
      <c r="AW54" s="108"/>
      <c r="AX54" s="108"/>
      <c r="AY54" s="108"/>
    </row>
    <row r="55" spans="1:51">
      <c r="A55" s="107"/>
      <c r="B55" s="116">
        <v>11</v>
      </c>
      <c r="C55" s="107" t="s">
        <v>293</v>
      </c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 s="108"/>
      <c r="AV55" s="108"/>
      <c r="AW55" s="108"/>
      <c r="AX55" s="108"/>
      <c r="AY55" s="108"/>
    </row>
    <row r="56" spans="1:51">
      <c r="A56" s="107"/>
      <c r="B56" s="116">
        <v>12</v>
      </c>
      <c r="C56" s="107" t="s">
        <v>293</v>
      </c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108"/>
      <c r="AV56" s="108"/>
      <c r="AW56" s="108"/>
      <c r="AX56" s="108"/>
      <c r="AY56" s="108"/>
    </row>
    <row r="57" spans="1:51">
      <c r="A57" s="107"/>
      <c r="B57" s="117">
        <v>13</v>
      </c>
      <c r="C57" s="107" t="s">
        <v>293</v>
      </c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08"/>
      <c r="AV57" s="108"/>
      <c r="AW57" s="108"/>
      <c r="AX57" s="108"/>
      <c r="AY57" s="108"/>
    </row>
    <row r="58" spans="1:51">
      <c r="A58" s="107"/>
      <c r="B58" s="117">
        <v>14</v>
      </c>
      <c r="C58" s="107" t="s">
        <v>293</v>
      </c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</row>
    <row r="59" spans="1:51">
      <c r="A59" s="107"/>
      <c r="B59" s="117">
        <v>15</v>
      </c>
      <c r="C59" s="107" t="s">
        <v>293</v>
      </c>
      <c r="D59" s="108"/>
      <c r="E59" s="108"/>
      <c r="F59" s="108"/>
      <c r="G59" s="108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8"/>
      <c r="AL59" s="108"/>
      <c r="AM59" s="108"/>
      <c r="AN59" s="108"/>
      <c r="AO59" s="108"/>
      <c r="AP59" s="108"/>
      <c r="AQ59" s="108"/>
      <c r="AR59" s="108"/>
      <c r="AS59" s="108"/>
      <c r="AT59" s="108"/>
      <c r="AU59" s="108"/>
      <c r="AV59" s="108"/>
      <c r="AW59" s="108"/>
      <c r="AX59" s="108"/>
      <c r="AY59" s="108"/>
    </row>
    <row r="60" spans="1:51">
      <c r="A60" s="107"/>
      <c r="B60" s="117">
        <v>16</v>
      </c>
      <c r="C60" s="107" t="s">
        <v>293</v>
      </c>
      <c r="D60" s="108"/>
      <c r="E60" s="108"/>
      <c r="F60" s="108"/>
      <c r="G60" s="108"/>
      <c r="H60" s="108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8"/>
      <c r="AL60" s="108"/>
      <c r="AM60" s="108"/>
      <c r="AN60" s="108"/>
      <c r="AO60" s="108"/>
      <c r="AP60" s="108"/>
      <c r="AQ60" s="108"/>
      <c r="AR60" s="108"/>
      <c r="AS60" s="108"/>
      <c r="AT60" s="108"/>
      <c r="AU60" s="108"/>
      <c r="AV60" s="108"/>
      <c r="AW60" s="108"/>
      <c r="AX60" s="108"/>
      <c r="AY60" s="108"/>
    </row>
    <row r="61" spans="1:51">
      <c r="A61" s="107"/>
      <c r="B61" s="117">
        <v>17</v>
      </c>
      <c r="C61" s="107" t="s">
        <v>293</v>
      </c>
      <c r="D61" s="108"/>
      <c r="E61" s="108"/>
      <c r="F61" s="108"/>
      <c r="G61" s="108"/>
      <c r="H61" s="108"/>
      <c r="I61" s="108"/>
      <c r="J61" s="108"/>
      <c r="K61" s="108"/>
      <c r="L61" s="108"/>
      <c r="M61" s="108"/>
      <c r="N61" s="108"/>
      <c r="O61" s="108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8"/>
      <c r="AL61" s="108"/>
      <c r="AM61" s="108"/>
      <c r="AN61" s="108"/>
      <c r="AO61" s="108"/>
      <c r="AP61" s="108"/>
      <c r="AQ61" s="108"/>
      <c r="AR61" s="108"/>
      <c r="AS61" s="108"/>
      <c r="AT61" s="108"/>
      <c r="AU61" s="108"/>
      <c r="AV61" s="108"/>
      <c r="AW61" s="108"/>
      <c r="AX61" s="108"/>
      <c r="AY61" s="108"/>
    </row>
    <row r="62" spans="1:51">
      <c r="A62" s="107"/>
      <c r="B62" s="117">
        <v>18</v>
      </c>
      <c r="C62" s="107" t="s">
        <v>293</v>
      </c>
      <c r="D62" s="108"/>
      <c r="E62" s="108"/>
      <c r="F62" s="108"/>
      <c r="G62" s="108"/>
      <c r="H62" s="108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8"/>
      <c r="AL62" s="108"/>
      <c r="AM62" s="108"/>
      <c r="AN62" s="108"/>
      <c r="AO62" s="108"/>
      <c r="AP62" s="108"/>
      <c r="AQ62" s="108"/>
      <c r="AR62" s="108"/>
      <c r="AS62" s="108"/>
      <c r="AT62" s="108"/>
      <c r="AU62" s="108"/>
      <c r="AV62" s="108"/>
      <c r="AW62" s="108"/>
      <c r="AX62" s="108"/>
      <c r="AY62" s="108"/>
    </row>
    <row r="63" spans="1:51">
      <c r="A63" s="107"/>
      <c r="B63" s="117">
        <v>19</v>
      </c>
      <c r="C63" s="107" t="s">
        <v>293</v>
      </c>
      <c r="D63" s="108"/>
      <c r="E63" s="108"/>
      <c r="F63" s="108"/>
      <c r="G63" s="108"/>
      <c r="H63" s="108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08"/>
      <c r="AC63" s="108"/>
      <c r="AD63" s="108"/>
      <c r="AE63" s="108"/>
      <c r="AF63" s="108"/>
      <c r="AG63" s="108"/>
      <c r="AH63" s="108"/>
      <c r="AI63" s="108"/>
      <c r="AJ63" s="108"/>
      <c r="AK63" s="108"/>
      <c r="AL63" s="108"/>
      <c r="AM63" s="108"/>
      <c r="AN63" s="108"/>
      <c r="AO63" s="108"/>
      <c r="AP63" s="108"/>
      <c r="AQ63" s="108"/>
      <c r="AR63" s="108"/>
      <c r="AS63" s="108"/>
      <c r="AT63" s="108"/>
      <c r="AU63" s="108"/>
      <c r="AV63" s="108"/>
      <c r="AW63" s="108"/>
      <c r="AX63" s="108"/>
      <c r="AY63" s="108"/>
    </row>
    <row r="64" spans="1:51">
      <c r="A64" s="107"/>
      <c r="B64" s="117">
        <v>20</v>
      </c>
      <c r="C64" s="107" t="s">
        <v>293</v>
      </c>
      <c r="D64" s="108"/>
      <c r="E64" s="108"/>
      <c r="F64" s="108"/>
      <c r="G64" s="108"/>
      <c r="H64" s="108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  <c r="Y64" s="108"/>
      <c r="Z64" s="108"/>
      <c r="AA64" s="108"/>
      <c r="AB64" s="108"/>
      <c r="AC64" s="108"/>
      <c r="AD64" s="108"/>
      <c r="AE64" s="108"/>
      <c r="AF64" s="108"/>
      <c r="AG64" s="108"/>
      <c r="AH64" s="108"/>
      <c r="AI64" s="108"/>
      <c r="AJ64" s="108"/>
      <c r="AK64" s="108"/>
      <c r="AL64" s="108"/>
      <c r="AM64" s="108"/>
      <c r="AN64" s="108"/>
      <c r="AO64" s="108"/>
      <c r="AP64" s="108"/>
      <c r="AQ64" s="108"/>
      <c r="AR64" s="108"/>
      <c r="AS64" s="108"/>
      <c r="AT64" s="108"/>
      <c r="AU64" s="108"/>
      <c r="AV64" s="108"/>
      <c r="AW64" s="108"/>
      <c r="AX64" s="108"/>
      <c r="AY64" s="108"/>
    </row>
    <row r="65" spans="1:51">
      <c r="A65" s="107"/>
      <c r="B65" s="117">
        <v>21</v>
      </c>
      <c r="C65" s="107" t="s">
        <v>293</v>
      </c>
      <c r="D65" s="108"/>
      <c r="E65" s="108"/>
      <c r="F65" s="108"/>
      <c r="G65" s="108"/>
      <c r="H65" s="108"/>
      <c r="I65" s="108"/>
      <c r="J65" s="108"/>
      <c r="K65" s="108"/>
      <c r="L65" s="108"/>
      <c r="M65" s="108"/>
      <c r="N65" s="108"/>
      <c r="O65" s="108"/>
      <c r="P65" s="108"/>
      <c r="Q65" s="108"/>
      <c r="R65" s="108"/>
      <c r="S65" s="108"/>
      <c r="T65" s="108"/>
      <c r="U65" s="108"/>
      <c r="V65" s="108"/>
      <c r="W65" s="108"/>
      <c r="X65" s="108"/>
      <c r="Y65" s="108"/>
      <c r="Z65" s="108"/>
      <c r="AA65" s="108"/>
      <c r="AB65" s="108"/>
      <c r="AC65" s="108"/>
      <c r="AD65" s="108"/>
      <c r="AE65" s="108"/>
      <c r="AF65" s="108"/>
      <c r="AG65" s="108"/>
      <c r="AH65" s="108"/>
      <c r="AI65" s="108"/>
      <c r="AJ65" s="108"/>
      <c r="AK65" s="108"/>
      <c r="AL65" s="108"/>
      <c r="AM65" s="108"/>
      <c r="AN65" s="108"/>
      <c r="AO65" s="108"/>
      <c r="AP65" s="108"/>
      <c r="AQ65" s="108"/>
      <c r="AR65" s="108"/>
      <c r="AS65" s="108"/>
      <c r="AT65" s="108"/>
      <c r="AU65" s="108"/>
      <c r="AV65" s="108"/>
      <c r="AW65" s="108"/>
      <c r="AX65" s="108"/>
      <c r="AY65" s="108"/>
    </row>
    <row r="66" spans="1:51">
      <c r="A66" s="107"/>
      <c r="B66" s="117">
        <v>22</v>
      </c>
      <c r="C66" s="107" t="s">
        <v>293</v>
      </c>
      <c r="D66" s="108"/>
      <c r="E66" s="108"/>
      <c r="F66" s="108"/>
      <c r="G66" s="108"/>
      <c r="H66" s="108"/>
      <c r="I66" s="108"/>
      <c r="J66" s="108"/>
      <c r="K66" s="108"/>
      <c r="L66" s="108"/>
      <c r="M66" s="108"/>
      <c r="N66" s="108"/>
      <c r="O66" s="108"/>
      <c r="P66" s="108"/>
      <c r="Q66" s="108"/>
      <c r="R66" s="108"/>
      <c r="S66" s="108"/>
      <c r="T66" s="108"/>
      <c r="U66" s="108"/>
      <c r="V66" s="108"/>
      <c r="W66" s="108"/>
      <c r="X66" s="108"/>
      <c r="Y66" s="108"/>
      <c r="Z66" s="108"/>
      <c r="AA66" s="108"/>
      <c r="AB66" s="108"/>
      <c r="AC66" s="108"/>
      <c r="AD66" s="108"/>
      <c r="AE66" s="108"/>
      <c r="AF66" s="108"/>
      <c r="AG66" s="108"/>
      <c r="AH66" s="108"/>
      <c r="AI66" s="108"/>
      <c r="AJ66" s="108"/>
      <c r="AK66" s="108"/>
      <c r="AL66" s="108"/>
      <c r="AM66" s="108"/>
      <c r="AN66" s="108"/>
      <c r="AO66" s="108"/>
      <c r="AP66" s="108"/>
      <c r="AQ66" s="108"/>
      <c r="AR66" s="108"/>
      <c r="AS66" s="108"/>
      <c r="AT66" s="108"/>
      <c r="AU66" s="108"/>
      <c r="AV66" s="108"/>
      <c r="AW66" s="108"/>
      <c r="AX66" s="108"/>
      <c r="AY66" s="108"/>
    </row>
    <row r="67" spans="1:51">
      <c r="A67" s="107"/>
      <c r="B67" s="117">
        <v>23</v>
      </c>
      <c r="C67" s="107" t="s">
        <v>293</v>
      </c>
      <c r="D67" s="108"/>
      <c r="E67" s="108"/>
      <c r="F67" s="108"/>
      <c r="G67" s="108"/>
      <c r="H67" s="108"/>
      <c r="I67" s="108"/>
      <c r="J67" s="108"/>
      <c r="K67" s="108"/>
      <c r="L67" s="108"/>
      <c r="M67" s="108"/>
      <c r="N67" s="108"/>
      <c r="O67" s="108"/>
      <c r="P67" s="108"/>
      <c r="Q67" s="108"/>
      <c r="R67" s="108"/>
      <c r="S67" s="108"/>
      <c r="T67" s="108"/>
      <c r="U67" s="108"/>
      <c r="V67" s="108"/>
      <c r="W67" s="108"/>
      <c r="X67" s="108"/>
      <c r="Y67" s="108"/>
      <c r="Z67" s="108"/>
      <c r="AA67" s="108"/>
      <c r="AB67" s="108"/>
      <c r="AC67" s="108"/>
      <c r="AD67" s="108"/>
      <c r="AE67" s="108"/>
      <c r="AF67" s="108"/>
      <c r="AG67" s="108"/>
      <c r="AH67" s="108"/>
      <c r="AI67" s="108"/>
      <c r="AJ67" s="108"/>
      <c r="AK67" s="108"/>
      <c r="AL67" s="108"/>
      <c r="AM67" s="108"/>
      <c r="AN67" s="108"/>
      <c r="AO67" s="108"/>
      <c r="AP67" s="108"/>
      <c r="AQ67" s="108"/>
      <c r="AR67" s="108"/>
      <c r="AS67" s="108"/>
      <c r="AT67" s="108"/>
      <c r="AU67" s="108"/>
      <c r="AV67" s="108"/>
      <c r="AW67" s="108"/>
      <c r="AX67" s="108"/>
      <c r="AY67" s="108"/>
    </row>
    <row r="68" spans="1:51">
      <c r="A68" s="107"/>
      <c r="B68" s="117">
        <v>24</v>
      </c>
      <c r="C68" s="107" t="s">
        <v>293</v>
      </c>
      <c r="D68" s="108"/>
      <c r="E68" s="108"/>
      <c r="F68" s="108"/>
      <c r="G68" s="108"/>
      <c r="H68" s="108"/>
      <c r="I68" s="108"/>
      <c r="J68" s="108"/>
      <c r="K68" s="108"/>
      <c r="L68" s="108"/>
      <c r="M68" s="108"/>
      <c r="N68" s="108"/>
      <c r="O68" s="108"/>
      <c r="P68" s="108"/>
      <c r="Q68" s="108"/>
      <c r="R68" s="108"/>
      <c r="S68" s="108"/>
      <c r="T68" s="108"/>
      <c r="U68" s="108"/>
      <c r="V68" s="108"/>
      <c r="W68" s="108"/>
      <c r="X68" s="108"/>
      <c r="Y68" s="108"/>
      <c r="Z68" s="108"/>
      <c r="AA68" s="108"/>
      <c r="AB68" s="108"/>
      <c r="AC68" s="108"/>
      <c r="AD68" s="108"/>
      <c r="AE68" s="108"/>
      <c r="AF68" s="108"/>
      <c r="AG68" s="108"/>
      <c r="AH68" s="108"/>
      <c r="AI68" s="108"/>
      <c r="AJ68" s="108"/>
      <c r="AK68" s="108"/>
      <c r="AL68" s="108"/>
      <c r="AM68" s="108"/>
      <c r="AN68" s="108"/>
      <c r="AO68" s="108"/>
      <c r="AP68" s="108"/>
      <c r="AQ68" s="108"/>
      <c r="AR68" s="108"/>
      <c r="AS68" s="108"/>
      <c r="AT68" s="108"/>
      <c r="AU68" s="108"/>
      <c r="AV68" s="108"/>
      <c r="AW68" s="108"/>
      <c r="AX68" s="108"/>
      <c r="AY68" s="108"/>
    </row>
    <row r="69" spans="1:51">
      <c r="A69" s="107"/>
      <c r="B69" s="124">
        <v>25</v>
      </c>
      <c r="C69" s="107" t="s">
        <v>293</v>
      </c>
      <c r="D69" s="108"/>
      <c r="E69" s="108"/>
      <c r="F69" s="108"/>
      <c r="G69" s="108"/>
      <c r="H69" s="108"/>
      <c r="I69" s="108"/>
      <c r="J69" s="108"/>
      <c r="K69" s="108"/>
      <c r="L69" s="108"/>
      <c r="M69" s="108"/>
      <c r="N69" s="108"/>
      <c r="O69" s="108"/>
      <c r="P69" s="108"/>
      <c r="Q69" s="108"/>
      <c r="R69" s="108"/>
      <c r="S69" s="108"/>
      <c r="T69" s="108"/>
      <c r="U69" s="108"/>
      <c r="V69" s="108"/>
      <c r="W69" s="108"/>
      <c r="X69" s="108"/>
      <c r="Y69" s="108"/>
      <c r="Z69" s="108"/>
      <c r="AA69" s="108"/>
      <c r="AB69" s="108"/>
      <c r="AC69" s="108"/>
      <c r="AD69" s="108"/>
      <c r="AE69" s="108"/>
      <c r="AF69" s="108"/>
      <c r="AG69" s="108"/>
      <c r="AH69" s="108"/>
      <c r="AI69" s="108"/>
      <c r="AJ69" s="108"/>
      <c r="AK69" s="108"/>
      <c r="AL69" s="108"/>
      <c r="AM69" s="108"/>
      <c r="AN69" s="108"/>
      <c r="AO69" s="108"/>
      <c r="AP69" s="108"/>
      <c r="AQ69" s="108"/>
      <c r="AR69" s="108"/>
      <c r="AS69" s="108"/>
      <c r="AT69" s="108"/>
      <c r="AU69" s="108"/>
      <c r="AV69" s="108"/>
      <c r="AW69" s="108"/>
      <c r="AX69" s="108"/>
      <c r="AY69" s="108"/>
    </row>
    <row r="70" spans="1:51">
      <c r="A70" s="107"/>
      <c r="B70" s="124">
        <v>26</v>
      </c>
      <c r="C70" s="107" t="s">
        <v>293</v>
      </c>
      <c r="D70" s="108"/>
      <c r="E70" s="108"/>
      <c r="F70" s="108"/>
      <c r="G70" s="108"/>
      <c r="H70" s="108"/>
      <c r="I70" s="108"/>
      <c r="J70" s="108"/>
      <c r="K70" s="108"/>
      <c r="L70" s="108"/>
      <c r="M70" s="108"/>
      <c r="N70" s="108"/>
      <c r="O70" s="108"/>
      <c r="P70" s="108"/>
      <c r="Q70" s="108"/>
      <c r="R70" s="108"/>
      <c r="S70" s="108"/>
      <c r="T70" s="108"/>
      <c r="U70" s="108"/>
      <c r="V70" s="108"/>
      <c r="W70" s="108"/>
      <c r="X70" s="108"/>
      <c r="Y70" s="108"/>
      <c r="Z70" s="108"/>
      <c r="AA70" s="108"/>
      <c r="AB70" s="108"/>
      <c r="AC70" s="108"/>
      <c r="AD70" s="108"/>
      <c r="AE70" s="108"/>
      <c r="AF70" s="108"/>
      <c r="AG70" s="108"/>
      <c r="AH70" s="108"/>
      <c r="AI70" s="108"/>
      <c r="AJ70" s="108"/>
      <c r="AK70" s="108"/>
      <c r="AL70" s="108"/>
      <c r="AM70" s="108"/>
      <c r="AN70" s="108"/>
      <c r="AO70" s="108"/>
      <c r="AP70" s="108"/>
      <c r="AQ70" s="108"/>
      <c r="AR70" s="108"/>
      <c r="AS70" s="108"/>
      <c r="AT70" s="108"/>
      <c r="AU70" s="108"/>
      <c r="AV70" s="108"/>
      <c r="AW70" s="108"/>
      <c r="AX70" s="108"/>
      <c r="AY70" s="108"/>
    </row>
    <row r="71" spans="1:51">
      <c r="A71" s="107"/>
      <c r="B71" s="124">
        <v>27</v>
      </c>
      <c r="C71" s="107" t="s">
        <v>293</v>
      </c>
      <c r="D71" s="108"/>
      <c r="E71" s="108"/>
      <c r="F71" s="108"/>
      <c r="G71" s="108"/>
      <c r="H71" s="108"/>
      <c r="I71" s="108"/>
      <c r="J71" s="108"/>
      <c r="K71" s="108"/>
      <c r="L71" s="108"/>
      <c r="M71" s="108"/>
      <c r="N71" s="108"/>
      <c r="O71" s="108"/>
      <c r="P71" s="108"/>
      <c r="Q71" s="108"/>
      <c r="R71" s="108"/>
      <c r="S71" s="108"/>
      <c r="T71" s="108"/>
      <c r="U71" s="108"/>
      <c r="V71" s="108"/>
      <c r="W71" s="108"/>
      <c r="X71" s="108"/>
      <c r="Y71" s="108"/>
      <c r="Z71" s="108"/>
      <c r="AA71" s="108"/>
      <c r="AB71" s="108"/>
      <c r="AC71" s="108"/>
      <c r="AD71" s="108"/>
      <c r="AE71" s="108"/>
      <c r="AF71" s="108"/>
      <c r="AG71" s="108"/>
      <c r="AH71" s="108"/>
      <c r="AI71" s="108"/>
      <c r="AJ71" s="108"/>
      <c r="AK71" s="108"/>
      <c r="AL71" s="108"/>
      <c r="AM71" s="108"/>
      <c r="AN71" s="108"/>
      <c r="AO71" s="108"/>
      <c r="AP71" s="108"/>
      <c r="AQ71" s="108"/>
      <c r="AR71" s="108"/>
      <c r="AS71" s="108"/>
      <c r="AT71" s="108"/>
      <c r="AU71" s="108"/>
      <c r="AV71" s="108"/>
      <c r="AW71" s="108"/>
      <c r="AX71" s="108"/>
      <c r="AY71" s="108"/>
    </row>
    <row r="72" spans="1:51">
      <c r="A72" s="107"/>
      <c r="B72" s="124">
        <v>28</v>
      </c>
      <c r="C72" s="107" t="s">
        <v>293</v>
      </c>
      <c r="D72" s="108"/>
      <c r="E72" s="108"/>
      <c r="F72" s="108"/>
      <c r="G72" s="108"/>
      <c r="H72" s="108"/>
      <c r="I72" s="108"/>
      <c r="J72" s="108"/>
      <c r="K72" s="108"/>
      <c r="L72" s="108"/>
      <c r="M72" s="108"/>
      <c r="N72" s="108"/>
      <c r="O72" s="108"/>
      <c r="P72" s="108"/>
      <c r="Q72" s="108"/>
      <c r="R72" s="108"/>
      <c r="S72" s="108"/>
      <c r="T72" s="108"/>
      <c r="U72" s="108"/>
      <c r="V72" s="108"/>
      <c r="W72" s="108"/>
      <c r="X72" s="108"/>
      <c r="Y72" s="108"/>
      <c r="Z72" s="108"/>
      <c r="AA72" s="108"/>
      <c r="AB72" s="108"/>
      <c r="AC72" s="108"/>
      <c r="AD72" s="108"/>
      <c r="AE72" s="108"/>
      <c r="AF72" s="108"/>
      <c r="AG72" s="108"/>
      <c r="AH72" s="108"/>
      <c r="AI72" s="108"/>
      <c r="AJ72" s="108"/>
      <c r="AK72" s="108"/>
      <c r="AL72" s="108"/>
      <c r="AM72" s="108"/>
      <c r="AN72" s="108"/>
      <c r="AO72" s="108"/>
      <c r="AP72" s="108"/>
      <c r="AQ72" s="108"/>
      <c r="AR72" s="108"/>
      <c r="AS72" s="108"/>
      <c r="AT72" s="108"/>
      <c r="AU72" s="108"/>
      <c r="AV72" s="108"/>
      <c r="AW72" s="108"/>
      <c r="AX72" s="108"/>
      <c r="AY72" s="108"/>
    </row>
    <row r="73" spans="1:51">
      <c r="A73" s="107"/>
      <c r="B73" s="124">
        <v>29</v>
      </c>
      <c r="C73" s="107" t="s">
        <v>293</v>
      </c>
      <c r="D73" s="108"/>
      <c r="E73" s="108"/>
      <c r="F73" s="108"/>
      <c r="G73" s="108"/>
      <c r="H73" s="108"/>
      <c r="I73" s="108"/>
      <c r="J73" s="108"/>
      <c r="K73" s="108"/>
      <c r="L73" s="108"/>
      <c r="M73" s="108"/>
      <c r="N73" s="108"/>
      <c r="O73" s="108"/>
      <c r="P73" s="108"/>
      <c r="Q73" s="108"/>
      <c r="R73" s="108"/>
      <c r="S73" s="108"/>
      <c r="T73" s="108"/>
      <c r="U73" s="108"/>
      <c r="V73" s="108"/>
      <c r="W73" s="108"/>
      <c r="X73" s="108"/>
      <c r="Y73" s="108"/>
      <c r="Z73" s="108"/>
      <c r="AA73" s="108"/>
      <c r="AB73" s="108"/>
      <c r="AC73" s="108"/>
      <c r="AD73" s="108"/>
      <c r="AE73" s="108"/>
      <c r="AF73" s="108"/>
      <c r="AG73" s="108"/>
      <c r="AH73" s="108"/>
      <c r="AI73" s="108"/>
      <c r="AJ73" s="108"/>
      <c r="AK73" s="108"/>
      <c r="AL73" s="108"/>
      <c r="AM73" s="108"/>
      <c r="AN73" s="108"/>
      <c r="AO73" s="108"/>
      <c r="AP73" s="108"/>
      <c r="AQ73" s="108"/>
      <c r="AR73" s="108"/>
      <c r="AS73" s="108"/>
      <c r="AT73" s="108"/>
      <c r="AU73" s="108"/>
      <c r="AV73" s="108"/>
      <c r="AW73" s="108"/>
      <c r="AX73" s="108"/>
      <c r="AY73" s="108"/>
    </row>
    <row r="74" spans="1:51">
      <c r="A74" s="107"/>
      <c r="B74" s="124">
        <v>30</v>
      </c>
      <c r="C74" s="107" t="s">
        <v>293</v>
      </c>
      <c r="D74" s="108"/>
      <c r="E74" s="108"/>
      <c r="F74" s="108"/>
      <c r="G74" s="108"/>
      <c r="H74" s="108"/>
      <c r="I74" s="108"/>
      <c r="J74" s="108"/>
      <c r="K74" s="108"/>
      <c r="L74" s="108"/>
      <c r="M74" s="108"/>
      <c r="N74" s="108"/>
      <c r="O74" s="108"/>
      <c r="P74" s="108"/>
      <c r="Q74" s="108"/>
      <c r="R74" s="108"/>
      <c r="S74" s="108"/>
      <c r="T74" s="108"/>
      <c r="U74" s="108"/>
      <c r="V74" s="108"/>
      <c r="W74" s="108"/>
      <c r="X74" s="108"/>
      <c r="Y74" s="108"/>
      <c r="Z74" s="108"/>
      <c r="AA74" s="108"/>
      <c r="AB74" s="108"/>
      <c r="AC74" s="108"/>
      <c r="AD74" s="108"/>
      <c r="AE74" s="108"/>
      <c r="AF74" s="108"/>
      <c r="AG74" s="108"/>
      <c r="AH74" s="108"/>
      <c r="AI74" s="108"/>
      <c r="AJ74" s="108"/>
      <c r="AK74" s="108"/>
      <c r="AL74" s="108"/>
      <c r="AM74" s="108"/>
      <c r="AN74" s="108"/>
      <c r="AO74" s="108"/>
      <c r="AP74" s="108"/>
      <c r="AQ74" s="108"/>
      <c r="AR74" s="108"/>
      <c r="AS74" s="108"/>
      <c r="AT74" s="108"/>
      <c r="AU74" s="108"/>
      <c r="AV74" s="108"/>
      <c r="AW74" s="108"/>
      <c r="AX74" s="108"/>
      <c r="AY74" s="108"/>
    </row>
    <row r="75" spans="1:51">
      <c r="A75" s="107"/>
      <c r="B75" s="124">
        <v>31</v>
      </c>
      <c r="C75" s="107" t="s">
        <v>293</v>
      </c>
      <c r="D75" s="108"/>
      <c r="E75" s="108"/>
      <c r="F75" s="108"/>
      <c r="G75" s="108"/>
      <c r="H75" s="108"/>
      <c r="I75" s="108"/>
      <c r="J75" s="108"/>
      <c r="K75" s="108"/>
      <c r="L75" s="108"/>
      <c r="M75" s="108"/>
      <c r="N75" s="108"/>
      <c r="O75" s="108"/>
      <c r="P75" s="108"/>
      <c r="Q75" s="108"/>
      <c r="R75" s="108"/>
      <c r="S75" s="108"/>
      <c r="T75" s="108"/>
      <c r="U75" s="108"/>
      <c r="V75" s="108"/>
      <c r="W75" s="108"/>
      <c r="X75" s="108"/>
      <c r="Y75" s="108"/>
      <c r="Z75" s="108"/>
      <c r="AA75" s="108"/>
      <c r="AB75" s="108"/>
      <c r="AC75" s="108"/>
      <c r="AD75" s="108"/>
      <c r="AE75" s="108"/>
      <c r="AF75" s="108"/>
      <c r="AG75" s="108"/>
      <c r="AH75" s="108"/>
      <c r="AI75" s="108"/>
      <c r="AJ75" s="108"/>
      <c r="AK75" s="108"/>
      <c r="AL75" s="108"/>
      <c r="AM75" s="108"/>
      <c r="AN75" s="108"/>
      <c r="AO75" s="108"/>
      <c r="AP75" s="108"/>
      <c r="AQ75" s="108"/>
      <c r="AR75" s="108"/>
      <c r="AS75" s="108"/>
      <c r="AT75" s="108"/>
      <c r="AU75" s="108"/>
      <c r="AV75" s="108"/>
      <c r="AW75" s="108"/>
      <c r="AX75" s="108"/>
      <c r="AY75" s="108"/>
    </row>
    <row r="76" spans="1:51">
      <c r="A76" s="107"/>
      <c r="B76" s="124">
        <v>32</v>
      </c>
      <c r="C76" s="107" t="s">
        <v>293</v>
      </c>
      <c r="D76" s="108"/>
      <c r="E76" s="108"/>
      <c r="F76" s="108"/>
      <c r="G76" s="108"/>
      <c r="H76" s="108"/>
      <c r="I76" s="108"/>
      <c r="J76" s="108"/>
      <c r="K76" s="108"/>
      <c r="L76" s="108"/>
      <c r="M76" s="108"/>
      <c r="N76" s="108"/>
      <c r="O76" s="108"/>
      <c r="P76" s="108"/>
      <c r="Q76" s="108"/>
      <c r="R76" s="108"/>
      <c r="S76" s="108"/>
      <c r="T76" s="108"/>
      <c r="U76" s="108"/>
      <c r="V76" s="108"/>
      <c r="W76" s="108"/>
      <c r="X76" s="108"/>
      <c r="Y76" s="108"/>
      <c r="Z76" s="108"/>
      <c r="AA76" s="108"/>
      <c r="AB76" s="108"/>
      <c r="AC76" s="108"/>
      <c r="AD76" s="108"/>
      <c r="AE76" s="108"/>
      <c r="AF76" s="108"/>
      <c r="AG76" s="108"/>
      <c r="AH76" s="108"/>
      <c r="AI76" s="108"/>
      <c r="AJ76" s="108"/>
      <c r="AK76" s="108"/>
      <c r="AL76" s="108"/>
      <c r="AM76" s="108"/>
      <c r="AN76" s="108"/>
      <c r="AO76" s="108"/>
      <c r="AP76" s="108"/>
      <c r="AQ76" s="108"/>
      <c r="AR76" s="108"/>
      <c r="AS76" s="108"/>
      <c r="AT76" s="108"/>
      <c r="AU76" s="108"/>
      <c r="AV76" s="108"/>
      <c r="AW76" s="108"/>
      <c r="AX76" s="108"/>
      <c r="AY76" s="108"/>
    </row>
    <row r="77" spans="1:51">
      <c r="A77" s="107"/>
      <c r="B77" s="124">
        <v>33</v>
      </c>
      <c r="C77" s="107" t="s">
        <v>293</v>
      </c>
      <c r="D77" s="108"/>
      <c r="E77" s="108"/>
      <c r="F77" s="108"/>
      <c r="G77" s="108"/>
      <c r="H77" s="108"/>
      <c r="I77" s="108"/>
      <c r="J77" s="108"/>
      <c r="K77" s="108"/>
      <c r="L77" s="108"/>
      <c r="M77" s="108"/>
      <c r="N77" s="108"/>
      <c r="O77" s="108"/>
      <c r="P77" s="108"/>
      <c r="Q77" s="108"/>
      <c r="R77" s="108"/>
      <c r="S77" s="108"/>
      <c r="T77" s="108"/>
      <c r="U77" s="108"/>
      <c r="V77" s="108"/>
      <c r="W77" s="108"/>
      <c r="X77" s="108"/>
      <c r="Y77" s="108"/>
      <c r="Z77" s="108"/>
      <c r="AA77" s="108"/>
      <c r="AB77" s="108"/>
      <c r="AC77" s="108"/>
      <c r="AD77" s="108"/>
      <c r="AE77" s="108"/>
      <c r="AF77" s="108"/>
      <c r="AG77" s="108"/>
      <c r="AH77" s="108"/>
      <c r="AI77" s="108"/>
      <c r="AJ77" s="108"/>
      <c r="AK77" s="108"/>
      <c r="AL77" s="108"/>
      <c r="AM77" s="108"/>
      <c r="AN77" s="108"/>
      <c r="AO77" s="108"/>
      <c r="AP77" s="108"/>
      <c r="AQ77" s="108"/>
      <c r="AR77" s="108"/>
      <c r="AS77" s="108"/>
      <c r="AT77" s="108"/>
      <c r="AU77" s="108"/>
      <c r="AV77" s="108"/>
      <c r="AW77" s="108"/>
      <c r="AX77" s="108"/>
      <c r="AY77" s="108"/>
    </row>
    <row r="78" spans="1:51">
      <c r="A78" s="107"/>
      <c r="B78" s="124">
        <v>34</v>
      </c>
      <c r="C78" s="107" t="s">
        <v>293</v>
      </c>
      <c r="D78" s="108"/>
      <c r="E78" s="108"/>
      <c r="F78" s="108"/>
      <c r="G78" s="108"/>
      <c r="H78" s="108"/>
      <c r="I78" s="108"/>
      <c r="J78" s="108"/>
      <c r="K78" s="108"/>
      <c r="L78" s="108"/>
      <c r="M78" s="108"/>
      <c r="N78" s="108"/>
      <c r="O78" s="108"/>
      <c r="P78" s="108"/>
      <c r="Q78" s="108"/>
      <c r="R78" s="108"/>
      <c r="S78" s="108"/>
      <c r="T78" s="108"/>
      <c r="U78" s="108"/>
      <c r="V78" s="108"/>
      <c r="W78" s="108"/>
      <c r="X78" s="108"/>
      <c r="Y78" s="108"/>
      <c r="Z78" s="108"/>
      <c r="AA78" s="108"/>
      <c r="AB78" s="108"/>
      <c r="AC78" s="108"/>
      <c r="AD78" s="108"/>
      <c r="AE78" s="108"/>
      <c r="AF78" s="108"/>
      <c r="AG78" s="108"/>
      <c r="AH78" s="108"/>
      <c r="AI78" s="108"/>
      <c r="AJ78" s="108"/>
      <c r="AK78" s="108"/>
      <c r="AL78" s="108"/>
      <c r="AM78" s="108"/>
      <c r="AN78" s="108"/>
      <c r="AO78" s="108"/>
      <c r="AP78" s="108"/>
      <c r="AQ78" s="108"/>
      <c r="AR78" s="108"/>
      <c r="AS78" s="108"/>
      <c r="AT78" s="108"/>
      <c r="AU78" s="108"/>
      <c r="AV78" s="108"/>
      <c r="AW78" s="108"/>
      <c r="AX78" s="108"/>
      <c r="AY78" s="108"/>
    </row>
    <row r="79" spans="1:51">
      <c r="A79" s="107"/>
      <c r="B79" s="124">
        <v>35</v>
      </c>
      <c r="C79" s="107" t="s">
        <v>293</v>
      </c>
      <c r="D79" s="108"/>
      <c r="E79" s="108"/>
      <c r="F79" s="108"/>
      <c r="G79" s="108"/>
      <c r="H79" s="108"/>
      <c r="I79" s="108"/>
      <c r="J79" s="108"/>
      <c r="K79" s="108"/>
      <c r="L79" s="108"/>
      <c r="M79" s="108"/>
      <c r="N79" s="108"/>
      <c r="O79" s="108"/>
      <c r="P79" s="108"/>
      <c r="Q79" s="108"/>
      <c r="R79" s="108"/>
      <c r="S79" s="108"/>
      <c r="T79" s="108"/>
      <c r="U79" s="108"/>
      <c r="V79" s="108"/>
      <c r="W79" s="108"/>
      <c r="X79" s="108"/>
      <c r="Y79" s="108"/>
      <c r="Z79" s="108"/>
      <c r="AA79" s="108"/>
      <c r="AB79" s="108"/>
      <c r="AC79" s="108"/>
      <c r="AD79" s="108"/>
      <c r="AE79" s="108"/>
      <c r="AF79" s="108"/>
      <c r="AG79" s="108"/>
      <c r="AH79" s="108"/>
      <c r="AI79" s="108"/>
      <c r="AJ79" s="108"/>
      <c r="AK79" s="108"/>
      <c r="AL79" s="108"/>
      <c r="AM79" s="108"/>
      <c r="AN79" s="108"/>
      <c r="AO79" s="108"/>
      <c r="AP79" s="108"/>
      <c r="AQ79" s="108"/>
      <c r="AR79" s="108"/>
      <c r="AS79" s="108"/>
      <c r="AT79" s="108"/>
      <c r="AU79" s="108"/>
      <c r="AV79" s="108"/>
      <c r="AW79" s="108"/>
      <c r="AX79" s="108"/>
      <c r="AY79" s="108"/>
    </row>
    <row r="80" spans="1:51">
      <c r="A80" s="107"/>
      <c r="B80" s="124">
        <v>36</v>
      </c>
      <c r="C80" s="107" t="s">
        <v>293</v>
      </c>
      <c r="D80" s="108"/>
      <c r="E80" s="108"/>
      <c r="F80" s="108"/>
      <c r="G80" s="108"/>
      <c r="H80" s="108"/>
      <c r="I80" s="108"/>
      <c r="J80" s="108"/>
      <c r="K80" s="108"/>
      <c r="L80" s="108"/>
      <c r="M80" s="108"/>
      <c r="N80" s="108"/>
      <c r="O80" s="108"/>
      <c r="P80" s="108"/>
      <c r="Q80" s="108"/>
      <c r="R80" s="108"/>
      <c r="S80" s="108"/>
      <c r="T80" s="108"/>
      <c r="U80" s="108"/>
      <c r="V80" s="108"/>
      <c r="W80" s="108"/>
      <c r="X80" s="108"/>
      <c r="Y80" s="108"/>
      <c r="Z80" s="108"/>
      <c r="AA80" s="108"/>
      <c r="AB80" s="108"/>
      <c r="AC80" s="108"/>
      <c r="AD80" s="108"/>
      <c r="AE80" s="108"/>
      <c r="AF80" s="108"/>
      <c r="AG80" s="108"/>
      <c r="AH80" s="108"/>
      <c r="AI80" s="108"/>
      <c r="AJ80" s="108"/>
      <c r="AK80" s="108"/>
      <c r="AL80" s="108"/>
      <c r="AM80" s="108"/>
      <c r="AN80" s="108"/>
      <c r="AO80" s="108"/>
      <c r="AP80" s="108"/>
      <c r="AQ80" s="108"/>
      <c r="AR80" s="108"/>
      <c r="AS80" s="108"/>
      <c r="AT80" s="108"/>
      <c r="AU80" s="108"/>
      <c r="AV80" s="108"/>
      <c r="AW80" s="108"/>
      <c r="AX80" s="108"/>
      <c r="AY80" s="108"/>
    </row>
    <row r="81" spans="1:52">
      <c r="A81" s="107"/>
      <c r="B81" s="127">
        <v>37</v>
      </c>
      <c r="C81" s="107" t="s">
        <v>293</v>
      </c>
      <c r="D81" s="108"/>
      <c r="E81" s="108"/>
      <c r="F81" s="108"/>
      <c r="G81" s="108"/>
      <c r="H81" s="108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W81" s="108"/>
      <c r="X81" s="108"/>
      <c r="Y81" s="108"/>
      <c r="Z81" s="108"/>
      <c r="AA81" s="108"/>
      <c r="AB81" s="108"/>
      <c r="AC81" s="108"/>
      <c r="AD81" s="108"/>
      <c r="AE81" s="108"/>
      <c r="AF81" s="108"/>
      <c r="AG81" s="108"/>
      <c r="AH81" s="108"/>
      <c r="AI81" s="108"/>
      <c r="AJ81" s="108"/>
      <c r="AK81" s="108"/>
      <c r="AL81" s="108"/>
      <c r="AM81" s="108"/>
      <c r="AN81" s="108"/>
      <c r="AO81" s="108"/>
      <c r="AP81" s="108"/>
      <c r="AQ81" s="108"/>
      <c r="AR81" s="108"/>
      <c r="AS81" s="108"/>
      <c r="AT81" s="108"/>
      <c r="AU81" s="108"/>
      <c r="AV81" s="108"/>
      <c r="AW81" s="108"/>
      <c r="AX81" s="108"/>
      <c r="AY81" s="108"/>
    </row>
    <row r="82" spans="1:52">
      <c r="A82" s="107"/>
      <c r="B82" s="127">
        <v>38</v>
      </c>
      <c r="C82" s="107" t="s">
        <v>293</v>
      </c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 s="108"/>
      <c r="Y82" s="108"/>
      <c r="Z82" s="108"/>
      <c r="AA82" s="108"/>
      <c r="AB82" s="108"/>
      <c r="AC82" s="108"/>
      <c r="AD82" s="108"/>
      <c r="AE82" s="108"/>
      <c r="AF82" s="108"/>
      <c r="AG82" s="108"/>
      <c r="AH82" s="108"/>
      <c r="AI82" s="108"/>
      <c r="AJ82" s="108"/>
      <c r="AK82" s="108"/>
      <c r="AL82" s="108"/>
      <c r="AM82" s="108"/>
      <c r="AN82" s="108"/>
      <c r="AO82" s="108"/>
      <c r="AP82" s="108"/>
      <c r="AQ82" s="108"/>
      <c r="AR82" s="108"/>
      <c r="AS82" s="108"/>
      <c r="AT82" s="108"/>
      <c r="AU82" s="108"/>
      <c r="AV82" s="108"/>
      <c r="AW82" s="108"/>
      <c r="AX82" s="108"/>
      <c r="AY82" s="108"/>
    </row>
    <row r="83" spans="1:52">
      <c r="A83" s="107"/>
      <c r="B83" s="127">
        <v>39</v>
      </c>
      <c r="C83" s="107" t="s">
        <v>293</v>
      </c>
      <c r="D83" s="108"/>
      <c r="E83" s="108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Y83" s="108"/>
      <c r="Z83" s="108"/>
      <c r="AA83" s="108"/>
      <c r="AB83" s="108"/>
      <c r="AC83" s="108"/>
      <c r="AD83" s="108"/>
      <c r="AE83" s="108"/>
      <c r="AF83" s="108"/>
      <c r="AG83" s="108"/>
      <c r="AH83" s="108"/>
      <c r="AI83" s="108"/>
      <c r="AJ83" s="108"/>
      <c r="AK83" s="108"/>
      <c r="AL83" s="108"/>
      <c r="AM83" s="108"/>
      <c r="AN83" s="108"/>
      <c r="AO83" s="108"/>
      <c r="AP83" s="108"/>
      <c r="AQ83" s="108"/>
      <c r="AR83" s="108"/>
      <c r="AS83" s="108"/>
      <c r="AT83" s="108"/>
      <c r="AU83" s="108"/>
      <c r="AV83" s="108"/>
      <c r="AW83" s="108"/>
      <c r="AX83" s="108"/>
      <c r="AY83" s="108"/>
    </row>
    <row r="84" spans="1:52">
      <c r="A84" s="107"/>
      <c r="B84" s="127">
        <v>40</v>
      </c>
      <c r="C84" s="107" t="s">
        <v>293</v>
      </c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Y84" s="108"/>
      <c r="Z84" s="108"/>
      <c r="AA84" s="108"/>
      <c r="AB84" s="108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108"/>
      <c r="AV84" s="108"/>
      <c r="AW84" s="108"/>
      <c r="AX84" s="108"/>
      <c r="AY84" s="108"/>
    </row>
    <row r="85" spans="1:52">
      <c r="A85" s="107"/>
      <c r="B85" s="127">
        <v>41</v>
      </c>
      <c r="C85" s="107" t="s">
        <v>293</v>
      </c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108"/>
      <c r="X85" s="108"/>
      <c r="Y85" s="108"/>
      <c r="Z85" s="108"/>
      <c r="AA85" s="108"/>
      <c r="AB85" s="108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 s="108"/>
      <c r="AV85" s="108"/>
      <c r="AW85" s="108"/>
      <c r="AX85" s="108"/>
      <c r="AY85" s="108"/>
    </row>
    <row r="86" spans="1:52">
      <c r="A86" s="107"/>
      <c r="B86" s="127">
        <v>42</v>
      </c>
      <c r="C86" s="107" t="s">
        <v>293</v>
      </c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108"/>
      <c r="X86" s="108"/>
      <c r="Y86" s="108"/>
      <c r="Z86" s="108"/>
      <c r="AA86" s="108"/>
      <c r="AB86" s="108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 s="108"/>
      <c r="AV86" s="108"/>
      <c r="AW86" s="108"/>
      <c r="AX86" s="108"/>
      <c r="AY86" s="108"/>
    </row>
    <row r="87" spans="1:52">
      <c r="A87" s="107"/>
      <c r="B87" s="127">
        <v>43</v>
      </c>
      <c r="C87" s="107" t="s">
        <v>293</v>
      </c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  <c r="Y87" s="108"/>
      <c r="Z87" s="108"/>
      <c r="AA87" s="108"/>
      <c r="AB87" s="108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</row>
    <row r="88" spans="1:52">
      <c r="A88" s="107"/>
      <c r="B88" s="127">
        <v>44</v>
      </c>
      <c r="C88" s="107" t="s">
        <v>293</v>
      </c>
      <c r="D88" s="108"/>
      <c r="E88" s="108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  <c r="Y88" s="108"/>
      <c r="Z88" s="108"/>
      <c r="AA88" s="108"/>
      <c r="AB88" s="108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  <c r="AX88" s="108"/>
      <c r="AY88" s="108"/>
    </row>
    <row r="89" spans="1:52">
      <c r="A89" s="107"/>
      <c r="B89" s="127">
        <v>45</v>
      </c>
      <c r="C89" s="107" t="s">
        <v>293</v>
      </c>
      <c r="D89" s="108"/>
      <c r="E89" s="108"/>
      <c r="F89" s="108"/>
      <c r="G89" s="108"/>
      <c r="H89" s="108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  <c r="T89" s="108"/>
      <c r="U89" s="108"/>
      <c r="V89" s="108"/>
      <c r="W89" s="108"/>
      <c r="X89" s="108"/>
      <c r="Y89" s="108"/>
      <c r="Z89" s="108"/>
      <c r="AA89" s="108"/>
      <c r="AB89" s="108"/>
      <c r="AC89" s="108"/>
      <c r="AD89" s="108"/>
      <c r="AE89" s="108"/>
      <c r="AF89" s="108"/>
      <c r="AG89" s="108"/>
      <c r="AH89" s="108"/>
      <c r="AI89" s="108"/>
      <c r="AJ89" s="108"/>
      <c r="AK89" s="108"/>
      <c r="AL89" s="108"/>
      <c r="AM89" s="108"/>
      <c r="AN89" s="108"/>
      <c r="AO89" s="108"/>
      <c r="AP89" s="108"/>
      <c r="AQ89" s="108"/>
      <c r="AR89" s="108"/>
      <c r="AS89" s="108"/>
      <c r="AT89" s="108"/>
      <c r="AU89" s="108"/>
      <c r="AV89" s="108"/>
      <c r="AW89" s="108"/>
      <c r="AX89" s="108"/>
      <c r="AY89" s="108"/>
    </row>
    <row r="90" spans="1:52">
      <c r="A90" s="107"/>
      <c r="B90" s="127">
        <v>46</v>
      </c>
      <c r="C90" s="107" t="s">
        <v>293</v>
      </c>
      <c r="D90" s="108"/>
      <c r="E90" s="108"/>
      <c r="F90" s="108"/>
      <c r="G90" s="108"/>
      <c r="H90" s="108"/>
      <c r="I90" s="108"/>
      <c r="J90" s="108"/>
      <c r="K90" s="108"/>
      <c r="L90" s="108"/>
      <c r="M90" s="108"/>
      <c r="N90" s="108"/>
      <c r="O90" s="108"/>
      <c r="P90" s="108"/>
      <c r="Q90" s="108"/>
      <c r="R90" s="108"/>
      <c r="S90" s="108"/>
      <c r="T90" s="108"/>
      <c r="U90" s="108"/>
      <c r="V90" s="108"/>
      <c r="W90" s="108"/>
      <c r="X90" s="108"/>
      <c r="Y90" s="108"/>
      <c r="Z90" s="108"/>
      <c r="AA90" s="108"/>
      <c r="AB90" s="108"/>
      <c r="AC90" s="108"/>
      <c r="AD90" s="108"/>
      <c r="AE90" s="108"/>
      <c r="AF90" s="108"/>
      <c r="AG90" s="108"/>
      <c r="AH90" s="108"/>
      <c r="AI90" s="108">
        <v>0</v>
      </c>
      <c r="AJ90" s="108"/>
      <c r="AK90" s="108"/>
      <c r="AL90" s="108"/>
      <c r="AM90" s="108">
        <v>0</v>
      </c>
      <c r="AN90" s="108"/>
      <c r="AO90" s="108"/>
      <c r="AP90" s="108"/>
      <c r="AQ90" s="108"/>
      <c r="AR90" s="108"/>
      <c r="AS90" s="108"/>
      <c r="AT90" s="108"/>
      <c r="AU90" s="108"/>
      <c r="AV90" s="108"/>
      <c r="AW90" s="108"/>
      <c r="AX90" s="108"/>
      <c r="AY90" s="108"/>
    </row>
    <row r="91" spans="1:52">
      <c r="A91" s="107"/>
      <c r="B91" s="127">
        <v>47</v>
      </c>
      <c r="C91" s="107" t="s">
        <v>293</v>
      </c>
      <c r="D91" s="108"/>
      <c r="E91" s="108"/>
      <c r="F91" s="108"/>
      <c r="G91" s="108"/>
      <c r="H91" s="108"/>
      <c r="I91" s="108"/>
      <c r="J91" s="108"/>
      <c r="K91" s="108"/>
      <c r="L91" s="108"/>
      <c r="M91" s="108"/>
      <c r="N91" s="108"/>
      <c r="O91" s="108"/>
      <c r="P91" s="108"/>
      <c r="Q91" s="108"/>
      <c r="R91" s="108"/>
      <c r="S91" s="108"/>
      <c r="T91" s="108"/>
      <c r="U91" s="108"/>
      <c r="V91" s="108"/>
      <c r="W91" s="108"/>
      <c r="X91" s="108"/>
      <c r="Y91" s="108"/>
      <c r="Z91" s="108"/>
      <c r="AA91" s="108"/>
      <c r="AB91" s="108"/>
      <c r="AC91" s="108"/>
      <c r="AD91" s="108"/>
      <c r="AE91" s="108"/>
      <c r="AF91" s="108"/>
      <c r="AG91" s="108"/>
      <c r="AH91" s="108"/>
      <c r="AI91" s="108">
        <v>0</v>
      </c>
      <c r="AJ91" s="108"/>
      <c r="AK91" s="108"/>
      <c r="AL91" s="108"/>
      <c r="AM91" s="108">
        <v>0</v>
      </c>
      <c r="AN91" s="108"/>
      <c r="AO91" s="108"/>
      <c r="AP91" s="108"/>
      <c r="AQ91" s="108"/>
      <c r="AR91" s="108"/>
      <c r="AS91" s="108"/>
      <c r="AT91" s="108"/>
      <c r="AU91" s="108"/>
      <c r="AV91" s="108"/>
      <c r="AW91" s="108"/>
      <c r="AX91" s="108"/>
      <c r="AY91" s="108"/>
    </row>
    <row r="92" spans="1:52">
      <c r="A92" s="125"/>
      <c r="B92" s="126">
        <v>48</v>
      </c>
      <c r="C92" s="125" t="s">
        <v>293</v>
      </c>
      <c r="D92" s="122">
        <v>0</v>
      </c>
      <c r="E92" s="122">
        <v>0</v>
      </c>
      <c r="F92" s="122">
        <v>0</v>
      </c>
      <c r="G92" s="122">
        <v>0</v>
      </c>
      <c r="H92" s="122">
        <v>0</v>
      </c>
      <c r="I92" s="122">
        <v>0</v>
      </c>
      <c r="J92" s="122">
        <v>0</v>
      </c>
      <c r="K92" s="122">
        <v>0</v>
      </c>
      <c r="L92" s="122">
        <v>0</v>
      </c>
      <c r="M92" s="122">
        <v>0</v>
      </c>
      <c r="N92" s="122">
        <v>0</v>
      </c>
      <c r="O92" s="122">
        <v>0</v>
      </c>
      <c r="P92" s="122">
        <v>0</v>
      </c>
      <c r="Q92" s="122">
        <v>0</v>
      </c>
      <c r="R92" s="122">
        <v>0</v>
      </c>
      <c r="S92" s="122">
        <v>0</v>
      </c>
      <c r="T92" s="122">
        <v>0</v>
      </c>
      <c r="U92" s="122">
        <v>0</v>
      </c>
      <c r="V92" s="122">
        <v>0</v>
      </c>
      <c r="W92" s="122">
        <v>0</v>
      </c>
      <c r="X92" s="122">
        <v>0</v>
      </c>
      <c r="Y92" s="122">
        <v>0</v>
      </c>
      <c r="Z92" s="122">
        <v>0</v>
      </c>
      <c r="AA92" s="122">
        <v>0</v>
      </c>
      <c r="AB92" s="122">
        <v>0</v>
      </c>
      <c r="AC92" s="122">
        <v>0</v>
      </c>
      <c r="AD92" s="122">
        <v>0</v>
      </c>
      <c r="AE92" s="122">
        <v>0</v>
      </c>
      <c r="AF92" s="122">
        <v>0</v>
      </c>
      <c r="AG92" s="122">
        <v>0</v>
      </c>
      <c r="AH92" s="122">
        <v>0</v>
      </c>
      <c r="AI92" s="122">
        <v>0</v>
      </c>
      <c r="AJ92" s="122">
        <v>0</v>
      </c>
      <c r="AK92" s="122">
        <v>0</v>
      </c>
      <c r="AL92" s="122">
        <v>0</v>
      </c>
      <c r="AM92" s="122">
        <v>0</v>
      </c>
      <c r="AN92" s="122">
        <v>0</v>
      </c>
      <c r="AO92" s="122">
        <v>0</v>
      </c>
      <c r="AP92" s="122">
        <v>0</v>
      </c>
      <c r="AQ92" s="122">
        <v>0</v>
      </c>
      <c r="AR92" s="122">
        <v>0</v>
      </c>
      <c r="AS92" s="122">
        <v>0</v>
      </c>
      <c r="AT92" s="122">
        <v>0</v>
      </c>
      <c r="AU92" s="122">
        <v>0</v>
      </c>
      <c r="AV92" s="122">
        <v>0</v>
      </c>
      <c r="AW92" s="122">
        <v>0</v>
      </c>
      <c r="AX92" s="122">
        <v>0</v>
      </c>
      <c r="AY92" s="122">
        <v>0</v>
      </c>
      <c r="AZ92" s="105">
        <f>SUM(D21:AY92)</f>
        <v>539.31719648734452</v>
      </c>
    </row>
    <row r="94" spans="1:52">
      <c r="A94" s="1" t="s">
        <v>295</v>
      </c>
      <c r="B94" s="104"/>
      <c r="C94" s="104"/>
      <c r="D94" s="111"/>
      <c r="E94" s="111"/>
      <c r="F94" s="111"/>
      <c r="G94" s="111"/>
      <c r="H94" s="111"/>
      <c r="I94" s="111"/>
      <c r="J94" s="111"/>
      <c r="K94" s="111"/>
      <c r="L94" s="111"/>
      <c r="M94" s="111"/>
      <c r="N94" s="111"/>
      <c r="O94" s="111"/>
      <c r="P94" s="111"/>
      <c r="Q94" s="111"/>
      <c r="R94" s="111"/>
      <c r="S94" s="111"/>
      <c r="T94" s="111"/>
      <c r="U94" s="111"/>
      <c r="V94" s="111"/>
      <c r="W94" s="111"/>
      <c r="X94" s="111"/>
      <c r="Y94" s="111"/>
      <c r="Z94" s="111"/>
      <c r="AA94" s="111"/>
      <c r="AB94" s="111"/>
      <c r="AC94" s="111"/>
      <c r="AD94" s="111"/>
      <c r="AE94" s="111"/>
      <c r="AF94" s="111"/>
      <c r="AG94" s="111"/>
      <c r="AH94" s="111"/>
      <c r="AI94" s="111"/>
      <c r="AJ94" s="111"/>
      <c r="AK94" s="111"/>
      <c r="AL94" s="111"/>
      <c r="AM94" s="111"/>
      <c r="AN94" s="111"/>
      <c r="AO94" s="111"/>
      <c r="AP94" s="111"/>
      <c r="AQ94" s="111"/>
      <c r="AR94" s="111"/>
      <c r="AS94" s="111"/>
      <c r="AT94" s="111"/>
      <c r="AU94" s="111"/>
      <c r="AV94" s="111"/>
      <c r="AW94" s="111"/>
      <c r="AX94" s="111"/>
      <c r="AY94" s="111"/>
    </row>
    <row r="95" spans="1:52">
      <c r="A95" s="123" t="s">
        <v>125</v>
      </c>
      <c r="B95" s="120">
        <v>1</v>
      </c>
      <c r="C95" s="121">
        <v>1046.2588742939613</v>
      </c>
      <c r="D95" s="108">
        <v>1049.963833253772</v>
      </c>
      <c r="E95" s="108">
        <v>1049.963833253772</v>
      </c>
      <c r="F95" s="108">
        <v>1049.963833253772</v>
      </c>
      <c r="G95" s="108">
        <v>1049.963833253772</v>
      </c>
      <c r="H95" s="108">
        <v>1049.963833253772</v>
      </c>
      <c r="I95" s="108">
        <v>1049.963833253772</v>
      </c>
      <c r="J95" s="108">
        <v>1049.963833253772</v>
      </c>
      <c r="K95" s="108">
        <v>1049.963833253772</v>
      </c>
      <c r="L95" s="108">
        <v>1049.963833253772</v>
      </c>
      <c r="M95" s="108">
        <v>1049.963833253772</v>
      </c>
      <c r="N95" s="108">
        <v>1049.963833253772</v>
      </c>
      <c r="O95" s="108">
        <v>1049.963833253772</v>
      </c>
      <c r="P95" s="108">
        <v>1049.963833253772</v>
      </c>
      <c r="Q95" s="108">
        <v>1049.963833253772</v>
      </c>
      <c r="R95" s="108">
        <v>1049.963833253772</v>
      </c>
      <c r="S95" s="108">
        <v>1049.963833253772</v>
      </c>
      <c r="T95" s="108">
        <v>856.3907734149418</v>
      </c>
      <c r="U95" s="108">
        <v>856.3907734149418</v>
      </c>
      <c r="V95" s="108">
        <v>856.3907734149418</v>
      </c>
      <c r="W95" s="108">
        <v>856.3907734149418</v>
      </c>
      <c r="X95" s="108">
        <v>1049.963833253772</v>
      </c>
      <c r="Y95" s="108">
        <v>1049.963833253772</v>
      </c>
      <c r="Z95" s="108">
        <v>1049.963833253772</v>
      </c>
      <c r="AA95" s="108">
        <v>1049.963833253772</v>
      </c>
      <c r="AB95" s="108">
        <v>1243.5368930926027</v>
      </c>
      <c r="AC95" s="108">
        <v>1243.5368930926027</v>
      </c>
      <c r="AD95" s="108">
        <v>1243.5368930926027</v>
      </c>
      <c r="AE95" s="108">
        <v>1243.5368930926027</v>
      </c>
      <c r="AF95" s="108">
        <v>1243.5368930926027</v>
      </c>
      <c r="AG95" s="108">
        <v>1243.5368930926027</v>
      </c>
      <c r="AH95" s="108">
        <v>1243.5368930926027</v>
      </c>
      <c r="AI95" s="108">
        <v>1243.5368930926027</v>
      </c>
      <c r="AJ95" s="108">
        <v>1049.963833253772</v>
      </c>
      <c r="AK95" s="108">
        <v>1049.963833253772</v>
      </c>
      <c r="AL95" s="108">
        <v>1049.963833253772</v>
      </c>
      <c r="AM95" s="108">
        <v>1049.963833253772</v>
      </c>
      <c r="AN95" s="108">
        <v>1049.963833253772</v>
      </c>
      <c r="AO95" s="108">
        <v>1049.963833253772</v>
      </c>
      <c r="AP95" s="108">
        <v>1049.963833253772</v>
      </c>
      <c r="AQ95" s="108">
        <v>1049.963833253772</v>
      </c>
      <c r="AR95" s="108">
        <v>856.3907734149418</v>
      </c>
      <c r="AS95" s="108">
        <v>856.3907734149418</v>
      </c>
      <c r="AT95" s="108">
        <v>856.3907734149418</v>
      </c>
      <c r="AU95" s="108">
        <v>856.3907734149418</v>
      </c>
      <c r="AV95" s="108">
        <v>1243.5368930926027</v>
      </c>
      <c r="AW95" s="108">
        <v>1243.5368930926027</v>
      </c>
      <c r="AX95" s="108">
        <v>1243.5368930926027</v>
      </c>
      <c r="AY95" s="108">
        <v>1243.5368930926027</v>
      </c>
    </row>
    <row r="96" spans="1:52">
      <c r="A96" s="107"/>
      <c r="B96" s="117">
        <v>2</v>
      </c>
      <c r="C96" s="108">
        <v>0</v>
      </c>
      <c r="D96" s="108">
        <v>0</v>
      </c>
      <c r="E96" s="108">
        <v>45.963833253772009</v>
      </c>
      <c r="F96" s="108">
        <v>86.927666507544018</v>
      </c>
      <c r="G96" s="108">
        <v>19.891499761316027</v>
      </c>
      <c r="H96" s="108">
        <v>0</v>
      </c>
      <c r="I96" s="108">
        <v>0</v>
      </c>
      <c r="J96" s="108">
        <v>86.963833253772009</v>
      </c>
      <c r="K96" s="108">
        <v>347.92766650754402</v>
      </c>
      <c r="L96" s="108">
        <v>481.89149976131603</v>
      </c>
      <c r="M96" s="108">
        <v>371.85533301508804</v>
      </c>
      <c r="N96" s="108">
        <v>599.81916626886004</v>
      </c>
      <c r="O96" s="108">
        <v>668.78299952263205</v>
      </c>
      <c r="P96" s="108">
        <v>620.74683277640406</v>
      </c>
      <c r="Q96" s="108">
        <v>535.71066603017607</v>
      </c>
      <c r="R96" s="108">
        <v>666.67449928394808</v>
      </c>
      <c r="S96" s="108">
        <v>710.63833253772009</v>
      </c>
      <c r="T96" s="108">
        <v>772.6021657914921</v>
      </c>
      <c r="U96" s="108">
        <v>431.9929392064339</v>
      </c>
      <c r="V96" s="108">
        <v>305.38371262137571</v>
      </c>
      <c r="W96" s="108">
        <v>125.77448603631751</v>
      </c>
      <c r="X96" s="108">
        <v>0</v>
      </c>
      <c r="Y96" s="108">
        <v>0</v>
      </c>
      <c r="Z96" s="108">
        <v>90.963833253772009</v>
      </c>
      <c r="AA96" s="108">
        <v>132.92766650754402</v>
      </c>
      <c r="AB96" s="108">
        <v>224.89149976131603</v>
      </c>
      <c r="AC96" s="108">
        <v>428.42839285391869</v>
      </c>
      <c r="AD96" s="108">
        <v>637.96528594652136</v>
      </c>
      <c r="AE96" s="108">
        <v>891.50217903912403</v>
      </c>
      <c r="AF96" s="108">
        <v>1047.0390721317267</v>
      </c>
      <c r="AG96" s="108">
        <v>1208.5759652243294</v>
      </c>
      <c r="AH96" s="108">
        <v>1224.112858316932</v>
      </c>
      <c r="AI96" s="108">
        <v>1209.1308112808176</v>
      </c>
      <c r="AJ96" s="108">
        <v>1243.5368930926027</v>
      </c>
      <c r="AK96" s="108">
        <v>1049.963833253772</v>
      </c>
      <c r="AL96" s="108">
        <v>1049.963833253772</v>
      </c>
      <c r="AM96" s="108">
        <v>875.76094777610888</v>
      </c>
      <c r="AN96" s="108">
        <v>785.72478102988089</v>
      </c>
      <c r="AO96" s="108">
        <v>627.6886142836529</v>
      </c>
      <c r="AP96" s="108">
        <v>560.65244753742491</v>
      </c>
      <c r="AQ96" s="108">
        <v>452.61628079119691</v>
      </c>
      <c r="AR96" s="108">
        <v>361.58011404496892</v>
      </c>
      <c r="AS96" s="108">
        <v>0</v>
      </c>
      <c r="AT96" s="108">
        <v>0</v>
      </c>
      <c r="AU96" s="108">
        <v>0</v>
      </c>
      <c r="AV96" s="108">
        <v>0</v>
      </c>
      <c r="AW96" s="108">
        <v>44.536893092602668</v>
      </c>
      <c r="AX96" s="108">
        <v>351.07378618520534</v>
      </c>
      <c r="AY96" s="108">
        <v>458.610679277808</v>
      </c>
    </row>
    <row r="97" spans="1:52">
      <c r="A97" s="107"/>
      <c r="B97" s="124">
        <v>3</v>
      </c>
      <c r="C97" s="108">
        <v>0</v>
      </c>
      <c r="D97" s="108">
        <v>0</v>
      </c>
      <c r="E97" s="108">
        <v>0</v>
      </c>
      <c r="F97" s="108">
        <v>0</v>
      </c>
      <c r="G97" s="108">
        <v>0</v>
      </c>
      <c r="H97" s="108">
        <v>0</v>
      </c>
      <c r="I97" s="108">
        <v>0</v>
      </c>
      <c r="J97" s="108">
        <v>0</v>
      </c>
      <c r="K97" s="108">
        <v>0</v>
      </c>
      <c r="L97" s="108">
        <v>0</v>
      </c>
      <c r="M97" s="108">
        <v>0</v>
      </c>
      <c r="N97" s="108">
        <v>0</v>
      </c>
      <c r="O97" s="108">
        <v>0</v>
      </c>
      <c r="P97" s="108">
        <v>0</v>
      </c>
      <c r="Q97" s="108">
        <v>0</v>
      </c>
      <c r="R97" s="108">
        <v>0</v>
      </c>
      <c r="S97" s="108">
        <v>0</v>
      </c>
      <c r="T97" s="108">
        <v>0</v>
      </c>
      <c r="U97" s="108">
        <v>0</v>
      </c>
      <c r="V97" s="108">
        <v>0</v>
      </c>
      <c r="W97" s="108">
        <v>0</v>
      </c>
      <c r="X97" s="108">
        <v>0</v>
      </c>
      <c r="Y97" s="108">
        <v>0</v>
      </c>
      <c r="Z97" s="108">
        <v>0</v>
      </c>
      <c r="AA97" s="108">
        <v>0</v>
      </c>
      <c r="AB97" s="108">
        <v>0</v>
      </c>
      <c r="AC97" s="108">
        <v>0</v>
      </c>
      <c r="AD97" s="108">
        <v>0</v>
      </c>
      <c r="AE97" s="108">
        <v>0</v>
      </c>
      <c r="AF97" s="108">
        <v>0</v>
      </c>
      <c r="AG97" s="108">
        <v>0</v>
      </c>
      <c r="AH97" s="108">
        <v>0</v>
      </c>
      <c r="AI97" s="108">
        <v>0</v>
      </c>
      <c r="AJ97" s="108">
        <v>131.13081128081762</v>
      </c>
      <c r="AK97" s="108">
        <v>118.66770437342029</v>
      </c>
      <c r="AL97" s="108">
        <v>46.631537627192301</v>
      </c>
      <c r="AM97" s="108">
        <v>0</v>
      </c>
      <c r="AN97" s="108">
        <v>0</v>
      </c>
      <c r="AO97" s="108">
        <v>0</v>
      </c>
      <c r="AP97" s="108">
        <v>0</v>
      </c>
      <c r="AQ97" s="108">
        <v>0</v>
      </c>
      <c r="AR97" s="108">
        <v>0</v>
      </c>
      <c r="AS97" s="108">
        <v>0</v>
      </c>
      <c r="AT97" s="108">
        <v>0</v>
      </c>
      <c r="AU97" s="108">
        <v>0</v>
      </c>
      <c r="AV97" s="108">
        <v>0</v>
      </c>
      <c r="AW97" s="108">
        <v>0</v>
      </c>
      <c r="AX97" s="108">
        <v>0</v>
      </c>
      <c r="AY97" s="108">
        <v>0</v>
      </c>
    </row>
    <row r="98" spans="1:52">
      <c r="A98" s="107"/>
      <c r="B98" s="127">
        <v>4</v>
      </c>
      <c r="C98" s="104">
        <v>0</v>
      </c>
      <c r="D98" s="108">
        <v>0</v>
      </c>
      <c r="E98" s="108">
        <v>0</v>
      </c>
      <c r="F98" s="108">
        <v>0</v>
      </c>
      <c r="G98" s="108">
        <v>0</v>
      </c>
      <c r="H98" s="108">
        <v>0</v>
      </c>
      <c r="I98" s="108">
        <v>0</v>
      </c>
      <c r="J98" s="108">
        <v>0</v>
      </c>
      <c r="K98" s="108">
        <v>0</v>
      </c>
      <c r="L98" s="108">
        <v>0</v>
      </c>
      <c r="M98" s="108">
        <v>0</v>
      </c>
      <c r="N98" s="108">
        <v>0</v>
      </c>
      <c r="O98" s="108">
        <v>0</v>
      </c>
      <c r="P98" s="108">
        <v>0</v>
      </c>
      <c r="Q98" s="108">
        <v>0</v>
      </c>
      <c r="R98" s="108">
        <v>0</v>
      </c>
      <c r="S98" s="108">
        <v>0</v>
      </c>
      <c r="T98" s="108">
        <v>0</v>
      </c>
      <c r="U98" s="108">
        <v>0</v>
      </c>
      <c r="V98" s="108">
        <v>0</v>
      </c>
      <c r="W98" s="108">
        <v>0</v>
      </c>
      <c r="X98" s="108">
        <v>0</v>
      </c>
      <c r="Y98" s="108">
        <v>0</v>
      </c>
      <c r="Z98" s="108">
        <v>0</v>
      </c>
      <c r="AA98" s="108">
        <v>0</v>
      </c>
      <c r="AB98" s="108">
        <v>0</v>
      </c>
      <c r="AC98" s="108">
        <v>0</v>
      </c>
      <c r="AD98" s="108">
        <v>0</v>
      </c>
      <c r="AE98" s="108">
        <v>0</v>
      </c>
      <c r="AF98" s="108">
        <v>0</v>
      </c>
      <c r="AG98" s="108">
        <v>0</v>
      </c>
      <c r="AH98" s="108">
        <v>0</v>
      </c>
      <c r="AI98" s="108">
        <v>0</v>
      </c>
      <c r="AJ98" s="108">
        <v>0</v>
      </c>
      <c r="AK98" s="108">
        <v>0</v>
      </c>
      <c r="AL98" s="108">
        <v>0</v>
      </c>
      <c r="AM98" s="108">
        <v>0</v>
      </c>
      <c r="AN98" s="108">
        <v>0</v>
      </c>
      <c r="AO98" s="108">
        <v>0</v>
      </c>
      <c r="AP98" s="108">
        <v>0</v>
      </c>
      <c r="AQ98" s="108">
        <v>0</v>
      </c>
      <c r="AR98" s="108">
        <v>0</v>
      </c>
      <c r="AS98" s="108">
        <v>0</v>
      </c>
      <c r="AT98" s="108">
        <v>0</v>
      </c>
      <c r="AU98" s="108">
        <v>0</v>
      </c>
      <c r="AV98" s="108">
        <v>0</v>
      </c>
      <c r="AW98" s="108">
        <v>0</v>
      </c>
      <c r="AX98" s="108">
        <v>0</v>
      </c>
      <c r="AY98" s="108">
        <v>0</v>
      </c>
    </row>
    <row r="99" spans="1:52">
      <c r="A99" s="125"/>
      <c r="B99" s="129" t="s">
        <v>296</v>
      </c>
      <c r="C99" s="122">
        <v>0</v>
      </c>
      <c r="D99" s="122">
        <v>0</v>
      </c>
      <c r="E99" s="122">
        <v>0</v>
      </c>
      <c r="F99" s="122">
        <v>0</v>
      </c>
      <c r="G99" s="122">
        <v>0</v>
      </c>
      <c r="H99" s="122">
        <v>0</v>
      </c>
      <c r="I99" s="122">
        <v>0</v>
      </c>
      <c r="J99" s="122">
        <v>0</v>
      </c>
      <c r="K99" s="122">
        <v>0</v>
      </c>
      <c r="L99" s="122">
        <v>0</v>
      </c>
      <c r="M99" s="122">
        <v>0</v>
      </c>
      <c r="N99" s="122">
        <v>0</v>
      </c>
      <c r="O99" s="122">
        <v>0</v>
      </c>
      <c r="P99" s="122">
        <v>0</v>
      </c>
      <c r="Q99" s="122">
        <v>0</v>
      </c>
      <c r="R99" s="122">
        <v>0</v>
      </c>
      <c r="S99" s="122">
        <v>0</v>
      </c>
      <c r="T99" s="122">
        <v>0</v>
      </c>
      <c r="U99" s="122">
        <v>0</v>
      </c>
      <c r="V99" s="122">
        <v>0</v>
      </c>
      <c r="W99" s="122">
        <v>0</v>
      </c>
      <c r="X99" s="122">
        <v>0</v>
      </c>
      <c r="Y99" s="122">
        <v>0</v>
      </c>
      <c r="Z99" s="122">
        <v>0</v>
      </c>
      <c r="AA99" s="122">
        <v>0</v>
      </c>
      <c r="AB99" s="122">
        <v>0</v>
      </c>
      <c r="AC99" s="122">
        <v>0</v>
      </c>
      <c r="AD99" s="122">
        <v>0</v>
      </c>
      <c r="AE99" s="122">
        <v>0</v>
      </c>
      <c r="AF99" s="122">
        <v>0</v>
      </c>
      <c r="AG99" s="122">
        <v>0</v>
      </c>
      <c r="AH99" s="122">
        <v>0</v>
      </c>
      <c r="AI99" s="122">
        <v>0</v>
      </c>
      <c r="AJ99" s="122">
        <v>0</v>
      </c>
      <c r="AK99" s="122">
        <v>0</v>
      </c>
      <c r="AL99" s="122">
        <v>0</v>
      </c>
      <c r="AM99" s="122">
        <v>0</v>
      </c>
      <c r="AN99" s="122">
        <v>0</v>
      </c>
      <c r="AO99" s="122">
        <v>0</v>
      </c>
      <c r="AP99" s="122">
        <v>0</v>
      </c>
      <c r="AQ99" s="122">
        <v>0</v>
      </c>
      <c r="AR99" s="122">
        <v>0</v>
      </c>
      <c r="AS99" s="122">
        <v>0</v>
      </c>
      <c r="AT99" s="122">
        <v>0</v>
      </c>
      <c r="AU99" s="122">
        <v>0</v>
      </c>
      <c r="AV99" s="122">
        <v>0</v>
      </c>
      <c r="AW99" s="122">
        <v>0</v>
      </c>
      <c r="AX99" s="122">
        <v>0</v>
      </c>
      <c r="AY99" s="122">
        <v>0</v>
      </c>
      <c r="AZ99" s="105">
        <f>SUM($D99:$AY99)</f>
        <v>0</v>
      </c>
    </row>
    <row r="100" spans="1:52">
      <c r="A100" s="128" t="s">
        <v>133</v>
      </c>
      <c r="B100" s="116">
        <v>1</v>
      </c>
      <c r="C100" s="104">
        <v>619.02225328475754</v>
      </c>
      <c r="D100" s="104">
        <v>208.90505571946304</v>
      </c>
      <c r="E100" s="104">
        <v>632.71513337225815</v>
      </c>
      <c r="F100" s="104">
        <v>211.40140051419237</v>
      </c>
      <c r="G100" s="104">
        <v>613.71009798773321</v>
      </c>
      <c r="H100" s="104">
        <v>211.40140051419237</v>
      </c>
      <c r="I100" s="104">
        <v>0</v>
      </c>
      <c r="J100" s="104">
        <v>1227.4201959754664</v>
      </c>
      <c r="K100" s="104">
        <v>613.71009798773321</v>
      </c>
      <c r="L100" s="104">
        <v>613.71009798773321</v>
      </c>
      <c r="M100" s="104">
        <v>0</v>
      </c>
      <c r="N100" s="104">
        <v>211.40140051419237</v>
      </c>
      <c r="O100" s="104">
        <v>613.71009798773321</v>
      </c>
      <c r="P100" s="104">
        <v>613.71009798773321</v>
      </c>
      <c r="Q100" s="104">
        <v>613.71009798773321</v>
      </c>
      <c r="R100" s="104">
        <v>613.71009798773321</v>
      </c>
      <c r="S100" s="104">
        <v>613.71009798773321</v>
      </c>
      <c r="T100" s="104">
        <v>211.40140051419237</v>
      </c>
      <c r="U100" s="104">
        <v>0</v>
      </c>
      <c r="V100" s="104">
        <v>1114.2755925529586</v>
      </c>
      <c r="W100" s="104">
        <v>500.56549456522561</v>
      </c>
      <c r="X100" s="104">
        <v>500.56549456522555</v>
      </c>
      <c r="Y100" s="104">
        <v>500.56549456522561</v>
      </c>
      <c r="Z100" s="104">
        <v>211.40140051419237</v>
      </c>
      <c r="AA100" s="104">
        <v>613.71009798773321</v>
      </c>
      <c r="AB100" s="104">
        <v>613.71009798773321</v>
      </c>
      <c r="AC100" s="104">
        <v>613.71009798773321</v>
      </c>
      <c r="AD100" s="104">
        <v>211.40140051419237</v>
      </c>
      <c r="AE100" s="104">
        <v>726.85470141024086</v>
      </c>
      <c r="AF100" s="104">
        <v>726.85470141024086</v>
      </c>
      <c r="AG100" s="104">
        <v>0</v>
      </c>
      <c r="AH100" s="104">
        <v>1453.7094028204815</v>
      </c>
      <c r="AI100" s="104">
        <v>726.85470141024086</v>
      </c>
      <c r="AJ100" s="104">
        <v>726.85470141024086</v>
      </c>
      <c r="AK100" s="104">
        <v>0</v>
      </c>
      <c r="AL100" s="104">
        <v>211.40140051419237</v>
      </c>
      <c r="AM100" s="104">
        <v>613.71009798773321</v>
      </c>
      <c r="AN100" s="104">
        <v>613.71009798773321</v>
      </c>
      <c r="AO100" s="104">
        <v>613.71009798773321</v>
      </c>
      <c r="AP100" s="104">
        <v>211.40140051419237</v>
      </c>
      <c r="AQ100" s="104">
        <v>0</v>
      </c>
      <c r="AR100" s="104">
        <v>613.71009798773321</v>
      </c>
      <c r="AS100" s="104">
        <v>613.71009798773321</v>
      </c>
      <c r="AT100" s="104">
        <v>500.56549456522555</v>
      </c>
      <c r="AU100" s="104">
        <v>500.56549456522561</v>
      </c>
      <c r="AV100" s="104">
        <v>211.40140051419215</v>
      </c>
      <c r="AW100" s="104">
        <v>0</v>
      </c>
      <c r="AX100" s="104">
        <v>726.85470141024086</v>
      </c>
      <c r="AY100" s="104">
        <v>726.85470141024086</v>
      </c>
    </row>
    <row r="101" spans="1:52">
      <c r="A101" s="107"/>
      <c r="B101" s="116">
        <v>2</v>
      </c>
      <c r="C101" s="104">
        <v>410.11719756529453</v>
      </c>
      <c r="D101" s="104">
        <v>344.13945085005207</v>
      </c>
      <c r="E101" s="104">
        <v>2.8421709430404007E-14</v>
      </c>
      <c r="F101" s="104">
        <v>0</v>
      </c>
      <c r="G101" s="104">
        <v>2.8421709430404007E-14</v>
      </c>
      <c r="H101" s="104">
        <v>8.7100979877332065</v>
      </c>
      <c r="I101" s="104">
        <v>402.30869747354086</v>
      </c>
      <c r="J101" s="104">
        <v>0</v>
      </c>
      <c r="K101" s="104">
        <v>531.42019597546641</v>
      </c>
      <c r="L101" s="104">
        <v>551.13029396319962</v>
      </c>
      <c r="M101" s="104">
        <v>525.84039195093283</v>
      </c>
      <c r="N101" s="104">
        <v>613.71009798773321</v>
      </c>
      <c r="O101" s="104">
        <v>613.71009798773321</v>
      </c>
      <c r="P101" s="104">
        <v>613.71009798773321</v>
      </c>
      <c r="Q101" s="104">
        <v>474.84039195093283</v>
      </c>
      <c r="R101" s="104">
        <v>404.55048993866603</v>
      </c>
      <c r="S101" s="104">
        <v>421.26058792639924</v>
      </c>
      <c r="T101" s="104">
        <v>420.97068591413245</v>
      </c>
      <c r="U101" s="104">
        <v>402.30869747354086</v>
      </c>
      <c r="V101" s="104">
        <v>0</v>
      </c>
      <c r="W101" s="104">
        <v>329.27559255295864</v>
      </c>
      <c r="X101" s="104">
        <v>171.84108711818425</v>
      </c>
      <c r="Y101" s="104">
        <v>5.6843418860808015E-14</v>
      </c>
      <c r="Z101" s="104">
        <v>0</v>
      </c>
      <c r="AA101" s="104">
        <v>402.30869747354086</v>
      </c>
      <c r="AB101" s="104">
        <v>372.01879546127407</v>
      </c>
      <c r="AC101" s="104">
        <v>263.72889344900727</v>
      </c>
      <c r="AD101" s="104">
        <v>165.43899143674048</v>
      </c>
      <c r="AE101" s="104">
        <v>515.45330089604852</v>
      </c>
      <c r="AF101" s="104">
        <v>532.30800230628938</v>
      </c>
      <c r="AG101" s="104">
        <v>606.16270371653025</v>
      </c>
      <c r="AH101" s="104">
        <v>0</v>
      </c>
      <c r="AI101" s="104">
        <v>761.7094028204815</v>
      </c>
      <c r="AJ101" s="104">
        <v>726.85470141024086</v>
      </c>
      <c r="AK101" s="104">
        <v>726.85470141024086</v>
      </c>
      <c r="AL101" s="104">
        <v>0</v>
      </c>
      <c r="AM101" s="104">
        <v>402.30869747354086</v>
      </c>
      <c r="AN101" s="104">
        <v>613.71009798773321</v>
      </c>
      <c r="AO101" s="104">
        <v>613.71009798773321</v>
      </c>
      <c r="AP101" s="104">
        <v>613.71009798773321</v>
      </c>
      <c r="AQ101" s="104">
        <v>104.69509336117372</v>
      </c>
      <c r="AR101" s="104">
        <v>0</v>
      </c>
      <c r="AS101" s="104">
        <v>266.01879546127407</v>
      </c>
      <c r="AT101" s="104">
        <v>613.71009798773321</v>
      </c>
      <c r="AU101" s="104">
        <v>500.56549456522555</v>
      </c>
      <c r="AV101" s="104">
        <v>264.56998056719164</v>
      </c>
      <c r="AW101" s="104">
        <v>289.16409405103343</v>
      </c>
      <c r="AX101" s="104">
        <v>500.56549456522561</v>
      </c>
      <c r="AY101" s="104">
        <v>432.42019597546647</v>
      </c>
    </row>
    <row r="102" spans="1:52">
      <c r="A102" s="107"/>
      <c r="B102" s="117">
        <v>3</v>
      </c>
      <c r="C102" s="104">
        <v>0</v>
      </c>
      <c r="D102" s="104">
        <v>0</v>
      </c>
      <c r="E102" s="104">
        <v>0</v>
      </c>
      <c r="F102" s="104">
        <v>410.11719756529453</v>
      </c>
      <c r="G102" s="104">
        <v>0</v>
      </c>
      <c r="H102" s="104">
        <v>402.30869747354086</v>
      </c>
      <c r="I102" s="104">
        <v>0</v>
      </c>
      <c r="J102" s="104">
        <v>0</v>
      </c>
      <c r="K102" s="104">
        <v>0</v>
      </c>
      <c r="L102" s="104">
        <v>0</v>
      </c>
      <c r="M102" s="104">
        <v>0</v>
      </c>
      <c r="N102" s="104">
        <v>0</v>
      </c>
      <c r="O102" s="104">
        <v>97.710097987733207</v>
      </c>
      <c r="P102" s="104">
        <v>53.420195975466413</v>
      </c>
      <c r="Q102" s="104">
        <v>0</v>
      </c>
      <c r="R102" s="104">
        <v>0</v>
      </c>
      <c r="S102" s="104">
        <v>0</v>
      </c>
      <c r="T102" s="104">
        <v>0</v>
      </c>
      <c r="U102" s="104">
        <v>0</v>
      </c>
      <c r="V102" s="104">
        <v>0</v>
      </c>
      <c r="W102" s="104">
        <v>0</v>
      </c>
      <c r="X102" s="104">
        <v>0</v>
      </c>
      <c r="Y102" s="104">
        <v>0</v>
      </c>
      <c r="Z102" s="104">
        <v>0</v>
      </c>
      <c r="AA102" s="104">
        <v>0</v>
      </c>
      <c r="AB102" s="104">
        <v>0</v>
      </c>
      <c r="AC102" s="104">
        <v>0</v>
      </c>
      <c r="AD102" s="104">
        <v>0</v>
      </c>
      <c r="AE102" s="104">
        <v>0</v>
      </c>
      <c r="AF102" s="104">
        <v>0</v>
      </c>
      <c r="AG102" s="104">
        <v>0</v>
      </c>
      <c r="AH102" s="104">
        <v>0</v>
      </c>
      <c r="AI102" s="104">
        <v>0</v>
      </c>
      <c r="AJ102" s="104">
        <v>102.7094028204815</v>
      </c>
      <c r="AK102" s="104">
        <v>33.564104230722364</v>
      </c>
      <c r="AL102" s="104">
        <v>122.41880564096323</v>
      </c>
      <c r="AM102" s="104">
        <v>726.85470141024086</v>
      </c>
      <c r="AN102" s="104">
        <v>284.16339888378172</v>
      </c>
      <c r="AO102" s="104">
        <v>200.87349687151493</v>
      </c>
      <c r="AP102" s="104">
        <v>41.583594859248137</v>
      </c>
      <c r="AQ102" s="104">
        <v>0</v>
      </c>
      <c r="AR102" s="104">
        <v>402.30869747354086</v>
      </c>
      <c r="AS102" s="104">
        <v>613.71009798773321</v>
      </c>
      <c r="AT102" s="104">
        <v>132.72889344900727</v>
      </c>
      <c r="AU102" s="104">
        <v>33.43899143674048</v>
      </c>
      <c r="AV102" s="104">
        <v>0</v>
      </c>
      <c r="AW102" s="104">
        <v>0</v>
      </c>
      <c r="AX102" s="104">
        <v>0</v>
      </c>
      <c r="AY102" s="104">
        <v>0</v>
      </c>
    </row>
    <row r="103" spans="1:52">
      <c r="A103" s="107"/>
      <c r="B103" s="117">
        <v>4</v>
      </c>
      <c r="C103" s="104">
        <v>0</v>
      </c>
      <c r="D103" s="104">
        <v>0</v>
      </c>
      <c r="E103" s="104">
        <v>0</v>
      </c>
      <c r="F103" s="104">
        <v>0</v>
      </c>
      <c r="G103" s="104">
        <v>0</v>
      </c>
      <c r="H103" s="104">
        <v>0</v>
      </c>
      <c r="I103" s="104">
        <v>0</v>
      </c>
      <c r="J103" s="104">
        <v>0</v>
      </c>
      <c r="K103" s="104">
        <v>0</v>
      </c>
      <c r="L103" s="104">
        <v>0</v>
      </c>
      <c r="M103" s="104">
        <v>0</v>
      </c>
      <c r="N103" s="104">
        <v>0</v>
      </c>
      <c r="O103" s="104">
        <v>0</v>
      </c>
      <c r="P103" s="104">
        <v>0</v>
      </c>
      <c r="Q103" s="104">
        <v>0</v>
      </c>
      <c r="R103" s="104">
        <v>0</v>
      </c>
      <c r="S103" s="104">
        <v>0</v>
      </c>
      <c r="T103" s="104">
        <v>0</v>
      </c>
      <c r="U103" s="104">
        <v>0</v>
      </c>
      <c r="V103" s="104">
        <v>0</v>
      </c>
      <c r="W103" s="104">
        <v>0</v>
      </c>
      <c r="X103" s="104">
        <v>0</v>
      </c>
      <c r="Y103" s="104">
        <v>0</v>
      </c>
      <c r="Z103" s="104">
        <v>0</v>
      </c>
      <c r="AA103" s="104">
        <v>0</v>
      </c>
      <c r="AB103" s="104">
        <v>0</v>
      </c>
      <c r="AC103" s="104">
        <v>0</v>
      </c>
      <c r="AD103" s="104">
        <v>0</v>
      </c>
      <c r="AE103" s="104">
        <v>0</v>
      </c>
      <c r="AF103" s="104">
        <v>0</v>
      </c>
      <c r="AG103" s="104">
        <v>0</v>
      </c>
      <c r="AH103" s="104">
        <v>0</v>
      </c>
      <c r="AI103" s="104">
        <v>0</v>
      </c>
      <c r="AJ103" s="104">
        <v>0</v>
      </c>
      <c r="AK103" s="104">
        <v>0</v>
      </c>
      <c r="AL103" s="104">
        <v>0</v>
      </c>
      <c r="AM103" s="104">
        <v>0</v>
      </c>
      <c r="AN103" s="104">
        <v>0</v>
      </c>
      <c r="AO103" s="104">
        <v>0</v>
      </c>
      <c r="AP103" s="104">
        <v>0</v>
      </c>
      <c r="AQ103" s="104">
        <v>0</v>
      </c>
      <c r="AR103" s="104">
        <v>0</v>
      </c>
      <c r="AS103" s="104">
        <v>0</v>
      </c>
      <c r="AT103" s="104">
        <v>0</v>
      </c>
      <c r="AU103" s="104">
        <v>0</v>
      </c>
      <c r="AV103" s="104">
        <v>0</v>
      </c>
      <c r="AW103" s="104">
        <v>0</v>
      </c>
      <c r="AX103" s="104">
        <v>0</v>
      </c>
      <c r="AY103" s="104">
        <v>0</v>
      </c>
    </row>
    <row r="104" spans="1:52">
      <c r="A104" s="107"/>
      <c r="B104" s="124">
        <v>5</v>
      </c>
      <c r="C104" s="104">
        <v>0</v>
      </c>
      <c r="D104" s="104">
        <v>0</v>
      </c>
      <c r="E104" s="104">
        <v>0</v>
      </c>
      <c r="F104" s="104">
        <v>0</v>
      </c>
      <c r="G104" s="104">
        <v>0</v>
      </c>
      <c r="H104" s="104">
        <v>0</v>
      </c>
      <c r="I104" s="104">
        <v>0</v>
      </c>
      <c r="J104" s="104">
        <v>0</v>
      </c>
      <c r="K104" s="104">
        <v>0</v>
      </c>
      <c r="L104" s="104">
        <v>0</v>
      </c>
      <c r="M104" s="104">
        <v>0</v>
      </c>
      <c r="N104" s="104">
        <v>0</v>
      </c>
      <c r="O104" s="104">
        <v>0</v>
      </c>
      <c r="P104" s="104">
        <v>0</v>
      </c>
      <c r="Q104" s="104">
        <v>0</v>
      </c>
      <c r="R104" s="104">
        <v>0</v>
      </c>
      <c r="S104" s="104">
        <v>0</v>
      </c>
      <c r="T104" s="104">
        <v>0</v>
      </c>
      <c r="U104" s="104">
        <v>0</v>
      </c>
      <c r="V104" s="104">
        <v>0</v>
      </c>
      <c r="W104" s="104">
        <v>0</v>
      </c>
      <c r="X104" s="104">
        <v>0</v>
      </c>
      <c r="Y104" s="104">
        <v>0</v>
      </c>
      <c r="Z104" s="104">
        <v>0</v>
      </c>
      <c r="AA104" s="104">
        <v>0</v>
      </c>
      <c r="AB104" s="104">
        <v>0</v>
      </c>
      <c r="AC104" s="104">
        <v>0</v>
      </c>
      <c r="AD104" s="104">
        <v>0</v>
      </c>
      <c r="AE104" s="104">
        <v>0</v>
      </c>
      <c r="AF104" s="104">
        <v>0</v>
      </c>
      <c r="AG104" s="104">
        <v>0</v>
      </c>
      <c r="AH104" s="104">
        <v>0</v>
      </c>
      <c r="AI104" s="104">
        <v>0</v>
      </c>
      <c r="AJ104" s="104">
        <v>0</v>
      </c>
      <c r="AK104" s="104">
        <v>0</v>
      </c>
      <c r="AL104" s="104">
        <v>0</v>
      </c>
      <c r="AM104" s="104">
        <v>0</v>
      </c>
      <c r="AN104" s="104">
        <v>0</v>
      </c>
      <c r="AO104" s="104">
        <v>0</v>
      </c>
      <c r="AP104" s="104">
        <v>0</v>
      </c>
      <c r="AQ104" s="104">
        <v>0</v>
      </c>
      <c r="AR104" s="104">
        <v>0</v>
      </c>
      <c r="AS104" s="104">
        <v>0</v>
      </c>
      <c r="AT104" s="104">
        <v>0</v>
      </c>
      <c r="AU104" s="104">
        <v>0</v>
      </c>
      <c r="AV104" s="104">
        <v>0</v>
      </c>
      <c r="AW104" s="104">
        <v>0</v>
      </c>
      <c r="AX104" s="104">
        <v>0</v>
      </c>
      <c r="AY104" s="104">
        <v>0</v>
      </c>
    </row>
    <row r="105" spans="1:52">
      <c r="A105" s="107"/>
      <c r="B105" s="124">
        <v>6</v>
      </c>
      <c r="C105" s="104">
        <v>0</v>
      </c>
      <c r="D105" s="104">
        <v>0</v>
      </c>
      <c r="E105" s="104">
        <v>0</v>
      </c>
      <c r="F105" s="104">
        <v>0</v>
      </c>
      <c r="G105" s="104">
        <v>0</v>
      </c>
      <c r="H105" s="104">
        <v>0</v>
      </c>
      <c r="I105" s="104">
        <v>0</v>
      </c>
      <c r="J105" s="104">
        <v>0</v>
      </c>
      <c r="K105" s="104">
        <v>0</v>
      </c>
      <c r="L105" s="104">
        <v>0</v>
      </c>
      <c r="M105" s="104">
        <v>0</v>
      </c>
      <c r="N105" s="104">
        <v>0</v>
      </c>
      <c r="O105" s="104">
        <v>0</v>
      </c>
      <c r="P105" s="104">
        <v>0</v>
      </c>
      <c r="Q105" s="104">
        <v>0</v>
      </c>
      <c r="R105" s="104">
        <v>0</v>
      </c>
      <c r="S105" s="104">
        <v>0</v>
      </c>
      <c r="T105" s="104">
        <v>0</v>
      </c>
      <c r="U105" s="104">
        <v>0</v>
      </c>
      <c r="V105" s="104">
        <v>0</v>
      </c>
      <c r="W105" s="104">
        <v>0</v>
      </c>
      <c r="X105" s="104">
        <v>0</v>
      </c>
      <c r="Y105" s="104">
        <v>0</v>
      </c>
      <c r="Z105" s="104">
        <v>0</v>
      </c>
      <c r="AA105" s="104">
        <v>0</v>
      </c>
      <c r="AB105" s="104">
        <v>0</v>
      </c>
      <c r="AC105" s="104">
        <v>0</v>
      </c>
      <c r="AD105" s="104">
        <v>0</v>
      </c>
      <c r="AE105" s="104">
        <v>0</v>
      </c>
      <c r="AF105" s="104">
        <v>0</v>
      </c>
      <c r="AG105" s="104">
        <v>0</v>
      </c>
      <c r="AH105" s="104">
        <v>0</v>
      </c>
      <c r="AI105" s="104">
        <v>0</v>
      </c>
      <c r="AJ105" s="104">
        <v>0</v>
      </c>
      <c r="AK105" s="104">
        <v>0</v>
      </c>
      <c r="AL105" s="104">
        <v>0</v>
      </c>
      <c r="AM105" s="104">
        <v>0</v>
      </c>
      <c r="AN105" s="104">
        <v>0</v>
      </c>
      <c r="AO105" s="104">
        <v>0</v>
      </c>
      <c r="AP105" s="104">
        <v>0</v>
      </c>
      <c r="AQ105" s="104">
        <v>0</v>
      </c>
      <c r="AR105" s="104">
        <v>0</v>
      </c>
      <c r="AS105" s="104">
        <v>0</v>
      </c>
      <c r="AT105" s="104">
        <v>0</v>
      </c>
      <c r="AU105" s="104">
        <v>0</v>
      </c>
      <c r="AV105" s="104">
        <v>0</v>
      </c>
      <c r="AW105" s="104">
        <v>0</v>
      </c>
      <c r="AX105" s="104">
        <v>0</v>
      </c>
      <c r="AY105" s="104">
        <v>0</v>
      </c>
    </row>
    <row r="106" spans="1:52">
      <c r="A106" s="107"/>
      <c r="B106" s="127">
        <v>7</v>
      </c>
      <c r="C106" s="104">
        <v>0</v>
      </c>
      <c r="D106" s="104">
        <v>0</v>
      </c>
      <c r="E106" s="104">
        <v>0</v>
      </c>
      <c r="F106" s="104">
        <v>0</v>
      </c>
      <c r="G106" s="104">
        <v>0</v>
      </c>
      <c r="H106" s="104">
        <v>0</v>
      </c>
      <c r="I106" s="104">
        <v>0</v>
      </c>
      <c r="J106" s="104">
        <v>0</v>
      </c>
      <c r="K106" s="104">
        <v>0</v>
      </c>
      <c r="L106" s="104">
        <v>0</v>
      </c>
      <c r="M106" s="104">
        <v>0</v>
      </c>
      <c r="N106" s="104">
        <v>0</v>
      </c>
      <c r="O106" s="104">
        <v>0</v>
      </c>
      <c r="P106" s="104">
        <v>0</v>
      </c>
      <c r="Q106" s="104">
        <v>0</v>
      </c>
      <c r="R106" s="104">
        <v>0</v>
      </c>
      <c r="S106" s="104">
        <v>0</v>
      </c>
      <c r="T106" s="104">
        <v>0</v>
      </c>
      <c r="U106" s="104">
        <v>0</v>
      </c>
      <c r="V106" s="104">
        <v>0</v>
      </c>
      <c r="W106" s="104">
        <v>0</v>
      </c>
      <c r="X106" s="104">
        <v>0</v>
      </c>
      <c r="Y106" s="104">
        <v>0</v>
      </c>
      <c r="Z106" s="104">
        <v>0</v>
      </c>
      <c r="AA106" s="104">
        <v>0</v>
      </c>
      <c r="AB106" s="104">
        <v>0</v>
      </c>
      <c r="AC106" s="104">
        <v>0</v>
      </c>
      <c r="AD106" s="104">
        <v>0</v>
      </c>
      <c r="AE106" s="104">
        <v>0</v>
      </c>
      <c r="AF106" s="104">
        <v>0</v>
      </c>
      <c r="AG106" s="104">
        <v>0</v>
      </c>
      <c r="AH106" s="104">
        <v>0</v>
      </c>
      <c r="AI106" s="104">
        <v>0</v>
      </c>
      <c r="AJ106" s="104">
        <v>0</v>
      </c>
      <c r="AK106" s="104">
        <v>0</v>
      </c>
      <c r="AL106" s="104">
        <v>0</v>
      </c>
      <c r="AM106" s="104">
        <v>0</v>
      </c>
      <c r="AN106" s="104">
        <v>0</v>
      </c>
      <c r="AO106" s="104">
        <v>0</v>
      </c>
      <c r="AP106" s="104">
        <v>0</v>
      </c>
      <c r="AQ106" s="104">
        <v>0</v>
      </c>
      <c r="AR106" s="104">
        <v>0</v>
      </c>
      <c r="AS106" s="104">
        <v>0</v>
      </c>
      <c r="AT106" s="104">
        <v>0</v>
      </c>
      <c r="AU106" s="104">
        <v>0</v>
      </c>
      <c r="AV106" s="104">
        <v>0</v>
      </c>
      <c r="AW106" s="104">
        <v>0</v>
      </c>
      <c r="AX106" s="104">
        <v>0</v>
      </c>
      <c r="AY106" s="104">
        <v>0</v>
      </c>
    </row>
    <row r="107" spans="1:52">
      <c r="A107" s="107"/>
      <c r="B107" s="127">
        <v>8</v>
      </c>
      <c r="C107" s="104">
        <v>0</v>
      </c>
      <c r="D107" s="104">
        <v>0</v>
      </c>
      <c r="E107" s="104">
        <v>0</v>
      </c>
      <c r="F107" s="104">
        <v>0</v>
      </c>
      <c r="G107" s="104">
        <v>0</v>
      </c>
      <c r="H107" s="104">
        <v>0</v>
      </c>
      <c r="I107" s="104">
        <v>0</v>
      </c>
      <c r="J107" s="104">
        <v>0</v>
      </c>
      <c r="K107" s="104">
        <v>0</v>
      </c>
      <c r="L107" s="104">
        <v>0</v>
      </c>
      <c r="M107" s="104">
        <v>0</v>
      </c>
      <c r="N107" s="104">
        <v>0</v>
      </c>
      <c r="O107" s="104">
        <v>0</v>
      </c>
      <c r="P107" s="104">
        <v>0</v>
      </c>
      <c r="Q107" s="104">
        <v>0</v>
      </c>
      <c r="R107" s="104">
        <v>0</v>
      </c>
      <c r="S107" s="104">
        <v>0</v>
      </c>
      <c r="T107" s="104">
        <v>0</v>
      </c>
      <c r="U107" s="104">
        <v>0</v>
      </c>
      <c r="V107" s="104">
        <v>0</v>
      </c>
      <c r="W107" s="104">
        <v>0</v>
      </c>
      <c r="X107" s="104">
        <v>0</v>
      </c>
      <c r="Y107" s="104">
        <v>0</v>
      </c>
      <c r="Z107" s="104">
        <v>0</v>
      </c>
      <c r="AA107" s="104">
        <v>0</v>
      </c>
      <c r="AB107" s="104">
        <v>0</v>
      </c>
      <c r="AC107" s="104">
        <v>0</v>
      </c>
      <c r="AD107" s="104">
        <v>0</v>
      </c>
      <c r="AE107" s="104">
        <v>0</v>
      </c>
      <c r="AF107" s="104">
        <v>0</v>
      </c>
      <c r="AG107" s="104">
        <v>0</v>
      </c>
      <c r="AH107" s="104">
        <v>0</v>
      </c>
      <c r="AI107" s="104">
        <v>0</v>
      </c>
      <c r="AJ107" s="104">
        <v>0</v>
      </c>
      <c r="AK107" s="104">
        <v>0</v>
      </c>
      <c r="AL107" s="104">
        <v>0</v>
      </c>
      <c r="AM107" s="104">
        <v>0</v>
      </c>
      <c r="AN107" s="104">
        <v>0</v>
      </c>
      <c r="AO107" s="104">
        <v>0</v>
      </c>
      <c r="AP107" s="104">
        <v>0</v>
      </c>
      <c r="AQ107" s="104">
        <v>0</v>
      </c>
      <c r="AR107" s="104">
        <v>0</v>
      </c>
      <c r="AS107" s="104">
        <v>0</v>
      </c>
      <c r="AT107" s="104">
        <v>0</v>
      </c>
      <c r="AU107" s="104">
        <v>0</v>
      </c>
      <c r="AV107" s="104">
        <v>0</v>
      </c>
      <c r="AW107" s="104">
        <v>0</v>
      </c>
      <c r="AX107" s="104">
        <v>0</v>
      </c>
      <c r="AY107" s="104">
        <v>0</v>
      </c>
    </row>
    <row r="108" spans="1:52">
      <c r="A108" s="125"/>
      <c r="B108" s="129" t="s">
        <v>296</v>
      </c>
      <c r="C108" s="111">
        <v>0</v>
      </c>
      <c r="D108" s="122">
        <v>0</v>
      </c>
      <c r="E108" s="122">
        <v>0</v>
      </c>
      <c r="F108" s="122">
        <v>0</v>
      </c>
      <c r="G108" s="122">
        <v>0</v>
      </c>
      <c r="H108" s="122">
        <v>0</v>
      </c>
      <c r="I108" s="122">
        <v>0</v>
      </c>
      <c r="J108" s="122">
        <v>0</v>
      </c>
      <c r="K108" s="122">
        <v>0</v>
      </c>
      <c r="L108" s="122">
        <v>0</v>
      </c>
      <c r="M108" s="122">
        <v>0</v>
      </c>
      <c r="N108" s="122">
        <v>0</v>
      </c>
      <c r="O108" s="122">
        <v>0</v>
      </c>
      <c r="P108" s="122">
        <v>0</v>
      </c>
      <c r="Q108" s="122">
        <v>0</v>
      </c>
      <c r="R108" s="122">
        <v>0</v>
      </c>
      <c r="S108" s="122">
        <v>0</v>
      </c>
      <c r="T108" s="122">
        <v>0</v>
      </c>
      <c r="U108" s="122">
        <v>0</v>
      </c>
      <c r="V108" s="122">
        <v>0</v>
      </c>
      <c r="W108" s="122">
        <v>0</v>
      </c>
      <c r="X108" s="122">
        <v>0</v>
      </c>
      <c r="Y108" s="122">
        <v>0</v>
      </c>
      <c r="Z108" s="122">
        <v>0</v>
      </c>
      <c r="AA108" s="122">
        <v>0</v>
      </c>
      <c r="AB108" s="122">
        <v>0</v>
      </c>
      <c r="AC108" s="122">
        <v>0</v>
      </c>
      <c r="AD108" s="122">
        <v>0</v>
      </c>
      <c r="AE108" s="122">
        <v>0</v>
      </c>
      <c r="AF108" s="122">
        <v>0</v>
      </c>
      <c r="AG108" s="122">
        <v>0</v>
      </c>
      <c r="AH108" s="122">
        <v>0</v>
      </c>
      <c r="AI108" s="122">
        <v>0</v>
      </c>
      <c r="AJ108" s="122">
        <v>0</v>
      </c>
      <c r="AK108" s="122">
        <v>0</v>
      </c>
      <c r="AL108" s="122">
        <v>0</v>
      </c>
      <c r="AM108" s="122">
        <v>0</v>
      </c>
      <c r="AN108" s="122">
        <v>0</v>
      </c>
      <c r="AO108" s="122">
        <v>0</v>
      </c>
      <c r="AP108" s="122">
        <v>0</v>
      </c>
      <c r="AQ108" s="122">
        <v>0</v>
      </c>
      <c r="AR108" s="122">
        <v>0</v>
      </c>
      <c r="AS108" s="122">
        <v>0</v>
      </c>
      <c r="AT108" s="122">
        <v>0</v>
      </c>
      <c r="AU108" s="122">
        <v>0</v>
      </c>
      <c r="AV108" s="122">
        <v>0</v>
      </c>
      <c r="AW108" s="122">
        <v>0</v>
      </c>
      <c r="AX108" s="122">
        <v>0</v>
      </c>
      <c r="AY108" s="122">
        <v>0</v>
      </c>
      <c r="AZ108" s="105">
        <f>SUM($D108:$AY108)</f>
        <v>0</v>
      </c>
    </row>
    <row r="109" spans="1:52">
      <c r="A109" s="128" t="s">
        <v>134</v>
      </c>
      <c r="B109" s="116">
        <v>1</v>
      </c>
      <c r="C109" s="104">
        <v>172.64290546183216</v>
      </c>
      <c r="D109" s="104">
        <v>578.93789604789731</v>
      </c>
      <c r="E109" s="104">
        <v>212.45714524061958</v>
      </c>
      <c r="F109" s="104">
        <v>383.48707151470427</v>
      </c>
      <c r="G109" s="104">
        <v>382.52879758687857</v>
      </c>
      <c r="H109" s="104">
        <v>374.16495087293441</v>
      </c>
      <c r="I109" s="104">
        <v>374.16495087293441</v>
      </c>
      <c r="J109" s="104">
        <v>270.47088666524229</v>
      </c>
      <c r="K109" s="104">
        <v>675.19462310245581</v>
      </c>
      <c r="L109" s="104">
        <v>467.24234068334232</v>
      </c>
      <c r="M109" s="104">
        <v>374.16495087293441</v>
      </c>
      <c r="N109" s="104">
        <v>73.135278643413088</v>
      </c>
      <c r="O109" s="104">
        <v>477.85901508062653</v>
      </c>
      <c r="P109" s="104">
        <v>571.50055889476369</v>
      </c>
      <c r="Q109" s="104">
        <v>439.81164339610609</v>
      </c>
      <c r="R109" s="104">
        <v>395.97683014236929</v>
      </c>
      <c r="S109" s="104">
        <v>374.16495087293441</v>
      </c>
      <c r="T109" s="104">
        <v>374.16495087293441</v>
      </c>
      <c r="U109" s="104">
        <v>176.82934285110517</v>
      </c>
      <c r="V109" s="104">
        <v>270.47088666524229</v>
      </c>
      <c r="W109" s="104">
        <v>619.69629743616156</v>
      </c>
      <c r="X109" s="104">
        <v>351.72743555735252</v>
      </c>
      <c r="Y109" s="104">
        <v>318.66662520664016</v>
      </c>
      <c r="Z109" s="104">
        <v>318.66662520664011</v>
      </c>
      <c r="AA109" s="104">
        <v>176.82934285110517</v>
      </c>
      <c r="AB109" s="104">
        <v>571.50055889476369</v>
      </c>
      <c r="AC109" s="104">
        <v>405.8308676707893</v>
      </c>
      <c r="AD109" s="104">
        <v>380.24074345936458</v>
      </c>
      <c r="AE109" s="104">
        <v>176.82934285110517</v>
      </c>
      <c r="AF109" s="104">
        <v>682.49721022735253</v>
      </c>
      <c r="AG109" s="104">
        <v>479.85325367859775</v>
      </c>
      <c r="AH109" s="104">
        <v>98.899193121974406</v>
      </c>
      <c r="AI109" s="104">
        <v>786.19127443504465</v>
      </c>
      <c r="AJ109" s="104">
        <v>553.05719656753729</v>
      </c>
      <c r="AK109" s="104">
        <v>524.19653826627939</v>
      </c>
      <c r="AL109" s="104">
        <v>154.39279083411205</v>
      </c>
      <c r="AM109" s="104">
        <v>176.82934285110517</v>
      </c>
      <c r="AN109" s="104">
        <v>928.0285567905795</v>
      </c>
      <c r="AO109" s="104">
        <v>613.17645611331875</v>
      </c>
      <c r="AP109" s="104">
        <v>427.93930498530119</v>
      </c>
      <c r="AQ109" s="104">
        <v>176.8293428511052</v>
      </c>
      <c r="AR109" s="104">
        <v>73.135278643413088</v>
      </c>
      <c r="AS109" s="104">
        <v>571.50055889476357</v>
      </c>
      <c r="AT109" s="104">
        <v>675.19462310245581</v>
      </c>
      <c r="AU109" s="104">
        <v>462.70000932696797</v>
      </c>
      <c r="AV109" s="104">
        <v>325.60550963133772</v>
      </c>
      <c r="AW109" s="104">
        <v>176.82934285110528</v>
      </c>
      <c r="AX109" s="104">
        <v>214.97256099894796</v>
      </c>
      <c r="AY109" s="104">
        <v>675.19462310245592</v>
      </c>
    </row>
    <row r="110" spans="1:52">
      <c r="A110" s="107"/>
      <c r="B110" s="116">
        <v>2</v>
      </c>
      <c r="C110" s="104">
        <v>101.44954098074084</v>
      </c>
      <c r="D110" s="104">
        <v>2.8421709430404007E-14</v>
      </c>
      <c r="E110" s="104">
        <v>88.903313969538772</v>
      </c>
      <c r="F110" s="104">
        <v>0</v>
      </c>
      <c r="G110" s="104">
        <v>0</v>
      </c>
      <c r="H110" s="104">
        <v>0</v>
      </c>
      <c r="I110" s="104">
        <v>0</v>
      </c>
      <c r="J110" s="104">
        <v>0</v>
      </c>
      <c r="K110" s="104">
        <v>0</v>
      </c>
      <c r="L110" s="104">
        <v>281.19462310245581</v>
      </c>
      <c r="M110" s="104">
        <v>257.43696378579813</v>
      </c>
      <c r="N110" s="104">
        <v>221.35832877964839</v>
      </c>
      <c r="O110" s="104">
        <v>1.4210854715202004E-14</v>
      </c>
      <c r="P110" s="104">
        <v>0</v>
      </c>
      <c r="Q110" s="104">
        <v>146.50055889476369</v>
      </c>
      <c r="R110" s="104">
        <v>90.312202290869777</v>
      </c>
      <c r="S110" s="104">
        <v>0</v>
      </c>
      <c r="T110" s="104">
        <v>0</v>
      </c>
      <c r="U110" s="104">
        <v>0</v>
      </c>
      <c r="V110" s="104">
        <v>0</v>
      </c>
      <c r="W110" s="104">
        <v>0</v>
      </c>
      <c r="X110" s="104">
        <v>159.69629743616156</v>
      </c>
      <c r="Y110" s="104">
        <v>78.451585867306562</v>
      </c>
      <c r="Z110" s="104">
        <v>0</v>
      </c>
      <c r="AA110" s="104">
        <v>0</v>
      </c>
      <c r="AB110" s="104">
        <v>0</v>
      </c>
      <c r="AC110" s="104">
        <v>127.50055889476369</v>
      </c>
      <c r="AD110" s="104">
        <v>85.331426565552988</v>
      </c>
      <c r="AE110" s="104">
        <v>24.721660798123992</v>
      </c>
      <c r="AF110" s="104">
        <v>0</v>
      </c>
      <c r="AG110" s="104">
        <v>133.49721022735253</v>
      </c>
      <c r="AH110" s="104">
        <v>84.784559704270009</v>
      </c>
      <c r="AI110" s="104">
        <v>0</v>
      </c>
      <c r="AJ110" s="104">
        <v>243.19127443504465</v>
      </c>
      <c r="AK110" s="104">
        <v>350.24847100258194</v>
      </c>
      <c r="AL110" s="104">
        <v>421.44500926886133</v>
      </c>
      <c r="AM110" s="104">
        <v>19.191577800988313</v>
      </c>
      <c r="AN110" s="104">
        <v>0</v>
      </c>
      <c r="AO110" s="104">
        <v>403.0285567905795</v>
      </c>
      <c r="AP110" s="104">
        <v>559.20501290389825</v>
      </c>
      <c r="AQ110" s="104">
        <v>427.93930498530119</v>
      </c>
      <c r="AR110" s="104">
        <v>176.8293428511052</v>
      </c>
      <c r="AS110" s="104">
        <v>1.4210854715202004E-14</v>
      </c>
      <c r="AT110" s="104">
        <v>68.500558894763572</v>
      </c>
      <c r="AU110" s="104">
        <v>243.69518199721938</v>
      </c>
      <c r="AV110" s="104">
        <v>155.39519132418735</v>
      </c>
      <c r="AW110" s="104">
        <v>34.876167302821443</v>
      </c>
      <c r="AX110" s="104">
        <v>0</v>
      </c>
      <c r="AY110" s="104">
        <v>0</v>
      </c>
    </row>
    <row r="111" spans="1:52">
      <c r="A111" s="107"/>
      <c r="B111" s="116">
        <v>3</v>
      </c>
      <c r="C111" s="104">
        <v>0</v>
      </c>
      <c r="D111" s="104">
        <v>0</v>
      </c>
      <c r="E111" s="104">
        <v>0</v>
      </c>
      <c r="F111" s="104">
        <v>0</v>
      </c>
      <c r="G111" s="104">
        <v>0</v>
      </c>
      <c r="H111" s="104">
        <v>0</v>
      </c>
      <c r="I111" s="104">
        <v>0</v>
      </c>
      <c r="J111" s="104">
        <v>0</v>
      </c>
      <c r="K111" s="104">
        <v>0</v>
      </c>
      <c r="L111" s="104">
        <v>0</v>
      </c>
      <c r="M111" s="104">
        <v>0</v>
      </c>
      <c r="N111" s="104">
        <v>0</v>
      </c>
      <c r="O111" s="104">
        <v>0</v>
      </c>
      <c r="P111" s="104">
        <v>0</v>
      </c>
      <c r="Q111" s="104">
        <v>0</v>
      </c>
      <c r="R111" s="104">
        <v>0</v>
      </c>
      <c r="S111" s="104">
        <v>0</v>
      </c>
      <c r="T111" s="104">
        <v>0</v>
      </c>
      <c r="U111" s="104">
        <v>0</v>
      </c>
      <c r="V111" s="104">
        <v>0</v>
      </c>
      <c r="W111" s="104">
        <v>0</v>
      </c>
      <c r="X111" s="104">
        <v>0</v>
      </c>
      <c r="Y111" s="104">
        <v>0</v>
      </c>
      <c r="Z111" s="104">
        <v>0</v>
      </c>
      <c r="AA111" s="104">
        <v>0</v>
      </c>
      <c r="AB111" s="104">
        <v>0</v>
      </c>
      <c r="AC111" s="104">
        <v>0</v>
      </c>
      <c r="AD111" s="104">
        <v>0</v>
      </c>
      <c r="AE111" s="104">
        <v>0</v>
      </c>
      <c r="AF111" s="104">
        <v>0</v>
      </c>
      <c r="AG111" s="104">
        <v>0</v>
      </c>
      <c r="AH111" s="104">
        <v>0</v>
      </c>
      <c r="AI111" s="104">
        <v>0</v>
      </c>
      <c r="AJ111" s="104">
        <v>0</v>
      </c>
      <c r="AK111" s="104">
        <v>0</v>
      </c>
      <c r="AL111" s="104">
        <v>0</v>
      </c>
      <c r="AM111" s="104">
        <v>0</v>
      </c>
      <c r="AN111" s="104">
        <v>0</v>
      </c>
      <c r="AO111" s="104">
        <v>0</v>
      </c>
      <c r="AP111" s="104">
        <v>0</v>
      </c>
      <c r="AQ111" s="104">
        <v>84.20501290389825</v>
      </c>
      <c r="AR111" s="104">
        <v>58.948994479519115</v>
      </c>
      <c r="AS111" s="104">
        <v>0</v>
      </c>
      <c r="AT111" s="104">
        <v>0</v>
      </c>
      <c r="AU111" s="104">
        <v>0</v>
      </c>
      <c r="AV111" s="104">
        <v>0</v>
      </c>
      <c r="AW111" s="104">
        <v>0</v>
      </c>
      <c r="AX111" s="104">
        <v>0</v>
      </c>
      <c r="AY111" s="104">
        <v>0</v>
      </c>
    </row>
    <row r="112" spans="1:52">
      <c r="A112" s="107"/>
      <c r="B112" s="117">
        <v>4</v>
      </c>
      <c r="C112" s="104">
        <v>0</v>
      </c>
      <c r="D112" s="104">
        <v>0</v>
      </c>
      <c r="E112" s="104">
        <v>0</v>
      </c>
      <c r="F112" s="104">
        <v>0</v>
      </c>
      <c r="G112" s="104">
        <v>0</v>
      </c>
      <c r="H112" s="104">
        <v>0</v>
      </c>
      <c r="I112" s="104">
        <v>0</v>
      </c>
      <c r="J112" s="104">
        <v>0</v>
      </c>
      <c r="K112" s="104">
        <v>0</v>
      </c>
      <c r="L112" s="104">
        <v>0</v>
      </c>
      <c r="M112" s="104">
        <v>0</v>
      </c>
      <c r="N112" s="104">
        <v>0</v>
      </c>
      <c r="O112" s="104">
        <v>0</v>
      </c>
      <c r="P112" s="104">
        <v>0</v>
      </c>
      <c r="Q112" s="104">
        <v>0</v>
      </c>
      <c r="R112" s="104">
        <v>0</v>
      </c>
      <c r="S112" s="104">
        <v>0</v>
      </c>
      <c r="T112" s="104">
        <v>0</v>
      </c>
      <c r="U112" s="104">
        <v>0</v>
      </c>
      <c r="V112" s="104">
        <v>0</v>
      </c>
      <c r="W112" s="104">
        <v>0</v>
      </c>
      <c r="X112" s="104">
        <v>0</v>
      </c>
      <c r="Y112" s="104">
        <v>0</v>
      </c>
      <c r="Z112" s="104">
        <v>0</v>
      </c>
      <c r="AA112" s="104">
        <v>0</v>
      </c>
      <c r="AB112" s="104">
        <v>0</v>
      </c>
      <c r="AC112" s="104">
        <v>0</v>
      </c>
      <c r="AD112" s="104">
        <v>0</v>
      </c>
      <c r="AE112" s="104">
        <v>0</v>
      </c>
      <c r="AF112" s="104">
        <v>0</v>
      </c>
      <c r="AG112" s="104">
        <v>0</v>
      </c>
      <c r="AH112" s="104">
        <v>0</v>
      </c>
      <c r="AI112" s="104">
        <v>0</v>
      </c>
      <c r="AJ112" s="104">
        <v>0</v>
      </c>
      <c r="AK112" s="104">
        <v>0</v>
      </c>
      <c r="AL112" s="104">
        <v>0</v>
      </c>
      <c r="AM112" s="104">
        <v>0</v>
      </c>
      <c r="AN112" s="104">
        <v>0</v>
      </c>
      <c r="AO112" s="104">
        <v>0</v>
      </c>
      <c r="AP112" s="104">
        <v>0</v>
      </c>
      <c r="AQ112" s="104">
        <v>0</v>
      </c>
      <c r="AR112" s="104">
        <v>0</v>
      </c>
      <c r="AS112" s="104">
        <v>0</v>
      </c>
      <c r="AT112" s="104">
        <v>0</v>
      </c>
      <c r="AU112" s="104">
        <v>0</v>
      </c>
      <c r="AV112" s="104">
        <v>0</v>
      </c>
      <c r="AW112" s="104">
        <v>0</v>
      </c>
      <c r="AX112" s="104">
        <v>0</v>
      </c>
      <c r="AY112" s="104">
        <v>0</v>
      </c>
    </row>
    <row r="113" spans="1:52">
      <c r="A113" s="107"/>
      <c r="B113" s="117">
        <v>5</v>
      </c>
      <c r="C113" s="104">
        <v>0</v>
      </c>
      <c r="D113" s="104">
        <v>0</v>
      </c>
      <c r="E113" s="104">
        <v>0</v>
      </c>
      <c r="F113" s="104">
        <v>0</v>
      </c>
      <c r="G113" s="104">
        <v>0</v>
      </c>
      <c r="H113" s="104">
        <v>0</v>
      </c>
      <c r="I113" s="104">
        <v>0</v>
      </c>
      <c r="J113" s="104">
        <v>0</v>
      </c>
      <c r="K113" s="104">
        <v>0</v>
      </c>
      <c r="L113" s="104">
        <v>0</v>
      </c>
      <c r="M113" s="104">
        <v>0</v>
      </c>
      <c r="N113" s="104">
        <v>0</v>
      </c>
      <c r="O113" s="104">
        <v>0</v>
      </c>
      <c r="P113" s="104">
        <v>0</v>
      </c>
      <c r="Q113" s="104">
        <v>0</v>
      </c>
      <c r="R113" s="104">
        <v>0</v>
      </c>
      <c r="S113" s="104">
        <v>0</v>
      </c>
      <c r="T113" s="104">
        <v>0</v>
      </c>
      <c r="U113" s="104">
        <v>0</v>
      </c>
      <c r="V113" s="104">
        <v>0</v>
      </c>
      <c r="W113" s="104">
        <v>0</v>
      </c>
      <c r="X113" s="104">
        <v>0</v>
      </c>
      <c r="Y113" s="104">
        <v>0</v>
      </c>
      <c r="Z113" s="104">
        <v>0</v>
      </c>
      <c r="AA113" s="104">
        <v>0</v>
      </c>
      <c r="AB113" s="104">
        <v>0</v>
      </c>
      <c r="AC113" s="104">
        <v>0</v>
      </c>
      <c r="AD113" s="104">
        <v>0</v>
      </c>
      <c r="AE113" s="104">
        <v>0</v>
      </c>
      <c r="AF113" s="104">
        <v>0</v>
      </c>
      <c r="AG113" s="104">
        <v>0</v>
      </c>
      <c r="AH113" s="104">
        <v>0</v>
      </c>
      <c r="AI113" s="104">
        <v>0</v>
      </c>
      <c r="AJ113" s="104">
        <v>0</v>
      </c>
      <c r="AK113" s="104">
        <v>0</v>
      </c>
      <c r="AL113" s="104">
        <v>0</v>
      </c>
      <c r="AM113" s="104">
        <v>0</v>
      </c>
      <c r="AN113" s="104">
        <v>0</v>
      </c>
      <c r="AO113" s="104">
        <v>0</v>
      </c>
      <c r="AP113" s="104">
        <v>0</v>
      </c>
      <c r="AQ113" s="104">
        <v>0</v>
      </c>
      <c r="AR113" s="104">
        <v>0</v>
      </c>
      <c r="AS113" s="104">
        <v>0</v>
      </c>
      <c r="AT113" s="104">
        <v>0</v>
      </c>
      <c r="AU113" s="104">
        <v>0</v>
      </c>
      <c r="AV113" s="104">
        <v>0</v>
      </c>
      <c r="AW113" s="104">
        <v>0</v>
      </c>
      <c r="AX113" s="104">
        <v>0</v>
      </c>
      <c r="AY113" s="104">
        <v>0</v>
      </c>
    </row>
    <row r="114" spans="1:52">
      <c r="A114" s="107"/>
      <c r="B114" s="117">
        <v>6</v>
      </c>
      <c r="C114" s="104">
        <v>0</v>
      </c>
      <c r="D114" s="104">
        <v>0</v>
      </c>
      <c r="E114" s="104">
        <v>0</v>
      </c>
      <c r="F114" s="104">
        <v>0</v>
      </c>
      <c r="G114" s="104">
        <v>0</v>
      </c>
      <c r="H114" s="104">
        <v>0</v>
      </c>
      <c r="I114" s="104">
        <v>0</v>
      </c>
      <c r="J114" s="104">
        <v>0</v>
      </c>
      <c r="K114" s="104">
        <v>0</v>
      </c>
      <c r="L114" s="104">
        <v>0</v>
      </c>
      <c r="M114" s="104">
        <v>0</v>
      </c>
      <c r="N114" s="104">
        <v>0</v>
      </c>
      <c r="O114" s="104">
        <v>0</v>
      </c>
      <c r="P114" s="104">
        <v>0</v>
      </c>
      <c r="Q114" s="104">
        <v>0</v>
      </c>
      <c r="R114" s="104">
        <v>0</v>
      </c>
      <c r="S114" s="104">
        <v>0</v>
      </c>
      <c r="T114" s="104">
        <v>0</v>
      </c>
      <c r="U114" s="104">
        <v>0</v>
      </c>
      <c r="V114" s="104">
        <v>0</v>
      </c>
      <c r="W114" s="104">
        <v>0</v>
      </c>
      <c r="X114" s="104">
        <v>0</v>
      </c>
      <c r="Y114" s="104">
        <v>0</v>
      </c>
      <c r="Z114" s="104">
        <v>0</v>
      </c>
      <c r="AA114" s="104">
        <v>0</v>
      </c>
      <c r="AB114" s="104">
        <v>0</v>
      </c>
      <c r="AC114" s="104">
        <v>0</v>
      </c>
      <c r="AD114" s="104">
        <v>0</v>
      </c>
      <c r="AE114" s="104">
        <v>0</v>
      </c>
      <c r="AF114" s="104">
        <v>0</v>
      </c>
      <c r="AG114" s="104">
        <v>0</v>
      </c>
      <c r="AH114" s="104">
        <v>0</v>
      </c>
      <c r="AI114" s="104">
        <v>0</v>
      </c>
      <c r="AJ114" s="104">
        <v>0</v>
      </c>
      <c r="AK114" s="104">
        <v>0</v>
      </c>
      <c r="AL114" s="104">
        <v>0</v>
      </c>
      <c r="AM114" s="104">
        <v>0</v>
      </c>
      <c r="AN114" s="104">
        <v>0</v>
      </c>
      <c r="AO114" s="104">
        <v>0</v>
      </c>
      <c r="AP114" s="104">
        <v>0</v>
      </c>
      <c r="AQ114" s="104">
        <v>0</v>
      </c>
      <c r="AR114" s="104">
        <v>0</v>
      </c>
      <c r="AS114" s="104">
        <v>0</v>
      </c>
      <c r="AT114" s="104">
        <v>0</v>
      </c>
      <c r="AU114" s="104">
        <v>0</v>
      </c>
      <c r="AV114" s="104">
        <v>0</v>
      </c>
      <c r="AW114" s="104">
        <v>0</v>
      </c>
      <c r="AX114" s="104">
        <v>0</v>
      </c>
      <c r="AY114" s="104">
        <v>0</v>
      </c>
    </row>
    <row r="115" spans="1:52">
      <c r="A115" s="107"/>
      <c r="B115" s="124">
        <v>7</v>
      </c>
      <c r="C115" s="104">
        <v>0</v>
      </c>
      <c r="D115" s="104">
        <v>0</v>
      </c>
      <c r="E115" s="104">
        <v>0</v>
      </c>
      <c r="F115" s="104">
        <v>0</v>
      </c>
      <c r="G115" s="104">
        <v>0</v>
      </c>
      <c r="H115" s="104">
        <v>0</v>
      </c>
      <c r="I115" s="104">
        <v>0</v>
      </c>
      <c r="J115" s="104">
        <v>0</v>
      </c>
      <c r="K115" s="104">
        <v>0</v>
      </c>
      <c r="L115" s="104">
        <v>0</v>
      </c>
      <c r="M115" s="104">
        <v>0</v>
      </c>
      <c r="N115" s="104">
        <v>0</v>
      </c>
      <c r="O115" s="104">
        <v>0</v>
      </c>
      <c r="P115" s="104">
        <v>0</v>
      </c>
      <c r="Q115" s="104">
        <v>0</v>
      </c>
      <c r="R115" s="104">
        <v>0</v>
      </c>
      <c r="S115" s="104">
        <v>0</v>
      </c>
      <c r="T115" s="104">
        <v>0</v>
      </c>
      <c r="U115" s="104">
        <v>0</v>
      </c>
      <c r="V115" s="104">
        <v>0</v>
      </c>
      <c r="W115" s="104">
        <v>0</v>
      </c>
      <c r="X115" s="104">
        <v>0</v>
      </c>
      <c r="Y115" s="104">
        <v>0</v>
      </c>
      <c r="Z115" s="104">
        <v>0</v>
      </c>
      <c r="AA115" s="104">
        <v>0</v>
      </c>
      <c r="AB115" s="104">
        <v>0</v>
      </c>
      <c r="AC115" s="104">
        <v>0</v>
      </c>
      <c r="AD115" s="104">
        <v>0</v>
      </c>
      <c r="AE115" s="104">
        <v>0</v>
      </c>
      <c r="AF115" s="104">
        <v>0</v>
      </c>
      <c r="AG115" s="104">
        <v>0</v>
      </c>
      <c r="AH115" s="104">
        <v>0</v>
      </c>
      <c r="AI115" s="104">
        <v>0</v>
      </c>
      <c r="AJ115" s="104">
        <v>0</v>
      </c>
      <c r="AK115" s="104">
        <v>0</v>
      </c>
      <c r="AL115" s="104">
        <v>0</v>
      </c>
      <c r="AM115" s="104">
        <v>0</v>
      </c>
      <c r="AN115" s="104">
        <v>0</v>
      </c>
      <c r="AO115" s="104">
        <v>0</v>
      </c>
      <c r="AP115" s="104">
        <v>0</v>
      </c>
      <c r="AQ115" s="104">
        <v>0</v>
      </c>
      <c r="AR115" s="104">
        <v>0</v>
      </c>
      <c r="AS115" s="104">
        <v>0</v>
      </c>
      <c r="AT115" s="104">
        <v>0</v>
      </c>
      <c r="AU115" s="104">
        <v>0</v>
      </c>
      <c r="AV115" s="104">
        <v>0</v>
      </c>
      <c r="AW115" s="104">
        <v>0</v>
      </c>
      <c r="AX115" s="104">
        <v>0</v>
      </c>
      <c r="AY115" s="104">
        <v>0</v>
      </c>
    </row>
    <row r="116" spans="1:52">
      <c r="A116" s="107"/>
      <c r="B116" s="124">
        <v>8</v>
      </c>
      <c r="C116" s="104">
        <v>0</v>
      </c>
      <c r="D116" s="104">
        <v>0</v>
      </c>
      <c r="E116" s="104">
        <v>0</v>
      </c>
      <c r="F116" s="104">
        <v>0</v>
      </c>
      <c r="G116" s="104">
        <v>0</v>
      </c>
      <c r="H116" s="104">
        <v>0</v>
      </c>
      <c r="I116" s="104">
        <v>0</v>
      </c>
      <c r="J116" s="104">
        <v>0</v>
      </c>
      <c r="K116" s="104">
        <v>0</v>
      </c>
      <c r="L116" s="104">
        <v>0</v>
      </c>
      <c r="M116" s="104">
        <v>0</v>
      </c>
      <c r="N116" s="104">
        <v>0</v>
      </c>
      <c r="O116" s="104">
        <v>0</v>
      </c>
      <c r="P116" s="104">
        <v>0</v>
      </c>
      <c r="Q116" s="104">
        <v>0</v>
      </c>
      <c r="R116" s="104">
        <v>0</v>
      </c>
      <c r="S116" s="104">
        <v>0</v>
      </c>
      <c r="T116" s="104">
        <v>0</v>
      </c>
      <c r="U116" s="104">
        <v>0</v>
      </c>
      <c r="V116" s="104">
        <v>0</v>
      </c>
      <c r="W116" s="104">
        <v>0</v>
      </c>
      <c r="X116" s="104">
        <v>0</v>
      </c>
      <c r="Y116" s="104">
        <v>0</v>
      </c>
      <c r="Z116" s="104">
        <v>0</v>
      </c>
      <c r="AA116" s="104">
        <v>0</v>
      </c>
      <c r="AB116" s="104">
        <v>0</v>
      </c>
      <c r="AC116" s="104">
        <v>0</v>
      </c>
      <c r="AD116" s="104">
        <v>0</v>
      </c>
      <c r="AE116" s="104">
        <v>0</v>
      </c>
      <c r="AF116" s="104">
        <v>0</v>
      </c>
      <c r="AG116" s="104">
        <v>0</v>
      </c>
      <c r="AH116" s="104">
        <v>0</v>
      </c>
      <c r="AI116" s="104">
        <v>0</v>
      </c>
      <c r="AJ116" s="104">
        <v>0</v>
      </c>
      <c r="AK116" s="104">
        <v>0</v>
      </c>
      <c r="AL116" s="104">
        <v>0</v>
      </c>
      <c r="AM116" s="104">
        <v>0</v>
      </c>
      <c r="AN116" s="104">
        <v>0</v>
      </c>
      <c r="AO116" s="104">
        <v>0</v>
      </c>
      <c r="AP116" s="104">
        <v>0</v>
      </c>
      <c r="AQ116" s="104">
        <v>0</v>
      </c>
      <c r="AR116" s="104">
        <v>0</v>
      </c>
      <c r="AS116" s="104">
        <v>0</v>
      </c>
      <c r="AT116" s="104">
        <v>0</v>
      </c>
      <c r="AU116" s="104">
        <v>0</v>
      </c>
      <c r="AV116" s="104">
        <v>0</v>
      </c>
      <c r="AW116" s="104">
        <v>0</v>
      </c>
      <c r="AX116" s="104">
        <v>0</v>
      </c>
      <c r="AY116" s="104">
        <v>0</v>
      </c>
    </row>
    <row r="117" spans="1:52">
      <c r="A117" s="107"/>
      <c r="B117" s="124">
        <v>9</v>
      </c>
      <c r="C117" s="104">
        <v>0</v>
      </c>
      <c r="D117" s="104">
        <v>0</v>
      </c>
      <c r="E117" s="104">
        <v>0</v>
      </c>
      <c r="F117" s="104">
        <v>0</v>
      </c>
      <c r="G117" s="104">
        <v>0</v>
      </c>
      <c r="H117" s="104">
        <v>0</v>
      </c>
      <c r="I117" s="104">
        <v>0</v>
      </c>
      <c r="J117" s="104">
        <v>0</v>
      </c>
      <c r="K117" s="104">
        <v>0</v>
      </c>
      <c r="L117" s="104">
        <v>0</v>
      </c>
      <c r="M117" s="104">
        <v>0</v>
      </c>
      <c r="N117" s="104">
        <v>0</v>
      </c>
      <c r="O117" s="104">
        <v>0</v>
      </c>
      <c r="P117" s="104">
        <v>0</v>
      </c>
      <c r="Q117" s="104">
        <v>0</v>
      </c>
      <c r="R117" s="104">
        <v>0</v>
      </c>
      <c r="S117" s="104">
        <v>0</v>
      </c>
      <c r="T117" s="104">
        <v>0</v>
      </c>
      <c r="U117" s="104">
        <v>0</v>
      </c>
      <c r="V117" s="104">
        <v>0</v>
      </c>
      <c r="W117" s="104">
        <v>0</v>
      </c>
      <c r="X117" s="104">
        <v>0</v>
      </c>
      <c r="Y117" s="104">
        <v>0</v>
      </c>
      <c r="Z117" s="104">
        <v>0</v>
      </c>
      <c r="AA117" s="104">
        <v>0</v>
      </c>
      <c r="AB117" s="104">
        <v>0</v>
      </c>
      <c r="AC117" s="104">
        <v>0</v>
      </c>
      <c r="AD117" s="104">
        <v>0</v>
      </c>
      <c r="AE117" s="104">
        <v>0</v>
      </c>
      <c r="AF117" s="104">
        <v>0</v>
      </c>
      <c r="AG117" s="104">
        <v>0</v>
      </c>
      <c r="AH117" s="104">
        <v>0</v>
      </c>
      <c r="AI117" s="104">
        <v>0</v>
      </c>
      <c r="AJ117" s="104">
        <v>0</v>
      </c>
      <c r="AK117" s="104">
        <v>0</v>
      </c>
      <c r="AL117" s="104">
        <v>0</v>
      </c>
      <c r="AM117" s="104">
        <v>0</v>
      </c>
      <c r="AN117" s="104">
        <v>0</v>
      </c>
      <c r="AO117" s="104">
        <v>0</v>
      </c>
      <c r="AP117" s="104">
        <v>0</v>
      </c>
      <c r="AQ117" s="104">
        <v>0</v>
      </c>
      <c r="AR117" s="104">
        <v>0</v>
      </c>
      <c r="AS117" s="104">
        <v>0</v>
      </c>
      <c r="AT117" s="104">
        <v>0</v>
      </c>
      <c r="AU117" s="104">
        <v>0</v>
      </c>
      <c r="AV117" s="104">
        <v>0</v>
      </c>
      <c r="AW117" s="104">
        <v>0</v>
      </c>
      <c r="AX117" s="104">
        <v>0</v>
      </c>
      <c r="AY117" s="104">
        <v>0</v>
      </c>
    </row>
    <row r="118" spans="1:52">
      <c r="A118" s="107"/>
      <c r="B118" s="127">
        <v>10</v>
      </c>
      <c r="C118" s="104">
        <v>0</v>
      </c>
      <c r="D118" s="104">
        <v>0</v>
      </c>
      <c r="E118" s="104">
        <v>0</v>
      </c>
      <c r="F118" s="104">
        <v>0</v>
      </c>
      <c r="G118" s="104">
        <v>0</v>
      </c>
      <c r="H118" s="104">
        <v>0</v>
      </c>
      <c r="I118" s="104">
        <v>0</v>
      </c>
      <c r="J118" s="104">
        <v>0</v>
      </c>
      <c r="K118" s="104">
        <v>0</v>
      </c>
      <c r="L118" s="104">
        <v>0</v>
      </c>
      <c r="M118" s="104">
        <v>0</v>
      </c>
      <c r="N118" s="104">
        <v>0</v>
      </c>
      <c r="O118" s="104">
        <v>0</v>
      </c>
      <c r="P118" s="104">
        <v>0</v>
      </c>
      <c r="Q118" s="104">
        <v>0</v>
      </c>
      <c r="R118" s="104">
        <v>0</v>
      </c>
      <c r="S118" s="104">
        <v>0</v>
      </c>
      <c r="T118" s="104">
        <v>0</v>
      </c>
      <c r="U118" s="104">
        <v>0</v>
      </c>
      <c r="V118" s="104">
        <v>0</v>
      </c>
      <c r="W118" s="104">
        <v>0</v>
      </c>
      <c r="X118" s="104">
        <v>0</v>
      </c>
      <c r="Y118" s="104">
        <v>0</v>
      </c>
      <c r="Z118" s="104">
        <v>0</v>
      </c>
      <c r="AA118" s="104">
        <v>0</v>
      </c>
      <c r="AB118" s="104">
        <v>0</v>
      </c>
      <c r="AC118" s="104">
        <v>0</v>
      </c>
      <c r="AD118" s="104">
        <v>0</v>
      </c>
      <c r="AE118" s="104">
        <v>0</v>
      </c>
      <c r="AF118" s="104">
        <v>0</v>
      </c>
      <c r="AG118" s="104">
        <v>0</v>
      </c>
      <c r="AH118" s="104">
        <v>0</v>
      </c>
      <c r="AI118" s="104">
        <v>0</v>
      </c>
      <c r="AJ118" s="104">
        <v>0</v>
      </c>
      <c r="AK118" s="104">
        <v>0</v>
      </c>
      <c r="AL118" s="104">
        <v>0</v>
      </c>
      <c r="AM118" s="104">
        <v>0</v>
      </c>
      <c r="AN118" s="104">
        <v>0</v>
      </c>
      <c r="AO118" s="104">
        <v>0</v>
      </c>
      <c r="AP118" s="104">
        <v>0</v>
      </c>
      <c r="AQ118" s="104">
        <v>0</v>
      </c>
      <c r="AR118" s="104">
        <v>0</v>
      </c>
      <c r="AS118" s="104">
        <v>0</v>
      </c>
      <c r="AT118" s="104">
        <v>0</v>
      </c>
      <c r="AU118" s="104">
        <v>0</v>
      </c>
      <c r="AV118" s="104">
        <v>0</v>
      </c>
      <c r="AW118" s="104">
        <v>0</v>
      </c>
      <c r="AX118" s="104">
        <v>0</v>
      </c>
      <c r="AY118" s="104">
        <v>0</v>
      </c>
    </row>
    <row r="119" spans="1:52">
      <c r="A119" s="107"/>
      <c r="B119" s="127">
        <v>11</v>
      </c>
      <c r="C119" s="104">
        <v>0</v>
      </c>
      <c r="D119" s="104">
        <v>0</v>
      </c>
      <c r="E119" s="104">
        <v>0</v>
      </c>
      <c r="F119" s="104">
        <v>0</v>
      </c>
      <c r="G119" s="104">
        <v>0</v>
      </c>
      <c r="H119" s="104">
        <v>0</v>
      </c>
      <c r="I119" s="104">
        <v>0</v>
      </c>
      <c r="J119" s="104">
        <v>0</v>
      </c>
      <c r="K119" s="104">
        <v>0</v>
      </c>
      <c r="L119" s="104">
        <v>0</v>
      </c>
      <c r="M119" s="104">
        <v>0</v>
      </c>
      <c r="N119" s="104">
        <v>0</v>
      </c>
      <c r="O119" s="104">
        <v>0</v>
      </c>
      <c r="P119" s="104">
        <v>0</v>
      </c>
      <c r="Q119" s="104">
        <v>0</v>
      </c>
      <c r="R119" s="104">
        <v>0</v>
      </c>
      <c r="S119" s="104">
        <v>0</v>
      </c>
      <c r="T119" s="104">
        <v>0</v>
      </c>
      <c r="U119" s="104">
        <v>0</v>
      </c>
      <c r="V119" s="104">
        <v>0</v>
      </c>
      <c r="W119" s="104">
        <v>0</v>
      </c>
      <c r="X119" s="104">
        <v>0</v>
      </c>
      <c r="Y119" s="104">
        <v>0</v>
      </c>
      <c r="Z119" s="104">
        <v>0</v>
      </c>
      <c r="AA119" s="104">
        <v>0</v>
      </c>
      <c r="AB119" s="104">
        <v>0</v>
      </c>
      <c r="AC119" s="104">
        <v>0</v>
      </c>
      <c r="AD119" s="104">
        <v>0</v>
      </c>
      <c r="AE119" s="104">
        <v>0</v>
      </c>
      <c r="AF119" s="104">
        <v>0</v>
      </c>
      <c r="AG119" s="104">
        <v>0</v>
      </c>
      <c r="AH119" s="104">
        <v>0</v>
      </c>
      <c r="AI119" s="104">
        <v>0</v>
      </c>
      <c r="AJ119" s="104">
        <v>0</v>
      </c>
      <c r="AK119" s="104">
        <v>0</v>
      </c>
      <c r="AL119" s="104">
        <v>0</v>
      </c>
      <c r="AM119" s="104">
        <v>0</v>
      </c>
      <c r="AN119" s="104">
        <v>0</v>
      </c>
      <c r="AO119" s="104">
        <v>0</v>
      </c>
      <c r="AP119" s="104">
        <v>0</v>
      </c>
      <c r="AQ119" s="104">
        <v>0</v>
      </c>
      <c r="AR119" s="104">
        <v>0</v>
      </c>
      <c r="AS119" s="104">
        <v>0</v>
      </c>
      <c r="AT119" s="104">
        <v>0</v>
      </c>
      <c r="AU119" s="104">
        <v>0</v>
      </c>
      <c r="AV119" s="104">
        <v>0</v>
      </c>
      <c r="AW119" s="104">
        <v>0</v>
      </c>
      <c r="AX119" s="104">
        <v>0</v>
      </c>
      <c r="AY119" s="104">
        <v>0</v>
      </c>
    </row>
    <row r="120" spans="1:52">
      <c r="A120" s="107"/>
      <c r="B120" s="127">
        <v>12</v>
      </c>
      <c r="C120" s="104">
        <v>0</v>
      </c>
      <c r="D120" s="104">
        <v>0</v>
      </c>
      <c r="E120" s="104">
        <v>0</v>
      </c>
      <c r="F120" s="104">
        <v>0</v>
      </c>
      <c r="G120" s="104">
        <v>0</v>
      </c>
      <c r="H120" s="104">
        <v>0</v>
      </c>
      <c r="I120" s="104">
        <v>0</v>
      </c>
      <c r="J120" s="104">
        <v>0</v>
      </c>
      <c r="K120" s="104">
        <v>0</v>
      </c>
      <c r="L120" s="104">
        <v>0</v>
      </c>
      <c r="M120" s="104">
        <v>0</v>
      </c>
      <c r="N120" s="104">
        <v>0</v>
      </c>
      <c r="O120" s="104">
        <v>0</v>
      </c>
      <c r="P120" s="104">
        <v>0</v>
      </c>
      <c r="Q120" s="104">
        <v>0</v>
      </c>
      <c r="R120" s="104">
        <v>0</v>
      </c>
      <c r="S120" s="104">
        <v>0</v>
      </c>
      <c r="T120" s="104">
        <v>0</v>
      </c>
      <c r="U120" s="104">
        <v>0</v>
      </c>
      <c r="V120" s="104">
        <v>0</v>
      </c>
      <c r="W120" s="104">
        <v>0</v>
      </c>
      <c r="X120" s="104">
        <v>0</v>
      </c>
      <c r="Y120" s="104">
        <v>0</v>
      </c>
      <c r="Z120" s="104">
        <v>0</v>
      </c>
      <c r="AA120" s="104">
        <v>0</v>
      </c>
      <c r="AB120" s="104">
        <v>0</v>
      </c>
      <c r="AC120" s="104">
        <v>0</v>
      </c>
      <c r="AD120" s="104">
        <v>0</v>
      </c>
      <c r="AE120" s="104">
        <v>0</v>
      </c>
      <c r="AF120" s="104">
        <v>0</v>
      </c>
      <c r="AG120" s="104">
        <v>0</v>
      </c>
      <c r="AH120" s="104">
        <v>0</v>
      </c>
      <c r="AI120" s="104">
        <v>0</v>
      </c>
      <c r="AJ120" s="104">
        <v>0</v>
      </c>
      <c r="AK120" s="104">
        <v>0</v>
      </c>
      <c r="AL120" s="104">
        <v>0</v>
      </c>
      <c r="AM120" s="104">
        <v>0</v>
      </c>
      <c r="AN120" s="104">
        <v>0</v>
      </c>
      <c r="AO120" s="104">
        <v>0</v>
      </c>
      <c r="AP120" s="104">
        <v>0</v>
      </c>
      <c r="AQ120" s="104">
        <v>0</v>
      </c>
      <c r="AR120" s="104">
        <v>0</v>
      </c>
      <c r="AS120" s="104">
        <v>0</v>
      </c>
      <c r="AT120" s="104">
        <v>0</v>
      </c>
      <c r="AU120" s="104">
        <v>0</v>
      </c>
      <c r="AV120" s="104">
        <v>0</v>
      </c>
      <c r="AW120" s="104">
        <v>0</v>
      </c>
      <c r="AX120" s="104">
        <v>0</v>
      </c>
      <c r="AY120" s="104">
        <v>0</v>
      </c>
    </row>
    <row r="121" spans="1:52">
      <c r="A121" s="125"/>
      <c r="B121" s="129" t="s">
        <v>296</v>
      </c>
      <c r="C121" s="111">
        <v>0</v>
      </c>
      <c r="D121" s="122">
        <v>0</v>
      </c>
      <c r="E121" s="122">
        <v>0</v>
      </c>
      <c r="F121" s="122">
        <v>0</v>
      </c>
      <c r="G121" s="122">
        <v>0</v>
      </c>
      <c r="H121" s="122">
        <v>0</v>
      </c>
      <c r="I121" s="122">
        <v>0</v>
      </c>
      <c r="J121" s="122">
        <v>0</v>
      </c>
      <c r="K121" s="122">
        <v>0</v>
      </c>
      <c r="L121" s="122">
        <v>0</v>
      </c>
      <c r="M121" s="122">
        <v>0</v>
      </c>
      <c r="N121" s="122">
        <v>0</v>
      </c>
      <c r="O121" s="122">
        <v>0</v>
      </c>
      <c r="P121" s="122">
        <v>0</v>
      </c>
      <c r="Q121" s="122">
        <v>0</v>
      </c>
      <c r="R121" s="122">
        <v>0</v>
      </c>
      <c r="S121" s="122">
        <v>0</v>
      </c>
      <c r="T121" s="122">
        <v>0</v>
      </c>
      <c r="U121" s="122">
        <v>0</v>
      </c>
      <c r="V121" s="122">
        <v>0</v>
      </c>
      <c r="W121" s="122">
        <v>0</v>
      </c>
      <c r="X121" s="122">
        <v>0</v>
      </c>
      <c r="Y121" s="122">
        <v>0</v>
      </c>
      <c r="Z121" s="122">
        <v>0</v>
      </c>
      <c r="AA121" s="122">
        <v>0</v>
      </c>
      <c r="AB121" s="122">
        <v>0</v>
      </c>
      <c r="AC121" s="122">
        <v>0</v>
      </c>
      <c r="AD121" s="122">
        <v>0</v>
      </c>
      <c r="AE121" s="122">
        <v>0</v>
      </c>
      <c r="AF121" s="122">
        <v>0</v>
      </c>
      <c r="AG121" s="122">
        <v>0</v>
      </c>
      <c r="AH121" s="122">
        <v>0</v>
      </c>
      <c r="AI121" s="122">
        <v>0</v>
      </c>
      <c r="AJ121" s="122">
        <v>0</v>
      </c>
      <c r="AK121" s="122">
        <v>0</v>
      </c>
      <c r="AL121" s="122">
        <v>0</v>
      </c>
      <c r="AM121" s="122">
        <v>0</v>
      </c>
      <c r="AN121" s="122">
        <v>0</v>
      </c>
      <c r="AO121" s="122">
        <v>0</v>
      </c>
      <c r="AP121" s="122">
        <v>0</v>
      </c>
      <c r="AQ121" s="122">
        <v>0</v>
      </c>
      <c r="AR121" s="122">
        <v>0</v>
      </c>
      <c r="AS121" s="122">
        <v>0</v>
      </c>
      <c r="AT121" s="122">
        <v>0</v>
      </c>
      <c r="AU121" s="122">
        <v>0</v>
      </c>
      <c r="AV121" s="122">
        <v>0</v>
      </c>
      <c r="AW121" s="122">
        <v>0</v>
      </c>
      <c r="AX121" s="122">
        <v>0</v>
      </c>
      <c r="AY121" s="122">
        <v>0</v>
      </c>
      <c r="AZ121" s="105">
        <f>SUM($D121:$AY121)</f>
        <v>0</v>
      </c>
    </row>
    <row r="122" spans="1:52">
      <c r="A122" s="128" t="s">
        <v>123</v>
      </c>
      <c r="B122" s="116">
        <v>1</v>
      </c>
      <c r="C122" s="104">
        <v>875.5507898228891</v>
      </c>
      <c r="D122" s="104">
        <v>409.3782032178234</v>
      </c>
      <c r="E122" s="104">
        <v>882.39841772480827</v>
      </c>
      <c r="F122" s="104">
        <v>406.88185842309406</v>
      </c>
      <c r="G122" s="104">
        <v>860.94834778725613</v>
      </c>
      <c r="H122" s="104">
        <v>406.88185842309406</v>
      </c>
      <c r="I122" s="104">
        <v>168.28325893728646</v>
      </c>
      <c r="J122" s="104">
        <v>1553.6134366372257</v>
      </c>
      <c r="K122" s="104">
        <v>860.94834778725613</v>
      </c>
      <c r="L122" s="104">
        <v>860.94834778725601</v>
      </c>
      <c r="M122" s="104">
        <v>168.28325893728646</v>
      </c>
      <c r="N122" s="104">
        <v>406.88185842309406</v>
      </c>
      <c r="O122" s="104">
        <v>860.94834778725613</v>
      </c>
      <c r="P122" s="104">
        <v>860.94834778725601</v>
      </c>
      <c r="Q122" s="104">
        <v>860.94834778725613</v>
      </c>
      <c r="R122" s="104">
        <v>860.94834778725601</v>
      </c>
      <c r="S122" s="104">
        <v>860.94834778725613</v>
      </c>
      <c r="T122" s="104">
        <v>406.88185842309406</v>
      </c>
      <c r="U122" s="104">
        <v>168.28325893728646</v>
      </c>
      <c r="V122" s="104">
        <v>1425.9125611921029</v>
      </c>
      <c r="W122" s="104">
        <v>733.24747234213305</v>
      </c>
      <c r="X122" s="104">
        <v>733.24747234213316</v>
      </c>
      <c r="Y122" s="104">
        <v>733.24747234213305</v>
      </c>
      <c r="Z122" s="104">
        <v>406.88185842309406</v>
      </c>
      <c r="AA122" s="104">
        <v>860.94834778725613</v>
      </c>
      <c r="AB122" s="104">
        <v>860.94834778725601</v>
      </c>
      <c r="AC122" s="104">
        <v>860.94834778725613</v>
      </c>
      <c r="AD122" s="104">
        <v>406.88185842309406</v>
      </c>
      <c r="AE122" s="104">
        <v>988.64922323237943</v>
      </c>
      <c r="AF122" s="104">
        <v>988.64922323237931</v>
      </c>
      <c r="AG122" s="104">
        <v>168.28325893728646</v>
      </c>
      <c r="AH122" s="104">
        <v>1809.0151875274723</v>
      </c>
      <c r="AI122" s="104">
        <v>988.64922323237943</v>
      </c>
      <c r="AJ122" s="104">
        <v>988.64922323237931</v>
      </c>
      <c r="AK122" s="104">
        <v>168.28325893728646</v>
      </c>
      <c r="AL122" s="104">
        <v>406.88185842309406</v>
      </c>
      <c r="AM122" s="104">
        <v>860.94834778725613</v>
      </c>
      <c r="AN122" s="104">
        <v>860.94834778725601</v>
      </c>
      <c r="AO122" s="104">
        <v>860.94834778725613</v>
      </c>
      <c r="AP122" s="104">
        <v>406.88185842309406</v>
      </c>
      <c r="AQ122" s="104">
        <v>168.28325893728646</v>
      </c>
      <c r="AR122" s="104">
        <v>860.94834778725601</v>
      </c>
      <c r="AS122" s="104">
        <v>860.94834778725613</v>
      </c>
      <c r="AT122" s="104">
        <v>733.24747234213316</v>
      </c>
      <c r="AU122" s="104">
        <v>733.24747234213305</v>
      </c>
      <c r="AV122" s="104">
        <v>406.88185842309429</v>
      </c>
      <c r="AW122" s="104">
        <v>168.28325893728646</v>
      </c>
      <c r="AX122" s="104">
        <v>988.64922323237931</v>
      </c>
      <c r="AY122" s="104">
        <v>988.64922323237943</v>
      </c>
    </row>
    <row r="123" spans="1:52">
      <c r="A123" s="107"/>
      <c r="B123" s="116">
        <v>2</v>
      </c>
      <c r="C123" s="104">
        <v>473.31158432219155</v>
      </c>
      <c r="D123" s="104">
        <v>79.48273296490828</v>
      </c>
      <c r="E123" s="104">
        <v>0</v>
      </c>
      <c r="F123" s="104">
        <v>0</v>
      </c>
      <c r="G123" s="104">
        <v>0</v>
      </c>
      <c r="H123" s="104">
        <v>0</v>
      </c>
      <c r="I123" s="104">
        <v>454.0664893641619</v>
      </c>
      <c r="J123" s="104">
        <v>0</v>
      </c>
      <c r="K123" s="104">
        <v>214.16977936245735</v>
      </c>
      <c r="L123" s="104">
        <v>0</v>
      </c>
      <c r="M123" s="104">
        <v>0</v>
      </c>
      <c r="N123" s="104">
        <v>692.66508884996961</v>
      </c>
      <c r="O123" s="104">
        <v>454.0664893641619</v>
      </c>
      <c r="P123" s="104">
        <v>151.05212643157535</v>
      </c>
      <c r="Q123" s="104">
        <v>50.188830822725265</v>
      </c>
      <c r="R123" s="104">
        <v>0</v>
      </c>
      <c r="S123" s="104">
        <v>0</v>
      </c>
      <c r="T123" s="104">
        <v>0</v>
      </c>
      <c r="U123" s="104">
        <v>454.0664893641619</v>
      </c>
      <c r="V123" s="104">
        <v>0</v>
      </c>
      <c r="W123" s="104">
        <v>76.072464782036377</v>
      </c>
      <c r="X123" s="104">
        <v>5.6843418860808015E-14</v>
      </c>
      <c r="Y123" s="104">
        <v>0</v>
      </c>
      <c r="Z123" s="104">
        <v>0</v>
      </c>
      <c r="AA123" s="104">
        <v>454.0664893641619</v>
      </c>
      <c r="AB123" s="104">
        <v>72.862834118154126</v>
      </c>
      <c r="AC123" s="104">
        <v>13.980314234620835</v>
      </c>
      <c r="AD123" s="104">
        <v>0</v>
      </c>
      <c r="AE123" s="104">
        <v>581.76736480928525</v>
      </c>
      <c r="AF123" s="104">
        <v>115.48643931722552</v>
      </c>
      <c r="AG123" s="104">
        <v>59.282408871006965</v>
      </c>
      <c r="AH123" s="104">
        <v>0</v>
      </c>
      <c r="AI123" s="104">
        <v>283.9276937284335</v>
      </c>
      <c r="AJ123" s="104">
        <v>217.51972039327563</v>
      </c>
      <c r="AK123" s="104">
        <v>186.97240535937544</v>
      </c>
      <c r="AL123" s="104">
        <v>1.4210854715202004E-14</v>
      </c>
      <c r="AM123" s="104">
        <v>454.0664893641619</v>
      </c>
      <c r="AN123" s="104">
        <v>486.78339691432166</v>
      </c>
      <c r="AO123" s="104">
        <v>123.73404087784627</v>
      </c>
      <c r="AP123" s="104">
        <v>5.6843418860808015E-14</v>
      </c>
      <c r="AQ123" s="104">
        <v>0</v>
      </c>
      <c r="AR123" s="104">
        <v>0</v>
      </c>
      <c r="AS123" s="104">
        <v>5.6843418860808015E-14</v>
      </c>
      <c r="AT123" s="104">
        <v>331.41881353476992</v>
      </c>
      <c r="AU123" s="104">
        <v>15.966276549935117</v>
      </c>
      <c r="AV123" s="104">
        <v>0</v>
      </c>
      <c r="AW123" s="104">
        <v>326.36561391903894</v>
      </c>
      <c r="AX123" s="104">
        <v>564.96421340484665</v>
      </c>
      <c r="AY123" s="104">
        <v>89.422315142616696</v>
      </c>
    </row>
    <row r="124" spans="1:52">
      <c r="A124" s="107"/>
      <c r="B124" s="116">
        <v>3</v>
      </c>
      <c r="C124" s="104">
        <v>0</v>
      </c>
      <c r="D124" s="104">
        <v>0</v>
      </c>
      <c r="E124" s="104">
        <v>0</v>
      </c>
      <c r="F124" s="104">
        <v>473.31158432219161</v>
      </c>
      <c r="G124" s="104">
        <v>0</v>
      </c>
      <c r="H124" s="104">
        <v>454.06648936416195</v>
      </c>
      <c r="I124" s="104">
        <v>0</v>
      </c>
      <c r="J124" s="104">
        <v>0</v>
      </c>
      <c r="K124" s="104">
        <v>0</v>
      </c>
      <c r="L124" s="104">
        <v>0</v>
      </c>
      <c r="M124" s="104">
        <v>0</v>
      </c>
      <c r="N124" s="104">
        <v>0</v>
      </c>
      <c r="O124" s="104">
        <v>0</v>
      </c>
      <c r="P124" s="104">
        <v>0</v>
      </c>
      <c r="Q124" s="104">
        <v>0</v>
      </c>
      <c r="R124" s="104">
        <v>0</v>
      </c>
      <c r="S124" s="104">
        <v>0</v>
      </c>
      <c r="T124" s="104">
        <v>0</v>
      </c>
      <c r="U124" s="104">
        <v>0</v>
      </c>
      <c r="V124" s="104">
        <v>0</v>
      </c>
      <c r="W124" s="104">
        <v>0</v>
      </c>
      <c r="X124" s="104">
        <v>0</v>
      </c>
      <c r="Y124" s="104">
        <v>0</v>
      </c>
      <c r="Z124" s="104">
        <v>0</v>
      </c>
      <c r="AA124" s="104">
        <v>0</v>
      </c>
      <c r="AB124" s="104">
        <v>0</v>
      </c>
      <c r="AC124" s="104">
        <v>0</v>
      </c>
      <c r="AD124" s="104">
        <v>0</v>
      </c>
      <c r="AE124" s="104">
        <v>0</v>
      </c>
      <c r="AF124" s="104">
        <v>0</v>
      </c>
      <c r="AG124" s="104">
        <v>0</v>
      </c>
      <c r="AH124" s="104">
        <v>0</v>
      </c>
      <c r="AI124" s="104">
        <v>0</v>
      </c>
      <c r="AJ124" s="104">
        <v>0</v>
      </c>
      <c r="AK124" s="104">
        <v>0</v>
      </c>
      <c r="AL124" s="104">
        <v>0</v>
      </c>
      <c r="AM124" s="104">
        <v>820.36596429509291</v>
      </c>
      <c r="AN124" s="104">
        <v>63.178752289587521</v>
      </c>
      <c r="AO124" s="104">
        <v>0</v>
      </c>
      <c r="AP124" s="104">
        <v>0</v>
      </c>
      <c r="AQ124" s="104">
        <v>0</v>
      </c>
      <c r="AR124" s="104">
        <v>454.06648936416195</v>
      </c>
      <c r="AS124" s="104">
        <v>692.66508884996961</v>
      </c>
      <c r="AT124" s="104">
        <v>0</v>
      </c>
      <c r="AU124" s="104">
        <v>0</v>
      </c>
      <c r="AV124" s="104">
        <v>0</v>
      </c>
      <c r="AW124" s="104">
        <v>0</v>
      </c>
      <c r="AX124" s="104">
        <v>0</v>
      </c>
      <c r="AY124" s="104">
        <v>0</v>
      </c>
    </row>
    <row r="125" spans="1:52">
      <c r="A125" s="107"/>
      <c r="B125" s="116">
        <v>4</v>
      </c>
      <c r="C125" s="104">
        <v>0</v>
      </c>
      <c r="D125" s="104">
        <v>0</v>
      </c>
      <c r="E125" s="104">
        <v>0</v>
      </c>
      <c r="F125" s="104">
        <v>0</v>
      </c>
      <c r="G125" s="104">
        <v>0</v>
      </c>
      <c r="H125" s="104">
        <v>0</v>
      </c>
      <c r="I125" s="104">
        <v>0</v>
      </c>
      <c r="J125" s="104">
        <v>0</v>
      </c>
      <c r="K125" s="104">
        <v>0</v>
      </c>
      <c r="L125" s="104">
        <v>0</v>
      </c>
      <c r="M125" s="104">
        <v>0</v>
      </c>
      <c r="N125" s="104">
        <v>0</v>
      </c>
      <c r="O125" s="104">
        <v>0</v>
      </c>
      <c r="P125" s="104">
        <v>0</v>
      </c>
      <c r="Q125" s="104">
        <v>0</v>
      </c>
      <c r="R125" s="104">
        <v>0</v>
      </c>
      <c r="S125" s="104">
        <v>0</v>
      </c>
      <c r="T125" s="104">
        <v>0</v>
      </c>
      <c r="U125" s="104">
        <v>0</v>
      </c>
      <c r="V125" s="104">
        <v>0</v>
      </c>
      <c r="W125" s="104">
        <v>0</v>
      </c>
      <c r="X125" s="104">
        <v>0</v>
      </c>
      <c r="Y125" s="104">
        <v>0</v>
      </c>
      <c r="Z125" s="104">
        <v>0</v>
      </c>
      <c r="AA125" s="104">
        <v>0</v>
      </c>
      <c r="AB125" s="104">
        <v>0</v>
      </c>
      <c r="AC125" s="104">
        <v>0</v>
      </c>
      <c r="AD125" s="104">
        <v>0</v>
      </c>
      <c r="AE125" s="104">
        <v>0</v>
      </c>
      <c r="AF125" s="104">
        <v>0</v>
      </c>
      <c r="AG125" s="104">
        <v>0</v>
      </c>
      <c r="AH125" s="104">
        <v>0</v>
      </c>
      <c r="AI125" s="104">
        <v>0</v>
      </c>
      <c r="AJ125" s="104">
        <v>0</v>
      </c>
      <c r="AK125" s="104">
        <v>0</v>
      </c>
      <c r="AL125" s="104">
        <v>0</v>
      </c>
      <c r="AM125" s="104">
        <v>0</v>
      </c>
      <c r="AN125" s="104">
        <v>0</v>
      </c>
      <c r="AO125" s="104">
        <v>0</v>
      </c>
      <c r="AP125" s="104">
        <v>0</v>
      </c>
      <c r="AQ125" s="104">
        <v>0</v>
      </c>
      <c r="AR125" s="104">
        <v>0</v>
      </c>
      <c r="AS125" s="104">
        <v>0</v>
      </c>
      <c r="AT125" s="104">
        <v>0</v>
      </c>
      <c r="AU125" s="104">
        <v>0</v>
      </c>
      <c r="AV125" s="104">
        <v>0</v>
      </c>
      <c r="AW125" s="104">
        <v>0</v>
      </c>
      <c r="AX125" s="104">
        <v>0</v>
      </c>
      <c r="AY125" s="104">
        <v>0</v>
      </c>
    </row>
    <row r="126" spans="1:52">
      <c r="A126" s="107"/>
      <c r="B126" s="116">
        <v>5</v>
      </c>
      <c r="C126" s="104">
        <v>0</v>
      </c>
      <c r="D126" s="104">
        <v>0</v>
      </c>
      <c r="E126" s="104">
        <v>0</v>
      </c>
      <c r="F126" s="104">
        <v>0</v>
      </c>
      <c r="G126" s="104">
        <v>0</v>
      </c>
      <c r="H126" s="104">
        <v>0</v>
      </c>
      <c r="I126" s="104">
        <v>0</v>
      </c>
      <c r="J126" s="104">
        <v>0</v>
      </c>
      <c r="K126" s="104">
        <v>0</v>
      </c>
      <c r="L126" s="104">
        <v>0</v>
      </c>
      <c r="M126" s="104">
        <v>0</v>
      </c>
      <c r="N126" s="104">
        <v>0</v>
      </c>
      <c r="O126" s="104">
        <v>0</v>
      </c>
      <c r="P126" s="104">
        <v>0</v>
      </c>
      <c r="Q126" s="104">
        <v>0</v>
      </c>
      <c r="R126" s="104">
        <v>0</v>
      </c>
      <c r="S126" s="104">
        <v>0</v>
      </c>
      <c r="T126" s="104">
        <v>0</v>
      </c>
      <c r="U126" s="104">
        <v>0</v>
      </c>
      <c r="V126" s="104">
        <v>0</v>
      </c>
      <c r="W126" s="104">
        <v>0</v>
      </c>
      <c r="X126" s="104">
        <v>0</v>
      </c>
      <c r="Y126" s="104">
        <v>0</v>
      </c>
      <c r="Z126" s="104">
        <v>0</v>
      </c>
      <c r="AA126" s="104">
        <v>0</v>
      </c>
      <c r="AB126" s="104">
        <v>0</v>
      </c>
      <c r="AC126" s="104">
        <v>0</v>
      </c>
      <c r="AD126" s="104">
        <v>0</v>
      </c>
      <c r="AE126" s="104">
        <v>0</v>
      </c>
      <c r="AF126" s="104">
        <v>0</v>
      </c>
      <c r="AG126" s="104">
        <v>0</v>
      </c>
      <c r="AH126" s="104">
        <v>0</v>
      </c>
      <c r="AI126" s="104">
        <v>0</v>
      </c>
      <c r="AJ126" s="104">
        <v>0</v>
      </c>
      <c r="AK126" s="104">
        <v>0</v>
      </c>
      <c r="AL126" s="104">
        <v>0</v>
      </c>
      <c r="AM126" s="104">
        <v>0</v>
      </c>
      <c r="AN126" s="104">
        <v>0</v>
      </c>
      <c r="AO126" s="104">
        <v>0</v>
      </c>
      <c r="AP126" s="104">
        <v>0</v>
      </c>
      <c r="AQ126" s="104">
        <v>0</v>
      </c>
      <c r="AR126" s="104">
        <v>0</v>
      </c>
      <c r="AS126" s="104">
        <v>0</v>
      </c>
      <c r="AT126" s="104">
        <v>0</v>
      </c>
      <c r="AU126" s="104">
        <v>0</v>
      </c>
      <c r="AV126" s="104">
        <v>0</v>
      </c>
      <c r="AW126" s="104">
        <v>0</v>
      </c>
      <c r="AX126" s="104">
        <v>0</v>
      </c>
      <c r="AY126" s="104">
        <v>0</v>
      </c>
    </row>
    <row r="127" spans="1:52">
      <c r="A127" s="107"/>
      <c r="B127" s="116">
        <v>6</v>
      </c>
      <c r="C127" s="104">
        <v>0</v>
      </c>
      <c r="D127" s="104">
        <v>0</v>
      </c>
      <c r="E127" s="104">
        <v>0</v>
      </c>
      <c r="F127" s="104">
        <v>0</v>
      </c>
      <c r="G127" s="104">
        <v>0</v>
      </c>
      <c r="H127" s="104">
        <v>0</v>
      </c>
      <c r="I127" s="104">
        <v>0</v>
      </c>
      <c r="J127" s="104">
        <v>0</v>
      </c>
      <c r="K127" s="104">
        <v>0</v>
      </c>
      <c r="L127" s="104">
        <v>0</v>
      </c>
      <c r="M127" s="104">
        <v>0</v>
      </c>
      <c r="N127" s="104">
        <v>0</v>
      </c>
      <c r="O127" s="104">
        <v>0</v>
      </c>
      <c r="P127" s="104">
        <v>0</v>
      </c>
      <c r="Q127" s="104">
        <v>0</v>
      </c>
      <c r="R127" s="104">
        <v>0</v>
      </c>
      <c r="S127" s="104">
        <v>0</v>
      </c>
      <c r="T127" s="104">
        <v>0</v>
      </c>
      <c r="U127" s="104">
        <v>0</v>
      </c>
      <c r="V127" s="104">
        <v>0</v>
      </c>
      <c r="W127" s="104">
        <v>0</v>
      </c>
      <c r="X127" s="104">
        <v>0</v>
      </c>
      <c r="Y127" s="104">
        <v>0</v>
      </c>
      <c r="Z127" s="104">
        <v>0</v>
      </c>
      <c r="AA127" s="104">
        <v>0</v>
      </c>
      <c r="AB127" s="104">
        <v>0</v>
      </c>
      <c r="AC127" s="104">
        <v>0</v>
      </c>
      <c r="AD127" s="104">
        <v>0</v>
      </c>
      <c r="AE127" s="104">
        <v>0</v>
      </c>
      <c r="AF127" s="104">
        <v>0</v>
      </c>
      <c r="AG127" s="104">
        <v>0</v>
      </c>
      <c r="AH127" s="104">
        <v>0</v>
      </c>
      <c r="AI127" s="104">
        <v>0</v>
      </c>
      <c r="AJ127" s="104">
        <v>0</v>
      </c>
      <c r="AK127" s="104">
        <v>0</v>
      </c>
      <c r="AL127" s="104">
        <v>0</v>
      </c>
      <c r="AM127" s="104">
        <v>0</v>
      </c>
      <c r="AN127" s="104">
        <v>0</v>
      </c>
      <c r="AO127" s="104">
        <v>0</v>
      </c>
      <c r="AP127" s="104">
        <v>0</v>
      </c>
      <c r="AQ127" s="104">
        <v>0</v>
      </c>
      <c r="AR127" s="104">
        <v>0</v>
      </c>
      <c r="AS127" s="104">
        <v>0</v>
      </c>
      <c r="AT127" s="104">
        <v>0</v>
      </c>
      <c r="AU127" s="104">
        <v>0</v>
      </c>
      <c r="AV127" s="104">
        <v>0</v>
      </c>
      <c r="AW127" s="104">
        <v>0</v>
      </c>
      <c r="AX127" s="104">
        <v>0</v>
      </c>
      <c r="AY127" s="104">
        <v>0</v>
      </c>
    </row>
    <row r="128" spans="1:52">
      <c r="A128" s="107"/>
      <c r="B128" s="116">
        <v>7</v>
      </c>
      <c r="C128" s="104">
        <v>0</v>
      </c>
      <c r="D128" s="104">
        <v>0</v>
      </c>
      <c r="E128" s="104">
        <v>0</v>
      </c>
      <c r="F128" s="104">
        <v>0</v>
      </c>
      <c r="G128" s="104">
        <v>0</v>
      </c>
      <c r="H128" s="104">
        <v>0</v>
      </c>
      <c r="I128" s="104">
        <v>0</v>
      </c>
      <c r="J128" s="104">
        <v>0</v>
      </c>
      <c r="K128" s="104">
        <v>0</v>
      </c>
      <c r="L128" s="104">
        <v>0</v>
      </c>
      <c r="M128" s="104">
        <v>0</v>
      </c>
      <c r="N128" s="104">
        <v>0</v>
      </c>
      <c r="O128" s="104">
        <v>0</v>
      </c>
      <c r="P128" s="104">
        <v>0</v>
      </c>
      <c r="Q128" s="104">
        <v>0</v>
      </c>
      <c r="R128" s="104">
        <v>0</v>
      </c>
      <c r="S128" s="104">
        <v>0</v>
      </c>
      <c r="T128" s="104">
        <v>0</v>
      </c>
      <c r="U128" s="104">
        <v>0</v>
      </c>
      <c r="V128" s="104">
        <v>0</v>
      </c>
      <c r="W128" s="104">
        <v>0</v>
      </c>
      <c r="X128" s="104">
        <v>0</v>
      </c>
      <c r="Y128" s="104">
        <v>0</v>
      </c>
      <c r="Z128" s="104">
        <v>0</v>
      </c>
      <c r="AA128" s="104">
        <v>0</v>
      </c>
      <c r="AB128" s="104">
        <v>0</v>
      </c>
      <c r="AC128" s="104">
        <v>0</v>
      </c>
      <c r="AD128" s="104">
        <v>0</v>
      </c>
      <c r="AE128" s="104">
        <v>0</v>
      </c>
      <c r="AF128" s="104">
        <v>0</v>
      </c>
      <c r="AG128" s="104">
        <v>0</v>
      </c>
      <c r="AH128" s="104">
        <v>0</v>
      </c>
      <c r="AI128" s="104">
        <v>0</v>
      </c>
      <c r="AJ128" s="104">
        <v>0</v>
      </c>
      <c r="AK128" s="104">
        <v>0</v>
      </c>
      <c r="AL128" s="104">
        <v>0</v>
      </c>
      <c r="AM128" s="104">
        <v>0</v>
      </c>
      <c r="AN128" s="104">
        <v>0</v>
      </c>
      <c r="AO128" s="104">
        <v>0</v>
      </c>
      <c r="AP128" s="104">
        <v>0</v>
      </c>
      <c r="AQ128" s="104">
        <v>0</v>
      </c>
      <c r="AR128" s="104">
        <v>0</v>
      </c>
      <c r="AS128" s="104">
        <v>0</v>
      </c>
      <c r="AT128" s="104">
        <v>0</v>
      </c>
      <c r="AU128" s="104">
        <v>0</v>
      </c>
      <c r="AV128" s="104">
        <v>0</v>
      </c>
      <c r="AW128" s="104">
        <v>0</v>
      </c>
      <c r="AX128" s="104">
        <v>0</v>
      </c>
      <c r="AY128" s="104">
        <v>0</v>
      </c>
    </row>
    <row r="129" spans="1:51">
      <c r="A129" s="107"/>
      <c r="B129" s="116">
        <v>8</v>
      </c>
      <c r="C129" s="104">
        <v>0</v>
      </c>
      <c r="D129" s="104">
        <v>0</v>
      </c>
      <c r="E129" s="104">
        <v>0</v>
      </c>
      <c r="F129" s="104">
        <v>0</v>
      </c>
      <c r="G129" s="104">
        <v>0</v>
      </c>
      <c r="H129" s="104">
        <v>0</v>
      </c>
      <c r="I129" s="104">
        <v>0</v>
      </c>
      <c r="J129" s="104">
        <v>0</v>
      </c>
      <c r="K129" s="104">
        <v>0</v>
      </c>
      <c r="L129" s="104">
        <v>0</v>
      </c>
      <c r="M129" s="104">
        <v>0</v>
      </c>
      <c r="N129" s="104">
        <v>0</v>
      </c>
      <c r="O129" s="104">
        <v>0</v>
      </c>
      <c r="P129" s="104">
        <v>0</v>
      </c>
      <c r="Q129" s="104">
        <v>0</v>
      </c>
      <c r="R129" s="104">
        <v>0</v>
      </c>
      <c r="S129" s="104">
        <v>0</v>
      </c>
      <c r="T129" s="104">
        <v>0</v>
      </c>
      <c r="U129" s="104">
        <v>0</v>
      </c>
      <c r="V129" s="104">
        <v>0</v>
      </c>
      <c r="W129" s="104">
        <v>0</v>
      </c>
      <c r="X129" s="104">
        <v>0</v>
      </c>
      <c r="Y129" s="104">
        <v>0</v>
      </c>
      <c r="Z129" s="104">
        <v>0</v>
      </c>
      <c r="AA129" s="104">
        <v>0</v>
      </c>
      <c r="AB129" s="104">
        <v>0</v>
      </c>
      <c r="AC129" s="104">
        <v>0</v>
      </c>
      <c r="AD129" s="104">
        <v>0</v>
      </c>
      <c r="AE129" s="104">
        <v>0</v>
      </c>
      <c r="AF129" s="104">
        <v>0</v>
      </c>
      <c r="AG129" s="104">
        <v>0</v>
      </c>
      <c r="AH129" s="104">
        <v>0</v>
      </c>
      <c r="AI129" s="104">
        <v>0</v>
      </c>
      <c r="AJ129" s="104">
        <v>0</v>
      </c>
      <c r="AK129" s="104">
        <v>0</v>
      </c>
      <c r="AL129" s="104">
        <v>0</v>
      </c>
      <c r="AM129" s="104">
        <v>0</v>
      </c>
      <c r="AN129" s="104">
        <v>0</v>
      </c>
      <c r="AO129" s="104">
        <v>0</v>
      </c>
      <c r="AP129" s="104">
        <v>0</v>
      </c>
      <c r="AQ129" s="104">
        <v>0</v>
      </c>
      <c r="AR129" s="104">
        <v>0</v>
      </c>
      <c r="AS129" s="104">
        <v>0</v>
      </c>
      <c r="AT129" s="104">
        <v>0</v>
      </c>
      <c r="AU129" s="104">
        <v>0</v>
      </c>
      <c r="AV129" s="104">
        <v>0</v>
      </c>
      <c r="AW129" s="104">
        <v>0</v>
      </c>
      <c r="AX129" s="104">
        <v>0</v>
      </c>
      <c r="AY129" s="104">
        <v>0</v>
      </c>
    </row>
    <row r="130" spans="1:51">
      <c r="A130" s="107"/>
      <c r="B130" s="116">
        <v>9</v>
      </c>
      <c r="C130" s="104">
        <v>0</v>
      </c>
      <c r="D130" s="104">
        <v>0</v>
      </c>
      <c r="E130" s="104">
        <v>0</v>
      </c>
      <c r="F130" s="104">
        <v>0</v>
      </c>
      <c r="G130" s="104">
        <v>0</v>
      </c>
      <c r="H130" s="104">
        <v>0</v>
      </c>
      <c r="I130" s="104">
        <v>0</v>
      </c>
      <c r="J130" s="104">
        <v>0</v>
      </c>
      <c r="K130" s="104">
        <v>0</v>
      </c>
      <c r="L130" s="104">
        <v>0</v>
      </c>
      <c r="M130" s="104">
        <v>0</v>
      </c>
      <c r="N130" s="104">
        <v>0</v>
      </c>
      <c r="O130" s="104">
        <v>0</v>
      </c>
      <c r="P130" s="104">
        <v>0</v>
      </c>
      <c r="Q130" s="104">
        <v>0</v>
      </c>
      <c r="R130" s="104">
        <v>0</v>
      </c>
      <c r="S130" s="104">
        <v>0</v>
      </c>
      <c r="T130" s="104">
        <v>0</v>
      </c>
      <c r="U130" s="104">
        <v>0</v>
      </c>
      <c r="V130" s="104">
        <v>0</v>
      </c>
      <c r="W130" s="104">
        <v>0</v>
      </c>
      <c r="X130" s="104">
        <v>0</v>
      </c>
      <c r="Y130" s="104">
        <v>0</v>
      </c>
      <c r="Z130" s="104">
        <v>0</v>
      </c>
      <c r="AA130" s="104">
        <v>0</v>
      </c>
      <c r="AB130" s="104">
        <v>0</v>
      </c>
      <c r="AC130" s="104">
        <v>0</v>
      </c>
      <c r="AD130" s="104">
        <v>0</v>
      </c>
      <c r="AE130" s="104">
        <v>0</v>
      </c>
      <c r="AF130" s="104">
        <v>0</v>
      </c>
      <c r="AG130" s="104">
        <v>0</v>
      </c>
      <c r="AH130" s="104">
        <v>0</v>
      </c>
      <c r="AI130" s="104">
        <v>0</v>
      </c>
      <c r="AJ130" s="104">
        <v>0</v>
      </c>
      <c r="AK130" s="104">
        <v>0</v>
      </c>
      <c r="AL130" s="104">
        <v>0</v>
      </c>
      <c r="AM130" s="104">
        <v>0</v>
      </c>
      <c r="AN130" s="104">
        <v>0</v>
      </c>
      <c r="AO130" s="104">
        <v>0</v>
      </c>
      <c r="AP130" s="104">
        <v>0</v>
      </c>
      <c r="AQ130" s="104">
        <v>0</v>
      </c>
      <c r="AR130" s="104">
        <v>0</v>
      </c>
      <c r="AS130" s="104">
        <v>0</v>
      </c>
      <c r="AT130" s="104">
        <v>0</v>
      </c>
      <c r="AU130" s="104">
        <v>0</v>
      </c>
      <c r="AV130" s="104">
        <v>0</v>
      </c>
      <c r="AW130" s="104">
        <v>0</v>
      </c>
      <c r="AX130" s="104">
        <v>0</v>
      </c>
      <c r="AY130" s="104">
        <v>0</v>
      </c>
    </row>
    <row r="131" spans="1:51">
      <c r="A131" s="107"/>
      <c r="B131" s="116">
        <v>10</v>
      </c>
      <c r="C131" s="104">
        <v>0</v>
      </c>
      <c r="D131" s="104">
        <v>0</v>
      </c>
      <c r="E131" s="104">
        <v>0</v>
      </c>
      <c r="F131" s="104">
        <v>0</v>
      </c>
      <c r="G131" s="104">
        <v>0</v>
      </c>
      <c r="H131" s="104">
        <v>0</v>
      </c>
      <c r="I131" s="104">
        <v>0</v>
      </c>
      <c r="J131" s="104">
        <v>0</v>
      </c>
      <c r="K131" s="104">
        <v>0</v>
      </c>
      <c r="L131" s="104">
        <v>0</v>
      </c>
      <c r="M131" s="104">
        <v>0</v>
      </c>
      <c r="N131" s="104">
        <v>0</v>
      </c>
      <c r="O131" s="104">
        <v>0</v>
      </c>
      <c r="P131" s="104">
        <v>0</v>
      </c>
      <c r="Q131" s="104">
        <v>0</v>
      </c>
      <c r="R131" s="104">
        <v>0</v>
      </c>
      <c r="S131" s="104">
        <v>0</v>
      </c>
      <c r="T131" s="104">
        <v>0</v>
      </c>
      <c r="U131" s="104">
        <v>0</v>
      </c>
      <c r="V131" s="104">
        <v>0</v>
      </c>
      <c r="W131" s="104">
        <v>0</v>
      </c>
      <c r="X131" s="104">
        <v>0</v>
      </c>
      <c r="Y131" s="104">
        <v>0</v>
      </c>
      <c r="Z131" s="104">
        <v>0</v>
      </c>
      <c r="AA131" s="104">
        <v>0</v>
      </c>
      <c r="AB131" s="104">
        <v>0</v>
      </c>
      <c r="AC131" s="104">
        <v>0</v>
      </c>
      <c r="AD131" s="104">
        <v>0</v>
      </c>
      <c r="AE131" s="104">
        <v>0</v>
      </c>
      <c r="AF131" s="104">
        <v>0</v>
      </c>
      <c r="AG131" s="104">
        <v>0</v>
      </c>
      <c r="AH131" s="104">
        <v>0</v>
      </c>
      <c r="AI131" s="104">
        <v>0</v>
      </c>
      <c r="AJ131" s="104">
        <v>0</v>
      </c>
      <c r="AK131" s="104">
        <v>0</v>
      </c>
      <c r="AL131" s="104">
        <v>0</v>
      </c>
      <c r="AM131" s="104">
        <v>0</v>
      </c>
      <c r="AN131" s="104">
        <v>0</v>
      </c>
      <c r="AO131" s="104">
        <v>0</v>
      </c>
      <c r="AP131" s="104">
        <v>0</v>
      </c>
      <c r="AQ131" s="104">
        <v>0</v>
      </c>
      <c r="AR131" s="104">
        <v>0</v>
      </c>
      <c r="AS131" s="104">
        <v>0</v>
      </c>
      <c r="AT131" s="104">
        <v>0</v>
      </c>
      <c r="AU131" s="104">
        <v>0</v>
      </c>
      <c r="AV131" s="104">
        <v>0</v>
      </c>
      <c r="AW131" s="104">
        <v>0</v>
      </c>
      <c r="AX131" s="104">
        <v>0</v>
      </c>
      <c r="AY131" s="104">
        <v>0</v>
      </c>
    </row>
    <row r="132" spans="1:51">
      <c r="A132" s="107"/>
      <c r="B132" s="116">
        <v>11</v>
      </c>
      <c r="C132" s="104">
        <v>0</v>
      </c>
      <c r="D132" s="104">
        <v>0</v>
      </c>
      <c r="E132" s="104">
        <v>0</v>
      </c>
      <c r="F132" s="104">
        <v>0</v>
      </c>
      <c r="G132" s="104">
        <v>0</v>
      </c>
      <c r="H132" s="104">
        <v>0</v>
      </c>
      <c r="I132" s="104">
        <v>0</v>
      </c>
      <c r="J132" s="104">
        <v>0</v>
      </c>
      <c r="K132" s="104">
        <v>0</v>
      </c>
      <c r="L132" s="104">
        <v>0</v>
      </c>
      <c r="M132" s="104">
        <v>0</v>
      </c>
      <c r="N132" s="104">
        <v>0</v>
      </c>
      <c r="O132" s="104">
        <v>0</v>
      </c>
      <c r="P132" s="104">
        <v>0</v>
      </c>
      <c r="Q132" s="104">
        <v>0</v>
      </c>
      <c r="R132" s="104">
        <v>0</v>
      </c>
      <c r="S132" s="104">
        <v>0</v>
      </c>
      <c r="T132" s="104">
        <v>0</v>
      </c>
      <c r="U132" s="104">
        <v>0</v>
      </c>
      <c r="V132" s="104">
        <v>0</v>
      </c>
      <c r="W132" s="104">
        <v>0</v>
      </c>
      <c r="X132" s="104">
        <v>0</v>
      </c>
      <c r="Y132" s="104">
        <v>0</v>
      </c>
      <c r="Z132" s="104">
        <v>0</v>
      </c>
      <c r="AA132" s="104">
        <v>0</v>
      </c>
      <c r="AB132" s="104">
        <v>0</v>
      </c>
      <c r="AC132" s="104">
        <v>0</v>
      </c>
      <c r="AD132" s="104">
        <v>0</v>
      </c>
      <c r="AE132" s="104">
        <v>0</v>
      </c>
      <c r="AF132" s="104">
        <v>0</v>
      </c>
      <c r="AG132" s="104">
        <v>0</v>
      </c>
      <c r="AH132" s="104">
        <v>0</v>
      </c>
      <c r="AI132" s="104">
        <v>0</v>
      </c>
      <c r="AJ132" s="104">
        <v>0</v>
      </c>
      <c r="AK132" s="104">
        <v>0</v>
      </c>
      <c r="AL132" s="104">
        <v>0</v>
      </c>
      <c r="AM132" s="104">
        <v>0</v>
      </c>
      <c r="AN132" s="104">
        <v>0</v>
      </c>
      <c r="AO132" s="104">
        <v>0</v>
      </c>
      <c r="AP132" s="104">
        <v>0</v>
      </c>
      <c r="AQ132" s="104">
        <v>0</v>
      </c>
      <c r="AR132" s="104">
        <v>0</v>
      </c>
      <c r="AS132" s="104">
        <v>0</v>
      </c>
      <c r="AT132" s="104">
        <v>0</v>
      </c>
      <c r="AU132" s="104">
        <v>0</v>
      </c>
      <c r="AV132" s="104">
        <v>0</v>
      </c>
      <c r="AW132" s="104">
        <v>0</v>
      </c>
      <c r="AX132" s="104">
        <v>0</v>
      </c>
      <c r="AY132" s="104">
        <v>0</v>
      </c>
    </row>
    <row r="133" spans="1:51">
      <c r="A133" s="107"/>
      <c r="B133" s="116">
        <v>12</v>
      </c>
      <c r="C133" s="104">
        <v>0</v>
      </c>
      <c r="D133" s="104">
        <v>0</v>
      </c>
      <c r="E133" s="104">
        <v>0</v>
      </c>
      <c r="F133" s="104">
        <v>0</v>
      </c>
      <c r="G133" s="104">
        <v>0</v>
      </c>
      <c r="H133" s="104">
        <v>0</v>
      </c>
      <c r="I133" s="104">
        <v>0</v>
      </c>
      <c r="J133" s="104">
        <v>0</v>
      </c>
      <c r="K133" s="104">
        <v>0</v>
      </c>
      <c r="L133" s="104">
        <v>0</v>
      </c>
      <c r="M133" s="104">
        <v>0</v>
      </c>
      <c r="N133" s="104">
        <v>0</v>
      </c>
      <c r="O133" s="104">
        <v>0</v>
      </c>
      <c r="P133" s="104">
        <v>0</v>
      </c>
      <c r="Q133" s="104">
        <v>0</v>
      </c>
      <c r="R133" s="104">
        <v>0</v>
      </c>
      <c r="S133" s="104">
        <v>0</v>
      </c>
      <c r="T133" s="104">
        <v>0</v>
      </c>
      <c r="U133" s="104">
        <v>0</v>
      </c>
      <c r="V133" s="104">
        <v>0</v>
      </c>
      <c r="W133" s="104">
        <v>0</v>
      </c>
      <c r="X133" s="104">
        <v>0</v>
      </c>
      <c r="Y133" s="104">
        <v>0</v>
      </c>
      <c r="Z133" s="104">
        <v>0</v>
      </c>
      <c r="AA133" s="104">
        <v>0</v>
      </c>
      <c r="AB133" s="104">
        <v>0</v>
      </c>
      <c r="AC133" s="104">
        <v>0</v>
      </c>
      <c r="AD133" s="104">
        <v>0</v>
      </c>
      <c r="AE133" s="104">
        <v>0</v>
      </c>
      <c r="AF133" s="104">
        <v>0</v>
      </c>
      <c r="AG133" s="104">
        <v>0</v>
      </c>
      <c r="AH133" s="104">
        <v>0</v>
      </c>
      <c r="AI133" s="104">
        <v>0</v>
      </c>
      <c r="AJ133" s="104">
        <v>0</v>
      </c>
      <c r="AK133" s="104">
        <v>0</v>
      </c>
      <c r="AL133" s="104">
        <v>0</v>
      </c>
      <c r="AM133" s="104">
        <v>0</v>
      </c>
      <c r="AN133" s="104">
        <v>0</v>
      </c>
      <c r="AO133" s="104">
        <v>0</v>
      </c>
      <c r="AP133" s="104">
        <v>0</v>
      </c>
      <c r="AQ133" s="104">
        <v>0</v>
      </c>
      <c r="AR133" s="104">
        <v>0</v>
      </c>
      <c r="AS133" s="104">
        <v>0</v>
      </c>
      <c r="AT133" s="104">
        <v>0</v>
      </c>
      <c r="AU133" s="104">
        <v>0</v>
      </c>
      <c r="AV133" s="104">
        <v>0</v>
      </c>
      <c r="AW133" s="104">
        <v>0</v>
      </c>
      <c r="AX133" s="104">
        <v>0</v>
      </c>
      <c r="AY133" s="104">
        <v>0</v>
      </c>
    </row>
    <row r="134" spans="1:51">
      <c r="A134" s="107"/>
      <c r="B134" s="117">
        <v>13</v>
      </c>
      <c r="C134" s="104">
        <v>0</v>
      </c>
      <c r="D134" s="104">
        <v>0</v>
      </c>
      <c r="E134" s="104">
        <v>0</v>
      </c>
      <c r="F134" s="104">
        <v>0</v>
      </c>
      <c r="G134" s="104">
        <v>0</v>
      </c>
      <c r="H134" s="104">
        <v>0</v>
      </c>
      <c r="I134" s="104">
        <v>0</v>
      </c>
      <c r="J134" s="104">
        <v>0</v>
      </c>
      <c r="K134" s="104">
        <v>0</v>
      </c>
      <c r="L134" s="104">
        <v>0</v>
      </c>
      <c r="M134" s="104">
        <v>0</v>
      </c>
      <c r="N134" s="104">
        <v>0</v>
      </c>
      <c r="O134" s="104">
        <v>0</v>
      </c>
      <c r="P134" s="104">
        <v>0</v>
      </c>
      <c r="Q134" s="104">
        <v>0</v>
      </c>
      <c r="R134" s="104">
        <v>0</v>
      </c>
      <c r="S134" s="104">
        <v>0</v>
      </c>
      <c r="T134" s="104">
        <v>0</v>
      </c>
      <c r="U134" s="104">
        <v>0</v>
      </c>
      <c r="V134" s="104">
        <v>0</v>
      </c>
      <c r="W134" s="104">
        <v>0</v>
      </c>
      <c r="X134" s="104">
        <v>0</v>
      </c>
      <c r="Y134" s="104">
        <v>0</v>
      </c>
      <c r="Z134" s="104">
        <v>0</v>
      </c>
      <c r="AA134" s="104">
        <v>0</v>
      </c>
      <c r="AB134" s="104">
        <v>0</v>
      </c>
      <c r="AC134" s="104">
        <v>0</v>
      </c>
      <c r="AD134" s="104">
        <v>0</v>
      </c>
      <c r="AE134" s="104">
        <v>0</v>
      </c>
      <c r="AF134" s="104">
        <v>0</v>
      </c>
      <c r="AG134" s="104">
        <v>0</v>
      </c>
      <c r="AH134" s="104">
        <v>0</v>
      </c>
      <c r="AI134" s="104">
        <v>0</v>
      </c>
      <c r="AJ134" s="104">
        <v>0</v>
      </c>
      <c r="AK134" s="104">
        <v>0</v>
      </c>
      <c r="AL134" s="104">
        <v>0</v>
      </c>
      <c r="AM134" s="104">
        <v>0</v>
      </c>
      <c r="AN134" s="104">
        <v>0</v>
      </c>
      <c r="AO134" s="104">
        <v>0</v>
      </c>
      <c r="AP134" s="104">
        <v>0</v>
      </c>
      <c r="AQ134" s="104">
        <v>0</v>
      </c>
      <c r="AR134" s="104">
        <v>0</v>
      </c>
      <c r="AS134" s="104">
        <v>0</v>
      </c>
      <c r="AT134" s="104">
        <v>0</v>
      </c>
      <c r="AU134" s="104">
        <v>0</v>
      </c>
      <c r="AV134" s="104">
        <v>0</v>
      </c>
      <c r="AW134" s="104">
        <v>0</v>
      </c>
      <c r="AX134" s="104">
        <v>0</v>
      </c>
      <c r="AY134" s="104">
        <v>0</v>
      </c>
    </row>
    <row r="135" spans="1:51">
      <c r="A135" s="107"/>
      <c r="B135" s="117">
        <v>14</v>
      </c>
      <c r="C135" s="104">
        <v>0</v>
      </c>
      <c r="D135" s="104">
        <v>0</v>
      </c>
      <c r="E135" s="104">
        <v>0</v>
      </c>
      <c r="F135" s="104">
        <v>0</v>
      </c>
      <c r="G135" s="104">
        <v>0</v>
      </c>
      <c r="H135" s="104">
        <v>0</v>
      </c>
      <c r="I135" s="104">
        <v>0</v>
      </c>
      <c r="J135" s="104">
        <v>0</v>
      </c>
      <c r="K135" s="104">
        <v>0</v>
      </c>
      <c r="L135" s="104">
        <v>0</v>
      </c>
      <c r="M135" s="104">
        <v>0</v>
      </c>
      <c r="N135" s="104">
        <v>0</v>
      </c>
      <c r="O135" s="104">
        <v>0</v>
      </c>
      <c r="P135" s="104">
        <v>0</v>
      </c>
      <c r="Q135" s="104">
        <v>0</v>
      </c>
      <c r="R135" s="104">
        <v>0</v>
      </c>
      <c r="S135" s="104">
        <v>0</v>
      </c>
      <c r="T135" s="104">
        <v>0</v>
      </c>
      <c r="U135" s="104">
        <v>0</v>
      </c>
      <c r="V135" s="104">
        <v>0</v>
      </c>
      <c r="W135" s="104">
        <v>0</v>
      </c>
      <c r="X135" s="104">
        <v>0</v>
      </c>
      <c r="Y135" s="104">
        <v>0</v>
      </c>
      <c r="Z135" s="104">
        <v>0</v>
      </c>
      <c r="AA135" s="104">
        <v>0</v>
      </c>
      <c r="AB135" s="104">
        <v>0</v>
      </c>
      <c r="AC135" s="104">
        <v>0</v>
      </c>
      <c r="AD135" s="104">
        <v>0</v>
      </c>
      <c r="AE135" s="104">
        <v>0</v>
      </c>
      <c r="AF135" s="104">
        <v>0</v>
      </c>
      <c r="AG135" s="104">
        <v>0</v>
      </c>
      <c r="AH135" s="104">
        <v>0</v>
      </c>
      <c r="AI135" s="104">
        <v>0</v>
      </c>
      <c r="AJ135" s="104">
        <v>0</v>
      </c>
      <c r="AK135" s="104">
        <v>0</v>
      </c>
      <c r="AL135" s="104">
        <v>0</v>
      </c>
      <c r="AM135" s="104">
        <v>0</v>
      </c>
      <c r="AN135" s="104">
        <v>0</v>
      </c>
      <c r="AO135" s="104">
        <v>0</v>
      </c>
      <c r="AP135" s="104">
        <v>0</v>
      </c>
      <c r="AQ135" s="104">
        <v>0</v>
      </c>
      <c r="AR135" s="104">
        <v>0</v>
      </c>
      <c r="AS135" s="104">
        <v>0</v>
      </c>
      <c r="AT135" s="104">
        <v>0</v>
      </c>
      <c r="AU135" s="104">
        <v>0</v>
      </c>
      <c r="AV135" s="104">
        <v>0</v>
      </c>
      <c r="AW135" s="104">
        <v>0</v>
      </c>
      <c r="AX135" s="104">
        <v>0</v>
      </c>
      <c r="AY135" s="104">
        <v>0</v>
      </c>
    </row>
    <row r="136" spans="1:51">
      <c r="A136" s="107"/>
      <c r="B136" s="117">
        <v>15</v>
      </c>
      <c r="C136" s="104">
        <v>0</v>
      </c>
      <c r="D136" s="104">
        <v>0</v>
      </c>
      <c r="E136" s="104">
        <v>0</v>
      </c>
      <c r="F136" s="104">
        <v>0</v>
      </c>
      <c r="G136" s="104">
        <v>0</v>
      </c>
      <c r="H136" s="104">
        <v>0</v>
      </c>
      <c r="I136" s="104">
        <v>0</v>
      </c>
      <c r="J136" s="104">
        <v>0</v>
      </c>
      <c r="K136" s="104">
        <v>0</v>
      </c>
      <c r="L136" s="104">
        <v>0</v>
      </c>
      <c r="M136" s="104">
        <v>0</v>
      </c>
      <c r="N136" s="104">
        <v>0</v>
      </c>
      <c r="O136" s="104">
        <v>0</v>
      </c>
      <c r="P136" s="104">
        <v>0</v>
      </c>
      <c r="Q136" s="104">
        <v>0</v>
      </c>
      <c r="R136" s="104">
        <v>0</v>
      </c>
      <c r="S136" s="104">
        <v>0</v>
      </c>
      <c r="T136" s="104">
        <v>0</v>
      </c>
      <c r="U136" s="104">
        <v>0</v>
      </c>
      <c r="V136" s="104">
        <v>0</v>
      </c>
      <c r="W136" s="104">
        <v>0</v>
      </c>
      <c r="X136" s="104">
        <v>0</v>
      </c>
      <c r="Y136" s="104">
        <v>0</v>
      </c>
      <c r="Z136" s="104">
        <v>0</v>
      </c>
      <c r="AA136" s="104">
        <v>0</v>
      </c>
      <c r="AB136" s="104">
        <v>0</v>
      </c>
      <c r="AC136" s="104">
        <v>0</v>
      </c>
      <c r="AD136" s="104">
        <v>0</v>
      </c>
      <c r="AE136" s="104">
        <v>0</v>
      </c>
      <c r="AF136" s="104">
        <v>0</v>
      </c>
      <c r="AG136" s="104">
        <v>0</v>
      </c>
      <c r="AH136" s="104">
        <v>0</v>
      </c>
      <c r="AI136" s="104">
        <v>0</v>
      </c>
      <c r="AJ136" s="104">
        <v>0</v>
      </c>
      <c r="AK136" s="104">
        <v>0</v>
      </c>
      <c r="AL136" s="104">
        <v>0</v>
      </c>
      <c r="AM136" s="104">
        <v>0</v>
      </c>
      <c r="AN136" s="104">
        <v>0</v>
      </c>
      <c r="AO136" s="104">
        <v>0</v>
      </c>
      <c r="AP136" s="104">
        <v>0</v>
      </c>
      <c r="AQ136" s="104">
        <v>0</v>
      </c>
      <c r="AR136" s="104">
        <v>0</v>
      </c>
      <c r="AS136" s="104">
        <v>0</v>
      </c>
      <c r="AT136" s="104">
        <v>0</v>
      </c>
      <c r="AU136" s="104">
        <v>0</v>
      </c>
      <c r="AV136" s="104">
        <v>0</v>
      </c>
      <c r="AW136" s="104">
        <v>0</v>
      </c>
      <c r="AX136" s="104">
        <v>0</v>
      </c>
      <c r="AY136" s="104">
        <v>0</v>
      </c>
    </row>
    <row r="137" spans="1:51">
      <c r="A137" s="107"/>
      <c r="B137" s="117">
        <v>16</v>
      </c>
      <c r="C137" s="104">
        <v>0</v>
      </c>
      <c r="D137" s="104">
        <v>0</v>
      </c>
      <c r="E137" s="104">
        <v>0</v>
      </c>
      <c r="F137" s="104">
        <v>0</v>
      </c>
      <c r="G137" s="104">
        <v>0</v>
      </c>
      <c r="H137" s="104">
        <v>0</v>
      </c>
      <c r="I137" s="104">
        <v>0</v>
      </c>
      <c r="J137" s="104">
        <v>0</v>
      </c>
      <c r="K137" s="104">
        <v>0</v>
      </c>
      <c r="L137" s="104">
        <v>0</v>
      </c>
      <c r="M137" s="104">
        <v>0</v>
      </c>
      <c r="N137" s="104">
        <v>0</v>
      </c>
      <c r="O137" s="104">
        <v>0</v>
      </c>
      <c r="P137" s="104">
        <v>0</v>
      </c>
      <c r="Q137" s="104">
        <v>0</v>
      </c>
      <c r="R137" s="104">
        <v>0</v>
      </c>
      <c r="S137" s="104">
        <v>0</v>
      </c>
      <c r="T137" s="104">
        <v>0</v>
      </c>
      <c r="U137" s="104">
        <v>0</v>
      </c>
      <c r="V137" s="104">
        <v>0</v>
      </c>
      <c r="W137" s="104">
        <v>0</v>
      </c>
      <c r="X137" s="104">
        <v>0</v>
      </c>
      <c r="Y137" s="104">
        <v>0</v>
      </c>
      <c r="Z137" s="104">
        <v>0</v>
      </c>
      <c r="AA137" s="104">
        <v>0</v>
      </c>
      <c r="AB137" s="104">
        <v>0</v>
      </c>
      <c r="AC137" s="104">
        <v>0</v>
      </c>
      <c r="AD137" s="104">
        <v>0</v>
      </c>
      <c r="AE137" s="104">
        <v>0</v>
      </c>
      <c r="AF137" s="104">
        <v>0</v>
      </c>
      <c r="AG137" s="104">
        <v>0</v>
      </c>
      <c r="AH137" s="104">
        <v>0</v>
      </c>
      <c r="AI137" s="104">
        <v>0</v>
      </c>
      <c r="AJ137" s="104">
        <v>0</v>
      </c>
      <c r="AK137" s="104">
        <v>0</v>
      </c>
      <c r="AL137" s="104">
        <v>0</v>
      </c>
      <c r="AM137" s="104">
        <v>0</v>
      </c>
      <c r="AN137" s="104">
        <v>0</v>
      </c>
      <c r="AO137" s="104">
        <v>0</v>
      </c>
      <c r="AP137" s="104">
        <v>0</v>
      </c>
      <c r="AQ137" s="104">
        <v>0</v>
      </c>
      <c r="AR137" s="104">
        <v>0</v>
      </c>
      <c r="AS137" s="104">
        <v>0</v>
      </c>
      <c r="AT137" s="104">
        <v>0</v>
      </c>
      <c r="AU137" s="104">
        <v>0</v>
      </c>
      <c r="AV137" s="104">
        <v>0</v>
      </c>
      <c r="AW137" s="104">
        <v>0</v>
      </c>
      <c r="AX137" s="104">
        <v>0</v>
      </c>
      <c r="AY137" s="104">
        <v>0</v>
      </c>
    </row>
    <row r="138" spans="1:51">
      <c r="A138" s="107"/>
      <c r="B138" s="117">
        <v>17</v>
      </c>
      <c r="C138" s="104">
        <v>0</v>
      </c>
      <c r="D138" s="104">
        <v>0</v>
      </c>
      <c r="E138" s="104">
        <v>0</v>
      </c>
      <c r="F138" s="104">
        <v>0</v>
      </c>
      <c r="G138" s="104">
        <v>0</v>
      </c>
      <c r="H138" s="104">
        <v>0</v>
      </c>
      <c r="I138" s="104">
        <v>0</v>
      </c>
      <c r="J138" s="104">
        <v>0</v>
      </c>
      <c r="K138" s="104">
        <v>0</v>
      </c>
      <c r="L138" s="104">
        <v>0</v>
      </c>
      <c r="M138" s="104">
        <v>0</v>
      </c>
      <c r="N138" s="104">
        <v>0</v>
      </c>
      <c r="O138" s="104">
        <v>0</v>
      </c>
      <c r="P138" s="104">
        <v>0</v>
      </c>
      <c r="Q138" s="104">
        <v>0</v>
      </c>
      <c r="R138" s="104">
        <v>0</v>
      </c>
      <c r="S138" s="104">
        <v>0</v>
      </c>
      <c r="T138" s="104">
        <v>0</v>
      </c>
      <c r="U138" s="104">
        <v>0</v>
      </c>
      <c r="V138" s="104">
        <v>0</v>
      </c>
      <c r="W138" s="104">
        <v>0</v>
      </c>
      <c r="X138" s="104">
        <v>0</v>
      </c>
      <c r="Y138" s="104">
        <v>0</v>
      </c>
      <c r="Z138" s="104">
        <v>0</v>
      </c>
      <c r="AA138" s="104">
        <v>0</v>
      </c>
      <c r="AB138" s="104">
        <v>0</v>
      </c>
      <c r="AC138" s="104">
        <v>0</v>
      </c>
      <c r="AD138" s="104">
        <v>0</v>
      </c>
      <c r="AE138" s="104">
        <v>0</v>
      </c>
      <c r="AF138" s="104">
        <v>0</v>
      </c>
      <c r="AG138" s="104">
        <v>0</v>
      </c>
      <c r="AH138" s="104">
        <v>0</v>
      </c>
      <c r="AI138" s="104">
        <v>0</v>
      </c>
      <c r="AJ138" s="104">
        <v>0</v>
      </c>
      <c r="AK138" s="104">
        <v>0</v>
      </c>
      <c r="AL138" s="104">
        <v>0</v>
      </c>
      <c r="AM138" s="104">
        <v>0</v>
      </c>
      <c r="AN138" s="104">
        <v>0</v>
      </c>
      <c r="AO138" s="104">
        <v>0</v>
      </c>
      <c r="AP138" s="104">
        <v>0</v>
      </c>
      <c r="AQ138" s="104">
        <v>0</v>
      </c>
      <c r="AR138" s="104">
        <v>0</v>
      </c>
      <c r="AS138" s="104">
        <v>0</v>
      </c>
      <c r="AT138" s="104">
        <v>0</v>
      </c>
      <c r="AU138" s="104">
        <v>0</v>
      </c>
      <c r="AV138" s="104">
        <v>0</v>
      </c>
      <c r="AW138" s="104">
        <v>0</v>
      </c>
      <c r="AX138" s="104">
        <v>0</v>
      </c>
      <c r="AY138" s="104">
        <v>0</v>
      </c>
    </row>
    <row r="139" spans="1:51">
      <c r="A139" s="107"/>
      <c r="B139" s="117">
        <v>18</v>
      </c>
      <c r="C139" s="104">
        <v>0</v>
      </c>
      <c r="D139" s="104">
        <v>0</v>
      </c>
      <c r="E139" s="104">
        <v>0</v>
      </c>
      <c r="F139" s="104">
        <v>0</v>
      </c>
      <c r="G139" s="104">
        <v>0</v>
      </c>
      <c r="H139" s="104">
        <v>0</v>
      </c>
      <c r="I139" s="104">
        <v>0</v>
      </c>
      <c r="J139" s="104">
        <v>0</v>
      </c>
      <c r="K139" s="104">
        <v>0</v>
      </c>
      <c r="L139" s="104">
        <v>0</v>
      </c>
      <c r="M139" s="104">
        <v>0</v>
      </c>
      <c r="N139" s="104">
        <v>0</v>
      </c>
      <c r="O139" s="104">
        <v>0</v>
      </c>
      <c r="P139" s="104">
        <v>0</v>
      </c>
      <c r="Q139" s="104">
        <v>0</v>
      </c>
      <c r="R139" s="104">
        <v>0</v>
      </c>
      <c r="S139" s="104">
        <v>0</v>
      </c>
      <c r="T139" s="104">
        <v>0</v>
      </c>
      <c r="U139" s="104">
        <v>0</v>
      </c>
      <c r="V139" s="104">
        <v>0</v>
      </c>
      <c r="W139" s="104">
        <v>0</v>
      </c>
      <c r="X139" s="104">
        <v>0</v>
      </c>
      <c r="Y139" s="104">
        <v>0</v>
      </c>
      <c r="Z139" s="104">
        <v>0</v>
      </c>
      <c r="AA139" s="104">
        <v>0</v>
      </c>
      <c r="AB139" s="104">
        <v>0</v>
      </c>
      <c r="AC139" s="104">
        <v>0</v>
      </c>
      <c r="AD139" s="104">
        <v>0</v>
      </c>
      <c r="AE139" s="104">
        <v>0</v>
      </c>
      <c r="AF139" s="104">
        <v>0</v>
      </c>
      <c r="AG139" s="104">
        <v>0</v>
      </c>
      <c r="AH139" s="104">
        <v>0</v>
      </c>
      <c r="AI139" s="104">
        <v>0</v>
      </c>
      <c r="AJ139" s="104">
        <v>0</v>
      </c>
      <c r="AK139" s="104">
        <v>0</v>
      </c>
      <c r="AL139" s="104">
        <v>0</v>
      </c>
      <c r="AM139" s="104">
        <v>0</v>
      </c>
      <c r="AN139" s="104">
        <v>0</v>
      </c>
      <c r="AO139" s="104">
        <v>0</v>
      </c>
      <c r="AP139" s="104">
        <v>0</v>
      </c>
      <c r="AQ139" s="104">
        <v>0</v>
      </c>
      <c r="AR139" s="104">
        <v>0</v>
      </c>
      <c r="AS139" s="104">
        <v>0</v>
      </c>
      <c r="AT139" s="104">
        <v>0</v>
      </c>
      <c r="AU139" s="104">
        <v>0</v>
      </c>
      <c r="AV139" s="104">
        <v>0</v>
      </c>
      <c r="AW139" s="104">
        <v>0</v>
      </c>
      <c r="AX139" s="104">
        <v>0</v>
      </c>
      <c r="AY139" s="104">
        <v>0</v>
      </c>
    </row>
    <row r="140" spans="1:51">
      <c r="A140" s="107"/>
      <c r="B140" s="117">
        <v>19</v>
      </c>
      <c r="C140" s="104">
        <v>0</v>
      </c>
      <c r="D140" s="104">
        <v>0</v>
      </c>
      <c r="E140" s="104">
        <v>0</v>
      </c>
      <c r="F140" s="104">
        <v>0</v>
      </c>
      <c r="G140" s="104">
        <v>0</v>
      </c>
      <c r="H140" s="104">
        <v>0</v>
      </c>
      <c r="I140" s="104">
        <v>0</v>
      </c>
      <c r="J140" s="104">
        <v>0</v>
      </c>
      <c r="K140" s="104">
        <v>0</v>
      </c>
      <c r="L140" s="104">
        <v>0</v>
      </c>
      <c r="M140" s="104">
        <v>0</v>
      </c>
      <c r="N140" s="104">
        <v>0</v>
      </c>
      <c r="O140" s="104">
        <v>0</v>
      </c>
      <c r="P140" s="104">
        <v>0</v>
      </c>
      <c r="Q140" s="104">
        <v>0</v>
      </c>
      <c r="R140" s="104">
        <v>0</v>
      </c>
      <c r="S140" s="104">
        <v>0</v>
      </c>
      <c r="T140" s="104">
        <v>0</v>
      </c>
      <c r="U140" s="104">
        <v>0</v>
      </c>
      <c r="V140" s="104">
        <v>0</v>
      </c>
      <c r="W140" s="104">
        <v>0</v>
      </c>
      <c r="X140" s="104">
        <v>0</v>
      </c>
      <c r="Y140" s="104">
        <v>0</v>
      </c>
      <c r="Z140" s="104">
        <v>0</v>
      </c>
      <c r="AA140" s="104">
        <v>0</v>
      </c>
      <c r="AB140" s="104">
        <v>0</v>
      </c>
      <c r="AC140" s="104">
        <v>0</v>
      </c>
      <c r="AD140" s="104">
        <v>0</v>
      </c>
      <c r="AE140" s="104">
        <v>0</v>
      </c>
      <c r="AF140" s="104">
        <v>0</v>
      </c>
      <c r="AG140" s="104">
        <v>0</v>
      </c>
      <c r="AH140" s="104">
        <v>0</v>
      </c>
      <c r="AI140" s="104">
        <v>0</v>
      </c>
      <c r="AJ140" s="104">
        <v>0</v>
      </c>
      <c r="AK140" s="104">
        <v>0</v>
      </c>
      <c r="AL140" s="104">
        <v>0</v>
      </c>
      <c r="AM140" s="104">
        <v>0</v>
      </c>
      <c r="AN140" s="104">
        <v>0</v>
      </c>
      <c r="AO140" s="104">
        <v>0</v>
      </c>
      <c r="AP140" s="104">
        <v>0</v>
      </c>
      <c r="AQ140" s="104">
        <v>0</v>
      </c>
      <c r="AR140" s="104">
        <v>0</v>
      </c>
      <c r="AS140" s="104">
        <v>0</v>
      </c>
      <c r="AT140" s="104">
        <v>0</v>
      </c>
      <c r="AU140" s="104">
        <v>0</v>
      </c>
      <c r="AV140" s="104">
        <v>0</v>
      </c>
      <c r="AW140" s="104">
        <v>0</v>
      </c>
      <c r="AX140" s="104">
        <v>0</v>
      </c>
      <c r="AY140" s="104">
        <v>0</v>
      </c>
    </row>
    <row r="141" spans="1:51">
      <c r="A141" s="107"/>
      <c r="B141" s="117">
        <v>20</v>
      </c>
      <c r="C141" s="104">
        <v>0</v>
      </c>
      <c r="D141" s="104">
        <v>0</v>
      </c>
      <c r="E141" s="104">
        <v>0</v>
      </c>
      <c r="F141" s="104">
        <v>0</v>
      </c>
      <c r="G141" s="104">
        <v>0</v>
      </c>
      <c r="H141" s="104">
        <v>0</v>
      </c>
      <c r="I141" s="104">
        <v>0</v>
      </c>
      <c r="J141" s="104">
        <v>0</v>
      </c>
      <c r="K141" s="104">
        <v>0</v>
      </c>
      <c r="L141" s="104">
        <v>0</v>
      </c>
      <c r="M141" s="104">
        <v>0</v>
      </c>
      <c r="N141" s="104">
        <v>0</v>
      </c>
      <c r="O141" s="104">
        <v>0</v>
      </c>
      <c r="P141" s="104">
        <v>0</v>
      </c>
      <c r="Q141" s="104">
        <v>0</v>
      </c>
      <c r="R141" s="104">
        <v>0</v>
      </c>
      <c r="S141" s="104">
        <v>0</v>
      </c>
      <c r="T141" s="104">
        <v>0</v>
      </c>
      <c r="U141" s="104">
        <v>0</v>
      </c>
      <c r="V141" s="104">
        <v>0</v>
      </c>
      <c r="W141" s="104">
        <v>0</v>
      </c>
      <c r="X141" s="104">
        <v>0</v>
      </c>
      <c r="Y141" s="104">
        <v>0</v>
      </c>
      <c r="Z141" s="104">
        <v>0</v>
      </c>
      <c r="AA141" s="104">
        <v>0</v>
      </c>
      <c r="AB141" s="104">
        <v>0</v>
      </c>
      <c r="AC141" s="104">
        <v>0</v>
      </c>
      <c r="AD141" s="104">
        <v>0</v>
      </c>
      <c r="AE141" s="104">
        <v>0</v>
      </c>
      <c r="AF141" s="104">
        <v>0</v>
      </c>
      <c r="AG141" s="104">
        <v>0</v>
      </c>
      <c r="AH141" s="104">
        <v>0</v>
      </c>
      <c r="AI141" s="104">
        <v>0</v>
      </c>
      <c r="AJ141" s="104">
        <v>0</v>
      </c>
      <c r="AK141" s="104">
        <v>0</v>
      </c>
      <c r="AL141" s="104">
        <v>0</v>
      </c>
      <c r="AM141" s="104">
        <v>0</v>
      </c>
      <c r="AN141" s="104">
        <v>0</v>
      </c>
      <c r="AO141" s="104">
        <v>0</v>
      </c>
      <c r="AP141" s="104">
        <v>0</v>
      </c>
      <c r="AQ141" s="104">
        <v>0</v>
      </c>
      <c r="AR141" s="104">
        <v>0</v>
      </c>
      <c r="AS141" s="104">
        <v>0</v>
      </c>
      <c r="AT141" s="104">
        <v>0</v>
      </c>
      <c r="AU141" s="104">
        <v>0</v>
      </c>
      <c r="AV141" s="104">
        <v>0</v>
      </c>
      <c r="AW141" s="104">
        <v>0</v>
      </c>
      <c r="AX141" s="104">
        <v>0</v>
      </c>
      <c r="AY141" s="104">
        <v>0</v>
      </c>
    </row>
    <row r="142" spans="1:51">
      <c r="A142" s="107"/>
      <c r="B142" s="117">
        <v>21</v>
      </c>
      <c r="C142" s="104">
        <v>0</v>
      </c>
      <c r="D142" s="104">
        <v>0</v>
      </c>
      <c r="E142" s="104">
        <v>0</v>
      </c>
      <c r="F142" s="104">
        <v>0</v>
      </c>
      <c r="G142" s="104">
        <v>0</v>
      </c>
      <c r="H142" s="104">
        <v>0</v>
      </c>
      <c r="I142" s="104">
        <v>0</v>
      </c>
      <c r="J142" s="104">
        <v>0</v>
      </c>
      <c r="K142" s="104">
        <v>0</v>
      </c>
      <c r="L142" s="104">
        <v>0</v>
      </c>
      <c r="M142" s="104">
        <v>0</v>
      </c>
      <c r="N142" s="104">
        <v>0</v>
      </c>
      <c r="O142" s="104">
        <v>0</v>
      </c>
      <c r="P142" s="104">
        <v>0</v>
      </c>
      <c r="Q142" s="104">
        <v>0</v>
      </c>
      <c r="R142" s="104">
        <v>0</v>
      </c>
      <c r="S142" s="104">
        <v>0</v>
      </c>
      <c r="T142" s="104">
        <v>0</v>
      </c>
      <c r="U142" s="104">
        <v>0</v>
      </c>
      <c r="V142" s="104">
        <v>0</v>
      </c>
      <c r="W142" s="104">
        <v>0</v>
      </c>
      <c r="X142" s="104">
        <v>0</v>
      </c>
      <c r="Y142" s="104">
        <v>0</v>
      </c>
      <c r="Z142" s="104">
        <v>0</v>
      </c>
      <c r="AA142" s="104">
        <v>0</v>
      </c>
      <c r="AB142" s="104">
        <v>0</v>
      </c>
      <c r="AC142" s="104">
        <v>0</v>
      </c>
      <c r="AD142" s="104">
        <v>0</v>
      </c>
      <c r="AE142" s="104">
        <v>0</v>
      </c>
      <c r="AF142" s="104">
        <v>0</v>
      </c>
      <c r="AG142" s="104">
        <v>0</v>
      </c>
      <c r="AH142" s="104">
        <v>0</v>
      </c>
      <c r="AI142" s="104">
        <v>0</v>
      </c>
      <c r="AJ142" s="104">
        <v>0</v>
      </c>
      <c r="AK142" s="104">
        <v>0</v>
      </c>
      <c r="AL142" s="104">
        <v>0</v>
      </c>
      <c r="AM142" s="104">
        <v>0</v>
      </c>
      <c r="AN142" s="104">
        <v>0</v>
      </c>
      <c r="AO142" s="104">
        <v>0</v>
      </c>
      <c r="AP142" s="104">
        <v>0</v>
      </c>
      <c r="AQ142" s="104">
        <v>0</v>
      </c>
      <c r="AR142" s="104">
        <v>0</v>
      </c>
      <c r="AS142" s="104">
        <v>0</v>
      </c>
      <c r="AT142" s="104">
        <v>0</v>
      </c>
      <c r="AU142" s="104">
        <v>0</v>
      </c>
      <c r="AV142" s="104">
        <v>0</v>
      </c>
      <c r="AW142" s="104">
        <v>0</v>
      </c>
      <c r="AX142" s="104">
        <v>0</v>
      </c>
      <c r="AY142" s="104">
        <v>0</v>
      </c>
    </row>
    <row r="143" spans="1:51">
      <c r="A143" s="107"/>
      <c r="B143" s="117">
        <v>22</v>
      </c>
      <c r="C143" s="104">
        <v>0</v>
      </c>
      <c r="D143" s="104">
        <v>0</v>
      </c>
      <c r="E143" s="104">
        <v>0</v>
      </c>
      <c r="F143" s="104">
        <v>0</v>
      </c>
      <c r="G143" s="104">
        <v>0</v>
      </c>
      <c r="H143" s="104">
        <v>0</v>
      </c>
      <c r="I143" s="104">
        <v>0</v>
      </c>
      <c r="J143" s="104">
        <v>0</v>
      </c>
      <c r="K143" s="104">
        <v>0</v>
      </c>
      <c r="L143" s="104">
        <v>0</v>
      </c>
      <c r="M143" s="104">
        <v>0</v>
      </c>
      <c r="N143" s="104">
        <v>0</v>
      </c>
      <c r="O143" s="104">
        <v>0</v>
      </c>
      <c r="P143" s="104">
        <v>0</v>
      </c>
      <c r="Q143" s="104">
        <v>0</v>
      </c>
      <c r="R143" s="104">
        <v>0</v>
      </c>
      <c r="S143" s="104">
        <v>0</v>
      </c>
      <c r="T143" s="104">
        <v>0</v>
      </c>
      <c r="U143" s="104">
        <v>0</v>
      </c>
      <c r="V143" s="104">
        <v>0</v>
      </c>
      <c r="W143" s="104">
        <v>0</v>
      </c>
      <c r="X143" s="104">
        <v>0</v>
      </c>
      <c r="Y143" s="104">
        <v>0</v>
      </c>
      <c r="Z143" s="104">
        <v>0</v>
      </c>
      <c r="AA143" s="104">
        <v>0</v>
      </c>
      <c r="AB143" s="104">
        <v>0</v>
      </c>
      <c r="AC143" s="104">
        <v>0</v>
      </c>
      <c r="AD143" s="104">
        <v>0</v>
      </c>
      <c r="AE143" s="104">
        <v>0</v>
      </c>
      <c r="AF143" s="104">
        <v>0</v>
      </c>
      <c r="AG143" s="104">
        <v>0</v>
      </c>
      <c r="AH143" s="104">
        <v>0</v>
      </c>
      <c r="AI143" s="104">
        <v>0</v>
      </c>
      <c r="AJ143" s="104">
        <v>0</v>
      </c>
      <c r="AK143" s="104">
        <v>0</v>
      </c>
      <c r="AL143" s="104">
        <v>0</v>
      </c>
      <c r="AM143" s="104">
        <v>0</v>
      </c>
      <c r="AN143" s="104">
        <v>0</v>
      </c>
      <c r="AO143" s="104">
        <v>0</v>
      </c>
      <c r="AP143" s="104">
        <v>0</v>
      </c>
      <c r="AQ143" s="104">
        <v>0</v>
      </c>
      <c r="AR143" s="104">
        <v>0</v>
      </c>
      <c r="AS143" s="104">
        <v>0</v>
      </c>
      <c r="AT143" s="104">
        <v>0</v>
      </c>
      <c r="AU143" s="104">
        <v>0</v>
      </c>
      <c r="AV143" s="104">
        <v>0</v>
      </c>
      <c r="AW143" s="104">
        <v>0</v>
      </c>
      <c r="AX143" s="104">
        <v>0</v>
      </c>
      <c r="AY143" s="104">
        <v>0</v>
      </c>
    </row>
    <row r="144" spans="1:51">
      <c r="A144" s="107"/>
      <c r="B144" s="117">
        <v>23</v>
      </c>
      <c r="C144" s="104">
        <v>0</v>
      </c>
      <c r="D144" s="104">
        <v>0</v>
      </c>
      <c r="E144" s="104">
        <v>0</v>
      </c>
      <c r="F144" s="104">
        <v>0</v>
      </c>
      <c r="G144" s="104">
        <v>0</v>
      </c>
      <c r="H144" s="104">
        <v>0</v>
      </c>
      <c r="I144" s="104">
        <v>0</v>
      </c>
      <c r="J144" s="104">
        <v>0</v>
      </c>
      <c r="K144" s="104">
        <v>0</v>
      </c>
      <c r="L144" s="104">
        <v>0</v>
      </c>
      <c r="M144" s="104">
        <v>0</v>
      </c>
      <c r="N144" s="104">
        <v>0</v>
      </c>
      <c r="O144" s="104">
        <v>0</v>
      </c>
      <c r="P144" s="104">
        <v>0</v>
      </c>
      <c r="Q144" s="104">
        <v>0</v>
      </c>
      <c r="R144" s="104">
        <v>0</v>
      </c>
      <c r="S144" s="104">
        <v>0</v>
      </c>
      <c r="T144" s="104">
        <v>0</v>
      </c>
      <c r="U144" s="104">
        <v>0</v>
      </c>
      <c r="V144" s="104">
        <v>0</v>
      </c>
      <c r="W144" s="104">
        <v>0</v>
      </c>
      <c r="X144" s="104">
        <v>0</v>
      </c>
      <c r="Y144" s="104">
        <v>0</v>
      </c>
      <c r="Z144" s="104">
        <v>0</v>
      </c>
      <c r="AA144" s="104">
        <v>0</v>
      </c>
      <c r="AB144" s="104">
        <v>0</v>
      </c>
      <c r="AC144" s="104">
        <v>0</v>
      </c>
      <c r="AD144" s="104">
        <v>0</v>
      </c>
      <c r="AE144" s="104">
        <v>0</v>
      </c>
      <c r="AF144" s="104">
        <v>0</v>
      </c>
      <c r="AG144" s="104">
        <v>0</v>
      </c>
      <c r="AH144" s="104">
        <v>0</v>
      </c>
      <c r="AI144" s="104">
        <v>0</v>
      </c>
      <c r="AJ144" s="104">
        <v>0</v>
      </c>
      <c r="AK144" s="104">
        <v>0</v>
      </c>
      <c r="AL144" s="104">
        <v>0</v>
      </c>
      <c r="AM144" s="104">
        <v>0</v>
      </c>
      <c r="AN144" s="104">
        <v>0</v>
      </c>
      <c r="AO144" s="104">
        <v>0</v>
      </c>
      <c r="AP144" s="104">
        <v>0</v>
      </c>
      <c r="AQ144" s="104">
        <v>0</v>
      </c>
      <c r="AR144" s="104">
        <v>0</v>
      </c>
      <c r="AS144" s="104">
        <v>0</v>
      </c>
      <c r="AT144" s="104">
        <v>0</v>
      </c>
      <c r="AU144" s="104">
        <v>0</v>
      </c>
      <c r="AV144" s="104">
        <v>0</v>
      </c>
      <c r="AW144" s="104">
        <v>0</v>
      </c>
      <c r="AX144" s="104">
        <v>0</v>
      </c>
      <c r="AY144" s="104">
        <v>0</v>
      </c>
    </row>
    <row r="145" spans="1:51">
      <c r="A145" s="107"/>
      <c r="B145" s="117">
        <v>24</v>
      </c>
      <c r="C145" s="104">
        <v>0</v>
      </c>
      <c r="D145" s="104">
        <v>0</v>
      </c>
      <c r="E145" s="104">
        <v>0</v>
      </c>
      <c r="F145" s="104">
        <v>0</v>
      </c>
      <c r="G145" s="104">
        <v>0</v>
      </c>
      <c r="H145" s="104">
        <v>0</v>
      </c>
      <c r="I145" s="104">
        <v>0</v>
      </c>
      <c r="J145" s="104">
        <v>0</v>
      </c>
      <c r="K145" s="104">
        <v>0</v>
      </c>
      <c r="L145" s="104">
        <v>0</v>
      </c>
      <c r="M145" s="104">
        <v>0</v>
      </c>
      <c r="N145" s="104">
        <v>0</v>
      </c>
      <c r="O145" s="104">
        <v>0</v>
      </c>
      <c r="P145" s="104">
        <v>0</v>
      </c>
      <c r="Q145" s="104">
        <v>0</v>
      </c>
      <c r="R145" s="104">
        <v>0</v>
      </c>
      <c r="S145" s="104">
        <v>0</v>
      </c>
      <c r="T145" s="104">
        <v>0</v>
      </c>
      <c r="U145" s="104">
        <v>0</v>
      </c>
      <c r="V145" s="104">
        <v>0</v>
      </c>
      <c r="W145" s="104">
        <v>0</v>
      </c>
      <c r="X145" s="104">
        <v>0</v>
      </c>
      <c r="Y145" s="104">
        <v>0</v>
      </c>
      <c r="Z145" s="104">
        <v>0</v>
      </c>
      <c r="AA145" s="104">
        <v>0</v>
      </c>
      <c r="AB145" s="104">
        <v>0</v>
      </c>
      <c r="AC145" s="104">
        <v>0</v>
      </c>
      <c r="AD145" s="104">
        <v>0</v>
      </c>
      <c r="AE145" s="104">
        <v>0</v>
      </c>
      <c r="AF145" s="104">
        <v>0</v>
      </c>
      <c r="AG145" s="104">
        <v>0</v>
      </c>
      <c r="AH145" s="104">
        <v>0</v>
      </c>
      <c r="AI145" s="104">
        <v>0</v>
      </c>
      <c r="AJ145" s="104">
        <v>0</v>
      </c>
      <c r="AK145" s="104">
        <v>0</v>
      </c>
      <c r="AL145" s="104">
        <v>0</v>
      </c>
      <c r="AM145" s="104">
        <v>0</v>
      </c>
      <c r="AN145" s="104">
        <v>0</v>
      </c>
      <c r="AO145" s="104">
        <v>0</v>
      </c>
      <c r="AP145" s="104">
        <v>0</v>
      </c>
      <c r="AQ145" s="104">
        <v>0</v>
      </c>
      <c r="AR145" s="104">
        <v>0</v>
      </c>
      <c r="AS145" s="104">
        <v>0</v>
      </c>
      <c r="AT145" s="104">
        <v>0</v>
      </c>
      <c r="AU145" s="104">
        <v>0</v>
      </c>
      <c r="AV145" s="104">
        <v>0</v>
      </c>
      <c r="AW145" s="104">
        <v>0</v>
      </c>
      <c r="AX145" s="104">
        <v>0</v>
      </c>
      <c r="AY145" s="104">
        <v>0</v>
      </c>
    </row>
    <row r="146" spans="1:51">
      <c r="A146" s="107"/>
      <c r="B146" s="124">
        <v>25</v>
      </c>
      <c r="C146" s="104">
        <v>0</v>
      </c>
      <c r="D146" s="104">
        <v>0</v>
      </c>
      <c r="E146" s="104">
        <v>0</v>
      </c>
      <c r="F146" s="104">
        <v>0</v>
      </c>
      <c r="G146" s="104">
        <v>0</v>
      </c>
      <c r="H146" s="104">
        <v>0</v>
      </c>
      <c r="I146" s="104">
        <v>0</v>
      </c>
      <c r="J146" s="104">
        <v>0</v>
      </c>
      <c r="K146" s="104">
        <v>0</v>
      </c>
      <c r="L146" s="104">
        <v>0</v>
      </c>
      <c r="M146" s="104">
        <v>0</v>
      </c>
      <c r="N146" s="104">
        <v>0</v>
      </c>
      <c r="O146" s="104">
        <v>0</v>
      </c>
      <c r="P146" s="104">
        <v>0</v>
      </c>
      <c r="Q146" s="104">
        <v>0</v>
      </c>
      <c r="R146" s="104">
        <v>0</v>
      </c>
      <c r="S146" s="104">
        <v>0</v>
      </c>
      <c r="T146" s="104">
        <v>0</v>
      </c>
      <c r="U146" s="104">
        <v>0</v>
      </c>
      <c r="V146" s="104">
        <v>0</v>
      </c>
      <c r="W146" s="104">
        <v>0</v>
      </c>
      <c r="X146" s="104">
        <v>0</v>
      </c>
      <c r="Y146" s="104">
        <v>0</v>
      </c>
      <c r="Z146" s="104">
        <v>0</v>
      </c>
      <c r="AA146" s="104">
        <v>0</v>
      </c>
      <c r="AB146" s="104">
        <v>0</v>
      </c>
      <c r="AC146" s="104">
        <v>0</v>
      </c>
      <c r="AD146" s="104">
        <v>0</v>
      </c>
      <c r="AE146" s="104">
        <v>0</v>
      </c>
      <c r="AF146" s="104">
        <v>0</v>
      </c>
      <c r="AG146" s="104">
        <v>0</v>
      </c>
      <c r="AH146" s="104">
        <v>0</v>
      </c>
      <c r="AI146" s="104">
        <v>0</v>
      </c>
      <c r="AJ146" s="104">
        <v>0</v>
      </c>
      <c r="AK146" s="104">
        <v>0</v>
      </c>
      <c r="AL146" s="104">
        <v>0</v>
      </c>
      <c r="AM146" s="104">
        <v>0</v>
      </c>
      <c r="AN146" s="104">
        <v>0</v>
      </c>
      <c r="AO146" s="104">
        <v>0</v>
      </c>
      <c r="AP146" s="104">
        <v>0</v>
      </c>
      <c r="AQ146" s="104">
        <v>0</v>
      </c>
      <c r="AR146" s="104">
        <v>0</v>
      </c>
      <c r="AS146" s="104">
        <v>0</v>
      </c>
      <c r="AT146" s="104">
        <v>0</v>
      </c>
      <c r="AU146" s="104">
        <v>0</v>
      </c>
      <c r="AV146" s="104">
        <v>0</v>
      </c>
      <c r="AW146" s="104">
        <v>0</v>
      </c>
      <c r="AX146" s="104">
        <v>0</v>
      </c>
      <c r="AY146" s="104">
        <v>0</v>
      </c>
    </row>
    <row r="147" spans="1:51">
      <c r="A147" s="107"/>
      <c r="B147" s="124">
        <v>26</v>
      </c>
      <c r="C147" s="104">
        <v>0</v>
      </c>
      <c r="D147" s="104">
        <v>0</v>
      </c>
      <c r="E147" s="104">
        <v>0</v>
      </c>
      <c r="F147" s="104">
        <v>0</v>
      </c>
      <c r="G147" s="104">
        <v>0</v>
      </c>
      <c r="H147" s="104">
        <v>0</v>
      </c>
      <c r="I147" s="104">
        <v>0</v>
      </c>
      <c r="J147" s="104">
        <v>0</v>
      </c>
      <c r="K147" s="104">
        <v>0</v>
      </c>
      <c r="L147" s="104">
        <v>0</v>
      </c>
      <c r="M147" s="104">
        <v>0</v>
      </c>
      <c r="N147" s="104">
        <v>0</v>
      </c>
      <c r="O147" s="104">
        <v>0</v>
      </c>
      <c r="P147" s="104">
        <v>0</v>
      </c>
      <c r="Q147" s="104">
        <v>0</v>
      </c>
      <c r="R147" s="104">
        <v>0</v>
      </c>
      <c r="S147" s="104">
        <v>0</v>
      </c>
      <c r="T147" s="104">
        <v>0</v>
      </c>
      <c r="U147" s="104">
        <v>0</v>
      </c>
      <c r="V147" s="104">
        <v>0</v>
      </c>
      <c r="W147" s="104">
        <v>0</v>
      </c>
      <c r="X147" s="104">
        <v>0</v>
      </c>
      <c r="Y147" s="104">
        <v>0</v>
      </c>
      <c r="Z147" s="104">
        <v>0</v>
      </c>
      <c r="AA147" s="104">
        <v>0</v>
      </c>
      <c r="AB147" s="104">
        <v>0</v>
      </c>
      <c r="AC147" s="104">
        <v>0</v>
      </c>
      <c r="AD147" s="104">
        <v>0</v>
      </c>
      <c r="AE147" s="104">
        <v>0</v>
      </c>
      <c r="AF147" s="104">
        <v>0</v>
      </c>
      <c r="AG147" s="104">
        <v>0</v>
      </c>
      <c r="AH147" s="104">
        <v>0</v>
      </c>
      <c r="AI147" s="104">
        <v>0</v>
      </c>
      <c r="AJ147" s="104">
        <v>0</v>
      </c>
      <c r="AK147" s="104">
        <v>0</v>
      </c>
      <c r="AL147" s="104">
        <v>0</v>
      </c>
      <c r="AM147" s="104">
        <v>0</v>
      </c>
      <c r="AN147" s="104">
        <v>0</v>
      </c>
      <c r="AO147" s="104">
        <v>0</v>
      </c>
      <c r="AP147" s="104">
        <v>0</v>
      </c>
      <c r="AQ147" s="104">
        <v>0</v>
      </c>
      <c r="AR147" s="104">
        <v>0</v>
      </c>
      <c r="AS147" s="104">
        <v>0</v>
      </c>
      <c r="AT147" s="104">
        <v>0</v>
      </c>
      <c r="AU147" s="104">
        <v>0</v>
      </c>
      <c r="AV147" s="104">
        <v>0</v>
      </c>
      <c r="AW147" s="104">
        <v>0</v>
      </c>
      <c r="AX147" s="104">
        <v>0</v>
      </c>
      <c r="AY147" s="104">
        <v>0</v>
      </c>
    </row>
    <row r="148" spans="1:51">
      <c r="A148" s="107"/>
      <c r="B148" s="124">
        <v>27</v>
      </c>
      <c r="C148" s="104">
        <v>0</v>
      </c>
      <c r="D148" s="104">
        <v>0</v>
      </c>
      <c r="E148" s="104">
        <v>0</v>
      </c>
      <c r="F148" s="104">
        <v>0</v>
      </c>
      <c r="G148" s="104">
        <v>0</v>
      </c>
      <c r="H148" s="104">
        <v>0</v>
      </c>
      <c r="I148" s="104">
        <v>0</v>
      </c>
      <c r="J148" s="104">
        <v>0</v>
      </c>
      <c r="K148" s="104">
        <v>0</v>
      </c>
      <c r="L148" s="104">
        <v>0</v>
      </c>
      <c r="M148" s="104">
        <v>0</v>
      </c>
      <c r="N148" s="104">
        <v>0</v>
      </c>
      <c r="O148" s="104">
        <v>0</v>
      </c>
      <c r="P148" s="104">
        <v>0</v>
      </c>
      <c r="Q148" s="104">
        <v>0</v>
      </c>
      <c r="R148" s="104">
        <v>0</v>
      </c>
      <c r="S148" s="104">
        <v>0</v>
      </c>
      <c r="T148" s="104">
        <v>0</v>
      </c>
      <c r="U148" s="104">
        <v>0</v>
      </c>
      <c r="V148" s="104">
        <v>0</v>
      </c>
      <c r="W148" s="104">
        <v>0</v>
      </c>
      <c r="X148" s="104">
        <v>0</v>
      </c>
      <c r="Y148" s="104">
        <v>0</v>
      </c>
      <c r="Z148" s="104">
        <v>0</v>
      </c>
      <c r="AA148" s="104">
        <v>0</v>
      </c>
      <c r="AB148" s="104">
        <v>0</v>
      </c>
      <c r="AC148" s="104">
        <v>0</v>
      </c>
      <c r="AD148" s="104">
        <v>0</v>
      </c>
      <c r="AE148" s="104">
        <v>0</v>
      </c>
      <c r="AF148" s="104">
        <v>0</v>
      </c>
      <c r="AG148" s="104">
        <v>0</v>
      </c>
      <c r="AH148" s="104">
        <v>0</v>
      </c>
      <c r="AI148" s="104">
        <v>0</v>
      </c>
      <c r="AJ148" s="104">
        <v>0</v>
      </c>
      <c r="AK148" s="104">
        <v>0</v>
      </c>
      <c r="AL148" s="104">
        <v>0</v>
      </c>
      <c r="AM148" s="104">
        <v>0</v>
      </c>
      <c r="AN148" s="104">
        <v>0</v>
      </c>
      <c r="AO148" s="104">
        <v>0</v>
      </c>
      <c r="AP148" s="104">
        <v>0</v>
      </c>
      <c r="AQ148" s="104">
        <v>0</v>
      </c>
      <c r="AR148" s="104">
        <v>0</v>
      </c>
      <c r="AS148" s="104">
        <v>0</v>
      </c>
      <c r="AT148" s="104">
        <v>0</v>
      </c>
      <c r="AU148" s="104">
        <v>0</v>
      </c>
      <c r="AV148" s="104">
        <v>0</v>
      </c>
      <c r="AW148" s="104">
        <v>0</v>
      </c>
      <c r="AX148" s="104">
        <v>0</v>
      </c>
      <c r="AY148" s="104">
        <v>0</v>
      </c>
    </row>
    <row r="149" spans="1:51">
      <c r="A149" s="107"/>
      <c r="B149" s="124">
        <v>28</v>
      </c>
      <c r="C149" s="104">
        <v>0</v>
      </c>
      <c r="D149" s="104">
        <v>0</v>
      </c>
      <c r="E149" s="104">
        <v>0</v>
      </c>
      <c r="F149" s="104">
        <v>0</v>
      </c>
      <c r="G149" s="104">
        <v>0</v>
      </c>
      <c r="H149" s="104">
        <v>0</v>
      </c>
      <c r="I149" s="104">
        <v>0</v>
      </c>
      <c r="J149" s="104">
        <v>0</v>
      </c>
      <c r="K149" s="104">
        <v>0</v>
      </c>
      <c r="L149" s="104">
        <v>0</v>
      </c>
      <c r="M149" s="104">
        <v>0</v>
      </c>
      <c r="N149" s="104">
        <v>0</v>
      </c>
      <c r="O149" s="104">
        <v>0</v>
      </c>
      <c r="P149" s="104">
        <v>0</v>
      </c>
      <c r="Q149" s="104">
        <v>0</v>
      </c>
      <c r="R149" s="104">
        <v>0</v>
      </c>
      <c r="S149" s="104">
        <v>0</v>
      </c>
      <c r="T149" s="104">
        <v>0</v>
      </c>
      <c r="U149" s="104">
        <v>0</v>
      </c>
      <c r="V149" s="104">
        <v>0</v>
      </c>
      <c r="W149" s="104">
        <v>0</v>
      </c>
      <c r="X149" s="104">
        <v>0</v>
      </c>
      <c r="Y149" s="104">
        <v>0</v>
      </c>
      <c r="Z149" s="104">
        <v>0</v>
      </c>
      <c r="AA149" s="104">
        <v>0</v>
      </c>
      <c r="AB149" s="104">
        <v>0</v>
      </c>
      <c r="AC149" s="104">
        <v>0</v>
      </c>
      <c r="AD149" s="104">
        <v>0</v>
      </c>
      <c r="AE149" s="104">
        <v>0</v>
      </c>
      <c r="AF149" s="104">
        <v>0</v>
      </c>
      <c r="AG149" s="104">
        <v>0</v>
      </c>
      <c r="AH149" s="104">
        <v>0</v>
      </c>
      <c r="AI149" s="104">
        <v>0</v>
      </c>
      <c r="AJ149" s="104">
        <v>0</v>
      </c>
      <c r="AK149" s="104">
        <v>0</v>
      </c>
      <c r="AL149" s="104">
        <v>0</v>
      </c>
      <c r="AM149" s="104">
        <v>0</v>
      </c>
      <c r="AN149" s="104">
        <v>0</v>
      </c>
      <c r="AO149" s="104">
        <v>0</v>
      </c>
      <c r="AP149" s="104">
        <v>0</v>
      </c>
      <c r="AQ149" s="104">
        <v>0</v>
      </c>
      <c r="AR149" s="104">
        <v>0</v>
      </c>
      <c r="AS149" s="104">
        <v>0</v>
      </c>
      <c r="AT149" s="104">
        <v>0</v>
      </c>
      <c r="AU149" s="104">
        <v>0</v>
      </c>
      <c r="AV149" s="104">
        <v>0</v>
      </c>
      <c r="AW149" s="104">
        <v>0</v>
      </c>
      <c r="AX149" s="104">
        <v>0</v>
      </c>
      <c r="AY149" s="104">
        <v>0</v>
      </c>
    </row>
    <row r="150" spans="1:51">
      <c r="A150" s="107"/>
      <c r="B150" s="124">
        <v>29</v>
      </c>
      <c r="C150" s="104">
        <v>0</v>
      </c>
      <c r="D150" s="104">
        <v>0</v>
      </c>
      <c r="E150" s="104">
        <v>0</v>
      </c>
      <c r="F150" s="104">
        <v>0</v>
      </c>
      <c r="G150" s="104">
        <v>0</v>
      </c>
      <c r="H150" s="104">
        <v>0</v>
      </c>
      <c r="I150" s="104">
        <v>0</v>
      </c>
      <c r="J150" s="104">
        <v>0</v>
      </c>
      <c r="K150" s="104">
        <v>0</v>
      </c>
      <c r="L150" s="104">
        <v>0</v>
      </c>
      <c r="M150" s="104">
        <v>0</v>
      </c>
      <c r="N150" s="104">
        <v>0</v>
      </c>
      <c r="O150" s="104">
        <v>0</v>
      </c>
      <c r="P150" s="104">
        <v>0</v>
      </c>
      <c r="Q150" s="104">
        <v>0</v>
      </c>
      <c r="R150" s="104">
        <v>0</v>
      </c>
      <c r="S150" s="104">
        <v>0</v>
      </c>
      <c r="T150" s="104">
        <v>0</v>
      </c>
      <c r="U150" s="104">
        <v>0</v>
      </c>
      <c r="V150" s="104">
        <v>0</v>
      </c>
      <c r="W150" s="104">
        <v>0</v>
      </c>
      <c r="X150" s="104">
        <v>0</v>
      </c>
      <c r="Y150" s="104">
        <v>0</v>
      </c>
      <c r="Z150" s="104">
        <v>0</v>
      </c>
      <c r="AA150" s="104">
        <v>0</v>
      </c>
      <c r="AB150" s="104">
        <v>0</v>
      </c>
      <c r="AC150" s="104">
        <v>0</v>
      </c>
      <c r="AD150" s="104">
        <v>0</v>
      </c>
      <c r="AE150" s="104">
        <v>0</v>
      </c>
      <c r="AF150" s="104">
        <v>0</v>
      </c>
      <c r="AG150" s="104">
        <v>0</v>
      </c>
      <c r="AH150" s="104">
        <v>0</v>
      </c>
      <c r="AI150" s="104">
        <v>0</v>
      </c>
      <c r="AJ150" s="104">
        <v>0</v>
      </c>
      <c r="AK150" s="104">
        <v>0</v>
      </c>
      <c r="AL150" s="104">
        <v>0</v>
      </c>
      <c r="AM150" s="104">
        <v>0</v>
      </c>
      <c r="AN150" s="104">
        <v>0</v>
      </c>
      <c r="AO150" s="104">
        <v>0</v>
      </c>
      <c r="AP150" s="104">
        <v>0</v>
      </c>
      <c r="AQ150" s="104">
        <v>0</v>
      </c>
      <c r="AR150" s="104">
        <v>0</v>
      </c>
      <c r="AS150" s="104">
        <v>0</v>
      </c>
      <c r="AT150" s="104">
        <v>0</v>
      </c>
      <c r="AU150" s="104">
        <v>0</v>
      </c>
      <c r="AV150" s="104">
        <v>0</v>
      </c>
      <c r="AW150" s="104">
        <v>0</v>
      </c>
      <c r="AX150" s="104">
        <v>0</v>
      </c>
      <c r="AY150" s="104">
        <v>0</v>
      </c>
    </row>
    <row r="151" spans="1:51">
      <c r="A151" s="107"/>
      <c r="B151" s="124">
        <v>30</v>
      </c>
      <c r="C151" s="104">
        <v>0</v>
      </c>
      <c r="D151" s="104">
        <v>0</v>
      </c>
      <c r="E151" s="104">
        <v>0</v>
      </c>
      <c r="F151" s="104">
        <v>0</v>
      </c>
      <c r="G151" s="104">
        <v>0</v>
      </c>
      <c r="H151" s="104">
        <v>0</v>
      </c>
      <c r="I151" s="104">
        <v>0</v>
      </c>
      <c r="J151" s="104">
        <v>0</v>
      </c>
      <c r="K151" s="104">
        <v>0</v>
      </c>
      <c r="L151" s="104">
        <v>0</v>
      </c>
      <c r="M151" s="104">
        <v>0</v>
      </c>
      <c r="N151" s="104">
        <v>0</v>
      </c>
      <c r="O151" s="104">
        <v>0</v>
      </c>
      <c r="P151" s="104">
        <v>0</v>
      </c>
      <c r="Q151" s="104">
        <v>0</v>
      </c>
      <c r="R151" s="104">
        <v>0</v>
      </c>
      <c r="S151" s="104">
        <v>0</v>
      </c>
      <c r="T151" s="104">
        <v>0</v>
      </c>
      <c r="U151" s="104">
        <v>0</v>
      </c>
      <c r="V151" s="104">
        <v>0</v>
      </c>
      <c r="W151" s="104">
        <v>0</v>
      </c>
      <c r="X151" s="104">
        <v>0</v>
      </c>
      <c r="Y151" s="104">
        <v>0</v>
      </c>
      <c r="Z151" s="104">
        <v>0</v>
      </c>
      <c r="AA151" s="104">
        <v>0</v>
      </c>
      <c r="AB151" s="104">
        <v>0</v>
      </c>
      <c r="AC151" s="104">
        <v>0</v>
      </c>
      <c r="AD151" s="104">
        <v>0</v>
      </c>
      <c r="AE151" s="104">
        <v>0</v>
      </c>
      <c r="AF151" s="104">
        <v>0</v>
      </c>
      <c r="AG151" s="104">
        <v>0</v>
      </c>
      <c r="AH151" s="104">
        <v>0</v>
      </c>
      <c r="AI151" s="104">
        <v>0</v>
      </c>
      <c r="AJ151" s="104">
        <v>0</v>
      </c>
      <c r="AK151" s="104">
        <v>0</v>
      </c>
      <c r="AL151" s="104">
        <v>0</v>
      </c>
      <c r="AM151" s="104">
        <v>0</v>
      </c>
      <c r="AN151" s="104">
        <v>0</v>
      </c>
      <c r="AO151" s="104">
        <v>0</v>
      </c>
      <c r="AP151" s="104">
        <v>0</v>
      </c>
      <c r="AQ151" s="104">
        <v>0</v>
      </c>
      <c r="AR151" s="104">
        <v>0</v>
      </c>
      <c r="AS151" s="104">
        <v>0</v>
      </c>
      <c r="AT151" s="104">
        <v>0</v>
      </c>
      <c r="AU151" s="104">
        <v>0</v>
      </c>
      <c r="AV151" s="104">
        <v>0</v>
      </c>
      <c r="AW151" s="104">
        <v>0</v>
      </c>
      <c r="AX151" s="104">
        <v>0</v>
      </c>
      <c r="AY151" s="104">
        <v>0</v>
      </c>
    </row>
    <row r="152" spans="1:51">
      <c r="A152" s="107"/>
      <c r="B152" s="124">
        <v>31</v>
      </c>
      <c r="C152" s="104">
        <v>0</v>
      </c>
      <c r="D152" s="104">
        <v>0</v>
      </c>
      <c r="E152" s="104">
        <v>0</v>
      </c>
      <c r="F152" s="104">
        <v>0</v>
      </c>
      <c r="G152" s="104">
        <v>0</v>
      </c>
      <c r="H152" s="104">
        <v>0</v>
      </c>
      <c r="I152" s="104">
        <v>0</v>
      </c>
      <c r="J152" s="104">
        <v>0</v>
      </c>
      <c r="K152" s="104">
        <v>0</v>
      </c>
      <c r="L152" s="104">
        <v>0</v>
      </c>
      <c r="M152" s="104">
        <v>0</v>
      </c>
      <c r="N152" s="104">
        <v>0</v>
      </c>
      <c r="O152" s="104">
        <v>0</v>
      </c>
      <c r="P152" s="104">
        <v>0</v>
      </c>
      <c r="Q152" s="104">
        <v>0</v>
      </c>
      <c r="R152" s="104">
        <v>0</v>
      </c>
      <c r="S152" s="104">
        <v>0</v>
      </c>
      <c r="T152" s="104">
        <v>0</v>
      </c>
      <c r="U152" s="104">
        <v>0</v>
      </c>
      <c r="V152" s="104">
        <v>0</v>
      </c>
      <c r="W152" s="104">
        <v>0</v>
      </c>
      <c r="X152" s="104">
        <v>0</v>
      </c>
      <c r="Y152" s="104">
        <v>0</v>
      </c>
      <c r="Z152" s="104">
        <v>0</v>
      </c>
      <c r="AA152" s="104">
        <v>0</v>
      </c>
      <c r="AB152" s="104">
        <v>0</v>
      </c>
      <c r="AC152" s="104">
        <v>0</v>
      </c>
      <c r="AD152" s="104">
        <v>0</v>
      </c>
      <c r="AE152" s="104">
        <v>0</v>
      </c>
      <c r="AF152" s="104">
        <v>0</v>
      </c>
      <c r="AG152" s="104">
        <v>0</v>
      </c>
      <c r="AH152" s="104">
        <v>0</v>
      </c>
      <c r="AI152" s="104">
        <v>0</v>
      </c>
      <c r="AJ152" s="104">
        <v>0</v>
      </c>
      <c r="AK152" s="104">
        <v>0</v>
      </c>
      <c r="AL152" s="104">
        <v>0</v>
      </c>
      <c r="AM152" s="104">
        <v>0</v>
      </c>
      <c r="AN152" s="104">
        <v>0</v>
      </c>
      <c r="AO152" s="104">
        <v>0</v>
      </c>
      <c r="AP152" s="104">
        <v>0</v>
      </c>
      <c r="AQ152" s="104">
        <v>0</v>
      </c>
      <c r="AR152" s="104">
        <v>0</v>
      </c>
      <c r="AS152" s="104">
        <v>0</v>
      </c>
      <c r="AT152" s="104">
        <v>0</v>
      </c>
      <c r="AU152" s="104">
        <v>0</v>
      </c>
      <c r="AV152" s="104">
        <v>0</v>
      </c>
      <c r="AW152" s="104">
        <v>0</v>
      </c>
      <c r="AX152" s="104">
        <v>0</v>
      </c>
      <c r="AY152" s="104">
        <v>0</v>
      </c>
    </row>
    <row r="153" spans="1:51">
      <c r="A153" s="107"/>
      <c r="B153" s="124">
        <v>32</v>
      </c>
      <c r="C153" s="104">
        <v>0</v>
      </c>
      <c r="D153" s="104">
        <v>0</v>
      </c>
      <c r="E153" s="104">
        <v>0</v>
      </c>
      <c r="F153" s="104">
        <v>0</v>
      </c>
      <c r="G153" s="104">
        <v>0</v>
      </c>
      <c r="H153" s="104">
        <v>0</v>
      </c>
      <c r="I153" s="104">
        <v>0</v>
      </c>
      <c r="J153" s="104">
        <v>0</v>
      </c>
      <c r="K153" s="104">
        <v>0</v>
      </c>
      <c r="L153" s="104">
        <v>0</v>
      </c>
      <c r="M153" s="104">
        <v>0</v>
      </c>
      <c r="N153" s="104">
        <v>0</v>
      </c>
      <c r="O153" s="104">
        <v>0</v>
      </c>
      <c r="P153" s="104">
        <v>0</v>
      </c>
      <c r="Q153" s="104">
        <v>0</v>
      </c>
      <c r="R153" s="104">
        <v>0</v>
      </c>
      <c r="S153" s="104">
        <v>0</v>
      </c>
      <c r="T153" s="104">
        <v>0</v>
      </c>
      <c r="U153" s="104">
        <v>0</v>
      </c>
      <c r="V153" s="104">
        <v>0</v>
      </c>
      <c r="W153" s="104">
        <v>0</v>
      </c>
      <c r="X153" s="104">
        <v>0</v>
      </c>
      <c r="Y153" s="104">
        <v>0</v>
      </c>
      <c r="Z153" s="104">
        <v>0</v>
      </c>
      <c r="AA153" s="104">
        <v>0</v>
      </c>
      <c r="AB153" s="104">
        <v>0</v>
      </c>
      <c r="AC153" s="104">
        <v>0</v>
      </c>
      <c r="AD153" s="104">
        <v>0</v>
      </c>
      <c r="AE153" s="104">
        <v>0</v>
      </c>
      <c r="AF153" s="104">
        <v>0</v>
      </c>
      <c r="AG153" s="104">
        <v>0</v>
      </c>
      <c r="AH153" s="104">
        <v>0</v>
      </c>
      <c r="AI153" s="104">
        <v>0</v>
      </c>
      <c r="AJ153" s="104">
        <v>0</v>
      </c>
      <c r="AK153" s="104">
        <v>0</v>
      </c>
      <c r="AL153" s="104">
        <v>0</v>
      </c>
      <c r="AM153" s="104">
        <v>0</v>
      </c>
      <c r="AN153" s="104">
        <v>0</v>
      </c>
      <c r="AO153" s="104">
        <v>0</v>
      </c>
      <c r="AP153" s="104">
        <v>0</v>
      </c>
      <c r="AQ153" s="104">
        <v>0</v>
      </c>
      <c r="AR153" s="104">
        <v>0</v>
      </c>
      <c r="AS153" s="104">
        <v>0</v>
      </c>
      <c r="AT153" s="104">
        <v>0</v>
      </c>
      <c r="AU153" s="104">
        <v>0</v>
      </c>
      <c r="AV153" s="104">
        <v>0</v>
      </c>
      <c r="AW153" s="104">
        <v>0</v>
      </c>
      <c r="AX153" s="104">
        <v>0</v>
      </c>
      <c r="AY153" s="104">
        <v>0</v>
      </c>
    </row>
    <row r="154" spans="1:51">
      <c r="A154" s="107"/>
      <c r="B154" s="124">
        <v>33</v>
      </c>
      <c r="C154" s="104">
        <v>0</v>
      </c>
      <c r="D154" s="104">
        <v>0</v>
      </c>
      <c r="E154" s="104">
        <v>0</v>
      </c>
      <c r="F154" s="104">
        <v>0</v>
      </c>
      <c r="G154" s="104">
        <v>0</v>
      </c>
      <c r="H154" s="104">
        <v>0</v>
      </c>
      <c r="I154" s="104">
        <v>0</v>
      </c>
      <c r="J154" s="104">
        <v>0</v>
      </c>
      <c r="K154" s="104">
        <v>0</v>
      </c>
      <c r="L154" s="104">
        <v>0</v>
      </c>
      <c r="M154" s="104">
        <v>0</v>
      </c>
      <c r="N154" s="104">
        <v>0</v>
      </c>
      <c r="O154" s="104">
        <v>0</v>
      </c>
      <c r="P154" s="104">
        <v>0</v>
      </c>
      <c r="Q154" s="104">
        <v>0</v>
      </c>
      <c r="R154" s="104">
        <v>0</v>
      </c>
      <c r="S154" s="104">
        <v>0</v>
      </c>
      <c r="T154" s="104">
        <v>0</v>
      </c>
      <c r="U154" s="104">
        <v>0</v>
      </c>
      <c r="V154" s="104">
        <v>0</v>
      </c>
      <c r="W154" s="104">
        <v>0</v>
      </c>
      <c r="X154" s="104">
        <v>0</v>
      </c>
      <c r="Y154" s="104">
        <v>0</v>
      </c>
      <c r="Z154" s="104">
        <v>0</v>
      </c>
      <c r="AA154" s="104">
        <v>0</v>
      </c>
      <c r="AB154" s="104">
        <v>0</v>
      </c>
      <c r="AC154" s="104">
        <v>0</v>
      </c>
      <c r="AD154" s="104">
        <v>0</v>
      </c>
      <c r="AE154" s="104">
        <v>0</v>
      </c>
      <c r="AF154" s="104">
        <v>0</v>
      </c>
      <c r="AG154" s="104">
        <v>0</v>
      </c>
      <c r="AH154" s="104">
        <v>0</v>
      </c>
      <c r="AI154" s="104">
        <v>0</v>
      </c>
      <c r="AJ154" s="104">
        <v>0</v>
      </c>
      <c r="AK154" s="104">
        <v>0</v>
      </c>
      <c r="AL154" s="104">
        <v>0</v>
      </c>
      <c r="AM154" s="104">
        <v>0</v>
      </c>
      <c r="AN154" s="104">
        <v>0</v>
      </c>
      <c r="AO154" s="104">
        <v>0</v>
      </c>
      <c r="AP154" s="104">
        <v>0</v>
      </c>
      <c r="AQ154" s="104">
        <v>0</v>
      </c>
      <c r="AR154" s="104">
        <v>0</v>
      </c>
      <c r="AS154" s="104">
        <v>0</v>
      </c>
      <c r="AT154" s="104">
        <v>0</v>
      </c>
      <c r="AU154" s="104">
        <v>0</v>
      </c>
      <c r="AV154" s="104">
        <v>0</v>
      </c>
      <c r="AW154" s="104">
        <v>0</v>
      </c>
      <c r="AX154" s="104">
        <v>0</v>
      </c>
      <c r="AY154" s="104">
        <v>0</v>
      </c>
    </row>
    <row r="155" spans="1:51">
      <c r="A155" s="107"/>
      <c r="B155" s="124">
        <v>34</v>
      </c>
      <c r="C155" s="104">
        <v>0</v>
      </c>
      <c r="D155" s="104">
        <v>0</v>
      </c>
      <c r="E155" s="104">
        <v>0</v>
      </c>
      <c r="F155" s="104">
        <v>0</v>
      </c>
      <c r="G155" s="104">
        <v>0</v>
      </c>
      <c r="H155" s="104">
        <v>0</v>
      </c>
      <c r="I155" s="104">
        <v>0</v>
      </c>
      <c r="J155" s="104">
        <v>0</v>
      </c>
      <c r="K155" s="104">
        <v>0</v>
      </c>
      <c r="L155" s="104">
        <v>0</v>
      </c>
      <c r="M155" s="104">
        <v>0</v>
      </c>
      <c r="N155" s="104">
        <v>0</v>
      </c>
      <c r="O155" s="104">
        <v>0</v>
      </c>
      <c r="P155" s="104">
        <v>0</v>
      </c>
      <c r="Q155" s="104">
        <v>0</v>
      </c>
      <c r="R155" s="104">
        <v>0</v>
      </c>
      <c r="S155" s="104">
        <v>0</v>
      </c>
      <c r="T155" s="104">
        <v>0</v>
      </c>
      <c r="U155" s="104">
        <v>0</v>
      </c>
      <c r="V155" s="104">
        <v>0</v>
      </c>
      <c r="W155" s="104">
        <v>0</v>
      </c>
      <c r="X155" s="104">
        <v>0</v>
      </c>
      <c r="Y155" s="104">
        <v>0</v>
      </c>
      <c r="Z155" s="104">
        <v>0</v>
      </c>
      <c r="AA155" s="104">
        <v>0</v>
      </c>
      <c r="AB155" s="104">
        <v>0</v>
      </c>
      <c r="AC155" s="104">
        <v>0</v>
      </c>
      <c r="AD155" s="104">
        <v>0</v>
      </c>
      <c r="AE155" s="104">
        <v>0</v>
      </c>
      <c r="AF155" s="104">
        <v>0</v>
      </c>
      <c r="AG155" s="104">
        <v>0</v>
      </c>
      <c r="AH155" s="104">
        <v>0</v>
      </c>
      <c r="AI155" s="104">
        <v>0</v>
      </c>
      <c r="AJ155" s="104">
        <v>0</v>
      </c>
      <c r="AK155" s="104">
        <v>0</v>
      </c>
      <c r="AL155" s="104">
        <v>0</v>
      </c>
      <c r="AM155" s="104">
        <v>0</v>
      </c>
      <c r="AN155" s="104">
        <v>0</v>
      </c>
      <c r="AO155" s="104">
        <v>0</v>
      </c>
      <c r="AP155" s="104">
        <v>0</v>
      </c>
      <c r="AQ155" s="104">
        <v>0</v>
      </c>
      <c r="AR155" s="104">
        <v>0</v>
      </c>
      <c r="AS155" s="104">
        <v>0</v>
      </c>
      <c r="AT155" s="104">
        <v>0</v>
      </c>
      <c r="AU155" s="104">
        <v>0</v>
      </c>
      <c r="AV155" s="104">
        <v>0</v>
      </c>
      <c r="AW155" s="104">
        <v>0</v>
      </c>
      <c r="AX155" s="104">
        <v>0</v>
      </c>
      <c r="AY155" s="104">
        <v>0</v>
      </c>
    </row>
    <row r="156" spans="1:51">
      <c r="A156" s="107"/>
      <c r="B156" s="124">
        <v>35</v>
      </c>
      <c r="C156" s="104">
        <v>0</v>
      </c>
      <c r="D156" s="104">
        <v>0</v>
      </c>
      <c r="E156" s="104">
        <v>0</v>
      </c>
      <c r="F156" s="104">
        <v>0</v>
      </c>
      <c r="G156" s="104">
        <v>0</v>
      </c>
      <c r="H156" s="104">
        <v>0</v>
      </c>
      <c r="I156" s="104">
        <v>0</v>
      </c>
      <c r="J156" s="104">
        <v>0</v>
      </c>
      <c r="K156" s="104">
        <v>0</v>
      </c>
      <c r="L156" s="104">
        <v>0</v>
      </c>
      <c r="M156" s="104">
        <v>0</v>
      </c>
      <c r="N156" s="104">
        <v>0</v>
      </c>
      <c r="O156" s="104">
        <v>0</v>
      </c>
      <c r="P156" s="104">
        <v>0</v>
      </c>
      <c r="Q156" s="104">
        <v>0</v>
      </c>
      <c r="R156" s="104">
        <v>0</v>
      </c>
      <c r="S156" s="104">
        <v>0</v>
      </c>
      <c r="T156" s="104">
        <v>0</v>
      </c>
      <c r="U156" s="104">
        <v>0</v>
      </c>
      <c r="V156" s="104">
        <v>0</v>
      </c>
      <c r="W156" s="104">
        <v>0</v>
      </c>
      <c r="X156" s="104">
        <v>0</v>
      </c>
      <c r="Y156" s="104">
        <v>0</v>
      </c>
      <c r="Z156" s="104">
        <v>0</v>
      </c>
      <c r="AA156" s="104">
        <v>0</v>
      </c>
      <c r="AB156" s="104">
        <v>0</v>
      </c>
      <c r="AC156" s="104">
        <v>0</v>
      </c>
      <c r="AD156" s="104">
        <v>0</v>
      </c>
      <c r="AE156" s="104">
        <v>0</v>
      </c>
      <c r="AF156" s="104">
        <v>0</v>
      </c>
      <c r="AG156" s="104">
        <v>0</v>
      </c>
      <c r="AH156" s="104">
        <v>0</v>
      </c>
      <c r="AI156" s="104">
        <v>0</v>
      </c>
      <c r="AJ156" s="104">
        <v>0</v>
      </c>
      <c r="AK156" s="104">
        <v>0</v>
      </c>
      <c r="AL156" s="104">
        <v>0</v>
      </c>
      <c r="AM156" s="104">
        <v>0</v>
      </c>
      <c r="AN156" s="104">
        <v>0</v>
      </c>
      <c r="AO156" s="104">
        <v>0</v>
      </c>
      <c r="AP156" s="104">
        <v>0</v>
      </c>
      <c r="AQ156" s="104">
        <v>0</v>
      </c>
      <c r="AR156" s="104">
        <v>0</v>
      </c>
      <c r="AS156" s="104">
        <v>0</v>
      </c>
      <c r="AT156" s="104">
        <v>0</v>
      </c>
      <c r="AU156" s="104">
        <v>0</v>
      </c>
      <c r="AV156" s="104">
        <v>0</v>
      </c>
      <c r="AW156" s="104">
        <v>0</v>
      </c>
      <c r="AX156" s="104">
        <v>0</v>
      </c>
      <c r="AY156" s="104">
        <v>0</v>
      </c>
    </row>
    <row r="157" spans="1:51">
      <c r="A157" s="107"/>
      <c r="B157" s="124">
        <v>36</v>
      </c>
      <c r="C157" s="104">
        <v>0</v>
      </c>
      <c r="D157" s="104">
        <v>0</v>
      </c>
      <c r="E157" s="104">
        <v>0</v>
      </c>
      <c r="F157" s="104">
        <v>0</v>
      </c>
      <c r="G157" s="104">
        <v>0</v>
      </c>
      <c r="H157" s="104">
        <v>0</v>
      </c>
      <c r="I157" s="104">
        <v>0</v>
      </c>
      <c r="J157" s="104">
        <v>0</v>
      </c>
      <c r="K157" s="104">
        <v>0</v>
      </c>
      <c r="L157" s="104">
        <v>0</v>
      </c>
      <c r="M157" s="104">
        <v>0</v>
      </c>
      <c r="N157" s="104">
        <v>0</v>
      </c>
      <c r="O157" s="104">
        <v>0</v>
      </c>
      <c r="P157" s="104">
        <v>0</v>
      </c>
      <c r="Q157" s="104">
        <v>0</v>
      </c>
      <c r="R157" s="104">
        <v>0</v>
      </c>
      <c r="S157" s="104">
        <v>0</v>
      </c>
      <c r="T157" s="104">
        <v>0</v>
      </c>
      <c r="U157" s="104">
        <v>0</v>
      </c>
      <c r="V157" s="104">
        <v>0</v>
      </c>
      <c r="W157" s="104">
        <v>0</v>
      </c>
      <c r="X157" s="104">
        <v>0</v>
      </c>
      <c r="Y157" s="104">
        <v>0</v>
      </c>
      <c r="Z157" s="104">
        <v>0</v>
      </c>
      <c r="AA157" s="104">
        <v>0</v>
      </c>
      <c r="AB157" s="104">
        <v>0</v>
      </c>
      <c r="AC157" s="104">
        <v>0</v>
      </c>
      <c r="AD157" s="104">
        <v>0</v>
      </c>
      <c r="AE157" s="104">
        <v>0</v>
      </c>
      <c r="AF157" s="104">
        <v>0</v>
      </c>
      <c r="AG157" s="104">
        <v>0</v>
      </c>
      <c r="AH157" s="104">
        <v>0</v>
      </c>
      <c r="AI157" s="104">
        <v>0</v>
      </c>
      <c r="AJ157" s="104">
        <v>0</v>
      </c>
      <c r="AK157" s="104">
        <v>0</v>
      </c>
      <c r="AL157" s="104">
        <v>0</v>
      </c>
      <c r="AM157" s="104">
        <v>0</v>
      </c>
      <c r="AN157" s="104">
        <v>0</v>
      </c>
      <c r="AO157" s="104">
        <v>0</v>
      </c>
      <c r="AP157" s="104">
        <v>0</v>
      </c>
      <c r="AQ157" s="104">
        <v>0</v>
      </c>
      <c r="AR157" s="104">
        <v>0</v>
      </c>
      <c r="AS157" s="104">
        <v>0</v>
      </c>
      <c r="AT157" s="104">
        <v>0</v>
      </c>
      <c r="AU157" s="104">
        <v>0</v>
      </c>
      <c r="AV157" s="104">
        <v>0</v>
      </c>
      <c r="AW157" s="104">
        <v>0</v>
      </c>
      <c r="AX157" s="104">
        <v>0</v>
      </c>
      <c r="AY157" s="104">
        <v>0</v>
      </c>
    </row>
    <row r="158" spans="1:51">
      <c r="A158" s="107"/>
      <c r="B158" s="127">
        <v>37</v>
      </c>
      <c r="C158" s="104">
        <v>0</v>
      </c>
      <c r="D158" s="104">
        <v>0</v>
      </c>
      <c r="E158" s="104">
        <v>0</v>
      </c>
      <c r="F158" s="104">
        <v>0</v>
      </c>
      <c r="G158" s="104">
        <v>0</v>
      </c>
      <c r="H158" s="104">
        <v>0</v>
      </c>
      <c r="I158" s="104">
        <v>0</v>
      </c>
      <c r="J158" s="104">
        <v>0</v>
      </c>
      <c r="K158" s="104">
        <v>0</v>
      </c>
      <c r="L158" s="104">
        <v>0</v>
      </c>
      <c r="M158" s="104">
        <v>0</v>
      </c>
      <c r="N158" s="104">
        <v>0</v>
      </c>
      <c r="O158" s="104">
        <v>0</v>
      </c>
      <c r="P158" s="104">
        <v>0</v>
      </c>
      <c r="Q158" s="104">
        <v>0</v>
      </c>
      <c r="R158" s="104">
        <v>0</v>
      </c>
      <c r="S158" s="104">
        <v>0</v>
      </c>
      <c r="T158" s="104">
        <v>0</v>
      </c>
      <c r="U158" s="104">
        <v>0</v>
      </c>
      <c r="V158" s="104">
        <v>0</v>
      </c>
      <c r="W158" s="104">
        <v>0</v>
      </c>
      <c r="X158" s="104">
        <v>0</v>
      </c>
      <c r="Y158" s="104">
        <v>0</v>
      </c>
      <c r="Z158" s="104">
        <v>0</v>
      </c>
      <c r="AA158" s="104">
        <v>0</v>
      </c>
      <c r="AB158" s="104">
        <v>0</v>
      </c>
      <c r="AC158" s="104">
        <v>0</v>
      </c>
      <c r="AD158" s="104">
        <v>0</v>
      </c>
      <c r="AE158" s="104">
        <v>0</v>
      </c>
      <c r="AF158" s="104">
        <v>0</v>
      </c>
      <c r="AG158" s="104">
        <v>0</v>
      </c>
      <c r="AH158" s="104">
        <v>0</v>
      </c>
      <c r="AI158" s="104">
        <v>0</v>
      </c>
      <c r="AJ158" s="104">
        <v>0</v>
      </c>
      <c r="AK158" s="104">
        <v>0</v>
      </c>
      <c r="AL158" s="104">
        <v>0</v>
      </c>
      <c r="AM158" s="104">
        <v>0</v>
      </c>
      <c r="AN158" s="104">
        <v>0</v>
      </c>
      <c r="AO158" s="104">
        <v>0</v>
      </c>
      <c r="AP158" s="104">
        <v>0</v>
      </c>
      <c r="AQ158" s="104">
        <v>0</v>
      </c>
      <c r="AR158" s="104">
        <v>0</v>
      </c>
      <c r="AS158" s="104">
        <v>0</v>
      </c>
      <c r="AT158" s="104">
        <v>0</v>
      </c>
      <c r="AU158" s="104">
        <v>0</v>
      </c>
      <c r="AV158" s="104">
        <v>0</v>
      </c>
      <c r="AW158" s="104">
        <v>0</v>
      </c>
      <c r="AX158" s="104">
        <v>0</v>
      </c>
      <c r="AY158" s="104">
        <v>0</v>
      </c>
    </row>
    <row r="159" spans="1:51">
      <c r="A159" s="107"/>
      <c r="B159" s="127">
        <v>38</v>
      </c>
      <c r="C159" s="104">
        <v>0</v>
      </c>
      <c r="D159" s="104">
        <v>0</v>
      </c>
      <c r="E159" s="104">
        <v>0</v>
      </c>
      <c r="F159" s="104">
        <v>0</v>
      </c>
      <c r="G159" s="104">
        <v>0</v>
      </c>
      <c r="H159" s="104">
        <v>0</v>
      </c>
      <c r="I159" s="104">
        <v>0</v>
      </c>
      <c r="J159" s="104">
        <v>0</v>
      </c>
      <c r="K159" s="104">
        <v>0</v>
      </c>
      <c r="L159" s="104">
        <v>0</v>
      </c>
      <c r="M159" s="104">
        <v>0</v>
      </c>
      <c r="N159" s="104">
        <v>0</v>
      </c>
      <c r="O159" s="104">
        <v>0</v>
      </c>
      <c r="P159" s="104">
        <v>0</v>
      </c>
      <c r="Q159" s="104">
        <v>0</v>
      </c>
      <c r="R159" s="104">
        <v>0</v>
      </c>
      <c r="S159" s="104">
        <v>0</v>
      </c>
      <c r="T159" s="104">
        <v>0</v>
      </c>
      <c r="U159" s="104">
        <v>0</v>
      </c>
      <c r="V159" s="104">
        <v>0</v>
      </c>
      <c r="W159" s="104">
        <v>0</v>
      </c>
      <c r="X159" s="104">
        <v>0</v>
      </c>
      <c r="Y159" s="104">
        <v>0</v>
      </c>
      <c r="Z159" s="104">
        <v>0</v>
      </c>
      <c r="AA159" s="104">
        <v>0</v>
      </c>
      <c r="AB159" s="104">
        <v>0</v>
      </c>
      <c r="AC159" s="104">
        <v>0</v>
      </c>
      <c r="AD159" s="104">
        <v>0</v>
      </c>
      <c r="AE159" s="104">
        <v>0</v>
      </c>
      <c r="AF159" s="104">
        <v>0</v>
      </c>
      <c r="AG159" s="104">
        <v>0</v>
      </c>
      <c r="AH159" s="104">
        <v>0</v>
      </c>
      <c r="AI159" s="104">
        <v>0</v>
      </c>
      <c r="AJ159" s="104">
        <v>0</v>
      </c>
      <c r="AK159" s="104">
        <v>0</v>
      </c>
      <c r="AL159" s="104">
        <v>0</v>
      </c>
      <c r="AM159" s="104">
        <v>0</v>
      </c>
      <c r="AN159" s="104">
        <v>0</v>
      </c>
      <c r="AO159" s="104">
        <v>0</v>
      </c>
      <c r="AP159" s="104">
        <v>0</v>
      </c>
      <c r="AQ159" s="104">
        <v>0</v>
      </c>
      <c r="AR159" s="104">
        <v>0</v>
      </c>
      <c r="AS159" s="104">
        <v>0</v>
      </c>
      <c r="AT159" s="104">
        <v>0</v>
      </c>
      <c r="AU159" s="104">
        <v>0</v>
      </c>
      <c r="AV159" s="104">
        <v>0</v>
      </c>
      <c r="AW159" s="104">
        <v>0</v>
      </c>
      <c r="AX159" s="104">
        <v>0</v>
      </c>
      <c r="AY159" s="104">
        <v>0</v>
      </c>
    </row>
    <row r="160" spans="1:51">
      <c r="A160" s="107"/>
      <c r="B160" s="127">
        <v>39</v>
      </c>
      <c r="C160" s="104">
        <v>0</v>
      </c>
      <c r="D160" s="104">
        <v>0</v>
      </c>
      <c r="E160" s="104">
        <v>0</v>
      </c>
      <c r="F160" s="104">
        <v>0</v>
      </c>
      <c r="G160" s="104">
        <v>0</v>
      </c>
      <c r="H160" s="104">
        <v>0</v>
      </c>
      <c r="I160" s="104">
        <v>0</v>
      </c>
      <c r="J160" s="104">
        <v>0</v>
      </c>
      <c r="K160" s="104">
        <v>0</v>
      </c>
      <c r="L160" s="104">
        <v>0</v>
      </c>
      <c r="M160" s="104">
        <v>0</v>
      </c>
      <c r="N160" s="104">
        <v>0</v>
      </c>
      <c r="O160" s="104">
        <v>0</v>
      </c>
      <c r="P160" s="104">
        <v>0</v>
      </c>
      <c r="Q160" s="104">
        <v>0</v>
      </c>
      <c r="R160" s="104">
        <v>0</v>
      </c>
      <c r="S160" s="104">
        <v>0</v>
      </c>
      <c r="T160" s="104">
        <v>0</v>
      </c>
      <c r="U160" s="104">
        <v>0</v>
      </c>
      <c r="V160" s="104">
        <v>0</v>
      </c>
      <c r="W160" s="104">
        <v>0</v>
      </c>
      <c r="X160" s="104">
        <v>0</v>
      </c>
      <c r="Y160" s="104">
        <v>0</v>
      </c>
      <c r="Z160" s="104">
        <v>0</v>
      </c>
      <c r="AA160" s="104">
        <v>0</v>
      </c>
      <c r="AB160" s="104">
        <v>0</v>
      </c>
      <c r="AC160" s="104">
        <v>0</v>
      </c>
      <c r="AD160" s="104">
        <v>0</v>
      </c>
      <c r="AE160" s="104">
        <v>0</v>
      </c>
      <c r="AF160" s="104">
        <v>0</v>
      </c>
      <c r="AG160" s="104">
        <v>0</v>
      </c>
      <c r="AH160" s="104">
        <v>0</v>
      </c>
      <c r="AI160" s="104">
        <v>0</v>
      </c>
      <c r="AJ160" s="104">
        <v>0</v>
      </c>
      <c r="AK160" s="104">
        <v>0</v>
      </c>
      <c r="AL160" s="104">
        <v>0</v>
      </c>
      <c r="AM160" s="104">
        <v>0</v>
      </c>
      <c r="AN160" s="104">
        <v>0</v>
      </c>
      <c r="AO160" s="104">
        <v>0</v>
      </c>
      <c r="AP160" s="104">
        <v>0</v>
      </c>
      <c r="AQ160" s="104">
        <v>0</v>
      </c>
      <c r="AR160" s="104">
        <v>0</v>
      </c>
      <c r="AS160" s="104">
        <v>0</v>
      </c>
      <c r="AT160" s="104">
        <v>0</v>
      </c>
      <c r="AU160" s="104">
        <v>0</v>
      </c>
      <c r="AV160" s="104">
        <v>0</v>
      </c>
      <c r="AW160" s="104">
        <v>0</v>
      </c>
      <c r="AX160" s="104">
        <v>0</v>
      </c>
      <c r="AY160" s="104">
        <v>0</v>
      </c>
    </row>
    <row r="161" spans="1:52">
      <c r="A161" s="107"/>
      <c r="B161" s="127">
        <v>40</v>
      </c>
      <c r="C161" s="104">
        <v>0</v>
      </c>
      <c r="D161" s="104">
        <v>0</v>
      </c>
      <c r="E161" s="104">
        <v>0</v>
      </c>
      <c r="F161" s="104">
        <v>0</v>
      </c>
      <c r="G161" s="104">
        <v>0</v>
      </c>
      <c r="H161" s="104">
        <v>0</v>
      </c>
      <c r="I161" s="104">
        <v>0</v>
      </c>
      <c r="J161" s="104">
        <v>0</v>
      </c>
      <c r="K161" s="104">
        <v>0</v>
      </c>
      <c r="L161" s="104">
        <v>0</v>
      </c>
      <c r="M161" s="104">
        <v>0</v>
      </c>
      <c r="N161" s="104">
        <v>0</v>
      </c>
      <c r="O161" s="104">
        <v>0</v>
      </c>
      <c r="P161" s="104">
        <v>0</v>
      </c>
      <c r="Q161" s="104">
        <v>0</v>
      </c>
      <c r="R161" s="104">
        <v>0</v>
      </c>
      <c r="S161" s="104">
        <v>0</v>
      </c>
      <c r="T161" s="104">
        <v>0</v>
      </c>
      <c r="U161" s="104">
        <v>0</v>
      </c>
      <c r="V161" s="104">
        <v>0</v>
      </c>
      <c r="W161" s="104">
        <v>0</v>
      </c>
      <c r="X161" s="104">
        <v>0</v>
      </c>
      <c r="Y161" s="104">
        <v>0</v>
      </c>
      <c r="Z161" s="104">
        <v>0</v>
      </c>
      <c r="AA161" s="104">
        <v>0</v>
      </c>
      <c r="AB161" s="104">
        <v>0</v>
      </c>
      <c r="AC161" s="104">
        <v>0</v>
      </c>
      <c r="AD161" s="104">
        <v>0</v>
      </c>
      <c r="AE161" s="104">
        <v>0</v>
      </c>
      <c r="AF161" s="104">
        <v>0</v>
      </c>
      <c r="AG161" s="104">
        <v>0</v>
      </c>
      <c r="AH161" s="104">
        <v>0</v>
      </c>
      <c r="AI161" s="104">
        <v>0</v>
      </c>
      <c r="AJ161" s="104">
        <v>0</v>
      </c>
      <c r="AK161" s="104">
        <v>0</v>
      </c>
      <c r="AL161" s="104">
        <v>0</v>
      </c>
      <c r="AM161" s="104">
        <v>0</v>
      </c>
      <c r="AN161" s="104">
        <v>0</v>
      </c>
      <c r="AO161" s="104">
        <v>0</v>
      </c>
      <c r="AP161" s="104">
        <v>0</v>
      </c>
      <c r="AQ161" s="104">
        <v>0</v>
      </c>
      <c r="AR161" s="104">
        <v>0</v>
      </c>
      <c r="AS161" s="104">
        <v>0</v>
      </c>
      <c r="AT161" s="104">
        <v>0</v>
      </c>
      <c r="AU161" s="104">
        <v>0</v>
      </c>
      <c r="AV161" s="104">
        <v>0</v>
      </c>
      <c r="AW161" s="104">
        <v>0</v>
      </c>
      <c r="AX161" s="104">
        <v>0</v>
      </c>
      <c r="AY161" s="104">
        <v>0</v>
      </c>
    </row>
    <row r="162" spans="1:52">
      <c r="A162" s="107"/>
      <c r="B162" s="127">
        <v>41</v>
      </c>
      <c r="C162" s="104">
        <v>0</v>
      </c>
      <c r="D162" s="104">
        <v>0</v>
      </c>
      <c r="E162" s="104">
        <v>0</v>
      </c>
      <c r="F162" s="104">
        <v>0</v>
      </c>
      <c r="G162" s="104">
        <v>0</v>
      </c>
      <c r="H162" s="104">
        <v>0</v>
      </c>
      <c r="I162" s="104">
        <v>0</v>
      </c>
      <c r="J162" s="104">
        <v>0</v>
      </c>
      <c r="K162" s="104">
        <v>0</v>
      </c>
      <c r="L162" s="104">
        <v>0</v>
      </c>
      <c r="M162" s="104">
        <v>0</v>
      </c>
      <c r="N162" s="104">
        <v>0</v>
      </c>
      <c r="O162" s="104">
        <v>0</v>
      </c>
      <c r="P162" s="104">
        <v>0</v>
      </c>
      <c r="Q162" s="104">
        <v>0</v>
      </c>
      <c r="R162" s="104">
        <v>0</v>
      </c>
      <c r="S162" s="104">
        <v>0</v>
      </c>
      <c r="T162" s="104">
        <v>0</v>
      </c>
      <c r="U162" s="104">
        <v>0</v>
      </c>
      <c r="V162" s="104">
        <v>0</v>
      </c>
      <c r="W162" s="104">
        <v>0</v>
      </c>
      <c r="X162" s="104">
        <v>0</v>
      </c>
      <c r="Y162" s="104">
        <v>0</v>
      </c>
      <c r="Z162" s="104">
        <v>0</v>
      </c>
      <c r="AA162" s="104">
        <v>0</v>
      </c>
      <c r="AB162" s="104">
        <v>0</v>
      </c>
      <c r="AC162" s="104">
        <v>0</v>
      </c>
      <c r="AD162" s="104">
        <v>0</v>
      </c>
      <c r="AE162" s="104">
        <v>0</v>
      </c>
      <c r="AF162" s="104">
        <v>0</v>
      </c>
      <c r="AG162" s="104">
        <v>0</v>
      </c>
      <c r="AH162" s="104">
        <v>0</v>
      </c>
      <c r="AI162" s="104">
        <v>0</v>
      </c>
      <c r="AJ162" s="104">
        <v>0</v>
      </c>
      <c r="AK162" s="104">
        <v>0</v>
      </c>
      <c r="AL162" s="104">
        <v>0</v>
      </c>
      <c r="AM162" s="104">
        <v>0</v>
      </c>
      <c r="AN162" s="104">
        <v>0</v>
      </c>
      <c r="AO162" s="104">
        <v>0</v>
      </c>
      <c r="AP162" s="104">
        <v>0</v>
      </c>
      <c r="AQ162" s="104">
        <v>0</v>
      </c>
      <c r="AR162" s="104">
        <v>0</v>
      </c>
      <c r="AS162" s="104">
        <v>0</v>
      </c>
      <c r="AT162" s="104">
        <v>0</v>
      </c>
      <c r="AU162" s="104">
        <v>0</v>
      </c>
      <c r="AV162" s="104">
        <v>0</v>
      </c>
      <c r="AW162" s="104">
        <v>0</v>
      </c>
      <c r="AX162" s="104">
        <v>0</v>
      </c>
      <c r="AY162" s="104">
        <v>0</v>
      </c>
    </row>
    <row r="163" spans="1:52">
      <c r="A163" s="107"/>
      <c r="B163" s="127">
        <v>42</v>
      </c>
      <c r="C163" s="104">
        <v>0</v>
      </c>
      <c r="D163" s="104">
        <v>0</v>
      </c>
      <c r="E163" s="104">
        <v>0</v>
      </c>
      <c r="F163" s="104">
        <v>0</v>
      </c>
      <c r="G163" s="104">
        <v>0</v>
      </c>
      <c r="H163" s="104">
        <v>0</v>
      </c>
      <c r="I163" s="104">
        <v>0</v>
      </c>
      <c r="J163" s="104">
        <v>0</v>
      </c>
      <c r="K163" s="104">
        <v>0</v>
      </c>
      <c r="L163" s="104">
        <v>0</v>
      </c>
      <c r="M163" s="104">
        <v>0</v>
      </c>
      <c r="N163" s="104">
        <v>0</v>
      </c>
      <c r="O163" s="104">
        <v>0</v>
      </c>
      <c r="P163" s="104">
        <v>0</v>
      </c>
      <c r="Q163" s="104">
        <v>0</v>
      </c>
      <c r="R163" s="104">
        <v>0</v>
      </c>
      <c r="S163" s="104">
        <v>0</v>
      </c>
      <c r="T163" s="104">
        <v>0</v>
      </c>
      <c r="U163" s="104">
        <v>0</v>
      </c>
      <c r="V163" s="104">
        <v>0</v>
      </c>
      <c r="W163" s="104">
        <v>0</v>
      </c>
      <c r="X163" s="104">
        <v>0</v>
      </c>
      <c r="Y163" s="104">
        <v>0</v>
      </c>
      <c r="Z163" s="104">
        <v>0</v>
      </c>
      <c r="AA163" s="104">
        <v>0</v>
      </c>
      <c r="AB163" s="104">
        <v>0</v>
      </c>
      <c r="AC163" s="104">
        <v>0</v>
      </c>
      <c r="AD163" s="104">
        <v>0</v>
      </c>
      <c r="AE163" s="104">
        <v>0</v>
      </c>
      <c r="AF163" s="104">
        <v>0</v>
      </c>
      <c r="AG163" s="104">
        <v>0</v>
      </c>
      <c r="AH163" s="104">
        <v>0</v>
      </c>
      <c r="AI163" s="104">
        <v>0</v>
      </c>
      <c r="AJ163" s="104">
        <v>0</v>
      </c>
      <c r="AK163" s="104">
        <v>0</v>
      </c>
      <c r="AL163" s="104">
        <v>0</v>
      </c>
      <c r="AM163" s="104">
        <v>0</v>
      </c>
      <c r="AN163" s="104">
        <v>0</v>
      </c>
      <c r="AO163" s="104">
        <v>0</v>
      </c>
      <c r="AP163" s="104">
        <v>0</v>
      </c>
      <c r="AQ163" s="104">
        <v>0</v>
      </c>
      <c r="AR163" s="104">
        <v>0</v>
      </c>
      <c r="AS163" s="104">
        <v>0</v>
      </c>
      <c r="AT163" s="104">
        <v>0</v>
      </c>
      <c r="AU163" s="104">
        <v>0</v>
      </c>
      <c r="AV163" s="104">
        <v>0</v>
      </c>
      <c r="AW163" s="104">
        <v>0</v>
      </c>
      <c r="AX163" s="104">
        <v>0</v>
      </c>
      <c r="AY163" s="104">
        <v>0</v>
      </c>
    </row>
    <row r="164" spans="1:52">
      <c r="A164" s="107"/>
      <c r="B164" s="127">
        <v>43</v>
      </c>
      <c r="C164" s="104">
        <v>0</v>
      </c>
      <c r="D164" s="104">
        <v>0</v>
      </c>
      <c r="E164" s="104">
        <v>0</v>
      </c>
      <c r="F164" s="104">
        <v>0</v>
      </c>
      <c r="G164" s="104">
        <v>0</v>
      </c>
      <c r="H164" s="104">
        <v>0</v>
      </c>
      <c r="I164" s="104">
        <v>0</v>
      </c>
      <c r="J164" s="104">
        <v>0</v>
      </c>
      <c r="K164" s="104">
        <v>0</v>
      </c>
      <c r="L164" s="104">
        <v>0</v>
      </c>
      <c r="M164" s="104">
        <v>0</v>
      </c>
      <c r="N164" s="104">
        <v>0</v>
      </c>
      <c r="O164" s="104">
        <v>0</v>
      </c>
      <c r="P164" s="104">
        <v>0</v>
      </c>
      <c r="Q164" s="104">
        <v>0</v>
      </c>
      <c r="R164" s="104">
        <v>0</v>
      </c>
      <c r="S164" s="104">
        <v>0</v>
      </c>
      <c r="T164" s="104">
        <v>0</v>
      </c>
      <c r="U164" s="104">
        <v>0</v>
      </c>
      <c r="V164" s="104">
        <v>0</v>
      </c>
      <c r="W164" s="104">
        <v>0</v>
      </c>
      <c r="X164" s="104">
        <v>0</v>
      </c>
      <c r="Y164" s="104">
        <v>0</v>
      </c>
      <c r="Z164" s="104">
        <v>0</v>
      </c>
      <c r="AA164" s="104">
        <v>0</v>
      </c>
      <c r="AB164" s="104">
        <v>0</v>
      </c>
      <c r="AC164" s="104">
        <v>0</v>
      </c>
      <c r="AD164" s="104">
        <v>0</v>
      </c>
      <c r="AE164" s="104">
        <v>0</v>
      </c>
      <c r="AF164" s="104">
        <v>0</v>
      </c>
      <c r="AG164" s="104">
        <v>0</v>
      </c>
      <c r="AH164" s="104">
        <v>0</v>
      </c>
      <c r="AI164" s="104">
        <v>0</v>
      </c>
      <c r="AJ164" s="104">
        <v>0</v>
      </c>
      <c r="AK164" s="104">
        <v>0</v>
      </c>
      <c r="AL164" s="104">
        <v>0</v>
      </c>
      <c r="AM164" s="104">
        <v>0</v>
      </c>
      <c r="AN164" s="104">
        <v>0</v>
      </c>
      <c r="AO164" s="104">
        <v>0</v>
      </c>
      <c r="AP164" s="104">
        <v>0</v>
      </c>
      <c r="AQ164" s="104">
        <v>0</v>
      </c>
      <c r="AR164" s="104">
        <v>0</v>
      </c>
      <c r="AS164" s="104">
        <v>0</v>
      </c>
      <c r="AT164" s="104">
        <v>0</v>
      </c>
      <c r="AU164" s="104">
        <v>0</v>
      </c>
      <c r="AV164" s="104">
        <v>0</v>
      </c>
      <c r="AW164" s="104">
        <v>0</v>
      </c>
      <c r="AX164" s="104">
        <v>0</v>
      </c>
      <c r="AY164" s="104">
        <v>0</v>
      </c>
    </row>
    <row r="165" spans="1:52">
      <c r="A165" s="107"/>
      <c r="B165" s="127">
        <v>44</v>
      </c>
      <c r="C165" s="104">
        <v>0</v>
      </c>
      <c r="D165" s="104">
        <v>0</v>
      </c>
      <c r="E165" s="104">
        <v>0</v>
      </c>
      <c r="F165" s="104">
        <v>0</v>
      </c>
      <c r="G165" s="104">
        <v>0</v>
      </c>
      <c r="H165" s="104">
        <v>0</v>
      </c>
      <c r="I165" s="104">
        <v>0</v>
      </c>
      <c r="J165" s="104">
        <v>0</v>
      </c>
      <c r="K165" s="104">
        <v>0</v>
      </c>
      <c r="L165" s="104">
        <v>0</v>
      </c>
      <c r="M165" s="104">
        <v>0</v>
      </c>
      <c r="N165" s="104">
        <v>0</v>
      </c>
      <c r="O165" s="104">
        <v>0</v>
      </c>
      <c r="P165" s="104">
        <v>0</v>
      </c>
      <c r="Q165" s="104">
        <v>0</v>
      </c>
      <c r="R165" s="104">
        <v>0</v>
      </c>
      <c r="S165" s="104">
        <v>0</v>
      </c>
      <c r="T165" s="104">
        <v>0</v>
      </c>
      <c r="U165" s="104">
        <v>0</v>
      </c>
      <c r="V165" s="104">
        <v>0</v>
      </c>
      <c r="W165" s="104">
        <v>0</v>
      </c>
      <c r="X165" s="104">
        <v>0</v>
      </c>
      <c r="Y165" s="104">
        <v>0</v>
      </c>
      <c r="Z165" s="104">
        <v>0</v>
      </c>
      <c r="AA165" s="104">
        <v>0</v>
      </c>
      <c r="AB165" s="104">
        <v>0</v>
      </c>
      <c r="AC165" s="104">
        <v>0</v>
      </c>
      <c r="AD165" s="104">
        <v>0</v>
      </c>
      <c r="AE165" s="104">
        <v>0</v>
      </c>
      <c r="AF165" s="104">
        <v>0</v>
      </c>
      <c r="AG165" s="104">
        <v>0</v>
      </c>
      <c r="AH165" s="104">
        <v>0</v>
      </c>
      <c r="AI165" s="104">
        <v>0</v>
      </c>
      <c r="AJ165" s="104">
        <v>0</v>
      </c>
      <c r="AK165" s="104">
        <v>0</v>
      </c>
      <c r="AL165" s="104">
        <v>0</v>
      </c>
      <c r="AM165" s="104">
        <v>0</v>
      </c>
      <c r="AN165" s="104">
        <v>0</v>
      </c>
      <c r="AO165" s="104">
        <v>0</v>
      </c>
      <c r="AP165" s="104">
        <v>0</v>
      </c>
      <c r="AQ165" s="104">
        <v>0</v>
      </c>
      <c r="AR165" s="104">
        <v>0</v>
      </c>
      <c r="AS165" s="104">
        <v>0</v>
      </c>
      <c r="AT165" s="104">
        <v>0</v>
      </c>
      <c r="AU165" s="104">
        <v>0</v>
      </c>
      <c r="AV165" s="104">
        <v>0</v>
      </c>
      <c r="AW165" s="104">
        <v>0</v>
      </c>
      <c r="AX165" s="104">
        <v>0</v>
      </c>
      <c r="AY165" s="104">
        <v>0</v>
      </c>
    </row>
    <row r="166" spans="1:52">
      <c r="A166" s="107"/>
      <c r="B166" s="127">
        <v>45</v>
      </c>
      <c r="C166" s="104">
        <v>0</v>
      </c>
      <c r="D166" s="104">
        <v>0</v>
      </c>
      <c r="E166" s="104">
        <v>0</v>
      </c>
      <c r="F166" s="104">
        <v>0</v>
      </c>
      <c r="G166" s="104">
        <v>0</v>
      </c>
      <c r="H166" s="104">
        <v>0</v>
      </c>
      <c r="I166" s="104">
        <v>0</v>
      </c>
      <c r="J166" s="104">
        <v>0</v>
      </c>
      <c r="K166" s="104">
        <v>0</v>
      </c>
      <c r="L166" s="104">
        <v>0</v>
      </c>
      <c r="M166" s="104">
        <v>0</v>
      </c>
      <c r="N166" s="104">
        <v>0</v>
      </c>
      <c r="O166" s="104">
        <v>0</v>
      </c>
      <c r="P166" s="104">
        <v>0</v>
      </c>
      <c r="Q166" s="104">
        <v>0</v>
      </c>
      <c r="R166" s="104">
        <v>0</v>
      </c>
      <c r="S166" s="104">
        <v>0</v>
      </c>
      <c r="T166" s="104">
        <v>0</v>
      </c>
      <c r="U166" s="104">
        <v>0</v>
      </c>
      <c r="V166" s="104">
        <v>0</v>
      </c>
      <c r="W166" s="104">
        <v>0</v>
      </c>
      <c r="X166" s="104">
        <v>0</v>
      </c>
      <c r="Y166" s="104">
        <v>0</v>
      </c>
      <c r="Z166" s="104">
        <v>0</v>
      </c>
      <c r="AA166" s="104">
        <v>0</v>
      </c>
      <c r="AB166" s="104">
        <v>0</v>
      </c>
      <c r="AC166" s="104">
        <v>0</v>
      </c>
      <c r="AD166" s="104">
        <v>0</v>
      </c>
      <c r="AE166" s="104">
        <v>0</v>
      </c>
      <c r="AF166" s="104">
        <v>0</v>
      </c>
      <c r="AG166" s="104">
        <v>0</v>
      </c>
      <c r="AH166" s="104">
        <v>0</v>
      </c>
      <c r="AI166" s="104">
        <v>0</v>
      </c>
      <c r="AJ166" s="104">
        <v>0</v>
      </c>
      <c r="AK166" s="104">
        <v>0</v>
      </c>
      <c r="AL166" s="104">
        <v>0</v>
      </c>
      <c r="AM166" s="104">
        <v>0</v>
      </c>
      <c r="AN166" s="104">
        <v>0</v>
      </c>
      <c r="AO166" s="104">
        <v>0</v>
      </c>
      <c r="AP166" s="104">
        <v>0</v>
      </c>
      <c r="AQ166" s="104">
        <v>0</v>
      </c>
      <c r="AR166" s="104">
        <v>0</v>
      </c>
      <c r="AS166" s="104">
        <v>0</v>
      </c>
      <c r="AT166" s="104">
        <v>0</v>
      </c>
      <c r="AU166" s="104">
        <v>0</v>
      </c>
      <c r="AV166" s="104">
        <v>0</v>
      </c>
      <c r="AW166" s="104">
        <v>0</v>
      </c>
      <c r="AX166" s="104">
        <v>0</v>
      </c>
      <c r="AY166" s="104">
        <v>0</v>
      </c>
    </row>
    <row r="167" spans="1:52">
      <c r="A167" s="107"/>
      <c r="B167" s="127">
        <v>46</v>
      </c>
      <c r="C167" s="104">
        <v>0</v>
      </c>
      <c r="D167" s="104">
        <v>0</v>
      </c>
      <c r="E167" s="104">
        <v>0</v>
      </c>
      <c r="F167" s="104">
        <v>0</v>
      </c>
      <c r="G167" s="104">
        <v>0</v>
      </c>
      <c r="H167" s="104">
        <v>0</v>
      </c>
      <c r="I167" s="104">
        <v>0</v>
      </c>
      <c r="J167" s="104">
        <v>0</v>
      </c>
      <c r="K167" s="104">
        <v>0</v>
      </c>
      <c r="L167" s="104">
        <v>0</v>
      </c>
      <c r="M167" s="104">
        <v>0</v>
      </c>
      <c r="N167" s="104">
        <v>0</v>
      </c>
      <c r="O167" s="104">
        <v>0</v>
      </c>
      <c r="P167" s="104">
        <v>0</v>
      </c>
      <c r="Q167" s="104">
        <v>0</v>
      </c>
      <c r="R167" s="104">
        <v>0</v>
      </c>
      <c r="S167" s="104">
        <v>0</v>
      </c>
      <c r="T167" s="104">
        <v>0</v>
      </c>
      <c r="U167" s="104">
        <v>0</v>
      </c>
      <c r="V167" s="104">
        <v>0</v>
      </c>
      <c r="W167" s="104">
        <v>0</v>
      </c>
      <c r="X167" s="104">
        <v>0</v>
      </c>
      <c r="Y167" s="104">
        <v>0</v>
      </c>
      <c r="Z167" s="104">
        <v>0</v>
      </c>
      <c r="AA167" s="104">
        <v>0</v>
      </c>
      <c r="AB167" s="104">
        <v>0</v>
      </c>
      <c r="AC167" s="104">
        <v>0</v>
      </c>
      <c r="AD167" s="104">
        <v>0</v>
      </c>
      <c r="AE167" s="104">
        <v>0</v>
      </c>
      <c r="AF167" s="104">
        <v>0</v>
      </c>
      <c r="AG167" s="104">
        <v>0</v>
      </c>
      <c r="AH167" s="104">
        <v>0</v>
      </c>
      <c r="AI167" s="104">
        <v>0</v>
      </c>
      <c r="AJ167" s="104">
        <v>0</v>
      </c>
      <c r="AK167" s="104">
        <v>0</v>
      </c>
      <c r="AL167" s="104">
        <v>0</v>
      </c>
      <c r="AM167" s="104">
        <v>0</v>
      </c>
      <c r="AN167" s="104">
        <v>0</v>
      </c>
      <c r="AO167" s="104">
        <v>0</v>
      </c>
      <c r="AP167" s="104">
        <v>0</v>
      </c>
      <c r="AQ167" s="104">
        <v>0</v>
      </c>
      <c r="AR167" s="104">
        <v>0</v>
      </c>
      <c r="AS167" s="104">
        <v>0</v>
      </c>
      <c r="AT167" s="104">
        <v>0</v>
      </c>
      <c r="AU167" s="104">
        <v>0</v>
      </c>
      <c r="AV167" s="104">
        <v>0</v>
      </c>
      <c r="AW167" s="104">
        <v>0</v>
      </c>
      <c r="AX167" s="104">
        <v>0</v>
      </c>
      <c r="AY167" s="104">
        <v>0</v>
      </c>
    </row>
    <row r="168" spans="1:52">
      <c r="A168" s="107"/>
      <c r="B168" s="127">
        <v>47</v>
      </c>
      <c r="C168" s="104">
        <v>0</v>
      </c>
      <c r="D168" s="104">
        <v>0</v>
      </c>
      <c r="E168" s="104">
        <v>0</v>
      </c>
      <c r="F168" s="104">
        <v>0</v>
      </c>
      <c r="G168" s="104">
        <v>0</v>
      </c>
      <c r="H168" s="104">
        <v>0</v>
      </c>
      <c r="I168" s="104">
        <v>0</v>
      </c>
      <c r="J168" s="104">
        <v>0</v>
      </c>
      <c r="K168" s="104">
        <v>0</v>
      </c>
      <c r="L168" s="104">
        <v>0</v>
      </c>
      <c r="M168" s="104">
        <v>0</v>
      </c>
      <c r="N168" s="104">
        <v>0</v>
      </c>
      <c r="O168" s="104">
        <v>0</v>
      </c>
      <c r="P168" s="104">
        <v>0</v>
      </c>
      <c r="Q168" s="104">
        <v>0</v>
      </c>
      <c r="R168" s="104">
        <v>0</v>
      </c>
      <c r="S168" s="104">
        <v>0</v>
      </c>
      <c r="T168" s="104">
        <v>0</v>
      </c>
      <c r="U168" s="104">
        <v>0</v>
      </c>
      <c r="V168" s="104">
        <v>0</v>
      </c>
      <c r="W168" s="104">
        <v>0</v>
      </c>
      <c r="X168" s="104">
        <v>0</v>
      </c>
      <c r="Y168" s="104">
        <v>0</v>
      </c>
      <c r="Z168" s="104">
        <v>0</v>
      </c>
      <c r="AA168" s="104">
        <v>0</v>
      </c>
      <c r="AB168" s="104">
        <v>0</v>
      </c>
      <c r="AC168" s="104">
        <v>0</v>
      </c>
      <c r="AD168" s="104">
        <v>0</v>
      </c>
      <c r="AE168" s="104">
        <v>0</v>
      </c>
      <c r="AF168" s="104">
        <v>0</v>
      </c>
      <c r="AG168" s="104">
        <v>0</v>
      </c>
      <c r="AH168" s="104">
        <v>0</v>
      </c>
      <c r="AI168" s="104">
        <v>0</v>
      </c>
      <c r="AJ168" s="104">
        <v>0</v>
      </c>
      <c r="AK168" s="104">
        <v>0</v>
      </c>
      <c r="AL168" s="104">
        <v>0</v>
      </c>
      <c r="AM168" s="104">
        <v>0</v>
      </c>
      <c r="AN168" s="104">
        <v>0</v>
      </c>
      <c r="AO168" s="104">
        <v>0</v>
      </c>
      <c r="AP168" s="104">
        <v>0</v>
      </c>
      <c r="AQ168" s="104">
        <v>0</v>
      </c>
      <c r="AR168" s="104">
        <v>0</v>
      </c>
      <c r="AS168" s="104">
        <v>0</v>
      </c>
      <c r="AT168" s="104">
        <v>0</v>
      </c>
      <c r="AU168" s="104">
        <v>0</v>
      </c>
      <c r="AV168" s="104">
        <v>0</v>
      </c>
      <c r="AW168" s="104">
        <v>0</v>
      </c>
      <c r="AX168" s="104">
        <v>0</v>
      </c>
      <c r="AY168" s="104">
        <v>0</v>
      </c>
    </row>
    <row r="169" spans="1:52">
      <c r="A169" s="107"/>
      <c r="B169" s="127">
        <v>48</v>
      </c>
      <c r="C169" s="104">
        <v>0</v>
      </c>
      <c r="D169" s="104">
        <v>0</v>
      </c>
      <c r="E169" s="104">
        <v>0</v>
      </c>
      <c r="F169" s="104">
        <v>0</v>
      </c>
      <c r="G169" s="104">
        <v>0</v>
      </c>
      <c r="H169" s="104">
        <v>0</v>
      </c>
      <c r="I169" s="104">
        <v>0</v>
      </c>
      <c r="J169" s="104">
        <v>0</v>
      </c>
      <c r="K169" s="104">
        <v>0</v>
      </c>
      <c r="L169" s="104">
        <v>0</v>
      </c>
      <c r="M169" s="104">
        <v>0</v>
      </c>
      <c r="N169" s="104">
        <v>0</v>
      </c>
      <c r="O169" s="104">
        <v>0</v>
      </c>
      <c r="P169" s="104">
        <v>0</v>
      </c>
      <c r="Q169" s="104">
        <v>0</v>
      </c>
      <c r="R169" s="104">
        <v>0</v>
      </c>
      <c r="S169" s="104">
        <v>0</v>
      </c>
      <c r="T169" s="104">
        <v>0</v>
      </c>
      <c r="U169" s="104">
        <v>0</v>
      </c>
      <c r="V169" s="104">
        <v>0</v>
      </c>
      <c r="W169" s="104">
        <v>0</v>
      </c>
      <c r="X169" s="104">
        <v>0</v>
      </c>
      <c r="Y169" s="104">
        <v>0</v>
      </c>
      <c r="Z169" s="104">
        <v>0</v>
      </c>
      <c r="AA169" s="104">
        <v>0</v>
      </c>
      <c r="AB169" s="104">
        <v>0</v>
      </c>
      <c r="AC169" s="104">
        <v>0</v>
      </c>
      <c r="AD169" s="104">
        <v>0</v>
      </c>
      <c r="AE169" s="104">
        <v>0</v>
      </c>
      <c r="AF169" s="104">
        <v>0</v>
      </c>
      <c r="AG169" s="104">
        <v>0</v>
      </c>
      <c r="AH169" s="104">
        <v>0</v>
      </c>
      <c r="AI169" s="104">
        <v>0</v>
      </c>
      <c r="AJ169" s="104">
        <v>0</v>
      </c>
      <c r="AK169" s="104">
        <v>0</v>
      </c>
      <c r="AL169" s="104">
        <v>0</v>
      </c>
      <c r="AM169" s="104">
        <v>0</v>
      </c>
      <c r="AN169" s="104">
        <v>0</v>
      </c>
      <c r="AO169" s="104">
        <v>0</v>
      </c>
      <c r="AP169" s="104">
        <v>0</v>
      </c>
      <c r="AQ169" s="104">
        <v>0</v>
      </c>
      <c r="AR169" s="104">
        <v>0</v>
      </c>
      <c r="AS169" s="104">
        <v>0</v>
      </c>
      <c r="AT169" s="104">
        <v>0</v>
      </c>
      <c r="AU169" s="104">
        <v>0</v>
      </c>
      <c r="AV169" s="104">
        <v>0</v>
      </c>
      <c r="AW169" s="104">
        <v>0</v>
      </c>
      <c r="AX169" s="104">
        <v>0</v>
      </c>
      <c r="AY169" s="104">
        <v>0</v>
      </c>
    </row>
    <row r="170" spans="1:52">
      <c r="A170" s="125"/>
      <c r="B170" s="129" t="s">
        <v>296</v>
      </c>
      <c r="C170" s="111">
        <v>0</v>
      </c>
      <c r="D170" s="122">
        <v>0</v>
      </c>
      <c r="E170" s="122">
        <v>0</v>
      </c>
      <c r="F170" s="122">
        <v>0</v>
      </c>
      <c r="G170" s="122">
        <v>0</v>
      </c>
      <c r="H170" s="122">
        <v>0</v>
      </c>
      <c r="I170" s="122">
        <v>0</v>
      </c>
      <c r="J170" s="122">
        <v>0</v>
      </c>
      <c r="K170" s="122">
        <v>0</v>
      </c>
      <c r="L170" s="122">
        <v>0</v>
      </c>
      <c r="M170" s="122">
        <v>0</v>
      </c>
      <c r="N170" s="122">
        <v>0</v>
      </c>
      <c r="O170" s="122">
        <v>0</v>
      </c>
      <c r="P170" s="122">
        <v>0</v>
      </c>
      <c r="Q170" s="122">
        <v>0</v>
      </c>
      <c r="R170" s="122">
        <v>0</v>
      </c>
      <c r="S170" s="122">
        <v>0</v>
      </c>
      <c r="T170" s="122">
        <v>0</v>
      </c>
      <c r="U170" s="122">
        <v>0</v>
      </c>
      <c r="V170" s="122">
        <v>0</v>
      </c>
      <c r="W170" s="122">
        <v>0</v>
      </c>
      <c r="X170" s="122">
        <v>0</v>
      </c>
      <c r="Y170" s="122">
        <v>0</v>
      </c>
      <c r="Z170" s="122">
        <v>0</v>
      </c>
      <c r="AA170" s="122">
        <v>0</v>
      </c>
      <c r="AB170" s="122">
        <v>0</v>
      </c>
      <c r="AC170" s="122">
        <v>0</v>
      </c>
      <c r="AD170" s="122">
        <v>0</v>
      </c>
      <c r="AE170" s="122">
        <v>0</v>
      </c>
      <c r="AF170" s="122">
        <v>0</v>
      </c>
      <c r="AG170" s="122">
        <v>0</v>
      </c>
      <c r="AH170" s="122">
        <v>0</v>
      </c>
      <c r="AI170" s="122">
        <v>0</v>
      </c>
      <c r="AJ170" s="122">
        <v>0</v>
      </c>
      <c r="AK170" s="122">
        <v>0</v>
      </c>
      <c r="AL170" s="122">
        <v>0</v>
      </c>
      <c r="AM170" s="122">
        <v>0</v>
      </c>
      <c r="AN170" s="122">
        <v>0</v>
      </c>
      <c r="AO170" s="122">
        <v>0</v>
      </c>
      <c r="AP170" s="122">
        <v>0</v>
      </c>
      <c r="AQ170" s="122">
        <v>0</v>
      </c>
      <c r="AR170" s="122">
        <v>0</v>
      </c>
      <c r="AS170" s="122">
        <v>0</v>
      </c>
      <c r="AT170" s="122">
        <v>0</v>
      </c>
      <c r="AU170" s="122">
        <v>0</v>
      </c>
      <c r="AV170" s="122">
        <v>0</v>
      </c>
      <c r="AW170" s="122">
        <v>0</v>
      </c>
      <c r="AX170" s="122">
        <v>0</v>
      </c>
      <c r="AY170" s="122">
        <v>0</v>
      </c>
      <c r="AZ170" s="105">
        <f>SUM($D170:$AY170)</f>
        <v>0</v>
      </c>
    </row>
    <row r="172" spans="1:52">
      <c r="A172" s="1" t="s">
        <v>124</v>
      </c>
      <c r="B172" s="130" t="s">
        <v>297</v>
      </c>
      <c r="C172" s="131">
        <v>0.42920457056623929</v>
      </c>
      <c r="D172" s="131">
        <v>0.43459628191933314</v>
      </c>
      <c r="E172" s="131">
        <v>0.43459628191933314</v>
      </c>
      <c r="F172" s="131">
        <v>0.43459628191933314</v>
      </c>
      <c r="G172" s="131">
        <v>0.43459628191933314</v>
      </c>
      <c r="H172" s="131">
        <v>0.43459628191933314</v>
      </c>
      <c r="I172" s="131">
        <v>0.43459628191933314</v>
      </c>
      <c r="J172" s="131">
        <v>0.43459628191933314</v>
      </c>
      <c r="K172" s="131">
        <v>0.43459628191933314</v>
      </c>
      <c r="L172" s="131">
        <v>0.43459628191933314</v>
      </c>
      <c r="M172" s="131">
        <v>0.43459628191933314</v>
      </c>
      <c r="N172" s="131">
        <v>0.43459628191933314</v>
      </c>
      <c r="O172" s="131">
        <v>0.43459628191933314</v>
      </c>
      <c r="P172" s="131">
        <v>0.43459628191933314</v>
      </c>
      <c r="Q172" s="131">
        <v>0.43459628191933314</v>
      </c>
      <c r="R172" s="131">
        <v>0.43459628191933314</v>
      </c>
      <c r="S172" s="131">
        <v>0.43459628191933314</v>
      </c>
      <c r="T172" s="131">
        <v>0.43459628191933314</v>
      </c>
      <c r="U172" s="131">
        <v>0.43459628191933314</v>
      </c>
      <c r="V172" s="131">
        <v>0.43459628191933314</v>
      </c>
      <c r="W172" s="131">
        <v>0.43459628191933314</v>
      </c>
      <c r="X172" s="131">
        <v>0.43459628191933314</v>
      </c>
      <c r="Y172" s="131">
        <v>0.43459628191933314</v>
      </c>
      <c r="Z172" s="131">
        <v>0.43459628191933314</v>
      </c>
      <c r="AA172" s="131">
        <v>0.43459628191933314</v>
      </c>
      <c r="AB172" s="131">
        <v>0.43459628191933314</v>
      </c>
      <c r="AC172" s="131">
        <v>0.43459628191933314</v>
      </c>
      <c r="AD172" s="131">
        <v>0.43459628191933314</v>
      </c>
      <c r="AE172" s="131">
        <v>0.43459628191933314</v>
      </c>
      <c r="AF172" s="131">
        <v>0.43459628191933314</v>
      </c>
      <c r="AG172" s="131">
        <v>0.43459628191933314</v>
      </c>
      <c r="AH172" s="131">
        <v>0.43459628191933314</v>
      </c>
      <c r="AI172" s="131">
        <v>0.43459628191933314</v>
      </c>
      <c r="AJ172" s="131">
        <v>0.43459628191933314</v>
      </c>
      <c r="AK172" s="131">
        <v>0.43459628191933314</v>
      </c>
      <c r="AL172" s="131">
        <v>0.43459628191933314</v>
      </c>
      <c r="AM172" s="131">
        <v>0.43459628191933314</v>
      </c>
      <c r="AN172" s="131">
        <v>0.43459628191933314</v>
      </c>
      <c r="AO172" s="131">
        <v>0.43459628191933314</v>
      </c>
      <c r="AP172" s="131">
        <v>0.43459628191933314</v>
      </c>
      <c r="AQ172" s="131">
        <v>0.43459628191933314</v>
      </c>
      <c r="AR172" s="131">
        <v>0.43459628191933314</v>
      </c>
      <c r="AS172" s="131">
        <v>0.43459628191933314</v>
      </c>
      <c r="AT172" s="131">
        <v>0.43459628191933314</v>
      </c>
      <c r="AU172" s="131">
        <v>0.43459628191933314</v>
      </c>
      <c r="AV172" s="131">
        <v>0.43459628191933314</v>
      </c>
      <c r="AW172" s="131">
        <v>0.43459628191933314</v>
      </c>
      <c r="AX172" s="131">
        <v>0.43459628191933314</v>
      </c>
      <c r="AY172" s="131">
        <v>0.43459628191933314</v>
      </c>
    </row>
    <row r="174" spans="1:52">
      <c r="A174" s="1" t="s">
        <v>272</v>
      </c>
    </row>
    <row r="175" spans="1:52">
      <c r="A175" s="132" t="s">
        <v>125</v>
      </c>
      <c r="B175" s="132" t="s">
        <v>298</v>
      </c>
      <c r="C175" s="121" t="s">
        <v>293</v>
      </c>
      <c r="D175" s="121">
        <f t="shared" ref="D175:AY175" si="1">SUM(D95:D98)</f>
        <v>1049.963833253772</v>
      </c>
      <c r="E175" s="121">
        <f t="shared" si="1"/>
        <v>1095.927666507544</v>
      </c>
      <c r="F175" s="121">
        <f t="shared" si="1"/>
        <v>1136.891499761316</v>
      </c>
      <c r="G175" s="121">
        <f t="shared" si="1"/>
        <v>1069.855333015088</v>
      </c>
      <c r="H175" s="121">
        <f t="shared" si="1"/>
        <v>1049.963833253772</v>
      </c>
      <c r="I175" s="121">
        <f t="shared" si="1"/>
        <v>1049.963833253772</v>
      </c>
      <c r="J175" s="121">
        <f t="shared" si="1"/>
        <v>1136.927666507544</v>
      </c>
      <c r="K175" s="121">
        <f t="shared" si="1"/>
        <v>1397.891499761316</v>
      </c>
      <c r="L175" s="121">
        <f t="shared" si="1"/>
        <v>1531.855333015088</v>
      </c>
      <c r="M175" s="121">
        <f t="shared" si="1"/>
        <v>1421.81916626886</v>
      </c>
      <c r="N175" s="121">
        <f t="shared" si="1"/>
        <v>1649.7829995226321</v>
      </c>
      <c r="O175" s="121">
        <f t="shared" si="1"/>
        <v>1718.7468327764041</v>
      </c>
      <c r="P175" s="121">
        <f t="shared" si="1"/>
        <v>1670.7106660301761</v>
      </c>
      <c r="Q175" s="121">
        <f t="shared" si="1"/>
        <v>1585.6744992839481</v>
      </c>
      <c r="R175" s="121">
        <f t="shared" si="1"/>
        <v>1716.6383325377201</v>
      </c>
      <c r="S175" s="121">
        <f t="shared" si="1"/>
        <v>1760.6021657914921</v>
      </c>
      <c r="T175" s="121">
        <f t="shared" si="1"/>
        <v>1628.9929392064339</v>
      </c>
      <c r="U175" s="121">
        <f t="shared" si="1"/>
        <v>1288.3837126213757</v>
      </c>
      <c r="V175" s="121">
        <f t="shared" si="1"/>
        <v>1161.7744860363175</v>
      </c>
      <c r="W175" s="121">
        <f t="shared" si="1"/>
        <v>982.16525945125932</v>
      </c>
      <c r="X175" s="121">
        <f t="shared" si="1"/>
        <v>1049.963833253772</v>
      </c>
      <c r="Y175" s="121">
        <f t="shared" si="1"/>
        <v>1049.963833253772</v>
      </c>
      <c r="Z175" s="121">
        <f t="shared" si="1"/>
        <v>1140.927666507544</v>
      </c>
      <c r="AA175" s="121">
        <f t="shared" si="1"/>
        <v>1182.891499761316</v>
      </c>
      <c r="AB175" s="121">
        <f t="shared" si="1"/>
        <v>1468.4283928539187</v>
      </c>
      <c r="AC175" s="121">
        <f t="shared" si="1"/>
        <v>1671.9652859465214</v>
      </c>
      <c r="AD175" s="121">
        <f t="shared" si="1"/>
        <v>1881.502179039124</v>
      </c>
      <c r="AE175" s="121">
        <f t="shared" si="1"/>
        <v>2135.0390721317267</v>
      </c>
      <c r="AF175" s="121">
        <f t="shared" si="1"/>
        <v>2290.5759652243296</v>
      </c>
      <c r="AG175" s="121">
        <f t="shared" si="1"/>
        <v>2452.112858316932</v>
      </c>
      <c r="AH175" s="121">
        <f t="shared" si="1"/>
        <v>2467.6497514095345</v>
      </c>
      <c r="AI175" s="121">
        <f t="shared" si="1"/>
        <v>2452.6677043734203</v>
      </c>
      <c r="AJ175" s="121">
        <f t="shared" si="1"/>
        <v>2424.6315376271923</v>
      </c>
      <c r="AK175" s="121">
        <f t="shared" si="1"/>
        <v>2218.5953708809643</v>
      </c>
      <c r="AL175" s="121">
        <f t="shared" si="1"/>
        <v>2146.5592041347363</v>
      </c>
      <c r="AM175" s="121">
        <f t="shared" si="1"/>
        <v>1925.7247810298809</v>
      </c>
      <c r="AN175" s="121">
        <f t="shared" si="1"/>
        <v>1835.6886142836529</v>
      </c>
      <c r="AO175" s="121">
        <f t="shared" si="1"/>
        <v>1677.6524475374249</v>
      </c>
      <c r="AP175" s="121">
        <f t="shared" si="1"/>
        <v>1610.6162807911969</v>
      </c>
      <c r="AQ175" s="121">
        <f t="shared" si="1"/>
        <v>1502.5801140449689</v>
      </c>
      <c r="AR175" s="121">
        <f t="shared" si="1"/>
        <v>1217.9708874599107</v>
      </c>
      <c r="AS175" s="121">
        <f t="shared" si="1"/>
        <v>856.3907734149418</v>
      </c>
      <c r="AT175" s="121">
        <f t="shared" si="1"/>
        <v>856.3907734149418</v>
      </c>
      <c r="AU175" s="121">
        <f t="shared" si="1"/>
        <v>856.3907734149418</v>
      </c>
      <c r="AV175" s="121">
        <f t="shared" si="1"/>
        <v>1243.5368930926027</v>
      </c>
      <c r="AW175" s="121">
        <f t="shared" si="1"/>
        <v>1288.0737861852053</v>
      </c>
      <c r="AX175" s="121">
        <f t="shared" si="1"/>
        <v>1594.610679277808</v>
      </c>
      <c r="AY175" s="121">
        <f t="shared" si="1"/>
        <v>1702.1475723704107</v>
      </c>
    </row>
    <row r="176" spans="1:52">
      <c r="A176" s="122"/>
      <c r="B176" s="133" t="s">
        <v>299</v>
      </c>
      <c r="C176" s="122" t="s">
        <v>293</v>
      </c>
      <c r="D176" s="122">
        <v>1004</v>
      </c>
      <c r="E176" s="122">
        <v>1009</v>
      </c>
      <c r="F176" s="122">
        <v>1117</v>
      </c>
      <c r="G176" s="122">
        <v>1069.855333015088</v>
      </c>
      <c r="H176" s="122">
        <v>1049.963833253772</v>
      </c>
      <c r="I176" s="122">
        <v>963</v>
      </c>
      <c r="J176" s="122">
        <v>789</v>
      </c>
      <c r="K176" s="122">
        <v>916</v>
      </c>
      <c r="L176" s="122">
        <v>1160</v>
      </c>
      <c r="M176" s="122">
        <v>822</v>
      </c>
      <c r="N176" s="122">
        <v>981</v>
      </c>
      <c r="O176" s="122">
        <v>1098</v>
      </c>
      <c r="P176" s="122">
        <v>1135</v>
      </c>
      <c r="Q176" s="122">
        <v>919</v>
      </c>
      <c r="R176" s="122">
        <v>1006</v>
      </c>
      <c r="S176" s="122">
        <v>988</v>
      </c>
      <c r="T176" s="122">
        <v>1197</v>
      </c>
      <c r="U176" s="122">
        <v>983</v>
      </c>
      <c r="V176" s="122">
        <v>1036</v>
      </c>
      <c r="W176" s="122">
        <v>982.16525945125932</v>
      </c>
      <c r="X176" s="122">
        <v>1049.963833253772</v>
      </c>
      <c r="Y176" s="122">
        <v>959</v>
      </c>
      <c r="Z176" s="122">
        <v>1008</v>
      </c>
      <c r="AA176" s="122">
        <v>958</v>
      </c>
      <c r="AB176" s="122">
        <v>1040</v>
      </c>
      <c r="AC176" s="122">
        <v>1034</v>
      </c>
      <c r="AD176" s="122">
        <v>990</v>
      </c>
      <c r="AE176" s="122">
        <v>1088</v>
      </c>
      <c r="AF176" s="122">
        <v>1082</v>
      </c>
      <c r="AG176" s="122">
        <v>1228</v>
      </c>
      <c r="AH176" s="122">
        <v>1084</v>
      </c>
      <c r="AI176" s="122">
        <v>1078</v>
      </c>
      <c r="AJ176" s="122">
        <v>1256</v>
      </c>
      <c r="AK176" s="122">
        <v>1122</v>
      </c>
      <c r="AL176" s="122">
        <v>906</v>
      </c>
      <c r="AM176" s="122">
        <v>1140</v>
      </c>
      <c r="AN176" s="122">
        <v>1208</v>
      </c>
      <c r="AO176" s="122">
        <v>1117</v>
      </c>
      <c r="AP176" s="122">
        <v>1158</v>
      </c>
      <c r="AQ176" s="122">
        <v>1141</v>
      </c>
      <c r="AR176" s="122">
        <v>1217.9708874599107</v>
      </c>
      <c r="AS176" s="122">
        <v>856.3907734149418</v>
      </c>
      <c r="AT176" s="122">
        <v>856.3907734149418</v>
      </c>
      <c r="AU176" s="122">
        <v>856.3907734149418</v>
      </c>
      <c r="AV176" s="122">
        <v>1199</v>
      </c>
      <c r="AW176" s="122">
        <v>937</v>
      </c>
      <c r="AX176" s="122">
        <v>1136</v>
      </c>
      <c r="AY176" s="122">
        <v>1090</v>
      </c>
    </row>
    <row r="177" spans="1:51">
      <c r="A177" s="132" t="s">
        <v>133</v>
      </c>
      <c r="B177" s="132" t="s">
        <v>298</v>
      </c>
      <c r="C177" s="121" t="s">
        <v>293</v>
      </c>
      <c r="D177" s="121">
        <f t="shared" ref="D177:AY177" si="2">SUM(D100:D107)</f>
        <v>553.04450656951508</v>
      </c>
      <c r="E177" s="121">
        <f t="shared" si="2"/>
        <v>632.71513337225815</v>
      </c>
      <c r="F177" s="121">
        <f t="shared" si="2"/>
        <v>621.51859807948688</v>
      </c>
      <c r="G177" s="121">
        <f t="shared" si="2"/>
        <v>613.71009798773321</v>
      </c>
      <c r="H177" s="121">
        <f t="shared" si="2"/>
        <v>622.42019597546641</v>
      </c>
      <c r="I177" s="121">
        <f t="shared" si="2"/>
        <v>402.30869747354086</v>
      </c>
      <c r="J177" s="121">
        <f t="shared" si="2"/>
        <v>1227.4201959754664</v>
      </c>
      <c r="K177" s="121">
        <f t="shared" si="2"/>
        <v>1145.1302939631996</v>
      </c>
      <c r="L177" s="121">
        <f t="shared" si="2"/>
        <v>1164.8403919509328</v>
      </c>
      <c r="M177" s="121">
        <f t="shared" si="2"/>
        <v>525.84039195093283</v>
      </c>
      <c r="N177" s="121">
        <f t="shared" si="2"/>
        <v>825.11149850192555</v>
      </c>
      <c r="O177" s="121">
        <f t="shared" si="2"/>
        <v>1325.1302939631996</v>
      </c>
      <c r="P177" s="121">
        <f t="shared" si="2"/>
        <v>1280.8403919509328</v>
      </c>
      <c r="Q177" s="121">
        <f t="shared" si="2"/>
        <v>1088.550489938666</v>
      </c>
      <c r="R177" s="121">
        <f t="shared" si="2"/>
        <v>1018.2605879263992</v>
      </c>
      <c r="S177" s="121">
        <f t="shared" si="2"/>
        <v>1034.9706859141324</v>
      </c>
      <c r="T177" s="121">
        <f t="shared" si="2"/>
        <v>632.37208642832479</v>
      </c>
      <c r="U177" s="121">
        <f t="shared" si="2"/>
        <v>402.30869747354086</v>
      </c>
      <c r="V177" s="121">
        <f t="shared" si="2"/>
        <v>1114.2755925529586</v>
      </c>
      <c r="W177" s="121">
        <f t="shared" si="2"/>
        <v>829.8410871181843</v>
      </c>
      <c r="X177" s="121">
        <f t="shared" si="2"/>
        <v>672.40658168340974</v>
      </c>
      <c r="Y177" s="121">
        <f t="shared" si="2"/>
        <v>500.56549456522566</v>
      </c>
      <c r="Z177" s="121">
        <f t="shared" si="2"/>
        <v>211.40140051419237</v>
      </c>
      <c r="AA177" s="121">
        <f t="shared" si="2"/>
        <v>1016.0187954612741</v>
      </c>
      <c r="AB177" s="121">
        <f t="shared" si="2"/>
        <v>985.72889344900727</v>
      </c>
      <c r="AC177" s="121">
        <f t="shared" si="2"/>
        <v>877.43899143674048</v>
      </c>
      <c r="AD177" s="121">
        <f t="shared" si="2"/>
        <v>376.84039195093283</v>
      </c>
      <c r="AE177" s="121">
        <f t="shared" si="2"/>
        <v>1242.3080023062894</v>
      </c>
      <c r="AF177" s="121">
        <f t="shared" si="2"/>
        <v>1259.1627037165304</v>
      </c>
      <c r="AG177" s="121">
        <f t="shared" si="2"/>
        <v>606.16270371653025</v>
      </c>
      <c r="AH177" s="121">
        <f t="shared" si="2"/>
        <v>1453.7094028204815</v>
      </c>
      <c r="AI177" s="121">
        <f t="shared" si="2"/>
        <v>1488.5641042307225</v>
      </c>
      <c r="AJ177" s="121">
        <f t="shared" si="2"/>
        <v>1556.4188056409632</v>
      </c>
      <c r="AK177" s="121">
        <f t="shared" si="2"/>
        <v>760.41880564096323</v>
      </c>
      <c r="AL177" s="121">
        <f t="shared" si="2"/>
        <v>333.82020615515557</v>
      </c>
      <c r="AM177" s="121">
        <f t="shared" si="2"/>
        <v>1742.8734968715148</v>
      </c>
      <c r="AN177" s="121">
        <f t="shared" si="2"/>
        <v>1511.583594859248</v>
      </c>
      <c r="AO177" s="121">
        <f t="shared" si="2"/>
        <v>1428.2936928469812</v>
      </c>
      <c r="AP177" s="121">
        <f t="shared" si="2"/>
        <v>866.69509336117369</v>
      </c>
      <c r="AQ177" s="121">
        <f t="shared" si="2"/>
        <v>104.69509336117372</v>
      </c>
      <c r="AR177" s="121">
        <f t="shared" si="2"/>
        <v>1016.0187954612741</v>
      </c>
      <c r="AS177" s="121">
        <f t="shared" si="2"/>
        <v>1493.4389914367405</v>
      </c>
      <c r="AT177" s="121">
        <f t="shared" si="2"/>
        <v>1247.0044860019659</v>
      </c>
      <c r="AU177" s="121">
        <f t="shared" si="2"/>
        <v>1034.5699805671916</v>
      </c>
      <c r="AV177" s="121">
        <f t="shared" si="2"/>
        <v>475.97138108138381</v>
      </c>
      <c r="AW177" s="121">
        <f t="shared" si="2"/>
        <v>289.16409405103343</v>
      </c>
      <c r="AX177" s="121">
        <f t="shared" si="2"/>
        <v>1227.4201959754664</v>
      </c>
      <c r="AY177" s="121">
        <f t="shared" si="2"/>
        <v>1159.2748973857074</v>
      </c>
    </row>
    <row r="178" spans="1:51">
      <c r="A178" s="122"/>
      <c r="B178" s="133" t="s">
        <v>299</v>
      </c>
      <c r="C178" s="122" t="s">
        <v>293</v>
      </c>
      <c r="D178" s="122">
        <v>553.04450656951508</v>
      </c>
      <c r="E178" s="122">
        <v>632.71513337225815</v>
      </c>
      <c r="F178" s="122">
        <v>621.51859807948688</v>
      </c>
      <c r="G178" s="122">
        <v>605</v>
      </c>
      <c r="H178" s="122">
        <v>622.42019597546641</v>
      </c>
      <c r="I178" s="122">
        <v>402.30869747354086</v>
      </c>
      <c r="J178" s="122">
        <v>696</v>
      </c>
      <c r="K178" s="122">
        <v>594</v>
      </c>
      <c r="L178" s="122">
        <v>639</v>
      </c>
      <c r="M178" s="122">
        <v>525.84039195093283</v>
      </c>
      <c r="N178" s="122">
        <v>516</v>
      </c>
      <c r="O178" s="122">
        <v>658</v>
      </c>
      <c r="P178" s="122">
        <v>806</v>
      </c>
      <c r="Q178" s="122">
        <v>684</v>
      </c>
      <c r="R178" s="122">
        <v>597</v>
      </c>
      <c r="S178" s="122">
        <v>614</v>
      </c>
      <c r="T178" s="122">
        <v>632.37208642832479</v>
      </c>
      <c r="U178" s="122">
        <v>402.30869747354086</v>
      </c>
      <c r="V178" s="122">
        <v>785</v>
      </c>
      <c r="W178" s="122">
        <v>658</v>
      </c>
      <c r="X178" s="122">
        <v>672.40658168340974</v>
      </c>
      <c r="Y178" s="122">
        <v>500.56549456522566</v>
      </c>
      <c r="Z178" s="122">
        <v>211.40140051419237</v>
      </c>
      <c r="AA178" s="122">
        <v>644</v>
      </c>
      <c r="AB178" s="122">
        <v>722</v>
      </c>
      <c r="AC178" s="122">
        <v>712</v>
      </c>
      <c r="AD178" s="122">
        <v>376.84039195093283</v>
      </c>
      <c r="AE178" s="122">
        <v>710</v>
      </c>
      <c r="AF178" s="122">
        <v>653</v>
      </c>
      <c r="AG178" s="122">
        <v>606.16270371653025</v>
      </c>
      <c r="AH178" s="122">
        <v>692</v>
      </c>
      <c r="AI178" s="122">
        <v>659</v>
      </c>
      <c r="AJ178" s="122">
        <v>796</v>
      </c>
      <c r="AK178" s="122">
        <v>638</v>
      </c>
      <c r="AL178" s="122">
        <v>333.82020615515557</v>
      </c>
      <c r="AM178" s="122">
        <v>845</v>
      </c>
      <c r="AN178" s="122">
        <v>697</v>
      </c>
      <c r="AO178" s="122">
        <v>773</v>
      </c>
      <c r="AP178" s="122">
        <v>762</v>
      </c>
      <c r="AQ178" s="122">
        <v>104.69509336117372</v>
      </c>
      <c r="AR178" s="122">
        <v>750</v>
      </c>
      <c r="AS178" s="122">
        <v>747</v>
      </c>
      <c r="AT178" s="122">
        <v>713</v>
      </c>
      <c r="AU178" s="122">
        <v>770</v>
      </c>
      <c r="AV178" s="122">
        <v>475.97138108138381</v>
      </c>
      <c r="AW178" s="122">
        <v>289.16409405103343</v>
      </c>
      <c r="AX178" s="122">
        <v>795</v>
      </c>
      <c r="AY178" s="122">
        <v>609</v>
      </c>
    </row>
    <row r="179" spans="1:51">
      <c r="A179" s="132" t="s">
        <v>134</v>
      </c>
      <c r="B179" s="132" t="s">
        <v>298</v>
      </c>
      <c r="C179" s="121" t="s">
        <v>293</v>
      </c>
      <c r="D179" s="121">
        <f t="shared" ref="D179:AY179" si="3">SUM(D109:D120)</f>
        <v>578.93789604789731</v>
      </c>
      <c r="E179" s="121">
        <f t="shared" si="3"/>
        <v>301.36045921015835</v>
      </c>
      <c r="F179" s="121">
        <f t="shared" si="3"/>
        <v>383.48707151470427</v>
      </c>
      <c r="G179" s="121">
        <f t="shared" si="3"/>
        <v>382.52879758687857</v>
      </c>
      <c r="H179" s="121">
        <f t="shared" si="3"/>
        <v>374.16495087293441</v>
      </c>
      <c r="I179" s="121">
        <f t="shared" si="3"/>
        <v>374.16495087293441</v>
      </c>
      <c r="J179" s="121">
        <f t="shared" si="3"/>
        <v>270.47088666524229</v>
      </c>
      <c r="K179" s="121">
        <f t="shared" si="3"/>
        <v>675.19462310245581</v>
      </c>
      <c r="L179" s="121">
        <f t="shared" si="3"/>
        <v>748.43696378579807</v>
      </c>
      <c r="M179" s="121">
        <f t="shared" si="3"/>
        <v>631.60191465873254</v>
      </c>
      <c r="N179" s="121">
        <f t="shared" si="3"/>
        <v>294.49360742306146</v>
      </c>
      <c r="O179" s="121">
        <f t="shared" si="3"/>
        <v>477.85901508062653</v>
      </c>
      <c r="P179" s="121">
        <f t="shared" si="3"/>
        <v>571.50055889476369</v>
      </c>
      <c r="Q179" s="121">
        <f t="shared" si="3"/>
        <v>586.31220229086978</v>
      </c>
      <c r="R179" s="121">
        <f t="shared" si="3"/>
        <v>486.28903243323907</v>
      </c>
      <c r="S179" s="121">
        <f t="shared" si="3"/>
        <v>374.16495087293441</v>
      </c>
      <c r="T179" s="121">
        <f t="shared" si="3"/>
        <v>374.16495087293441</v>
      </c>
      <c r="U179" s="121">
        <f t="shared" si="3"/>
        <v>176.82934285110517</v>
      </c>
      <c r="V179" s="121">
        <f t="shared" si="3"/>
        <v>270.47088666524229</v>
      </c>
      <c r="W179" s="121">
        <f t="shared" si="3"/>
        <v>619.69629743616156</v>
      </c>
      <c r="X179" s="121">
        <f t="shared" si="3"/>
        <v>511.42373299351408</v>
      </c>
      <c r="Y179" s="121">
        <f t="shared" si="3"/>
        <v>397.11821107394672</v>
      </c>
      <c r="Z179" s="121">
        <f t="shared" si="3"/>
        <v>318.66662520664011</v>
      </c>
      <c r="AA179" s="121">
        <f t="shared" si="3"/>
        <v>176.82934285110517</v>
      </c>
      <c r="AB179" s="121">
        <f t="shared" si="3"/>
        <v>571.50055889476369</v>
      </c>
      <c r="AC179" s="121">
        <f t="shared" si="3"/>
        <v>533.33142656555299</v>
      </c>
      <c r="AD179" s="121">
        <f t="shared" si="3"/>
        <v>465.57217002491757</v>
      </c>
      <c r="AE179" s="121">
        <f t="shared" si="3"/>
        <v>201.55100364922916</v>
      </c>
      <c r="AF179" s="121">
        <f t="shared" si="3"/>
        <v>682.49721022735253</v>
      </c>
      <c r="AG179" s="121">
        <f t="shared" si="3"/>
        <v>613.35046390595028</v>
      </c>
      <c r="AH179" s="121">
        <f t="shared" si="3"/>
        <v>183.68375282624442</v>
      </c>
      <c r="AI179" s="121">
        <f t="shared" si="3"/>
        <v>786.19127443504465</v>
      </c>
      <c r="AJ179" s="121">
        <f t="shared" si="3"/>
        <v>796.24847100258194</v>
      </c>
      <c r="AK179" s="121">
        <f t="shared" si="3"/>
        <v>874.44500926886133</v>
      </c>
      <c r="AL179" s="121">
        <f t="shared" si="3"/>
        <v>575.83780010297335</v>
      </c>
      <c r="AM179" s="121">
        <f t="shared" si="3"/>
        <v>196.02092065209348</v>
      </c>
      <c r="AN179" s="121">
        <f t="shared" si="3"/>
        <v>928.0285567905795</v>
      </c>
      <c r="AO179" s="121">
        <f t="shared" si="3"/>
        <v>1016.2050129038983</v>
      </c>
      <c r="AP179" s="121">
        <f t="shared" si="3"/>
        <v>987.14431788919944</v>
      </c>
      <c r="AQ179" s="121">
        <f t="shared" si="3"/>
        <v>688.97366074030469</v>
      </c>
      <c r="AR179" s="121">
        <f t="shared" si="3"/>
        <v>308.91361597403738</v>
      </c>
      <c r="AS179" s="121">
        <f t="shared" si="3"/>
        <v>571.50055889476357</v>
      </c>
      <c r="AT179" s="121">
        <f t="shared" si="3"/>
        <v>743.69518199721938</v>
      </c>
      <c r="AU179" s="121">
        <f t="shared" si="3"/>
        <v>706.39519132418741</v>
      </c>
      <c r="AV179" s="121">
        <f t="shared" si="3"/>
        <v>481.00070095552508</v>
      </c>
      <c r="AW179" s="121">
        <f t="shared" si="3"/>
        <v>211.70551015392672</v>
      </c>
      <c r="AX179" s="121">
        <f t="shared" si="3"/>
        <v>214.97256099894796</v>
      </c>
      <c r="AY179" s="121">
        <f t="shared" si="3"/>
        <v>675.19462310245592</v>
      </c>
    </row>
    <row r="180" spans="1:51">
      <c r="A180" s="122"/>
      <c r="B180" s="133" t="s">
        <v>299</v>
      </c>
      <c r="C180" s="122" t="s">
        <v>293</v>
      </c>
      <c r="D180" s="122">
        <v>490.0345820783586</v>
      </c>
      <c r="E180" s="122">
        <v>301.36045921015835</v>
      </c>
      <c r="F180" s="122">
        <v>383.48707151470427</v>
      </c>
      <c r="G180" s="122">
        <v>382.52879758687857</v>
      </c>
      <c r="H180" s="122">
        <v>374.16495087293441</v>
      </c>
      <c r="I180" s="122">
        <v>374.16495087293441</v>
      </c>
      <c r="J180" s="122">
        <v>270.47088666524229</v>
      </c>
      <c r="K180" s="122">
        <v>394</v>
      </c>
      <c r="L180" s="122">
        <v>491</v>
      </c>
      <c r="M180" s="122">
        <v>410.24358587908415</v>
      </c>
      <c r="N180" s="122">
        <v>294.49360742306146</v>
      </c>
      <c r="O180" s="122">
        <v>477.85901508062653</v>
      </c>
      <c r="P180" s="122">
        <v>425</v>
      </c>
      <c r="Q180" s="122">
        <v>496</v>
      </c>
      <c r="R180" s="122">
        <v>486.28903243323907</v>
      </c>
      <c r="S180" s="122">
        <v>374.16495087293441</v>
      </c>
      <c r="T180" s="122">
        <v>374.16495087293441</v>
      </c>
      <c r="U180" s="122">
        <v>176.82934285110517</v>
      </c>
      <c r="V180" s="122">
        <v>270.47088666524229</v>
      </c>
      <c r="W180" s="122">
        <v>460</v>
      </c>
      <c r="X180" s="122">
        <v>432.97214712620752</v>
      </c>
      <c r="Y180" s="122">
        <v>397.11821107394672</v>
      </c>
      <c r="Z180" s="122">
        <v>318.66662520664011</v>
      </c>
      <c r="AA180" s="122">
        <v>176.82934285110517</v>
      </c>
      <c r="AB180" s="122">
        <v>444</v>
      </c>
      <c r="AC180" s="122">
        <v>448</v>
      </c>
      <c r="AD180" s="122">
        <v>440.85050922679358</v>
      </c>
      <c r="AE180" s="122">
        <v>201.55100364922916</v>
      </c>
      <c r="AF180" s="122">
        <v>549</v>
      </c>
      <c r="AG180" s="122">
        <v>528.56590420168027</v>
      </c>
      <c r="AH180" s="122">
        <v>183.68375282624442</v>
      </c>
      <c r="AI180" s="122">
        <v>543</v>
      </c>
      <c r="AJ180" s="122">
        <v>446</v>
      </c>
      <c r="AK180" s="122">
        <v>453</v>
      </c>
      <c r="AL180" s="122">
        <v>556.64622230198506</v>
      </c>
      <c r="AM180" s="122">
        <v>196.02092065209348</v>
      </c>
      <c r="AN180" s="122">
        <v>525</v>
      </c>
      <c r="AO180" s="122">
        <v>457</v>
      </c>
      <c r="AP180" s="122">
        <v>475</v>
      </c>
      <c r="AQ180" s="122">
        <v>453.19532340968033</v>
      </c>
      <c r="AR180" s="122">
        <v>308.91361597403738</v>
      </c>
      <c r="AS180" s="122">
        <v>503</v>
      </c>
      <c r="AT180" s="122">
        <v>500</v>
      </c>
      <c r="AU180" s="122">
        <v>551</v>
      </c>
      <c r="AV180" s="122">
        <v>446.12453365270363</v>
      </c>
      <c r="AW180" s="122">
        <v>211.70551015392672</v>
      </c>
      <c r="AX180" s="122">
        <v>214.97256099894796</v>
      </c>
      <c r="AY180" s="122">
        <v>421</v>
      </c>
    </row>
    <row r="181" spans="1:51">
      <c r="A181" s="132" t="s">
        <v>123</v>
      </c>
      <c r="B181" s="132" t="s">
        <v>298</v>
      </c>
      <c r="C181" s="121" t="s">
        <v>293</v>
      </c>
      <c r="D181" s="121">
        <f t="shared" ref="D181:AY181" si="4">(1-D172)*SUM(D122:D169)</f>
        <v>276.4037909421121</v>
      </c>
      <c r="E181" s="121">
        <f t="shared" si="4"/>
        <v>498.91134621010394</v>
      </c>
      <c r="F181" s="121">
        <f t="shared" si="4"/>
        <v>497.66464515840704</v>
      </c>
      <c r="G181" s="121">
        <f t="shared" si="4"/>
        <v>486.78339691432166</v>
      </c>
      <c r="H181" s="121">
        <f t="shared" si="4"/>
        <v>486.7833969143216</v>
      </c>
      <c r="I181" s="121">
        <f t="shared" si="4"/>
        <v>351.87886163620607</v>
      </c>
      <c r="J181" s="121">
        <f t="shared" si="4"/>
        <v>878.41881353476992</v>
      </c>
      <c r="K181" s="121">
        <f t="shared" si="4"/>
        <v>607.8757864663711</v>
      </c>
      <c r="L181" s="121">
        <f t="shared" si="4"/>
        <v>486.7833969143216</v>
      </c>
      <c r="M181" s="121">
        <f t="shared" si="4"/>
        <v>95.147980293873374</v>
      </c>
      <c r="N181" s="121">
        <f t="shared" si="4"/>
        <v>621.68793219243719</v>
      </c>
      <c r="O181" s="121">
        <f t="shared" si="4"/>
        <v>743.51427825665439</v>
      </c>
      <c r="P181" s="121">
        <f t="shared" si="4"/>
        <v>572.18883082272532</v>
      </c>
      <c r="Q181" s="121">
        <f t="shared" si="4"/>
        <v>515.16034846761215</v>
      </c>
      <c r="R181" s="121">
        <f t="shared" si="4"/>
        <v>486.7833969143216</v>
      </c>
      <c r="S181" s="121">
        <f t="shared" si="4"/>
        <v>486.78339691432166</v>
      </c>
      <c r="T181" s="121">
        <f t="shared" si="4"/>
        <v>230.05251557198886</v>
      </c>
      <c r="U181" s="121">
        <f t="shared" si="4"/>
        <v>351.87886163620607</v>
      </c>
      <c r="V181" s="121">
        <f t="shared" si="4"/>
        <v>806.21626375594133</v>
      </c>
      <c r="W181" s="121">
        <f t="shared" si="4"/>
        <v>457.59250156681685</v>
      </c>
      <c r="X181" s="121">
        <f t="shared" si="4"/>
        <v>414.58084713549306</v>
      </c>
      <c r="Y181" s="121">
        <f t="shared" si="4"/>
        <v>414.58084713549295</v>
      </c>
      <c r="Z181" s="121">
        <f t="shared" si="4"/>
        <v>230.05251557198886</v>
      </c>
      <c r="AA181" s="121">
        <f t="shared" si="4"/>
        <v>743.51427825665439</v>
      </c>
      <c r="AB181" s="121">
        <f t="shared" si="4"/>
        <v>527.98031423462078</v>
      </c>
      <c r="AC181" s="121">
        <f t="shared" si="4"/>
        <v>494.68791856251238</v>
      </c>
      <c r="AD181" s="121">
        <f t="shared" si="4"/>
        <v>230.05251557198886</v>
      </c>
      <c r="AE181" s="121">
        <f t="shared" si="4"/>
        <v>887.91937781431204</v>
      </c>
      <c r="AF181" s="121">
        <f t="shared" si="4"/>
        <v>624.28240887100708</v>
      </c>
      <c r="AG181" s="121">
        <f t="shared" si="4"/>
        <v>128.66647468631902</v>
      </c>
      <c r="AH181" s="121">
        <f t="shared" si="4"/>
        <v>1022.8239130924276</v>
      </c>
      <c r="AI181" s="121">
        <f t="shared" si="4"/>
        <v>719.51972039327563</v>
      </c>
      <c r="AJ181" s="121">
        <f t="shared" si="4"/>
        <v>681.97240535937556</v>
      </c>
      <c r="AK181" s="121">
        <f t="shared" si="4"/>
        <v>200.86287346254983</v>
      </c>
      <c r="AL181" s="121">
        <f t="shared" si="4"/>
        <v>230.05251557198886</v>
      </c>
      <c r="AM181" s="121">
        <f t="shared" si="4"/>
        <v>1207.3522446559316</v>
      </c>
      <c r="AN181" s="121">
        <f t="shared" si="4"/>
        <v>797.73404087784616</v>
      </c>
      <c r="AO181" s="121">
        <f t="shared" si="4"/>
        <v>556.74308367980109</v>
      </c>
      <c r="AP181" s="121">
        <f t="shared" si="4"/>
        <v>230.05251557198889</v>
      </c>
      <c r="AQ181" s="121">
        <f t="shared" si="4"/>
        <v>95.147980293873374</v>
      </c>
      <c r="AR181" s="121">
        <f t="shared" si="4"/>
        <v>743.51427825665428</v>
      </c>
      <c r="AS181" s="121">
        <f t="shared" si="4"/>
        <v>878.41881353476992</v>
      </c>
      <c r="AT181" s="121">
        <f t="shared" si="4"/>
        <v>601.96627654993517</v>
      </c>
      <c r="AU181" s="121">
        <f t="shared" si="4"/>
        <v>423.60823926073044</v>
      </c>
      <c r="AV181" s="121">
        <f t="shared" si="4"/>
        <v>230.05251557198898</v>
      </c>
      <c r="AW181" s="121">
        <f t="shared" si="4"/>
        <v>279.67631185737741</v>
      </c>
      <c r="AX181" s="121">
        <f t="shared" si="4"/>
        <v>878.41881353477004</v>
      </c>
      <c r="AY181" s="121">
        <f t="shared" si="4"/>
        <v>609.54565615416709</v>
      </c>
    </row>
    <row r="182" spans="1:51">
      <c r="A182" s="122"/>
      <c r="B182" s="133" t="s">
        <v>299</v>
      </c>
      <c r="C182" s="122" t="s">
        <v>293</v>
      </c>
      <c r="D182" s="122">
        <v>276.4037909421121</v>
      </c>
      <c r="E182" s="122">
        <v>498.91134621010394</v>
      </c>
      <c r="F182" s="122">
        <v>497.66464515840704</v>
      </c>
      <c r="G182" s="122">
        <v>486.78339691432166</v>
      </c>
      <c r="H182" s="122">
        <v>486.7833969143216</v>
      </c>
      <c r="I182" s="122">
        <v>351.87886163620607</v>
      </c>
      <c r="J182" s="122">
        <v>664.24903417231258</v>
      </c>
      <c r="K182" s="122">
        <v>607.8757864663711</v>
      </c>
      <c r="L182" s="122">
        <v>486.7833969143216</v>
      </c>
      <c r="M182" s="122">
        <v>95.147980293873374</v>
      </c>
      <c r="N182" s="122">
        <v>621.68793219243719</v>
      </c>
      <c r="O182" s="122">
        <v>592.46215182507899</v>
      </c>
      <c r="P182" s="122">
        <v>522</v>
      </c>
      <c r="Q182" s="122">
        <v>515.16034846761215</v>
      </c>
      <c r="R182" s="122">
        <v>486.7833969143216</v>
      </c>
      <c r="S182" s="122">
        <v>486.78339691432166</v>
      </c>
      <c r="T182" s="122">
        <v>230.05251557198886</v>
      </c>
      <c r="U182" s="122">
        <v>351.87886163620607</v>
      </c>
      <c r="V182" s="122">
        <v>730.14379897390495</v>
      </c>
      <c r="W182" s="122">
        <v>457.59250156681685</v>
      </c>
      <c r="X182" s="122">
        <v>414.58084713549306</v>
      </c>
      <c r="Y182" s="122">
        <v>414.58084713549295</v>
      </c>
      <c r="Z182" s="122">
        <v>230.05251557198886</v>
      </c>
      <c r="AA182" s="122">
        <v>670.65144413850021</v>
      </c>
      <c r="AB182" s="122">
        <v>514</v>
      </c>
      <c r="AC182" s="122">
        <v>494.68791856251238</v>
      </c>
      <c r="AD182" s="122">
        <v>230.05251557198886</v>
      </c>
      <c r="AE182" s="122">
        <v>772.43293849708652</v>
      </c>
      <c r="AF182" s="122">
        <v>565</v>
      </c>
      <c r="AG182" s="122">
        <v>128.66647468631902</v>
      </c>
      <c r="AH182" s="122">
        <v>738.89621936399408</v>
      </c>
      <c r="AI182" s="122">
        <v>502</v>
      </c>
      <c r="AJ182" s="122">
        <v>495</v>
      </c>
      <c r="AK182" s="122">
        <v>200.86287346254983</v>
      </c>
      <c r="AL182" s="122">
        <v>230.05251557198886</v>
      </c>
      <c r="AM182" s="122">
        <v>657.39009545202225</v>
      </c>
      <c r="AN182" s="122">
        <v>674</v>
      </c>
      <c r="AO182" s="122">
        <v>556.74308367980109</v>
      </c>
      <c r="AP182" s="122">
        <v>230.05251557198889</v>
      </c>
      <c r="AQ182" s="122">
        <v>95.147980293873374</v>
      </c>
      <c r="AR182" s="122">
        <v>743.51427825665428</v>
      </c>
      <c r="AS182" s="122">
        <v>547</v>
      </c>
      <c r="AT182" s="122">
        <v>586</v>
      </c>
      <c r="AU182" s="122">
        <v>423.60823926073044</v>
      </c>
      <c r="AV182" s="122">
        <v>230.05251557198898</v>
      </c>
      <c r="AW182" s="122">
        <v>279.67631185737741</v>
      </c>
      <c r="AX182" s="122">
        <v>788.99649839215328</v>
      </c>
      <c r="AY182" s="122">
        <v>609.54565615416709</v>
      </c>
    </row>
    <row r="184" spans="1:51">
      <c r="A184" s="1" t="s">
        <v>300</v>
      </c>
    </row>
    <row r="185" spans="1:51">
      <c r="A185" s="123" t="s">
        <v>125</v>
      </c>
      <c r="B185" s="120">
        <v>1</v>
      </c>
      <c r="C185" s="121">
        <v>1046.2588742939613</v>
      </c>
      <c r="D185" s="121">
        <v>1004</v>
      </c>
      <c r="E185" s="121">
        <v>963.03616674622799</v>
      </c>
      <c r="F185" s="121">
        <v>1030.072333492456</v>
      </c>
      <c r="G185" s="121">
        <v>1049.963833253772</v>
      </c>
      <c r="H185" s="121">
        <v>1049.963833253772</v>
      </c>
      <c r="I185" s="121">
        <v>963</v>
      </c>
      <c r="J185" s="121">
        <v>702.03616674622799</v>
      </c>
      <c r="K185" s="121">
        <v>568.07233349245598</v>
      </c>
      <c r="L185" s="121">
        <v>678.10850023868397</v>
      </c>
      <c r="M185" s="121">
        <v>450.14466698491196</v>
      </c>
      <c r="N185" s="121">
        <v>381.18083373113996</v>
      </c>
      <c r="O185" s="121">
        <v>429.21700047736795</v>
      </c>
      <c r="P185" s="121">
        <v>514.25316722359594</v>
      </c>
      <c r="Q185" s="121">
        <v>383.28933396982393</v>
      </c>
      <c r="R185" s="121">
        <v>339.32550071605192</v>
      </c>
      <c r="S185" s="121">
        <v>277.36166746227991</v>
      </c>
      <c r="T185" s="121">
        <v>424.3978342085079</v>
      </c>
      <c r="U185" s="121">
        <v>551.0070607935661</v>
      </c>
      <c r="V185" s="121">
        <v>730.61628737862429</v>
      </c>
      <c r="W185" s="121">
        <v>856.3907734149418</v>
      </c>
      <c r="X185" s="121">
        <v>1049.963833253772</v>
      </c>
      <c r="Y185" s="121">
        <v>959</v>
      </c>
      <c r="Z185" s="121">
        <v>917.03616674622799</v>
      </c>
      <c r="AA185" s="121">
        <v>825.07233349245598</v>
      </c>
      <c r="AB185" s="121">
        <v>815.10850023868397</v>
      </c>
      <c r="AC185" s="121">
        <v>605.57160714608131</v>
      </c>
      <c r="AD185" s="121">
        <v>352.03471405347864</v>
      </c>
      <c r="AE185" s="121">
        <v>196.49782096087597</v>
      </c>
      <c r="AF185" s="121">
        <v>34.960927868273302</v>
      </c>
      <c r="AG185" s="121">
        <v>19.424034775670634</v>
      </c>
      <c r="AH185" s="121">
        <v>0</v>
      </c>
      <c r="AI185" s="121">
        <v>0</v>
      </c>
      <c r="AJ185" s="121">
        <v>0</v>
      </c>
      <c r="AK185" s="121">
        <v>0</v>
      </c>
      <c r="AL185" s="121">
        <v>0</v>
      </c>
      <c r="AM185" s="121">
        <v>264.23905222389112</v>
      </c>
      <c r="AN185" s="121">
        <v>422.27521897011911</v>
      </c>
      <c r="AO185" s="121">
        <v>489.3113857163471</v>
      </c>
      <c r="AP185" s="121">
        <v>597.34755246257509</v>
      </c>
      <c r="AQ185" s="121">
        <v>688.38371920880309</v>
      </c>
      <c r="AR185" s="121">
        <v>856.3907734149418</v>
      </c>
      <c r="AS185" s="121">
        <v>856.3907734149418</v>
      </c>
      <c r="AT185" s="121">
        <v>856.3907734149418</v>
      </c>
      <c r="AU185" s="121">
        <v>856.3907734149418</v>
      </c>
      <c r="AV185" s="121">
        <v>1199</v>
      </c>
      <c r="AW185" s="121">
        <v>892.46310690739733</v>
      </c>
      <c r="AX185" s="121">
        <v>784.92621381479466</v>
      </c>
      <c r="AY185" s="121">
        <v>631.389320722192</v>
      </c>
    </row>
    <row r="186" spans="1:51">
      <c r="A186" s="107"/>
      <c r="B186" s="117">
        <v>2</v>
      </c>
      <c r="C186" s="104">
        <v>0</v>
      </c>
      <c r="D186" s="104">
        <v>0</v>
      </c>
      <c r="E186" s="104">
        <v>45.963833253772009</v>
      </c>
      <c r="F186" s="104">
        <v>86.927666507544018</v>
      </c>
      <c r="G186" s="104">
        <v>19.891499761316027</v>
      </c>
      <c r="H186" s="104">
        <v>0</v>
      </c>
      <c r="I186" s="104">
        <v>0</v>
      </c>
      <c r="J186" s="104">
        <v>86.963833253772009</v>
      </c>
      <c r="K186" s="104">
        <v>347.92766650754402</v>
      </c>
      <c r="L186" s="104">
        <v>481.89149976131603</v>
      </c>
      <c r="M186" s="104">
        <v>371.85533301508804</v>
      </c>
      <c r="N186" s="104">
        <v>599.81916626886004</v>
      </c>
      <c r="O186" s="104">
        <v>668.78299952263205</v>
      </c>
      <c r="P186" s="104">
        <v>620.74683277640406</v>
      </c>
      <c r="Q186" s="104">
        <v>535.71066603017607</v>
      </c>
      <c r="R186" s="104">
        <v>666.67449928394808</v>
      </c>
      <c r="S186" s="104">
        <v>710.63833253772009</v>
      </c>
      <c r="T186" s="104">
        <v>772.6021657914921</v>
      </c>
      <c r="U186" s="104">
        <v>431.9929392064339</v>
      </c>
      <c r="V186" s="104">
        <v>305.38371262137571</v>
      </c>
      <c r="W186" s="104">
        <v>125.77448603631751</v>
      </c>
      <c r="X186" s="104">
        <v>0</v>
      </c>
      <c r="Y186" s="104">
        <v>0</v>
      </c>
      <c r="Z186" s="104">
        <v>90.963833253772009</v>
      </c>
      <c r="AA186" s="104">
        <v>132.92766650754402</v>
      </c>
      <c r="AB186" s="104">
        <v>224.89149976131603</v>
      </c>
      <c r="AC186" s="104">
        <v>428.42839285391869</v>
      </c>
      <c r="AD186" s="104">
        <v>637.96528594652136</v>
      </c>
      <c r="AE186" s="104">
        <v>891.50217903912403</v>
      </c>
      <c r="AF186" s="104">
        <v>1047.0390721317267</v>
      </c>
      <c r="AG186" s="104">
        <v>1208.5759652243294</v>
      </c>
      <c r="AH186" s="104">
        <v>1084</v>
      </c>
      <c r="AI186" s="104">
        <v>1078</v>
      </c>
      <c r="AJ186" s="104">
        <v>1124.8691887191824</v>
      </c>
      <c r="AK186" s="104">
        <v>1003.3322956265797</v>
      </c>
      <c r="AL186" s="104">
        <v>859.3684623728077</v>
      </c>
      <c r="AM186" s="104">
        <v>875.76094777610888</v>
      </c>
      <c r="AN186" s="104">
        <v>785.72478102988089</v>
      </c>
      <c r="AO186" s="104">
        <v>627.6886142836529</v>
      </c>
      <c r="AP186" s="104">
        <v>560.65244753742491</v>
      </c>
      <c r="AQ186" s="104">
        <v>452.61628079119691</v>
      </c>
      <c r="AR186" s="104">
        <v>361.58011404496892</v>
      </c>
      <c r="AS186" s="104">
        <v>0</v>
      </c>
      <c r="AT186" s="104">
        <v>0</v>
      </c>
      <c r="AU186" s="104">
        <v>0</v>
      </c>
      <c r="AV186" s="104">
        <v>0</v>
      </c>
      <c r="AW186" s="104">
        <v>44.536893092602668</v>
      </c>
      <c r="AX186" s="104">
        <v>351.07378618520534</v>
      </c>
      <c r="AY186" s="104">
        <v>458.610679277808</v>
      </c>
    </row>
    <row r="187" spans="1:51">
      <c r="A187" s="107"/>
      <c r="B187" s="124">
        <v>3</v>
      </c>
      <c r="C187" s="104">
        <v>0</v>
      </c>
      <c r="D187" s="104">
        <v>0</v>
      </c>
      <c r="E187" s="104">
        <v>0</v>
      </c>
      <c r="F187" s="104">
        <v>0</v>
      </c>
      <c r="G187" s="104">
        <v>0</v>
      </c>
      <c r="H187" s="104">
        <v>0</v>
      </c>
      <c r="I187" s="104">
        <v>0</v>
      </c>
      <c r="J187" s="104">
        <v>0</v>
      </c>
      <c r="K187" s="104">
        <v>0</v>
      </c>
      <c r="L187" s="104">
        <v>0</v>
      </c>
      <c r="M187" s="104">
        <v>0</v>
      </c>
      <c r="N187" s="104">
        <v>0</v>
      </c>
      <c r="O187" s="104">
        <v>0</v>
      </c>
      <c r="P187" s="104">
        <v>0</v>
      </c>
      <c r="Q187" s="104">
        <v>0</v>
      </c>
      <c r="R187" s="104">
        <v>0</v>
      </c>
      <c r="S187" s="104">
        <v>0</v>
      </c>
      <c r="T187" s="104">
        <v>0</v>
      </c>
      <c r="U187" s="104">
        <v>0</v>
      </c>
      <c r="V187" s="104">
        <v>0</v>
      </c>
      <c r="W187" s="104">
        <v>0</v>
      </c>
      <c r="X187" s="104">
        <v>0</v>
      </c>
      <c r="Y187" s="104">
        <v>0</v>
      </c>
      <c r="Z187" s="104">
        <v>0</v>
      </c>
      <c r="AA187" s="104">
        <v>0</v>
      </c>
      <c r="AB187" s="104">
        <v>0</v>
      </c>
      <c r="AC187" s="104">
        <v>0</v>
      </c>
      <c r="AD187" s="104">
        <v>0</v>
      </c>
      <c r="AE187" s="104">
        <v>0</v>
      </c>
      <c r="AF187" s="104">
        <v>0</v>
      </c>
      <c r="AG187" s="104">
        <v>0</v>
      </c>
      <c r="AH187" s="104">
        <v>0</v>
      </c>
      <c r="AI187" s="104">
        <v>0</v>
      </c>
      <c r="AJ187" s="104">
        <v>131.13081128081762</v>
      </c>
      <c r="AK187" s="104">
        <v>118.66770437342029</v>
      </c>
      <c r="AL187" s="104">
        <v>46.631537627192301</v>
      </c>
      <c r="AM187" s="104">
        <v>0</v>
      </c>
      <c r="AN187" s="104">
        <v>0</v>
      </c>
      <c r="AO187" s="104">
        <v>0</v>
      </c>
      <c r="AP187" s="104">
        <v>0</v>
      </c>
      <c r="AQ187" s="104">
        <v>0</v>
      </c>
      <c r="AR187" s="104">
        <v>0</v>
      </c>
      <c r="AS187" s="104">
        <v>0</v>
      </c>
      <c r="AT187" s="104">
        <v>0</v>
      </c>
      <c r="AU187" s="104">
        <v>0</v>
      </c>
      <c r="AV187" s="104">
        <v>0</v>
      </c>
      <c r="AW187" s="104">
        <v>0</v>
      </c>
      <c r="AX187" s="104">
        <v>0</v>
      </c>
      <c r="AY187" s="104">
        <v>0</v>
      </c>
    </row>
    <row r="188" spans="1:51">
      <c r="A188" s="125"/>
      <c r="B188" s="126">
        <v>4</v>
      </c>
      <c r="C188" s="104">
        <v>0</v>
      </c>
      <c r="D188" s="104">
        <v>0</v>
      </c>
      <c r="E188" s="104">
        <v>0</v>
      </c>
      <c r="F188" s="104">
        <v>0</v>
      </c>
      <c r="G188" s="104">
        <v>0</v>
      </c>
      <c r="H188" s="104">
        <v>0</v>
      </c>
      <c r="I188" s="104">
        <v>0</v>
      </c>
      <c r="J188" s="104">
        <v>0</v>
      </c>
      <c r="K188" s="104">
        <v>0</v>
      </c>
      <c r="L188" s="104">
        <v>0</v>
      </c>
      <c r="M188" s="104">
        <v>0</v>
      </c>
      <c r="N188" s="104">
        <v>0</v>
      </c>
      <c r="O188" s="104">
        <v>0</v>
      </c>
      <c r="P188" s="104">
        <v>0</v>
      </c>
      <c r="Q188" s="104">
        <v>0</v>
      </c>
      <c r="R188" s="104">
        <v>0</v>
      </c>
      <c r="S188" s="104">
        <v>0</v>
      </c>
      <c r="T188" s="104">
        <v>0</v>
      </c>
      <c r="U188" s="104">
        <v>0</v>
      </c>
      <c r="V188" s="104">
        <v>0</v>
      </c>
      <c r="W188" s="104">
        <v>0</v>
      </c>
      <c r="X188" s="104">
        <v>0</v>
      </c>
      <c r="Y188" s="104">
        <v>0</v>
      </c>
      <c r="Z188" s="104">
        <v>0</v>
      </c>
      <c r="AA188" s="104">
        <v>0</v>
      </c>
      <c r="AB188" s="104">
        <v>0</v>
      </c>
      <c r="AC188" s="104">
        <v>0</v>
      </c>
      <c r="AD188" s="104">
        <v>0</v>
      </c>
      <c r="AE188" s="104">
        <v>0</v>
      </c>
      <c r="AF188" s="104">
        <v>0</v>
      </c>
      <c r="AG188" s="104">
        <v>0</v>
      </c>
      <c r="AH188" s="104">
        <v>0</v>
      </c>
      <c r="AI188" s="104">
        <v>0</v>
      </c>
      <c r="AJ188" s="104">
        <v>0</v>
      </c>
      <c r="AK188" s="104">
        <v>0</v>
      </c>
      <c r="AL188" s="104">
        <v>0</v>
      </c>
      <c r="AM188" s="104">
        <v>0</v>
      </c>
      <c r="AN188" s="104">
        <v>0</v>
      </c>
      <c r="AO188" s="104">
        <v>0</v>
      </c>
      <c r="AP188" s="104">
        <v>0</v>
      </c>
      <c r="AQ188" s="104">
        <v>0</v>
      </c>
      <c r="AR188" s="104">
        <v>0</v>
      </c>
      <c r="AS188" s="104">
        <v>0</v>
      </c>
      <c r="AT188" s="104">
        <v>0</v>
      </c>
      <c r="AU188" s="104">
        <v>0</v>
      </c>
      <c r="AV188" s="104">
        <v>0</v>
      </c>
      <c r="AW188" s="104">
        <v>0</v>
      </c>
      <c r="AX188" s="104">
        <v>0</v>
      </c>
      <c r="AY188" s="104">
        <v>0</v>
      </c>
    </row>
    <row r="189" spans="1:51">
      <c r="A189" s="123" t="s">
        <v>133</v>
      </c>
      <c r="B189" s="120">
        <v>1</v>
      </c>
      <c r="C189" s="121">
        <v>274.88280243470547</v>
      </c>
      <c r="D189" s="121">
        <v>208.90505571946301</v>
      </c>
      <c r="E189" s="121">
        <v>632.71513337225815</v>
      </c>
      <c r="F189" s="121">
        <v>211.40140051419235</v>
      </c>
      <c r="G189" s="121">
        <v>605</v>
      </c>
      <c r="H189" s="121">
        <v>211.40140051419235</v>
      </c>
      <c r="I189" s="121">
        <v>0</v>
      </c>
      <c r="J189" s="121">
        <v>696</v>
      </c>
      <c r="K189" s="121">
        <v>62.579804024533587</v>
      </c>
      <c r="L189" s="121">
        <v>87.86970603680038</v>
      </c>
      <c r="M189" s="121">
        <v>0</v>
      </c>
      <c r="N189" s="121">
        <v>0</v>
      </c>
      <c r="O189" s="121">
        <v>0</v>
      </c>
      <c r="P189" s="121">
        <v>138.86970603680038</v>
      </c>
      <c r="Q189" s="121">
        <v>209.15960804906717</v>
      </c>
      <c r="R189" s="121">
        <v>192.44951006133397</v>
      </c>
      <c r="S189" s="121">
        <v>192.73941207360076</v>
      </c>
      <c r="T189" s="121">
        <v>211.40140051419235</v>
      </c>
      <c r="U189" s="121">
        <v>0</v>
      </c>
      <c r="V189" s="121">
        <v>785</v>
      </c>
      <c r="W189" s="121">
        <v>328.72440744704136</v>
      </c>
      <c r="X189" s="121">
        <v>500.56549456522549</v>
      </c>
      <c r="Y189" s="121">
        <v>500.56549456522561</v>
      </c>
      <c r="Z189" s="121">
        <v>211.40140051419237</v>
      </c>
      <c r="AA189" s="121">
        <v>241.69130252645914</v>
      </c>
      <c r="AB189" s="121">
        <v>349.98120453872593</v>
      </c>
      <c r="AC189" s="121">
        <v>448.27110655099273</v>
      </c>
      <c r="AD189" s="121">
        <v>211.40140051419235</v>
      </c>
      <c r="AE189" s="121">
        <v>194.54669910395148</v>
      </c>
      <c r="AF189" s="121">
        <v>120.69199769371062</v>
      </c>
      <c r="AG189" s="121">
        <v>0</v>
      </c>
      <c r="AH189" s="121">
        <v>692</v>
      </c>
      <c r="AI189" s="121">
        <v>0</v>
      </c>
      <c r="AJ189" s="121">
        <v>0</v>
      </c>
      <c r="AK189" s="121">
        <v>0</v>
      </c>
      <c r="AL189" s="121">
        <v>211.40140051419235</v>
      </c>
      <c r="AM189" s="121">
        <v>0</v>
      </c>
      <c r="AN189" s="121">
        <v>0</v>
      </c>
      <c r="AO189" s="121">
        <v>0</v>
      </c>
      <c r="AP189" s="121">
        <v>106.70630715301866</v>
      </c>
      <c r="AQ189" s="121">
        <v>0</v>
      </c>
      <c r="AR189" s="121">
        <v>347.69130252645914</v>
      </c>
      <c r="AS189" s="121">
        <v>0</v>
      </c>
      <c r="AT189" s="121">
        <v>0</v>
      </c>
      <c r="AU189" s="121">
        <v>235.99551399803397</v>
      </c>
      <c r="AV189" s="121">
        <v>211.40140051419215</v>
      </c>
      <c r="AW189" s="121">
        <v>0</v>
      </c>
      <c r="AX189" s="121">
        <v>294.43450543477439</v>
      </c>
      <c r="AY189" s="121">
        <v>176.57980402453353</v>
      </c>
    </row>
    <row r="190" spans="1:51">
      <c r="A190" s="107"/>
      <c r="B190" s="116">
        <v>2</v>
      </c>
      <c r="C190" s="104">
        <v>410.11719756529453</v>
      </c>
      <c r="D190" s="104">
        <v>344.13945085005207</v>
      </c>
      <c r="E190" s="104">
        <v>2.8421709430404007E-14</v>
      </c>
      <c r="F190" s="104">
        <v>0</v>
      </c>
      <c r="G190" s="104">
        <v>2.8421709430404007E-14</v>
      </c>
      <c r="H190" s="104">
        <v>8.7100979877332065</v>
      </c>
      <c r="I190" s="104">
        <v>402.30869747354086</v>
      </c>
      <c r="J190" s="104">
        <v>0</v>
      </c>
      <c r="K190" s="104">
        <v>531.42019597546641</v>
      </c>
      <c r="L190" s="104">
        <v>551.13029396319962</v>
      </c>
      <c r="M190" s="104">
        <v>525.84039195093283</v>
      </c>
      <c r="N190" s="104">
        <v>516</v>
      </c>
      <c r="O190" s="104">
        <v>560.28990201226679</v>
      </c>
      <c r="P190" s="104">
        <v>613.71009798773321</v>
      </c>
      <c r="Q190" s="104">
        <v>474.84039195093283</v>
      </c>
      <c r="R190" s="104">
        <v>404.55048993866603</v>
      </c>
      <c r="S190" s="104">
        <v>421.26058792639924</v>
      </c>
      <c r="T190" s="104">
        <v>420.97068591413245</v>
      </c>
      <c r="U190" s="104">
        <v>402.30869747354086</v>
      </c>
      <c r="V190" s="104">
        <v>0</v>
      </c>
      <c r="W190" s="104">
        <v>329.27559255295864</v>
      </c>
      <c r="X190" s="104">
        <v>171.84108711818425</v>
      </c>
      <c r="Y190" s="104">
        <v>5.6843418860808015E-14</v>
      </c>
      <c r="Z190" s="104">
        <v>0</v>
      </c>
      <c r="AA190" s="104">
        <v>402.30869747354086</v>
      </c>
      <c r="AB190" s="104">
        <v>372.01879546127407</v>
      </c>
      <c r="AC190" s="104">
        <v>263.72889344900727</v>
      </c>
      <c r="AD190" s="104">
        <v>165.43899143674048</v>
      </c>
      <c r="AE190" s="104">
        <v>515.45330089604852</v>
      </c>
      <c r="AF190" s="104">
        <v>532.30800230628938</v>
      </c>
      <c r="AG190" s="104">
        <v>606.16270371653025</v>
      </c>
      <c r="AH190" s="104">
        <v>0</v>
      </c>
      <c r="AI190" s="104">
        <v>659</v>
      </c>
      <c r="AJ190" s="104">
        <v>693.2905971795185</v>
      </c>
      <c r="AK190" s="104">
        <v>604.43589576927764</v>
      </c>
      <c r="AL190" s="104">
        <v>0</v>
      </c>
      <c r="AM190" s="104">
        <v>118.14529858975914</v>
      </c>
      <c r="AN190" s="104">
        <v>412.83660111621828</v>
      </c>
      <c r="AO190" s="104">
        <v>572.12650312848507</v>
      </c>
      <c r="AP190" s="104">
        <v>613.71009798773321</v>
      </c>
      <c r="AQ190" s="104">
        <v>104.69509336117372</v>
      </c>
      <c r="AR190" s="104">
        <v>0</v>
      </c>
      <c r="AS190" s="104">
        <v>133.28990201226679</v>
      </c>
      <c r="AT190" s="104">
        <v>580.27110655099273</v>
      </c>
      <c r="AU190" s="104">
        <v>500.56549456522555</v>
      </c>
      <c r="AV190" s="104">
        <v>264.56998056719164</v>
      </c>
      <c r="AW190" s="104">
        <v>289.16409405103343</v>
      </c>
      <c r="AX190" s="104">
        <v>500.56549456522561</v>
      </c>
      <c r="AY190" s="104">
        <v>432.42019597546647</v>
      </c>
    </row>
    <row r="191" spans="1:51">
      <c r="A191" s="107"/>
      <c r="B191" s="117">
        <v>3</v>
      </c>
      <c r="C191" s="104">
        <v>0</v>
      </c>
      <c r="D191" s="104">
        <v>0</v>
      </c>
      <c r="E191" s="104">
        <v>0</v>
      </c>
      <c r="F191" s="104">
        <v>410.11719756529453</v>
      </c>
      <c r="G191" s="104">
        <v>0</v>
      </c>
      <c r="H191" s="104">
        <v>402.30869747354086</v>
      </c>
      <c r="I191" s="104">
        <v>0</v>
      </c>
      <c r="J191" s="104">
        <v>0</v>
      </c>
      <c r="K191" s="104">
        <v>0</v>
      </c>
      <c r="L191" s="104">
        <v>0</v>
      </c>
      <c r="M191" s="104">
        <v>0</v>
      </c>
      <c r="N191" s="104">
        <v>0</v>
      </c>
      <c r="O191" s="104">
        <v>97.710097987733207</v>
      </c>
      <c r="P191" s="104">
        <v>53.420195975466413</v>
      </c>
      <c r="Q191" s="104">
        <v>0</v>
      </c>
      <c r="R191" s="104">
        <v>0</v>
      </c>
      <c r="S191" s="104">
        <v>0</v>
      </c>
      <c r="T191" s="104">
        <v>0</v>
      </c>
      <c r="U191" s="104">
        <v>0</v>
      </c>
      <c r="V191" s="104">
        <v>0</v>
      </c>
      <c r="W191" s="104">
        <v>0</v>
      </c>
      <c r="X191" s="104">
        <v>0</v>
      </c>
      <c r="Y191" s="104">
        <v>0</v>
      </c>
      <c r="Z191" s="104">
        <v>0</v>
      </c>
      <c r="AA191" s="104">
        <v>0</v>
      </c>
      <c r="AB191" s="104">
        <v>0</v>
      </c>
      <c r="AC191" s="104">
        <v>0</v>
      </c>
      <c r="AD191" s="104">
        <v>0</v>
      </c>
      <c r="AE191" s="104">
        <v>0</v>
      </c>
      <c r="AF191" s="104">
        <v>0</v>
      </c>
      <c r="AG191" s="104">
        <v>0</v>
      </c>
      <c r="AH191" s="104">
        <v>0</v>
      </c>
      <c r="AI191" s="104">
        <v>0</v>
      </c>
      <c r="AJ191" s="104">
        <v>102.7094028204815</v>
      </c>
      <c r="AK191" s="104">
        <v>33.564104230722364</v>
      </c>
      <c r="AL191" s="104">
        <v>122.41880564096323</v>
      </c>
      <c r="AM191" s="104">
        <v>726.85470141024086</v>
      </c>
      <c r="AN191" s="104">
        <v>284.16339888378172</v>
      </c>
      <c r="AO191" s="104">
        <v>200.87349687151493</v>
      </c>
      <c r="AP191" s="104">
        <v>41.583594859248137</v>
      </c>
      <c r="AQ191" s="104">
        <v>0</v>
      </c>
      <c r="AR191" s="104">
        <v>402.30869747354086</v>
      </c>
      <c r="AS191" s="104">
        <v>613.71009798773321</v>
      </c>
      <c r="AT191" s="104">
        <v>132.72889344900727</v>
      </c>
      <c r="AU191" s="104">
        <v>33.43899143674048</v>
      </c>
      <c r="AV191" s="104">
        <v>0</v>
      </c>
      <c r="AW191" s="104">
        <v>0</v>
      </c>
      <c r="AX191" s="104">
        <v>0</v>
      </c>
      <c r="AY191" s="104">
        <v>0</v>
      </c>
    </row>
    <row r="192" spans="1:51">
      <c r="A192" s="107"/>
      <c r="B192" s="117">
        <v>4</v>
      </c>
      <c r="C192" s="104">
        <v>0</v>
      </c>
      <c r="D192" s="104">
        <v>0</v>
      </c>
      <c r="E192" s="104">
        <v>0</v>
      </c>
      <c r="F192" s="104">
        <v>0</v>
      </c>
      <c r="G192" s="104">
        <v>0</v>
      </c>
      <c r="H192" s="104">
        <v>0</v>
      </c>
      <c r="I192" s="104">
        <v>0</v>
      </c>
      <c r="J192" s="104">
        <v>0</v>
      </c>
      <c r="K192" s="104">
        <v>0</v>
      </c>
      <c r="L192" s="104">
        <v>0</v>
      </c>
      <c r="M192" s="104">
        <v>0</v>
      </c>
      <c r="N192" s="104">
        <v>0</v>
      </c>
      <c r="O192" s="104">
        <v>0</v>
      </c>
      <c r="P192" s="104">
        <v>0</v>
      </c>
      <c r="Q192" s="104">
        <v>0</v>
      </c>
      <c r="R192" s="104">
        <v>0</v>
      </c>
      <c r="S192" s="104">
        <v>0</v>
      </c>
      <c r="T192" s="104">
        <v>0</v>
      </c>
      <c r="U192" s="104">
        <v>0</v>
      </c>
      <c r="V192" s="104">
        <v>0</v>
      </c>
      <c r="W192" s="104">
        <v>0</v>
      </c>
      <c r="X192" s="104">
        <v>0</v>
      </c>
      <c r="Y192" s="104">
        <v>0</v>
      </c>
      <c r="Z192" s="104">
        <v>0</v>
      </c>
      <c r="AA192" s="104">
        <v>0</v>
      </c>
      <c r="AB192" s="104">
        <v>0</v>
      </c>
      <c r="AC192" s="104">
        <v>0</v>
      </c>
      <c r="AD192" s="104">
        <v>0</v>
      </c>
      <c r="AE192" s="104">
        <v>0</v>
      </c>
      <c r="AF192" s="104">
        <v>0</v>
      </c>
      <c r="AG192" s="104">
        <v>0</v>
      </c>
      <c r="AH192" s="104">
        <v>0</v>
      </c>
      <c r="AI192" s="104">
        <v>0</v>
      </c>
      <c r="AJ192" s="104">
        <v>0</v>
      </c>
      <c r="AK192" s="104">
        <v>0</v>
      </c>
      <c r="AL192" s="104">
        <v>0</v>
      </c>
      <c r="AM192" s="104">
        <v>0</v>
      </c>
      <c r="AN192" s="104">
        <v>0</v>
      </c>
      <c r="AO192" s="104">
        <v>0</v>
      </c>
      <c r="AP192" s="104">
        <v>0</v>
      </c>
      <c r="AQ192" s="104">
        <v>0</v>
      </c>
      <c r="AR192" s="104">
        <v>0</v>
      </c>
      <c r="AS192" s="104">
        <v>0</v>
      </c>
      <c r="AT192" s="104">
        <v>0</v>
      </c>
      <c r="AU192" s="104">
        <v>0</v>
      </c>
      <c r="AV192" s="104">
        <v>0</v>
      </c>
      <c r="AW192" s="104">
        <v>0</v>
      </c>
      <c r="AX192" s="104">
        <v>0</v>
      </c>
      <c r="AY192" s="104">
        <v>0</v>
      </c>
    </row>
    <row r="193" spans="1:51">
      <c r="A193" s="107"/>
      <c r="B193" s="124">
        <v>5</v>
      </c>
      <c r="C193" s="104">
        <v>0</v>
      </c>
      <c r="D193" s="104">
        <v>0</v>
      </c>
      <c r="E193" s="104">
        <v>0</v>
      </c>
      <c r="F193" s="104">
        <v>0</v>
      </c>
      <c r="G193" s="104">
        <v>0</v>
      </c>
      <c r="H193" s="104">
        <v>0</v>
      </c>
      <c r="I193" s="104">
        <v>0</v>
      </c>
      <c r="J193" s="104">
        <v>0</v>
      </c>
      <c r="K193" s="104">
        <v>0</v>
      </c>
      <c r="L193" s="104">
        <v>0</v>
      </c>
      <c r="M193" s="104">
        <v>0</v>
      </c>
      <c r="N193" s="104">
        <v>0</v>
      </c>
      <c r="O193" s="104">
        <v>0</v>
      </c>
      <c r="P193" s="104">
        <v>0</v>
      </c>
      <c r="Q193" s="104">
        <v>0</v>
      </c>
      <c r="R193" s="104">
        <v>0</v>
      </c>
      <c r="S193" s="104">
        <v>0</v>
      </c>
      <c r="T193" s="104">
        <v>0</v>
      </c>
      <c r="U193" s="104">
        <v>0</v>
      </c>
      <c r="V193" s="104">
        <v>0</v>
      </c>
      <c r="W193" s="104">
        <v>0</v>
      </c>
      <c r="X193" s="104">
        <v>0</v>
      </c>
      <c r="Y193" s="104">
        <v>0</v>
      </c>
      <c r="Z193" s="104">
        <v>0</v>
      </c>
      <c r="AA193" s="104">
        <v>0</v>
      </c>
      <c r="AB193" s="104">
        <v>0</v>
      </c>
      <c r="AC193" s="104">
        <v>0</v>
      </c>
      <c r="AD193" s="104">
        <v>0</v>
      </c>
      <c r="AE193" s="104">
        <v>0</v>
      </c>
      <c r="AF193" s="104">
        <v>0</v>
      </c>
      <c r="AG193" s="104">
        <v>0</v>
      </c>
      <c r="AH193" s="104">
        <v>0</v>
      </c>
      <c r="AI193" s="104">
        <v>0</v>
      </c>
      <c r="AJ193" s="104">
        <v>0</v>
      </c>
      <c r="AK193" s="104">
        <v>0</v>
      </c>
      <c r="AL193" s="104">
        <v>0</v>
      </c>
      <c r="AM193" s="104">
        <v>0</v>
      </c>
      <c r="AN193" s="104">
        <v>0</v>
      </c>
      <c r="AO193" s="104">
        <v>0</v>
      </c>
      <c r="AP193" s="104">
        <v>0</v>
      </c>
      <c r="AQ193" s="104">
        <v>0</v>
      </c>
      <c r="AR193" s="104">
        <v>0</v>
      </c>
      <c r="AS193" s="104">
        <v>0</v>
      </c>
      <c r="AT193" s="104">
        <v>0</v>
      </c>
      <c r="AU193" s="104">
        <v>0</v>
      </c>
      <c r="AV193" s="104">
        <v>0</v>
      </c>
      <c r="AW193" s="104">
        <v>0</v>
      </c>
      <c r="AX193" s="104">
        <v>0</v>
      </c>
      <c r="AY193" s="104">
        <v>0</v>
      </c>
    </row>
    <row r="194" spans="1:51">
      <c r="A194" s="107"/>
      <c r="B194" s="124">
        <v>6</v>
      </c>
      <c r="C194" s="104">
        <v>0</v>
      </c>
      <c r="D194" s="104">
        <v>0</v>
      </c>
      <c r="E194" s="104">
        <v>0</v>
      </c>
      <c r="F194" s="104">
        <v>0</v>
      </c>
      <c r="G194" s="104">
        <v>0</v>
      </c>
      <c r="H194" s="104">
        <v>0</v>
      </c>
      <c r="I194" s="104">
        <v>0</v>
      </c>
      <c r="J194" s="104">
        <v>0</v>
      </c>
      <c r="K194" s="104">
        <v>0</v>
      </c>
      <c r="L194" s="104">
        <v>0</v>
      </c>
      <c r="M194" s="104">
        <v>0</v>
      </c>
      <c r="N194" s="104">
        <v>0</v>
      </c>
      <c r="O194" s="104">
        <v>0</v>
      </c>
      <c r="P194" s="104">
        <v>0</v>
      </c>
      <c r="Q194" s="104">
        <v>0</v>
      </c>
      <c r="R194" s="104">
        <v>0</v>
      </c>
      <c r="S194" s="104">
        <v>0</v>
      </c>
      <c r="T194" s="104">
        <v>0</v>
      </c>
      <c r="U194" s="104">
        <v>0</v>
      </c>
      <c r="V194" s="104">
        <v>0</v>
      </c>
      <c r="W194" s="104">
        <v>0</v>
      </c>
      <c r="X194" s="104">
        <v>0</v>
      </c>
      <c r="Y194" s="104">
        <v>0</v>
      </c>
      <c r="Z194" s="104">
        <v>0</v>
      </c>
      <c r="AA194" s="104">
        <v>0</v>
      </c>
      <c r="AB194" s="104">
        <v>0</v>
      </c>
      <c r="AC194" s="104">
        <v>0</v>
      </c>
      <c r="AD194" s="104">
        <v>0</v>
      </c>
      <c r="AE194" s="104">
        <v>0</v>
      </c>
      <c r="AF194" s="104">
        <v>0</v>
      </c>
      <c r="AG194" s="104">
        <v>0</v>
      </c>
      <c r="AH194" s="104">
        <v>0</v>
      </c>
      <c r="AI194" s="104">
        <v>0</v>
      </c>
      <c r="AJ194" s="104">
        <v>0</v>
      </c>
      <c r="AK194" s="104">
        <v>0</v>
      </c>
      <c r="AL194" s="104">
        <v>0</v>
      </c>
      <c r="AM194" s="104">
        <v>0</v>
      </c>
      <c r="AN194" s="104">
        <v>0</v>
      </c>
      <c r="AO194" s="104">
        <v>0</v>
      </c>
      <c r="AP194" s="104">
        <v>0</v>
      </c>
      <c r="AQ194" s="104">
        <v>0</v>
      </c>
      <c r="AR194" s="104">
        <v>0</v>
      </c>
      <c r="AS194" s="104">
        <v>0</v>
      </c>
      <c r="AT194" s="104">
        <v>0</v>
      </c>
      <c r="AU194" s="104">
        <v>0</v>
      </c>
      <c r="AV194" s="104">
        <v>0</v>
      </c>
      <c r="AW194" s="104">
        <v>0</v>
      </c>
      <c r="AX194" s="104">
        <v>0</v>
      </c>
      <c r="AY194" s="104">
        <v>0</v>
      </c>
    </row>
    <row r="195" spans="1:51">
      <c r="A195" s="107"/>
      <c r="B195" s="127">
        <v>7</v>
      </c>
      <c r="C195" s="104">
        <v>0</v>
      </c>
      <c r="D195" s="104">
        <v>0</v>
      </c>
      <c r="E195" s="104">
        <v>0</v>
      </c>
      <c r="F195" s="104">
        <v>0</v>
      </c>
      <c r="G195" s="104">
        <v>0</v>
      </c>
      <c r="H195" s="104">
        <v>0</v>
      </c>
      <c r="I195" s="104">
        <v>0</v>
      </c>
      <c r="J195" s="104">
        <v>0</v>
      </c>
      <c r="K195" s="104">
        <v>0</v>
      </c>
      <c r="L195" s="104">
        <v>0</v>
      </c>
      <c r="M195" s="104">
        <v>0</v>
      </c>
      <c r="N195" s="104">
        <v>0</v>
      </c>
      <c r="O195" s="104">
        <v>0</v>
      </c>
      <c r="P195" s="104">
        <v>0</v>
      </c>
      <c r="Q195" s="104">
        <v>0</v>
      </c>
      <c r="R195" s="104">
        <v>0</v>
      </c>
      <c r="S195" s="104">
        <v>0</v>
      </c>
      <c r="T195" s="104">
        <v>0</v>
      </c>
      <c r="U195" s="104">
        <v>0</v>
      </c>
      <c r="V195" s="104">
        <v>0</v>
      </c>
      <c r="W195" s="104">
        <v>0</v>
      </c>
      <c r="X195" s="104">
        <v>0</v>
      </c>
      <c r="Y195" s="104">
        <v>0</v>
      </c>
      <c r="Z195" s="104">
        <v>0</v>
      </c>
      <c r="AA195" s="104">
        <v>0</v>
      </c>
      <c r="AB195" s="104">
        <v>0</v>
      </c>
      <c r="AC195" s="104">
        <v>0</v>
      </c>
      <c r="AD195" s="104">
        <v>0</v>
      </c>
      <c r="AE195" s="104">
        <v>0</v>
      </c>
      <c r="AF195" s="104">
        <v>0</v>
      </c>
      <c r="AG195" s="104">
        <v>0</v>
      </c>
      <c r="AH195" s="104">
        <v>0</v>
      </c>
      <c r="AI195" s="104">
        <v>0</v>
      </c>
      <c r="AJ195" s="104">
        <v>0</v>
      </c>
      <c r="AK195" s="104">
        <v>0</v>
      </c>
      <c r="AL195" s="104">
        <v>0</v>
      </c>
      <c r="AM195" s="104">
        <v>0</v>
      </c>
      <c r="AN195" s="104">
        <v>0</v>
      </c>
      <c r="AO195" s="104">
        <v>0</v>
      </c>
      <c r="AP195" s="104">
        <v>0</v>
      </c>
      <c r="AQ195" s="104">
        <v>0</v>
      </c>
      <c r="AR195" s="104">
        <v>0</v>
      </c>
      <c r="AS195" s="104">
        <v>0</v>
      </c>
      <c r="AT195" s="104">
        <v>0</v>
      </c>
      <c r="AU195" s="104">
        <v>0</v>
      </c>
      <c r="AV195" s="104">
        <v>0</v>
      </c>
      <c r="AW195" s="104">
        <v>0</v>
      </c>
      <c r="AX195" s="104">
        <v>0</v>
      </c>
      <c r="AY195" s="104">
        <v>0</v>
      </c>
    </row>
    <row r="196" spans="1:51">
      <c r="A196" s="125"/>
      <c r="B196" s="126">
        <v>8</v>
      </c>
      <c r="C196" s="111">
        <v>0</v>
      </c>
      <c r="D196" s="111">
        <v>0</v>
      </c>
      <c r="E196" s="111">
        <v>0</v>
      </c>
      <c r="F196" s="111">
        <v>0</v>
      </c>
      <c r="G196" s="111">
        <v>0</v>
      </c>
      <c r="H196" s="111">
        <v>0</v>
      </c>
      <c r="I196" s="111">
        <v>0</v>
      </c>
      <c r="J196" s="111">
        <v>0</v>
      </c>
      <c r="K196" s="111">
        <v>0</v>
      </c>
      <c r="L196" s="111">
        <v>0</v>
      </c>
      <c r="M196" s="111">
        <v>0</v>
      </c>
      <c r="N196" s="111">
        <v>0</v>
      </c>
      <c r="O196" s="111">
        <v>0</v>
      </c>
      <c r="P196" s="111">
        <v>0</v>
      </c>
      <c r="Q196" s="111">
        <v>0</v>
      </c>
      <c r="R196" s="111">
        <v>0</v>
      </c>
      <c r="S196" s="111">
        <v>0</v>
      </c>
      <c r="T196" s="111">
        <v>0</v>
      </c>
      <c r="U196" s="111">
        <v>0</v>
      </c>
      <c r="V196" s="111">
        <v>0</v>
      </c>
      <c r="W196" s="111">
        <v>0</v>
      </c>
      <c r="X196" s="111">
        <v>0</v>
      </c>
      <c r="Y196" s="111">
        <v>0</v>
      </c>
      <c r="Z196" s="111">
        <v>0</v>
      </c>
      <c r="AA196" s="111">
        <v>0</v>
      </c>
      <c r="AB196" s="111">
        <v>0</v>
      </c>
      <c r="AC196" s="111">
        <v>0</v>
      </c>
      <c r="AD196" s="111">
        <v>0</v>
      </c>
      <c r="AE196" s="111">
        <v>0</v>
      </c>
      <c r="AF196" s="111">
        <v>0</v>
      </c>
      <c r="AG196" s="111">
        <v>0</v>
      </c>
      <c r="AH196" s="111">
        <v>0</v>
      </c>
      <c r="AI196" s="111">
        <v>0</v>
      </c>
      <c r="AJ196" s="111">
        <v>0</v>
      </c>
      <c r="AK196" s="111">
        <v>0</v>
      </c>
      <c r="AL196" s="111">
        <v>0</v>
      </c>
      <c r="AM196" s="111">
        <v>0</v>
      </c>
      <c r="AN196" s="111">
        <v>0</v>
      </c>
      <c r="AO196" s="111">
        <v>0</v>
      </c>
      <c r="AP196" s="111">
        <v>0</v>
      </c>
      <c r="AQ196" s="111">
        <v>0</v>
      </c>
      <c r="AR196" s="111">
        <v>0</v>
      </c>
      <c r="AS196" s="111">
        <v>0</v>
      </c>
      <c r="AT196" s="111">
        <v>0</v>
      </c>
      <c r="AU196" s="111">
        <v>0</v>
      </c>
      <c r="AV196" s="111">
        <v>0</v>
      </c>
      <c r="AW196" s="111">
        <v>0</v>
      </c>
      <c r="AX196" s="111">
        <v>0</v>
      </c>
      <c r="AY196" s="111">
        <v>0</v>
      </c>
    </row>
    <row r="197" spans="1:51">
      <c r="A197" s="128" t="s">
        <v>134</v>
      </c>
      <c r="B197" s="116">
        <v>1</v>
      </c>
      <c r="C197" s="104">
        <v>172.64290546183213</v>
      </c>
      <c r="D197" s="104">
        <v>490.03458207835854</v>
      </c>
      <c r="E197" s="104">
        <v>212.45714524061958</v>
      </c>
      <c r="F197" s="104">
        <v>383.48707151470427</v>
      </c>
      <c r="G197" s="104">
        <v>382.52879758687857</v>
      </c>
      <c r="H197" s="104">
        <v>374.16495087293441</v>
      </c>
      <c r="I197" s="104">
        <v>374.16495087293441</v>
      </c>
      <c r="J197" s="104">
        <v>270.47088666524229</v>
      </c>
      <c r="K197" s="104">
        <v>394</v>
      </c>
      <c r="L197" s="104">
        <v>209.80537689754419</v>
      </c>
      <c r="M197" s="104">
        <v>152.80662209328602</v>
      </c>
      <c r="N197" s="104">
        <v>73.135278643413073</v>
      </c>
      <c r="O197" s="104">
        <v>477.85901508062653</v>
      </c>
      <c r="P197" s="104">
        <v>425</v>
      </c>
      <c r="Q197" s="104">
        <v>349.49944110523631</v>
      </c>
      <c r="R197" s="104">
        <v>395.97683014236929</v>
      </c>
      <c r="S197" s="104">
        <v>374.16495087293441</v>
      </c>
      <c r="T197" s="104">
        <v>374.16495087293441</v>
      </c>
      <c r="U197" s="104">
        <v>176.82934285110517</v>
      </c>
      <c r="V197" s="104">
        <v>270.47088666524229</v>
      </c>
      <c r="W197" s="104">
        <v>460</v>
      </c>
      <c r="X197" s="104">
        <v>273.27584969004596</v>
      </c>
      <c r="Y197" s="104">
        <v>318.66662520664016</v>
      </c>
      <c r="Z197" s="104">
        <v>318.66662520664011</v>
      </c>
      <c r="AA197" s="104">
        <v>176.82934285110517</v>
      </c>
      <c r="AB197" s="104">
        <v>444</v>
      </c>
      <c r="AC197" s="104">
        <v>320.49944110523631</v>
      </c>
      <c r="AD197" s="104">
        <v>355.51908266124059</v>
      </c>
      <c r="AE197" s="104">
        <v>176.82934285110517</v>
      </c>
      <c r="AF197" s="104">
        <v>549</v>
      </c>
      <c r="AG197" s="104">
        <v>395.06869397432774</v>
      </c>
      <c r="AH197" s="104">
        <v>98.899193121974406</v>
      </c>
      <c r="AI197" s="104">
        <v>543</v>
      </c>
      <c r="AJ197" s="104">
        <v>202.80872556495535</v>
      </c>
      <c r="AK197" s="104">
        <v>102.75152899741806</v>
      </c>
      <c r="AL197" s="104">
        <v>135.20121303312374</v>
      </c>
      <c r="AM197" s="104">
        <v>176.82934285110517</v>
      </c>
      <c r="AN197" s="104">
        <v>525</v>
      </c>
      <c r="AO197" s="104">
        <v>53.971443209420499</v>
      </c>
      <c r="AP197" s="104">
        <v>0</v>
      </c>
      <c r="AQ197" s="104">
        <v>0</v>
      </c>
      <c r="AR197" s="104">
        <v>73.135278643413073</v>
      </c>
      <c r="AS197" s="104">
        <v>503</v>
      </c>
      <c r="AT197" s="104">
        <v>431.49944110523643</v>
      </c>
      <c r="AU197" s="104">
        <v>307.30481800278062</v>
      </c>
      <c r="AV197" s="104">
        <v>290.72934232851628</v>
      </c>
      <c r="AW197" s="104">
        <v>176.82934285110528</v>
      </c>
      <c r="AX197" s="104">
        <v>214.97256099894796</v>
      </c>
      <c r="AY197" s="104">
        <v>421</v>
      </c>
    </row>
    <row r="198" spans="1:51">
      <c r="A198" s="107"/>
      <c r="B198" s="116">
        <v>2</v>
      </c>
      <c r="C198" s="104">
        <v>101.44954098074084</v>
      </c>
      <c r="D198" s="104">
        <v>2.8421709430404007E-14</v>
      </c>
      <c r="E198" s="104">
        <v>88.903313969538772</v>
      </c>
      <c r="F198" s="104">
        <v>0</v>
      </c>
      <c r="G198" s="104">
        <v>0</v>
      </c>
      <c r="H198" s="104">
        <v>0</v>
      </c>
      <c r="I198" s="104">
        <v>0</v>
      </c>
      <c r="J198" s="104">
        <v>0</v>
      </c>
      <c r="K198" s="104">
        <v>0</v>
      </c>
      <c r="L198" s="104">
        <v>281.19462310245581</v>
      </c>
      <c r="M198" s="104">
        <v>257.43696378579813</v>
      </c>
      <c r="N198" s="104">
        <v>221.35832877964839</v>
      </c>
      <c r="O198" s="104">
        <v>1.4210854715202004E-14</v>
      </c>
      <c r="P198" s="104">
        <v>0</v>
      </c>
      <c r="Q198" s="104">
        <v>146.50055889476369</v>
      </c>
      <c r="R198" s="104">
        <v>90.312202290869777</v>
      </c>
      <c r="S198" s="104">
        <v>0</v>
      </c>
      <c r="T198" s="104">
        <v>0</v>
      </c>
      <c r="U198" s="104">
        <v>0</v>
      </c>
      <c r="V198" s="104">
        <v>0</v>
      </c>
      <c r="W198" s="104">
        <v>0</v>
      </c>
      <c r="X198" s="104">
        <v>159.69629743616156</v>
      </c>
      <c r="Y198" s="104">
        <v>78.451585867306562</v>
      </c>
      <c r="Z198" s="104">
        <v>0</v>
      </c>
      <c r="AA198" s="104">
        <v>0</v>
      </c>
      <c r="AB198" s="104">
        <v>0</v>
      </c>
      <c r="AC198" s="104">
        <v>127.50055889476369</v>
      </c>
      <c r="AD198" s="104">
        <v>85.331426565552988</v>
      </c>
      <c r="AE198" s="104">
        <v>24.721660798123992</v>
      </c>
      <c r="AF198" s="104">
        <v>0</v>
      </c>
      <c r="AG198" s="104">
        <v>133.49721022735253</v>
      </c>
      <c r="AH198" s="104">
        <v>84.784559704270009</v>
      </c>
      <c r="AI198" s="104">
        <v>0</v>
      </c>
      <c r="AJ198" s="104">
        <v>243.19127443504465</v>
      </c>
      <c r="AK198" s="104">
        <v>350.24847100258194</v>
      </c>
      <c r="AL198" s="104">
        <v>421.44500926886133</v>
      </c>
      <c r="AM198" s="104">
        <v>19.191577800988313</v>
      </c>
      <c r="AN198" s="104">
        <v>0</v>
      </c>
      <c r="AO198" s="104">
        <v>403.0285567905795</v>
      </c>
      <c r="AP198" s="104">
        <v>475</v>
      </c>
      <c r="AQ198" s="104">
        <v>368.99031050578208</v>
      </c>
      <c r="AR198" s="104">
        <v>176.8293428511052</v>
      </c>
      <c r="AS198" s="104">
        <v>1.4210854715202004E-14</v>
      </c>
      <c r="AT198" s="104">
        <v>68.500558894763572</v>
      </c>
      <c r="AU198" s="104">
        <v>243.69518199721938</v>
      </c>
      <c r="AV198" s="104">
        <v>155.39519132418735</v>
      </c>
      <c r="AW198" s="104">
        <v>34.876167302821443</v>
      </c>
      <c r="AX198" s="104">
        <v>0</v>
      </c>
      <c r="AY198" s="104">
        <v>0</v>
      </c>
    </row>
    <row r="199" spans="1:51">
      <c r="A199" s="107"/>
      <c r="B199" s="116">
        <v>3</v>
      </c>
      <c r="C199" s="104">
        <v>0</v>
      </c>
      <c r="D199" s="104">
        <v>0</v>
      </c>
      <c r="E199" s="104">
        <v>0</v>
      </c>
      <c r="F199" s="104">
        <v>0</v>
      </c>
      <c r="G199" s="104">
        <v>0</v>
      </c>
      <c r="H199" s="104">
        <v>0</v>
      </c>
      <c r="I199" s="104">
        <v>0</v>
      </c>
      <c r="J199" s="104">
        <v>0</v>
      </c>
      <c r="K199" s="104">
        <v>0</v>
      </c>
      <c r="L199" s="104">
        <v>0</v>
      </c>
      <c r="M199" s="104">
        <v>0</v>
      </c>
      <c r="N199" s="104">
        <v>0</v>
      </c>
      <c r="O199" s="104">
        <v>0</v>
      </c>
      <c r="P199" s="104">
        <v>0</v>
      </c>
      <c r="Q199" s="104">
        <v>0</v>
      </c>
      <c r="R199" s="104">
        <v>0</v>
      </c>
      <c r="S199" s="104">
        <v>0</v>
      </c>
      <c r="T199" s="104">
        <v>0</v>
      </c>
      <c r="U199" s="104">
        <v>0</v>
      </c>
      <c r="V199" s="104">
        <v>0</v>
      </c>
      <c r="W199" s="104">
        <v>0</v>
      </c>
      <c r="X199" s="104">
        <v>0</v>
      </c>
      <c r="Y199" s="104">
        <v>0</v>
      </c>
      <c r="Z199" s="104">
        <v>0</v>
      </c>
      <c r="AA199" s="104">
        <v>0</v>
      </c>
      <c r="AB199" s="104">
        <v>0</v>
      </c>
      <c r="AC199" s="104">
        <v>0</v>
      </c>
      <c r="AD199" s="104">
        <v>0</v>
      </c>
      <c r="AE199" s="104">
        <v>0</v>
      </c>
      <c r="AF199" s="104">
        <v>0</v>
      </c>
      <c r="AG199" s="104">
        <v>0</v>
      </c>
      <c r="AH199" s="104">
        <v>0</v>
      </c>
      <c r="AI199" s="104">
        <v>0</v>
      </c>
      <c r="AJ199" s="104">
        <v>0</v>
      </c>
      <c r="AK199" s="104">
        <v>0</v>
      </c>
      <c r="AL199" s="104">
        <v>0</v>
      </c>
      <c r="AM199" s="104">
        <v>0</v>
      </c>
      <c r="AN199" s="104">
        <v>0</v>
      </c>
      <c r="AO199" s="104">
        <v>0</v>
      </c>
      <c r="AP199" s="104">
        <v>0</v>
      </c>
      <c r="AQ199" s="104">
        <v>84.20501290389825</v>
      </c>
      <c r="AR199" s="104">
        <v>58.948994479519115</v>
      </c>
      <c r="AS199" s="104">
        <v>0</v>
      </c>
      <c r="AT199" s="104">
        <v>0</v>
      </c>
      <c r="AU199" s="104">
        <v>0</v>
      </c>
      <c r="AV199" s="104">
        <v>0</v>
      </c>
      <c r="AW199" s="104">
        <v>0</v>
      </c>
      <c r="AX199" s="104">
        <v>0</v>
      </c>
      <c r="AY199" s="104">
        <v>0</v>
      </c>
    </row>
    <row r="200" spans="1:51">
      <c r="A200" s="107"/>
      <c r="B200" s="117">
        <v>4</v>
      </c>
      <c r="C200" s="104">
        <v>0</v>
      </c>
      <c r="D200" s="104">
        <v>0</v>
      </c>
      <c r="E200" s="104">
        <v>0</v>
      </c>
      <c r="F200" s="104">
        <v>0</v>
      </c>
      <c r="G200" s="104">
        <v>0</v>
      </c>
      <c r="H200" s="104">
        <v>0</v>
      </c>
      <c r="I200" s="104">
        <v>0</v>
      </c>
      <c r="J200" s="104">
        <v>0</v>
      </c>
      <c r="K200" s="104">
        <v>0</v>
      </c>
      <c r="L200" s="104">
        <v>0</v>
      </c>
      <c r="M200" s="104">
        <v>0</v>
      </c>
      <c r="N200" s="104">
        <v>0</v>
      </c>
      <c r="O200" s="104">
        <v>0</v>
      </c>
      <c r="P200" s="104">
        <v>0</v>
      </c>
      <c r="Q200" s="104">
        <v>0</v>
      </c>
      <c r="R200" s="104">
        <v>0</v>
      </c>
      <c r="S200" s="104">
        <v>0</v>
      </c>
      <c r="T200" s="104">
        <v>0</v>
      </c>
      <c r="U200" s="104">
        <v>0</v>
      </c>
      <c r="V200" s="104">
        <v>0</v>
      </c>
      <c r="W200" s="104">
        <v>0</v>
      </c>
      <c r="X200" s="104">
        <v>0</v>
      </c>
      <c r="Y200" s="104">
        <v>0</v>
      </c>
      <c r="Z200" s="104">
        <v>0</v>
      </c>
      <c r="AA200" s="104">
        <v>0</v>
      </c>
      <c r="AB200" s="104">
        <v>0</v>
      </c>
      <c r="AC200" s="104">
        <v>0</v>
      </c>
      <c r="AD200" s="104">
        <v>0</v>
      </c>
      <c r="AE200" s="104">
        <v>0</v>
      </c>
      <c r="AF200" s="104">
        <v>0</v>
      </c>
      <c r="AG200" s="104">
        <v>0</v>
      </c>
      <c r="AH200" s="104">
        <v>0</v>
      </c>
      <c r="AI200" s="104">
        <v>0</v>
      </c>
      <c r="AJ200" s="104">
        <v>0</v>
      </c>
      <c r="AK200" s="104">
        <v>0</v>
      </c>
      <c r="AL200" s="104">
        <v>0</v>
      </c>
      <c r="AM200" s="104">
        <v>0</v>
      </c>
      <c r="AN200" s="104">
        <v>0</v>
      </c>
      <c r="AO200" s="104">
        <v>0</v>
      </c>
      <c r="AP200" s="104">
        <v>0</v>
      </c>
      <c r="AQ200" s="104">
        <v>0</v>
      </c>
      <c r="AR200" s="104">
        <v>0</v>
      </c>
      <c r="AS200" s="104">
        <v>0</v>
      </c>
      <c r="AT200" s="104">
        <v>0</v>
      </c>
      <c r="AU200" s="104">
        <v>0</v>
      </c>
      <c r="AV200" s="104">
        <v>0</v>
      </c>
      <c r="AW200" s="104">
        <v>0</v>
      </c>
      <c r="AX200" s="104">
        <v>0</v>
      </c>
      <c r="AY200" s="104">
        <v>0</v>
      </c>
    </row>
    <row r="201" spans="1:51">
      <c r="A201" s="107"/>
      <c r="B201" s="117">
        <v>5</v>
      </c>
      <c r="C201" s="104">
        <v>0</v>
      </c>
      <c r="D201" s="104">
        <v>0</v>
      </c>
      <c r="E201" s="104">
        <v>0</v>
      </c>
      <c r="F201" s="104">
        <v>0</v>
      </c>
      <c r="G201" s="104">
        <v>0</v>
      </c>
      <c r="H201" s="104">
        <v>0</v>
      </c>
      <c r="I201" s="104">
        <v>0</v>
      </c>
      <c r="J201" s="104">
        <v>0</v>
      </c>
      <c r="K201" s="104">
        <v>0</v>
      </c>
      <c r="L201" s="104">
        <v>0</v>
      </c>
      <c r="M201" s="104">
        <v>0</v>
      </c>
      <c r="N201" s="104">
        <v>0</v>
      </c>
      <c r="O201" s="104">
        <v>0</v>
      </c>
      <c r="P201" s="104">
        <v>0</v>
      </c>
      <c r="Q201" s="104">
        <v>0</v>
      </c>
      <c r="R201" s="104">
        <v>0</v>
      </c>
      <c r="S201" s="104">
        <v>0</v>
      </c>
      <c r="T201" s="104">
        <v>0</v>
      </c>
      <c r="U201" s="104">
        <v>0</v>
      </c>
      <c r="V201" s="104">
        <v>0</v>
      </c>
      <c r="W201" s="104">
        <v>0</v>
      </c>
      <c r="X201" s="104">
        <v>0</v>
      </c>
      <c r="Y201" s="104">
        <v>0</v>
      </c>
      <c r="Z201" s="104">
        <v>0</v>
      </c>
      <c r="AA201" s="104">
        <v>0</v>
      </c>
      <c r="AB201" s="104">
        <v>0</v>
      </c>
      <c r="AC201" s="104">
        <v>0</v>
      </c>
      <c r="AD201" s="104">
        <v>0</v>
      </c>
      <c r="AE201" s="104">
        <v>0</v>
      </c>
      <c r="AF201" s="104">
        <v>0</v>
      </c>
      <c r="AG201" s="104">
        <v>0</v>
      </c>
      <c r="AH201" s="104">
        <v>0</v>
      </c>
      <c r="AI201" s="104">
        <v>0</v>
      </c>
      <c r="AJ201" s="104">
        <v>0</v>
      </c>
      <c r="AK201" s="104">
        <v>0</v>
      </c>
      <c r="AL201" s="104">
        <v>0</v>
      </c>
      <c r="AM201" s="104">
        <v>0</v>
      </c>
      <c r="AN201" s="104">
        <v>0</v>
      </c>
      <c r="AO201" s="104">
        <v>0</v>
      </c>
      <c r="AP201" s="104">
        <v>0</v>
      </c>
      <c r="AQ201" s="104">
        <v>0</v>
      </c>
      <c r="AR201" s="104">
        <v>0</v>
      </c>
      <c r="AS201" s="104">
        <v>0</v>
      </c>
      <c r="AT201" s="104">
        <v>0</v>
      </c>
      <c r="AU201" s="104">
        <v>0</v>
      </c>
      <c r="AV201" s="104">
        <v>0</v>
      </c>
      <c r="AW201" s="104">
        <v>0</v>
      </c>
      <c r="AX201" s="104">
        <v>0</v>
      </c>
      <c r="AY201" s="104">
        <v>0</v>
      </c>
    </row>
    <row r="202" spans="1:51">
      <c r="A202" s="107"/>
      <c r="B202" s="117">
        <v>6</v>
      </c>
      <c r="C202" s="104">
        <v>0</v>
      </c>
      <c r="D202" s="104">
        <v>0</v>
      </c>
      <c r="E202" s="104">
        <v>0</v>
      </c>
      <c r="F202" s="104">
        <v>0</v>
      </c>
      <c r="G202" s="104">
        <v>0</v>
      </c>
      <c r="H202" s="104">
        <v>0</v>
      </c>
      <c r="I202" s="104">
        <v>0</v>
      </c>
      <c r="J202" s="104">
        <v>0</v>
      </c>
      <c r="K202" s="104">
        <v>0</v>
      </c>
      <c r="L202" s="104">
        <v>0</v>
      </c>
      <c r="M202" s="104">
        <v>0</v>
      </c>
      <c r="N202" s="104">
        <v>0</v>
      </c>
      <c r="O202" s="104">
        <v>0</v>
      </c>
      <c r="P202" s="104">
        <v>0</v>
      </c>
      <c r="Q202" s="104">
        <v>0</v>
      </c>
      <c r="R202" s="104">
        <v>0</v>
      </c>
      <c r="S202" s="104">
        <v>0</v>
      </c>
      <c r="T202" s="104">
        <v>0</v>
      </c>
      <c r="U202" s="104">
        <v>0</v>
      </c>
      <c r="V202" s="104">
        <v>0</v>
      </c>
      <c r="W202" s="104">
        <v>0</v>
      </c>
      <c r="X202" s="104">
        <v>0</v>
      </c>
      <c r="Y202" s="104">
        <v>0</v>
      </c>
      <c r="Z202" s="104">
        <v>0</v>
      </c>
      <c r="AA202" s="104">
        <v>0</v>
      </c>
      <c r="AB202" s="104">
        <v>0</v>
      </c>
      <c r="AC202" s="104">
        <v>0</v>
      </c>
      <c r="AD202" s="104">
        <v>0</v>
      </c>
      <c r="AE202" s="104">
        <v>0</v>
      </c>
      <c r="AF202" s="104">
        <v>0</v>
      </c>
      <c r="AG202" s="104">
        <v>0</v>
      </c>
      <c r="AH202" s="104">
        <v>0</v>
      </c>
      <c r="AI202" s="104">
        <v>0</v>
      </c>
      <c r="AJ202" s="104">
        <v>0</v>
      </c>
      <c r="AK202" s="104">
        <v>0</v>
      </c>
      <c r="AL202" s="104">
        <v>0</v>
      </c>
      <c r="AM202" s="104">
        <v>0</v>
      </c>
      <c r="AN202" s="104">
        <v>0</v>
      </c>
      <c r="AO202" s="104">
        <v>0</v>
      </c>
      <c r="AP202" s="104">
        <v>0</v>
      </c>
      <c r="AQ202" s="104">
        <v>0</v>
      </c>
      <c r="AR202" s="104">
        <v>0</v>
      </c>
      <c r="AS202" s="104">
        <v>0</v>
      </c>
      <c r="AT202" s="104">
        <v>0</v>
      </c>
      <c r="AU202" s="104">
        <v>0</v>
      </c>
      <c r="AV202" s="104">
        <v>0</v>
      </c>
      <c r="AW202" s="104">
        <v>0</v>
      </c>
      <c r="AX202" s="104">
        <v>0</v>
      </c>
      <c r="AY202" s="104">
        <v>0</v>
      </c>
    </row>
    <row r="203" spans="1:51">
      <c r="A203" s="107"/>
      <c r="B203" s="124">
        <v>7</v>
      </c>
      <c r="C203" s="104">
        <v>0</v>
      </c>
      <c r="D203" s="104">
        <v>0</v>
      </c>
      <c r="E203" s="104">
        <v>0</v>
      </c>
      <c r="F203" s="104">
        <v>0</v>
      </c>
      <c r="G203" s="104">
        <v>0</v>
      </c>
      <c r="H203" s="104">
        <v>0</v>
      </c>
      <c r="I203" s="104">
        <v>0</v>
      </c>
      <c r="J203" s="104">
        <v>0</v>
      </c>
      <c r="K203" s="104">
        <v>0</v>
      </c>
      <c r="L203" s="104">
        <v>0</v>
      </c>
      <c r="M203" s="104">
        <v>0</v>
      </c>
      <c r="N203" s="104">
        <v>0</v>
      </c>
      <c r="O203" s="104">
        <v>0</v>
      </c>
      <c r="P203" s="104">
        <v>0</v>
      </c>
      <c r="Q203" s="104">
        <v>0</v>
      </c>
      <c r="R203" s="104">
        <v>0</v>
      </c>
      <c r="S203" s="104">
        <v>0</v>
      </c>
      <c r="T203" s="104">
        <v>0</v>
      </c>
      <c r="U203" s="104">
        <v>0</v>
      </c>
      <c r="V203" s="104">
        <v>0</v>
      </c>
      <c r="W203" s="104">
        <v>0</v>
      </c>
      <c r="X203" s="104">
        <v>0</v>
      </c>
      <c r="Y203" s="104">
        <v>0</v>
      </c>
      <c r="Z203" s="104">
        <v>0</v>
      </c>
      <c r="AA203" s="104">
        <v>0</v>
      </c>
      <c r="AB203" s="104">
        <v>0</v>
      </c>
      <c r="AC203" s="104">
        <v>0</v>
      </c>
      <c r="AD203" s="104">
        <v>0</v>
      </c>
      <c r="AE203" s="104">
        <v>0</v>
      </c>
      <c r="AF203" s="104">
        <v>0</v>
      </c>
      <c r="AG203" s="104">
        <v>0</v>
      </c>
      <c r="AH203" s="104">
        <v>0</v>
      </c>
      <c r="AI203" s="104">
        <v>0</v>
      </c>
      <c r="AJ203" s="104">
        <v>0</v>
      </c>
      <c r="AK203" s="104">
        <v>0</v>
      </c>
      <c r="AL203" s="104">
        <v>0</v>
      </c>
      <c r="AM203" s="104">
        <v>0</v>
      </c>
      <c r="AN203" s="104">
        <v>0</v>
      </c>
      <c r="AO203" s="104">
        <v>0</v>
      </c>
      <c r="AP203" s="104">
        <v>0</v>
      </c>
      <c r="AQ203" s="104">
        <v>0</v>
      </c>
      <c r="AR203" s="104">
        <v>0</v>
      </c>
      <c r="AS203" s="104">
        <v>0</v>
      </c>
      <c r="AT203" s="104">
        <v>0</v>
      </c>
      <c r="AU203" s="104">
        <v>0</v>
      </c>
      <c r="AV203" s="104">
        <v>0</v>
      </c>
      <c r="AW203" s="104">
        <v>0</v>
      </c>
      <c r="AX203" s="104">
        <v>0</v>
      </c>
      <c r="AY203" s="104">
        <v>0</v>
      </c>
    </row>
    <row r="204" spans="1:51">
      <c r="A204" s="107"/>
      <c r="B204" s="124">
        <v>8</v>
      </c>
      <c r="C204" s="104">
        <v>0</v>
      </c>
      <c r="D204" s="104">
        <v>0</v>
      </c>
      <c r="E204" s="104">
        <v>0</v>
      </c>
      <c r="F204" s="104">
        <v>0</v>
      </c>
      <c r="G204" s="104">
        <v>0</v>
      </c>
      <c r="H204" s="104">
        <v>0</v>
      </c>
      <c r="I204" s="104">
        <v>0</v>
      </c>
      <c r="J204" s="104">
        <v>0</v>
      </c>
      <c r="K204" s="104">
        <v>0</v>
      </c>
      <c r="L204" s="104">
        <v>0</v>
      </c>
      <c r="M204" s="104">
        <v>0</v>
      </c>
      <c r="N204" s="104">
        <v>0</v>
      </c>
      <c r="O204" s="104">
        <v>0</v>
      </c>
      <c r="P204" s="104">
        <v>0</v>
      </c>
      <c r="Q204" s="104">
        <v>0</v>
      </c>
      <c r="R204" s="104">
        <v>0</v>
      </c>
      <c r="S204" s="104">
        <v>0</v>
      </c>
      <c r="T204" s="104">
        <v>0</v>
      </c>
      <c r="U204" s="104">
        <v>0</v>
      </c>
      <c r="V204" s="104">
        <v>0</v>
      </c>
      <c r="W204" s="104">
        <v>0</v>
      </c>
      <c r="X204" s="104">
        <v>0</v>
      </c>
      <c r="Y204" s="104">
        <v>0</v>
      </c>
      <c r="Z204" s="104">
        <v>0</v>
      </c>
      <c r="AA204" s="104">
        <v>0</v>
      </c>
      <c r="AB204" s="104">
        <v>0</v>
      </c>
      <c r="AC204" s="104">
        <v>0</v>
      </c>
      <c r="AD204" s="104">
        <v>0</v>
      </c>
      <c r="AE204" s="104">
        <v>0</v>
      </c>
      <c r="AF204" s="104">
        <v>0</v>
      </c>
      <c r="AG204" s="104">
        <v>0</v>
      </c>
      <c r="AH204" s="104">
        <v>0</v>
      </c>
      <c r="AI204" s="104">
        <v>0</v>
      </c>
      <c r="AJ204" s="104">
        <v>0</v>
      </c>
      <c r="AK204" s="104">
        <v>0</v>
      </c>
      <c r="AL204" s="104">
        <v>0</v>
      </c>
      <c r="AM204" s="104">
        <v>0</v>
      </c>
      <c r="AN204" s="104">
        <v>0</v>
      </c>
      <c r="AO204" s="104">
        <v>0</v>
      </c>
      <c r="AP204" s="104">
        <v>0</v>
      </c>
      <c r="AQ204" s="104">
        <v>0</v>
      </c>
      <c r="AR204" s="104">
        <v>0</v>
      </c>
      <c r="AS204" s="104">
        <v>0</v>
      </c>
      <c r="AT204" s="104">
        <v>0</v>
      </c>
      <c r="AU204" s="104">
        <v>0</v>
      </c>
      <c r="AV204" s="104">
        <v>0</v>
      </c>
      <c r="AW204" s="104">
        <v>0</v>
      </c>
      <c r="AX204" s="104">
        <v>0</v>
      </c>
      <c r="AY204" s="104">
        <v>0</v>
      </c>
    </row>
    <row r="205" spans="1:51">
      <c r="A205" s="107"/>
      <c r="B205" s="124">
        <v>9</v>
      </c>
      <c r="C205" s="104">
        <v>0</v>
      </c>
      <c r="D205" s="104">
        <v>0</v>
      </c>
      <c r="E205" s="104">
        <v>0</v>
      </c>
      <c r="F205" s="104">
        <v>0</v>
      </c>
      <c r="G205" s="104">
        <v>0</v>
      </c>
      <c r="H205" s="104">
        <v>0</v>
      </c>
      <c r="I205" s="104">
        <v>0</v>
      </c>
      <c r="J205" s="104">
        <v>0</v>
      </c>
      <c r="K205" s="104">
        <v>0</v>
      </c>
      <c r="L205" s="104">
        <v>0</v>
      </c>
      <c r="M205" s="104">
        <v>0</v>
      </c>
      <c r="N205" s="104">
        <v>0</v>
      </c>
      <c r="O205" s="104">
        <v>0</v>
      </c>
      <c r="P205" s="104">
        <v>0</v>
      </c>
      <c r="Q205" s="104">
        <v>0</v>
      </c>
      <c r="R205" s="104">
        <v>0</v>
      </c>
      <c r="S205" s="104">
        <v>0</v>
      </c>
      <c r="T205" s="104">
        <v>0</v>
      </c>
      <c r="U205" s="104">
        <v>0</v>
      </c>
      <c r="V205" s="104">
        <v>0</v>
      </c>
      <c r="W205" s="104">
        <v>0</v>
      </c>
      <c r="X205" s="104">
        <v>0</v>
      </c>
      <c r="Y205" s="104">
        <v>0</v>
      </c>
      <c r="Z205" s="104">
        <v>0</v>
      </c>
      <c r="AA205" s="104">
        <v>0</v>
      </c>
      <c r="AB205" s="104">
        <v>0</v>
      </c>
      <c r="AC205" s="104">
        <v>0</v>
      </c>
      <c r="AD205" s="104">
        <v>0</v>
      </c>
      <c r="AE205" s="104">
        <v>0</v>
      </c>
      <c r="AF205" s="104">
        <v>0</v>
      </c>
      <c r="AG205" s="104">
        <v>0</v>
      </c>
      <c r="AH205" s="104">
        <v>0</v>
      </c>
      <c r="AI205" s="104">
        <v>0</v>
      </c>
      <c r="AJ205" s="104">
        <v>0</v>
      </c>
      <c r="AK205" s="104">
        <v>0</v>
      </c>
      <c r="AL205" s="104">
        <v>0</v>
      </c>
      <c r="AM205" s="104">
        <v>0</v>
      </c>
      <c r="AN205" s="104">
        <v>0</v>
      </c>
      <c r="AO205" s="104">
        <v>0</v>
      </c>
      <c r="AP205" s="104">
        <v>0</v>
      </c>
      <c r="AQ205" s="104">
        <v>0</v>
      </c>
      <c r="AR205" s="104">
        <v>0</v>
      </c>
      <c r="AS205" s="104">
        <v>0</v>
      </c>
      <c r="AT205" s="104">
        <v>0</v>
      </c>
      <c r="AU205" s="104">
        <v>0</v>
      </c>
      <c r="AV205" s="104">
        <v>0</v>
      </c>
      <c r="AW205" s="104">
        <v>0</v>
      </c>
      <c r="AX205" s="104">
        <v>0</v>
      </c>
      <c r="AY205" s="104">
        <v>0</v>
      </c>
    </row>
    <row r="206" spans="1:51">
      <c r="A206" s="107"/>
      <c r="B206" s="127">
        <v>10</v>
      </c>
      <c r="C206" s="104">
        <v>0</v>
      </c>
      <c r="D206" s="104">
        <v>0</v>
      </c>
      <c r="E206" s="104">
        <v>0</v>
      </c>
      <c r="F206" s="104">
        <v>0</v>
      </c>
      <c r="G206" s="104">
        <v>0</v>
      </c>
      <c r="H206" s="104">
        <v>0</v>
      </c>
      <c r="I206" s="104">
        <v>0</v>
      </c>
      <c r="J206" s="104">
        <v>0</v>
      </c>
      <c r="K206" s="104">
        <v>0</v>
      </c>
      <c r="L206" s="104">
        <v>0</v>
      </c>
      <c r="M206" s="104">
        <v>0</v>
      </c>
      <c r="N206" s="104">
        <v>0</v>
      </c>
      <c r="O206" s="104">
        <v>0</v>
      </c>
      <c r="P206" s="104">
        <v>0</v>
      </c>
      <c r="Q206" s="104">
        <v>0</v>
      </c>
      <c r="R206" s="104">
        <v>0</v>
      </c>
      <c r="S206" s="104">
        <v>0</v>
      </c>
      <c r="T206" s="104">
        <v>0</v>
      </c>
      <c r="U206" s="104">
        <v>0</v>
      </c>
      <c r="V206" s="104">
        <v>0</v>
      </c>
      <c r="W206" s="104">
        <v>0</v>
      </c>
      <c r="X206" s="104">
        <v>0</v>
      </c>
      <c r="Y206" s="104">
        <v>0</v>
      </c>
      <c r="Z206" s="104">
        <v>0</v>
      </c>
      <c r="AA206" s="104">
        <v>0</v>
      </c>
      <c r="AB206" s="104">
        <v>0</v>
      </c>
      <c r="AC206" s="104">
        <v>0</v>
      </c>
      <c r="AD206" s="104">
        <v>0</v>
      </c>
      <c r="AE206" s="104">
        <v>0</v>
      </c>
      <c r="AF206" s="104">
        <v>0</v>
      </c>
      <c r="AG206" s="104">
        <v>0</v>
      </c>
      <c r="AH206" s="104">
        <v>0</v>
      </c>
      <c r="AI206" s="104">
        <v>0</v>
      </c>
      <c r="AJ206" s="104">
        <v>0</v>
      </c>
      <c r="AK206" s="104">
        <v>0</v>
      </c>
      <c r="AL206" s="104">
        <v>0</v>
      </c>
      <c r="AM206" s="104">
        <v>0</v>
      </c>
      <c r="AN206" s="104">
        <v>0</v>
      </c>
      <c r="AO206" s="104">
        <v>0</v>
      </c>
      <c r="AP206" s="104">
        <v>0</v>
      </c>
      <c r="AQ206" s="104">
        <v>0</v>
      </c>
      <c r="AR206" s="104">
        <v>0</v>
      </c>
      <c r="AS206" s="104">
        <v>0</v>
      </c>
      <c r="AT206" s="104">
        <v>0</v>
      </c>
      <c r="AU206" s="104">
        <v>0</v>
      </c>
      <c r="AV206" s="104">
        <v>0</v>
      </c>
      <c r="AW206" s="104">
        <v>0</v>
      </c>
      <c r="AX206" s="104">
        <v>0</v>
      </c>
      <c r="AY206" s="104">
        <v>0</v>
      </c>
    </row>
    <row r="207" spans="1:51">
      <c r="A207" s="107"/>
      <c r="B207" s="127">
        <v>11</v>
      </c>
      <c r="C207" s="104">
        <v>0</v>
      </c>
      <c r="D207" s="104">
        <v>0</v>
      </c>
      <c r="E207" s="104">
        <v>0</v>
      </c>
      <c r="F207" s="104">
        <v>0</v>
      </c>
      <c r="G207" s="104">
        <v>0</v>
      </c>
      <c r="H207" s="104">
        <v>0</v>
      </c>
      <c r="I207" s="104">
        <v>0</v>
      </c>
      <c r="J207" s="104">
        <v>0</v>
      </c>
      <c r="K207" s="104">
        <v>0</v>
      </c>
      <c r="L207" s="104">
        <v>0</v>
      </c>
      <c r="M207" s="104">
        <v>0</v>
      </c>
      <c r="N207" s="104">
        <v>0</v>
      </c>
      <c r="O207" s="104">
        <v>0</v>
      </c>
      <c r="P207" s="104">
        <v>0</v>
      </c>
      <c r="Q207" s="104">
        <v>0</v>
      </c>
      <c r="R207" s="104">
        <v>0</v>
      </c>
      <c r="S207" s="104">
        <v>0</v>
      </c>
      <c r="T207" s="104">
        <v>0</v>
      </c>
      <c r="U207" s="104">
        <v>0</v>
      </c>
      <c r="V207" s="104">
        <v>0</v>
      </c>
      <c r="W207" s="104">
        <v>0</v>
      </c>
      <c r="X207" s="104">
        <v>0</v>
      </c>
      <c r="Y207" s="104">
        <v>0</v>
      </c>
      <c r="Z207" s="104">
        <v>0</v>
      </c>
      <c r="AA207" s="104">
        <v>0</v>
      </c>
      <c r="AB207" s="104">
        <v>0</v>
      </c>
      <c r="AC207" s="104">
        <v>0</v>
      </c>
      <c r="AD207" s="104">
        <v>0</v>
      </c>
      <c r="AE207" s="104">
        <v>0</v>
      </c>
      <c r="AF207" s="104">
        <v>0</v>
      </c>
      <c r="AG207" s="104">
        <v>0</v>
      </c>
      <c r="AH207" s="104">
        <v>0</v>
      </c>
      <c r="AI207" s="104">
        <v>0</v>
      </c>
      <c r="AJ207" s="104">
        <v>0</v>
      </c>
      <c r="AK207" s="104">
        <v>0</v>
      </c>
      <c r="AL207" s="104">
        <v>0</v>
      </c>
      <c r="AM207" s="104">
        <v>0</v>
      </c>
      <c r="AN207" s="104">
        <v>0</v>
      </c>
      <c r="AO207" s="104">
        <v>0</v>
      </c>
      <c r="AP207" s="104">
        <v>0</v>
      </c>
      <c r="AQ207" s="104">
        <v>0</v>
      </c>
      <c r="AR207" s="104">
        <v>0</v>
      </c>
      <c r="AS207" s="104">
        <v>0</v>
      </c>
      <c r="AT207" s="104">
        <v>0</v>
      </c>
      <c r="AU207" s="104">
        <v>0</v>
      </c>
      <c r="AV207" s="104">
        <v>0</v>
      </c>
      <c r="AW207" s="104">
        <v>0</v>
      </c>
      <c r="AX207" s="104">
        <v>0</v>
      </c>
      <c r="AY207" s="104">
        <v>0</v>
      </c>
    </row>
    <row r="208" spans="1:51">
      <c r="A208" s="107"/>
      <c r="B208" s="127">
        <v>12</v>
      </c>
      <c r="C208" s="104">
        <v>0</v>
      </c>
      <c r="D208" s="104">
        <v>0</v>
      </c>
      <c r="E208" s="104">
        <v>0</v>
      </c>
      <c r="F208" s="104">
        <v>0</v>
      </c>
      <c r="G208" s="104">
        <v>0</v>
      </c>
      <c r="H208" s="104">
        <v>0</v>
      </c>
      <c r="I208" s="104">
        <v>0</v>
      </c>
      <c r="J208" s="104">
        <v>0</v>
      </c>
      <c r="K208" s="104">
        <v>0</v>
      </c>
      <c r="L208" s="104">
        <v>0</v>
      </c>
      <c r="M208" s="104">
        <v>0</v>
      </c>
      <c r="N208" s="104">
        <v>0</v>
      </c>
      <c r="O208" s="104">
        <v>0</v>
      </c>
      <c r="P208" s="104">
        <v>0</v>
      </c>
      <c r="Q208" s="104">
        <v>0</v>
      </c>
      <c r="R208" s="104">
        <v>0</v>
      </c>
      <c r="S208" s="104">
        <v>0</v>
      </c>
      <c r="T208" s="104">
        <v>0</v>
      </c>
      <c r="U208" s="104">
        <v>0</v>
      </c>
      <c r="V208" s="104">
        <v>0</v>
      </c>
      <c r="W208" s="104">
        <v>0</v>
      </c>
      <c r="X208" s="104">
        <v>0</v>
      </c>
      <c r="Y208" s="104">
        <v>0</v>
      </c>
      <c r="Z208" s="104">
        <v>0</v>
      </c>
      <c r="AA208" s="104">
        <v>0</v>
      </c>
      <c r="AB208" s="104">
        <v>0</v>
      </c>
      <c r="AC208" s="104">
        <v>0</v>
      </c>
      <c r="AD208" s="104">
        <v>0</v>
      </c>
      <c r="AE208" s="104">
        <v>0</v>
      </c>
      <c r="AF208" s="104">
        <v>0</v>
      </c>
      <c r="AG208" s="104">
        <v>0</v>
      </c>
      <c r="AH208" s="104">
        <v>0</v>
      </c>
      <c r="AI208" s="104">
        <v>0</v>
      </c>
      <c r="AJ208" s="104">
        <v>0</v>
      </c>
      <c r="AK208" s="104">
        <v>0</v>
      </c>
      <c r="AL208" s="104">
        <v>0</v>
      </c>
      <c r="AM208" s="104">
        <v>0</v>
      </c>
      <c r="AN208" s="104">
        <v>0</v>
      </c>
      <c r="AO208" s="104">
        <v>0</v>
      </c>
      <c r="AP208" s="104">
        <v>0</v>
      </c>
      <c r="AQ208" s="104">
        <v>0</v>
      </c>
      <c r="AR208" s="104">
        <v>0</v>
      </c>
      <c r="AS208" s="104">
        <v>0</v>
      </c>
      <c r="AT208" s="104">
        <v>0</v>
      </c>
      <c r="AU208" s="104">
        <v>0</v>
      </c>
      <c r="AV208" s="104">
        <v>0</v>
      </c>
      <c r="AW208" s="104">
        <v>0</v>
      </c>
      <c r="AX208" s="104">
        <v>0</v>
      </c>
      <c r="AY208" s="104">
        <v>0</v>
      </c>
    </row>
    <row r="209" spans="1:51">
      <c r="A209" s="123" t="s">
        <v>123</v>
      </c>
      <c r="B209" s="120">
        <v>1</v>
      </c>
      <c r="C209" s="121">
        <v>420.2776561031161</v>
      </c>
      <c r="D209" s="121">
        <v>231.46395820054013</v>
      </c>
      <c r="E209" s="121">
        <v>498.91134621010394</v>
      </c>
      <c r="F209" s="121">
        <v>230.05251557198886</v>
      </c>
      <c r="G209" s="121">
        <v>486.78339691432166</v>
      </c>
      <c r="H209" s="121">
        <v>230.05251557198886</v>
      </c>
      <c r="I209" s="121">
        <v>95.147980293873374</v>
      </c>
      <c r="J209" s="121">
        <v>664.24903417231258</v>
      </c>
      <c r="K209" s="121">
        <v>486.78339691432166</v>
      </c>
      <c r="L209" s="121">
        <v>486.7833969143216</v>
      </c>
      <c r="M209" s="121">
        <v>95.147980293873374</v>
      </c>
      <c r="N209" s="121">
        <v>230.05251557198886</v>
      </c>
      <c r="O209" s="121">
        <v>335.73127048274631</v>
      </c>
      <c r="P209" s="121">
        <v>436.59456609159633</v>
      </c>
      <c r="Q209" s="121">
        <v>486.78339691432166</v>
      </c>
      <c r="R209" s="121">
        <v>486.7833969143216</v>
      </c>
      <c r="S209" s="121">
        <v>486.78339691432166</v>
      </c>
      <c r="T209" s="121">
        <v>230.05251557198886</v>
      </c>
      <c r="U209" s="121">
        <v>95.147980293873374</v>
      </c>
      <c r="V209" s="121">
        <v>730.14379897390495</v>
      </c>
      <c r="W209" s="121">
        <v>414.58084713549289</v>
      </c>
      <c r="X209" s="121">
        <v>414.580847135493</v>
      </c>
      <c r="Y209" s="121">
        <v>414.58084713549295</v>
      </c>
      <c r="Z209" s="121">
        <v>230.05251557198886</v>
      </c>
      <c r="AA209" s="121">
        <v>413.92056279616753</v>
      </c>
      <c r="AB209" s="121">
        <v>472.80308267970076</v>
      </c>
      <c r="AC209" s="121">
        <v>486.78339691432166</v>
      </c>
      <c r="AD209" s="121">
        <v>230.05251557198886</v>
      </c>
      <c r="AE209" s="121">
        <v>443.49950737592496</v>
      </c>
      <c r="AF209" s="121">
        <v>499.7035378221434</v>
      </c>
      <c r="AG209" s="121">
        <v>95.147980293873374</v>
      </c>
      <c r="AH209" s="121">
        <v>738.89621936399408</v>
      </c>
      <c r="AI209" s="121">
        <v>341.46622629987485</v>
      </c>
      <c r="AJ209" s="121">
        <v>372.01354133377492</v>
      </c>
      <c r="AK209" s="121">
        <v>95.14798029387336</v>
      </c>
      <c r="AL209" s="121">
        <v>230.05251557198886</v>
      </c>
      <c r="AM209" s="121">
        <v>0</v>
      </c>
      <c r="AN209" s="121">
        <v>363.04935603647533</v>
      </c>
      <c r="AO209" s="121">
        <v>486.7833969143216</v>
      </c>
      <c r="AP209" s="121">
        <v>230.05251557198886</v>
      </c>
      <c r="AQ209" s="121">
        <v>95.147980293873374</v>
      </c>
      <c r="AR209" s="121">
        <v>486.78339691432154</v>
      </c>
      <c r="AS209" s="121">
        <v>155.3645833795517</v>
      </c>
      <c r="AT209" s="121">
        <v>398.61457058555789</v>
      </c>
      <c r="AU209" s="121">
        <v>414.58084713549295</v>
      </c>
      <c r="AV209" s="121">
        <v>230.05251557198898</v>
      </c>
      <c r="AW209" s="121">
        <v>95.147980293873374</v>
      </c>
      <c r="AX209" s="121">
        <v>469.56363155053367</v>
      </c>
      <c r="AY209" s="121">
        <v>558.98594669315048</v>
      </c>
    </row>
    <row r="210" spans="1:51">
      <c r="A210" s="107"/>
      <c r="B210" s="116">
        <v>2</v>
      </c>
      <c r="C210" s="104">
        <v>270.16408902915896</v>
      </c>
      <c r="D210" s="108">
        <v>44.939832741571927</v>
      </c>
      <c r="E210" s="108">
        <v>0</v>
      </c>
      <c r="F210" s="108">
        <v>0</v>
      </c>
      <c r="G210" s="108">
        <v>0</v>
      </c>
      <c r="H210" s="108">
        <v>0</v>
      </c>
      <c r="I210" s="108">
        <v>256.73088134233268</v>
      </c>
      <c r="J210" s="108">
        <v>0</v>
      </c>
      <c r="K210" s="108">
        <v>121.09238955204944</v>
      </c>
      <c r="L210" s="108">
        <v>0</v>
      </c>
      <c r="M210" s="108">
        <v>0</v>
      </c>
      <c r="N210" s="108">
        <v>391.63541662044827</v>
      </c>
      <c r="O210" s="108">
        <v>256.73088134233268</v>
      </c>
      <c r="P210" s="108">
        <v>85.405433908403666</v>
      </c>
      <c r="Q210" s="108">
        <v>28.376951553290436</v>
      </c>
      <c r="R210" s="108">
        <v>0</v>
      </c>
      <c r="S210" s="108">
        <v>0</v>
      </c>
      <c r="T210" s="108">
        <v>0</v>
      </c>
      <c r="U210" s="108">
        <v>256.73088134233268</v>
      </c>
      <c r="V210" s="108">
        <v>0</v>
      </c>
      <c r="W210" s="108">
        <v>43.011654431323947</v>
      </c>
      <c r="X210" s="108">
        <v>3.2139480372317553E-14</v>
      </c>
      <c r="Y210" s="108">
        <v>0</v>
      </c>
      <c r="Z210" s="108">
        <v>0</v>
      </c>
      <c r="AA210" s="108">
        <v>256.73088134233268</v>
      </c>
      <c r="AB210" s="108">
        <v>41.196917320299207</v>
      </c>
      <c r="AC210" s="108">
        <v>7.9045216481906913</v>
      </c>
      <c r="AD210" s="108">
        <v>0</v>
      </c>
      <c r="AE210" s="108">
        <v>328.93343112116156</v>
      </c>
      <c r="AF210" s="108">
        <v>65.296462177856611</v>
      </c>
      <c r="AG210" s="108">
        <v>33.518494392445646</v>
      </c>
      <c r="AH210" s="108">
        <v>0</v>
      </c>
      <c r="AI210" s="108">
        <v>160.53377370012512</v>
      </c>
      <c r="AJ210" s="108">
        <v>122.98645866622509</v>
      </c>
      <c r="AK210" s="108">
        <v>105.71489316867647</v>
      </c>
      <c r="AL210" s="108">
        <v>8.0348700930793883E-15</v>
      </c>
      <c r="AM210" s="108">
        <v>193.55212905274516</v>
      </c>
      <c r="AN210" s="108">
        <v>275.22914251529443</v>
      </c>
      <c r="AO210" s="108">
        <v>69.959686765479489</v>
      </c>
      <c r="AP210" s="108">
        <v>3.2139480372317553E-14</v>
      </c>
      <c r="AQ210" s="108">
        <v>0</v>
      </c>
      <c r="AR210" s="108">
        <v>0</v>
      </c>
      <c r="AS210" s="108">
        <v>3.2139480372317553E-14</v>
      </c>
      <c r="AT210" s="108">
        <v>187.38542941444214</v>
      </c>
      <c r="AU210" s="108">
        <v>9.0273921252374763</v>
      </c>
      <c r="AV210" s="108">
        <v>0</v>
      </c>
      <c r="AW210" s="108">
        <v>184.52833156350403</v>
      </c>
      <c r="AX210" s="108">
        <v>319.43286684161961</v>
      </c>
      <c r="AY210" s="108">
        <v>50.559709461016595</v>
      </c>
    </row>
    <row r="211" spans="1:51">
      <c r="A211" s="107"/>
      <c r="B211" s="116">
        <v>3</v>
      </c>
      <c r="C211" s="104">
        <v>0</v>
      </c>
      <c r="D211" s="108">
        <v>0</v>
      </c>
      <c r="E211" s="108">
        <v>0</v>
      </c>
      <c r="F211" s="108">
        <v>267.61212958641818</v>
      </c>
      <c r="G211" s="108">
        <v>0</v>
      </c>
      <c r="H211" s="108">
        <v>256.73088134233274</v>
      </c>
      <c r="I211" s="108">
        <v>0</v>
      </c>
      <c r="J211" s="108">
        <v>0</v>
      </c>
      <c r="K211" s="108">
        <v>0</v>
      </c>
      <c r="L211" s="108">
        <v>0</v>
      </c>
      <c r="M211" s="108">
        <v>0</v>
      </c>
      <c r="N211" s="108">
        <v>0</v>
      </c>
      <c r="O211" s="108">
        <v>0</v>
      </c>
      <c r="P211" s="108">
        <v>0</v>
      </c>
      <c r="Q211" s="108">
        <v>0</v>
      </c>
      <c r="R211" s="108">
        <v>0</v>
      </c>
      <c r="S211" s="108">
        <v>0</v>
      </c>
      <c r="T211" s="108">
        <v>0</v>
      </c>
      <c r="U211" s="108">
        <v>0</v>
      </c>
      <c r="V211" s="108">
        <v>0</v>
      </c>
      <c r="W211" s="108">
        <v>0</v>
      </c>
      <c r="X211" s="108">
        <v>0</v>
      </c>
      <c r="Y211" s="108">
        <v>0</v>
      </c>
      <c r="Z211" s="108">
        <v>0</v>
      </c>
      <c r="AA211" s="108">
        <v>0</v>
      </c>
      <c r="AB211" s="108">
        <v>0</v>
      </c>
      <c r="AC211" s="108">
        <v>0</v>
      </c>
      <c r="AD211" s="108">
        <v>0</v>
      </c>
      <c r="AE211" s="108">
        <v>0</v>
      </c>
      <c r="AF211" s="108">
        <v>0</v>
      </c>
      <c r="AG211" s="108">
        <v>0</v>
      </c>
      <c r="AH211" s="108">
        <v>0</v>
      </c>
      <c r="AI211" s="108">
        <v>0</v>
      </c>
      <c r="AJ211" s="108">
        <v>0</v>
      </c>
      <c r="AK211" s="108">
        <v>0</v>
      </c>
      <c r="AL211" s="108">
        <v>0</v>
      </c>
      <c r="AM211" s="108">
        <v>463.83796639927709</v>
      </c>
      <c r="AN211" s="108">
        <v>35.721501448230228</v>
      </c>
      <c r="AO211" s="108">
        <v>0</v>
      </c>
      <c r="AP211" s="108">
        <v>0</v>
      </c>
      <c r="AQ211" s="108">
        <v>0</v>
      </c>
      <c r="AR211" s="108">
        <v>256.73088134233274</v>
      </c>
      <c r="AS211" s="108">
        <v>391.63541662044827</v>
      </c>
      <c r="AT211" s="108">
        <v>0</v>
      </c>
      <c r="AU211" s="108">
        <v>0</v>
      </c>
      <c r="AV211" s="108">
        <v>0</v>
      </c>
      <c r="AW211" s="108">
        <v>0</v>
      </c>
      <c r="AX211" s="108">
        <v>0</v>
      </c>
      <c r="AY211" s="108">
        <v>0</v>
      </c>
    </row>
    <row r="212" spans="1:51">
      <c r="A212" s="107"/>
      <c r="B212" s="116">
        <v>4</v>
      </c>
      <c r="C212" s="104">
        <v>0</v>
      </c>
      <c r="D212" s="108">
        <v>0</v>
      </c>
      <c r="E212" s="108">
        <v>0</v>
      </c>
      <c r="F212" s="108">
        <v>0</v>
      </c>
      <c r="G212" s="108">
        <v>0</v>
      </c>
      <c r="H212" s="108">
        <v>0</v>
      </c>
      <c r="I212" s="108">
        <v>0</v>
      </c>
      <c r="J212" s="108">
        <v>0</v>
      </c>
      <c r="K212" s="108">
        <v>0</v>
      </c>
      <c r="L212" s="108">
        <v>0</v>
      </c>
      <c r="M212" s="108">
        <v>0</v>
      </c>
      <c r="N212" s="108">
        <v>0</v>
      </c>
      <c r="O212" s="108">
        <v>0</v>
      </c>
      <c r="P212" s="108">
        <v>0</v>
      </c>
      <c r="Q212" s="108">
        <v>0</v>
      </c>
      <c r="R212" s="108">
        <v>0</v>
      </c>
      <c r="S212" s="108">
        <v>0</v>
      </c>
      <c r="T212" s="108">
        <v>0</v>
      </c>
      <c r="U212" s="108">
        <v>0</v>
      </c>
      <c r="V212" s="108">
        <v>0</v>
      </c>
      <c r="W212" s="108">
        <v>0</v>
      </c>
      <c r="X212" s="108">
        <v>0</v>
      </c>
      <c r="Y212" s="108">
        <v>0</v>
      </c>
      <c r="Z212" s="108">
        <v>0</v>
      </c>
      <c r="AA212" s="108">
        <v>0</v>
      </c>
      <c r="AB212" s="108">
        <v>0</v>
      </c>
      <c r="AC212" s="108">
        <v>0</v>
      </c>
      <c r="AD212" s="108">
        <v>0</v>
      </c>
      <c r="AE212" s="108">
        <v>0</v>
      </c>
      <c r="AF212" s="108">
        <v>0</v>
      </c>
      <c r="AG212" s="108">
        <v>0</v>
      </c>
      <c r="AH212" s="108">
        <v>0</v>
      </c>
      <c r="AI212" s="108">
        <v>0</v>
      </c>
      <c r="AJ212" s="108">
        <v>0</v>
      </c>
      <c r="AK212" s="108">
        <v>0</v>
      </c>
      <c r="AL212" s="108">
        <v>0</v>
      </c>
      <c r="AM212" s="108">
        <v>0</v>
      </c>
      <c r="AN212" s="108">
        <v>0</v>
      </c>
      <c r="AO212" s="108">
        <v>0</v>
      </c>
      <c r="AP212" s="108">
        <v>0</v>
      </c>
      <c r="AQ212" s="108">
        <v>0</v>
      </c>
      <c r="AR212" s="108">
        <v>0</v>
      </c>
      <c r="AS212" s="108">
        <v>0</v>
      </c>
      <c r="AT212" s="108">
        <v>0</v>
      </c>
      <c r="AU212" s="108">
        <v>0</v>
      </c>
      <c r="AV212" s="108">
        <v>0</v>
      </c>
      <c r="AW212" s="108">
        <v>0</v>
      </c>
      <c r="AX212" s="108">
        <v>0</v>
      </c>
      <c r="AY212" s="108">
        <v>0</v>
      </c>
    </row>
    <row r="213" spans="1:51">
      <c r="A213" s="107"/>
      <c r="B213" s="116">
        <v>5</v>
      </c>
      <c r="C213" s="104">
        <v>0</v>
      </c>
      <c r="D213" s="108">
        <v>0</v>
      </c>
      <c r="E213" s="108">
        <v>0</v>
      </c>
      <c r="F213" s="108">
        <v>0</v>
      </c>
      <c r="G213" s="108">
        <v>0</v>
      </c>
      <c r="H213" s="108">
        <v>0</v>
      </c>
      <c r="I213" s="108">
        <v>0</v>
      </c>
      <c r="J213" s="108">
        <v>0</v>
      </c>
      <c r="K213" s="108">
        <v>0</v>
      </c>
      <c r="L213" s="108">
        <v>0</v>
      </c>
      <c r="M213" s="108">
        <v>0</v>
      </c>
      <c r="N213" s="108">
        <v>0</v>
      </c>
      <c r="O213" s="108">
        <v>0</v>
      </c>
      <c r="P213" s="108">
        <v>0</v>
      </c>
      <c r="Q213" s="108">
        <v>0</v>
      </c>
      <c r="R213" s="108">
        <v>0</v>
      </c>
      <c r="S213" s="108">
        <v>0</v>
      </c>
      <c r="T213" s="108">
        <v>0</v>
      </c>
      <c r="U213" s="108">
        <v>0</v>
      </c>
      <c r="V213" s="108">
        <v>0</v>
      </c>
      <c r="W213" s="108">
        <v>0</v>
      </c>
      <c r="X213" s="108">
        <v>0</v>
      </c>
      <c r="Y213" s="108">
        <v>0</v>
      </c>
      <c r="Z213" s="108">
        <v>0</v>
      </c>
      <c r="AA213" s="108">
        <v>0</v>
      </c>
      <c r="AB213" s="108">
        <v>0</v>
      </c>
      <c r="AC213" s="108">
        <v>0</v>
      </c>
      <c r="AD213" s="108">
        <v>0</v>
      </c>
      <c r="AE213" s="108">
        <v>0</v>
      </c>
      <c r="AF213" s="108">
        <v>0</v>
      </c>
      <c r="AG213" s="108">
        <v>0</v>
      </c>
      <c r="AH213" s="108">
        <v>0</v>
      </c>
      <c r="AI213" s="108">
        <v>0</v>
      </c>
      <c r="AJ213" s="108">
        <v>0</v>
      </c>
      <c r="AK213" s="108">
        <v>0</v>
      </c>
      <c r="AL213" s="108">
        <v>0</v>
      </c>
      <c r="AM213" s="108">
        <v>0</v>
      </c>
      <c r="AN213" s="108">
        <v>0</v>
      </c>
      <c r="AO213" s="108">
        <v>0</v>
      </c>
      <c r="AP213" s="108">
        <v>0</v>
      </c>
      <c r="AQ213" s="108">
        <v>0</v>
      </c>
      <c r="AR213" s="108">
        <v>0</v>
      </c>
      <c r="AS213" s="108">
        <v>0</v>
      </c>
      <c r="AT213" s="108">
        <v>0</v>
      </c>
      <c r="AU213" s="108">
        <v>0</v>
      </c>
      <c r="AV213" s="108">
        <v>0</v>
      </c>
      <c r="AW213" s="108">
        <v>0</v>
      </c>
      <c r="AX213" s="108">
        <v>0</v>
      </c>
      <c r="AY213" s="108">
        <v>0</v>
      </c>
    </row>
    <row r="214" spans="1:51">
      <c r="A214" s="107"/>
      <c r="B214" s="116">
        <v>6</v>
      </c>
      <c r="C214" s="104">
        <v>0</v>
      </c>
      <c r="D214" s="108">
        <v>0</v>
      </c>
      <c r="E214" s="108">
        <v>0</v>
      </c>
      <c r="F214" s="108">
        <v>0</v>
      </c>
      <c r="G214" s="108">
        <v>0</v>
      </c>
      <c r="H214" s="108">
        <v>0</v>
      </c>
      <c r="I214" s="108">
        <v>0</v>
      </c>
      <c r="J214" s="108">
        <v>0</v>
      </c>
      <c r="K214" s="108">
        <v>0</v>
      </c>
      <c r="L214" s="108">
        <v>0</v>
      </c>
      <c r="M214" s="108">
        <v>0</v>
      </c>
      <c r="N214" s="108">
        <v>0</v>
      </c>
      <c r="O214" s="108">
        <v>0</v>
      </c>
      <c r="P214" s="108">
        <v>0</v>
      </c>
      <c r="Q214" s="108">
        <v>0</v>
      </c>
      <c r="R214" s="108">
        <v>0</v>
      </c>
      <c r="S214" s="108">
        <v>0</v>
      </c>
      <c r="T214" s="108">
        <v>0</v>
      </c>
      <c r="U214" s="108">
        <v>0</v>
      </c>
      <c r="V214" s="108">
        <v>0</v>
      </c>
      <c r="W214" s="108">
        <v>0</v>
      </c>
      <c r="X214" s="108">
        <v>0</v>
      </c>
      <c r="Y214" s="108">
        <v>0</v>
      </c>
      <c r="Z214" s="108">
        <v>0</v>
      </c>
      <c r="AA214" s="108">
        <v>0</v>
      </c>
      <c r="AB214" s="108">
        <v>0</v>
      </c>
      <c r="AC214" s="108">
        <v>0</v>
      </c>
      <c r="AD214" s="108">
        <v>0</v>
      </c>
      <c r="AE214" s="108">
        <v>0</v>
      </c>
      <c r="AF214" s="108">
        <v>0</v>
      </c>
      <c r="AG214" s="108">
        <v>0</v>
      </c>
      <c r="AH214" s="108">
        <v>0</v>
      </c>
      <c r="AI214" s="108">
        <v>0</v>
      </c>
      <c r="AJ214" s="108">
        <v>0</v>
      </c>
      <c r="AK214" s="108">
        <v>0</v>
      </c>
      <c r="AL214" s="108">
        <v>0</v>
      </c>
      <c r="AM214" s="108">
        <v>0</v>
      </c>
      <c r="AN214" s="108">
        <v>0</v>
      </c>
      <c r="AO214" s="108">
        <v>0</v>
      </c>
      <c r="AP214" s="108">
        <v>0</v>
      </c>
      <c r="AQ214" s="108">
        <v>0</v>
      </c>
      <c r="AR214" s="108">
        <v>0</v>
      </c>
      <c r="AS214" s="108">
        <v>0</v>
      </c>
      <c r="AT214" s="108">
        <v>0</v>
      </c>
      <c r="AU214" s="108">
        <v>0</v>
      </c>
      <c r="AV214" s="108">
        <v>0</v>
      </c>
      <c r="AW214" s="108">
        <v>0</v>
      </c>
      <c r="AX214" s="108">
        <v>0</v>
      </c>
      <c r="AY214" s="108">
        <v>0</v>
      </c>
    </row>
    <row r="215" spans="1:51">
      <c r="A215" s="107"/>
      <c r="B215" s="116">
        <v>7</v>
      </c>
      <c r="C215" s="104">
        <v>0</v>
      </c>
      <c r="D215" s="108">
        <v>0</v>
      </c>
      <c r="E215" s="108">
        <v>0</v>
      </c>
      <c r="F215" s="108">
        <v>0</v>
      </c>
      <c r="G215" s="108">
        <v>0</v>
      </c>
      <c r="H215" s="108">
        <v>0</v>
      </c>
      <c r="I215" s="108">
        <v>0</v>
      </c>
      <c r="J215" s="108">
        <v>0</v>
      </c>
      <c r="K215" s="108">
        <v>0</v>
      </c>
      <c r="L215" s="108">
        <v>0</v>
      </c>
      <c r="M215" s="108">
        <v>0</v>
      </c>
      <c r="N215" s="108">
        <v>0</v>
      </c>
      <c r="O215" s="108">
        <v>0</v>
      </c>
      <c r="P215" s="108">
        <v>0</v>
      </c>
      <c r="Q215" s="108">
        <v>0</v>
      </c>
      <c r="R215" s="108">
        <v>0</v>
      </c>
      <c r="S215" s="108">
        <v>0</v>
      </c>
      <c r="T215" s="108">
        <v>0</v>
      </c>
      <c r="U215" s="108">
        <v>0</v>
      </c>
      <c r="V215" s="108">
        <v>0</v>
      </c>
      <c r="W215" s="108">
        <v>0</v>
      </c>
      <c r="X215" s="108">
        <v>0</v>
      </c>
      <c r="Y215" s="108">
        <v>0</v>
      </c>
      <c r="Z215" s="108">
        <v>0</v>
      </c>
      <c r="AA215" s="108">
        <v>0</v>
      </c>
      <c r="AB215" s="108">
        <v>0</v>
      </c>
      <c r="AC215" s="108">
        <v>0</v>
      </c>
      <c r="AD215" s="108">
        <v>0</v>
      </c>
      <c r="AE215" s="108">
        <v>0</v>
      </c>
      <c r="AF215" s="108">
        <v>0</v>
      </c>
      <c r="AG215" s="108">
        <v>0</v>
      </c>
      <c r="AH215" s="108">
        <v>0</v>
      </c>
      <c r="AI215" s="108">
        <v>0</v>
      </c>
      <c r="AJ215" s="108">
        <v>0</v>
      </c>
      <c r="AK215" s="108">
        <v>0</v>
      </c>
      <c r="AL215" s="108">
        <v>0</v>
      </c>
      <c r="AM215" s="108">
        <v>0</v>
      </c>
      <c r="AN215" s="108">
        <v>0</v>
      </c>
      <c r="AO215" s="108">
        <v>0</v>
      </c>
      <c r="AP215" s="108">
        <v>0</v>
      </c>
      <c r="AQ215" s="108">
        <v>0</v>
      </c>
      <c r="AR215" s="108">
        <v>0</v>
      </c>
      <c r="AS215" s="108">
        <v>0</v>
      </c>
      <c r="AT215" s="108">
        <v>0</v>
      </c>
      <c r="AU215" s="108">
        <v>0</v>
      </c>
      <c r="AV215" s="108">
        <v>0</v>
      </c>
      <c r="AW215" s="108">
        <v>0</v>
      </c>
      <c r="AX215" s="108">
        <v>0</v>
      </c>
      <c r="AY215" s="108">
        <v>0</v>
      </c>
    </row>
    <row r="216" spans="1:51">
      <c r="A216" s="107"/>
      <c r="B216" s="116">
        <v>8</v>
      </c>
      <c r="C216" s="104">
        <v>0</v>
      </c>
      <c r="D216" s="108">
        <v>0</v>
      </c>
      <c r="E216" s="108">
        <v>0</v>
      </c>
      <c r="F216" s="108">
        <v>0</v>
      </c>
      <c r="G216" s="108">
        <v>0</v>
      </c>
      <c r="H216" s="108">
        <v>0</v>
      </c>
      <c r="I216" s="108">
        <v>0</v>
      </c>
      <c r="J216" s="108">
        <v>0</v>
      </c>
      <c r="K216" s="108">
        <v>0</v>
      </c>
      <c r="L216" s="108">
        <v>0</v>
      </c>
      <c r="M216" s="108">
        <v>0</v>
      </c>
      <c r="N216" s="108">
        <v>0</v>
      </c>
      <c r="O216" s="108">
        <v>0</v>
      </c>
      <c r="P216" s="108">
        <v>0</v>
      </c>
      <c r="Q216" s="108">
        <v>0</v>
      </c>
      <c r="R216" s="108">
        <v>0</v>
      </c>
      <c r="S216" s="108">
        <v>0</v>
      </c>
      <c r="T216" s="108">
        <v>0</v>
      </c>
      <c r="U216" s="108">
        <v>0</v>
      </c>
      <c r="V216" s="108">
        <v>0</v>
      </c>
      <c r="W216" s="108">
        <v>0</v>
      </c>
      <c r="X216" s="108">
        <v>0</v>
      </c>
      <c r="Y216" s="108">
        <v>0</v>
      </c>
      <c r="Z216" s="108">
        <v>0</v>
      </c>
      <c r="AA216" s="108">
        <v>0</v>
      </c>
      <c r="AB216" s="108">
        <v>0</v>
      </c>
      <c r="AC216" s="108">
        <v>0</v>
      </c>
      <c r="AD216" s="108">
        <v>0</v>
      </c>
      <c r="AE216" s="108">
        <v>0</v>
      </c>
      <c r="AF216" s="108">
        <v>0</v>
      </c>
      <c r="AG216" s="108">
        <v>0</v>
      </c>
      <c r="AH216" s="108">
        <v>0</v>
      </c>
      <c r="AI216" s="108">
        <v>0</v>
      </c>
      <c r="AJ216" s="108">
        <v>0</v>
      </c>
      <c r="AK216" s="108">
        <v>0</v>
      </c>
      <c r="AL216" s="108">
        <v>0</v>
      </c>
      <c r="AM216" s="108">
        <v>0</v>
      </c>
      <c r="AN216" s="108">
        <v>0</v>
      </c>
      <c r="AO216" s="108">
        <v>0</v>
      </c>
      <c r="AP216" s="108">
        <v>0</v>
      </c>
      <c r="AQ216" s="108">
        <v>0</v>
      </c>
      <c r="AR216" s="108">
        <v>0</v>
      </c>
      <c r="AS216" s="108">
        <v>0</v>
      </c>
      <c r="AT216" s="108">
        <v>0</v>
      </c>
      <c r="AU216" s="108">
        <v>0</v>
      </c>
      <c r="AV216" s="108">
        <v>0</v>
      </c>
      <c r="AW216" s="108">
        <v>0</v>
      </c>
      <c r="AX216" s="108">
        <v>0</v>
      </c>
      <c r="AY216" s="108">
        <v>0</v>
      </c>
    </row>
    <row r="217" spans="1:51">
      <c r="A217" s="107"/>
      <c r="B217" s="116">
        <v>9</v>
      </c>
      <c r="C217" s="104">
        <v>0</v>
      </c>
      <c r="D217" s="108">
        <v>0</v>
      </c>
      <c r="E217" s="108">
        <v>0</v>
      </c>
      <c r="F217" s="108">
        <v>0</v>
      </c>
      <c r="G217" s="108">
        <v>0</v>
      </c>
      <c r="H217" s="108">
        <v>0</v>
      </c>
      <c r="I217" s="108">
        <v>0</v>
      </c>
      <c r="J217" s="108">
        <v>0</v>
      </c>
      <c r="K217" s="108">
        <v>0</v>
      </c>
      <c r="L217" s="108">
        <v>0</v>
      </c>
      <c r="M217" s="108">
        <v>0</v>
      </c>
      <c r="N217" s="108">
        <v>0</v>
      </c>
      <c r="O217" s="108">
        <v>0</v>
      </c>
      <c r="P217" s="108">
        <v>0</v>
      </c>
      <c r="Q217" s="108">
        <v>0</v>
      </c>
      <c r="R217" s="108">
        <v>0</v>
      </c>
      <c r="S217" s="108">
        <v>0</v>
      </c>
      <c r="T217" s="108">
        <v>0</v>
      </c>
      <c r="U217" s="108">
        <v>0</v>
      </c>
      <c r="V217" s="108">
        <v>0</v>
      </c>
      <c r="W217" s="108">
        <v>0</v>
      </c>
      <c r="X217" s="108">
        <v>0</v>
      </c>
      <c r="Y217" s="108">
        <v>0</v>
      </c>
      <c r="Z217" s="108">
        <v>0</v>
      </c>
      <c r="AA217" s="108">
        <v>0</v>
      </c>
      <c r="AB217" s="108">
        <v>0</v>
      </c>
      <c r="AC217" s="108">
        <v>0</v>
      </c>
      <c r="AD217" s="108">
        <v>0</v>
      </c>
      <c r="AE217" s="108">
        <v>0</v>
      </c>
      <c r="AF217" s="108">
        <v>0</v>
      </c>
      <c r="AG217" s="108">
        <v>0</v>
      </c>
      <c r="AH217" s="108">
        <v>0</v>
      </c>
      <c r="AI217" s="108">
        <v>0</v>
      </c>
      <c r="AJ217" s="108">
        <v>0</v>
      </c>
      <c r="AK217" s="108">
        <v>0</v>
      </c>
      <c r="AL217" s="108">
        <v>0</v>
      </c>
      <c r="AM217" s="108">
        <v>0</v>
      </c>
      <c r="AN217" s="108">
        <v>0</v>
      </c>
      <c r="AO217" s="108">
        <v>0</v>
      </c>
      <c r="AP217" s="108">
        <v>0</v>
      </c>
      <c r="AQ217" s="108">
        <v>0</v>
      </c>
      <c r="AR217" s="108">
        <v>0</v>
      </c>
      <c r="AS217" s="108">
        <v>0</v>
      </c>
      <c r="AT217" s="108">
        <v>0</v>
      </c>
      <c r="AU217" s="108">
        <v>0</v>
      </c>
      <c r="AV217" s="108">
        <v>0</v>
      </c>
      <c r="AW217" s="108">
        <v>0</v>
      </c>
      <c r="AX217" s="108">
        <v>0</v>
      </c>
      <c r="AY217" s="108">
        <v>0</v>
      </c>
    </row>
    <row r="218" spans="1:51">
      <c r="A218" s="107"/>
      <c r="B218" s="116">
        <v>10</v>
      </c>
      <c r="C218" s="104">
        <v>0</v>
      </c>
      <c r="D218" s="108">
        <v>0</v>
      </c>
      <c r="E218" s="108">
        <v>0</v>
      </c>
      <c r="F218" s="108">
        <v>0</v>
      </c>
      <c r="G218" s="108">
        <v>0</v>
      </c>
      <c r="H218" s="108">
        <v>0</v>
      </c>
      <c r="I218" s="108">
        <v>0</v>
      </c>
      <c r="J218" s="108">
        <v>0</v>
      </c>
      <c r="K218" s="108">
        <v>0</v>
      </c>
      <c r="L218" s="108">
        <v>0</v>
      </c>
      <c r="M218" s="108">
        <v>0</v>
      </c>
      <c r="N218" s="108">
        <v>0</v>
      </c>
      <c r="O218" s="108">
        <v>0</v>
      </c>
      <c r="P218" s="108">
        <v>0</v>
      </c>
      <c r="Q218" s="108">
        <v>0</v>
      </c>
      <c r="R218" s="108">
        <v>0</v>
      </c>
      <c r="S218" s="108">
        <v>0</v>
      </c>
      <c r="T218" s="108">
        <v>0</v>
      </c>
      <c r="U218" s="108">
        <v>0</v>
      </c>
      <c r="V218" s="108">
        <v>0</v>
      </c>
      <c r="W218" s="108">
        <v>0</v>
      </c>
      <c r="X218" s="108">
        <v>0</v>
      </c>
      <c r="Y218" s="108">
        <v>0</v>
      </c>
      <c r="Z218" s="108">
        <v>0</v>
      </c>
      <c r="AA218" s="108">
        <v>0</v>
      </c>
      <c r="AB218" s="108">
        <v>0</v>
      </c>
      <c r="AC218" s="108">
        <v>0</v>
      </c>
      <c r="AD218" s="108">
        <v>0</v>
      </c>
      <c r="AE218" s="108">
        <v>0</v>
      </c>
      <c r="AF218" s="108">
        <v>0</v>
      </c>
      <c r="AG218" s="108">
        <v>0</v>
      </c>
      <c r="AH218" s="108">
        <v>0</v>
      </c>
      <c r="AI218" s="108">
        <v>0</v>
      </c>
      <c r="AJ218" s="108">
        <v>0</v>
      </c>
      <c r="AK218" s="108">
        <v>0</v>
      </c>
      <c r="AL218" s="108">
        <v>0</v>
      </c>
      <c r="AM218" s="108">
        <v>0</v>
      </c>
      <c r="AN218" s="108">
        <v>0</v>
      </c>
      <c r="AO218" s="108">
        <v>0</v>
      </c>
      <c r="AP218" s="108">
        <v>0</v>
      </c>
      <c r="AQ218" s="108">
        <v>0</v>
      </c>
      <c r="AR218" s="108">
        <v>0</v>
      </c>
      <c r="AS218" s="108">
        <v>0</v>
      </c>
      <c r="AT218" s="108">
        <v>0</v>
      </c>
      <c r="AU218" s="108">
        <v>0</v>
      </c>
      <c r="AV218" s="108">
        <v>0</v>
      </c>
      <c r="AW218" s="108">
        <v>0</v>
      </c>
      <c r="AX218" s="108">
        <v>0</v>
      </c>
      <c r="AY218" s="108">
        <v>0</v>
      </c>
    </row>
    <row r="219" spans="1:51">
      <c r="A219" s="107"/>
      <c r="B219" s="116">
        <v>11</v>
      </c>
      <c r="C219" s="104">
        <v>0</v>
      </c>
      <c r="D219" s="108">
        <v>0</v>
      </c>
      <c r="E219" s="108">
        <v>0</v>
      </c>
      <c r="F219" s="108">
        <v>0</v>
      </c>
      <c r="G219" s="108">
        <v>0</v>
      </c>
      <c r="H219" s="108">
        <v>0</v>
      </c>
      <c r="I219" s="108">
        <v>0</v>
      </c>
      <c r="J219" s="108">
        <v>0</v>
      </c>
      <c r="K219" s="108">
        <v>0</v>
      </c>
      <c r="L219" s="108">
        <v>0</v>
      </c>
      <c r="M219" s="108">
        <v>0</v>
      </c>
      <c r="N219" s="108">
        <v>0</v>
      </c>
      <c r="O219" s="108">
        <v>0</v>
      </c>
      <c r="P219" s="108">
        <v>0</v>
      </c>
      <c r="Q219" s="108">
        <v>0</v>
      </c>
      <c r="R219" s="108">
        <v>0</v>
      </c>
      <c r="S219" s="108">
        <v>0</v>
      </c>
      <c r="T219" s="108">
        <v>0</v>
      </c>
      <c r="U219" s="108">
        <v>0</v>
      </c>
      <c r="V219" s="108">
        <v>0</v>
      </c>
      <c r="W219" s="108">
        <v>0</v>
      </c>
      <c r="X219" s="108">
        <v>0</v>
      </c>
      <c r="Y219" s="108">
        <v>0</v>
      </c>
      <c r="Z219" s="108">
        <v>0</v>
      </c>
      <c r="AA219" s="108">
        <v>0</v>
      </c>
      <c r="AB219" s="108">
        <v>0</v>
      </c>
      <c r="AC219" s="108">
        <v>0</v>
      </c>
      <c r="AD219" s="108">
        <v>0</v>
      </c>
      <c r="AE219" s="108">
        <v>0</v>
      </c>
      <c r="AF219" s="108">
        <v>0</v>
      </c>
      <c r="AG219" s="108">
        <v>0</v>
      </c>
      <c r="AH219" s="108">
        <v>0</v>
      </c>
      <c r="AI219" s="108">
        <v>0</v>
      </c>
      <c r="AJ219" s="108">
        <v>0</v>
      </c>
      <c r="AK219" s="108">
        <v>0</v>
      </c>
      <c r="AL219" s="108">
        <v>0</v>
      </c>
      <c r="AM219" s="108">
        <v>0</v>
      </c>
      <c r="AN219" s="108">
        <v>0</v>
      </c>
      <c r="AO219" s="108">
        <v>0</v>
      </c>
      <c r="AP219" s="108">
        <v>0</v>
      </c>
      <c r="AQ219" s="108">
        <v>0</v>
      </c>
      <c r="AR219" s="108">
        <v>0</v>
      </c>
      <c r="AS219" s="108">
        <v>0</v>
      </c>
      <c r="AT219" s="108">
        <v>0</v>
      </c>
      <c r="AU219" s="108">
        <v>0</v>
      </c>
      <c r="AV219" s="108">
        <v>0</v>
      </c>
      <c r="AW219" s="108">
        <v>0</v>
      </c>
      <c r="AX219" s="108">
        <v>0</v>
      </c>
      <c r="AY219" s="108">
        <v>0</v>
      </c>
    </row>
    <row r="220" spans="1:51">
      <c r="A220" s="107"/>
      <c r="B220" s="116">
        <v>12</v>
      </c>
      <c r="C220" s="104">
        <v>0</v>
      </c>
      <c r="D220" s="108">
        <v>0</v>
      </c>
      <c r="E220" s="108">
        <v>0</v>
      </c>
      <c r="F220" s="108">
        <v>0</v>
      </c>
      <c r="G220" s="108">
        <v>0</v>
      </c>
      <c r="H220" s="108">
        <v>0</v>
      </c>
      <c r="I220" s="108">
        <v>0</v>
      </c>
      <c r="J220" s="108">
        <v>0</v>
      </c>
      <c r="K220" s="108">
        <v>0</v>
      </c>
      <c r="L220" s="108">
        <v>0</v>
      </c>
      <c r="M220" s="108">
        <v>0</v>
      </c>
      <c r="N220" s="108">
        <v>0</v>
      </c>
      <c r="O220" s="108">
        <v>0</v>
      </c>
      <c r="P220" s="108">
        <v>0</v>
      </c>
      <c r="Q220" s="108">
        <v>0</v>
      </c>
      <c r="R220" s="108">
        <v>0</v>
      </c>
      <c r="S220" s="108">
        <v>0</v>
      </c>
      <c r="T220" s="108">
        <v>0</v>
      </c>
      <c r="U220" s="108">
        <v>0</v>
      </c>
      <c r="V220" s="108">
        <v>0</v>
      </c>
      <c r="W220" s="108">
        <v>0</v>
      </c>
      <c r="X220" s="108">
        <v>0</v>
      </c>
      <c r="Y220" s="108">
        <v>0</v>
      </c>
      <c r="Z220" s="108">
        <v>0</v>
      </c>
      <c r="AA220" s="108">
        <v>0</v>
      </c>
      <c r="AB220" s="108">
        <v>0</v>
      </c>
      <c r="AC220" s="108">
        <v>0</v>
      </c>
      <c r="AD220" s="108">
        <v>0</v>
      </c>
      <c r="AE220" s="108">
        <v>0</v>
      </c>
      <c r="AF220" s="108">
        <v>0</v>
      </c>
      <c r="AG220" s="108">
        <v>0</v>
      </c>
      <c r="AH220" s="108">
        <v>0</v>
      </c>
      <c r="AI220" s="108">
        <v>0</v>
      </c>
      <c r="AJ220" s="108">
        <v>0</v>
      </c>
      <c r="AK220" s="108">
        <v>0</v>
      </c>
      <c r="AL220" s="108">
        <v>0</v>
      </c>
      <c r="AM220" s="108">
        <v>0</v>
      </c>
      <c r="AN220" s="108">
        <v>0</v>
      </c>
      <c r="AO220" s="108">
        <v>0</v>
      </c>
      <c r="AP220" s="108">
        <v>0</v>
      </c>
      <c r="AQ220" s="108">
        <v>0</v>
      </c>
      <c r="AR220" s="108">
        <v>0</v>
      </c>
      <c r="AS220" s="108">
        <v>0</v>
      </c>
      <c r="AT220" s="108">
        <v>0</v>
      </c>
      <c r="AU220" s="108">
        <v>0</v>
      </c>
      <c r="AV220" s="108">
        <v>0</v>
      </c>
      <c r="AW220" s="108">
        <v>0</v>
      </c>
      <c r="AX220" s="108">
        <v>0</v>
      </c>
      <c r="AY220" s="108">
        <v>0</v>
      </c>
    </row>
    <row r="221" spans="1:51">
      <c r="A221" s="107"/>
      <c r="B221" s="117">
        <v>13</v>
      </c>
      <c r="C221" s="104">
        <v>0</v>
      </c>
      <c r="D221" s="108">
        <v>0</v>
      </c>
      <c r="E221" s="108">
        <v>0</v>
      </c>
      <c r="F221" s="108">
        <v>0</v>
      </c>
      <c r="G221" s="108">
        <v>0</v>
      </c>
      <c r="H221" s="108">
        <v>0</v>
      </c>
      <c r="I221" s="108">
        <v>0</v>
      </c>
      <c r="J221" s="108">
        <v>0</v>
      </c>
      <c r="K221" s="108">
        <v>0</v>
      </c>
      <c r="L221" s="108">
        <v>0</v>
      </c>
      <c r="M221" s="108">
        <v>0</v>
      </c>
      <c r="N221" s="108">
        <v>0</v>
      </c>
      <c r="O221" s="108">
        <v>0</v>
      </c>
      <c r="P221" s="108">
        <v>0</v>
      </c>
      <c r="Q221" s="108">
        <v>0</v>
      </c>
      <c r="R221" s="108">
        <v>0</v>
      </c>
      <c r="S221" s="108">
        <v>0</v>
      </c>
      <c r="T221" s="108">
        <v>0</v>
      </c>
      <c r="U221" s="108">
        <v>0</v>
      </c>
      <c r="V221" s="108">
        <v>0</v>
      </c>
      <c r="W221" s="108">
        <v>0</v>
      </c>
      <c r="X221" s="108">
        <v>0</v>
      </c>
      <c r="Y221" s="108">
        <v>0</v>
      </c>
      <c r="Z221" s="108">
        <v>0</v>
      </c>
      <c r="AA221" s="108">
        <v>0</v>
      </c>
      <c r="AB221" s="108">
        <v>0</v>
      </c>
      <c r="AC221" s="108">
        <v>0</v>
      </c>
      <c r="AD221" s="108">
        <v>0</v>
      </c>
      <c r="AE221" s="108">
        <v>0</v>
      </c>
      <c r="AF221" s="108">
        <v>0</v>
      </c>
      <c r="AG221" s="108">
        <v>0</v>
      </c>
      <c r="AH221" s="108">
        <v>0</v>
      </c>
      <c r="AI221" s="108">
        <v>0</v>
      </c>
      <c r="AJ221" s="108">
        <v>0</v>
      </c>
      <c r="AK221" s="108">
        <v>0</v>
      </c>
      <c r="AL221" s="108">
        <v>0</v>
      </c>
      <c r="AM221" s="108">
        <v>0</v>
      </c>
      <c r="AN221" s="108">
        <v>0</v>
      </c>
      <c r="AO221" s="108">
        <v>0</v>
      </c>
      <c r="AP221" s="108">
        <v>0</v>
      </c>
      <c r="AQ221" s="108">
        <v>0</v>
      </c>
      <c r="AR221" s="108">
        <v>0</v>
      </c>
      <c r="AS221" s="108">
        <v>0</v>
      </c>
      <c r="AT221" s="108">
        <v>0</v>
      </c>
      <c r="AU221" s="108">
        <v>0</v>
      </c>
      <c r="AV221" s="108">
        <v>0</v>
      </c>
      <c r="AW221" s="108">
        <v>0</v>
      </c>
      <c r="AX221" s="108">
        <v>0</v>
      </c>
      <c r="AY221" s="108">
        <v>0</v>
      </c>
    </row>
    <row r="222" spans="1:51">
      <c r="A222" s="107"/>
      <c r="B222" s="117">
        <v>14</v>
      </c>
      <c r="C222" s="104">
        <v>0</v>
      </c>
      <c r="D222" s="108">
        <v>0</v>
      </c>
      <c r="E222" s="108">
        <v>0</v>
      </c>
      <c r="F222" s="108">
        <v>0</v>
      </c>
      <c r="G222" s="108">
        <v>0</v>
      </c>
      <c r="H222" s="108">
        <v>0</v>
      </c>
      <c r="I222" s="108">
        <v>0</v>
      </c>
      <c r="J222" s="108">
        <v>0</v>
      </c>
      <c r="K222" s="108">
        <v>0</v>
      </c>
      <c r="L222" s="108">
        <v>0</v>
      </c>
      <c r="M222" s="108">
        <v>0</v>
      </c>
      <c r="N222" s="108">
        <v>0</v>
      </c>
      <c r="O222" s="108">
        <v>0</v>
      </c>
      <c r="P222" s="108">
        <v>0</v>
      </c>
      <c r="Q222" s="108">
        <v>0</v>
      </c>
      <c r="R222" s="108">
        <v>0</v>
      </c>
      <c r="S222" s="108">
        <v>0</v>
      </c>
      <c r="T222" s="108">
        <v>0</v>
      </c>
      <c r="U222" s="108">
        <v>0</v>
      </c>
      <c r="V222" s="108">
        <v>0</v>
      </c>
      <c r="W222" s="108">
        <v>0</v>
      </c>
      <c r="X222" s="108">
        <v>0</v>
      </c>
      <c r="Y222" s="108">
        <v>0</v>
      </c>
      <c r="Z222" s="108">
        <v>0</v>
      </c>
      <c r="AA222" s="108">
        <v>0</v>
      </c>
      <c r="AB222" s="108">
        <v>0</v>
      </c>
      <c r="AC222" s="108">
        <v>0</v>
      </c>
      <c r="AD222" s="108">
        <v>0</v>
      </c>
      <c r="AE222" s="108">
        <v>0</v>
      </c>
      <c r="AF222" s="108">
        <v>0</v>
      </c>
      <c r="AG222" s="108">
        <v>0</v>
      </c>
      <c r="AH222" s="108">
        <v>0</v>
      </c>
      <c r="AI222" s="108">
        <v>0</v>
      </c>
      <c r="AJ222" s="108">
        <v>0</v>
      </c>
      <c r="AK222" s="108">
        <v>0</v>
      </c>
      <c r="AL222" s="108">
        <v>0</v>
      </c>
      <c r="AM222" s="108">
        <v>0</v>
      </c>
      <c r="AN222" s="108">
        <v>0</v>
      </c>
      <c r="AO222" s="108">
        <v>0</v>
      </c>
      <c r="AP222" s="108">
        <v>0</v>
      </c>
      <c r="AQ222" s="108">
        <v>0</v>
      </c>
      <c r="AR222" s="108">
        <v>0</v>
      </c>
      <c r="AS222" s="108">
        <v>0</v>
      </c>
      <c r="AT222" s="108">
        <v>0</v>
      </c>
      <c r="AU222" s="108">
        <v>0</v>
      </c>
      <c r="AV222" s="108">
        <v>0</v>
      </c>
      <c r="AW222" s="108">
        <v>0</v>
      </c>
      <c r="AX222" s="108">
        <v>0</v>
      </c>
      <c r="AY222" s="108">
        <v>0</v>
      </c>
    </row>
    <row r="223" spans="1:51">
      <c r="A223" s="107"/>
      <c r="B223" s="117">
        <v>15</v>
      </c>
      <c r="C223" s="104">
        <v>0</v>
      </c>
      <c r="D223" s="108">
        <v>0</v>
      </c>
      <c r="E223" s="108">
        <v>0</v>
      </c>
      <c r="F223" s="108">
        <v>0</v>
      </c>
      <c r="G223" s="108">
        <v>0</v>
      </c>
      <c r="H223" s="108">
        <v>0</v>
      </c>
      <c r="I223" s="108">
        <v>0</v>
      </c>
      <c r="J223" s="108">
        <v>0</v>
      </c>
      <c r="K223" s="108">
        <v>0</v>
      </c>
      <c r="L223" s="108">
        <v>0</v>
      </c>
      <c r="M223" s="108">
        <v>0</v>
      </c>
      <c r="N223" s="108">
        <v>0</v>
      </c>
      <c r="O223" s="108">
        <v>0</v>
      </c>
      <c r="P223" s="108">
        <v>0</v>
      </c>
      <c r="Q223" s="108">
        <v>0</v>
      </c>
      <c r="R223" s="108">
        <v>0</v>
      </c>
      <c r="S223" s="108">
        <v>0</v>
      </c>
      <c r="T223" s="108">
        <v>0</v>
      </c>
      <c r="U223" s="108">
        <v>0</v>
      </c>
      <c r="V223" s="108">
        <v>0</v>
      </c>
      <c r="W223" s="108">
        <v>0</v>
      </c>
      <c r="X223" s="108">
        <v>0</v>
      </c>
      <c r="Y223" s="108">
        <v>0</v>
      </c>
      <c r="Z223" s="108">
        <v>0</v>
      </c>
      <c r="AA223" s="108">
        <v>0</v>
      </c>
      <c r="AB223" s="108">
        <v>0</v>
      </c>
      <c r="AC223" s="108">
        <v>0</v>
      </c>
      <c r="AD223" s="108">
        <v>0</v>
      </c>
      <c r="AE223" s="108">
        <v>0</v>
      </c>
      <c r="AF223" s="108">
        <v>0</v>
      </c>
      <c r="AG223" s="108">
        <v>0</v>
      </c>
      <c r="AH223" s="108">
        <v>0</v>
      </c>
      <c r="AI223" s="108">
        <v>0</v>
      </c>
      <c r="AJ223" s="108">
        <v>0</v>
      </c>
      <c r="AK223" s="108">
        <v>0</v>
      </c>
      <c r="AL223" s="108">
        <v>0</v>
      </c>
      <c r="AM223" s="108">
        <v>0</v>
      </c>
      <c r="AN223" s="108">
        <v>0</v>
      </c>
      <c r="AO223" s="108">
        <v>0</v>
      </c>
      <c r="AP223" s="108">
        <v>0</v>
      </c>
      <c r="AQ223" s="108">
        <v>0</v>
      </c>
      <c r="AR223" s="108">
        <v>0</v>
      </c>
      <c r="AS223" s="108">
        <v>0</v>
      </c>
      <c r="AT223" s="108">
        <v>0</v>
      </c>
      <c r="AU223" s="108">
        <v>0</v>
      </c>
      <c r="AV223" s="108">
        <v>0</v>
      </c>
      <c r="AW223" s="108">
        <v>0</v>
      </c>
      <c r="AX223" s="108">
        <v>0</v>
      </c>
      <c r="AY223" s="108">
        <v>0</v>
      </c>
    </row>
    <row r="224" spans="1:51">
      <c r="A224" s="107"/>
      <c r="B224" s="117">
        <v>16</v>
      </c>
      <c r="C224" s="104">
        <v>0</v>
      </c>
      <c r="D224" s="108">
        <v>0</v>
      </c>
      <c r="E224" s="108">
        <v>0</v>
      </c>
      <c r="F224" s="108">
        <v>0</v>
      </c>
      <c r="G224" s="108">
        <v>0</v>
      </c>
      <c r="H224" s="108">
        <v>0</v>
      </c>
      <c r="I224" s="108">
        <v>0</v>
      </c>
      <c r="J224" s="108">
        <v>0</v>
      </c>
      <c r="K224" s="108">
        <v>0</v>
      </c>
      <c r="L224" s="108">
        <v>0</v>
      </c>
      <c r="M224" s="108">
        <v>0</v>
      </c>
      <c r="N224" s="108">
        <v>0</v>
      </c>
      <c r="O224" s="108">
        <v>0</v>
      </c>
      <c r="P224" s="108">
        <v>0</v>
      </c>
      <c r="Q224" s="108">
        <v>0</v>
      </c>
      <c r="R224" s="108">
        <v>0</v>
      </c>
      <c r="S224" s="108">
        <v>0</v>
      </c>
      <c r="T224" s="108">
        <v>0</v>
      </c>
      <c r="U224" s="108">
        <v>0</v>
      </c>
      <c r="V224" s="108">
        <v>0</v>
      </c>
      <c r="W224" s="108">
        <v>0</v>
      </c>
      <c r="X224" s="108">
        <v>0</v>
      </c>
      <c r="Y224" s="108">
        <v>0</v>
      </c>
      <c r="Z224" s="108">
        <v>0</v>
      </c>
      <c r="AA224" s="108">
        <v>0</v>
      </c>
      <c r="AB224" s="108">
        <v>0</v>
      </c>
      <c r="AC224" s="108">
        <v>0</v>
      </c>
      <c r="AD224" s="108">
        <v>0</v>
      </c>
      <c r="AE224" s="108">
        <v>0</v>
      </c>
      <c r="AF224" s="108">
        <v>0</v>
      </c>
      <c r="AG224" s="108">
        <v>0</v>
      </c>
      <c r="AH224" s="108">
        <v>0</v>
      </c>
      <c r="AI224" s="108">
        <v>0</v>
      </c>
      <c r="AJ224" s="108">
        <v>0</v>
      </c>
      <c r="AK224" s="108">
        <v>0</v>
      </c>
      <c r="AL224" s="108">
        <v>0</v>
      </c>
      <c r="AM224" s="108">
        <v>0</v>
      </c>
      <c r="AN224" s="108">
        <v>0</v>
      </c>
      <c r="AO224" s="108">
        <v>0</v>
      </c>
      <c r="AP224" s="108">
        <v>0</v>
      </c>
      <c r="AQ224" s="108">
        <v>0</v>
      </c>
      <c r="AR224" s="108">
        <v>0</v>
      </c>
      <c r="AS224" s="108">
        <v>0</v>
      </c>
      <c r="AT224" s="108">
        <v>0</v>
      </c>
      <c r="AU224" s="108">
        <v>0</v>
      </c>
      <c r="AV224" s="108">
        <v>0</v>
      </c>
      <c r="AW224" s="108">
        <v>0</v>
      </c>
      <c r="AX224" s="108">
        <v>0</v>
      </c>
      <c r="AY224" s="108">
        <v>0</v>
      </c>
    </row>
    <row r="225" spans="1:51">
      <c r="A225" s="107"/>
      <c r="B225" s="117">
        <v>17</v>
      </c>
      <c r="C225" s="104">
        <v>0</v>
      </c>
      <c r="D225" s="108">
        <v>0</v>
      </c>
      <c r="E225" s="108">
        <v>0</v>
      </c>
      <c r="F225" s="108">
        <v>0</v>
      </c>
      <c r="G225" s="108">
        <v>0</v>
      </c>
      <c r="H225" s="108">
        <v>0</v>
      </c>
      <c r="I225" s="108">
        <v>0</v>
      </c>
      <c r="J225" s="108">
        <v>0</v>
      </c>
      <c r="K225" s="108">
        <v>0</v>
      </c>
      <c r="L225" s="108">
        <v>0</v>
      </c>
      <c r="M225" s="108">
        <v>0</v>
      </c>
      <c r="N225" s="108">
        <v>0</v>
      </c>
      <c r="O225" s="108">
        <v>0</v>
      </c>
      <c r="P225" s="108">
        <v>0</v>
      </c>
      <c r="Q225" s="108">
        <v>0</v>
      </c>
      <c r="R225" s="108">
        <v>0</v>
      </c>
      <c r="S225" s="108">
        <v>0</v>
      </c>
      <c r="T225" s="108">
        <v>0</v>
      </c>
      <c r="U225" s="108">
        <v>0</v>
      </c>
      <c r="V225" s="108">
        <v>0</v>
      </c>
      <c r="W225" s="108">
        <v>0</v>
      </c>
      <c r="X225" s="108">
        <v>0</v>
      </c>
      <c r="Y225" s="108">
        <v>0</v>
      </c>
      <c r="Z225" s="108">
        <v>0</v>
      </c>
      <c r="AA225" s="108">
        <v>0</v>
      </c>
      <c r="AB225" s="108">
        <v>0</v>
      </c>
      <c r="AC225" s="108">
        <v>0</v>
      </c>
      <c r="AD225" s="108">
        <v>0</v>
      </c>
      <c r="AE225" s="108">
        <v>0</v>
      </c>
      <c r="AF225" s="108">
        <v>0</v>
      </c>
      <c r="AG225" s="108">
        <v>0</v>
      </c>
      <c r="AH225" s="108">
        <v>0</v>
      </c>
      <c r="AI225" s="108">
        <v>0</v>
      </c>
      <c r="AJ225" s="108">
        <v>0</v>
      </c>
      <c r="AK225" s="108">
        <v>0</v>
      </c>
      <c r="AL225" s="108">
        <v>0</v>
      </c>
      <c r="AM225" s="108">
        <v>0</v>
      </c>
      <c r="AN225" s="108">
        <v>0</v>
      </c>
      <c r="AO225" s="108">
        <v>0</v>
      </c>
      <c r="AP225" s="108">
        <v>0</v>
      </c>
      <c r="AQ225" s="108">
        <v>0</v>
      </c>
      <c r="AR225" s="108">
        <v>0</v>
      </c>
      <c r="AS225" s="108">
        <v>0</v>
      </c>
      <c r="AT225" s="108">
        <v>0</v>
      </c>
      <c r="AU225" s="108">
        <v>0</v>
      </c>
      <c r="AV225" s="108">
        <v>0</v>
      </c>
      <c r="AW225" s="108">
        <v>0</v>
      </c>
      <c r="AX225" s="108">
        <v>0</v>
      </c>
      <c r="AY225" s="108">
        <v>0</v>
      </c>
    </row>
    <row r="226" spans="1:51">
      <c r="A226" s="107"/>
      <c r="B226" s="117">
        <v>18</v>
      </c>
      <c r="C226" s="104">
        <v>0</v>
      </c>
      <c r="D226" s="108">
        <v>0</v>
      </c>
      <c r="E226" s="108">
        <v>0</v>
      </c>
      <c r="F226" s="108">
        <v>0</v>
      </c>
      <c r="G226" s="108">
        <v>0</v>
      </c>
      <c r="H226" s="108">
        <v>0</v>
      </c>
      <c r="I226" s="108">
        <v>0</v>
      </c>
      <c r="J226" s="108">
        <v>0</v>
      </c>
      <c r="K226" s="108">
        <v>0</v>
      </c>
      <c r="L226" s="108">
        <v>0</v>
      </c>
      <c r="M226" s="108">
        <v>0</v>
      </c>
      <c r="N226" s="108">
        <v>0</v>
      </c>
      <c r="O226" s="108">
        <v>0</v>
      </c>
      <c r="P226" s="108">
        <v>0</v>
      </c>
      <c r="Q226" s="108">
        <v>0</v>
      </c>
      <c r="R226" s="108">
        <v>0</v>
      </c>
      <c r="S226" s="108">
        <v>0</v>
      </c>
      <c r="T226" s="108">
        <v>0</v>
      </c>
      <c r="U226" s="108">
        <v>0</v>
      </c>
      <c r="V226" s="108">
        <v>0</v>
      </c>
      <c r="W226" s="108">
        <v>0</v>
      </c>
      <c r="X226" s="108">
        <v>0</v>
      </c>
      <c r="Y226" s="108">
        <v>0</v>
      </c>
      <c r="Z226" s="108">
        <v>0</v>
      </c>
      <c r="AA226" s="108">
        <v>0</v>
      </c>
      <c r="AB226" s="108">
        <v>0</v>
      </c>
      <c r="AC226" s="108">
        <v>0</v>
      </c>
      <c r="AD226" s="108">
        <v>0</v>
      </c>
      <c r="AE226" s="108">
        <v>0</v>
      </c>
      <c r="AF226" s="108">
        <v>0</v>
      </c>
      <c r="AG226" s="108">
        <v>0</v>
      </c>
      <c r="AH226" s="108">
        <v>0</v>
      </c>
      <c r="AI226" s="108">
        <v>0</v>
      </c>
      <c r="AJ226" s="108">
        <v>0</v>
      </c>
      <c r="AK226" s="108">
        <v>0</v>
      </c>
      <c r="AL226" s="108">
        <v>0</v>
      </c>
      <c r="AM226" s="108">
        <v>0</v>
      </c>
      <c r="AN226" s="108">
        <v>0</v>
      </c>
      <c r="AO226" s="108">
        <v>0</v>
      </c>
      <c r="AP226" s="108">
        <v>0</v>
      </c>
      <c r="AQ226" s="108">
        <v>0</v>
      </c>
      <c r="AR226" s="108">
        <v>0</v>
      </c>
      <c r="AS226" s="108">
        <v>0</v>
      </c>
      <c r="AT226" s="108">
        <v>0</v>
      </c>
      <c r="AU226" s="108">
        <v>0</v>
      </c>
      <c r="AV226" s="108">
        <v>0</v>
      </c>
      <c r="AW226" s="108">
        <v>0</v>
      </c>
      <c r="AX226" s="108">
        <v>0</v>
      </c>
      <c r="AY226" s="108">
        <v>0</v>
      </c>
    </row>
    <row r="227" spans="1:51">
      <c r="A227" s="107"/>
      <c r="B227" s="117">
        <v>19</v>
      </c>
      <c r="C227" s="104">
        <v>0</v>
      </c>
      <c r="D227" s="108">
        <v>0</v>
      </c>
      <c r="E227" s="108">
        <v>0</v>
      </c>
      <c r="F227" s="108">
        <v>0</v>
      </c>
      <c r="G227" s="108">
        <v>0</v>
      </c>
      <c r="H227" s="108">
        <v>0</v>
      </c>
      <c r="I227" s="108">
        <v>0</v>
      </c>
      <c r="J227" s="108">
        <v>0</v>
      </c>
      <c r="K227" s="108">
        <v>0</v>
      </c>
      <c r="L227" s="108">
        <v>0</v>
      </c>
      <c r="M227" s="108">
        <v>0</v>
      </c>
      <c r="N227" s="108">
        <v>0</v>
      </c>
      <c r="O227" s="108">
        <v>0</v>
      </c>
      <c r="P227" s="108">
        <v>0</v>
      </c>
      <c r="Q227" s="108">
        <v>0</v>
      </c>
      <c r="R227" s="108">
        <v>0</v>
      </c>
      <c r="S227" s="108">
        <v>0</v>
      </c>
      <c r="T227" s="108">
        <v>0</v>
      </c>
      <c r="U227" s="108">
        <v>0</v>
      </c>
      <c r="V227" s="108">
        <v>0</v>
      </c>
      <c r="W227" s="108">
        <v>0</v>
      </c>
      <c r="X227" s="108">
        <v>0</v>
      </c>
      <c r="Y227" s="108">
        <v>0</v>
      </c>
      <c r="Z227" s="108">
        <v>0</v>
      </c>
      <c r="AA227" s="108">
        <v>0</v>
      </c>
      <c r="AB227" s="108">
        <v>0</v>
      </c>
      <c r="AC227" s="108">
        <v>0</v>
      </c>
      <c r="AD227" s="108">
        <v>0</v>
      </c>
      <c r="AE227" s="108">
        <v>0</v>
      </c>
      <c r="AF227" s="108">
        <v>0</v>
      </c>
      <c r="AG227" s="108">
        <v>0</v>
      </c>
      <c r="AH227" s="108">
        <v>0</v>
      </c>
      <c r="AI227" s="108">
        <v>0</v>
      </c>
      <c r="AJ227" s="108">
        <v>0</v>
      </c>
      <c r="AK227" s="108">
        <v>0</v>
      </c>
      <c r="AL227" s="108">
        <v>0</v>
      </c>
      <c r="AM227" s="108">
        <v>0</v>
      </c>
      <c r="AN227" s="108">
        <v>0</v>
      </c>
      <c r="AO227" s="108">
        <v>0</v>
      </c>
      <c r="AP227" s="108">
        <v>0</v>
      </c>
      <c r="AQ227" s="108">
        <v>0</v>
      </c>
      <c r="AR227" s="108">
        <v>0</v>
      </c>
      <c r="AS227" s="108">
        <v>0</v>
      </c>
      <c r="AT227" s="108">
        <v>0</v>
      </c>
      <c r="AU227" s="108">
        <v>0</v>
      </c>
      <c r="AV227" s="108">
        <v>0</v>
      </c>
      <c r="AW227" s="108">
        <v>0</v>
      </c>
      <c r="AX227" s="108">
        <v>0</v>
      </c>
      <c r="AY227" s="108">
        <v>0</v>
      </c>
    </row>
    <row r="228" spans="1:51">
      <c r="A228" s="107"/>
      <c r="B228" s="117">
        <v>20</v>
      </c>
      <c r="C228" s="104">
        <v>0</v>
      </c>
      <c r="D228" s="108">
        <v>0</v>
      </c>
      <c r="E228" s="108">
        <v>0</v>
      </c>
      <c r="F228" s="108">
        <v>0</v>
      </c>
      <c r="G228" s="108">
        <v>0</v>
      </c>
      <c r="H228" s="108">
        <v>0</v>
      </c>
      <c r="I228" s="108">
        <v>0</v>
      </c>
      <c r="J228" s="108">
        <v>0</v>
      </c>
      <c r="K228" s="108">
        <v>0</v>
      </c>
      <c r="L228" s="108">
        <v>0</v>
      </c>
      <c r="M228" s="108">
        <v>0</v>
      </c>
      <c r="N228" s="108">
        <v>0</v>
      </c>
      <c r="O228" s="108">
        <v>0</v>
      </c>
      <c r="P228" s="108">
        <v>0</v>
      </c>
      <c r="Q228" s="108">
        <v>0</v>
      </c>
      <c r="R228" s="108">
        <v>0</v>
      </c>
      <c r="S228" s="108">
        <v>0</v>
      </c>
      <c r="T228" s="108">
        <v>0</v>
      </c>
      <c r="U228" s="108">
        <v>0</v>
      </c>
      <c r="V228" s="108">
        <v>0</v>
      </c>
      <c r="W228" s="108">
        <v>0</v>
      </c>
      <c r="X228" s="108">
        <v>0</v>
      </c>
      <c r="Y228" s="108">
        <v>0</v>
      </c>
      <c r="Z228" s="108">
        <v>0</v>
      </c>
      <c r="AA228" s="108">
        <v>0</v>
      </c>
      <c r="AB228" s="108">
        <v>0</v>
      </c>
      <c r="AC228" s="108">
        <v>0</v>
      </c>
      <c r="AD228" s="108">
        <v>0</v>
      </c>
      <c r="AE228" s="108">
        <v>0</v>
      </c>
      <c r="AF228" s="108">
        <v>0</v>
      </c>
      <c r="AG228" s="108">
        <v>0</v>
      </c>
      <c r="AH228" s="108">
        <v>0</v>
      </c>
      <c r="AI228" s="108">
        <v>0</v>
      </c>
      <c r="AJ228" s="108">
        <v>0</v>
      </c>
      <c r="AK228" s="108">
        <v>0</v>
      </c>
      <c r="AL228" s="108">
        <v>0</v>
      </c>
      <c r="AM228" s="108">
        <v>0</v>
      </c>
      <c r="AN228" s="108">
        <v>0</v>
      </c>
      <c r="AO228" s="108">
        <v>0</v>
      </c>
      <c r="AP228" s="108">
        <v>0</v>
      </c>
      <c r="AQ228" s="108">
        <v>0</v>
      </c>
      <c r="AR228" s="108">
        <v>0</v>
      </c>
      <c r="AS228" s="108">
        <v>0</v>
      </c>
      <c r="AT228" s="108">
        <v>0</v>
      </c>
      <c r="AU228" s="108">
        <v>0</v>
      </c>
      <c r="AV228" s="108">
        <v>0</v>
      </c>
      <c r="AW228" s="108">
        <v>0</v>
      </c>
      <c r="AX228" s="108">
        <v>0</v>
      </c>
      <c r="AY228" s="108">
        <v>0</v>
      </c>
    </row>
    <row r="229" spans="1:51">
      <c r="A229" s="107"/>
      <c r="B229" s="117">
        <v>21</v>
      </c>
      <c r="C229" s="104">
        <v>0</v>
      </c>
      <c r="D229" s="108">
        <v>0</v>
      </c>
      <c r="E229" s="108">
        <v>0</v>
      </c>
      <c r="F229" s="108">
        <v>0</v>
      </c>
      <c r="G229" s="108">
        <v>0</v>
      </c>
      <c r="H229" s="108">
        <v>0</v>
      </c>
      <c r="I229" s="108">
        <v>0</v>
      </c>
      <c r="J229" s="108">
        <v>0</v>
      </c>
      <c r="K229" s="108">
        <v>0</v>
      </c>
      <c r="L229" s="108">
        <v>0</v>
      </c>
      <c r="M229" s="108">
        <v>0</v>
      </c>
      <c r="N229" s="108">
        <v>0</v>
      </c>
      <c r="O229" s="108">
        <v>0</v>
      </c>
      <c r="P229" s="108">
        <v>0</v>
      </c>
      <c r="Q229" s="108">
        <v>0</v>
      </c>
      <c r="R229" s="108">
        <v>0</v>
      </c>
      <c r="S229" s="108">
        <v>0</v>
      </c>
      <c r="T229" s="108">
        <v>0</v>
      </c>
      <c r="U229" s="108">
        <v>0</v>
      </c>
      <c r="V229" s="108">
        <v>0</v>
      </c>
      <c r="W229" s="108">
        <v>0</v>
      </c>
      <c r="X229" s="108">
        <v>0</v>
      </c>
      <c r="Y229" s="108">
        <v>0</v>
      </c>
      <c r="Z229" s="108">
        <v>0</v>
      </c>
      <c r="AA229" s="108">
        <v>0</v>
      </c>
      <c r="AB229" s="108">
        <v>0</v>
      </c>
      <c r="AC229" s="108">
        <v>0</v>
      </c>
      <c r="AD229" s="108">
        <v>0</v>
      </c>
      <c r="AE229" s="108">
        <v>0</v>
      </c>
      <c r="AF229" s="108">
        <v>0</v>
      </c>
      <c r="AG229" s="108">
        <v>0</v>
      </c>
      <c r="AH229" s="108">
        <v>0</v>
      </c>
      <c r="AI229" s="108">
        <v>0</v>
      </c>
      <c r="AJ229" s="108">
        <v>0</v>
      </c>
      <c r="AK229" s="108">
        <v>0</v>
      </c>
      <c r="AL229" s="108">
        <v>0</v>
      </c>
      <c r="AM229" s="108">
        <v>0</v>
      </c>
      <c r="AN229" s="108">
        <v>0</v>
      </c>
      <c r="AO229" s="108">
        <v>0</v>
      </c>
      <c r="AP229" s="108">
        <v>0</v>
      </c>
      <c r="AQ229" s="108">
        <v>0</v>
      </c>
      <c r="AR229" s="108">
        <v>0</v>
      </c>
      <c r="AS229" s="108">
        <v>0</v>
      </c>
      <c r="AT229" s="108">
        <v>0</v>
      </c>
      <c r="AU229" s="108">
        <v>0</v>
      </c>
      <c r="AV229" s="108">
        <v>0</v>
      </c>
      <c r="AW229" s="108">
        <v>0</v>
      </c>
      <c r="AX229" s="108">
        <v>0</v>
      </c>
      <c r="AY229" s="108">
        <v>0</v>
      </c>
    </row>
    <row r="230" spans="1:51">
      <c r="A230" s="107"/>
      <c r="B230" s="117">
        <v>22</v>
      </c>
      <c r="C230" s="104">
        <v>0</v>
      </c>
      <c r="D230" s="108">
        <v>0</v>
      </c>
      <c r="E230" s="108">
        <v>0</v>
      </c>
      <c r="F230" s="108">
        <v>0</v>
      </c>
      <c r="G230" s="108">
        <v>0</v>
      </c>
      <c r="H230" s="108">
        <v>0</v>
      </c>
      <c r="I230" s="108">
        <v>0</v>
      </c>
      <c r="J230" s="108">
        <v>0</v>
      </c>
      <c r="K230" s="108">
        <v>0</v>
      </c>
      <c r="L230" s="108">
        <v>0</v>
      </c>
      <c r="M230" s="108">
        <v>0</v>
      </c>
      <c r="N230" s="108">
        <v>0</v>
      </c>
      <c r="O230" s="108">
        <v>0</v>
      </c>
      <c r="P230" s="108">
        <v>0</v>
      </c>
      <c r="Q230" s="108">
        <v>0</v>
      </c>
      <c r="R230" s="108">
        <v>0</v>
      </c>
      <c r="S230" s="108">
        <v>0</v>
      </c>
      <c r="T230" s="108">
        <v>0</v>
      </c>
      <c r="U230" s="108">
        <v>0</v>
      </c>
      <c r="V230" s="108">
        <v>0</v>
      </c>
      <c r="W230" s="108">
        <v>0</v>
      </c>
      <c r="X230" s="108">
        <v>0</v>
      </c>
      <c r="Y230" s="108">
        <v>0</v>
      </c>
      <c r="Z230" s="108">
        <v>0</v>
      </c>
      <c r="AA230" s="108">
        <v>0</v>
      </c>
      <c r="AB230" s="108">
        <v>0</v>
      </c>
      <c r="AC230" s="108">
        <v>0</v>
      </c>
      <c r="AD230" s="108">
        <v>0</v>
      </c>
      <c r="AE230" s="108">
        <v>0</v>
      </c>
      <c r="AF230" s="108">
        <v>0</v>
      </c>
      <c r="AG230" s="108">
        <v>0</v>
      </c>
      <c r="AH230" s="108">
        <v>0</v>
      </c>
      <c r="AI230" s="108">
        <v>0</v>
      </c>
      <c r="AJ230" s="108">
        <v>0</v>
      </c>
      <c r="AK230" s="108">
        <v>0</v>
      </c>
      <c r="AL230" s="108">
        <v>0</v>
      </c>
      <c r="AM230" s="108">
        <v>0</v>
      </c>
      <c r="AN230" s="108">
        <v>0</v>
      </c>
      <c r="AO230" s="108">
        <v>0</v>
      </c>
      <c r="AP230" s="108">
        <v>0</v>
      </c>
      <c r="AQ230" s="108">
        <v>0</v>
      </c>
      <c r="AR230" s="108">
        <v>0</v>
      </c>
      <c r="AS230" s="108">
        <v>0</v>
      </c>
      <c r="AT230" s="108">
        <v>0</v>
      </c>
      <c r="AU230" s="108">
        <v>0</v>
      </c>
      <c r="AV230" s="108">
        <v>0</v>
      </c>
      <c r="AW230" s="108">
        <v>0</v>
      </c>
      <c r="AX230" s="108">
        <v>0</v>
      </c>
      <c r="AY230" s="108">
        <v>0</v>
      </c>
    </row>
    <row r="231" spans="1:51">
      <c r="A231" s="107"/>
      <c r="B231" s="117">
        <v>23</v>
      </c>
      <c r="C231" s="104">
        <v>0</v>
      </c>
      <c r="D231" s="108">
        <v>0</v>
      </c>
      <c r="E231" s="108">
        <v>0</v>
      </c>
      <c r="F231" s="108">
        <v>0</v>
      </c>
      <c r="G231" s="108">
        <v>0</v>
      </c>
      <c r="H231" s="108">
        <v>0</v>
      </c>
      <c r="I231" s="108">
        <v>0</v>
      </c>
      <c r="J231" s="108">
        <v>0</v>
      </c>
      <c r="K231" s="108">
        <v>0</v>
      </c>
      <c r="L231" s="108">
        <v>0</v>
      </c>
      <c r="M231" s="108">
        <v>0</v>
      </c>
      <c r="N231" s="108">
        <v>0</v>
      </c>
      <c r="O231" s="108">
        <v>0</v>
      </c>
      <c r="P231" s="108">
        <v>0</v>
      </c>
      <c r="Q231" s="108">
        <v>0</v>
      </c>
      <c r="R231" s="108">
        <v>0</v>
      </c>
      <c r="S231" s="108">
        <v>0</v>
      </c>
      <c r="T231" s="108">
        <v>0</v>
      </c>
      <c r="U231" s="108">
        <v>0</v>
      </c>
      <c r="V231" s="108">
        <v>0</v>
      </c>
      <c r="W231" s="108">
        <v>0</v>
      </c>
      <c r="X231" s="108">
        <v>0</v>
      </c>
      <c r="Y231" s="108">
        <v>0</v>
      </c>
      <c r="Z231" s="108">
        <v>0</v>
      </c>
      <c r="AA231" s="108">
        <v>0</v>
      </c>
      <c r="AB231" s="108">
        <v>0</v>
      </c>
      <c r="AC231" s="108">
        <v>0</v>
      </c>
      <c r="AD231" s="108">
        <v>0</v>
      </c>
      <c r="AE231" s="108">
        <v>0</v>
      </c>
      <c r="AF231" s="108">
        <v>0</v>
      </c>
      <c r="AG231" s="108">
        <v>0</v>
      </c>
      <c r="AH231" s="108">
        <v>0</v>
      </c>
      <c r="AI231" s="108">
        <v>0</v>
      </c>
      <c r="AJ231" s="108">
        <v>0</v>
      </c>
      <c r="AK231" s="108">
        <v>0</v>
      </c>
      <c r="AL231" s="108">
        <v>0</v>
      </c>
      <c r="AM231" s="108">
        <v>0</v>
      </c>
      <c r="AN231" s="108">
        <v>0</v>
      </c>
      <c r="AO231" s="108">
        <v>0</v>
      </c>
      <c r="AP231" s="108">
        <v>0</v>
      </c>
      <c r="AQ231" s="108">
        <v>0</v>
      </c>
      <c r="AR231" s="108">
        <v>0</v>
      </c>
      <c r="AS231" s="108">
        <v>0</v>
      </c>
      <c r="AT231" s="108">
        <v>0</v>
      </c>
      <c r="AU231" s="108">
        <v>0</v>
      </c>
      <c r="AV231" s="108">
        <v>0</v>
      </c>
      <c r="AW231" s="108">
        <v>0</v>
      </c>
      <c r="AX231" s="108">
        <v>0</v>
      </c>
      <c r="AY231" s="108">
        <v>0</v>
      </c>
    </row>
    <row r="232" spans="1:51">
      <c r="A232" s="107"/>
      <c r="B232" s="117">
        <v>24</v>
      </c>
      <c r="C232" s="104">
        <v>0</v>
      </c>
      <c r="D232" s="108">
        <v>0</v>
      </c>
      <c r="E232" s="108">
        <v>0</v>
      </c>
      <c r="F232" s="108">
        <v>0</v>
      </c>
      <c r="G232" s="108">
        <v>0</v>
      </c>
      <c r="H232" s="108">
        <v>0</v>
      </c>
      <c r="I232" s="108">
        <v>0</v>
      </c>
      <c r="J232" s="108">
        <v>0</v>
      </c>
      <c r="K232" s="108">
        <v>0</v>
      </c>
      <c r="L232" s="108">
        <v>0</v>
      </c>
      <c r="M232" s="108">
        <v>0</v>
      </c>
      <c r="N232" s="108">
        <v>0</v>
      </c>
      <c r="O232" s="108">
        <v>0</v>
      </c>
      <c r="P232" s="108">
        <v>0</v>
      </c>
      <c r="Q232" s="108">
        <v>0</v>
      </c>
      <c r="R232" s="108">
        <v>0</v>
      </c>
      <c r="S232" s="108">
        <v>0</v>
      </c>
      <c r="T232" s="108">
        <v>0</v>
      </c>
      <c r="U232" s="108">
        <v>0</v>
      </c>
      <c r="V232" s="108">
        <v>0</v>
      </c>
      <c r="W232" s="108">
        <v>0</v>
      </c>
      <c r="X232" s="108">
        <v>0</v>
      </c>
      <c r="Y232" s="108">
        <v>0</v>
      </c>
      <c r="Z232" s="108">
        <v>0</v>
      </c>
      <c r="AA232" s="108">
        <v>0</v>
      </c>
      <c r="AB232" s="108">
        <v>0</v>
      </c>
      <c r="AC232" s="108">
        <v>0</v>
      </c>
      <c r="AD232" s="108">
        <v>0</v>
      </c>
      <c r="AE232" s="108">
        <v>0</v>
      </c>
      <c r="AF232" s="108">
        <v>0</v>
      </c>
      <c r="AG232" s="108">
        <v>0</v>
      </c>
      <c r="AH232" s="108">
        <v>0</v>
      </c>
      <c r="AI232" s="108">
        <v>0</v>
      </c>
      <c r="AJ232" s="108">
        <v>0</v>
      </c>
      <c r="AK232" s="108">
        <v>0</v>
      </c>
      <c r="AL232" s="108">
        <v>0</v>
      </c>
      <c r="AM232" s="108">
        <v>0</v>
      </c>
      <c r="AN232" s="108">
        <v>0</v>
      </c>
      <c r="AO232" s="108">
        <v>0</v>
      </c>
      <c r="AP232" s="108">
        <v>0</v>
      </c>
      <c r="AQ232" s="108">
        <v>0</v>
      </c>
      <c r="AR232" s="108">
        <v>0</v>
      </c>
      <c r="AS232" s="108">
        <v>0</v>
      </c>
      <c r="AT232" s="108">
        <v>0</v>
      </c>
      <c r="AU232" s="108">
        <v>0</v>
      </c>
      <c r="AV232" s="108">
        <v>0</v>
      </c>
      <c r="AW232" s="108">
        <v>0</v>
      </c>
      <c r="AX232" s="108">
        <v>0</v>
      </c>
      <c r="AY232" s="108">
        <v>0</v>
      </c>
    </row>
    <row r="233" spans="1:51">
      <c r="A233" s="107"/>
      <c r="B233" s="124">
        <v>25</v>
      </c>
      <c r="C233" s="104">
        <v>0</v>
      </c>
      <c r="D233" s="108">
        <v>0</v>
      </c>
      <c r="E233" s="108">
        <v>0</v>
      </c>
      <c r="F233" s="108">
        <v>0</v>
      </c>
      <c r="G233" s="108">
        <v>0</v>
      </c>
      <c r="H233" s="108">
        <v>0</v>
      </c>
      <c r="I233" s="108">
        <v>0</v>
      </c>
      <c r="J233" s="108">
        <v>0</v>
      </c>
      <c r="K233" s="108">
        <v>0</v>
      </c>
      <c r="L233" s="108">
        <v>0</v>
      </c>
      <c r="M233" s="108">
        <v>0</v>
      </c>
      <c r="N233" s="108">
        <v>0</v>
      </c>
      <c r="O233" s="108">
        <v>0</v>
      </c>
      <c r="P233" s="108">
        <v>0</v>
      </c>
      <c r="Q233" s="108">
        <v>0</v>
      </c>
      <c r="R233" s="108">
        <v>0</v>
      </c>
      <c r="S233" s="108">
        <v>0</v>
      </c>
      <c r="T233" s="108">
        <v>0</v>
      </c>
      <c r="U233" s="108">
        <v>0</v>
      </c>
      <c r="V233" s="108">
        <v>0</v>
      </c>
      <c r="W233" s="108">
        <v>0</v>
      </c>
      <c r="X233" s="108">
        <v>0</v>
      </c>
      <c r="Y233" s="108">
        <v>0</v>
      </c>
      <c r="Z233" s="108">
        <v>0</v>
      </c>
      <c r="AA233" s="108">
        <v>0</v>
      </c>
      <c r="AB233" s="108">
        <v>0</v>
      </c>
      <c r="AC233" s="108">
        <v>0</v>
      </c>
      <c r="AD233" s="108">
        <v>0</v>
      </c>
      <c r="AE233" s="108">
        <v>0</v>
      </c>
      <c r="AF233" s="108">
        <v>0</v>
      </c>
      <c r="AG233" s="108">
        <v>0</v>
      </c>
      <c r="AH233" s="108">
        <v>0</v>
      </c>
      <c r="AI233" s="108">
        <v>0</v>
      </c>
      <c r="AJ233" s="108">
        <v>0</v>
      </c>
      <c r="AK233" s="108">
        <v>0</v>
      </c>
      <c r="AL233" s="108">
        <v>0</v>
      </c>
      <c r="AM233" s="108">
        <v>0</v>
      </c>
      <c r="AN233" s="108">
        <v>0</v>
      </c>
      <c r="AO233" s="108">
        <v>0</v>
      </c>
      <c r="AP233" s="108">
        <v>0</v>
      </c>
      <c r="AQ233" s="108">
        <v>0</v>
      </c>
      <c r="AR233" s="108">
        <v>0</v>
      </c>
      <c r="AS233" s="108">
        <v>0</v>
      </c>
      <c r="AT233" s="108">
        <v>0</v>
      </c>
      <c r="AU233" s="108">
        <v>0</v>
      </c>
      <c r="AV233" s="108">
        <v>0</v>
      </c>
      <c r="AW233" s="108">
        <v>0</v>
      </c>
      <c r="AX233" s="108">
        <v>0</v>
      </c>
      <c r="AY233" s="108">
        <v>0</v>
      </c>
    </row>
    <row r="234" spans="1:51">
      <c r="A234" s="107"/>
      <c r="B234" s="124">
        <v>26</v>
      </c>
      <c r="C234" s="104">
        <v>0</v>
      </c>
      <c r="D234" s="108">
        <v>0</v>
      </c>
      <c r="E234" s="108">
        <v>0</v>
      </c>
      <c r="F234" s="108">
        <v>0</v>
      </c>
      <c r="G234" s="108">
        <v>0</v>
      </c>
      <c r="H234" s="108">
        <v>0</v>
      </c>
      <c r="I234" s="108">
        <v>0</v>
      </c>
      <c r="J234" s="108">
        <v>0</v>
      </c>
      <c r="K234" s="108">
        <v>0</v>
      </c>
      <c r="L234" s="108">
        <v>0</v>
      </c>
      <c r="M234" s="108">
        <v>0</v>
      </c>
      <c r="N234" s="108">
        <v>0</v>
      </c>
      <c r="O234" s="108">
        <v>0</v>
      </c>
      <c r="P234" s="108">
        <v>0</v>
      </c>
      <c r="Q234" s="108">
        <v>0</v>
      </c>
      <c r="R234" s="108">
        <v>0</v>
      </c>
      <c r="S234" s="108">
        <v>0</v>
      </c>
      <c r="T234" s="108">
        <v>0</v>
      </c>
      <c r="U234" s="108">
        <v>0</v>
      </c>
      <c r="V234" s="108">
        <v>0</v>
      </c>
      <c r="W234" s="108">
        <v>0</v>
      </c>
      <c r="X234" s="108">
        <v>0</v>
      </c>
      <c r="Y234" s="108">
        <v>0</v>
      </c>
      <c r="Z234" s="108">
        <v>0</v>
      </c>
      <c r="AA234" s="108">
        <v>0</v>
      </c>
      <c r="AB234" s="108">
        <v>0</v>
      </c>
      <c r="AC234" s="108">
        <v>0</v>
      </c>
      <c r="AD234" s="108">
        <v>0</v>
      </c>
      <c r="AE234" s="108">
        <v>0</v>
      </c>
      <c r="AF234" s="108">
        <v>0</v>
      </c>
      <c r="AG234" s="108">
        <v>0</v>
      </c>
      <c r="AH234" s="108">
        <v>0</v>
      </c>
      <c r="AI234" s="108">
        <v>0</v>
      </c>
      <c r="AJ234" s="108">
        <v>0</v>
      </c>
      <c r="AK234" s="108">
        <v>0</v>
      </c>
      <c r="AL234" s="108">
        <v>0</v>
      </c>
      <c r="AM234" s="108">
        <v>0</v>
      </c>
      <c r="AN234" s="108">
        <v>0</v>
      </c>
      <c r="AO234" s="108">
        <v>0</v>
      </c>
      <c r="AP234" s="108">
        <v>0</v>
      </c>
      <c r="AQ234" s="108">
        <v>0</v>
      </c>
      <c r="AR234" s="108">
        <v>0</v>
      </c>
      <c r="AS234" s="108">
        <v>0</v>
      </c>
      <c r="AT234" s="108">
        <v>0</v>
      </c>
      <c r="AU234" s="108">
        <v>0</v>
      </c>
      <c r="AV234" s="108">
        <v>0</v>
      </c>
      <c r="AW234" s="108">
        <v>0</v>
      </c>
      <c r="AX234" s="108">
        <v>0</v>
      </c>
      <c r="AY234" s="108">
        <v>0</v>
      </c>
    </row>
    <row r="235" spans="1:51">
      <c r="A235" s="107"/>
      <c r="B235" s="124">
        <v>27</v>
      </c>
      <c r="C235" s="104">
        <v>0</v>
      </c>
      <c r="D235" s="108">
        <v>0</v>
      </c>
      <c r="E235" s="108">
        <v>0</v>
      </c>
      <c r="F235" s="108">
        <v>0</v>
      </c>
      <c r="G235" s="108">
        <v>0</v>
      </c>
      <c r="H235" s="108">
        <v>0</v>
      </c>
      <c r="I235" s="108">
        <v>0</v>
      </c>
      <c r="J235" s="108">
        <v>0</v>
      </c>
      <c r="K235" s="108">
        <v>0</v>
      </c>
      <c r="L235" s="108">
        <v>0</v>
      </c>
      <c r="M235" s="108">
        <v>0</v>
      </c>
      <c r="N235" s="108">
        <v>0</v>
      </c>
      <c r="O235" s="108">
        <v>0</v>
      </c>
      <c r="P235" s="108">
        <v>0</v>
      </c>
      <c r="Q235" s="108">
        <v>0</v>
      </c>
      <c r="R235" s="108">
        <v>0</v>
      </c>
      <c r="S235" s="108">
        <v>0</v>
      </c>
      <c r="T235" s="108">
        <v>0</v>
      </c>
      <c r="U235" s="108">
        <v>0</v>
      </c>
      <c r="V235" s="108">
        <v>0</v>
      </c>
      <c r="W235" s="108">
        <v>0</v>
      </c>
      <c r="X235" s="108">
        <v>0</v>
      </c>
      <c r="Y235" s="108">
        <v>0</v>
      </c>
      <c r="Z235" s="108">
        <v>0</v>
      </c>
      <c r="AA235" s="108">
        <v>0</v>
      </c>
      <c r="AB235" s="108">
        <v>0</v>
      </c>
      <c r="AC235" s="108">
        <v>0</v>
      </c>
      <c r="AD235" s="108">
        <v>0</v>
      </c>
      <c r="AE235" s="108">
        <v>0</v>
      </c>
      <c r="AF235" s="108">
        <v>0</v>
      </c>
      <c r="AG235" s="108">
        <v>0</v>
      </c>
      <c r="AH235" s="108">
        <v>0</v>
      </c>
      <c r="AI235" s="108">
        <v>0</v>
      </c>
      <c r="AJ235" s="108">
        <v>0</v>
      </c>
      <c r="AK235" s="108">
        <v>0</v>
      </c>
      <c r="AL235" s="108">
        <v>0</v>
      </c>
      <c r="AM235" s="108">
        <v>0</v>
      </c>
      <c r="AN235" s="108">
        <v>0</v>
      </c>
      <c r="AO235" s="108">
        <v>0</v>
      </c>
      <c r="AP235" s="108">
        <v>0</v>
      </c>
      <c r="AQ235" s="108">
        <v>0</v>
      </c>
      <c r="AR235" s="108">
        <v>0</v>
      </c>
      <c r="AS235" s="108">
        <v>0</v>
      </c>
      <c r="AT235" s="108">
        <v>0</v>
      </c>
      <c r="AU235" s="108">
        <v>0</v>
      </c>
      <c r="AV235" s="108">
        <v>0</v>
      </c>
      <c r="AW235" s="108">
        <v>0</v>
      </c>
      <c r="AX235" s="108">
        <v>0</v>
      </c>
      <c r="AY235" s="108">
        <v>0</v>
      </c>
    </row>
    <row r="236" spans="1:51">
      <c r="A236" s="107"/>
      <c r="B236" s="124">
        <v>28</v>
      </c>
      <c r="C236" s="104">
        <v>0</v>
      </c>
      <c r="D236" s="108">
        <v>0</v>
      </c>
      <c r="E236" s="108">
        <v>0</v>
      </c>
      <c r="F236" s="108">
        <v>0</v>
      </c>
      <c r="G236" s="108">
        <v>0</v>
      </c>
      <c r="H236" s="108">
        <v>0</v>
      </c>
      <c r="I236" s="108">
        <v>0</v>
      </c>
      <c r="J236" s="108">
        <v>0</v>
      </c>
      <c r="K236" s="108">
        <v>0</v>
      </c>
      <c r="L236" s="108">
        <v>0</v>
      </c>
      <c r="M236" s="108">
        <v>0</v>
      </c>
      <c r="N236" s="108">
        <v>0</v>
      </c>
      <c r="O236" s="108">
        <v>0</v>
      </c>
      <c r="P236" s="108">
        <v>0</v>
      </c>
      <c r="Q236" s="108">
        <v>0</v>
      </c>
      <c r="R236" s="108">
        <v>0</v>
      </c>
      <c r="S236" s="108">
        <v>0</v>
      </c>
      <c r="T236" s="108">
        <v>0</v>
      </c>
      <c r="U236" s="108">
        <v>0</v>
      </c>
      <c r="V236" s="108">
        <v>0</v>
      </c>
      <c r="W236" s="108">
        <v>0</v>
      </c>
      <c r="X236" s="108">
        <v>0</v>
      </c>
      <c r="Y236" s="108">
        <v>0</v>
      </c>
      <c r="Z236" s="108">
        <v>0</v>
      </c>
      <c r="AA236" s="108">
        <v>0</v>
      </c>
      <c r="AB236" s="108">
        <v>0</v>
      </c>
      <c r="AC236" s="108">
        <v>0</v>
      </c>
      <c r="AD236" s="108">
        <v>0</v>
      </c>
      <c r="AE236" s="108">
        <v>0</v>
      </c>
      <c r="AF236" s="108">
        <v>0</v>
      </c>
      <c r="AG236" s="108">
        <v>0</v>
      </c>
      <c r="AH236" s="108">
        <v>0</v>
      </c>
      <c r="AI236" s="108">
        <v>0</v>
      </c>
      <c r="AJ236" s="108">
        <v>0</v>
      </c>
      <c r="AK236" s="108">
        <v>0</v>
      </c>
      <c r="AL236" s="108">
        <v>0</v>
      </c>
      <c r="AM236" s="108">
        <v>0</v>
      </c>
      <c r="AN236" s="108">
        <v>0</v>
      </c>
      <c r="AO236" s="108">
        <v>0</v>
      </c>
      <c r="AP236" s="108">
        <v>0</v>
      </c>
      <c r="AQ236" s="108">
        <v>0</v>
      </c>
      <c r="AR236" s="108">
        <v>0</v>
      </c>
      <c r="AS236" s="108">
        <v>0</v>
      </c>
      <c r="AT236" s="108">
        <v>0</v>
      </c>
      <c r="AU236" s="108">
        <v>0</v>
      </c>
      <c r="AV236" s="108">
        <v>0</v>
      </c>
      <c r="AW236" s="108">
        <v>0</v>
      </c>
      <c r="AX236" s="108">
        <v>0</v>
      </c>
      <c r="AY236" s="108">
        <v>0</v>
      </c>
    </row>
    <row r="237" spans="1:51">
      <c r="A237" s="107"/>
      <c r="B237" s="124">
        <v>29</v>
      </c>
      <c r="C237" s="104">
        <v>0</v>
      </c>
      <c r="D237" s="108">
        <v>0</v>
      </c>
      <c r="E237" s="108">
        <v>0</v>
      </c>
      <c r="F237" s="108">
        <v>0</v>
      </c>
      <c r="G237" s="108">
        <v>0</v>
      </c>
      <c r="H237" s="108">
        <v>0</v>
      </c>
      <c r="I237" s="108">
        <v>0</v>
      </c>
      <c r="J237" s="108">
        <v>0</v>
      </c>
      <c r="K237" s="108">
        <v>0</v>
      </c>
      <c r="L237" s="108">
        <v>0</v>
      </c>
      <c r="M237" s="108">
        <v>0</v>
      </c>
      <c r="N237" s="108">
        <v>0</v>
      </c>
      <c r="O237" s="108">
        <v>0</v>
      </c>
      <c r="P237" s="108">
        <v>0</v>
      </c>
      <c r="Q237" s="108">
        <v>0</v>
      </c>
      <c r="R237" s="108">
        <v>0</v>
      </c>
      <c r="S237" s="108">
        <v>0</v>
      </c>
      <c r="T237" s="108">
        <v>0</v>
      </c>
      <c r="U237" s="108">
        <v>0</v>
      </c>
      <c r="V237" s="108">
        <v>0</v>
      </c>
      <c r="W237" s="108">
        <v>0</v>
      </c>
      <c r="X237" s="108">
        <v>0</v>
      </c>
      <c r="Y237" s="108">
        <v>0</v>
      </c>
      <c r="Z237" s="108">
        <v>0</v>
      </c>
      <c r="AA237" s="108">
        <v>0</v>
      </c>
      <c r="AB237" s="108">
        <v>0</v>
      </c>
      <c r="AC237" s="108">
        <v>0</v>
      </c>
      <c r="AD237" s="108">
        <v>0</v>
      </c>
      <c r="AE237" s="108">
        <v>0</v>
      </c>
      <c r="AF237" s="108">
        <v>0</v>
      </c>
      <c r="AG237" s="108">
        <v>0</v>
      </c>
      <c r="AH237" s="108">
        <v>0</v>
      </c>
      <c r="AI237" s="108">
        <v>0</v>
      </c>
      <c r="AJ237" s="108">
        <v>0</v>
      </c>
      <c r="AK237" s="108">
        <v>0</v>
      </c>
      <c r="AL237" s="108">
        <v>0</v>
      </c>
      <c r="AM237" s="108">
        <v>0</v>
      </c>
      <c r="AN237" s="108">
        <v>0</v>
      </c>
      <c r="AO237" s="108">
        <v>0</v>
      </c>
      <c r="AP237" s="108">
        <v>0</v>
      </c>
      <c r="AQ237" s="108">
        <v>0</v>
      </c>
      <c r="AR237" s="108">
        <v>0</v>
      </c>
      <c r="AS237" s="108">
        <v>0</v>
      </c>
      <c r="AT237" s="108">
        <v>0</v>
      </c>
      <c r="AU237" s="108">
        <v>0</v>
      </c>
      <c r="AV237" s="108">
        <v>0</v>
      </c>
      <c r="AW237" s="108">
        <v>0</v>
      </c>
      <c r="AX237" s="108">
        <v>0</v>
      </c>
      <c r="AY237" s="108">
        <v>0</v>
      </c>
    </row>
    <row r="238" spans="1:51">
      <c r="A238" s="107"/>
      <c r="B238" s="124">
        <v>30</v>
      </c>
      <c r="C238" s="104">
        <v>0</v>
      </c>
      <c r="D238" s="108">
        <v>0</v>
      </c>
      <c r="E238" s="108">
        <v>0</v>
      </c>
      <c r="F238" s="108">
        <v>0</v>
      </c>
      <c r="G238" s="108">
        <v>0</v>
      </c>
      <c r="H238" s="108">
        <v>0</v>
      </c>
      <c r="I238" s="108">
        <v>0</v>
      </c>
      <c r="J238" s="108">
        <v>0</v>
      </c>
      <c r="K238" s="108">
        <v>0</v>
      </c>
      <c r="L238" s="108">
        <v>0</v>
      </c>
      <c r="M238" s="108">
        <v>0</v>
      </c>
      <c r="N238" s="108">
        <v>0</v>
      </c>
      <c r="O238" s="108">
        <v>0</v>
      </c>
      <c r="P238" s="108">
        <v>0</v>
      </c>
      <c r="Q238" s="108">
        <v>0</v>
      </c>
      <c r="R238" s="108">
        <v>0</v>
      </c>
      <c r="S238" s="108">
        <v>0</v>
      </c>
      <c r="T238" s="108">
        <v>0</v>
      </c>
      <c r="U238" s="108">
        <v>0</v>
      </c>
      <c r="V238" s="108">
        <v>0</v>
      </c>
      <c r="W238" s="108">
        <v>0</v>
      </c>
      <c r="X238" s="108">
        <v>0</v>
      </c>
      <c r="Y238" s="108">
        <v>0</v>
      </c>
      <c r="Z238" s="108">
        <v>0</v>
      </c>
      <c r="AA238" s="108">
        <v>0</v>
      </c>
      <c r="AB238" s="108">
        <v>0</v>
      </c>
      <c r="AC238" s="108">
        <v>0</v>
      </c>
      <c r="AD238" s="108">
        <v>0</v>
      </c>
      <c r="AE238" s="108">
        <v>0</v>
      </c>
      <c r="AF238" s="108">
        <v>0</v>
      </c>
      <c r="AG238" s="108">
        <v>0</v>
      </c>
      <c r="AH238" s="108">
        <v>0</v>
      </c>
      <c r="AI238" s="108">
        <v>0</v>
      </c>
      <c r="AJ238" s="108">
        <v>0</v>
      </c>
      <c r="AK238" s="108">
        <v>0</v>
      </c>
      <c r="AL238" s="108">
        <v>0</v>
      </c>
      <c r="AM238" s="108">
        <v>0</v>
      </c>
      <c r="AN238" s="108">
        <v>0</v>
      </c>
      <c r="AO238" s="108">
        <v>0</v>
      </c>
      <c r="AP238" s="108">
        <v>0</v>
      </c>
      <c r="AQ238" s="108">
        <v>0</v>
      </c>
      <c r="AR238" s="108">
        <v>0</v>
      </c>
      <c r="AS238" s="108">
        <v>0</v>
      </c>
      <c r="AT238" s="108">
        <v>0</v>
      </c>
      <c r="AU238" s="108">
        <v>0</v>
      </c>
      <c r="AV238" s="108">
        <v>0</v>
      </c>
      <c r="AW238" s="108">
        <v>0</v>
      </c>
      <c r="AX238" s="108">
        <v>0</v>
      </c>
      <c r="AY238" s="108">
        <v>0</v>
      </c>
    </row>
    <row r="239" spans="1:51">
      <c r="A239" s="107"/>
      <c r="B239" s="124">
        <v>31</v>
      </c>
      <c r="C239" s="104">
        <v>0</v>
      </c>
      <c r="D239" s="108">
        <v>0</v>
      </c>
      <c r="E239" s="108">
        <v>0</v>
      </c>
      <c r="F239" s="108">
        <v>0</v>
      </c>
      <c r="G239" s="108">
        <v>0</v>
      </c>
      <c r="H239" s="108">
        <v>0</v>
      </c>
      <c r="I239" s="108">
        <v>0</v>
      </c>
      <c r="J239" s="108">
        <v>0</v>
      </c>
      <c r="K239" s="108">
        <v>0</v>
      </c>
      <c r="L239" s="108">
        <v>0</v>
      </c>
      <c r="M239" s="108">
        <v>0</v>
      </c>
      <c r="N239" s="108">
        <v>0</v>
      </c>
      <c r="O239" s="108">
        <v>0</v>
      </c>
      <c r="P239" s="108">
        <v>0</v>
      </c>
      <c r="Q239" s="108">
        <v>0</v>
      </c>
      <c r="R239" s="108">
        <v>0</v>
      </c>
      <c r="S239" s="108">
        <v>0</v>
      </c>
      <c r="T239" s="108">
        <v>0</v>
      </c>
      <c r="U239" s="108">
        <v>0</v>
      </c>
      <c r="V239" s="108">
        <v>0</v>
      </c>
      <c r="W239" s="108">
        <v>0</v>
      </c>
      <c r="X239" s="108">
        <v>0</v>
      </c>
      <c r="Y239" s="108">
        <v>0</v>
      </c>
      <c r="Z239" s="108">
        <v>0</v>
      </c>
      <c r="AA239" s="108">
        <v>0</v>
      </c>
      <c r="AB239" s="108">
        <v>0</v>
      </c>
      <c r="AC239" s="108">
        <v>0</v>
      </c>
      <c r="AD239" s="108">
        <v>0</v>
      </c>
      <c r="AE239" s="108">
        <v>0</v>
      </c>
      <c r="AF239" s="108">
        <v>0</v>
      </c>
      <c r="AG239" s="108">
        <v>0</v>
      </c>
      <c r="AH239" s="108">
        <v>0</v>
      </c>
      <c r="AI239" s="108">
        <v>0</v>
      </c>
      <c r="AJ239" s="108">
        <v>0</v>
      </c>
      <c r="AK239" s="108">
        <v>0</v>
      </c>
      <c r="AL239" s="108">
        <v>0</v>
      </c>
      <c r="AM239" s="108">
        <v>0</v>
      </c>
      <c r="AN239" s="108">
        <v>0</v>
      </c>
      <c r="AO239" s="108">
        <v>0</v>
      </c>
      <c r="AP239" s="108">
        <v>0</v>
      </c>
      <c r="AQ239" s="108">
        <v>0</v>
      </c>
      <c r="AR239" s="108">
        <v>0</v>
      </c>
      <c r="AS239" s="108">
        <v>0</v>
      </c>
      <c r="AT239" s="108">
        <v>0</v>
      </c>
      <c r="AU239" s="108">
        <v>0</v>
      </c>
      <c r="AV239" s="108">
        <v>0</v>
      </c>
      <c r="AW239" s="108">
        <v>0</v>
      </c>
      <c r="AX239" s="108">
        <v>0</v>
      </c>
      <c r="AY239" s="108">
        <v>0</v>
      </c>
    </row>
    <row r="240" spans="1:51">
      <c r="A240" s="107"/>
      <c r="B240" s="124">
        <v>32</v>
      </c>
      <c r="C240" s="104">
        <v>0</v>
      </c>
      <c r="D240" s="108">
        <v>0</v>
      </c>
      <c r="E240" s="108">
        <v>0</v>
      </c>
      <c r="F240" s="108">
        <v>0</v>
      </c>
      <c r="G240" s="108">
        <v>0</v>
      </c>
      <c r="H240" s="108">
        <v>0</v>
      </c>
      <c r="I240" s="108">
        <v>0</v>
      </c>
      <c r="J240" s="108">
        <v>0</v>
      </c>
      <c r="K240" s="108">
        <v>0</v>
      </c>
      <c r="L240" s="108">
        <v>0</v>
      </c>
      <c r="M240" s="108">
        <v>0</v>
      </c>
      <c r="N240" s="108">
        <v>0</v>
      </c>
      <c r="O240" s="108">
        <v>0</v>
      </c>
      <c r="P240" s="108">
        <v>0</v>
      </c>
      <c r="Q240" s="108">
        <v>0</v>
      </c>
      <c r="R240" s="108">
        <v>0</v>
      </c>
      <c r="S240" s="108">
        <v>0</v>
      </c>
      <c r="T240" s="108">
        <v>0</v>
      </c>
      <c r="U240" s="108">
        <v>0</v>
      </c>
      <c r="V240" s="108">
        <v>0</v>
      </c>
      <c r="W240" s="108">
        <v>0</v>
      </c>
      <c r="X240" s="108">
        <v>0</v>
      </c>
      <c r="Y240" s="108">
        <v>0</v>
      </c>
      <c r="Z240" s="108">
        <v>0</v>
      </c>
      <c r="AA240" s="108">
        <v>0</v>
      </c>
      <c r="AB240" s="108">
        <v>0</v>
      </c>
      <c r="AC240" s="108">
        <v>0</v>
      </c>
      <c r="AD240" s="108">
        <v>0</v>
      </c>
      <c r="AE240" s="108">
        <v>0</v>
      </c>
      <c r="AF240" s="108">
        <v>0</v>
      </c>
      <c r="AG240" s="108">
        <v>0</v>
      </c>
      <c r="AH240" s="108">
        <v>0</v>
      </c>
      <c r="AI240" s="108">
        <v>0</v>
      </c>
      <c r="AJ240" s="108">
        <v>0</v>
      </c>
      <c r="AK240" s="108">
        <v>0</v>
      </c>
      <c r="AL240" s="108">
        <v>0</v>
      </c>
      <c r="AM240" s="108">
        <v>0</v>
      </c>
      <c r="AN240" s="108">
        <v>0</v>
      </c>
      <c r="AO240" s="108">
        <v>0</v>
      </c>
      <c r="AP240" s="108">
        <v>0</v>
      </c>
      <c r="AQ240" s="108">
        <v>0</v>
      </c>
      <c r="AR240" s="108">
        <v>0</v>
      </c>
      <c r="AS240" s="108">
        <v>0</v>
      </c>
      <c r="AT240" s="108">
        <v>0</v>
      </c>
      <c r="AU240" s="108">
        <v>0</v>
      </c>
      <c r="AV240" s="108">
        <v>0</v>
      </c>
      <c r="AW240" s="108">
        <v>0</v>
      </c>
      <c r="AX240" s="108">
        <v>0</v>
      </c>
      <c r="AY240" s="108">
        <v>0</v>
      </c>
    </row>
    <row r="241" spans="1:51">
      <c r="A241" s="107"/>
      <c r="B241" s="124">
        <v>33</v>
      </c>
      <c r="C241" s="104">
        <v>0</v>
      </c>
      <c r="D241" s="108">
        <v>0</v>
      </c>
      <c r="E241" s="108">
        <v>0</v>
      </c>
      <c r="F241" s="108">
        <v>0</v>
      </c>
      <c r="G241" s="108">
        <v>0</v>
      </c>
      <c r="H241" s="108">
        <v>0</v>
      </c>
      <c r="I241" s="108">
        <v>0</v>
      </c>
      <c r="J241" s="108">
        <v>0</v>
      </c>
      <c r="K241" s="108">
        <v>0</v>
      </c>
      <c r="L241" s="108">
        <v>0</v>
      </c>
      <c r="M241" s="108">
        <v>0</v>
      </c>
      <c r="N241" s="108">
        <v>0</v>
      </c>
      <c r="O241" s="108">
        <v>0</v>
      </c>
      <c r="P241" s="108">
        <v>0</v>
      </c>
      <c r="Q241" s="108">
        <v>0</v>
      </c>
      <c r="R241" s="108">
        <v>0</v>
      </c>
      <c r="S241" s="108">
        <v>0</v>
      </c>
      <c r="T241" s="108">
        <v>0</v>
      </c>
      <c r="U241" s="108">
        <v>0</v>
      </c>
      <c r="V241" s="108">
        <v>0</v>
      </c>
      <c r="W241" s="108">
        <v>0</v>
      </c>
      <c r="X241" s="108">
        <v>0</v>
      </c>
      <c r="Y241" s="108">
        <v>0</v>
      </c>
      <c r="Z241" s="108">
        <v>0</v>
      </c>
      <c r="AA241" s="108">
        <v>0</v>
      </c>
      <c r="AB241" s="108">
        <v>0</v>
      </c>
      <c r="AC241" s="108">
        <v>0</v>
      </c>
      <c r="AD241" s="108">
        <v>0</v>
      </c>
      <c r="AE241" s="108">
        <v>0</v>
      </c>
      <c r="AF241" s="108">
        <v>0</v>
      </c>
      <c r="AG241" s="108">
        <v>0</v>
      </c>
      <c r="AH241" s="108">
        <v>0</v>
      </c>
      <c r="AI241" s="108">
        <v>0</v>
      </c>
      <c r="AJ241" s="108">
        <v>0</v>
      </c>
      <c r="AK241" s="108">
        <v>0</v>
      </c>
      <c r="AL241" s="108">
        <v>0</v>
      </c>
      <c r="AM241" s="108">
        <v>0</v>
      </c>
      <c r="AN241" s="108">
        <v>0</v>
      </c>
      <c r="AO241" s="108">
        <v>0</v>
      </c>
      <c r="AP241" s="108">
        <v>0</v>
      </c>
      <c r="AQ241" s="108">
        <v>0</v>
      </c>
      <c r="AR241" s="108">
        <v>0</v>
      </c>
      <c r="AS241" s="108">
        <v>0</v>
      </c>
      <c r="AT241" s="108">
        <v>0</v>
      </c>
      <c r="AU241" s="108">
        <v>0</v>
      </c>
      <c r="AV241" s="108">
        <v>0</v>
      </c>
      <c r="AW241" s="108">
        <v>0</v>
      </c>
      <c r="AX241" s="108">
        <v>0</v>
      </c>
      <c r="AY241" s="108">
        <v>0</v>
      </c>
    </row>
    <row r="242" spans="1:51">
      <c r="A242" s="107"/>
      <c r="B242" s="124">
        <v>34</v>
      </c>
      <c r="C242" s="104">
        <v>0</v>
      </c>
      <c r="D242" s="108">
        <v>0</v>
      </c>
      <c r="E242" s="108">
        <v>0</v>
      </c>
      <c r="F242" s="108">
        <v>0</v>
      </c>
      <c r="G242" s="108">
        <v>0</v>
      </c>
      <c r="H242" s="108">
        <v>0</v>
      </c>
      <c r="I242" s="108">
        <v>0</v>
      </c>
      <c r="J242" s="108">
        <v>0</v>
      </c>
      <c r="K242" s="108">
        <v>0</v>
      </c>
      <c r="L242" s="108">
        <v>0</v>
      </c>
      <c r="M242" s="108">
        <v>0</v>
      </c>
      <c r="N242" s="108">
        <v>0</v>
      </c>
      <c r="O242" s="108">
        <v>0</v>
      </c>
      <c r="P242" s="108">
        <v>0</v>
      </c>
      <c r="Q242" s="108">
        <v>0</v>
      </c>
      <c r="R242" s="108">
        <v>0</v>
      </c>
      <c r="S242" s="108">
        <v>0</v>
      </c>
      <c r="T242" s="108">
        <v>0</v>
      </c>
      <c r="U242" s="108">
        <v>0</v>
      </c>
      <c r="V242" s="108">
        <v>0</v>
      </c>
      <c r="W242" s="108">
        <v>0</v>
      </c>
      <c r="X242" s="108">
        <v>0</v>
      </c>
      <c r="Y242" s="108">
        <v>0</v>
      </c>
      <c r="Z242" s="108">
        <v>0</v>
      </c>
      <c r="AA242" s="108">
        <v>0</v>
      </c>
      <c r="AB242" s="108">
        <v>0</v>
      </c>
      <c r="AC242" s="108">
        <v>0</v>
      </c>
      <c r="AD242" s="108">
        <v>0</v>
      </c>
      <c r="AE242" s="108">
        <v>0</v>
      </c>
      <c r="AF242" s="108">
        <v>0</v>
      </c>
      <c r="AG242" s="108">
        <v>0</v>
      </c>
      <c r="AH242" s="108">
        <v>0</v>
      </c>
      <c r="AI242" s="108">
        <v>0</v>
      </c>
      <c r="AJ242" s="108">
        <v>0</v>
      </c>
      <c r="AK242" s="108">
        <v>0</v>
      </c>
      <c r="AL242" s="108">
        <v>0</v>
      </c>
      <c r="AM242" s="108">
        <v>0</v>
      </c>
      <c r="AN242" s="108">
        <v>0</v>
      </c>
      <c r="AO242" s="108">
        <v>0</v>
      </c>
      <c r="AP242" s="108">
        <v>0</v>
      </c>
      <c r="AQ242" s="108">
        <v>0</v>
      </c>
      <c r="AR242" s="108">
        <v>0</v>
      </c>
      <c r="AS242" s="108">
        <v>0</v>
      </c>
      <c r="AT242" s="108">
        <v>0</v>
      </c>
      <c r="AU242" s="108">
        <v>0</v>
      </c>
      <c r="AV242" s="108">
        <v>0</v>
      </c>
      <c r="AW242" s="108">
        <v>0</v>
      </c>
      <c r="AX242" s="108">
        <v>0</v>
      </c>
      <c r="AY242" s="108">
        <v>0</v>
      </c>
    </row>
    <row r="243" spans="1:51">
      <c r="A243" s="107"/>
      <c r="B243" s="124">
        <v>35</v>
      </c>
      <c r="C243" s="104">
        <v>0</v>
      </c>
      <c r="D243" s="108">
        <v>0</v>
      </c>
      <c r="E243" s="108">
        <v>0</v>
      </c>
      <c r="F243" s="108">
        <v>0</v>
      </c>
      <c r="G243" s="108">
        <v>0</v>
      </c>
      <c r="H243" s="108">
        <v>0</v>
      </c>
      <c r="I243" s="108">
        <v>0</v>
      </c>
      <c r="J243" s="108">
        <v>0</v>
      </c>
      <c r="K243" s="108">
        <v>0</v>
      </c>
      <c r="L243" s="108">
        <v>0</v>
      </c>
      <c r="M243" s="108">
        <v>0</v>
      </c>
      <c r="N243" s="108">
        <v>0</v>
      </c>
      <c r="O243" s="108">
        <v>0</v>
      </c>
      <c r="P243" s="108">
        <v>0</v>
      </c>
      <c r="Q243" s="108">
        <v>0</v>
      </c>
      <c r="R243" s="108">
        <v>0</v>
      </c>
      <c r="S243" s="108">
        <v>0</v>
      </c>
      <c r="T243" s="108">
        <v>0</v>
      </c>
      <c r="U243" s="108">
        <v>0</v>
      </c>
      <c r="V243" s="108">
        <v>0</v>
      </c>
      <c r="W243" s="108">
        <v>0</v>
      </c>
      <c r="X243" s="108">
        <v>0</v>
      </c>
      <c r="Y243" s="108">
        <v>0</v>
      </c>
      <c r="Z243" s="108">
        <v>0</v>
      </c>
      <c r="AA243" s="108">
        <v>0</v>
      </c>
      <c r="AB243" s="108">
        <v>0</v>
      </c>
      <c r="AC243" s="108">
        <v>0</v>
      </c>
      <c r="AD243" s="108">
        <v>0</v>
      </c>
      <c r="AE243" s="108">
        <v>0</v>
      </c>
      <c r="AF243" s="108">
        <v>0</v>
      </c>
      <c r="AG243" s="108">
        <v>0</v>
      </c>
      <c r="AH243" s="108">
        <v>0</v>
      </c>
      <c r="AI243" s="108">
        <v>0</v>
      </c>
      <c r="AJ243" s="108">
        <v>0</v>
      </c>
      <c r="AK243" s="108">
        <v>0</v>
      </c>
      <c r="AL243" s="108">
        <v>0</v>
      </c>
      <c r="AM243" s="108">
        <v>0</v>
      </c>
      <c r="AN243" s="108">
        <v>0</v>
      </c>
      <c r="AO243" s="108">
        <v>0</v>
      </c>
      <c r="AP243" s="108">
        <v>0</v>
      </c>
      <c r="AQ243" s="108">
        <v>0</v>
      </c>
      <c r="AR243" s="108">
        <v>0</v>
      </c>
      <c r="AS243" s="108">
        <v>0</v>
      </c>
      <c r="AT243" s="108">
        <v>0</v>
      </c>
      <c r="AU243" s="108">
        <v>0</v>
      </c>
      <c r="AV243" s="108">
        <v>0</v>
      </c>
      <c r="AW243" s="108">
        <v>0</v>
      </c>
      <c r="AX243" s="108">
        <v>0</v>
      </c>
      <c r="AY243" s="108">
        <v>0</v>
      </c>
    </row>
    <row r="244" spans="1:51">
      <c r="A244" s="107"/>
      <c r="B244" s="124">
        <v>36</v>
      </c>
      <c r="C244" s="104">
        <v>0</v>
      </c>
      <c r="D244" s="108">
        <v>0</v>
      </c>
      <c r="E244" s="108">
        <v>0</v>
      </c>
      <c r="F244" s="108">
        <v>0</v>
      </c>
      <c r="G244" s="108">
        <v>0</v>
      </c>
      <c r="H244" s="108">
        <v>0</v>
      </c>
      <c r="I244" s="108">
        <v>0</v>
      </c>
      <c r="J244" s="108">
        <v>0</v>
      </c>
      <c r="K244" s="108">
        <v>0</v>
      </c>
      <c r="L244" s="108">
        <v>0</v>
      </c>
      <c r="M244" s="108">
        <v>0</v>
      </c>
      <c r="N244" s="108">
        <v>0</v>
      </c>
      <c r="O244" s="108">
        <v>0</v>
      </c>
      <c r="P244" s="108">
        <v>0</v>
      </c>
      <c r="Q244" s="108">
        <v>0</v>
      </c>
      <c r="R244" s="108">
        <v>0</v>
      </c>
      <c r="S244" s="108">
        <v>0</v>
      </c>
      <c r="T244" s="108">
        <v>0</v>
      </c>
      <c r="U244" s="108">
        <v>0</v>
      </c>
      <c r="V244" s="108">
        <v>0</v>
      </c>
      <c r="W244" s="108">
        <v>0</v>
      </c>
      <c r="X244" s="108">
        <v>0</v>
      </c>
      <c r="Y244" s="108">
        <v>0</v>
      </c>
      <c r="Z244" s="108">
        <v>0</v>
      </c>
      <c r="AA244" s="108">
        <v>0</v>
      </c>
      <c r="AB244" s="108">
        <v>0</v>
      </c>
      <c r="AC244" s="108">
        <v>0</v>
      </c>
      <c r="AD244" s="108">
        <v>0</v>
      </c>
      <c r="AE244" s="108">
        <v>0</v>
      </c>
      <c r="AF244" s="108">
        <v>0</v>
      </c>
      <c r="AG244" s="108">
        <v>0</v>
      </c>
      <c r="AH244" s="108">
        <v>0</v>
      </c>
      <c r="AI244" s="108">
        <v>0</v>
      </c>
      <c r="AJ244" s="108">
        <v>0</v>
      </c>
      <c r="AK244" s="108">
        <v>0</v>
      </c>
      <c r="AL244" s="108">
        <v>0</v>
      </c>
      <c r="AM244" s="108">
        <v>0</v>
      </c>
      <c r="AN244" s="108">
        <v>0</v>
      </c>
      <c r="AO244" s="108">
        <v>0</v>
      </c>
      <c r="AP244" s="108">
        <v>0</v>
      </c>
      <c r="AQ244" s="108">
        <v>0</v>
      </c>
      <c r="AR244" s="108">
        <v>0</v>
      </c>
      <c r="AS244" s="108">
        <v>0</v>
      </c>
      <c r="AT244" s="108">
        <v>0</v>
      </c>
      <c r="AU244" s="108">
        <v>0</v>
      </c>
      <c r="AV244" s="108">
        <v>0</v>
      </c>
      <c r="AW244" s="108">
        <v>0</v>
      </c>
      <c r="AX244" s="108">
        <v>0</v>
      </c>
      <c r="AY244" s="108">
        <v>0</v>
      </c>
    </row>
    <row r="245" spans="1:51">
      <c r="A245" s="107"/>
      <c r="B245" s="127">
        <v>37</v>
      </c>
      <c r="C245" s="104">
        <v>0</v>
      </c>
      <c r="D245" s="108">
        <v>0</v>
      </c>
      <c r="E245" s="108">
        <v>0</v>
      </c>
      <c r="F245" s="108">
        <v>0</v>
      </c>
      <c r="G245" s="108">
        <v>0</v>
      </c>
      <c r="H245" s="108">
        <v>0</v>
      </c>
      <c r="I245" s="108">
        <v>0</v>
      </c>
      <c r="J245" s="108">
        <v>0</v>
      </c>
      <c r="K245" s="108">
        <v>0</v>
      </c>
      <c r="L245" s="108">
        <v>0</v>
      </c>
      <c r="M245" s="108">
        <v>0</v>
      </c>
      <c r="N245" s="108">
        <v>0</v>
      </c>
      <c r="O245" s="108">
        <v>0</v>
      </c>
      <c r="P245" s="108">
        <v>0</v>
      </c>
      <c r="Q245" s="108">
        <v>0</v>
      </c>
      <c r="R245" s="108">
        <v>0</v>
      </c>
      <c r="S245" s="108">
        <v>0</v>
      </c>
      <c r="T245" s="108">
        <v>0</v>
      </c>
      <c r="U245" s="108">
        <v>0</v>
      </c>
      <c r="V245" s="108">
        <v>0</v>
      </c>
      <c r="W245" s="108">
        <v>0</v>
      </c>
      <c r="X245" s="108">
        <v>0</v>
      </c>
      <c r="Y245" s="108">
        <v>0</v>
      </c>
      <c r="Z245" s="108">
        <v>0</v>
      </c>
      <c r="AA245" s="108">
        <v>0</v>
      </c>
      <c r="AB245" s="108">
        <v>0</v>
      </c>
      <c r="AC245" s="108">
        <v>0</v>
      </c>
      <c r="AD245" s="108">
        <v>0</v>
      </c>
      <c r="AE245" s="108">
        <v>0</v>
      </c>
      <c r="AF245" s="108">
        <v>0</v>
      </c>
      <c r="AG245" s="108">
        <v>0</v>
      </c>
      <c r="AH245" s="108">
        <v>0</v>
      </c>
      <c r="AI245" s="108">
        <v>0</v>
      </c>
      <c r="AJ245" s="108">
        <v>0</v>
      </c>
      <c r="AK245" s="108">
        <v>0</v>
      </c>
      <c r="AL245" s="108">
        <v>0</v>
      </c>
      <c r="AM245" s="108">
        <v>0</v>
      </c>
      <c r="AN245" s="108">
        <v>0</v>
      </c>
      <c r="AO245" s="108">
        <v>0</v>
      </c>
      <c r="AP245" s="108">
        <v>0</v>
      </c>
      <c r="AQ245" s="108">
        <v>0</v>
      </c>
      <c r="AR245" s="108">
        <v>0</v>
      </c>
      <c r="AS245" s="108">
        <v>0</v>
      </c>
      <c r="AT245" s="108">
        <v>0</v>
      </c>
      <c r="AU245" s="108">
        <v>0</v>
      </c>
      <c r="AV245" s="108">
        <v>0</v>
      </c>
      <c r="AW245" s="108">
        <v>0</v>
      </c>
      <c r="AX245" s="108">
        <v>0</v>
      </c>
      <c r="AY245" s="108">
        <v>0</v>
      </c>
    </row>
    <row r="246" spans="1:51">
      <c r="A246" s="107"/>
      <c r="B246" s="127">
        <v>38</v>
      </c>
      <c r="C246" s="104">
        <v>0</v>
      </c>
      <c r="D246" s="108">
        <v>0</v>
      </c>
      <c r="E246" s="108">
        <v>0</v>
      </c>
      <c r="F246" s="108">
        <v>0</v>
      </c>
      <c r="G246" s="108">
        <v>0</v>
      </c>
      <c r="H246" s="108">
        <v>0</v>
      </c>
      <c r="I246" s="108">
        <v>0</v>
      </c>
      <c r="J246" s="108">
        <v>0</v>
      </c>
      <c r="K246" s="108">
        <v>0</v>
      </c>
      <c r="L246" s="108">
        <v>0</v>
      </c>
      <c r="M246" s="108">
        <v>0</v>
      </c>
      <c r="N246" s="108">
        <v>0</v>
      </c>
      <c r="O246" s="108">
        <v>0</v>
      </c>
      <c r="P246" s="108">
        <v>0</v>
      </c>
      <c r="Q246" s="108">
        <v>0</v>
      </c>
      <c r="R246" s="108">
        <v>0</v>
      </c>
      <c r="S246" s="108">
        <v>0</v>
      </c>
      <c r="T246" s="108">
        <v>0</v>
      </c>
      <c r="U246" s="108">
        <v>0</v>
      </c>
      <c r="V246" s="108">
        <v>0</v>
      </c>
      <c r="W246" s="108">
        <v>0</v>
      </c>
      <c r="X246" s="108">
        <v>0</v>
      </c>
      <c r="Y246" s="108">
        <v>0</v>
      </c>
      <c r="Z246" s="108">
        <v>0</v>
      </c>
      <c r="AA246" s="108">
        <v>0</v>
      </c>
      <c r="AB246" s="108">
        <v>0</v>
      </c>
      <c r="AC246" s="108">
        <v>0</v>
      </c>
      <c r="AD246" s="108">
        <v>0</v>
      </c>
      <c r="AE246" s="108">
        <v>0</v>
      </c>
      <c r="AF246" s="108">
        <v>0</v>
      </c>
      <c r="AG246" s="108">
        <v>0</v>
      </c>
      <c r="AH246" s="108">
        <v>0</v>
      </c>
      <c r="AI246" s="108">
        <v>0</v>
      </c>
      <c r="AJ246" s="108">
        <v>0</v>
      </c>
      <c r="AK246" s="108">
        <v>0</v>
      </c>
      <c r="AL246" s="108">
        <v>0</v>
      </c>
      <c r="AM246" s="108">
        <v>0</v>
      </c>
      <c r="AN246" s="108">
        <v>0</v>
      </c>
      <c r="AO246" s="108">
        <v>0</v>
      </c>
      <c r="AP246" s="108">
        <v>0</v>
      </c>
      <c r="AQ246" s="108">
        <v>0</v>
      </c>
      <c r="AR246" s="108">
        <v>0</v>
      </c>
      <c r="AS246" s="108">
        <v>0</v>
      </c>
      <c r="AT246" s="108">
        <v>0</v>
      </c>
      <c r="AU246" s="108">
        <v>0</v>
      </c>
      <c r="AV246" s="108">
        <v>0</v>
      </c>
      <c r="AW246" s="108">
        <v>0</v>
      </c>
      <c r="AX246" s="108">
        <v>0</v>
      </c>
      <c r="AY246" s="108">
        <v>0</v>
      </c>
    </row>
    <row r="247" spans="1:51">
      <c r="A247" s="107"/>
      <c r="B247" s="127">
        <v>39</v>
      </c>
      <c r="C247" s="104">
        <v>0</v>
      </c>
      <c r="D247" s="108">
        <v>0</v>
      </c>
      <c r="E247" s="108">
        <v>0</v>
      </c>
      <c r="F247" s="108">
        <v>0</v>
      </c>
      <c r="G247" s="108">
        <v>0</v>
      </c>
      <c r="H247" s="108">
        <v>0</v>
      </c>
      <c r="I247" s="108">
        <v>0</v>
      </c>
      <c r="J247" s="108">
        <v>0</v>
      </c>
      <c r="K247" s="108">
        <v>0</v>
      </c>
      <c r="L247" s="108">
        <v>0</v>
      </c>
      <c r="M247" s="108">
        <v>0</v>
      </c>
      <c r="N247" s="108">
        <v>0</v>
      </c>
      <c r="O247" s="108">
        <v>0</v>
      </c>
      <c r="P247" s="108">
        <v>0</v>
      </c>
      <c r="Q247" s="108">
        <v>0</v>
      </c>
      <c r="R247" s="108">
        <v>0</v>
      </c>
      <c r="S247" s="108">
        <v>0</v>
      </c>
      <c r="T247" s="108">
        <v>0</v>
      </c>
      <c r="U247" s="108">
        <v>0</v>
      </c>
      <c r="V247" s="108">
        <v>0</v>
      </c>
      <c r="W247" s="108">
        <v>0</v>
      </c>
      <c r="X247" s="108">
        <v>0</v>
      </c>
      <c r="Y247" s="108">
        <v>0</v>
      </c>
      <c r="Z247" s="108">
        <v>0</v>
      </c>
      <c r="AA247" s="108">
        <v>0</v>
      </c>
      <c r="AB247" s="108">
        <v>0</v>
      </c>
      <c r="AC247" s="108">
        <v>0</v>
      </c>
      <c r="AD247" s="108">
        <v>0</v>
      </c>
      <c r="AE247" s="108">
        <v>0</v>
      </c>
      <c r="AF247" s="108">
        <v>0</v>
      </c>
      <c r="AG247" s="108">
        <v>0</v>
      </c>
      <c r="AH247" s="108">
        <v>0</v>
      </c>
      <c r="AI247" s="108">
        <v>0</v>
      </c>
      <c r="AJ247" s="108">
        <v>0</v>
      </c>
      <c r="AK247" s="108">
        <v>0</v>
      </c>
      <c r="AL247" s="108">
        <v>0</v>
      </c>
      <c r="AM247" s="108">
        <v>0</v>
      </c>
      <c r="AN247" s="108">
        <v>0</v>
      </c>
      <c r="AO247" s="108">
        <v>0</v>
      </c>
      <c r="AP247" s="108">
        <v>0</v>
      </c>
      <c r="AQ247" s="108">
        <v>0</v>
      </c>
      <c r="AR247" s="108">
        <v>0</v>
      </c>
      <c r="AS247" s="108">
        <v>0</v>
      </c>
      <c r="AT247" s="108">
        <v>0</v>
      </c>
      <c r="AU247" s="108">
        <v>0</v>
      </c>
      <c r="AV247" s="108">
        <v>0</v>
      </c>
      <c r="AW247" s="108">
        <v>0</v>
      </c>
      <c r="AX247" s="108">
        <v>0</v>
      </c>
      <c r="AY247" s="108">
        <v>0</v>
      </c>
    </row>
    <row r="248" spans="1:51">
      <c r="A248" s="107"/>
      <c r="B248" s="127">
        <v>40</v>
      </c>
      <c r="C248" s="104">
        <v>0</v>
      </c>
      <c r="D248" s="108">
        <v>0</v>
      </c>
      <c r="E248" s="108">
        <v>0</v>
      </c>
      <c r="F248" s="108">
        <v>0</v>
      </c>
      <c r="G248" s="108">
        <v>0</v>
      </c>
      <c r="H248" s="108">
        <v>0</v>
      </c>
      <c r="I248" s="108">
        <v>0</v>
      </c>
      <c r="J248" s="108">
        <v>0</v>
      </c>
      <c r="K248" s="108">
        <v>0</v>
      </c>
      <c r="L248" s="108">
        <v>0</v>
      </c>
      <c r="M248" s="108">
        <v>0</v>
      </c>
      <c r="N248" s="108">
        <v>0</v>
      </c>
      <c r="O248" s="108">
        <v>0</v>
      </c>
      <c r="P248" s="108">
        <v>0</v>
      </c>
      <c r="Q248" s="108">
        <v>0</v>
      </c>
      <c r="R248" s="108">
        <v>0</v>
      </c>
      <c r="S248" s="108">
        <v>0</v>
      </c>
      <c r="T248" s="108">
        <v>0</v>
      </c>
      <c r="U248" s="108">
        <v>0</v>
      </c>
      <c r="V248" s="108">
        <v>0</v>
      </c>
      <c r="W248" s="108">
        <v>0</v>
      </c>
      <c r="X248" s="108">
        <v>0</v>
      </c>
      <c r="Y248" s="108">
        <v>0</v>
      </c>
      <c r="Z248" s="108">
        <v>0</v>
      </c>
      <c r="AA248" s="108">
        <v>0</v>
      </c>
      <c r="AB248" s="108">
        <v>0</v>
      </c>
      <c r="AC248" s="108">
        <v>0</v>
      </c>
      <c r="AD248" s="108">
        <v>0</v>
      </c>
      <c r="AE248" s="108">
        <v>0</v>
      </c>
      <c r="AF248" s="108">
        <v>0</v>
      </c>
      <c r="AG248" s="108">
        <v>0</v>
      </c>
      <c r="AH248" s="108">
        <v>0</v>
      </c>
      <c r="AI248" s="108">
        <v>0</v>
      </c>
      <c r="AJ248" s="108">
        <v>0</v>
      </c>
      <c r="AK248" s="108">
        <v>0</v>
      </c>
      <c r="AL248" s="108">
        <v>0</v>
      </c>
      <c r="AM248" s="108">
        <v>0</v>
      </c>
      <c r="AN248" s="108">
        <v>0</v>
      </c>
      <c r="AO248" s="108">
        <v>0</v>
      </c>
      <c r="AP248" s="108">
        <v>0</v>
      </c>
      <c r="AQ248" s="108">
        <v>0</v>
      </c>
      <c r="AR248" s="108">
        <v>0</v>
      </c>
      <c r="AS248" s="108">
        <v>0</v>
      </c>
      <c r="AT248" s="108">
        <v>0</v>
      </c>
      <c r="AU248" s="108">
        <v>0</v>
      </c>
      <c r="AV248" s="108">
        <v>0</v>
      </c>
      <c r="AW248" s="108">
        <v>0</v>
      </c>
      <c r="AX248" s="108">
        <v>0</v>
      </c>
      <c r="AY248" s="108">
        <v>0</v>
      </c>
    </row>
    <row r="249" spans="1:51">
      <c r="A249" s="107"/>
      <c r="B249" s="127">
        <v>41</v>
      </c>
      <c r="C249" s="104">
        <v>0</v>
      </c>
      <c r="D249" s="108">
        <v>0</v>
      </c>
      <c r="E249" s="108">
        <v>0</v>
      </c>
      <c r="F249" s="108">
        <v>0</v>
      </c>
      <c r="G249" s="108">
        <v>0</v>
      </c>
      <c r="H249" s="108">
        <v>0</v>
      </c>
      <c r="I249" s="108">
        <v>0</v>
      </c>
      <c r="J249" s="108">
        <v>0</v>
      </c>
      <c r="K249" s="108">
        <v>0</v>
      </c>
      <c r="L249" s="108">
        <v>0</v>
      </c>
      <c r="M249" s="108">
        <v>0</v>
      </c>
      <c r="N249" s="108">
        <v>0</v>
      </c>
      <c r="O249" s="108">
        <v>0</v>
      </c>
      <c r="P249" s="108">
        <v>0</v>
      </c>
      <c r="Q249" s="108">
        <v>0</v>
      </c>
      <c r="R249" s="108">
        <v>0</v>
      </c>
      <c r="S249" s="108">
        <v>0</v>
      </c>
      <c r="T249" s="108">
        <v>0</v>
      </c>
      <c r="U249" s="108">
        <v>0</v>
      </c>
      <c r="V249" s="108">
        <v>0</v>
      </c>
      <c r="W249" s="108">
        <v>0</v>
      </c>
      <c r="X249" s="108">
        <v>0</v>
      </c>
      <c r="Y249" s="108">
        <v>0</v>
      </c>
      <c r="Z249" s="108">
        <v>0</v>
      </c>
      <c r="AA249" s="108">
        <v>0</v>
      </c>
      <c r="AB249" s="108">
        <v>0</v>
      </c>
      <c r="AC249" s="108">
        <v>0</v>
      </c>
      <c r="AD249" s="108">
        <v>0</v>
      </c>
      <c r="AE249" s="108">
        <v>0</v>
      </c>
      <c r="AF249" s="108">
        <v>0</v>
      </c>
      <c r="AG249" s="108">
        <v>0</v>
      </c>
      <c r="AH249" s="108">
        <v>0</v>
      </c>
      <c r="AI249" s="108">
        <v>0</v>
      </c>
      <c r="AJ249" s="108">
        <v>0</v>
      </c>
      <c r="AK249" s="108">
        <v>0</v>
      </c>
      <c r="AL249" s="108">
        <v>0</v>
      </c>
      <c r="AM249" s="108">
        <v>0</v>
      </c>
      <c r="AN249" s="108">
        <v>0</v>
      </c>
      <c r="AO249" s="108">
        <v>0</v>
      </c>
      <c r="AP249" s="108">
        <v>0</v>
      </c>
      <c r="AQ249" s="108">
        <v>0</v>
      </c>
      <c r="AR249" s="108">
        <v>0</v>
      </c>
      <c r="AS249" s="108">
        <v>0</v>
      </c>
      <c r="AT249" s="108">
        <v>0</v>
      </c>
      <c r="AU249" s="108">
        <v>0</v>
      </c>
      <c r="AV249" s="108">
        <v>0</v>
      </c>
      <c r="AW249" s="108">
        <v>0</v>
      </c>
      <c r="AX249" s="108">
        <v>0</v>
      </c>
      <c r="AY249" s="108">
        <v>0</v>
      </c>
    </row>
    <row r="250" spans="1:51">
      <c r="A250" s="107"/>
      <c r="B250" s="127">
        <v>42</v>
      </c>
      <c r="C250" s="104">
        <v>0</v>
      </c>
      <c r="D250" s="108">
        <v>0</v>
      </c>
      <c r="E250" s="108">
        <v>0</v>
      </c>
      <c r="F250" s="108">
        <v>0</v>
      </c>
      <c r="G250" s="108">
        <v>0</v>
      </c>
      <c r="H250" s="108">
        <v>0</v>
      </c>
      <c r="I250" s="108">
        <v>0</v>
      </c>
      <c r="J250" s="108">
        <v>0</v>
      </c>
      <c r="K250" s="108">
        <v>0</v>
      </c>
      <c r="L250" s="108">
        <v>0</v>
      </c>
      <c r="M250" s="108">
        <v>0</v>
      </c>
      <c r="N250" s="108">
        <v>0</v>
      </c>
      <c r="O250" s="108">
        <v>0</v>
      </c>
      <c r="P250" s="108">
        <v>0</v>
      </c>
      <c r="Q250" s="108">
        <v>0</v>
      </c>
      <c r="R250" s="108">
        <v>0</v>
      </c>
      <c r="S250" s="108">
        <v>0</v>
      </c>
      <c r="T250" s="108">
        <v>0</v>
      </c>
      <c r="U250" s="108">
        <v>0</v>
      </c>
      <c r="V250" s="108">
        <v>0</v>
      </c>
      <c r="W250" s="108">
        <v>0</v>
      </c>
      <c r="X250" s="108">
        <v>0</v>
      </c>
      <c r="Y250" s="108">
        <v>0</v>
      </c>
      <c r="Z250" s="108">
        <v>0</v>
      </c>
      <c r="AA250" s="108">
        <v>0</v>
      </c>
      <c r="AB250" s="108">
        <v>0</v>
      </c>
      <c r="AC250" s="108">
        <v>0</v>
      </c>
      <c r="AD250" s="108">
        <v>0</v>
      </c>
      <c r="AE250" s="108">
        <v>0</v>
      </c>
      <c r="AF250" s="108">
        <v>0</v>
      </c>
      <c r="AG250" s="108">
        <v>0</v>
      </c>
      <c r="AH250" s="108">
        <v>0</v>
      </c>
      <c r="AI250" s="108">
        <v>0</v>
      </c>
      <c r="AJ250" s="108">
        <v>0</v>
      </c>
      <c r="AK250" s="108">
        <v>0</v>
      </c>
      <c r="AL250" s="108">
        <v>0</v>
      </c>
      <c r="AM250" s="108">
        <v>0</v>
      </c>
      <c r="AN250" s="108">
        <v>0</v>
      </c>
      <c r="AO250" s="108">
        <v>0</v>
      </c>
      <c r="AP250" s="108">
        <v>0</v>
      </c>
      <c r="AQ250" s="108">
        <v>0</v>
      </c>
      <c r="AR250" s="108">
        <v>0</v>
      </c>
      <c r="AS250" s="108">
        <v>0</v>
      </c>
      <c r="AT250" s="108">
        <v>0</v>
      </c>
      <c r="AU250" s="108">
        <v>0</v>
      </c>
      <c r="AV250" s="108">
        <v>0</v>
      </c>
      <c r="AW250" s="108">
        <v>0</v>
      </c>
      <c r="AX250" s="108">
        <v>0</v>
      </c>
      <c r="AY250" s="108">
        <v>0</v>
      </c>
    </row>
    <row r="251" spans="1:51">
      <c r="A251" s="107"/>
      <c r="B251" s="127">
        <v>43</v>
      </c>
      <c r="C251" s="104">
        <v>0</v>
      </c>
      <c r="D251" s="108">
        <v>0</v>
      </c>
      <c r="E251" s="108">
        <v>0</v>
      </c>
      <c r="F251" s="108">
        <v>0</v>
      </c>
      <c r="G251" s="108">
        <v>0</v>
      </c>
      <c r="H251" s="108">
        <v>0</v>
      </c>
      <c r="I251" s="108">
        <v>0</v>
      </c>
      <c r="J251" s="108">
        <v>0</v>
      </c>
      <c r="K251" s="108">
        <v>0</v>
      </c>
      <c r="L251" s="108">
        <v>0</v>
      </c>
      <c r="M251" s="108">
        <v>0</v>
      </c>
      <c r="N251" s="108">
        <v>0</v>
      </c>
      <c r="O251" s="108">
        <v>0</v>
      </c>
      <c r="P251" s="108">
        <v>0</v>
      </c>
      <c r="Q251" s="108">
        <v>0</v>
      </c>
      <c r="R251" s="108">
        <v>0</v>
      </c>
      <c r="S251" s="108">
        <v>0</v>
      </c>
      <c r="T251" s="108">
        <v>0</v>
      </c>
      <c r="U251" s="108">
        <v>0</v>
      </c>
      <c r="V251" s="108">
        <v>0</v>
      </c>
      <c r="W251" s="108">
        <v>0</v>
      </c>
      <c r="X251" s="108">
        <v>0</v>
      </c>
      <c r="Y251" s="108">
        <v>0</v>
      </c>
      <c r="Z251" s="108">
        <v>0</v>
      </c>
      <c r="AA251" s="108">
        <v>0</v>
      </c>
      <c r="AB251" s="108">
        <v>0</v>
      </c>
      <c r="AC251" s="108">
        <v>0</v>
      </c>
      <c r="AD251" s="108">
        <v>0</v>
      </c>
      <c r="AE251" s="108">
        <v>0</v>
      </c>
      <c r="AF251" s="108">
        <v>0</v>
      </c>
      <c r="AG251" s="108">
        <v>0</v>
      </c>
      <c r="AH251" s="108">
        <v>0</v>
      </c>
      <c r="AI251" s="108">
        <v>0</v>
      </c>
      <c r="AJ251" s="108">
        <v>0</v>
      </c>
      <c r="AK251" s="108">
        <v>0</v>
      </c>
      <c r="AL251" s="108">
        <v>0</v>
      </c>
      <c r="AM251" s="108">
        <v>0</v>
      </c>
      <c r="AN251" s="108">
        <v>0</v>
      </c>
      <c r="AO251" s="108">
        <v>0</v>
      </c>
      <c r="AP251" s="108">
        <v>0</v>
      </c>
      <c r="AQ251" s="108">
        <v>0</v>
      </c>
      <c r="AR251" s="108">
        <v>0</v>
      </c>
      <c r="AS251" s="108">
        <v>0</v>
      </c>
      <c r="AT251" s="108">
        <v>0</v>
      </c>
      <c r="AU251" s="108">
        <v>0</v>
      </c>
      <c r="AV251" s="108">
        <v>0</v>
      </c>
      <c r="AW251" s="108">
        <v>0</v>
      </c>
      <c r="AX251" s="108">
        <v>0</v>
      </c>
      <c r="AY251" s="108">
        <v>0</v>
      </c>
    </row>
    <row r="252" spans="1:51">
      <c r="A252" s="107"/>
      <c r="B252" s="127">
        <v>44</v>
      </c>
      <c r="C252" s="104">
        <v>0</v>
      </c>
      <c r="D252" s="108">
        <v>0</v>
      </c>
      <c r="E252" s="108">
        <v>0</v>
      </c>
      <c r="F252" s="108">
        <v>0</v>
      </c>
      <c r="G252" s="108">
        <v>0</v>
      </c>
      <c r="H252" s="108">
        <v>0</v>
      </c>
      <c r="I252" s="108">
        <v>0</v>
      </c>
      <c r="J252" s="108">
        <v>0</v>
      </c>
      <c r="K252" s="108">
        <v>0</v>
      </c>
      <c r="L252" s="108">
        <v>0</v>
      </c>
      <c r="M252" s="108">
        <v>0</v>
      </c>
      <c r="N252" s="108">
        <v>0</v>
      </c>
      <c r="O252" s="108">
        <v>0</v>
      </c>
      <c r="P252" s="108">
        <v>0</v>
      </c>
      <c r="Q252" s="108">
        <v>0</v>
      </c>
      <c r="R252" s="108">
        <v>0</v>
      </c>
      <c r="S252" s="108">
        <v>0</v>
      </c>
      <c r="T252" s="108">
        <v>0</v>
      </c>
      <c r="U252" s="108">
        <v>0</v>
      </c>
      <c r="V252" s="108">
        <v>0</v>
      </c>
      <c r="W252" s="108">
        <v>0</v>
      </c>
      <c r="X252" s="108">
        <v>0</v>
      </c>
      <c r="Y252" s="108">
        <v>0</v>
      </c>
      <c r="Z252" s="108">
        <v>0</v>
      </c>
      <c r="AA252" s="108">
        <v>0</v>
      </c>
      <c r="AB252" s="108">
        <v>0</v>
      </c>
      <c r="AC252" s="108">
        <v>0</v>
      </c>
      <c r="AD252" s="108">
        <v>0</v>
      </c>
      <c r="AE252" s="108">
        <v>0</v>
      </c>
      <c r="AF252" s="108">
        <v>0</v>
      </c>
      <c r="AG252" s="108">
        <v>0</v>
      </c>
      <c r="AH252" s="108">
        <v>0</v>
      </c>
      <c r="AI252" s="108">
        <v>0</v>
      </c>
      <c r="AJ252" s="108">
        <v>0</v>
      </c>
      <c r="AK252" s="108">
        <v>0</v>
      </c>
      <c r="AL252" s="108">
        <v>0</v>
      </c>
      <c r="AM252" s="108">
        <v>0</v>
      </c>
      <c r="AN252" s="108">
        <v>0</v>
      </c>
      <c r="AO252" s="108">
        <v>0</v>
      </c>
      <c r="AP252" s="108">
        <v>0</v>
      </c>
      <c r="AQ252" s="108">
        <v>0</v>
      </c>
      <c r="AR252" s="108">
        <v>0</v>
      </c>
      <c r="AS252" s="108">
        <v>0</v>
      </c>
      <c r="AT252" s="108">
        <v>0</v>
      </c>
      <c r="AU252" s="108">
        <v>0</v>
      </c>
      <c r="AV252" s="108">
        <v>0</v>
      </c>
      <c r="AW252" s="108">
        <v>0</v>
      </c>
      <c r="AX252" s="108">
        <v>0</v>
      </c>
      <c r="AY252" s="108">
        <v>0</v>
      </c>
    </row>
    <row r="253" spans="1:51">
      <c r="A253" s="107"/>
      <c r="B253" s="127">
        <v>45</v>
      </c>
      <c r="C253" s="104">
        <v>0</v>
      </c>
      <c r="D253" s="108">
        <v>0</v>
      </c>
      <c r="E253" s="108">
        <v>0</v>
      </c>
      <c r="F253" s="108">
        <v>0</v>
      </c>
      <c r="G253" s="108">
        <v>0</v>
      </c>
      <c r="H253" s="108">
        <v>0</v>
      </c>
      <c r="I253" s="108">
        <v>0</v>
      </c>
      <c r="J253" s="108">
        <v>0</v>
      </c>
      <c r="K253" s="108">
        <v>0</v>
      </c>
      <c r="L253" s="108">
        <v>0</v>
      </c>
      <c r="M253" s="108">
        <v>0</v>
      </c>
      <c r="N253" s="108">
        <v>0</v>
      </c>
      <c r="O253" s="108">
        <v>0</v>
      </c>
      <c r="P253" s="108">
        <v>0</v>
      </c>
      <c r="Q253" s="108">
        <v>0</v>
      </c>
      <c r="R253" s="108">
        <v>0</v>
      </c>
      <c r="S253" s="108">
        <v>0</v>
      </c>
      <c r="T253" s="108">
        <v>0</v>
      </c>
      <c r="U253" s="108">
        <v>0</v>
      </c>
      <c r="V253" s="108">
        <v>0</v>
      </c>
      <c r="W253" s="108">
        <v>0</v>
      </c>
      <c r="X253" s="108">
        <v>0</v>
      </c>
      <c r="Y253" s="108">
        <v>0</v>
      </c>
      <c r="Z253" s="108">
        <v>0</v>
      </c>
      <c r="AA253" s="108">
        <v>0</v>
      </c>
      <c r="AB253" s="108">
        <v>0</v>
      </c>
      <c r="AC253" s="108">
        <v>0</v>
      </c>
      <c r="AD253" s="108">
        <v>0</v>
      </c>
      <c r="AE253" s="108">
        <v>0</v>
      </c>
      <c r="AF253" s="108">
        <v>0</v>
      </c>
      <c r="AG253" s="108">
        <v>0</v>
      </c>
      <c r="AH253" s="108">
        <v>0</v>
      </c>
      <c r="AI253" s="108">
        <v>0</v>
      </c>
      <c r="AJ253" s="108">
        <v>0</v>
      </c>
      <c r="AK253" s="108">
        <v>0</v>
      </c>
      <c r="AL253" s="108">
        <v>0</v>
      </c>
      <c r="AM253" s="108">
        <v>0</v>
      </c>
      <c r="AN253" s="108">
        <v>0</v>
      </c>
      <c r="AO253" s="108">
        <v>0</v>
      </c>
      <c r="AP253" s="108">
        <v>0</v>
      </c>
      <c r="AQ253" s="108">
        <v>0</v>
      </c>
      <c r="AR253" s="108">
        <v>0</v>
      </c>
      <c r="AS253" s="108">
        <v>0</v>
      </c>
      <c r="AT253" s="108">
        <v>0</v>
      </c>
      <c r="AU253" s="108">
        <v>0</v>
      </c>
      <c r="AV253" s="108">
        <v>0</v>
      </c>
      <c r="AW253" s="108">
        <v>0</v>
      </c>
      <c r="AX253" s="108">
        <v>0</v>
      </c>
      <c r="AY253" s="108">
        <v>0</v>
      </c>
    </row>
    <row r="254" spans="1:51">
      <c r="A254" s="107"/>
      <c r="B254" s="127">
        <v>46</v>
      </c>
      <c r="C254" s="104">
        <v>0</v>
      </c>
      <c r="D254" s="108">
        <v>0</v>
      </c>
      <c r="E254" s="108">
        <v>0</v>
      </c>
      <c r="F254" s="108">
        <v>0</v>
      </c>
      <c r="G254" s="108">
        <v>0</v>
      </c>
      <c r="H254" s="108">
        <v>0</v>
      </c>
      <c r="I254" s="108">
        <v>0</v>
      </c>
      <c r="J254" s="108">
        <v>0</v>
      </c>
      <c r="K254" s="108">
        <v>0</v>
      </c>
      <c r="L254" s="108">
        <v>0</v>
      </c>
      <c r="M254" s="108">
        <v>0</v>
      </c>
      <c r="N254" s="108">
        <v>0</v>
      </c>
      <c r="O254" s="108">
        <v>0</v>
      </c>
      <c r="P254" s="108">
        <v>0</v>
      </c>
      <c r="Q254" s="108">
        <v>0</v>
      </c>
      <c r="R254" s="108">
        <v>0</v>
      </c>
      <c r="S254" s="108">
        <v>0</v>
      </c>
      <c r="T254" s="108">
        <v>0</v>
      </c>
      <c r="U254" s="108">
        <v>0</v>
      </c>
      <c r="V254" s="108">
        <v>0</v>
      </c>
      <c r="W254" s="108">
        <v>0</v>
      </c>
      <c r="X254" s="108">
        <v>0</v>
      </c>
      <c r="Y254" s="108">
        <v>0</v>
      </c>
      <c r="Z254" s="108">
        <v>0</v>
      </c>
      <c r="AA254" s="108">
        <v>0</v>
      </c>
      <c r="AB254" s="108">
        <v>0</v>
      </c>
      <c r="AC254" s="108">
        <v>0</v>
      </c>
      <c r="AD254" s="108">
        <v>0</v>
      </c>
      <c r="AE254" s="108">
        <v>0</v>
      </c>
      <c r="AF254" s="108">
        <v>0</v>
      </c>
      <c r="AG254" s="108">
        <v>0</v>
      </c>
      <c r="AH254" s="108">
        <v>0</v>
      </c>
      <c r="AI254" s="108">
        <v>0</v>
      </c>
      <c r="AJ254" s="108">
        <v>0</v>
      </c>
      <c r="AK254" s="108">
        <v>0</v>
      </c>
      <c r="AL254" s="108">
        <v>0</v>
      </c>
      <c r="AM254" s="108">
        <v>0</v>
      </c>
      <c r="AN254" s="108">
        <v>0</v>
      </c>
      <c r="AO254" s="108">
        <v>0</v>
      </c>
      <c r="AP254" s="108">
        <v>0</v>
      </c>
      <c r="AQ254" s="108">
        <v>0</v>
      </c>
      <c r="AR254" s="108">
        <v>0</v>
      </c>
      <c r="AS254" s="108">
        <v>0</v>
      </c>
      <c r="AT254" s="108">
        <v>0</v>
      </c>
      <c r="AU254" s="108">
        <v>0</v>
      </c>
      <c r="AV254" s="108">
        <v>0</v>
      </c>
      <c r="AW254" s="108">
        <v>0</v>
      </c>
      <c r="AX254" s="108">
        <v>0</v>
      </c>
      <c r="AY254" s="108">
        <v>0</v>
      </c>
    </row>
    <row r="255" spans="1:51">
      <c r="A255" s="107"/>
      <c r="B255" s="127">
        <v>47</v>
      </c>
      <c r="C255" s="104">
        <v>0</v>
      </c>
      <c r="D255" s="108">
        <v>0</v>
      </c>
      <c r="E255" s="108">
        <v>0</v>
      </c>
      <c r="F255" s="108">
        <v>0</v>
      </c>
      <c r="G255" s="108">
        <v>0</v>
      </c>
      <c r="H255" s="108">
        <v>0</v>
      </c>
      <c r="I255" s="108">
        <v>0</v>
      </c>
      <c r="J255" s="108">
        <v>0</v>
      </c>
      <c r="K255" s="108">
        <v>0</v>
      </c>
      <c r="L255" s="108">
        <v>0</v>
      </c>
      <c r="M255" s="108">
        <v>0</v>
      </c>
      <c r="N255" s="108">
        <v>0</v>
      </c>
      <c r="O255" s="108">
        <v>0</v>
      </c>
      <c r="P255" s="108">
        <v>0</v>
      </c>
      <c r="Q255" s="108">
        <v>0</v>
      </c>
      <c r="R255" s="108">
        <v>0</v>
      </c>
      <c r="S255" s="108">
        <v>0</v>
      </c>
      <c r="T255" s="108">
        <v>0</v>
      </c>
      <c r="U255" s="108">
        <v>0</v>
      </c>
      <c r="V255" s="108">
        <v>0</v>
      </c>
      <c r="W255" s="108">
        <v>0</v>
      </c>
      <c r="X255" s="108">
        <v>0</v>
      </c>
      <c r="Y255" s="108">
        <v>0</v>
      </c>
      <c r="Z255" s="108">
        <v>0</v>
      </c>
      <c r="AA255" s="108">
        <v>0</v>
      </c>
      <c r="AB255" s="108">
        <v>0</v>
      </c>
      <c r="AC255" s="108">
        <v>0</v>
      </c>
      <c r="AD255" s="108">
        <v>0</v>
      </c>
      <c r="AE255" s="108">
        <v>0</v>
      </c>
      <c r="AF255" s="108">
        <v>0</v>
      </c>
      <c r="AG255" s="108">
        <v>0</v>
      </c>
      <c r="AH255" s="108">
        <v>0</v>
      </c>
      <c r="AI255" s="108">
        <v>0</v>
      </c>
      <c r="AJ255" s="108">
        <v>0</v>
      </c>
      <c r="AK255" s="108">
        <v>0</v>
      </c>
      <c r="AL255" s="108">
        <v>0</v>
      </c>
      <c r="AM255" s="108">
        <v>0</v>
      </c>
      <c r="AN255" s="108">
        <v>0</v>
      </c>
      <c r="AO255" s="108">
        <v>0</v>
      </c>
      <c r="AP255" s="108">
        <v>0</v>
      </c>
      <c r="AQ255" s="108">
        <v>0</v>
      </c>
      <c r="AR255" s="108">
        <v>0</v>
      </c>
      <c r="AS255" s="108">
        <v>0</v>
      </c>
      <c r="AT255" s="108">
        <v>0</v>
      </c>
      <c r="AU255" s="108">
        <v>0</v>
      </c>
      <c r="AV255" s="108">
        <v>0</v>
      </c>
      <c r="AW255" s="108">
        <v>0</v>
      </c>
      <c r="AX255" s="108">
        <v>0</v>
      </c>
      <c r="AY255" s="108">
        <v>0</v>
      </c>
    </row>
    <row r="256" spans="1:51">
      <c r="A256" s="125"/>
      <c r="B256" s="126">
        <v>48</v>
      </c>
      <c r="C256" s="111">
        <v>0</v>
      </c>
      <c r="D256" s="122">
        <v>0</v>
      </c>
      <c r="E256" s="122">
        <v>0</v>
      </c>
      <c r="F256" s="122">
        <v>0</v>
      </c>
      <c r="G256" s="122">
        <v>0</v>
      </c>
      <c r="H256" s="122">
        <v>0</v>
      </c>
      <c r="I256" s="122">
        <v>0</v>
      </c>
      <c r="J256" s="122">
        <v>0</v>
      </c>
      <c r="K256" s="122">
        <v>0</v>
      </c>
      <c r="L256" s="122">
        <v>0</v>
      </c>
      <c r="M256" s="122">
        <v>0</v>
      </c>
      <c r="N256" s="122">
        <v>0</v>
      </c>
      <c r="O256" s="122">
        <v>0</v>
      </c>
      <c r="P256" s="122">
        <v>0</v>
      </c>
      <c r="Q256" s="122">
        <v>0</v>
      </c>
      <c r="R256" s="122">
        <v>0</v>
      </c>
      <c r="S256" s="122">
        <v>0</v>
      </c>
      <c r="T256" s="122">
        <v>0</v>
      </c>
      <c r="U256" s="122">
        <v>0</v>
      </c>
      <c r="V256" s="122">
        <v>0</v>
      </c>
      <c r="W256" s="122">
        <v>0</v>
      </c>
      <c r="X256" s="122">
        <v>0</v>
      </c>
      <c r="Y256" s="122">
        <v>0</v>
      </c>
      <c r="Z256" s="122">
        <v>0</v>
      </c>
      <c r="AA256" s="122">
        <v>0</v>
      </c>
      <c r="AB256" s="122">
        <v>0</v>
      </c>
      <c r="AC256" s="122">
        <v>0</v>
      </c>
      <c r="AD256" s="122">
        <v>0</v>
      </c>
      <c r="AE256" s="122">
        <v>0</v>
      </c>
      <c r="AF256" s="122">
        <v>0</v>
      </c>
      <c r="AG256" s="122">
        <v>0</v>
      </c>
      <c r="AH256" s="122">
        <v>0</v>
      </c>
      <c r="AI256" s="122">
        <v>0</v>
      </c>
      <c r="AJ256" s="122">
        <v>0</v>
      </c>
      <c r="AK256" s="122">
        <v>0</v>
      </c>
      <c r="AL256" s="122">
        <v>0</v>
      </c>
      <c r="AM256" s="122">
        <v>0</v>
      </c>
      <c r="AN256" s="122">
        <v>0</v>
      </c>
      <c r="AO256" s="122">
        <v>0</v>
      </c>
      <c r="AP256" s="122">
        <v>0</v>
      </c>
      <c r="AQ256" s="122">
        <v>0</v>
      </c>
      <c r="AR256" s="122">
        <v>0</v>
      </c>
      <c r="AS256" s="122">
        <v>0</v>
      </c>
      <c r="AT256" s="122">
        <v>0</v>
      </c>
      <c r="AU256" s="122">
        <v>0</v>
      </c>
      <c r="AV256" s="122">
        <v>0</v>
      </c>
      <c r="AW256" s="122">
        <v>0</v>
      </c>
      <c r="AX256" s="122">
        <v>0</v>
      </c>
      <c r="AY256" s="122">
        <v>0</v>
      </c>
    </row>
    <row r="258" spans="1:52">
      <c r="A258" s="1" t="s">
        <v>301</v>
      </c>
    </row>
    <row r="259" spans="1:52">
      <c r="A259" s="134" t="s">
        <v>124</v>
      </c>
      <c r="B259" s="135">
        <v>650</v>
      </c>
      <c r="C259" s="121" t="s">
        <v>293</v>
      </c>
      <c r="D259" s="121">
        <f>E$14*$B$259</f>
        <v>138097.14440640272</v>
      </c>
      <c r="E259" s="121">
        <f t="shared" ref="E259:AX259" si="5">F$14*$B$259</f>
        <v>249266.59648455778</v>
      </c>
      <c r="F259" s="121">
        <f t="shared" si="5"/>
        <v>248643.71843147106</v>
      </c>
      <c r="G259" s="121">
        <f t="shared" si="5"/>
        <v>243207.21806740738</v>
      </c>
      <c r="H259" s="121">
        <f t="shared" si="5"/>
        <v>243207.21806740738</v>
      </c>
      <c r="I259" s="121">
        <f t="shared" si="5"/>
        <v>175806.07633240748</v>
      </c>
      <c r="J259" s="121">
        <f t="shared" si="5"/>
        <v>438876.50501659629</v>
      </c>
      <c r="K259" s="121">
        <f t="shared" si="5"/>
        <v>303707.52144417248</v>
      </c>
      <c r="L259" s="121">
        <f t="shared" si="5"/>
        <v>243207.21806740738</v>
      </c>
      <c r="M259" s="121">
        <f t="shared" si="5"/>
        <v>47537.931118218505</v>
      </c>
      <c r="N259" s="121">
        <f t="shared" si="5"/>
        <v>310608.35980240727</v>
      </c>
      <c r="O259" s="121">
        <f t="shared" si="5"/>
        <v>371475.36328159639</v>
      </c>
      <c r="P259" s="121">
        <f t="shared" si="5"/>
        <v>285877.56820746895</v>
      </c>
      <c r="Q259" s="121">
        <f t="shared" si="5"/>
        <v>257384.93959254003</v>
      </c>
      <c r="R259" s="121">
        <f t="shared" si="5"/>
        <v>243207.21806740738</v>
      </c>
      <c r="S259" s="121">
        <f t="shared" si="5"/>
        <v>243207.21806740738</v>
      </c>
      <c r="T259" s="121">
        <f t="shared" si="5"/>
        <v>114939.07285321836</v>
      </c>
      <c r="U259" s="121">
        <f t="shared" si="5"/>
        <v>175806.07633240748</v>
      </c>
      <c r="V259" s="121">
        <f t="shared" si="5"/>
        <v>402802.59333350504</v>
      </c>
      <c r="W259" s="121">
        <f t="shared" si="5"/>
        <v>228622.83311227913</v>
      </c>
      <c r="X259" s="121">
        <f t="shared" si="5"/>
        <v>207133.30638431609</v>
      </c>
      <c r="Y259" s="121">
        <f t="shared" si="5"/>
        <v>207133.30638431606</v>
      </c>
      <c r="Z259" s="121">
        <f t="shared" si="5"/>
        <v>114939.07285321836</v>
      </c>
      <c r="AA259" s="121">
        <f t="shared" si="5"/>
        <v>371475.36328159639</v>
      </c>
      <c r="AB259" s="121">
        <f t="shared" si="5"/>
        <v>263790.06398601306</v>
      </c>
      <c r="AC259" s="121">
        <f t="shared" si="5"/>
        <v>247156.48324858697</v>
      </c>
      <c r="AD259" s="121">
        <f t="shared" si="5"/>
        <v>114939.07285321836</v>
      </c>
      <c r="AE259" s="121">
        <f t="shared" si="5"/>
        <v>443623.18664777913</v>
      </c>
      <c r="AF259" s="121">
        <f t="shared" si="5"/>
        <v>311904.61489108857</v>
      </c>
      <c r="AG259" s="121">
        <f t="shared" si="5"/>
        <v>64284.475529283365</v>
      </c>
      <c r="AH259" s="121">
        <f t="shared" si="5"/>
        <v>511024.32838277903</v>
      </c>
      <c r="AI259" s="121">
        <f t="shared" si="5"/>
        <v>359487.17776889924</v>
      </c>
      <c r="AJ259" s="121">
        <f t="shared" si="5"/>
        <v>340727.74987308163</v>
      </c>
      <c r="AK259" s="121">
        <f t="shared" si="5"/>
        <v>100355.31404217283</v>
      </c>
      <c r="AL259" s="121">
        <f t="shared" si="5"/>
        <v>114939.07285321836</v>
      </c>
      <c r="AM259" s="121">
        <f t="shared" si="5"/>
        <v>603218.56191387668</v>
      </c>
      <c r="AN259" s="121">
        <f t="shared" si="5"/>
        <v>398564.69647365721</v>
      </c>
      <c r="AO259" s="121">
        <f t="shared" si="5"/>
        <v>278160.54824044579</v>
      </c>
      <c r="AP259" s="121">
        <f t="shared" si="5"/>
        <v>114939.07285321837</v>
      </c>
      <c r="AQ259" s="121">
        <f t="shared" si="5"/>
        <v>47537.931118218505</v>
      </c>
      <c r="AR259" s="121">
        <f t="shared" si="5"/>
        <v>371475.36328159634</v>
      </c>
      <c r="AS259" s="121">
        <f t="shared" si="5"/>
        <v>438876.50501659629</v>
      </c>
      <c r="AT259" s="121">
        <f t="shared" si="5"/>
        <v>300755.00606252917</v>
      </c>
      <c r="AU259" s="121">
        <f t="shared" si="5"/>
        <v>211643.58126036951</v>
      </c>
      <c r="AV259" s="121">
        <f t="shared" si="5"/>
        <v>114939.07285321843</v>
      </c>
      <c r="AW259" s="121">
        <f t="shared" si="5"/>
        <v>139732.16464931617</v>
      </c>
      <c r="AX259" s="121">
        <f t="shared" si="5"/>
        <v>438876.50501659635</v>
      </c>
      <c r="AY259" s="121">
        <f>AZ$14*$B$259</f>
        <v>304541.82344353886</v>
      </c>
      <c r="AZ259" s="136">
        <f>SUM($D259:$AY259)</f>
        <v>12501661.811249036</v>
      </c>
    </row>
    <row r="260" spans="1:52">
      <c r="A260" s="137" t="s">
        <v>302</v>
      </c>
      <c r="B260" s="111">
        <v>60</v>
      </c>
      <c r="C260" s="122" t="s">
        <v>293</v>
      </c>
      <c r="D260" s="122">
        <f>(D$175-D$176+D$177-D$178+D$179-D$180+D$181-D$182)*$B$260</f>
        <v>8092.0288333986437</v>
      </c>
      <c r="E260" s="122">
        <f t="shared" ref="E260:AY260" si="6">(E$175-E$176+E$177-E$178+E$179-E$180+E$181-E$182)*$B$260</f>
        <v>5215.6599904526411</v>
      </c>
      <c r="F260" s="122">
        <f t="shared" si="6"/>
        <v>1193.4899856789582</v>
      </c>
      <c r="G260" s="122">
        <f t="shared" si="6"/>
        <v>522.60587926399239</v>
      </c>
      <c r="H260" s="122">
        <f t="shared" si="6"/>
        <v>0</v>
      </c>
      <c r="I260" s="122">
        <f t="shared" si="6"/>
        <v>5217.8299952263205</v>
      </c>
      <c r="J260" s="122">
        <f t="shared" si="6"/>
        <v>65611.058510728064</v>
      </c>
      <c r="K260" s="122">
        <f t="shared" si="6"/>
        <v>78852.985009618293</v>
      </c>
      <c r="L260" s="122">
        <f t="shared" si="6"/>
        <v>69307.961325109136</v>
      </c>
      <c r="M260" s="122">
        <f t="shared" si="6"/>
        <v>49270.649702910508</v>
      </c>
      <c r="N260" s="122">
        <f t="shared" si="6"/>
        <v>58673.669881473463</v>
      </c>
      <c r="O260" s="122">
        <f t="shared" si="6"/>
        <v>86335.755190270749</v>
      </c>
      <c r="P260" s="122">
        <f t="shared" si="6"/>
        <v>72434.426861915883</v>
      </c>
      <c r="Q260" s="122">
        <f t="shared" si="6"/>
        <v>69692.231490809034</v>
      </c>
      <c r="R260" s="122">
        <f t="shared" si="6"/>
        <v>67913.935227847163</v>
      </c>
      <c r="S260" s="122">
        <f t="shared" si="6"/>
        <v>71614.371102337478</v>
      </c>
      <c r="T260" s="122">
        <f t="shared" si="6"/>
        <v>25919.576352386037</v>
      </c>
      <c r="U260" s="122">
        <f t="shared" si="6"/>
        <v>18323.022757282539</v>
      </c>
      <c r="V260" s="122">
        <f t="shared" si="6"/>
        <v>31867.352602278752</v>
      </c>
      <c r="W260" s="122">
        <f t="shared" si="6"/>
        <v>19892.243073260754</v>
      </c>
      <c r="X260" s="122">
        <f t="shared" si="6"/>
        <v>4707.0951520383933</v>
      </c>
      <c r="Y260" s="122">
        <f t="shared" si="6"/>
        <v>5457.8299952263205</v>
      </c>
      <c r="Z260" s="122">
        <f t="shared" si="6"/>
        <v>7975.6599904526411</v>
      </c>
      <c r="AA260" s="122">
        <f t="shared" si="6"/>
        <v>40186.387760444646</v>
      </c>
      <c r="AB260" s="122">
        <f t="shared" si="6"/>
        <v>50018.289565938641</v>
      </c>
      <c r="AC260" s="122">
        <f t="shared" si="6"/>
        <v>53324.142236928885</v>
      </c>
      <c r="AD260" s="122">
        <f t="shared" si="6"/>
        <v>54973.430390234884</v>
      </c>
      <c r="AE260" s="122">
        <f t="shared" si="6"/>
        <v>101690.0108253145</v>
      </c>
      <c r="AF260" s="122">
        <f t="shared" si="6"/>
        <v>120451.09728235319</v>
      </c>
      <c r="AG260" s="122">
        <f t="shared" si="6"/>
        <v>78533.845081272128</v>
      </c>
      <c r="AH260" s="122">
        <f t="shared" si="6"/>
        <v>145757.21087750696</v>
      </c>
      <c r="AI260" s="122">
        <f t="shared" si="6"/>
        <v>159896.56820594778</v>
      </c>
      <c r="AJ260" s="122">
        <f t="shared" si="6"/>
        <v>147976.27317780675</v>
      </c>
      <c r="AK260" s="122">
        <f t="shared" si="6"/>
        <v>98427.551147447346</v>
      </c>
      <c r="AL260" s="122">
        <f t="shared" si="6"/>
        <v>75585.046916143474</v>
      </c>
      <c r="AM260" s="122">
        <f t="shared" si="6"/>
        <v>134013.62562631833</v>
      </c>
      <c r="AN260" s="122">
        <f t="shared" si="6"/>
        <v>118142.08840867957</v>
      </c>
      <c r="AO260" s="122">
        <f t="shared" si="6"/>
        <v>106509.06919729825</v>
      </c>
      <c r="AP260" s="122">
        <f t="shared" si="6"/>
        <v>64167.341522494215</v>
      </c>
      <c r="AQ260" s="122">
        <f t="shared" si="6"/>
        <v>35841.507082535594</v>
      </c>
      <c r="AR260" s="122">
        <f t="shared" si="6"/>
        <v>15961.127727676445</v>
      </c>
      <c r="AS260" s="122">
        <f t="shared" si="6"/>
        <v>68781.501831976435</v>
      </c>
      <c r="AT260" s="122">
        <f t="shared" si="6"/>
        <v>47619.956672947228</v>
      </c>
      <c r="AU260" s="122">
        <f t="shared" si="6"/>
        <v>25197.910313482738</v>
      </c>
      <c r="AV260" s="122">
        <f t="shared" si="6"/>
        <v>4764.7836237254469</v>
      </c>
      <c r="AW260" s="122">
        <f t="shared" si="6"/>
        <v>21064.427171112322</v>
      </c>
      <c r="AX260" s="122">
        <f t="shared" si="6"/>
        <v>58827.19142375348</v>
      </c>
      <c r="AY260" s="122">
        <f t="shared" si="6"/>
        <v>84997.02557151443</v>
      </c>
      <c r="AZ260" s="138">
        <f>SUM($D260:$AY260)</f>
        <v>2736798.8485508198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sheetData>
    <row r="2" spans="1:99">
      <c r="B2" s="1" t="s">
        <v>272</v>
      </c>
    </row>
    <row r="3" spans="1:99">
      <c r="B3" s="101" t="s">
        <v>283</v>
      </c>
    </row>
    <row r="4" spans="1:99">
      <c r="A4" s="100"/>
      <c r="B4" s="100"/>
      <c r="C4" s="99" t="s">
        <v>274</v>
      </c>
      <c r="D4" s="99" t="s">
        <v>92</v>
      </c>
      <c r="E4" s="100"/>
      <c r="F4" s="100"/>
      <c r="G4" s="100"/>
      <c r="H4" s="100"/>
      <c r="I4" s="100"/>
      <c r="J4" s="100"/>
      <c r="K4" s="100"/>
      <c r="L4" s="99" t="s">
        <v>93</v>
      </c>
      <c r="M4" s="100"/>
      <c r="N4" s="100"/>
      <c r="O4" s="100"/>
      <c r="P4" s="100"/>
      <c r="Q4" s="100"/>
      <c r="R4" s="100"/>
      <c r="S4" s="100"/>
      <c r="T4" s="99" t="s">
        <v>94</v>
      </c>
      <c r="U4" s="100"/>
      <c r="V4" s="100"/>
      <c r="W4" s="100"/>
      <c r="X4" s="100"/>
      <c r="Y4" s="100"/>
      <c r="Z4" s="100"/>
      <c r="AA4" s="100"/>
      <c r="AB4" s="99" t="s">
        <v>95</v>
      </c>
      <c r="AC4" s="100"/>
      <c r="AD4" s="100"/>
      <c r="AE4" s="100"/>
      <c r="AF4" s="100"/>
      <c r="AG4" s="100"/>
      <c r="AH4" s="100"/>
      <c r="AI4" s="100"/>
      <c r="AJ4" s="99" t="s">
        <v>96</v>
      </c>
      <c r="AK4" s="100"/>
      <c r="AL4" s="100"/>
      <c r="AM4" s="100"/>
      <c r="AN4" s="100"/>
      <c r="AO4" s="100"/>
      <c r="AP4" s="100"/>
      <c r="AQ4" s="100"/>
      <c r="AR4" s="99" t="s">
        <v>97</v>
      </c>
      <c r="AS4" s="100"/>
      <c r="AT4" s="100"/>
      <c r="AU4" s="100"/>
      <c r="AV4" s="100"/>
      <c r="AW4" s="100"/>
      <c r="AX4" s="100"/>
      <c r="AY4" s="100"/>
      <c r="AZ4" s="99" t="s">
        <v>98</v>
      </c>
      <c r="BA4" s="100"/>
      <c r="BB4" s="100"/>
      <c r="BC4" s="100"/>
      <c r="BD4" s="100"/>
      <c r="BE4" s="100"/>
      <c r="BF4" s="100"/>
      <c r="BG4" s="100"/>
      <c r="BH4" s="99" t="s">
        <v>99</v>
      </c>
      <c r="BI4" s="100"/>
      <c r="BJ4" s="100"/>
      <c r="BK4" s="100"/>
      <c r="BL4" s="100"/>
      <c r="BM4" s="100"/>
      <c r="BN4" s="100"/>
      <c r="BO4" s="100"/>
      <c r="BP4" s="99" t="s">
        <v>100</v>
      </c>
      <c r="BQ4" s="100"/>
      <c r="BR4" s="100"/>
      <c r="BS4" s="100"/>
      <c r="BT4" s="100"/>
      <c r="BU4" s="100"/>
      <c r="BV4" s="100"/>
      <c r="BW4" s="100"/>
      <c r="BX4" s="99" t="s">
        <v>101</v>
      </c>
      <c r="BY4" s="100"/>
      <c r="BZ4" s="100"/>
      <c r="CA4" s="100"/>
      <c r="CB4" s="100"/>
      <c r="CC4" s="100"/>
      <c r="CD4" s="100"/>
      <c r="CE4" s="100"/>
      <c r="CF4" s="99" t="s">
        <v>102</v>
      </c>
      <c r="CG4" s="100"/>
      <c r="CH4" s="100"/>
      <c r="CI4" s="100"/>
      <c r="CJ4" s="100"/>
      <c r="CK4" s="100"/>
      <c r="CL4" s="100"/>
      <c r="CM4" s="100"/>
      <c r="CN4" s="99" t="s">
        <v>103</v>
      </c>
      <c r="CO4" s="100"/>
      <c r="CP4" s="100"/>
      <c r="CQ4" s="100"/>
      <c r="CR4" s="100"/>
      <c r="CS4" s="100"/>
      <c r="CT4" s="100"/>
      <c r="CU4" s="100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>
        <v>14</v>
      </c>
      <c r="E6">
        <v>8097.5999999999995</v>
      </c>
      <c r="F6">
        <v>15</v>
      </c>
      <c r="G6">
        <v>8676</v>
      </c>
      <c r="H6">
        <v>23</v>
      </c>
      <c r="I6">
        <v>13303.199999999999</v>
      </c>
      <c r="J6">
        <v>18.926677213488521</v>
      </c>
      <c r="K6">
        <v>10947.190100281759</v>
      </c>
      <c r="L6">
        <v>22.52720910898951</v>
      </c>
      <c r="M6">
        <v>13029.737748639533</v>
      </c>
      <c r="N6">
        <v>21</v>
      </c>
      <c r="O6">
        <v>12146.4</v>
      </c>
      <c r="P6">
        <v>15</v>
      </c>
      <c r="Q6">
        <v>8676</v>
      </c>
      <c r="R6">
        <v>18</v>
      </c>
      <c r="S6">
        <v>10411.199999999999</v>
      </c>
      <c r="T6">
        <v>20</v>
      </c>
      <c r="U6">
        <v>11568</v>
      </c>
      <c r="V6">
        <v>15</v>
      </c>
      <c r="W6">
        <v>8676</v>
      </c>
      <c r="X6">
        <v>14</v>
      </c>
      <c r="Y6">
        <v>8097.5999999999995</v>
      </c>
      <c r="Z6">
        <v>27</v>
      </c>
      <c r="AA6">
        <v>15616.8</v>
      </c>
      <c r="AB6">
        <v>25</v>
      </c>
      <c r="AC6">
        <v>14460</v>
      </c>
      <c r="AD6">
        <v>14</v>
      </c>
      <c r="AE6">
        <v>8097.5999999999995</v>
      </c>
      <c r="AF6">
        <v>17</v>
      </c>
      <c r="AG6">
        <v>9832.7999999999993</v>
      </c>
      <c r="AH6">
        <v>25</v>
      </c>
      <c r="AI6">
        <v>14460</v>
      </c>
      <c r="AJ6">
        <v>22</v>
      </c>
      <c r="AK6">
        <v>12724.8</v>
      </c>
      <c r="AL6">
        <v>23</v>
      </c>
      <c r="AM6">
        <v>13303.199999999999</v>
      </c>
      <c r="AN6">
        <v>25</v>
      </c>
      <c r="AO6">
        <v>14460</v>
      </c>
      <c r="AP6">
        <v>18.904318204661159</v>
      </c>
      <c r="AQ6">
        <v>10934.257649576013</v>
      </c>
      <c r="AR6">
        <v>25.776526184626153</v>
      </c>
      <c r="AS6">
        <v>14909.142745187766</v>
      </c>
      <c r="AT6">
        <v>16</v>
      </c>
      <c r="AU6">
        <v>9254.4</v>
      </c>
      <c r="AV6">
        <v>23</v>
      </c>
      <c r="AW6">
        <v>13303.199999999999</v>
      </c>
      <c r="AX6">
        <v>18</v>
      </c>
      <c r="AY6">
        <v>10411.199999999999</v>
      </c>
      <c r="AZ6">
        <v>15</v>
      </c>
      <c r="BA6">
        <v>8676</v>
      </c>
      <c r="BB6">
        <v>17</v>
      </c>
      <c r="BC6">
        <v>9832.7999999999993</v>
      </c>
      <c r="BD6">
        <v>21</v>
      </c>
      <c r="BE6">
        <v>12146.4</v>
      </c>
      <c r="BF6">
        <v>21</v>
      </c>
      <c r="BG6">
        <v>12146.4</v>
      </c>
      <c r="BH6">
        <v>21</v>
      </c>
      <c r="BI6">
        <v>12146.4</v>
      </c>
      <c r="BJ6">
        <v>26</v>
      </c>
      <c r="BK6">
        <v>15038.4</v>
      </c>
      <c r="BL6">
        <v>22</v>
      </c>
      <c r="BM6">
        <v>12724.8</v>
      </c>
      <c r="BN6">
        <v>20</v>
      </c>
      <c r="BO6">
        <v>11568</v>
      </c>
      <c r="BP6">
        <v>28</v>
      </c>
      <c r="BQ6">
        <v>16195.199999999999</v>
      </c>
      <c r="BR6">
        <v>17</v>
      </c>
      <c r="BS6">
        <v>9832.7999999999993</v>
      </c>
      <c r="BT6">
        <v>18</v>
      </c>
      <c r="BU6">
        <v>10411.199999999999</v>
      </c>
      <c r="BV6">
        <v>20</v>
      </c>
      <c r="BW6">
        <v>11568</v>
      </c>
      <c r="BX6">
        <v>20</v>
      </c>
      <c r="BY6">
        <v>11568</v>
      </c>
      <c r="BZ6">
        <v>17</v>
      </c>
      <c r="CA6">
        <v>9832.7999999999993</v>
      </c>
      <c r="CB6">
        <v>32</v>
      </c>
      <c r="CC6">
        <v>18508.8</v>
      </c>
      <c r="CD6">
        <v>21</v>
      </c>
      <c r="CE6">
        <v>12146.4</v>
      </c>
      <c r="CF6">
        <v>29.210057620768207</v>
      </c>
      <c r="CG6">
        <v>16895.097327852331</v>
      </c>
      <c r="CH6">
        <v>20.06605996286056</v>
      </c>
      <c r="CI6">
        <v>11606.209082518548</v>
      </c>
      <c r="CJ6">
        <v>15.736387519230073</v>
      </c>
      <c r="CK6">
        <v>9101.9265411226734</v>
      </c>
      <c r="CL6">
        <v>18.0825754521736</v>
      </c>
      <c r="CM6">
        <v>10458.961641537209</v>
      </c>
      <c r="CN6">
        <v>24</v>
      </c>
      <c r="CO6">
        <v>13881.599999999999</v>
      </c>
      <c r="CP6">
        <v>19</v>
      </c>
      <c r="CQ6">
        <v>10989.6</v>
      </c>
      <c r="CR6">
        <v>23</v>
      </c>
      <c r="CS6">
        <v>13303.199999999999</v>
      </c>
      <c r="CT6">
        <v>25</v>
      </c>
      <c r="CU6">
        <v>14460</v>
      </c>
    </row>
    <row r="7" spans="1:99">
      <c r="C7" s="99" t="s">
        <v>173</v>
      </c>
      <c r="D7">
        <v>12</v>
      </c>
      <c r="E7">
        <v>9460.7999999999993</v>
      </c>
      <c r="F7">
        <v>14</v>
      </c>
      <c r="G7">
        <v>11037.6</v>
      </c>
      <c r="H7">
        <v>22</v>
      </c>
      <c r="I7">
        <v>17344.8</v>
      </c>
      <c r="J7">
        <v>17.930536307515442</v>
      </c>
      <c r="K7">
        <v>14136.434824845175</v>
      </c>
      <c r="L7">
        <v>20.568321360381727</v>
      </c>
      <c r="M7">
        <v>16216.064560524954</v>
      </c>
      <c r="N7">
        <v>24</v>
      </c>
      <c r="O7">
        <v>18921.599999999999</v>
      </c>
      <c r="P7">
        <v>14</v>
      </c>
      <c r="Q7">
        <v>11037.6</v>
      </c>
      <c r="R7">
        <v>19</v>
      </c>
      <c r="S7">
        <v>14979.6</v>
      </c>
      <c r="T7">
        <v>17</v>
      </c>
      <c r="U7">
        <v>13402.8</v>
      </c>
      <c r="V7">
        <v>14</v>
      </c>
      <c r="W7">
        <v>11037.6</v>
      </c>
      <c r="X7">
        <v>14</v>
      </c>
      <c r="Y7">
        <v>11037.6</v>
      </c>
      <c r="Z7">
        <v>24</v>
      </c>
      <c r="AA7">
        <v>18921.599999999999</v>
      </c>
      <c r="AB7">
        <v>26</v>
      </c>
      <c r="AC7">
        <v>20498.399999999998</v>
      </c>
      <c r="AD7">
        <v>16</v>
      </c>
      <c r="AE7">
        <v>12614.4</v>
      </c>
      <c r="AF7">
        <v>17</v>
      </c>
      <c r="AG7">
        <v>13402.8</v>
      </c>
      <c r="AH7">
        <v>24</v>
      </c>
      <c r="AI7">
        <v>18921.599999999999</v>
      </c>
      <c r="AJ7">
        <v>20</v>
      </c>
      <c r="AK7">
        <v>15768</v>
      </c>
      <c r="AL7">
        <v>21</v>
      </c>
      <c r="AM7">
        <v>16556.399999999998</v>
      </c>
      <c r="AN7">
        <v>25</v>
      </c>
      <c r="AO7">
        <v>19710</v>
      </c>
      <c r="AP7">
        <v>17.185743822419237</v>
      </c>
      <c r="AQ7">
        <v>13549.240429595326</v>
      </c>
      <c r="AR7">
        <v>24.058091105651076</v>
      </c>
      <c r="AS7">
        <v>18967.399027695308</v>
      </c>
      <c r="AT7">
        <v>14</v>
      </c>
      <c r="AU7">
        <v>11037.6</v>
      </c>
      <c r="AV7">
        <v>25</v>
      </c>
      <c r="AW7">
        <v>19710</v>
      </c>
      <c r="AX7">
        <v>16</v>
      </c>
      <c r="AY7">
        <v>12614.4</v>
      </c>
      <c r="AZ7">
        <v>15</v>
      </c>
      <c r="BA7">
        <v>11826</v>
      </c>
      <c r="BB7">
        <v>16</v>
      </c>
      <c r="BC7">
        <v>12614.4</v>
      </c>
      <c r="BD7">
        <v>19</v>
      </c>
      <c r="BE7">
        <v>14979.6</v>
      </c>
      <c r="BF7">
        <v>19</v>
      </c>
      <c r="BG7">
        <v>14979.6</v>
      </c>
      <c r="BH7">
        <v>24</v>
      </c>
      <c r="BI7">
        <v>18921.599999999999</v>
      </c>
      <c r="BJ7">
        <v>26</v>
      </c>
      <c r="BK7">
        <v>20498.399999999998</v>
      </c>
      <c r="BL7">
        <v>21</v>
      </c>
      <c r="BM7">
        <v>16556.399999999998</v>
      </c>
      <c r="BN7">
        <v>19</v>
      </c>
      <c r="BO7">
        <v>14979.6</v>
      </c>
      <c r="BP7">
        <v>24</v>
      </c>
      <c r="BQ7">
        <v>18921.599999999999</v>
      </c>
      <c r="BR7">
        <v>16</v>
      </c>
      <c r="BS7">
        <v>12614.4</v>
      </c>
      <c r="BT7">
        <v>18</v>
      </c>
      <c r="BU7">
        <v>14191.199999999999</v>
      </c>
      <c r="BV7">
        <v>18</v>
      </c>
      <c r="BW7">
        <v>14191.199999999999</v>
      </c>
      <c r="BX7">
        <v>18</v>
      </c>
      <c r="BY7">
        <v>14191.199999999999</v>
      </c>
      <c r="BZ7">
        <v>15</v>
      </c>
      <c r="CA7">
        <v>11826</v>
      </c>
      <c r="CB7">
        <v>28</v>
      </c>
      <c r="CC7">
        <v>22075.200000000001</v>
      </c>
      <c r="CD7">
        <v>18</v>
      </c>
      <c r="CE7">
        <v>14191.199999999999</v>
      </c>
      <c r="CF7">
        <v>28.324904359532809</v>
      </c>
      <c r="CG7">
        <v>22331.354597055666</v>
      </c>
      <c r="CH7">
        <v>18.632769965513376</v>
      </c>
      <c r="CI7">
        <v>14690.075840810745</v>
      </c>
      <c r="CJ7">
        <v>17.392849363359552</v>
      </c>
      <c r="CK7">
        <v>13712.52243807267</v>
      </c>
      <c r="CL7">
        <v>17.359272434086659</v>
      </c>
      <c r="CM7">
        <v>13686.050387033922</v>
      </c>
      <c r="CN7">
        <v>23</v>
      </c>
      <c r="CO7">
        <v>18133.2</v>
      </c>
      <c r="CP7">
        <v>20</v>
      </c>
      <c r="CQ7">
        <v>15768</v>
      </c>
      <c r="CR7">
        <v>22</v>
      </c>
      <c r="CS7">
        <v>17344.8</v>
      </c>
      <c r="CT7">
        <v>26</v>
      </c>
      <c r="CU7">
        <v>20498.399999999998</v>
      </c>
    </row>
    <row r="8" spans="1:99">
      <c r="C8" s="99" t="s">
        <v>174</v>
      </c>
      <c r="D8">
        <v>14</v>
      </c>
      <c r="E8">
        <v>4334.3999999999996</v>
      </c>
      <c r="F8">
        <v>17</v>
      </c>
      <c r="G8">
        <v>5263.2</v>
      </c>
      <c r="H8">
        <v>21</v>
      </c>
      <c r="I8">
        <v>6501.5999999999995</v>
      </c>
      <c r="J8">
        <v>21.915099931407763</v>
      </c>
      <c r="K8">
        <v>6784.9149387638427</v>
      </c>
      <c r="L8">
        <v>22.52720910898951</v>
      </c>
      <c r="M8">
        <v>6974.4239401431514</v>
      </c>
      <c r="N8">
        <v>23</v>
      </c>
      <c r="O8">
        <v>7120.7999999999993</v>
      </c>
      <c r="P8">
        <v>16</v>
      </c>
      <c r="Q8">
        <v>4953.5999999999995</v>
      </c>
      <c r="R8">
        <v>19</v>
      </c>
      <c r="S8">
        <v>5882.4</v>
      </c>
      <c r="T8">
        <v>18</v>
      </c>
      <c r="U8">
        <v>5572.7999999999993</v>
      </c>
      <c r="V8">
        <v>16</v>
      </c>
      <c r="W8">
        <v>4953.5999999999995</v>
      </c>
      <c r="X8">
        <v>13</v>
      </c>
      <c r="Y8">
        <v>4024.7999999999997</v>
      </c>
      <c r="Z8">
        <v>24</v>
      </c>
      <c r="AA8">
        <v>7430.4</v>
      </c>
      <c r="AB8">
        <v>29</v>
      </c>
      <c r="AC8">
        <v>8978.4</v>
      </c>
      <c r="AD8">
        <v>17</v>
      </c>
      <c r="AE8">
        <v>5263.2</v>
      </c>
      <c r="AF8">
        <v>18</v>
      </c>
      <c r="AG8">
        <v>5572.7999999999993</v>
      </c>
      <c r="AH8">
        <v>23</v>
      </c>
      <c r="AI8">
        <v>7120.7999999999993</v>
      </c>
      <c r="AJ8">
        <v>23</v>
      </c>
      <c r="AK8">
        <v>7120.7999999999993</v>
      </c>
      <c r="AL8">
        <v>22</v>
      </c>
      <c r="AM8">
        <v>6811.1999999999989</v>
      </c>
      <c r="AN8">
        <v>24</v>
      </c>
      <c r="AO8">
        <v>7430.4</v>
      </c>
      <c r="AP8">
        <v>18.045031013540196</v>
      </c>
      <c r="AQ8">
        <v>5586.7416017920441</v>
      </c>
      <c r="AR8">
        <v>25.776526184626153</v>
      </c>
      <c r="AS8">
        <v>7980.4125067602563</v>
      </c>
      <c r="AT8">
        <v>17</v>
      </c>
      <c r="AU8">
        <v>5263.2</v>
      </c>
      <c r="AV8">
        <v>26</v>
      </c>
      <c r="AW8">
        <v>8049.5999999999995</v>
      </c>
      <c r="AX8">
        <v>18</v>
      </c>
      <c r="AY8">
        <v>5572.7999999999993</v>
      </c>
      <c r="AZ8">
        <v>16</v>
      </c>
      <c r="BA8">
        <v>4953.5999999999995</v>
      </c>
      <c r="BB8">
        <v>19</v>
      </c>
      <c r="BC8">
        <v>5882.4</v>
      </c>
      <c r="BD8">
        <v>20</v>
      </c>
      <c r="BE8">
        <v>6191.9999999999991</v>
      </c>
      <c r="BF8">
        <v>21</v>
      </c>
      <c r="BG8">
        <v>6501.5999999999995</v>
      </c>
      <c r="BH8">
        <v>25</v>
      </c>
      <c r="BI8">
        <v>7739.9999999999991</v>
      </c>
      <c r="BJ8">
        <v>28</v>
      </c>
      <c r="BK8">
        <v>8668.7999999999993</v>
      </c>
      <c r="BL8">
        <v>23</v>
      </c>
      <c r="BM8">
        <v>7120.7999999999993</v>
      </c>
      <c r="BN8">
        <v>23</v>
      </c>
      <c r="BO8">
        <v>7120.7999999999993</v>
      </c>
      <c r="BP8">
        <v>28</v>
      </c>
      <c r="BQ8">
        <v>8668.7999999999993</v>
      </c>
      <c r="BR8">
        <v>17</v>
      </c>
      <c r="BS8">
        <v>5263.2</v>
      </c>
      <c r="BT8">
        <v>20</v>
      </c>
      <c r="BU8">
        <v>6191.9999999999991</v>
      </c>
      <c r="BV8">
        <v>20</v>
      </c>
      <c r="BW8">
        <v>6191.9999999999991</v>
      </c>
      <c r="BX8">
        <v>21</v>
      </c>
      <c r="BY8">
        <v>6501.5999999999995</v>
      </c>
      <c r="BZ8">
        <v>17</v>
      </c>
      <c r="CA8">
        <v>5263.2</v>
      </c>
      <c r="CB8">
        <v>33</v>
      </c>
      <c r="CC8">
        <v>10216.799999999999</v>
      </c>
      <c r="CD8">
        <v>20</v>
      </c>
      <c r="CE8">
        <v>6191.9999999999991</v>
      </c>
      <c r="CF8">
        <v>27.439751098297407</v>
      </c>
      <c r="CG8">
        <v>8495.3469400328759</v>
      </c>
      <c r="CH8">
        <v>20.782704961534154</v>
      </c>
      <c r="CI8">
        <v>6434.3254560909736</v>
      </c>
      <c r="CJ8">
        <v>15.736387519230073</v>
      </c>
      <c r="CK8">
        <v>4871.9855759536304</v>
      </c>
      <c r="CL8">
        <v>16.635969415999714</v>
      </c>
      <c r="CM8">
        <v>5150.4961311935112</v>
      </c>
      <c r="CN8">
        <v>24</v>
      </c>
      <c r="CO8">
        <v>7430.4</v>
      </c>
      <c r="CP8">
        <v>21</v>
      </c>
      <c r="CQ8">
        <v>6501.5999999999995</v>
      </c>
      <c r="CR8">
        <v>23</v>
      </c>
      <c r="CS8">
        <v>7120.7999999999993</v>
      </c>
      <c r="CT8">
        <v>27</v>
      </c>
      <c r="CU8">
        <v>8359.1999999999989</v>
      </c>
    </row>
    <row r="9" spans="1:99">
      <c r="C9" s="99" t="s">
        <v>175</v>
      </c>
      <c r="D9">
        <v>13</v>
      </c>
      <c r="E9">
        <v>9126</v>
      </c>
      <c r="F9">
        <v>15</v>
      </c>
      <c r="G9">
        <v>10530</v>
      </c>
      <c r="H9">
        <v>22</v>
      </c>
      <c r="I9">
        <v>15444</v>
      </c>
      <c r="J9">
        <v>17.930536307515442</v>
      </c>
      <c r="K9">
        <v>12587.23648787584</v>
      </c>
      <c r="L9">
        <v>19.588877486077834</v>
      </c>
      <c r="M9">
        <v>13751.391995226639</v>
      </c>
      <c r="N9">
        <v>24</v>
      </c>
      <c r="O9">
        <v>16848</v>
      </c>
      <c r="P9">
        <v>14</v>
      </c>
      <c r="Q9">
        <v>9828</v>
      </c>
      <c r="R9">
        <v>20</v>
      </c>
      <c r="S9">
        <v>14040</v>
      </c>
      <c r="T9">
        <v>20</v>
      </c>
      <c r="U9">
        <v>14040</v>
      </c>
      <c r="V9">
        <v>14</v>
      </c>
      <c r="W9">
        <v>9828</v>
      </c>
      <c r="X9">
        <v>14</v>
      </c>
      <c r="Y9">
        <v>9828</v>
      </c>
      <c r="Z9">
        <v>24</v>
      </c>
      <c r="AA9">
        <v>16848</v>
      </c>
      <c r="AB9">
        <v>28</v>
      </c>
      <c r="AC9">
        <v>19656</v>
      </c>
      <c r="AD9">
        <v>15</v>
      </c>
      <c r="AE9">
        <v>10530</v>
      </c>
      <c r="AF9">
        <v>16</v>
      </c>
      <c r="AG9">
        <v>11232</v>
      </c>
      <c r="AH9">
        <v>24</v>
      </c>
      <c r="AI9">
        <v>16848</v>
      </c>
      <c r="AJ9">
        <v>20</v>
      </c>
      <c r="AK9">
        <v>14040</v>
      </c>
      <c r="AL9">
        <v>23</v>
      </c>
      <c r="AM9">
        <v>16146</v>
      </c>
      <c r="AN9">
        <v>25</v>
      </c>
      <c r="AO9">
        <v>17550</v>
      </c>
      <c r="AP9">
        <v>17.185743822419237</v>
      </c>
      <c r="AQ9">
        <v>12064.392163338305</v>
      </c>
      <c r="AR9">
        <v>22.339656026676</v>
      </c>
      <c r="AS9">
        <v>15682.438530726551</v>
      </c>
      <c r="AT9">
        <v>14</v>
      </c>
      <c r="AU9">
        <v>9828</v>
      </c>
      <c r="AV9">
        <v>22</v>
      </c>
      <c r="AW9">
        <v>15444</v>
      </c>
      <c r="AX9">
        <v>17</v>
      </c>
      <c r="AY9">
        <v>11934</v>
      </c>
      <c r="AZ9">
        <v>15</v>
      </c>
      <c r="BA9">
        <v>10530</v>
      </c>
      <c r="BB9">
        <v>15</v>
      </c>
      <c r="BC9">
        <v>10530</v>
      </c>
      <c r="BD9">
        <v>17</v>
      </c>
      <c r="BE9">
        <v>11934</v>
      </c>
      <c r="BF9">
        <v>21</v>
      </c>
      <c r="BG9">
        <v>14742</v>
      </c>
      <c r="BH9">
        <v>21</v>
      </c>
      <c r="BI9">
        <v>14742</v>
      </c>
      <c r="BJ9">
        <v>27</v>
      </c>
      <c r="BK9">
        <v>18954</v>
      </c>
      <c r="BL9">
        <v>23</v>
      </c>
      <c r="BM9">
        <v>16146</v>
      </c>
      <c r="BN9">
        <v>22</v>
      </c>
      <c r="BO9">
        <v>15444</v>
      </c>
      <c r="BP9">
        <v>26</v>
      </c>
      <c r="BQ9">
        <v>18252</v>
      </c>
      <c r="BR9">
        <v>14</v>
      </c>
      <c r="BS9">
        <v>9828</v>
      </c>
      <c r="BT9">
        <v>18</v>
      </c>
      <c r="BU9">
        <v>12636</v>
      </c>
      <c r="BV9">
        <v>20</v>
      </c>
      <c r="BW9">
        <v>14040</v>
      </c>
      <c r="BX9">
        <v>18</v>
      </c>
      <c r="BY9">
        <v>12636</v>
      </c>
      <c r="BZ9">
        <v>16</v>
      </c>
      <c r="CA9">
        <v>11232</v>
      </c>
      <c r="CB9">
        <v>29</v>
      </c>
      <c r="CC9">
        <v>20358</v>
      </c>
      <c r="CD9">
        <v>21</v>
      </c>
      <c r="CE9">
        <v>14742</v>
      </c>
      <c r="CF9">
        <v>28.324904359532809</v>
      </c>
      <c r="CG9">
        <v>19884.082860392031</v>
      </c>
      <c r="CH9">
        <v>19.34941496418697</v>
      </c>
      <c r="CI9">
        <v>13583.289304859252</v>
      </c>
      <c r="CJ9">
        <v>16.564618441294815</v>
      </c>
      <c r="CK9">
        <v>11628.36214578896</v>
      </c>
      <c r="CL9">
        <v>18.0825754521736</v>
      </c>
      <c r="CM9">
        <v>12693.967967425868</v>
      </c>
      <c r="CN9">
        <v>21</v>
      </c>
      <c r="CO9">
        <v>14742</v>
      </c>
      <c r="CP9">
        <v>21</v>
      </c>
      <c r="CQ9">
        <v>14742</v>
      </c>
      <c r="CR9">
        <v>23</v>
      </c>
      <c r="CS9">
        <v>16146</v>
      </c>
      <c r="CT9">
        <v>23</v>
      </c>
      <c r="CU9">
        <v>16146</v>
      </c>
    </row>
    <row r="10" spans="1:99">
      <c r="C10" s="99" t="s">
        <v>176</v>
      </c>
      <c r="D10">
        <v>13</v>
      </c>
      <c r="E10">
        <v>7082.4</v>
      </c>
      <c r="F10">
        <v>15</v>
      </c>
      <c r="G10">
        <v>8171.9999999999991</v>
      </c>
      <c r="H10">
        <v>21</v>
      </c>
      <c r="I10">
        <v>11440.8</v>
      </c>
      <c r="J10">
        <v>21.915099931407763</v>
      </c>
      <c r="K10">
        <v>11939.346442630947</v>
      </c>
      <c r="L10">
        <v>19.588877486077834</v>
      </c>
      <c r="M10">
        <v>10672.020454415204</v>
      </c>
      <c r="N10">
        <v>23</v>
      </c>
      <c r="O10">
        <v>12530.4</v>
      </c>
      <c r="P10">
        <v>14</v>
      </c>
      <c r="Q10">
        <v>7627.1999999999989</v>
      </c>
      <c r="R10">
        <v>20</v>
      </c>
      <c r="S10">
        <v>10896</v>
      </c>
      <c r="T10">
        <v>18</v>
      </c>
      <c r="U10">
        <v>9806.4</v>
      </c>
      <c r="V10">
        <v>16</v>
      </c>
      <c r="W10">
        <v>8716.7999999999993</v>
      </c>
      <c r="X10">
        <v>15</v>
      </c>
      <c r="Y10">
        <v>8171.9999999999991</v>
      </c>
      <c r="Z10">
        <v>27</v>
      </c>
      <c r="AA10">
        <v>14709.599999999999</v>
      </c>
      <c r="AB10">
        <v>26</v>
      </c>
      <c r="AC10">
        <v>14164.8</v>
      </c>
      <c r="AD10">
        <v>16</v>
      </c>
      <c r="AE10">
        <v>8716.7999999999993</v>
      </c>
      <c r="AF10">
        <v>20</v>
      </c>
      <c r="AG10">
        <v>10896</v>
      </c>
      <c r="AH10">
        <v>25</v>
      </c>
      <c r="AI10">
        <v>13619.999999999998</v>
      </c>
      <c r="AJ10">
        <v>22</v>
      </c>
      <c r="AK10">
        <v>11985.599999999999</v>
      </c>
      <c r="AL10">
        <v>21</v>
      </c>
      <c r="AM10">
        <v>11440.8</v>
      </c>
      <c r="AN10">
        <v>28</v>
      </c>
      <c r="AO10">
        <v>15254.399999999998</v>
      </c>
      <c r="AP10">
        <v>18.045031013540196</v>
      </c>
      <c r="AQ10">
        <v>9830.9328961766987</v>
      </c>
      <c r="AR10">
        <v>23.198873566163538</v>
      </c>
      <c r="AS10">
        <v>12638.746318845895</v>
      </c>
      <c r="AT10">
        <v>15</v>
      </c>
      <c r="AU10">
        <v>8171.9999999999991</v>
      </c>
      <c r="AV10">
        <v>25</v>
      </c>
      <c r="AW10">
        <v>13619.999999999998</v>
      </c>
      <c r="AX10">
        <v>16</v>
      </c>
      <c r="AY10">
        <v>8716.7999999999993</v>
      </c>
      <c r="AZ10">
        <v>14</v>
      </c>
      <c r="BA10">
        <v>7627.1999999999989</v>
      </c>
      <c r="BB10">
        <v>17</v>
      </c>
      <c r="BC10">
        <v>9261.5999999999985</v>
      </c>
      <c r="BD10">
        <v>19</v>
      </c>
      <c r="BE10">
        <v>10351.199999999999</v>
      </c>
      <c r="BF10">
        <v>23</v>
      </c>
      <c r="BG10">
        <v>12530.4</v>
      </c>
      <c r="BH10">
        <v>22</v>
      </c>
      <c r="BI10">
        <v>11985.599999999999</v>
      </c>
      <c r="BJ10">
        <v>25</v>
      </c>
      <c r="BK10">
        <v>13619.999999999998</v>
      </c>
      <c r="BL10">
        <v>24</v>
      </c>
      <c r="BM10">
        <v>13075.199999999999</v>
      </c>
      <c r="BN10">
        <v>21</v>
      </c>
      <c r="BO10">
        <v>11440.8</v>
      </c>
      <c r="BP10">
        <v>25</v>
      </c>
      <c r="BQ10">
        <v>13619.999999999998</v>
      </c>
      <c r="BR10">
        <v>18</v>
      </c>
      <c r="BS10">
        <v>9806.4</v>
      </c>
      <c r="BT10">
        <v>17</v>
      </c>
      <c r="BU10">
        <v>9261.5999999999985</v>
      </c>
      <c r="BV10">
        <v>18</v>
      </c>
      <c r="BW10">
        <v>9806.4</v>
      </c>
      <c r="BX10">
        <v>19</v>
      </c>
      <c r="BY10">
        <v>10351.199999999999</v>
      </c>
      <c r="BZ10">
        <v>15</v>
      </c>
      <c r="CA10">
        <v>8171.9999999999991</v>
      </c>
      <c r="CB10">
        <v>33</v>
      </c>
      <c r="CC10">
        <v>17978.399999999998</v>
      </c>
      <c r="CD10">
        <v>21</v>
      </c>
      <c r="CE10">
        <v>11440.8</v>
      </c>
      <c r="CF10">
        <v>28.324904359532809</v>
      </c>
      <c r="CG10">
        <v>15431.407895073473</v>
      </c>
      <c r="CH10">
        <v>20.06605996286056</v>
      </c>
      <c r="CI10">
        <v>10931.989467766432</v>
      </c>
      <c r="CJ10">
        <v>14.90815659716533</v>
      </c>
      <c r="CK10">
        <v>8121.9637141356716</v>
      </c>
      <c r="CL10">
        <v>18.0825754521736</v>
      </c>
      <c r="CM10">
        <v>9851.3871063441766</v>
      </c>
      <c r="CN10">
        <v>23</v>
      </c>
      <c r="CO10">
        <v>12530.4</v>
      </c>
      <c r="CP10">
        <v>22</v>
      </c>
      <c r="CQ10">
        <v>11985.599999999999</v>
      </c>
      <c r="CR10">
        <v>22</v>
      </c>
      <c r="CS10">
        <v>11985.599999999999</v>
      </c>
      <c r="CT10">
        <v>27</v>
      </c>
      <c r="CU10">
        <v>14709.599999999999</v>
      </c>
    </row>
    <row r="11" spans="1:99">
      <c r="C11" s="99" t="s">
        <v>177</v>
      </c>
      <c r="D11">
        <v>12</v>
      </c>
      <c r="E11">
        <v>6393.5999999999995</v>
      </c>
      <c r="F11">
        <v>15</v>
      </c>
      <c r="G11">
        <v>7991.9999999999991</v>
      </c>
      <c r="H11">
        <v>22</v>
      </c>
      <c r="I11">
        <v>11721.599999999999</v>
      </c>
      <c r="J11">
        <v>18.926677213488521</v>
      </c>
      <c r="K11">
        <v>10084.133619346683</v>
      </c>
      <c r="L11">
        <v>20.568321360381727</v>
      </c>
      <c r="M11">
        <v>10958.801620811384</v>
      </c>
      <c r="N11">
        <v>25</v>
      </c>
      <c r="O11">
        <v>13319.999999999998</v>
      </c>
      <c r="P11">
        <v>14</v>
      </c>
      <c r="Q11">
        <v>7459.1999999999989</v>
      </c>
      <c r="R11">
        <v>21</v>
      </c>
      <c r="S11">
        <v>11188.8</v>
      </c>
      <c r="T11">
        <v>18</v>
      </c>
      <c r="U11">
        <v>9590.4</v>
      </c>
      <c r="V11">
        <v>14</v>
      </c>
      <c r="W11">
        <v>7459.1999999999989</v>
      </c>
      <c r="X11">
        <v>14</v>
      </c>
      <c r="Y11">
        <v>7459.1999999999989</v>
      </c>
      <c r="Z11">
        <v>25</v>
      </c>
      <c r="AA11">
        <v>13319.999999999998</v>
      </c>
      <c r="AB11">
        <v>25</v>
      </c>
      <c r="AC11">
        <v>13319.999999999998</v>
      </c>
      <c r="AD11">
        <v>15</v>
      </c>
      <c r="AE11">
        <v>7991.9999999999991</v>
      </c>
      <c r="AF11">
        <v>19</v>
      </c>
      <c r="AG11">
        <v>10123.199999999999</v>
      </c>
      <c r="AH11">
        <v>23</v>
      </c>
      <c r="AI11">
        <v>12254.4</v>
      </c>
      <c r="AJ11">
        <v>21</v>
      </c>
      <c r="AK11">
        <v>11188.8</v>
      </c>
      <c r="AL11">
        <v>22</v>
      </c>
      <c r="AM11">
        <v>11721.599999999999</v>
      </c>
      <c r="AN11">
        <v>24</v>
      </c>
      <c r="AO11">
        <v>12787.199999999999</v>
      </c>
      <c r="AP11">
        <v>18.904318204661159</v>
      </c>
      <c r="AQ11">
        <v>10072.220739443464</v>
      </c>
      <c r="AR11">
        <v>25.776526184626153</v>
      </c>
      <c r="AS11">
        <v>13733.733151168813</v>
      </c>
      <c r="AT11">
        <v>16</v>
      </c>
      <c r="AU11">
        <v>8524.7999999999993</v>
      </c>
      <c r="AV11">
        <v>24</v>
      </c>
      <c r="AW11">
        <v>12787.199999999999</v>
      </c>
      <c r="AX11">
        <v>15</v>
      </c>
      <c r="AY11">
        <v>7991.9999999999991</v>
      </c>
      <c r="AZ11">
        <v>15</v>
      </c>
      <c r="BA11">
        <v>7991.9999999999991</v>
      </c>
      <c r="BB11">
        <v>15</v>
      </c>
      <c r="BC11">
        <v>7991.9999999999991</v>
      </c>
      <c r="BD11">
        <v>17</v>
      </c>
      <c r="BE11">
        <v>9057.5999999999985</v>
      </c>
      <c r="BF11">
        <v>20</v>
      </c>
      <c r="BG11">
        <v>10656</v>
      </c>
      <c r="BH11">
        <v>22</v>
      </c>
      <c r="BI11">
        <v>11721.599999999999</v>
      </c>
      <c r="BJ11">
        <v>25</v>
      </c>
      <c r="BK11">
        <v>13319.999999999998</v>
      </c>
      <c r="BL11">
        <v>25</v>
      </c>
      <c r="BM11">
        <v>13319.999999999998</v>
      </c>
      <c r="BN11">
        <v>21</v>
      </c>
      <c r="BO11">
        <v>11188.8</v>
      </c>
      <c r="BP11">
        <v>25</v>
      </c>
      <c r="BQ11">
        <v>13319.999999999998</v>
      </c>
      <c r="BR11">
        <v>18</v>
      </c>
      <c r="BS11">
        <v>9590.4</v>
      </c>
      <c r="BT11">
        <v>20</v>
      </c>
      <c r="BU11">
        <v>10656</v>
      </c>
      <c r="BV11">
        <v>19</v>
      </c>
      <c r="BW11">
        <v>10123.199999999999</v>
      </c>
      <c r="BX11">
        <v>20</v>
      </c>
      <c r="BY11">
        <v>10656</v>
      </c>
      <c r="BZ11">
        <v>16</v>
      </c>
      <c r="CA11">
        <v>8524.7999999999993</v>
      </c>
      <c r="CB11">
        <v>32</v>
      </c>
      <c r="CC11">
        <v>17049.599999999999</v>
      </c>
      <c r="CD11">
        <v>19</v>
      </c>
      <c r="CE11">
        <v>10123.199999999999</v>
      </c>
      <c r="CF11">
        <v>24.784291314591208</v>
      </c>
      <c r="CG11">
        <v>13205.070412414194</v>
      </c>
      <c r="CH11">
        <v>18.632769965513376</v>
      </c>
      <c r="CI11">
        <v>9927.5398376255253</v>
      </c>
      <c r="CJ11">
        <v>18.221080285424293</v>
      </c>
      <c r="CK11">
        <v>9708.1915760740631</v>
      </c>
      <c r="CL11">
        <v>18.0825754521736</v>
      </c>
      <c r="CM11">
        <v>9634.3962009180941</v>
      </c>
      <c r="CN11">
        <v>22</v>
      </c>
      <c r="CO11">
        <v>11721.599999999999</v>
      </c>
      <c r="CP11">
        <v>21</v>
      </c>
      <c r="CQ11">
        <v>11188.8</v>
      </c>
      <c r="CR11">
        <v>21</v>
      </c>
      <c r="CS11">
        <v>11188.8</v>
      </c>
      <c r="CT11">
        <v>27</v>
      </c>
      <c r="CU11">
        <v>14385.599999999999</v>
      </c>
    </row>
    <row r="12" spans="1:99">
      <c r="C12" s="99" t="s">
        <v>178</v>
      </c>
      <c r="D12">
        <v>14</v>
      </c>
      <c r="E12">
        <v>7879.1999999999989</v>
      </c>
      <c r="F12">
        <v>16</v>
      </c>
      <c r="G12">
        <v>9004.7999999999993</v>
      </c>
      <c r="H12">
        <v>20</v>
      </c>
      <c r="I12">
        <v>11256</v>
      </c>
      <c r="J12">
        <v>20.918959025434681</v>
      </c>
      <c r="K12">
        <v>11773.190139514638</v>
      </c>
      <c r="L12">
        <v>20.568321360381727</v>
      </c>
      <c r="M12">
        <v>11575.851261622834</v>
      </c>
      <c r="N12">
        <v>22</v>
      </c>
      <c r="O12">
        <v>12381.599999999999</v>
      </c>
      <c r="P12">
        <v>15</v>
      </c>
      <c r="Q12">
        <v>8442</v>
      </c>
      <c r="R12">
        <v>18</v>
      </c>
      <c r="S12">
        <v>10130.4</v>
      </c>
      <c r="T12">
        <v>18</v>
      </c>
      <c r="U12">
        <v>10130.4</v>
      </c>
      <c r="V12">
        <v>14</v>
      </c>
      <c r="W12">
        <v>7879.1999999999989</v>
      </c>
      <c r="X12">
        <v>14</v>
      </c>
      <c r="Y12">
        <v>7879.1999999999989</v>
      </c>
      <c r="Z12">
        <v>25</v>
      </c>
      <c r="AA12">
        <v>14069.999999999998</v>
      </c>
      <c r="AB12">
        <v>26</v>
      </c>
      <c r="AC12">
        <v>14632.8</v>
      </c>
      <c r="AD12">
        <v>16</v>
      </c>
      <c r="AE12">
        <v>9004.7999999999993</v>
      </c>
      <c r="AF12">
        <v>18</v>
      </c>
      <c r="AG12">
        <v>10130.4</v>
      </c>
      <c r="AH12">
        <v>23</v>
      </c>
      <c r="AI12">
        <v>12944.4</v>
      </c>
      <c r="AJ12">
        <v>21</v>
      </c>
      <c r="AK12">
        <v>11818.8</v>
      </c>
      <c r="AL12">
        <v>22</v>
      </c>
      <c r="AM12">
        <v>12381.599999999999</v>
      </c>
      <c r="AN12">
        <v>24</v>
      </c>
      <c r="AO12">
        <v>13507.199999999999</v>
      </c>
      <c r="AP12">
        <v>19.763605395782122</v>
      </c>
      <c r="AQ12">
        <v>11122.957116746178</v>
      </c>
      <c r="AR12">
        <v>23.198873566163538</v>
      </c>
      <c r="AS12">
        <v>13056.326043036839</v>
      </c>
      <c r="AT12">
        <v>14</v>
      </c>
      <c r="AU12">
        <v>7879.1999999999989</v>
      </c>
      <c r="AV12">
        <v>24</v>
      </c>
      <c r="AW12">
        <v>13507.199999999999</v>
      </c>
      <c r="AX12">
        <v>16</v>
      </c>
      <c r="AY12">
        <v>9004.7999999999993</v>
      </c>
      <c r="AZ12">
        <v>16</v>
      </c>
      <c r="BA12">
        <v>9004.7999999999993</v>
      </c>
      <c r="BB12">
        <v>17</v>
      </c>
      <c r="BC12">
        <v>9567.5999999999985</v>
      </c>
      <c r="BD12">
        <v>21</v>
      </c>
      <c r="BE12">
        <v>11818.8</v>
      </c>
      <c r="BF12">
        <v>21</v>
      </c>
      <c r="BG12">
        <v>11818.8</v>
      </c>
      <c r="BH12">
        <v>24</v>
      </c>
      <c r="BI12">
        <v>13507.199999999999</v>
      </c>
      <c r="BJ12">
        <v>25</v>
      </c>
      <c r="BK12">
        <v>14069.999999999998</v>
      </c>
      <c r="BL12">
        <v>22</v>
      </c>
      <c r="BM12">
        <v>12381.599999999999</v>
      </c>
      <c r="BN12">
        <v>22</v>
      </c>
      <c r="BO12">
        <v>12381.599999999999</v>
      </c>
      <c r="BP12">
        <v>25</v>
      </c>
      <c r="BQ12">
        <v>14069.999999999998</v>
      </c>
      <c r="BR12">
        <v>17</v>
      </c>
      <c r="BS12">
        <v>9567.5999999999985</v>
      </c>
      <c r="BT12">
        <v>17</v>
      </c>
      <c r="BU12">
        <v>9567.5999999999985</v>
      </c>
      <c r="BV12">
        <v>20</v>
      </c>
      <c r="BW12">
        <v>11256</v>
      </c>
      <c r="BX12">
        <v>20</v>
      </c>
      <c r="BY12">
        <v>11256</v>
      </c>
      <c r="BZ12">
        <v>15</v>
      </c>
      <c r="CA12">
        <v>8442</v>
      </c>
      <c r="CB12">
        <v>29</v>
      </c>
      <c r="CC12">
        <v>16321.199999999999</v>
      </c>
      <c r="CD12">
        <v>22</v>
      </c>
      <c r="CE12">
        <v>12381.599999999999</v>
      </c>
      <c r="CF12">
        <v>24.784291314591208</v>
      </c>
      <c r="CG12">
        <v>13948.599151851931</v>
      </c>
      <c r="CH12">
        <v>20.06605996286056</v>
      </c>
      <c r="CI12">
        <v>11293.178547097923</v>
      </c>
      <c r="CJ12">
        <v>16.564618441294815</v>
      </c>
      <c r="CK12">
        <v>9322.5672587607205</v>
      </c>
      <c r="CL12">
        <v>17.359272434086659</v>
      </c>
      <c r="CM12">
        <v>9769.7985259039706</v>
      </c>
      <c r="CN12">
        <v>23</v>
      </c>
      <c r="CO12">
        <v>12944.4</v>
      </c>
      <c r="CP12">
        <v>22</v>
      </c>
      <c r="CQ12">
        <v>12381.599999999999</v>
      </c>
      <c r="CR12">
        <v>23</v>
      </c>
      <c r="CS12">
        <v>12944.4</v>
      </c>
      <c r="CT12">
        <v>26</v>
      </c>
      <c r="CU12">
        <v>14632.8</v>
      </c>
    </row>
    <row r="13" spans="1:99">
      <c r="C13" s="99" t="s">
        <v>179</v>
      </c>
      <c r="D13">
        <v>15</v>
      </c>
      <c r="E13">
        <v>1278</v>
      </c>
      <c r="F13">
        <v>15</v>
      </c>
      <c r="G13">
        <v>1278</v>
      </c>
      <c r="H13">
        <v>22</v>
      </c>
      <c r="I13">
        <v>1874.4</v>
      </c>
      <c r="J13">
        <v>22.911240837380845</v>
      </c>
      <c r="K13">
        <v>1952.037719344848</v>
      </c>
      <c r="L13">
        <v>23.506652983293403</v>
      </c>
      <c r="M13">
        <v>2002.766834176598</v>
      </c>
      <c r="N13">
        <v>24</v>
      </c>
      <c r="O13">
        <v>2044.8000000000002</v>
      </c>
      <c r="P13">
        <v>15</v>
      </c>
      <c r="Q13">
        <v>1278</v>
      </c>
      <c r="R13">
        <v>21</v>
      </c>
      <c r="S13">
        <v>1789.2</v>
      </c>
      <c r="T13">
        <v>19</v>
      </c>
      <c r="U13">
        <v>1618.8</v>
      </c>
      <c r="V13">
        <v>16</v>
      </c>
      <c r="W13">
        <v>1363.2</v>
      </c>
      <c r="X13">
        <v>15</v>
      </c>
      <c r="Y13">
        <v>1278</v>
      </c>
      <c r="Z13">
        <v>26</v>
      </c>
      <c r="AA13">
        <v>2215.2000000000003</v>
      </c>
      <c r="AB13">
        <v>27</v>
      </c>
      <c r="AC13">
        <v>2300.4</v>
      </c>
      <c r="AD13">
        <v>18</v>
      </c>
      <c r="AE13">
        <v>1533.6000000000001</v>
      </c>
      <c r="AF13">
        <v>21</v>
      </c>
      <c r="AG13">
        <v>1789.2</v>
      </c>
      <c r="AH13">
        <v>24</v>
      </c>
      <c r="AI13">
        <v>2044.8000000000002</v>
      </c>
      <c r="AJ13">
        <v>23</v>
      </c>
      <c r="AK13">
        <v>1959.6000000000001</v>
      </c>
      <c r="AL13">
        <v>25</v>
      </c>
      <c r="AM13">
        <v>2130</v>
      </c>
      <c r="AN13">
        <v>26</v>
      </c>
      <c r="AO13">
        <v>2215.2000000000003</v>
      </c>
      <c r="AP13">
        <v>20.622892586903081</v>
      </c>
      <c r="AQ13">
        <v>1757.0704484041426</v>
      </c>
      <c r="AR13">
        <v>23.198873566163538</v>
      </c>
      <c r="AS13">
        <v>1976.5440278371336</v>
      </c>
      <c r="AT13">
        <v>15</v>
      </c>
      <c r="AU13">
        <v>1278</v>
      </c>
      <c r="AV13">
        <v>23</v>
      </c>
      <c r="AW13">
        <v>1959.6000000000001</v>
      </c>
      <c r="AX13">
        <v>17</v>
      </c>
      <c r="AY13">
        <v>1448.4</v>
      </c>
      <c r="AZ13">
        <v>15</v>
      </c>
      <c r="BA13">
        <v>1278</v>
      </c>
      <c r="BB13">
        <v>17</v>
      </c>
      <c r="BC13">
        <v>1448.4</v>
      </c>
      <c r="BD13">
        <v>22</v>
      </c>
      <c r="BE13">
        <v>1874.4</v>
      </c>
      <c r="BF13">
        <v>21</v>
      </c>
      <c r="BG13">
        <v>1789.2</v>
      </c>
      <c r="BH13">
        <v>25</v>
      </c>
      <c r="BI13">
        <v>2130</v>
      </c>
      <c r="BJ13">
        <v>27</v>
      </c>
      <c r="BK13">
        <v>2300.4</v>
      </c>
      <c r="BL13">
        <v>24</v>
      </c>
      <c r="BM13">
        <v>2044.8000000000002</v>
      </c>
      <c r="BN13">
        <v>22</v>
      </c>
      <c r="BO13">
        <v>1874.4</v>
      </c>
      <c r="BP13">
        <v>28</v>
      </c>
      <c r="BQ13">
        <v>2385.6</v>
      </c>
      <c r="BR13">
        <v>19</v>
      </c>
      <c r="BS13">
        <v>1618.8</v>
      </c>
      <c r="BT13">
        <v>21</v>
      </c>
      <c r="BU13">
        <v>1789.2</v>
      </c>
      <c r="BV13">
        <v>21</v>
      </c>
      <c r="BW13">
        <v>1789.2</v>
      </c>
      <c r="BX13">
        <v>21</v>
      </c>
      <c r="BY13">
        <v>1789.2</v>
      </c>
      <c r="BZ13">
        <v>18</v>
      </c>
      <c r="CA13">
        <v>1533.6000000000001</v>
      </c>
      <c r="CB13">
        <v>35</v>
      </c>
      <c r="CC13">
        <v>2982</v>
      </c>
      <c r="CD13">
        <v>23</v>
      </c>
      <c r="CE13">
        <v>1959.6000000000001</v>
      </c>
      <c r="CF13">
        <v>30.095210882003606</v>
      </c>
      <c r="CG13">
        <v>2564.1119671467072</v>
      </c>
      <c r="CH13">
        <v>19.34941496418697</v>
      </c>
      <c r="CI13">
        <v>1648.5701549487299</v>
      </c>
      <c r="CJ13">
        <v>19.049311207489033</v>
      </c>
      <c r="CK13">
        <v>1623.0013148780656</v>
      </c>
      <c r="CL13">
        <v>17.359272434086659</v>
      </c>
      <c r="CM13">
        <v>1479.0100113841834</v>
      </c>
      <c r="CN13">
        <v>25</v>
      </c>
      <c r="CO13">
        <v>2130</v>
      </c>
      <c r="CP13">
        <v>22</v>
      </c>
      <c r="CQ13">
        <v>1874.4</v>
      </c>
      <c r="CR13">
        <v>25</v>
      </c>
      <c r="CS13">
        <v>2130</v>
      </c>
      <c r="CT13">
        <v>26</v>
      </c>
      <c r="CU13">
        <v>2215.2000000000003</v>
      </c>
    </row>
    <row r="14" spans="1:99">
      <c r="C14" s="99" t="s">
        <v>180</v>
      </c>
      <c r="D14">
        <v>14</v>
      </c>
      <c r="E14">
        <v>6837.5999999999995</v>
      </c>
      <c r="F14">
        <v>16</v>
      </c>
      <c r="G14">
        <v>7814.4</v>
      </c>
      <c r="H14">
        <v>21</v>
      </c>
      <c r="I14">
        <v>10256.4</v>
      </c>
      <c r="J14">
        <v>21.915099931407763</v>
      </c>
      <c r="K14">
        <v>10703.334806499552</v>
      </c>
      <c r="L14">
        <v>20.568321360381727</v>
      </c>
      <c r="M14">
        <v>10045.568152410435</v>
      </c>
      <c r="N14">
        <v>25</v>
      </c>
      <c r="O14">
        <v>12210</v>
      </c>
      <c r="P14">
        <v>16</v>
      </c>
      <c r="Q14">
        <v>7814.4</v>
      </c>
      <c r="R14">
        <v>21</v>
      </c>
      <c r="S14">
        <v>10256.4</v>
      </c>
      <c r="T14">
        <v>20</v>
      </c>
      <c r="U14">
        <v>9768</v>
      </c>
      <c r="V14">
        <v>14</v>
      </c>
      <c r="W14">
        <v>6837.5999999999995</v>
      </c>
      <c r="X14">
        <v>15</v>
      </c>
      <c r="Y14">
        <v>7326</v>
      </c>
      <c r="Z14">
        <v>28</v>
      </c>
      <c r="AA14">
        <v>13675.199999999999</v>
      </c>
      <c r="AB14">
        <v>25</v>
      </c>
      <c r="AC14">
        <v>12210</v>
      </c>
      <c r="AD14">
        <v>15</v>
      </c>
      <c r="AE14">
        <v>7326</v>
      </c>
      <c r="AF14">
        <v>19</v>
      </c>
      <c r="AG14">
        <v>9279.6</v>
      </c>
      <c r="AH14">
        <v>25</v>
      </c>
      <c r="AI14">
        <v>12210</v>
      </c>
      <c r="AJ14">
        <v>21</v>
      </c>
      <c r="AK14">
        <v>10256.4</v>
      </c>
      <c r="AL14">
        <v>22</v>
      </c>
      <c r="AM14">
        <v>10744.8</v>
      </c>
      <c r="AN14">
        <v>26</v>
      </c>
      <c r="AO14">
        <v>12698.4</v>
      </c>
      <c r="AP14">
        <v>18.904318204661159</v>
      </c>
      <c r="AQ14">
        <v>9232.8690111565102</v>
      </c>
      <c r="AR14">
        <v>22.339656026676</v>
      </c>
      <c r="AS14">
        <v>10910.688003428559</v>
      </c>
      <c r="AT14">
        <v>15</v>
      </c>
      <c r="AU14">
        <v>7326</v>
      </c>
      <c r="AV14">
        <v>22</v>
      </c>
      <c r="AW14">
        <v>10744.8</v>
      </c>
      <c r="AX14">
        <v>17</v>
      </c>
      <c r="AY14">
        <v>8302.7999999999993</v>
      </c>
      <c r="AZ14">
        <v>14</v>
      </c>
      <c r="BA14">
        <v>6837.5999999999995</v>
      </c>
      <c r="BB14">
        <v>18</v>
      </c>
      <c r="BC14">
        <v>8791.1999999999989</v>
      </c>
      <c r="BD14">
        <v>19</v>
      </c>
      <c r="BE14">
        <v>9279.6</v>
      </c>
      <c r="BF14">
        <v>23</v>
      </c>
      <c r="BG14">
        <v>11233.199999999999</v>
      </c>
      <c r="BH14">
        <v>25</v>
      </c>
      <c r="BI14">
        <v>12210</v>
      </c>
      <c r="BJ14">
        <v>29</v>
      </c>
      <c r="BK14">
        <v>14163.599999999999</v>
      </c>
      <c r="BL14">
        <v>26</v>
      </c>
      <c r="BM14">
        <v>12698.4</v>
      </c>
      <c r="BN14">
        <v>23</v>
      </c>
      <c r="BO14">
        <v>11233.199999999999</v>
      </c>
      <c r="BP14">
        <v>24</v>
      </c>
      <c r="BQ14">
        <v>11721.599999999999</v>
      </c>
      <c r="BR14">
        <v>15</v>
      </c>
      <c r="BS14">
        <v>7326</v>
      </c>
      <c r="BT14">
        <v>19</v>
      </c>
      <c r="BU14">
        <v>9279.6</v>
      </c>
      <c r="BV14">
        <v>17</v>
      </c>
      <c r="BW14">
        <v>8302.7999999999993</v>
      </c>
      <c r="BX14">
        <v>19</v>
      </c>
      <c r="BY14">
        <v>9279.6</v>
      </c>
      <c r="BZ14">
        <v>16</v>
      </c>
      <c r="CA14">
        <v>7814.4</v>
      </c>
      <c r="CB14">
        <v>33</v>
      </c>
      <c r="CC14">
        <v>16117.199999999999</v>
      </c>
      <c r="CD14">
        <v>20</v>
      </c>
      <c r="CE14">
        <v>9768</v>
      </c>
      <c r="CF14">
        <v>27.439751098297407</v>
      </c>
      <c r="CG14">
        <v>13401.574436408453</v>
      </c>
      <c r="CH14">
        <v>21.499349960207745</v>
      </c>
      <c r="CI14">
        <v>10500.282520565463</v>
      </c>
      <c r="CJ14">
        <v>15.736387519230073</v>
      </c>
      <c r="CK14">
        <v>7685.6516643919676</v>
      </c>
      <c r="CL14">
        <v>17.359272434086659</v>
      </c>
      <c r="CM14">
        <v>8478.2686568079243</v>
      </c>
      <c r="CN14">
        <v>22</v>
      </c>
      <c r="CO14">
        <v>10744.8</v>
      </c>
      <c r="CP14">
        <v>19</v>
      </c>
      <c r="CQ14">
        <v>9279.6</v>
      </c>
      <c r="CR14">
        <v>25</v>
      </c>
      <c r="CS14">
        <v>12210</v>
      </c>
      <c r="CT14">
        <v>25</v>
      </c>
      <c r="CU14">
        <v>12210</v>
      </c>
    </row>
    <row r="15" spans="1:99">
      <c r="C15" s="99" t="s">
        <v>181</v>
      </c>
      <c r="D15">
        <v>12</v>
      </c>
      <c r="E15">
        <v>9158.4</v>
      </c>
      <c r="F15">
        <v>16</v>
      </c>
      <c r="G15">
        <v>12211.199999999999</v>
      </c>
      <c r="H15">
        <v>22</v>
      </c>
      <c r="I15">
        <v>16790.399999999998</v>
      </c>
      <c r="J15">
        <v>21.915099931407763</v>
      </c>
      <c r="K15">
        <v>16725.604267650404</v>
      </c>
      <c r="L15">
        <v>18.609433611773945</v>
      </c>
      <c r="M15">
        <v>14202.719732505873</v>
      </c>
      <c r="N15">
        <v>23</v>
      </c>
      <c r="O15">
        <v>17553.599999999999</v>
      </c>
      <c r="P15">
        <v>14</v>
      </c>
      <c r="Q15">
        <v>10684.8</v>
      </c>
      <c r="R15">
        <v>17</v>
      </c>
      <c r="S15">
        <v>12974.4</v>
      </c>
      <c r="T15">
        <v>20</v>
      </c>
      <c r="U15">
        <v>15263.999999999998</v>
      </c>
      <c r="V15">
        <v>14</v>
      </c>
      <c r="W15">
        <v>10684.8</v>
      </c>
      <c r="X15">
        <v>14</v>
      </c>
      <c r="Y15">
        <v>10684.8</v>
      </c>
      <c r="Z15">
        <v>23</v>
      </c>
      <c r="AA15">
        <v>17553.599999999999</v>
      </c>
      <c r="AB15">
        <v>25</v>
      </c>
      <c r="AC15">
        <v>19080</v>
      </c>
      <c r="AD15">
        <v>14</v>
      </c>
      <c r="AE15">
        <v>10684.8</v>
      </c>
      <c r="AF15">
        <v>19</v>
      </c>
      <c r="AG15">
        <v>14500.8</v>
      </c>
      <c r="AH15">
        <v>22</v>
      </c>
      <c r="AI15">
        <v>16790.399999999998</v>
      </c>
      <c r="AJ15">
        <v>22</v>
      </c>
      <c r="AK15">
        <v>16790.399999999998</v>
      </c>
      <c r="AL15">
        <v>20</v>
      </c>
      <c r="AM15">
        <v>15263.999999999998</v>
      </c>
      <c r="AN15">
        <v>25</v>
      </c>
      <c r="AO15">
        <v>19080</v>
      </c>
      <c r="AP15">
        <v>18.904318204661159</v>
      </c>
      <c r="AQ15">
        <v>14427.775653797395</v>
      </c>
      <c r="AR15">
        <v>25.776526184626153</v>
      </c>
      <c r="AS15">
        <v>19672.644784106677</v>
      </c>
      <c r="AT15">
        <v>15</v>
      </c>
      <c r="AU15">
        <v>11447.999999999998</v>
      </c>
      <c r="AV15">
        <v>24</v>
      </c>
      <c r="AW15">
        <v>18316.8</v>
      </c>
      <c r="AX15">
        <v>15</v>
      </c>
      <c r="AY15">
        <v>11447.999999999998</v>
      </c>
      <c r="AZ15">
        <v>16</v>
      </c>
      <c r="BA15">
        <v>12211.199999999999</v>
      </c>
      <c r="BB15">
        <v>16</v>
      </c>
      <c r="BC15">
        <v>12211.199999999999</v>
      </c>
      <c r="BD15">
        <v>17</v>
      </c>
      <c r="BE15">
        <v>12974.4</v>
      </c>
      <c r="BF15">
        <v>22</v>
      </c>
      <c r="BG15">
        <v>16790.399999999998</v>
      </c>
      <c r="BH15">
        <v>20</v>
      </c>
      <c r="BI15">
        <v>15263.999999999998</v>
      </c>
      <c r="BJ15">
        <v>27</v>
      </c>
      <c r="BK15">
        <v>20606.399999999998</v>
      </c>
      <c r="BL15">
        <v>22</v>
      </c>
      <c r="BM15">
        <v>16790.399999999998</v>
      </c>
      <c r="BN15">
        <v>21</v>
      </c>
      <c r="BO15">
        <v>16027.199999999999</v>
      </c>
      <c r="BP15">
        <v>27</v>
      </c>
      <c r="BQ15">
        <v>20606.399999999998</v>
      </c>
      <c r="BR15">
        <v>15</v>
      </c>
      <c r="BS15">
        <v>11447.999999999998</v>
      </c>
      <c r="BT15">
        <v>19</v>
      </c>
      <c r="BU15">
        <v>14500.8</v>
      </c>
      <c r="BV15">
        <v>20</v>
      </c>
      <c r="BW15">
        <v>15263.999999999998</v>
      </c>
      <c r="BX15">
        <v>21</v>
      </c>
      <c r="BY15">
        <v>16027.199999999999</v>
      </c>
      <c r="BZ15">
        <v>17</v>
      </c>
      <c r="CA15">
        <v>12974.4</v>
      </c>
      <c r="CB15">
        <v>31</v>
      </c>
      <c r="CC15">
        <v>23659.199999999997</v>
      </c>
      <c r="CD15">
        <v>19</v>
      </c>
      <c r="CE15">
        <v>14500.8</v>
      </c>
      <c r="CF15">
        <v>28.324904359532809</v>
      </c>
      <c r="CG15">
        <v>21617.567007195437</v>
      </c>
      <c r="CH15">
        <v>17.916124966839785</v>
      </c>
      <c r="CI15">
        <v>13673.586574692123</v>
      </c>
      <c r="CJ15">
        <v>14.90815659716533</v>
      </c>
      <c r="CK15">
        <v>11377.905114956578</v>
      </c>
      <c r="CL15">
        <v>15.912666397912771</v>
      </c>
      <c r="CM15">
        <v>12144.546994887025</v>
      </c>
      <c r="CN15">
        <v>20</v>
      </c>
      <c r="CO15">
        <v>15263.999999999998</v>
      </c>
      <c r="CP15">
        <v>20</v>
      </c>
      <c r="CQ15">
        <v>15263.999999999998</v>
      </c>
      <c r="CR15">
        <v>24</v>
      </c>
      <c r="CS15">
        <v>18316.8</v>
      </c>
      <c r="CT15">
        <v>27</v>
      </c>
      <c r="CU15">
        <v>20606.399999999998</v>
      </c>
    </row>
    <row r="16" spans="1:99">
      <c r="C16" s="99" t="s">
        <v>182</v>
      </c>
      <c r="D16">
        <v>14</v>
      </c>
      <c r="E16">
        <v>4771.2</v>
      </c>
      <c r="F16">
        <v>16</v>
      </c>
      <c r="G16">
        <v>5452.8</v>
      </c>
      <c r="H16">
        <v>21</v>
      </c>
      <c r="I16">
        <v>7156.8</v>
      </c>
      <c r="J16">
        <v>19.922818119461603</v>
      </c>
      <c r="K16">
        <v>6789.6964151125148</v>
      </c>
      <c r="L16">
        <v>19.588877486077834</v>
      </c>
      <c r="M16">
        <v>6675.8894472553256</v>
      </c>
      <c r="N16">
        <v>24</v>
      </c>
      <c r="O16">
        <v>8179.2000000000007</v>
      </c>
      <c r="P16">
        <v>16</v>
      </c>
      <c r="Q16">
        <v>5452.8</v>
      </c>
      <c r="R16">
        <v>19</v>
      </c>
      <c r="S16">
        <v>6475.2</v>
      </c>
      <c r="T16">
        <v>20</v>
      </c>
      <c r="U16">
        <v>6816</v>
      </c>
      <c r="V16">
        <v>14</v>
      </c>
      <c r="W16">
        <v>4771.2</v>
      </c>
      <c r="X16">
        <v>13</v>
      </c>
      <c r="Y16">
        <v>4430.4000000000005</v>
      </c>
      <c r="Z16">
        <v>25</v>
      </c>
      <c r="AA16">
        <v>8520</v>
      </c>
      <c r="AB16">
        <v>24</v>
      </c>
      <c r="AC16">
        <v>8179.2000000000007</v>
      </c>
      <c r="AD16">
        <v>16</v>
      </c>
      <c r="AE16">
        <v>5452.8</v>
      </c>
      <c r="AF16">
        <v>18</v>
      </c>
      <c r="AG16">
        <v>6134.4000000000005</v>
      </c>
      <c r="AH16">
        <v>22</v>
      </c>
      <c r="AI16">
        <v>7497.6</v>
      </c>
      <c r="AJ16">
        <v>20</v>
      </c>
      <c r="AK16">
        <v>6816</v>
      </c>
      <c r="AL16">
        <v>23</v>
      </c>
      <c r="AM16">
        <v>7838.4000000000005</v>
      </c>
      <c r="AN16">
        <v>24</v>
      </c>
      <c r="AO16">
        <v>8179.2000000000007</v>
      </c>
      <c r="AP16">
        <v>19.763605395782122</v>
      </c>
      <c r="AQ16">
        <v>6735.4367188825472</v>
      </c>
      <c r="AR16">
        <v>22.339656026676</v>
      </c>
      <c r="AS16">
        <v>7613.3547738911811</v>
      </c>
      <c r="AT16">
        <v>16</v>
      </c>
      <c r="AU16">
        <v>5452.8</v>
      </c>
      <c r="AV16">
        <v>26</v>
      </c>
      <c r="AW16">
        <v>8860.8000000000011</v>
      </c>
      <c r="AX16">
        <v>16</v>
      </c>
      <c r="AY16">
        <v>5452.8</v>
      </c>
      <c r="AZ16">
        <v>15</v>
      </c>
      <c r="BA16">
        <v>5112</v>
      </c>
      <c r="BB16">
        <v>19</v>
      </c>
      <c r="BC16">
        <v>6475.2</v>
      </c>
      <c r="BD16">
        <v>20</v>
      </c>
      <c r="BE16">
        <v>6816</v>
      </c>
      <c r="BF16">
        <v>20</v>
      </c>
      <c r="BG16">
        <v>6816</v>
      </c>
      <c r="BH16">
        <v>22</v>
      </c>
      <c r="BI16">
        <v>7497.6</v>
      </c>
      <c r="BJ16">
        <v>27</v>
      </c>
      <c r="BK16">
        <v>9201.6</v>
      </c>
      <c r="BL16">
        <v>23</v>
      </c>
      <c r="BM16">
        <v>7838.4000000000005</v>
      </c>
      <c r="BN16">
        <v>20</v>
      </c>
      <c r="BO16">
        <v>6816</v>
      </c>
      <c r="BP16">
        <v>27</v>
      </c>
      <c r="BQ16">
        <v>9201.6</v>
      </c>
      <c r="BR16">
        <v>16</v>
      </c>
      <c r="BS16">
        <v>5452.8</v>
      </c>
      <c r="BT16">
        <v>18</v>
      </c>
      <c r="BU16">
        <v>6134.4000000000005</v>
      </c>
      <c r="BV16">
        <v>18</v>
      </c>
      <c r="BW16">
        <v>6134.4000000000005</v>
      </c>
      <c r="BX16">
        <v>22</v>
      </c>
      <c r="BY16">
        <v>7497.6</v>
      </c>
      <c r="BZ16">
        <v>17</v>
      </c>
      <c r="CA16">
        <v>5793.6</v>
      </c>
      <c r="CB16">
        <v>31</v>
      </c>
      <c r="CC16">
        <v>10564.800000000001</v>
      </c>
      <c r="CD16">
        <v>20</v>
      </c>
      <c r="CE16">
        <v>6816</v>
      </c>
      <c r="CF16">
        <v>27.439751098297407</v>
      </c>
      <c r="CG16">
        <v>9351.4671742997562</v>
      </c>
      <c r="CH16">
        <v>20.782704961534154</v>
      </c>
      <c r="CI16">
        <v>7082.7458508908403</v>
      </c>
      <c r="CJ16">
        <v>18.221080285424293</v>
      </c>
      <c r="CK16">
        <v>6209.7441612725988</v>
      </c>
      <c r="CL16">
        <v>18.805878470260549</v>
      </c>
      <c r="CM16">
        <v>6409.043382664795</v>
      </c>
      <c r="CN16">
        <v>25</v>
      </c>
      <c r="CO16">
        <v>8520</v>
      </c>
      <c r="CP16">
        <v>20</v>
      </c>
      <c r="CQ16">
        <v>6816</v>
      </c>
      <c r="CR16">
        <v>22</v>
      </c>
      <c r="CS16">
        <v>7497.6</v>
      </c>
      <c r="CT16">
        <v>25</v>
      </c>
      <c r="CU16">
        <v>8520</v>
      </c>
    </row>
    <row r="17" spans="2:99">
      <c r="C17" s="99" t="s">
        <v>183</v>
      </c>
      <c r="D17">
        <v>14</v>
      </c>
      <c r="E17">
        <v>5913.5999999999995</v>
      </c>
      <c r="F17">
        <v>16</v>
      </c>
      <c r="G17">
        <v>6758.4</v>
      </c>
      <c r="H17">
        <v>22</v>
      </c>
      <c r="I17">
        <v>9292.7999999999993</v>
      </c>
      <c r="J17">
        <v>18.926677213488521</v>
      </c>
      <c r="K17">
        <v>7994.628454977551</v>
      </c>
      <c r="L17">
        <v>19.588877486077834</v>
      </c>
      <c r="M17">
        <v>8274.3418501192773</v>
      </c>
      <c r="N17">
        <v>22</v>
      </c>
      <c r="O17">
        <v>9292.7999999999993</v>
      </c>
      <c r="P17">
        <v>15</v>
      </c>
      <c r="Q17">
        <v>6336</v>
      </c>
      <c r="R17">
        <v>19</v>
      </c>
      <c r="S17">
        <v>8025.5999999999995</v>
      </c>
      <c r="T17">
        <v>18</v>
      </c>
      <c r="U17">
        <v>7603.2</v>
      </c>
      <c r="V17">
        <v>16</v>
      </c>
      <c r="W17">
        <v>6758.4</v>
      </c>
      <c r="X17">
        <v>15</v>
      </c>
      <c r="Y17">
        <v>6336</v>
      </c>
      <c r="Z17">
        <v>24</v>
      </c>
      <c r="AA17">
        <v>10137.599999999999</v>
      </c>
      <c r="AB17">
        <v>25</v>
      </c>
      <c r="AC17">
        <v>10560</v>
      </c>
      <c r="AD17">
        <v>14</v>
      </c>
      <c r="AE17">
        <v>5913.5999999999995</v>
      </c>
      <c r="AF17">
        <v>19</v>
      </c>
      <c r="AG17">
        <v>8025.5999999999995</v>
      </c>
      <c r="AH17">
        <v>24</v>
      </c>
      <c r="AI17">
        <v>10137.599999999999</v>
      </c>
      <c r="AJ17">
        <v>22</v>
      </c>
      <c r="AK17">
        <v>9292.7999999999993</v>
      </c>
      <c r="AL17">
        <v>24</v>
      </c>
      <c r="AM17">
        <v>10137.599999999999</v>
      </c>
      <c r="AN17">
        <v>27</v>
      </c>
      <c r="AO17">
        <v>11404.8</v>
      </c>
      <c r="AP17">
        <v>19.763605395782122</v>
      </c>
      <c r="AQ17">
        <v>8348.1469191783672</v>
      </c>
      <c r="AR17">
        <v>22.339656026676</v>
      </c>
      <c r="AS17">
        <v>9436.270705667941</v>
      </c>
      <c r="AT17">
        <v>17</v>
      </c>
      <c r="AU17">
        <v>7180.7999999999993</v>
      </c>
      <c r="AV17">
        <v>24</v>
      </c>
      <c r="AW17">
        <v>10137.599999999999</v>
      </c>
      <c r="AX17">
        <v>18</v>
      </c>
      <c r="AY17">
        <v>7603.2</v>
      </c>
      <c r="AZ17">
        <v>15</v>
      </c>
      <c r="BA17">
        <v>6336</v>
      </c>
      <c r="BB17">
        <v>16</v>
      </c>
      <c r="BC17">
        <v>6758.4</v>
      </c>
      <c r="BD17">
        <v>21</v>
      </c>
      <c r="BE17">
        <v>8870.4</v>
      </c>
      <c r="BF17">
        <v>22</v>
      </c>
      <c r="BG17">
        <v>9292.7999999999993</v>
      </c>
      <c r="BH17">
        <v>23</v>
      </c>
      <c r="BI17">
        <v>9715.1999999999989</v>
      </c>
      <c r="BJ17">
        <v>25</v>
      </c>
      <c r="BK17">
        <v>10560</v>
      </c>
      <c r="BL17">
        <v>26</v>
      </c>
      <c r="BM17">
        <v>10982.4</v>
      </c>
      <c r="BN17">
        <v>20</v>
      </c>
      <c r="BO17">
        <v>8448</v>
      </c>
      <c r="BP17">
        <v>28</v>
      </c>
      <c r="BQ17">
        <v>11827.199999999999</v>
      </c>
      <c r="BR17">
        <v>16</v>
      </c>
      <c r="BS17">
        <v>6758.4</v>
      </c>
      <c r="BT17">
        <v>20</v>
      </c>
      <c r="BU17">
        <v>8448</v>
      </c>
      <c r="BV17">
        <v>21</v>
      </c>
      <c r="BW17">
        <v>8870.4</v>
      </c>
      <c r="BX17">
        <v>22</v>
      </c>
      <c r="BY17">
        <v>9292.7999999999993</v>
      </c>
      <c r="BZ17">
        <v>16</v>
      </c>
      <c r="CA17">
        <v>6758.4</v>
      </c>
      <c r="CB17">
        <v>32</v>
      </c>
      <c r="CC17">
        <v>13516.8</v>
      </c>
      <c r="CD17">
        <v>20</v>
      </c>
      <c r="CE17">
        <v>8448</v>
      </c>
      <c r="CF17">
        <v>29.210057620768207</v>
      </c>
      <c r="CG17">
        <v>12338.328339012491</v>
      </c>
      <c r="CH17">
        <v>20.782704961534154</v>
      </c>
      <c r="CI17">
        <v>8778.6145757520262</v>
      </c>
      <c r="CJ17">
        <v>18.221080285424293</v>
      </c>
      <c r="CK17">
        <v>7696.5843125632209</v>
      </c>
      <c r="CL17">
        <v>17.359272434086659</v>
      </c>
      <c r="CM17">
        <v>7332.556676158204</v>
      </c>
      <c r="CN17">
        <v>24</v>
      </c>
      <c r="CO17">
        <v>10137.599999999999</v>
      </c>
      <c r="CP17">
        <v>21</v>
      </c>
      <c r="CQ17">
        <v>8870.4</v>
      </c>
      <c r="CR17">
        <v>25</v>
      </c>
      <c r="CS17">
        <v>10560</v>
      </c>
      <c r="CT17">
        <v>28</v>
      </c>
      <c r="CU17">
        <v>11827.199999999999</v>
      </c>
    </row>
    <row r="18" spans="2:99">
      <c r="C18" s="99" t="s">
        <v>184</v>
      </c>
      <c r="D18">
        <v>14</v>
      </c>
      <c r="E18">
        <v>9139.1999999999989</v>
      </c>
      <c r="F18">
        <v>13</v>
      </c>
      <c r="G18">
        <v>8486.4</v>
      </c>
      <c r="H18">
        <v>23</v>
      </c>
      <c r="I18">
        <v>15014.4</v>
      </c>
      <c r="J18">
        <v>18.926677213488521</v>
      </c>
      <c r="K18">
        <v>12355.334884965305</v>
      </c>
      <c r="L18">
        <v>19.588877486077834</v>
      </c>
      <c r="M18">
        <v>12787.61922291161</v>
      </c>
      <c r="N18">
        <v>25</v>
      </c>
      <c r="O18">
        <v>16319.999999999998</v>
      </c>
      <c r="P18">
        <v>15</v>
      </c>
      <c r="Q18">
        <v>9792</v>
      </c>
      <c r="R18">
        <v>20</v>
      </c>
      <c r="S18">
        <v>13056</v>
      </c>
      <c r="T18">
        <v>18</v>
      </c>
      <c r="U18">
        <v>11750.4</v>
      </c>
      <c r="V18">
        <v>14</v>
      </c>
      <c r="W18">
        <v>9139.1999999999989</v>
      </c>
      <c r="X18">
        <v>13</v>
      </c>
      <c r="Y18">
        <v>8486.4</v>
      </c>
      <c r="Z18">
        <v>23</v>
      </c>
      <c r="AA18">
        <v>15014.4</v>
      </c>
      <c r="AB18">
        <v>24</v>
      </c>
      <c r="AC18">
        <v>15667.199999999999</v>
      </c>
      <c r="AD18">
        <v>14</v>
      </c>
      <c r="AE18">
        <v>9139.1999999999989</v>
      </c>
      <c r="AF18">
        <v>17</v>
      </c>
      <c r="AG18">
        <v>11097.599999999999</v>
      </c>
      <c r="AH18">
        <v>23</v>
      </c>
      <c r="AI18">
        <v>15014.4</v>
      </c>
      <c r="AJ18">
        <v>19</v>
      </c>
      <c r="AK18">
        <v>12403.199999999999</v>
      </c>
      <c r="AL18">
        <v>20</v>
      </c>
      <c r="AM18">
        <v>13056</v>
      </c>
      <c r="AN18">
        <v>25</v>
      </c>
      <c r="AO18">
        <v>16319.999999999998</v>
      </c>
      <c r="AP18">
        <v>18.045031013540196</v>
      </c>
      <c r="AQ18">
        <v>11779.79624563904</v>
      </c>
      <c r="AR18">
        <v>22.339656026676</v>
      </c>
      <c r="AS18">
        <v>14583.327454214092</v>
      </c>
      <c r="AT18">
        <v>15</v>
      </c>
      <c r="AU18">
        <v>9792</v>
      </c>
      <c r="AV18">
        <v>24</v>
      </c>
      <c r="AW18">
        <v>15667.199999999999</v>
      </c>
      <c r="AX18">
        <v>16</v>
      </c>
      <c r="AY18">
        <v>10444.799999999999</v>
      </c>
      <c r="AZ18">
        <v>16</v>
      </c>
      <c r="BA18">
        <v>10444.799999999999</v>
      </c>
      <c r="BB18">
        <v>15</v>
      </c>
      <c r="BC18">
        <v>9792</v>
      </c>
      <c r="BD18">
        <v>21</v>
      </c>
      <c r="BE18">
        <v>13708.8</v>
      </c>
      <c r="BF18">
        <v>20</v>
      </c>
      <c r="BG18">
        <v>13056</v>
      </c>
      <c r="BH18">
        <v>24</v>
      </c>
      <c r="BI18">
        <v>15667.199999999999</v>
      </c>
      <c r="BJ18">
        <v>29</v>
      </c>
      <c r="BK18">
        <v>18931.199999999997</v>
      </c>
      <c r="BL18">
        <v>24</v>
      </c>
      <c r="BM18">
        <v>15667.199999999999</v>
      </c>
      <c r="BN18">
        <v>22</v>
      </c>
      <c r="BO18">
        <v>14361.599999999999</v>
      </c>
      <c r="BP18">
        <v>25</v>
      </c>
      <c r="BQ18">
        <v>16319.999999999998</v>
      </c>
      <c r="BR18">
        <v>17</v>
      </c>
      <c r="BS18">
        <v>11097.599999999999</v>
      </c>
      <c r="BT18">
        <v>16</v>
      </c>
      <c r="BU18">
        <v>10444.799999999999</v>
      </c>
      <c r="BV18">
        <v>17</v>
      </c>
      <c r="BW18">
        <v>11097.599999999999</v>
      </c>
      <c r="BX18">
        <v>21</v>
      </c>
      <c r="BY18">
        <v>13708.8</v>
      </c>
      <c r="BZ18">
        <v>16</v>
      </c>
      <c r="CA18">
        <v>10444.799999999999</v>
      </c>
      <c r="CB18">
        <v>31</v>
      </c>
      <c r="CC18">
        <v>20236.8</v>
      </c>
      <c r="CD18">
        <v>19</v>
      </c>
      <c r="CE18">
        <v>12403.199999999999</v>
      </c>
      <c r="CF18">
        <v>27.439751098297407</v>
      </c>
      <c r="CG18">
        <v>17912.669516968544</v>
      </c>
      <c r="CH18">
        <v>17.916124966839785</v>
      </c>
      <c r="CI18">
        <v>11695.646378353011</v>
      </c>
      <c r="CJ18">
        <v>17.392849363359552</v>
      </c>
      <c r="CK18">
        <v>11354.052064401116</v>
      </c>
      <c r="CL18">
        <v>18.0825754521736</v>
      </c>
      <c r="CM18">
        <v>11804.305255178926</v>
      </c>
      <c r="CN18">
        <v>21</v>
      </c>
      <c r="CO18">
        <v>13708.8</v>
      </c>
      <c r="CP18">
        <v>22</v>
      </c>
      <c r="CQ18">
        <v>14361.599999999999</v>
      </c>
      <c r="CR18">
        <v>24</v>
      </c>
      <c r="CS18">
        <v>15667.199999999999</v>
      </c>
      <c r="CT18">
        <v>23</v>
      </c>
      <c r="CU18">
        <v>15014.4</v>
      </c>
    </row>
    <row r="19" spans="2:99">
      <c r="C19" s="99" t="s">
        <v>185</v>
      </c>
      <c r="D19">
        <v>12</v>
      </c>
      <c r="E19">
        <v>3960</v>
      </c>
      <c r="F19">
        <v>14</v>
      </c>
      <c r="G19">
        <v>4620</v>
      </c>
      <c r="H19">
        <v>22</v>
      </c>
      <c r="I19">
        <v>7260</v>
      </c>
      <c r="J19">
        <v>19.922818119461603</v>
      </c>
      <c r="K19">
        <v>6574.5299794223292</v>
      </c>
      <c r="L19">
        <v>22.52720910898951</v>
      </c>
      <c r="M19">
        <v>7433.9790059665384</v>
      </c>
      <c r="N19">
        <v>25</v>
      </c>
      <c r="O19">
        <v>8250</v>
      </c>
      <c r="P19">
        <v>16</v>
      </c>
      <c r="Q19">
        <v>5280</v>
      </c>
      <c r="R19">
        <v>18</v>
      </c>
      <c r="S19">
        <v>5940</v>
      </c>
      <c r="T19">
        <v>20</v>
      </c>
      <c r="U19">
        <v>6600</v>
      </c>
      <c r="V19">
        <v>16</v>
      </c>
      <c r="W19">
        <v>5280</v>
      </c>
      <c r="X19">
        <v>16</v>
      </c>
      <c r="Y19">
        <v>5280</v>
      </c>
      <c r="Z19">
        <v>28</v>
      </c>
      <c r="AA19">
        <v>9240</v>
      </c>
      <c r="AB19">
        <v>25</v>
      </c>
      <c r="AC19">
        <v>8250</v>
      </c>
      <c r="AD19">
        <v>15</v>
      </c>
      <c r="AE19">
        <v>4950</v>
      </c>
      <c r="AF19">
        <v>19</v>
      </c>
      <c r="AG19">
        <v>6270</v>
      </c>
      <c r="AH19">
        <v>26</v>
      </c>
      <c r="AI19">
        <v>8580</v>
      </c>
      <c r="AJ19">
        <v>22</v>
      </c>
      <c r="AK19">
        <v>7260</v>
      </c>
      <c r="AL19">
        <v>23</v>
      </c>
      <c r="AM19">
        <v>7590</v>
      </c>
      <c r="AN19">
        <v>26</v>
      </c>
      <c r="AO19">
        <v>8580</v>
      </c>
      <c r="AP19">
        <v>19.763605395782122</v>
      </c>
      <c r="AQ19">
        <v>6521.9897806080999</v>
      </c>
      <c r="AR19">
        <v>24.917308645138615</v>
      </c>
      <c r="AS19">
        <v>8222.7118528957435</v>
      </c>
      <c r="AT19">
        <v>15</v>
      </c>
      <c r="AU19">
        <v>4950</v>
      </c>
      <c r="AV19">
        <v>23</v>
      </c>
      <c r="AW19">
        <v>7590</v>
      </c>
      <c r="AX19">
        <v>18</v>
      </c>
      <c r="AY19">
        <v>5940</v>
      </c>
      <c r="AZ19">
        <v>14</v>
      </c>
      <c r="BA19">
        <v>4620</v>
      </c>
      <c r="BB19">
        <v>17</v>
      </c>
      <c r="BC19">
        <v>5610</v>
      </c>
      <c r="BD19">
        <v>20</v>
      </c>
      <c r="BE19">
        <v>6600</v>
      </c>
      <c r="BF19">
        <v>22</v>
      </c>
      <c r="BG19">
        <v>7260</v>
      </c>
      <c r="BH19">
        <v>24</v>
      </c>
      <c r="BI19">
        <v>7920</v>
      </c>
      <c r="BJ19">
        <v>29</v>
      </c>
      <c r="BK19">
        <v>9570</v>
      </c>
      <c r="BL19">
        <v>24</v>
      </c>
      <c r="BM19">
        <v>7920</v>
      </c>
      <c r="BN19">
        <v>23</v>
      </c>
      <c r="BO19">
        <v>7590</v>
      </c>
      <c r="BP19">
        <v>26</v>
      </c>
      <c r="BQ19">
        <v>8580</v>
      </c>
      <c r="BR19">
        <v>16</v>
      </c>
      <c r="BS19">
        <v>5280</v>
      </c>
      <c r="BT19">
        <v>17</v>
      </c>
      <c r="BU19">
        <v>5610</v>
      </c>
      <c r="BV19">
        <v>21</v>
      </c>
      <c r="BW19">
        <v>6930</v>
      </c>
      <c r="BX19">
        <v>21</v>
      </c>
      <c r="BY19">
        <v>6930</v>
      </c>
      <c r="BZ19">
        <v>15</v>
      </c>
      <c r="CA19">
        <v>4950</v>
      </c>
      <c r="CB19">
        <v>30</v>
      </c>
      <c r="CC19">
        <v>9900</v>
      </c>
      <c r="CD19">
        <v>20</v>
      </c>
      <c r="CE19">
        <v>6600</v>
      </c>
      <c r="CF19">
        <v>25.669444575826606</v>
      </c>
      <c r="CG19">
        <v>8470.9167100227805</v>
      </c>
      <c r="CH19">
        <v>20.06605996286056</v>
      </c>
      <c r="CI19">
        <v>6621.7997877439848</v>
      </c>
      <c r="CJ19">
        <v>18.221080285424293</v>
      </c>
      <c r="CK19">
        <v>6012.9564941900162</v>
      </c>
      <c r="CL19">
        <v>18.0825754521736</v>
      </c>
      <c r="CM19">
        <v>5967.2498992172877</v>
      </c>
      <c r="CN19">
        <v>24</v>
      </c>
      <c r="CO19">
        <v>7920</v>
      </c>
      <c r="CP19">
        <v>19</v>
      </c>
      <c r="CQ19">
        <v>6270</v>
      </c>
      <c r="CR19">
        <v>25</v>
      </c>
      <c r="CS19">
        <v>8250</v>
      </c>
      <c r="CT19">
        <v>26</v>
      </c>
      <c r="CU19">
        <v>8580</v>
      </c>
    </row>
    <row r="20" spans="2:99">
      <c r="B20" s="99" t="s">
        <v>127</v>
      </c>
      <c r="C20" s="99" t="s">
        <v>186</v>
      </c>
      <c r="D20">
        <v>23</v>
      </c>
      <c r="E20">
        <v>6596.4000000000005</v>
      </c>
      <c r="F20">
        <v>18</v>
      </c>
      <c r="G20">
        <v>5162.4000000000005</v>
      </c>
      <c r="H20">
        <v>16</v>
      </c>
      <c r="I20">
        <v>4588.8</v>
      </c>
      <c r="J20">
        <v>21.915099931407763</v>
      </c>
      <c r="K20">
        <v>6285.250660327747</v>
      </c>
      <c r="L20">
        <v>27.424428480508968</v>
      </c>
      <c r="M20">
        <v>7865.3260882099721</v>
      </c>
      <c r="N20">
        <v>19</v>
      </c>
      <c r="O20">
        <v>5449.2</v>
      </c>
      <c r="P20">
        <v>18</v>
      </c>
      <c r="Q20">
        <v>5162.4000000000005</v>
      </c>
      <c r="R20">
        <v>13</v>
      </c>
      <c r="S20">
        <v>3728.4</v>
      </c>
      <c r="T20">
        <v>26</v>
      </c>
      <c r="U20">
        <v>7456.8</v>
      </c>
      <c r="V20">
        <v>20</v>
      </c>
      <c r="W20">
        <v>5736</v>
      </c>
      <c r="X20">
        <v>22</v>
      </c>
      <c r="Y20">
        <v>6309.6</v>
      </c>
      <c r="Z20">
        <v>27</v>
      </c>
      <c r="AA20">
        <v>7743.6</v>
      </c>
      <c r="AB20">
        <v>22</v>
      </c>
      <c r="AC20">
        <v>6309.6</v>
      </c>
      <c r="AD20">
        <v>19</v>
      </c>
      <c r="AE20">
        <v>5449.2</v>
      </c>
      <c r="AF20">
        <v>20</v>
      </c>
      <c r="AG20">
        <v>5736</v>
      </c>
      <c r="AH20">
        <v>20</v>
      </c>
      <c r="AI20">
        <v>5736</v>
      </c>
      <c r="AJ20">
        <v>28</v>
      </c>
      <c r="AK20">
        <v>8030.4000000000005</v>
      </c>
      <c r="AL20">
        <v>18</v>
      </c>
      <c r="AM20">
        <v>5162.4000000000005</v>
      </c>
      <c r="AN20">
        <v>21</v>
      </c>
      <c r="AO20">
        <v>6022.8</v>
      </c>
      <c r="AP20">
        <v>18.045031013540196</v>
      </c>
      <c r="AQ20">
        <v>5175.3148946833289</v>
      </c>
      <c r="AR20">
        <v>24.058091105651076</v>
      </c>
      <c r="AS20">
        <v>6899.8605291007289</v>
      </c>
      <c r="AT20">
        <v>25</v>
      </c>
      <c r="AU20">
        <v>7170</v>
      </c>
      <c r="AV20">
        <v>18</v>
      </c>
      <c r="AW20">
        <v>5162.4000000000005</v>
      </c>
      <c r="AX20">
        <v>15</v>
      </c>
      <c r="AY20">
        <v>4302</v>
      </c>
      <c r="AZ20">
        <v>26</v>
      </c>
      <c r="BA20">
        <v>7456.8</v>
      </c>
      <c r="BB20">
        <v>27</v>
      </c>
      <c r="BC20">
        <v>7743.6</v>
      </c>
      <c r="BD20">
        <v>21</v>
      </c>
      <c r="BE20">
        <v>6022.8</v>
      </c>
      <c r="BF20">
        <v>22</v>
      </c>
      <c r="BG20">
        <v>6309.6</v>
      </c>
      <c r="BH20">
        <v>24</v>
      </c>
      <c r="BI20">
        <v>6883.2000000000007</v>
      </c>
      <c r="BJ20">
        <v>25</v>
      </c>
      <c r="BK20">
        <v>7170</v>
      </c>
      <c r="BL20">
        <v>21</v>
      </c>
      <c r="BM20">
        <v>6022.8</v>
      </c>
      <c r="BN20">
        <v>27</v>
      </c>
      <c r="BO20">
        <v>7743.6</v>
      </c>
      <c r="BP20">
        <v>33</v>
      </c>
      <c r="BQ20">
        <v>9464.4</v>
      </c>
      <c r="BR20">
        <v>28</v>
      </c>
      <c r="BS20">
        <v>8030.4000000000005</v>
      </c>
      <c r="BT20">
        <v>19</v>
      </c>
      <c r="BU20">
        <v>5449.2</v>
      </c>
      <c r="BV20">
        <v>28</v>
      </c>
      <c r="BW20">
        <v>8030.4000000000005</v>
      </c>
      <c r="BX20">
        <v>33</v>
      </c>
      <c r="BY20">
        <v>9464.4</v>
      </c>
      <c r="BZ20">
        <v>27</v>
      </c>
      <c r="CA20">
        <v>7743.6</v>
      </c>
      <c r="CB20">
        <v>19</v>
      </c>
      <c r="CC20">
        <v>5449.2</v>
      </c>
      <c r="CD20">
        <v>32</v>
      </c>
      <c r="CE20">
        <v>9177.6</v>
      </c>
      <c r="CF20">
        <v>25.669444575826606</v>
      </c>
      <c r="CG20">
        <v>7361.9967043470706</v>
      </c>
      <c r="CH20">
        <v>21.499349960207745</v>
      </c>
      <c r="CI20">
        <v>6166.0135685875812</v>
      </c>
      <c r="CJ20">
        <v>18.221080285424293</v>
      </c>
      <c r="CK20">
        <v>5225.8058258596875</v>
      </c>
      <c r="CL20">
        <v>15.189363379825826</v>
      </c>
      <c r="CM20">
        <v>4356.3094173340469</v>
      </c>
      <c r="CN20">
        <v>25</v>
      </c>
      <c r="CO20">
        <v>7170</v>
      </c>
      <c r="CP20">
        <v>17</v>
      </c>
      <c r="CQ20">
        <v>4875.6000000000004</v>
      </c>
      <c r="CR20">
        <v>23</v>
      </c>
      <c r="CS20">
        <v>6596.4000000000005</v>
      </c>
      <c r="CT20">
        <v>21</v>
      </c>
      <c r="CU20">
        <v>6022.8</v>
      </c>
    </row>
    <row r="21" spans="2:99">
      <c r="C21" s="99" t="s">
        <v>187</v>
      </c>
      <c r="D21">
        <v>21</v>
      </c>
      <c r="E21">
        <v>1310.3999999999999</v>
      </c>
      <c r="F21">
        <v>17</v>
      </c>
      <c r="G21">
        <v>1060.8</v>
      </c>
      <c r="H21">
        <v>19</v>
      </c>
      <c r="I21">
        <v>1185.5999999999999</v>
      </c>
      <c r="J21">
        <v>21.915099931407763</v>
      </c>
      <c r="K21">
        <v>1367.5022357198443</v>
      </c>
      <c r="L21">
        <v>28.403872354812862</v>
      </c>
      <c r="M21">
        <v>1772.4016349403225</v>
      </c>
      <c r="N21">
        <v>21</v>
      </c>
      <c r="O21">
        <v>1310.3999999999999</v>
      </c>
      <c r="P21">
        <v>17</v>
      </c>
      <c r="Q21">
        <v>1060.8</v>
      </c>
      <c r="R21">
        <v>15</v>
      </c>
      <c r="S21">
        <v>936</v>
      </c>
      <c r="T21">
        <v>29</v>
      </c>
      <c r="U21">
        <v>1809.6</v>
      </c>
      <c r="V21">
        <v>21</v>
      </c>
      <c r="W21">
        <v>1310.3999999999999</v>
      </c>
      <c r="X21">
        <v>23</v>
      </c>
      <c r="Y21">
        <v>1435.2</v>
      </c>
      <c r="Z21">
        <v>29</v>
      </c>
      <c r="AA21">
        <v>1809.6</v>
      </c>
      <c r="AB21">
        <v>20</v>
      </c>
      <c r="AC21">
        <v>1248</v>
      </c>
      <c r="AD21">
        <v>19</v>
      </c>
      <c r="AE21">
        <v>1185.5999999999999</v>
      </c>
      <c r="AF21">
        <v>21</v>
      </c>
      <c r="AG21">
        <v>1310.3999999999999</v>
      </c>
      <c r="AH21">
        <v>18</v>
      </c>
      <c r="AI21">
        <v>1123.2</v>
      </c>
      <c r="AJ21">
        <v>27</v>
      </c>
      <c r="AK21">
        <v>1684.8</v>
      </c>
      <c r="AL21">
        <v>20</v>
      </c>
      <c r="AM21">
        <v>1248</v>
      </c>
      <c r="AN21">
        <v>22</v>
      </c>
      <c r="AO21">
        <v>1372.8</v>
      </c>
      <c r="AP21">
        <v>20.622892586903081</v>
      </c>
      <c r="AQ21">
        <v>1286.8684974227522</v>
      </c>
      <c r="AR21">
        <v>23.198873566163538</v>
      </c>
      <c r="AS21">
        <v>1447.6097105286046</v>
      </c>
      <c r="AT21">
        <v>23</v>
      </c>
      <c r="AU21">
        <v>1435.2</v>
      </c>
      <c r="AV21">
        <v>18</v>
      </c>
      <c r="AW21">
        <v>1123.2</v>
      </c>
      <c r="AX21">
        <v>15</v>
      </c>
      <c r="AY21">
        <v>936</v>
      </c>
      <c r="AZ21">
        <v>25</v>
      </c>
      <c r="BA21">
        <v>1560</v>
      </c>
      <c r="BB21">
        <v>23</v>
      </c>
      <c r="BC21">
        <v>1435.2</v>
      </c>
      <c r="BD21">
        <v>24</v>
      </c>
      <c r="BE21">
        <v>1497.6</v>
      </c>
      <c r="BF21">
        <v>25</v>
      </c>
      <c r="BG21">
        <v>1560</v>
      </c>
      <c r="BH21">
        <v>23</v>
      </c>
      <c r="BI21">
        <v>1435.2</v>
      </c>
      <c r="BJ21">
        <v>27</v>
      </c>
      <c r="BK21">
        <v>1684.8</v>
      </c>
      <c r="BL21">
        <v>21</v>
      </c>
      <c r="BM21">
        <v>1310.3999999999999</v>
      </c>
      <c r="BN21">
        <v>30</v>
      </c>
      <c r="BO21">
        <v>1872</v>
      </c>
      <c r="BP21">
        <v>31</v>
      </c>
      <c r="BQ21">
        <v>1934.3999999999999</v>
      </c>
      <c r="BR21">
        <v>27</v>
      </c>
      <c r="BS21">
        <v>1684.8</v>
      </c>
      <c r="BT21">
        <v>18</v>
      </c>
      <c r="BU21">
        <v>1123.2</v>
      </c>
      <c r="BV21">
        <v>32</v>
      </c>
      <c r="BW21">
        <v>1996.8</v>
      </c>
      <c r="BX21">
        <v>33</v>
      </c>
      <c r="BY21">
        <v>2059.1999999999998</v>
      </c>
      <c r="BZ21">
        <v>27</v>
      </c>
      <c r="CA21">
        <v>1684.8</v>
      </c>
      <c r="CB21">
        <v>18</v>
      </c>
      <c r="CC21">
        <v>1123.2</v>
      </c>
      <c r="CD21">
        <v>33</v>
      </c>
      <c r="CE21">
        <v>2059.1999999999998</v>
      </c>
      <c r="CF21">
        <v>25.669444575826606</v>
      </c>
      <c r="CG21">
        <v>1601.7733415315802</v>
      </c>
      <c r="CH21">
        <v>20.06605996286056</v>
      </c>
      <c r="CI21">
        <v>1252.122141682499</v>
      </c>
      <c r="CJ21">
        <v>17.392849363359552</v>
      </c>
      <c r="CK21">
        <v>1085.3138002736359</v>
      </c>
      <c r="CL21">
        <v>15.189363379825826</v>
      </c>
      <c r="CM21">
        <v>947.81627490113158</v>
      </c>
      <c r="CN21">
        <v>27</v>
      </c>
      <c r="CO21">
        <v>1684.8</v>
      </c>
      <c r="CP21">
        <v>21</v>
      </c>
      <c r="CQ21">
        <v>1310.3999999999999</v>
      </c>
      <c r="CR21">
        <v>22</v>
      </c>
      <c r="CS21">
        <v>1372.8</v>
      </c>
      <c r="CT21">
        <v>21</v>
      </c>
      <c r="CU21">
        <v>1310.3999999999999</v>
      </c>
    </row>
    <row r="22" spans="2:99">
      <c r="C22" s="99" t="s">
        <v>188</v>
      </c>
      <c r="D22">
        <v>21</v>
      </c>
      <c r="E22">
        <v>3931.2</v>
      </c>
      <c r="F22">
        <v>19</v>
      </c>
      <c r="G22">
        <v>3556.7999999999997</v>
      </c>
      <c r="H22">
        <v>17</v>
      </c>
      <c r="I22">
        <v>3182.3999999999996</v>
      </c>
      <c r="J22">
        <v>24.903522649327002</v>
      </c>
      <c r="K22">
        <v>4661.9394399540142</v>
      </c>
      <c r="L22">
        <v>25.465540731901186</v>
      </c>
      <c r="M22">
        <v>4767.1492250119018</v>
      </c>
      <c r="N22">
        <v>18</v>
      </c>
      <c r="O22">
        <v>3369.6</v>
      </c>
      <c r="P22">
        <v>17</v>
      </c>
      <c r="Q22">
        <v>3182.3999999999996</v>
      </c>
      <c r="R22">
        <v>15</v>
      </c>
      <c r="S22">
        <v>2808</v>
      </c>
      <c r="T22">
        <v>26</v>
      </c>
      <c r="U22">
        <v>4867.2</v>
      </c>
      <c r="V22">
        <v>21</v>
      </c>
      <c r="W22">
        <v>3931.2</v>
      </c>
      <c r="X22">
        <v>20</v>
      </c>
      <c r="Y22">
        <v>3744</v>
      </c>
      <c r="Z22">
        <v>25</v>
      </c>
      <c r="AA22">
        <v>4680</v>
      </c>
      <c r="AB22">
        <v>22</v>
      </c>
      <c r="AC22">
        <v>4118.3999999999996</v>
      </c>
      <c r="AD22">
        <v>18</v>
      </c>
      <c r="AE22">
        <v>3369.6</v>
      </c>
      <c r="AF22">
        <v>20</v>
      </c>
      <c r="AG22">
        <v>3744</v>
      </c>
      <c r="AH22">
        <v>19</v>
      </c>
      <c r="AI22">
        <v>3556.7999999999997</v>
      </c>
      <c r="AJ22">
        <v>30</v>
      </c>
      <c r="AK22">
        <v>5616</v>
      </c>
      <c r="AL22">
        <v>18</v>
      </c>
      <c r="AM22">
        <v>3369.6</v>
      </c>
      <c r="AN22">
        <v>21</v>
      </c>
      <c r="AO22">
        <v>3931.2</v>
      </c>
      <c r="AP22">
        <v>17.185743822419237</v>
      </c>
      <c r="AQ22">
        <v>3217.1712435568811</v>
      </c>
      <c r="AR22">
        <v>22.339656026676</v>
      </c>
      <c r="AS22">
        <v>4181.9836081937465</v>
      </c>
      <c r="AT22">
        <v>24</v>
      </c>
      <c r="AU22">
        <v>4492.7999999999993</v>
      </c>
      <c r="AV22">
        <v>16</v>
      </c>
      <c r="AW22">
        <v>2995.2</v>
      </c>
      <c r="AX22">
        <v>15</v>
      </c>
      <c r="AY22">
        <v>2808</v>
      </c>
      <c r="AZ22">
        <v>24</v>
      </c>
      <c r="BA22">
        <v>4492.7999999999993</v>
      </c>
      <c r="BB22">
        <v>25</v>
      </c>
      <c r="BC22">
        <v>4680</v>
      </c>
      <c r="BD22">
        <v>23</v>
      </c>
      <c r="BE22">
        <v>4305.5999999999995</v>
      </c>
      <c r="BF22">
        <v>24</v>
      </c>
      <c r="BG22">
        <v>4492.7999999999993</v>
      </c>
      <c r="BH22">
        <v>24</v>
      </c>
      <c r="BI22">
        <v>4492.7999999999993</v>
      </c>
      <c r="BJ22">
        <v>26</v>
      </c>
      <c r="BK22">
        <v>4867.2</v>
      </c>
      <c r="BL22">
        <v>22</v>
      </c>
      <c r="BM22">
        <v>4118.3999999999996</v>
      </c>
      <c r="BN22">
        <v>28</v>
      </c>
      <c r="BO22">
        <v>5241.5999999999995</v>
      </c>
      <c r="BP22">
        <v>30</v>
      </c>
      <c r="BQ22">
        <v>5616</v>
      </c>
      <c r="BR22">
        <v>31</v>
      </c>
      <c r="BS22">
        <v>5803.2</v>
      </c>
      <c r="BT22">
        <v>20</v>
      </c>
      <c r="BU22">
        <v>3744</v>
      </c>
      <c r="BV22">
        <v>30</v>
      </c>
      <c r="BW22">
        <v>5616</v>
      </c>
      <c r="BX22">
        <v>29</v>
      </c>
      <c r="BY22">
        <v>5428.7999999999993</v>
      </c>
      <c r="BZ22">
        <v>29</v>
      </c>
      <c r="CA22">
        <v>5428.7999999999993</v>
      </c>
      <c r="CB22">
        <v>18</v>
      </c>
      <c r="CC22">
        <v>3369.6</v>
      </c>
      <c r="CD22">
        <v>31</v>
      </c>
      <c r="CE22">
        <v>5803.2</v>
      </c>
      <c r="CF22">
        <v>28.324904359532809</v>
      </c>
      <c r="CG22">
        <v>5302.4220961045412</v>
      </c>
      <c r="CH22">
        <v>20.06605996286056</v>
      </c>
      <c r="CI22">
        <v>3756.3664250474967</v>
      </c>
      <c r="CJ22">
        <v>19.877542129553778</v>
      </c>
      <c r="CK22">
        <v>3721.075886652467</v>
      </c>
      <c r="CL22">
        <v>15.189363379825826</v>
      </c>
      <c r="CM22">
        <v>2843.4488247033946</v>
      </c>
      <c r="CN22">
        <v>26</v>
      </c>
      <c r="CO22">
        <v>4867.2</v>
      </c>
      <c r="CP22">
        <v>19</v>
      </c>
      <c r="CQ22">
        <v>3556.7999999999997</v>
      </c>
      <c r="CR22">
        <v>23</v>
      </c>
      <c r="CS22">
        <v>4305.5999999999995</v>
      </c>
      <c r="CT22">
        <v>22</v>
      </c>
      <c r="CU22">
        <v>4118.3999999999996</v>
      </c>
    </row>
    <row r="23" spans="2:99">
      <c r="C23" s="99" t="s">
        <v>189</v>
      </c>
      <c r="D23">
        <v>19</v>
      </c>
      <c r="E23">
        <v>5586</v>
      </c>
      <c r="F23">
        <v>16</v>
      </c>
      <c r="G23">
        <v>4704</v>
      </c>
      <c r="H23">
        <v>19</v>
      </c>
      <c r="I23">
        <v>5586</v>
      </c>
      <c r="J23">
        <v>21.915099931407763</v>
      </c>
      <c r="K23">
        <v>6443.0393798338828</v>
      </c>
      <c r="L23">
        <v>27.424428480508968</v>
      </c>
      <c r="M23">
        <v>8062.7819732696371</v>
      </c>
      <c r="N23">
        <v>19</v>
      </c>
      <c r="O23">
        <v>5586</v>
      </c>
      <c r="P23">
        <v>17</v>
      </c>
      <c r="Q23">
        <v>4998</v>
      </c>
      <c r="R23">
        <v>14</v>
      </c>
      <c r="S23">
        <v>4116</v>
      </c>
      <c r="T23">
        <v>24</v>
      </c>
      <c r="U23">
        <v>7056</v>
      </c>
      <c r="V23">
        <v>22</v>
      </c>
      <c r="W23">
        <v>6468</v>
      </c>
      <c r="X23">
        <v>23</v>
      </c>
      <c r="Y23">
        <v>6762</v>
      </c>
      <c r="Z23">
        <v>25</v>
      </c>
      <c r="AA23">
        <v>7350</v>
      </c>
      <c r="AB23">
        <v>21</v>
      </c>
      <c r="AC23">
        <v>6174</v>
      </c>
      <c r="AD23">
        <v>18</v>
      </c>
      <c r="AE23">
        <v>5292</v>
      </c>
      <c r="AF23">
        <v>21</v>
      </c>
      <c r="AG23">
        <v>6174</v>
      </c>
      <c r="AH23">
        <v>20</v>
      </c>
      <c r="AI23">
        <v>5880</v>
      </c>
      <c r="AJ23">
        <v>27</v>
      </c>
      <c r="AK23">
        <v>7938</v>
      </c>
      <c r="AL23">
        <v>17</v>
      </c>
      <c r="AM23">
        <v>4998</v>
      </c>
      <c r="AN23">
        <v>19</v>
      </c>
      <c r="AO23">
        <v>5586</v>
      </c>
      <c r="AP23">
        <v>18.904318204661159</v>
      </c>
      <c r="AQ23">
        <v>5557.8695521703812</v>
      </c>
      <c r="AR23">
        <v>22.339656026676</v>
      </c>
      <c r="AS23">
        <v>6567.8588718427436</v>
      </c>
      <c r="AT23">
        <v>23</v>
      </c>
      <c r="AU23">
        <v>6762</v>
      </c>
      <c r="AV23">
        <v>16</v>
      </c>
      <c r="AW23">
        <v>4704</v>
      </c>
      <c r="AX23">
        <v>14</v>
      </c>
      <c r="AY23">
        <v>4116</v>
      </c>
      <c r="AZ23">
        <v>24</v>
      </c>
      <c r="BA23">
        <v>7056</v>
      </c>
      <c r="BB23">
        <v>25</v>
      </c>
      <c r="BC23">
        <v>7350</v>
      </c>
      <c r="BD23">
        <v>22</v>
      </c>
      <c r="BE23">
        <v>6468</v>
      </c>
      <c r="BF23">
        <v>21</v>
      </c>
      <c r="BG23">
        <v>6174</v>
      </c>
      <c r="BH23">
        <v>22</v>
      </c>
      <c r="BI23">
        <v>6468</v>
      </c>
      <c r="BJ23">
        <v>23</v>
      </c>
      <c r="BK23">
        <v>6762</v>
      </c>
      <c r="BL23">
        <v>21</v>
      </c>
      <c r="BM23">
        <v>6174</v>
      </c>
      <c r="BN23">
        <v>28</v>
      </c>
      <c r="BO23">
        <v>8232</v>
      </c>
      <c r="BP23">
        <v>32</v>
      </c>
      <c r="BQ23">
        <v>9408</v>
      </c>
      <c r="BR23">
        <v>27</v>
      </c>
      <c r="BS23">
        <v>7938</v>
      </c>
      <c r="BT23">
        <v>20</v>
      </c>
      <c r="BU23">
        <v>5880</v>
      </c>
      <c r="BV23">
        <v>29</v>
      </c>
      <c r="BW23">
        <v>8526</v>
      </c>
      <c r="BX23">
        <v>33</v>
      </c>
      <c r="BY23">
        <v>9702</v>
      </c>
      <c r="BZ23">
        <v>25</v>
      </c>
      <c r="CA23">
        <v>7350</v>
      </c>
      <c r="CB23">
        <v>17</v>
      </c>
      <c r="CC23">
        <v>4998</v>
      </c>
      <c r="CD23">
        <v>30</v>
      </c>
      <c r="CE23">
        <v>8820</v>
      </c>
      <c r="CF23">
        <v>29.210057620768207</v>
      </c>
      <c r="CG23">
        <v>8587.756940505853</v>
      </c>
      <c r="CH23">
        <v>18.632769965513376</v>
      </c>
      <c r="CI23">
        <v>5478.0343698609322</v>
      </c>
      <c r="CJ23">
        <v>19.877542129553778</v>
      </c>
      <c r="CK23">
        <v>5843.9973860888103</v>
      </c>
      <c r="CL23">
        <v>13.742757343651936</v>
      </c>
      <c r="CM23">
        <v>4040.3706590336692</v>
      </c>
      <c r="CN23">
        <v>25</v>
      </c>
      <c r="CO23">
        <v>7350</v>
      </c>
      <c r="CP23">
        <v>19</v>
      </c>
      <c r="CQ23">
        <v>5586</v>
      </c>
      <c r="CR23">
        <v>21</v>
      </c>
      <c r="CS23">
        <v>6174</v>
      </c>
      <c r="CT23">
        <v>21</v>
      </c>
      <c r="CU23">
        <v>6174</v>
      </c>
    </row>
    <row r="24" spans="2:99">
      <c r="C24" s="99" t="s">
        <v>190</v>
      </c>
      <c r="D24">
        <v>23</v>
      </c>
      <c r="E24">
        <v>8445.6</v>
      </c>
      <c r="F24">
        <v>18</v>
      </c>
      <c r="G24">
        <v>6609.5999999999995</v>
      </c>
      <c r="H24">
        <v>18</v>
      </c>
      <c r="I24">
        <v>6609.5999999999995</v>
      </c>
      <c r="J24">
        <v>20.918959025434681</v>
      </c>
      <c r="K24">
        <v>7681.4417541396151</v>
      </c>
      <c r="L24">
        <v>23.506652983293403</v>
      </c>
      <c r="M24">
        <v>8631.6429754653382</v>
      </c>
      <c r="N24">
        <v>20</v>
      </c>
      <c r="O24">
        <v>7344</v>
      </c>
      <c r="P24">
        <v>18</v>
      </c>
      <c r="Q24">
        <v>6609.5999999999995</v>
      </c>
      <c r="R24">
        <v>15</v>
      </c>
      <c r="S24">
        <v>5508</v>
      </c>
      <c r="T24">
        <v>27</v>
      </c>
      <c r="U24">
        <v>9914.4</v>
      </c>
      <c r="V24">
        <v>20</v>
      </c>
      <c r="W24">
        <v>7344</v>
      </c>
      <c r="X24">
        <v>21</v>
      </c>
      <c r="Y24">
        <v>7711.2</v>
      </c>
      <c r="Z24">
        <v>27</v>
      </c>
      <c r="AA24">
        <v>9914.4</v>
      </c>
      <c r="AB24">
        <v>21</v>
      </c>
      <c r="AC24">
        <v>7711.2</v>
      </c>
      <c r="AD24">
        <v>18</v>
      </c>
      <c r="AE24">
        <v>6609.5999999999995</v>
      </c>
      <c r="AF24">
        <v>21</v>
      </c>
      <c r="AG24">
        <v>7711.2</v>
      </c>
      <c r="AH24">
        <v>17</v>
      </c>
      <c r="AI24">
        <v>6242.4</v>
      </c>
      <c r="AJ24">
        <v>26</v>
      </c>
      <c r="AK24">
        <v>9547.1999999999989</v>
      </c>
      <c r="AL24">
        <v>18</v>
      </c>
      <c r="AM24">
        <v>6609.5999999999995</v>
      </c>
      <c r="AN24">
        <v>18</v>
      </c>
      <c r="AO24">
        <v>6609.5999999999995</v>
      </c>
      <c r="AP24">
        <v>18.045031013540196</v>
      </c>
      <c r="AQ24">
        <v>6626.1353881719597</v>
      </c>
      <c r="AR24">
        <v>24.058091105651076</v>
      </c>
      <c r="AS24">
        <v>8834.1310539950755</v>
      </c>
      <c r="AT24">
        <v>22</v>
      </c>
      <c r="AU24">
        <v>8078.4</v>
      </c>
      <c r="AV24">
        <v>17</v>
      </c>
      <c r="AW24">
        <v>6242.4</v>
      </c>
      <c r="AX24">
        <v>16</v>
      </c>
      <c r="AY24">
        <v>5875.2</v>
      </c>
      <c r="AZ24">
        <v>26</v>
      </c>
      <c r="BA24">
        <v>9547.1999999999989</v>
      </c>
      <c r="BB24">
        <v>23</v>
      </c>
      <c r="BC24">
        <v>8445.6</v>
      </c>
      <c r="BD24">
        <v>21</v>
      </c>
      <c r="BE24">
        <v>7711.2</v>
      </c>
      <c r="BF24">
        <v>24</v>
      </c>
      <c r="BG24">
        <v>8812.7999999999993</v>
      </c>
      <c r="BH24">
        <v>26</v>
      </c>
      <c r="BI24">
        <v>9547.1999999999989</v>
      </c>
      <c r="BJ24">
        <v>26</v>
      </c>
      <c r="BK24">
        <v>9547.1999999999989</v>
      </c>
      <c r="BL24">
        <v>22</v>
      </c>
      <c r="BM24">
        <v>8078.4</v>
      </c>
      <c r="BN24">
        <v>26</v>
      </c>
      <c r="BO24">
        <v>9547.1999999999989</v>
      </c>
      <c r="BP24">
        <v>31</v>
      </c>
      <c r="BQ24">
        <v>11383.199999999999</v>
      </c>
      <c r="BR24">
        <v>31</v>
      </c>
      <c r="BS24">
        <v>11383.199999999999</v>
      </c>
      <c r="BT24">
        <v>20</v>
      </c>
      <c r="BU24">
        <v>7344</v>
      </c>
      <c r="BV24">
        <v>27</v>
      </c>
      <c r="BW24">
        <v>9914.4</v>
      </c>
      <c r="BX24">
        <v>33</v>
      </c>
      <c r="BY24">
        <v>12117.6</v>
      </c>
      <c r="BZ24">
        <v>26</v>
      </c>
      <c r="CA24">
        <v>9547.1999999999989</v>
      </c>
      <c r="CB24">
        <v>19</v>
      </c>
      <c r="CC24">
        <v>6976.8</v>
      </c>
      <c r="CD24">
        <v>30</v>
      </c>
      <c r="CE24">
        <v>11016</v>
      </c>
      <c r="CF24">
        <v>28.324904359532809</v>
      </c>
      <c r="CG24">
        <v>10400.904880820448</v>
      </c>
      <c r="CH24">
        <v>18.632769965513376</v>
      </c>
      <c r="CI24">
        <v>6841.9531313365114</v>
      </c>
      <c r="CJ24">
        <v>17.392849363359552</v>
      </c>
      <c r="CK24">
        <v>6386.6542862256274</v>
      </c>
      <c r="CL24">
        <v>15.189363379825826</v>
      </c>
      <c r="CM24">
        <v>5577.5342330720432</v>
      </c>
      <c r="CN24">
        <v>25</v>
      </c>
      <c r="CO24">
        <v>9180</v>
      </c>
      <c r="CP24">
        <v>16</v>
      </c>
      <c r="CQ24">
        <v>5875.2</v>
      </c>
      <c r="CR24">
        <v>22</v>
      </c>
      <c r="CS24">
        <v>8078.4</v>
      </c>
      <c r="CT24">
        <v>22</v>
      </c>
      <c r="CU24">
        <v>8078.4</v>
      </c>
    </row>
    <row r="25" spans="2:99">
      <c r="C25" s="99" t="s">
        <v>191</v>
      </c>
      <c r="D25">
        <v>22</v>
      </c>
      <c r="E25">
        <v>11668.8</v>
      </c>
      <c r="F25">
        <v>18</v>
      </c>
      <c r="G25">
        <v>9547.1999999999989</v>
      </c>
      <c r="H25">
        <v>18</v>
      </c>
      <c r="I25">
        <v>9547.1999999999989</v>
      </c>
      <c r="J25">
        <v>23.907381743353923</v>
      </c>
      <c r="K25">
        <v>12680.475276674921</v>
      </c>
      <c r="L25">
        <v>24.486096857597296</v>
      </c>
      <c r="M25">
        <v>12987.425773269606</v>
      </c>
      <c r="N25">
        <v>18</v>
      </c>
      <c r="O25">
        <v>9547.1999999999989</v>
      </c>
      <c r="P25">
        <v>15</v>
      </c>
      <c r="Q25">
        <v>7956</v>
      </c>
      <c r="R25">
        <v>15</v>
      </c>
      <c r="S25">
        <v>7956</v>
      </c>
      <c r="T25">
        <v>23</v>
      </c>
      <c r="U25">
        <v>12199.199999999999</v>
      </c>
      <c r="V25">
        <v>19</v>
      </c>
      <c r="W25">
        <v>10077.6</v>
      </c>
      <c r="X25">
        <v>20</v>
      </c>
      <c r="Y25">
        <v>10608</v>
      </c>
      <c r="Z25">
        <v>28</v>
      </c>
      <c r="AA25">
        <v>14851.199999999999</v>
      </c>
      <c r="AB25">
        <v>21</v>
      </c>
      <c r="AC25">
        <v>11138.4</v>
      </c>
      <c r="AD25">
        <v>19</v>
      </c>
      <c r="AE25">
        <v>10077.6</v>
      </c>
      <c r="AF25">
        <v>21</v>
      </c>
      <c r="AG25">
        <v>11138.4</v>
      </c>
      <c r="AH25">
        <v>20</v>
      </c>
      <c r="AI25">
        <v>10608</v>
      </c>
      <c r="AJ25">
        <v>25</v>
      </c>
      <c r="AK25">
        <v>13260</v>
      </c>
      <c r="AL25">
        <v>18</v>
      </c>
      <c r="AM25">
        <v>9547.1999999999989</v>
      </c>
      <c r="AN25">
        <v>18</v>
      </c>
      <c r="AO25">
        <v>9547.1999999999989</v>
      </c>
      <c r="AP25">
        <v>18.045031013540196</v>
      </c>
      <c r="AQ25">
        <v>9571.08444958172</v>
      </c>
      <c r="AR25">
        <v>24.917308645138615</v>
      </c>
      <c r="AS25">
        <v>13216.140505381522</v>
      </c>
      <c r="AT25">
        <v>22</v>
      </c>
      <c r="AU25">
        <v>11668.8</v>
      </c>
      <c r="AV25">
        <v>15</v>
      </c>
      <c r="AW25">
        <v>7956</v>
      </c>
      <c r="AX25">
        <v>14</v>
      </c>
      <c r="AY25">
        <v>7425.5999999999995</v>
      </c>
      <c r="AZ25">
        <v>23</v>
      </c>
      <c r="BA25">
        <v>12199.199999999999</v>
      </c>
      <c r="BB25">
        <v>24</v>
      </c>
      <c r="BC25">
        <v>12729.599999999999</v>
      </c>
      <c r="BD25">
        <v>23</v>
      </c>
      <c r="BE25">
        <v>12199.199999999999</v>
      </c>
      <c r="BF25">
        <v>22</v>
      </c>
      <c r="BG25">
        <v>11668.8</v>
      </c>
      <c r="BH25">
        <v>22</v>
      </c>
      <c r="BI25">
        <v>11668.8</v>
      </c>
      <c r="BJ25">
        <v>23</v>
      </c>
      <c r="BK25">
        <v>12199.199999999999</v>
      </c>
      <c r="BL25">
        <v>22</v>
      </c>
      <c r="BM25">
        <v>11668.8</v>
      </c>
      <c r="BN25">
        <v>26</v>
      </c>
      <c r="BO25">
        <v>13790.4</v>
      </c>
      <c r="BP25">
        <v>28</v>
      </c>
      <c r="BQ25">
        <v>14851.199999999999</v>
      </c>
      <c r="BR25">
        <v>29</v>
      </c>
      <c r="BS25">
        <v>15381.599999999999</v>
      </c>
      <c r="BT25">
        <v>19</v>
      </c>
      <c r="BU25">
        <v>10077.6</v>
      </c>
      <c r="BV25">
        <v>28</v>
      </c>
      <c r="BW25">
        <v>14851.199999999999</v>
      </c>
      <c r="BX25">
        <v>31</v>
      </c>
      <c r="BY25">
        <v>16442.399999999998</v>
      </c>
      <c r="BZ25">
        <v>25</v>
      </c>
      <c r="CA25">
        <v>13260</v>
      </c>
      <c r="CB25">
        <v>17</v>
      </c>
      <c r="CC25">
        <v>9016.7999999999993</v>
      </c>
      <c r="CD25">
        <v>31</v>
      </c>
      <c r="CE25">
        <v>16442.399999999998</v>
      </c>
      <c r="CF25">
        <v>26.554597837062008</v>
      </c>
      <c r="CG25">
        <v>14084.558692777689</v>
      </c>
      <c r="CH25">
        <v>20.06605996286056</v>
      </c>
      <c r="CI25">
        <v>10643.038204301241</v>
      </c>
      <c r="CJ25">
        <v>17.392849363359552</v>
      </c>
      <c r="CK25">
        <v>9225.1673023259063</v>
      </c>
      <c r="CL25">
        <v>15.189363379825826</v>
      </c>
      <c r="CM25">
        <v>8056.4383366596176</v>
      </c>
      <c r="CN25">
        <v>27</v>
      </c>
      <c r="CO25">
        <v>14320.8</v>
      </c>
      <c r="CP25">
        <v>17</v>
      </c>
      <c r="CQ25">
        <v>9016.7999999999993</v>
      </c>
      <c r="CR25">
        <v>19</v>
      </c>
      <c r="CS25">
        <v>10077.6</v>
      </c>
      <c r="CT25">
        <v>21</v>
      </c>
      <c r="CU25">
        <v>11138.4</v>
      </c>
    </row>
    <row r="26" spans="2:99">
      <c r="C26" s="99" t="s">
        <v>192</v>
      </c>
      <c r="D26">
        <v>20</v>
      </c>
      <c r="E26">
        <v>9720</v>
      </c>
      <c r="F26">
        <v>17</v>
      </c>
      <c r="G26">
        <v>8262</v>
      </c>
      <c r="H26">
        <v>19</v>
      </c>
      <c r="I26">
        <v>9234</v>
      </c>
      <c r="J26">
        <v>22.911240837380845</v>
      </c>
      <c r="K26">
        <v>11134.86304696709</v>
      </c>
      <c r="L26">
        <v>26.444984606205079</v>
      </c>
      <c r="M26">
        <v>12852.262518615667</v>
      </c>
      <c r="N26">
        <v>18</v>
      </c>
      <c r="O26">
        <v>8748</v>
      </c>
      <c r="P26">
        <v>16</v>
      </c>
      <c r="Q26">
        <v>7776</v>
      </c>
      <c r="R26">
        <v>13</v>
      </c>
      <c r="S26">
        <v>6318</v>
      </c>
      <c r="T26">
        <v>26</v>
      </c>
      <c r="U26">
        <v>12636</v>
      </c>
      <c r="V26">
        <v>21</v>
      </c>
      <c r="W26">
        <v>10206</v>
      </c>
      <c r="X26">
        <v>19</v>
      </c>
      <c r="Y26">
        <v>9234</v>
      </c>
      <c r="Z26">
        <v>27</v>
      </c>
      <c r="AA26">
        <v>13122</v>
      </c>
      <c r="AB26">
        <v>18</v>
      </c>
      <c r="AC26">
        <v>8748</v>
      </c>
      <c r="AD26">
        <v>19</v>
      </c>
      <c r="AE26">
        <v>9234</v>
      </c>
      <c r="AF26">
        <v>22</v>
      </c>
      <c r="AG26">
        <v>10692</v>
      </c>
      <c r="AH26">
        <v>18</v>
      </c>
      <c r="AI26">
        <v>8748</v>
      </c>
      <c r="AJ26">
        <v>30</v>
      </c>
      <c r="AK26">
        <v>14580</v>
      </c>
      <c r="AL26">
        <v>17</v>
      </c>
      <c r="AM26">
        <v>8262</v>
      </c>
      <c r="AN26">
        <v>20</v>
      </c>
      <c r="AO26">
        <v>9720</v>
      </c>
      <c r="AP26">
        <v>16.326456631298271</v>
      </c>
      <c r="AQ26">
        <v>7934.6579228109595</v>
      </c>
      <c r="AR26">
        <v>23.198873566163538</v>
      </c>
      <c r="AS26">
        <v>11274.65255315548</v>
      </c>
      <c r="AT26">
        <v>23</v>
      </c>
      <c r="AU26">
        <v>11178</v>
      </c>
      <c r="AV26">
        <v>16</v>
      </c>
      <c r="AW26">
        <v>7776</v>
      </c>
      <c r="AX26">
        <v>14</v>
      </c>
      <c r="AY26">
        <v>6804</v>
      </c>
      <c r="AZ26">
        <v>24</v>
      </c>
      <c r="BA26">
        <v>11664</v>
      </c>
      <c r="BB26">
        <v>23</v>
      </c>
      <c r="BC26">
        <v>11178</v>
      </c>
      <c r="BD26">
        <v>24</v>
      </c>
      <c r="BE26">
        <v>11664</v>
      </c>
      <c r="BF26">
        <v>24</v>
      </c>
      <c r="BG26">
        <v>11664</v>
      </c>
      <c r="BH26">
        <v>22</v>
      </c>
      <c r="BI26">
        <v>10692</v>
      </c>
      <c r="BJ26">
        <v>26</v>
      </c>
      <c r="BK26">
        <v>12636</v>
      </c>
      <c r="BL26">
        <v>22</v>
      </c>
      <c r="BM26">
        <v>10692</v>
      </c>
      <c r="BN26">
        <v>26</v>
      </c>
      <c r="BO26">
        <v>12636</v>
      </c>
      <c r="BP26">
        <v>29</v>
      </c>
      <c r="BQ26">
        <v>14094</v>
      </c>
      <c r="BR26">
        <v>27</v>
      </c>
      <c r="BS26">
        <v>13122</v>
      </c>
      <c r="BT26">
        <v>19</v>
      </c>
      <c r="BU26">
        <v>9234</v>
      </c>
      <c r="BV26">
        <v>28</v>
      </c>
      <c r="BW26">
        <v>13608</v>
      </c>
      <c r="BX26">
        <v>32</v>
      </c>
      <c r="BY26">
        <v>15552</v>
      </c>
      <c r="BZ26">
        <v>26</v>
      </c>
      <c r="CA26">
        <v>12636</v>
      </c>
      <c r="CB26">
        <v>17</v>
      </c>
      <c r="CC26">
        <v>8262</v>
      </c>
      <c r="CD26">
        <v>30</v>
      </c>
      <c r="CE26">
        <v>14580</v>
      </c>
      <c r="CF26">
        <v>28.324904359532809</v>
      </c>
      <c r="CG26">
        <v>13765.903518732945</v>
      </c>
      <c r="CH26">
        <v>18.632769965513376</v>
      </c>
      <c r="CI26">
        <v>9055.5262032395003</v>
      </c>
      <c r="CJ26">
        <v>17.392849363359552</v>
      </c>
      <c r="CK26">
        <v>8452.9247905927423</v>
      </c>
      <c r="CL26">
        <v>13.742757343651936</v>
      </c>
      <c r="CM26">
        <v>6678.9800690148413</v>
      </c>
      <c r="CN26">
        <v>24</v>
      </c>
      <c r="CO26">
        <v>11664</v>
      </c>
      <c r="CP26">
        <v>17</v>
      </c>
      <c r="CQ26">
        <v>8262</v>
      </c>
      <c r="CR26">
        <v>22</v>
      </c>
      <c r="CS26">
        <v>10692</v>
      </c>
      <c r="CT26">
        <v>19</v>
      </c>
      <c r="CU26">
        <v>9234</v>
      </c>
    </row>
    <row r="27" spans="2:99">
      <c r="C27" s="99" t="s">
        <v>193</v>
      </c>
      <c r="D27">
        <v>20</v>
      </c>
      <c r="E27">
        <v>8544</v>
      </c>
      <c r="F27">
        <v>16</v>
      </c>
      <c r="G27">
        <v>6835.2</v>
      </c>
      <c r="H27">
        <v>19</v>
      </c>
      <c r="I27">
        <v>8116.8</v>
      </c>
      <c r="J27">
        <v>19.922818119461603</v>
      </c>
      <c r="K27">
        <v>8511.027900633997</v>
      </c>
      <c r="L27">
        <v>25.465540731901186</v>
      </c>
      <c r="M27">
        <v>10878.879000668187</v>
      </c>
      <c r="N27">
        <v>17</v>
      </c>
      <c r="O27">
        <v>7262.4</v>
      </c>
      <c r="P27">
        <v>18</v>
      </c>
      <c r="Q27">
        <v>7689.5999999999995</v>
      </c>
      <c r="R27">
        <v>14</v>
      </c>
      <c r="S27">
        <v>5980.8</v>
      </c>
      <c r="T27">
        <v>24</v>
      </c>
      <c r="U27">
        <v>10252.799999999999</v>
      </c>
      <c r="V27">
        <v>21</v>
      </c>
      <c r="W27">
        <v>8971.1999999999989</v>
      </c>
      <c r="X27">
        <v>19</v>
      </c>
      <c r="Y27">
        <v>8116.8</v>
      </c>
      <c r="Z27">
        <v>27</v>
      </c>
      <c r="AA27">
        <v>11534.4</v>
      </c>
      <c r="AB27">
        <v>20</v>
      </c>
      <c r="AC27">
        <v>8544</v>
      </c>
      <c r="AD27">
        <v>20</v>
      </c>
      <c r="AE27">
        <v>8544</v>
      </c>
      <c r="AF27">
        <v>23</v>
      </c>
      <c r="AG27">
        <v>9825.6</v>
      </c>
      <c r="AH27">
        <v>20</v>
      </c>
      <c r="AI27">
        <v>8544</v>
      </c>
      <c r="AJ27">
        <v>27</v>
      </c>
      <c r="AK27">
        <v>11534.4</v>
      </c>
      <c r="AL27">
        <v>19</v>
      </c>
      <c r="AM27">
        <v>8116.8</v>
      </c>
      <c r="AN27">
        <v>19</v>
      </c>
      <c r="AO27">
        <v>8116.8</v>
      </c>
      <c r="AP27">
        <v>19.763605395782122</v>
      </c>
      <c r="AQ27">
        <v>8443.0122250781224</v>
      </c>
      <c r="AR27">
        <v>23.198873566163538</v>
      </c>
      <c r="AS27">
        <v>9910.5587874650628</v>
      </c>
      <c r="AT27">
        <v>24</v>
      </c>
      <c r="AU27">
        <v>10252.799999999999</v>
      </c>
      <c r="AV27">
        <v>16</v>
      </c>
      <c r="AW27">
        <v>6835.2</v>
      </c>
      <c r="AX27">
        <v>15</v>
      </c>
      <c r="AY27">
        <v>6408</v>
      </c>
      <c r="AZ27">
        <v>23</v>
      </c>
      <c r="BA27">
        <v>9825.6</v>
      </c>
      <c r="BB27">
        <v>25</v>
      </c>
      <c r="BC27">
        <v>10680</v>
      </c>
      <c r="BD27">
        <v>22</v>
      </c>
      <c r="BE27">
        <v>9398.4</v>
      </c>
      <c r="BF27">
        <v>24</v>
      </c>
      <c r="BG27">
        <v>10252.799999999999</v>
      </c>
      <c r="BH27">
        <v>22</v>
      </c>
      <c r="BI27">
        <v>9398.4</v>
      </c>
      <c r="BJ27">
        <v>24</v>
      </c>
      <c r="BK27">
        <v>10252.799999999999</v>
      </c>
      <c r="BL27">
        <v>21</v>
      </c>
      <c r="BM27">
        <v>8971.1999999999989</v>
      </c>
      <c r="BN27">
        <v>26</v>
      </c>
      <c r="BO27">
        <v>11107.199999999999</v>
      </c>
      <c r="BP27">
        <v>33</v>
      </c>
      <c r="BQ27">
        <v>14097.6</v>
      </c>
      <c r="BR27">
        <v>30</v>
      </c>
      <c r="BS27">
        <v>12816</v>
      </c>
      <c r="BT27">
        <v>18</v>
      </c>
      <c r="BU27">
        <v>7689.5999999999995</v>
      </c>
      <c r="BV27">
        <v>28</v>
      </c>
      <c r="BW27">
        <v>11961.6</v>
      </c>
      <c r="BX27">
        <v>33</v>
      </c>
      <c r="BY27">
        <v>14097.6</v>
      </c>
      <c r="BZ27">
        <v>27</v>
      </c>
      <c r="CA27">
        <v>11534.4</v>
      </c>
      <c r="CB27">
        <v>17</v>
      </c>
      <c r="CC27">
        <v>7262.4</v>
      </c>
      <c r="CD27">
        <v>33</v>
      </c>
      <c r="CE27">
        <v>14097.6</v>
      </c>
      <c r="CF27">
        <v>27.439751098297407</v>
      </c>
      <c r="CG27">
        <v>11722.261669192652</v>
      </c>
      <c r="CH27">
        <v>20.782704961534154</v>
      </c>
      <c r="CI27">
        <v>8878.3715595673912</v>
      </c>
      <c r="CJ27">
        <v>16.564618441294815</v>
      </c>
      <c r="CK27">
        <v>7076.4049981211447</v>
      </c>
      <c r="CL27">
        <v>15.912666397912771</v>
      </c>
      <c r="CM27">
        <v>6797.8910851883356</v>
      </c>
      <c r="CN27">
        <v>27</v>
      </c>
      <c r="CO27">
        <v>11534.4</v>
      </c>
      <c r="CP27">
        <v>17</v>
      </c>
      <c r="CQ27">
        <v>7262.4</v>
      </c>
      <c r="CR27">
        <v>21</v>
      </c>
      <c r="CS27">
        <v>8971.1999999999989</v>
      </c>
      <c r="CT27">
        <v>22</v>
      </c>
      <c r="CU27">
        <v>9398.4</v>
      </c>
    </row>
    <row r="28" spans="2:99">
      <c r="C28" s="99" t="s">
        <v>194</v>
      </c>
      <c r="D28">
        <v>21</v>
      </c>
      <c r="E28">
        <v>15498</v>
      </c>
      <c r="F28">
        <v>15</v>
      </c>
      <c r="G28">
        <v>11070</v>
      </c>
      <c r="H28">
        <v>15</v>
      </c>
      <c r="I28">
        <v>11070</v>
      </c>
      <c r="J28">
        <v>20.918959025434681</v>
      </c>
      <c r="K28">
        <v>15438.191760770795</v>
      </c>
      <c r="L28">
        <v>24.486096857597296</v>
      </c>
      <c r="M28">
        <v>18070.739480906803</v>
      </c>
      <c r="N28">
        <v>17</v>
      </c>
      <c r="O28">
        <v>12546</v>
      </c>
      <c r="P28">
        <v>15</v>
      </c>
      <c r="Q28">
        <v>11070</v>
      </c>
      <c r="R28">
        <v>15</v>
      </c>
      <c r="S28">
        <v>11070</v>
      </c>
      <c r="T28">
        <v>23</v>
      </c>
      <c r="U28">
        <v>16974</v>
      </c>
      <c r="V28">
        <v>19</v>
      </c>
      <c r="W28">
        <v>14022</v>
      </c>
      <c r="X28">
        <v>18</v>
      </c>
      <c r="Y28">
        <v>13284</v>
      </c>
      <c r="Z28">
        <v>22</v>
      </c>
      <c r="AA28">
        <v>16236</v>
      </c>
      <c r="AB28">
        <v>21</v>
      </c>
      <c r="AC28">
        <v>15498</v>
      </c>
      <c r="AD28">
        <v>20</v>
      </c>
      <c r="AE28">
        <v>14760</v>
      </c>
      <c r="AF28">
        <v>20</v>
      </c>
      <c r="AG28">
        <v>14760</v>
      </c>
      <c r="AH28">
        <v>16</v>
      </c>
      <c r="AI28">
        <v>11808</v>
      </c>
      <c r="AJ28">
        <v>29</v>
      </c>
      <c r="AK28">
        <v>21402</v>
      </c>
      <c r="AL28">
        <v>20</v>
      </c>
      <c r="AM28">
        <v>14760</v>
      </c>
      <c r="AN28">
        <v>19</v>
      </c>
      <c r="AO28">
        <v>14022</v>
      </c>
      <c r="AP28">
        <v>17.185743822419237</v>
      </c>
      <c r="AQ28">
        <v>12683.078940945397</v>
      </c>
      <c r="AR28">
        <v>20.621220947700923</v>
      </c>
      <c r="AS28">
        <v>15218.461059403282</v>
      </c>
      <c r="AT28">
        <v>21</v>
      </c>
      <c r="AU28">
        <v>15498</v>
      </c>
      <c r="AV28">
        <v>14</v>
      </c>
      <c r="AW28">
        <v>10332</v>
      </c>
      <c r="AX28">
        <v>16</v>
      </c>
      <c r="AY28">
        <v>11808</v>
      </c>
      <c r="AZ28">
        <v>25</v>
      </c>
      <c r="BA28">
        <v>18450</v>
      </c>
      <c r="BB28">
        <v>22</v>
      </c>
      <c r="BC28">
        <v>16236</v>
      </c>
      <c r="BD28">
        <v>22</v>
      </c>
      <c r="BE28">
        <v>16236</v>
      </c>
      <c r="BF28">
        <v>22</v>
      </c>
      <c r="BG28">
        <v>16236</v>
      </c>
      <c r="BH28">
        <v>21</v>
      </c>
      <c r="BI28">
        <v>15498</v>
      </c>
      <c r="BJ28">
        <v>22</v>
      </c>
      <c r="BK28">
        <v>16236</v>
      </c>
      <c r="BL28">
        <v>19</v>
      </c>
      <c r="BM28">
        <v>14022</v>
      </c>
      <c r="BN28">
        <v>26</v>
      </c>
      <c r="BO28">
        <v>19188</v>
      </c>
      <c r="BP28">
        <v>28</v>
      </c>
      <c r="BQ28">
        <v>20664</v>
      </c>
      <c r="BR28">
        <v>26</v>
      </c>
      <c r="BS28">
        <v>19188</v>
      </c>
      <c r="BT28">
        <v>19</v>
      </c>
      <c r="BU28">
        <v>14022</v>
      </c>
      <c r="BV28">
        <v>31</v>
      </c>
      <c r="BW28">
        <v>22878</v>
      </c>
      <c r="BX28">
        <v>28</v>
      </c>
      <c r="BY28">
        <v>20664</v>
      </c>
      <c r="BZ28">
        <v>24</v>
      </c>
      <c r="CA28">
        <v>17712</v>
      </c>
      <c r="CB28">
        <v>16</v>
      </c>
      <c r="CC28">
        <v>11808</v>
      </c>
      <c r="CD28">
        <v>29</v>
      </c>
      <c r="CE28">
        <v>21402</v>
      </c>
      <c r="CF28">
        <v>24.784291314591208</v>
      </c>
      <c r="CG28">
        <v>18290.806990168312</v>
      </c>
      <c r="CH28">
        <v>17.916124966839785</v>
      </c>
      <c r="CI28">
        <v>13222.100225527762</v>
      </c>
      <c r="CJ28">
        <v>17.392849363359552</v>
      </c>
      <c r="CK28">
        <v>12835.92283015935</v>
      </c>
      <c r="CL28">
        <v>13.019454325564995</v>
      </c>
      <c r="CM28">
        <v>9608.3572922669664</v>
      </c>
      <c r="CN28">
        <v>24</v>
      </c>
      <c r="CO28">
        <v>17712</v>
      </c>
      <c r="CP28">
        <v>18</v>
      </c>
      <c r="CQ28">
        <v>13284</v>
      </c>
      <c r="CR28">
        <v>21</v>
      </c>
      <c r="CS28">
        <v>15498</v>
      </c>
      <c r="CT28">
        <v>19</v>
      </c>
      <c r="CU28">
        <v>14022</v>
      </c>
    </row>
    <row r="29" spans="2:99">
      <c r="C29" s="99" t="s">
        <v>195</v>
      </c>
      <c r="D29">
        <v>22</v>
      </c>
      <c r="E29">
        <v>7444.7999999999993</v>
      </c>
      <c r="F29">
        <v>17</v>
      </c>
      <c r="G29">
        <v>5752.7999999999993</v>
      </c>
      <c r="H29">
        <v>18</v>
      </c>
      <c r="I29">
        <v>6091.2</v>
      </c>
      <c r="J29">
        <v>24.903522649327002</v>
      </c>
      <c r="K29">
        <v>8427.3520645322569</v>
      </c>
      <c r="L29">
        <v>24.486096857597296</v>
      </c>
      <c r="M29">
        <v>8286.0951766109247</v>
      </c>
      <c r="N29">
        <v>19</v>
      </c>
      <c r="O29">
        <v>6429.5999999999995</v>
      </c>
      <c r="P29">
        <v>15</v>
      </c>
      <c r="Q29">
        <v>5076</v>
      </c>
      <c r="R29">
        <v>15</v>
      </c>
      <c r="S29">
        <v>5076</v>
      </c>
      <c r="T29">
        <v>25</v>
      </c>
      <c r="U29">
        <v>8460</v>
      </c>
      <c r="V29">
        <v>20</v>
      </c>
      <c r="W29">
        <v>6768</v>
      </c>
      <c r="X29">
        <v>21</v>
      </c>
      <c r="Y29">
        <v>7106.4</v>
      </c>
      <c r="Z29">
        <v>25</v>
      </c>
      <c r="AA29">
        <v>8460</v>
      </c>
      <c r="AB29">
        <v>20</v>
      </c>
      <c r="AC29">
        <v>6768</v>
      </c>
      <c r="AD29">
        <v>18</v>
      </c>
      <c r="AE29">
        <v>6091.2</v>
      </c>
      <c r="AF29">
        <v>23</v>
      </c>
      <c r="AG29">
        <v>7783.2</v>
      </c>
      <c r="AH29">
        <v>20</v>
      </c>
      <c r="AI29">
        <v>6768</v>
      </c>
      <c r="AJ29">
        <v>30</v>
      </c>
      <c r="AK29">
        <v>10152</v>
      </c>
      <c r="AL29">
        <v>18</v>
      </c>
      <c r="AM29">
        <v>6091.2</v>
      </c>
      <c r="AN29">
        <v>21</v>
      </c>
      <c r="AO29">
        <v>7106.4</v>
      </c>
      <c r="AP29">
        <v>18.045031013540196</v>
      </c>
      <c r="AQ29">
        <v>6106.4384949820023</v>
      </c>
      <c r="AR29">
        <v>24.058091105651076</v>
      </c>
      <c r="AS29">
        <v>8141.258030152324</v>
      </c>
      <c r="AT29">
        <v>21</v>
      </c>
      <c r="AU29">
        <v>7106.4</v>
      </c>
      <c r="AV29">
        <v>18</v>
      </c>
      <c r="AW29">
        <v>6091.2</v>
      </c>
      <c r="AX29">
        <v>15</v>
      </c>
      <c r="AY29">
        <v>5076</v>
      </c>
      <c r="AZ29">
        <v>26</v>
      </c>
      <c r="BA29">
        <v>8798.4</v>
      </c>
      <c r="BB29">
        <v>22</v>
      </c>
      <c r="BC29">
        <v>7444.7999999999993</v>
      </c>
      <c r="BD29">
        <v>22</v>
      </c>
      <c r="BE29">
        <v>7444.7999999999993</v>
      </c>
      <c r="BF29">
        <v>21</v>
      </c>
      <c r="BG29">
        <v>7106.4</v>
      </c>
      <c r="BH29">
        <v>22</v>
      </c>
      <c r="BI29">
        <v>7444.7999999999993</v>
      </c>
      <c r="BJ29">
        <v>27</v>
      </c>
      <c r="BK29">
        <v>9136.7999999999993</v>
      </c>
      <c r="BL29">
        <v>22</v>
      </c>
      <c r="BM29">
        <v>7444.7999999999993</v>
      </c>
      <c r="BN29">
        <v>25</v>
      </c>
      <c r="BO29">
        <v>8460</v>
      </c>
      <c r="BP29">
        <v>32</v>
      </c>
      <c r="BQ29">
        <v>10828.8</v>
      </c>
      <c r="BR29">
        <v>27</v>
      </c>
      <c r="BS29">
        <v>9136.7999999999993</v>
      </c>
      <c r="BT29">
        <v>19</v>
      </c>
      <c r="BU29">
        <v>6429.5999999999995</v>
      </c>
      <c r="BV29">
        <v>30</v>
      </c>
      <c r="BW29">
        <v>10152</v>
      </c>
      <c r="BX29">
        <v>29</v>
      </c>
      <c r="BY29">
        <v>9813.5999999999985</v>
      </c>
      <c r="BZ29">
        <v>28</v>
      </c>
      <c r="CA29">
        <v>9475.1999999999989</v>
      </c>
      <c r="CB29">
        <v>18</v>
      </c>
      <c r="CC29">
        <v>6091.2</v>
      </c>
      <c r="CD29">
        <v>30</v>
      </c>
      <c r="CE29">
        <v>10152</v>
      </c>
      <c r="CF29">
        <v>27.439751098297407</v>
      </c>
      <c r="CG29">
        <v>9285.6117716638419</v>
      </c>
      <c r="CH29">
        <v>21.499349960207745</v>
      </c>
      <c r="CI29">
        <v>7275.3800265343007</v>
      </c>
      <c r="CJ29">
        <v>19.049311207489033</v>
      </c>
      <c r="CK29">
        <v>6446.2869126142887</v>
      </c>
      <c r="CL29">
        <v>15.912666397912771</v>
      </c>
      <c r="CM29">
        <v>5384.8463090536816</v>
      </c>
      <c r="CN29">
        <v>27</v>
      </c>
      <c r="CO29">
        <v>9136.7999999999993</v>
      </c>
      <c r="CP29">
        <v>19</v>
      </c>
      <c r="CQ29">
        <v>6429.5999999999995</v>
      </c>
      <c r="CR29">
        <v>20</v>
      </c>
      <c r="CS29">
        <v>6768</v>
      </c>
      <c r="CT29">
        <v>22</v>
      </c>
      <c r="CU29">
        <v>7444.7999999999993</v>
      </c>
    </row>
    <row r="30" spans="2:99">
      <c r="C30" s="99" t="s">
        <v>196</v>
      </c>
      <c r="D30">
        <v>21</v>
      </c>
      <c r="E30">
        <v>2923.2</v>
      </c>
      <c r="F30">
        <v>17</v>
      </c>
      <c r="G30">
        <v>2366.3999999999996</v>
      </c>
      <c r="H30">
        <v>18</v>
      </c>
      <c r="I30">
        <v>2505.6</v>
      </c>
      <c r="J30">
        <v>20.918959025434681</v>
      </c>
      <c r="K30">
        <v>2911.9190963405072</v>
      </c>
      <c r="L30">
        <v>24.486096857597296</v>
      </c>
      <c r="M30">
        <v>3408.4646825775435</v>
      </c>
      <c r="N30">
        <v>19</v>
      </c>
      <c r="O30">
        <v>2644.7999999999997</v>
      </c>
      <c r="P30">
        <v>16</v>
      </c>
      <c r="Q30">
        <v>2227.1999999999998</v>
      </c>
      <c r="R30">
        <v>16</v>
      </c>
      <c r="S30">
        <v>2227.1999999999998</v>
      </c>
      <c r="T30">
        <v>28</v>
      </c>
      <c r="U30">
        <v>3897.5999999999995</v>
      </c>
      <c r="V30">
        <v>19</v>
      </c>
      <c r="W30">
        <v>2644.7999999999997</v>
      </c>
      <c r="X30">
        <v>21</v>
      </c>
      <c r="Y30">
        <v>2923.2</v>
      </c>
      <c r="Z30">
        <v>26</v>
      </c>
      <c r="AA30">
        <v>3619.2</v>
      </c>
      <c r="AB30">
        <v>19</v>
      </c>
      <c r="AC30">
        <v>2644.7999999999997</v>
      </c>
      <c r="AD30">
        <v>20</v>
      </c>
      <c r="AE30">
        <v>2784</v>
      </c>
      <c r="AF30">
        <v>21</v>
      </c>
      <c r="AG30">
        <v>2923.2</v>
      </c>
      <c r="AH30">
        <v>21</v>
      </c>
      <c r="AI30">
        <v>2923.2</v>
      </c>
      <c r="AJ30">
        <v>27</v>
      </c>
      <c r="AK30">
        <v>3758.3999999999996</v>
      </c>
      <c r="AL30">
        <v>20</v>
      </c>
      <c r="AM30">
        <v>2784</v>
      </c>
      <c r="AN30">
        <v>20</v>
      </c>
      <c r="AO30">
        <v>2784</v>
      </c>
      <c r="AP30">
        <v>17.185743822419237</v>
      </c>
      <c r="AQ30">
        <v>2392.2555400807578</v>
      </c>
      <c r="AR30">
        <v>24.058091105651076</v>
      </c>
      <c r="AS30">
        <v>3348.8862819066294</v>
      </c>
      <c r="AT30">
        <v>22</v>
      </c>
      <c r="AU30">
        <v>3062.3999999999996</v>
      </c>
      <c r="AV30">
        <v>17</v>
      </c>
      <c r="AW30">
        <v>2366.3999999999996</v>
      </c>
      <c r="AX30">
        <v>17</v>
      </c>
      <c r="AY30">
        <v>2366.3999999999996</v>
      </c>
      <c r="AZ30">
        <v>28</v>
      </c>
      <c r="BA30">
        <v>3897.5999999999995</v>
      </c>
      <c r="BB30">
        <v>22</v>
      </c>
      <c r="BC30">
        <v>3062.3999999999996</v>
      </c>
      <c r="BD30">
        <v>20</v>
      </c>
      <c r="BE30">
        <v>2784</v>
      </c>
      <c r="BF30">
        <v>23</v>
      </c>
      <c r="BG30">
        <v>3201.6</v>
      </c>
      <c r="BH30">
        <v>23</v>
      </c>
      <c r="BI30">
        <v>3201.6</v>
      </c>
      <c r="BJ30">
        <v>25</v>
      </c>
      <c r="BK30">
        <v>3479.9999999999995</v>
      </c>
      <c r="BL30">
        <v>22</v>
      </c>
      <c r="BM30">
        <v>3062.3999999999996</v>
      </c>
      <c r="BN30">
        <v>26</v>
      </c>
      <c r="BO30">
        <v>3619.2</v>
      </c>
      <c r="BP30">
        <v>31</v>
      </c>
      <c r="BQ30">
        <v>4315.2</v>
      </c>
      <c r="BR30">
        <v>30</v>
      </c>
      <c r="BS30">
        <v>4176</v>
      </c>
      <c r="BT30">
        <v>21</v>
      </c>
      <c r="BU30">
        <v>2923.2</v>
      </c>
      <c r="BV30">
        <v>31</v>
      </c>
      <c r="BW30">
        <v>4315.2</v>
      </c>
      <c r="BX30">
        <v>33</v>
      </c>
      <c r="BY30">
        <v>4593.5999999999995</v>
      </c>
      <c r="BZ30">
        <v>25</v>
      </c>
      <c r="CA30">
        <v>3479.9999999999995</v>
      </c>
      <c r="CB30">
        <v>19</v>
      </c>
      <c r="CC30">
        <v>2644.7999999999997</v>
      </c>
      <c r="CD30">
        <v>33</v>
      </c>
      <c r="CE30">
        <v>4593.5999999999995</v>
      </c>
      <c r="CF30">
        <v>28.324904359532809</v>
      </c>
      <c r="CG30">
        <v>3942.8266868469668</v>
      </c>
      <c r="CH30">
        <v>20.06605996286056</v>
      </c>
      <c r="CI30">
        <v>2793.1955468301899</v>
      </c>
      <c r="CJ30">
        <v>17.392849363359552</v>
      </c>
      <c r="CK30">
        <v>2421.0846313796496</v>
      </c>
      <c r="CL30">
        <v>15.189363379825826</v>
      </c>
      <c r="CM30">
        <v>2114.359382471755</v>
      </c>
      <c r="CN30">
        <v>27</v>
      </c>
      <c r="CO30">
        <v>3758.3999999999996</v>
      </c>
      <c r="CP30">
        <v>18</v>
      </c>
      <c r="CQ30">
        <v>2505.6</v>
      </c>
      <c r="CR30">
        <v>21</v>
      </c>
      <c r="CS30">
        <v>2923.2</v>
      </c>
      <c r="CT30">
        <v>21</v>
      </c>
      <c r="CU30">
        <v>2923.2</v>
      </c>
    </row>
    <row r="31" spans="2:99">
      <c r="C31" s="99" t="s">
        <v>197</v>
      </c>
      <c r="D31">
        <v>19</v>
      </c>
      <c r="E31">
        <v>6475.2</v>
      </c>
      <c r="F31">
        <v>17</v>
      </c>
      <c r="G31">
        <v>5793.6</v>
      </c>
      <c r="H31">
        <v>17</v>
      </c>
      <c r="I31">
        <v>5793.6</v>
      </c>
      <c r="J31">
        <v>24.903522649327002</v>
      </c>
      <c r="K31">
        <v>8487.1205188906424</v>
      </c>
      <c r="L31">
        <v>25.465540731901186</v>
      </c>
      <c r="M31">
        <v>8678.6562814319241</v>
      </c>
      <c r="N31">
        <v>19</v>
      </c>
      <c r="O31">
        <v>6475.2</v>
      </c>
      <c r="P31">
        <v>15</v>
      </c>
      <c r="Q31">
        <v>5112</v>
      </c>
      <c r="R31">
        <v>14</v>
      </c>
      <c r="S31">
        <v>4771.2</v>
      </c>
      <c r="T31">
        <v>23</v>
      </c>
      <c r="U31">
        <v>7838.4000000000005</v>
      </c>
      <c r="V31">
        <v>22</v>
      </c>
      <c r="W31">
        <v>7497.6</v>
      </c>
      <c r="X31">
        <v>23</v>
      </c>
      <c r="Y31">
        <v>7838.4000000000005</v>
      </c>
      <c r="Z31">
        <v>24</v>
      </c>
      <c r="AA31">
        <v>8179.2000000000007</v>
      </c>
      <c r="AB31">
        <v>23</v>
      </c>
      <c r="AC31">
        <v>7838.4000000000005</v>
      </c>
      <c r="AD31">
        <v>19</v>
      </c>
      <c r="AE31">
        <v>6475.2</v>
      </c>
      <c r="AF31">
        <v>23</v>
      </c>
      <c r="AG31">
        <v>7838.4000000000005</v>
      </c>
      <c r="AH31">
        <v>17</v>
      </c>
      <c r="AI31">
        <v>5793.6</v>
      </c>
      <c r="AJ31">
        <v>29</v>
      </c>
      <c r="AK31">
        <v>9883.2000000000007</v>
      </c>
      <c r="AL31">
        <v>17</v>
      </c>
      <c r="AM31">
        <v>5793.6</v>
      </c>
      <c r="AN31">
        <v>18</v>
      </c>
      <c r="AO31">
        <v>6134.4000000000005</v>
      </c>
      <c r="AP31">
        <v>19.763605395782122</v>
      </c>
      <c r="AQ31">
        <v>6735.4367188825472</v>
      </c>
      <c r="AR31">
        <v>24.917308645138615</v>
      </c>
      <c r="AS31">
        <v>8491.8187862632403</v>
      </c>
      <c r="AT31">
        <v>24</v>
      </c>
      <c r="AU31">
        <v>8179.2000000000007</v>
      </c>
      <c r="AV31">
        <v>17</v>
      </c>
      <c r="AW31">
        <v>5793.6</v>
      </c>
      <c r="AX31">
        <v>15</v>
      </c>
      <c r="AY31">
        <v>5112</v>
      </c>
      <c r="AZ31">
        <v>27</v>
      </c>
      <c r="BA31">
        <v>9201.6</v>
      </c>
      <c r="BB31">
        <v>23</v>
      </c>
      <c r="BC31">
        <v>7838.4000000000005</v>
      </c>
      <c r="BD31">
        <v>23</v>
      </c>
      <c r="BE31">
        <v>7838.4000000000005</v>
      </c>
      <c r="BF31">
        <v>22</v>
      </c>
      <c r="BG31">
        <v>7497.6</v>
      </c>
      <c r="BH31">
        <v>22</v>
      </c>
      <c r="BI31">
        <v>7497.6</v>
      </c>
      <c r="BJ31">
        <v>26</v>
      </c>
      <c r="BK31">
        <v>8860.8000000000011</v>
      </c>
      <c r="BL31">
        <v>23</v>
      </c>
      <c r="BM31">
        <v>7838.4000000000005</v>
      </c>
      <c r="BN31">
        <v>26</v>
      </c>
      <c r="BO31">
        <v>8860.8000000000011</v>
      </c>
      <c r="BP31">
        <v>28</v>
      </c>
      <c r="BQ31">
        <v>9542.4</v>
      </c>
      <c r="BR31">
        <v>26</v>
      </c>
      <c r="BS31">
        <v>8860.8000000000011</v>
      </c>
      <c r="BT31">
        <v>20</v>
      </c>
      <c r="BU31">
        <v>6816</v>
      </c>
      <c r="BV31">
        <v>29</v>
      </c>
      <c r="BW31">
        <v>9883.2000000000007</v>
      </c>
      <c r="BX31">
        <v>33</v>
      </c>
      <c r="BY31">
        <v>11246.4</v>
      </c>
      <c r="BZ31">
        <v>28</v>
      </c>
      <c r="CA31">
        <v>9542.4</v>
      </c>
      <c r="CB31">
        <v>19</v>
      </c>
      <c r="CC31">
        <v>6475.2</v>
      </c>
      <c r="CD31">
        <v>30</v>
      </c>
      <c r="CE31">
        <v>10224</v>
      </c>
      <c r="CF31">
        <v>27.439751098297407</v>
      </c>
      <c r="CG31">
        <v>9351.4671742997562</v>
      </c>
      <c r="CH31">
        <v>20.782704961534154</v>
      </c>
      <c r="CI31">
        <v>7082.7458508908403</v>
      </c>
      <c r="CJ31">
        <v>19.049311207489033</v>
      </c>
      <c r="CK31">
        <v>6492.0052595122625</v>
      </c>
      <c r="CL31">
        <v>15.189363379825826</v>
      </c>
      <c r="CM31">
        <v>5176.5350398446417</v>
      </c>
      <c r="CN31">
        <v>29</v>
      </c>
      <c r="CO31">
        <v>9883.2000000000007</v>
      </c>
      <c r="CP31">
        <v>19</v>
      </c>
      <c r="CQ31">
        <v>6475.2</v>
      </c>
      <c r="CR31">
        <v>23</v>
      </c>
      <c r="CS31">
        <v>7838.4000000000005</v>
      </c>
      <c r="CT31">
        <v>21</v>
      </c>
      <c r="CU31">
        <v>7156.8</v>
      </c>
    </row>
    <row r="32" spans="2:99">
      <c r="C32" s="99" t="s">
        <v>198</v>
      </c>
      <c r="D32">
        <v>20</v>
      </c>
      <c r="E32">
        <v>16800</v>
      </c>
      <c r="F32">
        <v>16</v>
      </c>
      <c r="G32">
        <v>13440</v>
      </c>
      <c r="H32">
        <v>16</v>
      </c>
      <c r="I32">
        <v>13440</v>
      </c>
      <c r="J32">
        <v>22.911240837380845</v>
      </c>
      <c r="K32">
        <v>19245.442303399908</v>
      </c>
      <c r="L32">
        <v>25.465540731901186</v>
      </c>
      <c r="M32">
        <v>21391.054214796997</v>
      </c>
      <c r="N32">
        <v>18</v>
      </c>
      <c r="O32">
        <v>15120</v>
      </c>
      <c r="P32">
        <v>15</v>
      </c>
      <c r="Q32">
        <v>12600</v>
      </c>
      <c r="R32">
        <v>13</v>
      </c>
      <c r="S32">
        <v>10920</v>
      </c>
      <c r="T32">
        <v>24</v>
      </c>
      <c r="U32">
        <v>20160</v>
      </c>
      <c r="V32">
        <v>21</v>
      </c>
      <c r="W32">
        <v>17640</v>
      </c>
      <c r="X32">
        <v>20</v>
      </c>
      <c r="Y32">
        <v>16800</v>
      </c>
      <c r="Z32">
        <v>26</v>
      </c>
      <c r="AA32">
        <v>21840</v>
      </c>
      <c r="AB32">
        <v>19</v>
      </c>
      <c r="AC32">
        <v>15960</v>
      </c>
      <c r="AD32">
        <v>17</v>
      </c>
      <c r="AE32">
        <v>14280</v>
      </c>
      <c r="AF32">
        <v>20</v>
      </c>
      <c r="AG32">
        <v>16800</v>
      </c>
      <c r="AH32">
        <v>16</v>
      </c>
      <c r="AI32">
        <v>13440</v>
      </c>
      <c r="AJ32">
        <v>24</v>
      </c>
      <c r="AK32">
        <v>20160</v>
      </c>
      <c r="AL32">
        <v>17</v>
      </c>
      <c r="AM32">
        <v>14280</v>
      </c>
      <c r="AN32">
        <v>19</v>
      </c>
      <c r="AO32">
        <v>15960</v>
      </c>
      <c r="AP32">
        <v>15.467169440177312</v>
      </c>
      <c r="AQ32">
        <v>12992.422329748943</v>
      </c>
      <c r="AR32">
        <v>22.339656026676</v>
      </c>
      <c r="AS32">
        <v>18765.31106240784</v>
      </c>
      <c r="AT32">
        <v>21</v>
      </c>
      <c r="AU32">
        <v>17640</v>
      </c>
      <c r="AV32">
        <v>15</v>
      </c>
      <c r="AW32">
        <v>12600</v>
      </c>
      <c r="AX32">
        <v>15</v>
      </c>
      <c r="AY32">
        <v>12600</v>
      </c>
      <c r="AZ32">
        <v>26</v>
      </c>
      <c r="BA32">
        <v>21840</v>
      </c>
      <c r="BB32">
        <v>22</v>
      </c>
      <c r="BC32">
        <v>18480</v>
      </c>
      <c r="BD32">
        <v>23</v>
      </c>
      <c r="BE32">
        <v>19320</v>
      </c>
      <c r="BF32">
        <v>21</v>
      </c>
      <c r="BG32">
        <v>17640</v>
      </c>
      <c r="BH32">
        <v>24</v>
      </c>
      <c r="BI32">
        <v>20160</v>
      </c>
      <c r="BJ32">
        <v>25</v>
      </c>
      <c r="BK32">
        <v>21000</v>
      </c>
      <c r="BL32">
        <v>19</v>
      </c>
      <c r="BM32">
        <v>15960</v>
      </c>
      <c r="BN32">
        <v>24</v>
      </c>
      <c r="BO32">
        <v>20160</v>
      </c>
      <c r="BP32">
        <v>30</v>
      </c>
      <c r="BQ32">
        <v>25200</v>
      </c>
      <c r="BR32">
        <v>26</v>
      </c>
      <c r="BS32">
        <v>21840</v>
      </c>
      <c r="BT32">
        <v>19</v>
      </c>
      <c r="BU32">
        <v>15960</v>
      </c>
      <c r="BV32">
        <v>27</v>
      </c>
      <c r="BW32">
        <v>22680</v>
      </c>
      <c r="BX32">
        <v>32</v>
      </c>
      <c r="BY32">
        <v>26880</v>
      </c>
      <c r="BZ32">
        <v>27</v>
      </c>
      <c r="CA32">
        <v>22680</v>
      </c>
      <c r="CB32">
        <v>15</v>
      </c>
      <c r="CC32">
        <v>12600</v>
      </c>
      <c r="CD32">
        <v>26</v>
      </c>
      <c r="CE32">
        <v>21840</v>
      </c>
      <c r="CF32">
        <v>24.784291314591208</v>
      </c>
      <c r="CG32">
        <v>20818.804704256614</v>
      </c>
      <c r="CH32">
        <v>18.632769965513376</v>
      </c>
      <c r="CI32">
        <v>15651.526771031236</v>
      </c>
      <c r="CJ32">
        <v>16.564618441294815</v>
      </c>
      <c r="CK32">
        <v>13914.279490687644</v>
      </c>
      <c r="CL32">
        <v>14.466060361738883</v>
      </c>
      <c r="CM32">
        <v>12151.490703860662</v>
      </c>
      <c r="CN32">
        <v>27</v>
      </c>
      <c r="CO32">
        <v>22680</v>
      </c>
      <c r="CP32">
        <v>16</v>
      </c>
      <c r="CQ32">
        <v>13440</v>
      </c>
      <c r="CR32">
        <v>22</v>
      </c>
      <c r="CS32">
        <v>18480</v>
      </c>
      <c r="CT32">
        <v>19</v>
      </c>
      <c r="CU32">
        <v>15960</v>
      </c>
    </row>
    <row r="33" spans="2:99">
      <c r="C33" s="99" t="s">
        <v>199</v>
      </c>
      <c r="D33">
        <v>21</v>
      </c>
      <c r="E33">
        <v>9954</v>
      </c>
      <c r="F33">
        <v>17</v>
      </c>
      <c r="G33">
        <v>8058</v>
      </c>
      <c r="H33">
        <v>18</v>
      </c>
      <c r="I33">
        <v>8532</v>
      </c>
      <c r="J33">
        <v>22.911240837380845</v>
      </c>
      <c r="K33">
        <v>10859.92815691852</v>
      </c>
      <c r="L33">
        <v>22.52720910898951</v>
      </c>
      <c r="M33">
        <v>10677.897117661028</v>
      </c>
      <c r="N33">
        <v>17</v>
      </c>
      <c r="O33">
        <v>8058</v>
      </c>
      <c r="P33">
        <v>16</v>
      </c>
      <c r="Q33">
        <v>7584</v>
      </c>
      <c r="R33">
        <v>15</v>
      </c>
      <c r="S33">
        <v>7110</v>
      </c>
      <c r="T33">
        <v>24</v>
      </c>
      <c r="U33">
        <v>11376</v>
      </c>
      <c r="V33">
        <v>18</v>
      </c>
      <c r="W33">
        <v>8532</v>
      </c>
      <c r="X33">
        <v>20</v>
      </c>
      <c r="Y33">
        <v>9480</v>
      </c>
      <c r="Z33">
        <v>25</v>
      </c>
      <c r="AA33">
        <v>11850</v>
      </c>
      <c r="AB33">
        <v>22</v>
      </c>
      <c r="AC33">
        <v>10428</v>
      </c>
      <c r="AD33">
        <v>18</v>
      </c>
      <c r="AE33">
        <v>8532</v>
      </c>
      <c r="AF33">
        <v>22</v>
      </c>
      <c r="AG33">
        <v>10428</v>
      </c>
      <c r="AH33">
        <v>19</v>
      </c>
      <c r="AI33">
        <v>9006</v>
      </c>
      <c r="AJ33">
        <v>29</v>
      </c>
      <c r="AK33">
        <v>13746</v>
      </c>
      <c r="AL33">
        <v>19</v>
      </c>
      <c r="AM33">
        <v>9006</v>
      </c>
      <c r="AN33">
        <v>19</v>
      </c>
      <c r="AO33">
        <v>9006</v>
      </c>
      <c r="AP33">
        <v>19.763605395782122</v>
      </c>
      <c r="AQ33">
        <v>9367.9489576007254</v>
      </c>
      <c r="AR33">
        <v>22.339656026676</v>
      </c>
      <c r="AS33">
        <v>10588.996956644423</v>
      </c>
      <c r="AT33">
        <v>21</v>
      </c>
      <c r="AU33">
        <v>9954</v>
      </c>
      <c r="AV33">
        <v>15</v>
      </c>
      <c r="AW33">
        <v>7110</v>
      </c>
      <c r="AX33">
        <v>17</v>
      </c>
      <c r="AY33">
        <v>8058</v>
      </c>
      <c r="AZ33">
        <v>25</v>
      </c>
      <c r="BA33">
        <v>11850</v>
      </c>
      <c r="BB33">
        <v>23</v>
      </c>
      <c r="BC33">
        <v>10902</v>
      </c>
      <c r="BD33">
        <v>23</v>
      </c>
      <c r="BE33">
        <v>10902</v>
      </c>
      <c r="BF33">
        <v>21</v>
      </c>
      <c r="BG33">
        <v>9954</v>
      </c>
      <c r="BH33">
        <v>25</v>
      </c>
      <c r="BI33">
        <v>11850</v>
      </c>
      <c r="BJ33">
        <v>24</v>
      </c>
      <c r="BK33">
        <v>11376</v>
      </c>
      <c r="BL33">
        <v>20</v>
      </c>
      <c r="BM33">
        <v>9480</v>
      </c>
      <c r="BN33">
        <v>27</v>
      </c>
      <c r="BO33">
        <v>12798</v>
      </c>
      <c r="BP33">
        <v>28</v>
      </c>
      <c r="BQ33">
        <v>13272</v>
      </c>
      <c r="BR33">
        <v>28</v>
      </c>
      <c r="BS33">
        <v>13272</v>
      </c>
      <c r="BT33">
        <v>18</v>
      </c>
      <c r="BU33">
        <v>8532</v>
      </c>
      <c r="BV33">
        <v>30</v>
      </c>
      <c r="BW33">
        <v>14220</v>
      </c>
      <c r="BX33">
        <v>30</v>
      </c>
      <c r="BY33">
        <v>14220</v>
      </c>
      <c r="BZ33">
        <v>24</v>
      </c>
      <c r="CA33">
        <v>11376</v>
      </c>
      <c r="CB33">
        <v>19</v>
      </c>
      <c r="CC33">
        <v>9006</v>
      </c>
      <c r="CD33">
        <v>31</v>
      </c>
      <c r="CE33">
        <v>14694</v>
      </c>
      <c r="CF33">
        <v>26.554597837062008</v>
      </c>
      <c r="CG33">
        <v>12586.879374767392</v>
      </c>
      <c r="CH33">
        <v>19.34941496418697</v>
      </c>
      <c r="CI33">
        <v>9171.622693024623</v>
      </c>
      <c r="CJ33">
        <v>19.049311207489033</v>
      </c>
      <c r="CK33">
        <v>9029.3735123498027</v>
      </c>
      <c r="CL33">
        <v>14.466060361738883</v>
      </c>
      <c r="CM33">
        <v>6856.9126114642304</v>
      </c>
      <c r="CN33">
        <v>24</v>
      </c>
      <c r="CO33">
        <v>11376</v>
      </c>
      <c r="CP33">
        <v>17</v>
      </c>
      <c r="CQ33">
        <v>8058</v>
      </c>
      <c r="CR33">
        <v>20</v>
      </c>
      <c r="CS33">
        <v>9480</v>
      </c>
      <c r="CT33">
        <v>22</v>
      </c>
      <c r="CU33">
        <v>10428</v>
      </c>
    </row>
    <row r="34" spans="2:99">
      <c r="C34" s="99" t="s">
        <v>200</v>
      </c>
      <c r="D34">
        <v>20</v>
      </c>
      <c r="E34">
        <v>10968</v>
      </c>
      <c r="F34">
        <v>15</v>
      </c>
      <c r="G34">
        <v>8226</v>
      </c>
      <c r="H34">
        <v>17</v>
      </c>
      <c r="I34">
        <v>9322.7999999999993</v>
      </c>
      <c r="J34">
        <v>20.918959025434681</v>
      </c>
      <c r="K34">
        <v>11471.957129548378</v>
      </c>
      <c r="L34">
        <v>23.506652983293403</v>
      </c>
      <c r="M34">
        <v>12891.048496038102</v>
      </c>
      <c r="N34">
        <v>20</v>
      </c>
      <c r="O34">
        <v>10968</v>
      </c>
      <c r="P34">
        <v>18</v>
      </c>
      <c r="Q34">
        <v>9871.1999999999989</v>
      </c>
      <c r="R34">
        <v>14</v>
      </c>
      <c r="S34">
        <v>7677.5999999999995</v>
      </c>
      <c r="T34">
        <v>27</v>
      </c>
      <c r="U34">
        <v>14806.8</v>
      </c>
      <c r="V34">
        <v>18</v>
      </c>
      <c r="W34">
        <v>9871.1999999999989</v>
      </c>
      <c r="X34">
        <v>19</v>
      </c>
      <c r="Y34">
        <v>10419.6</v>
      </c>
      <c r="Z34">
        <v>24</v>
      </c>
      <c r="AA34">
        <v>13161.599999999999</v>
      </c>
      <c r="AB34">
        <v>22</v>
      </c>
      <c r="AC34">
        <v>12064.8</v>
      </c>
      <c r="AD34">
        <v>19</v>
      </c>
      <c r="AE34">
        <v>10419.6</v>
      </c>
      <c r="AF34">
        <v>22</v>
      </c>
      <c r="AG34">
        <v>12064.8</v>
      </c>
      <c r="AH34">
        <v>18</v>
      </c>
      <c r="AI34">
        <v>9871.1999999999989</v>
      </c>
      <c r="AJ34">
        <v>26</v>
      </c>
      <c r="AK34">
        <v>14258.4</v>
      </c>
      <c r="AL34">
        <v>18</v>
      </c>
      <c r="AM34">
        <v>9871.1999999999989</v>
      </c>
      <c r="AN34">
        <v>20</v>
      </c>
      <c r="AO34">
        <v>10968</v>
      </c>
      <c r="AP34">
        <v>18.045031013540196</v>
      </c>
      <c r="AQ34">
        <v>9895.8950078254438</v>
      </c>
      <c r="AR34">
        <v>22.339656026676</v>
      </c>
      <c r="AS34">
        <v>12251.067365029117</v>
      </c>
      <c r="AT34">
        <v>22</v>
      </c>
      <c r="AU34">
        <v>12064.8</v>
      </c>
      <c r="AV34">
        <v>16</v>
      </c>
      <c r="AW34">
        <v>8774.4</v>
      </c>
      <c r="AX34">
        <v>14</v>
      </c>
      <c r="AY34">
        <v>7677.5999999999995</v>
      </c>
      <c r="AZ34">
        <v>25</v>
      </c>
      <c r="BA34">
        <v>13710</v>
      </c>
      <c r="BB34">
        <v>21</v>
      </c>
      <c r="BC34">
        <v>11516.4</v>
      </c>
      <c r="BD34">
        <v>21</v>
      </c>
      <c r="BE34">
        <v>11516.4</v>
      </c>
      <c r="BF34">
        <v>21</v>
      </c>
      <c r="BG34">
        <v>11516.4</v>
      </c>
      <c r="BH34">
        <v>24</v>
      </c>
      <c r="BI34">
        <v>13161.599999999999</v>
      </c>
      <c r="BJ34">
        <v>25</v>
      </c>
      <c r="BK34">
        <v>13710</v>
      </c>
      <c r="BL34">
        <v>19</v>
      </c>
      <c r="BM34">
        <v>10419.6</v>
      </c>
      <c r="BN34">
        <v>26</v>
      </c>
      <c r="BO34">
        <v>14258.4</v>
      </c>
      <c r="BP34">
        <v>27</v>
      </c>
      <c r="BQ34">
        <v>14806.8</v>
      </c>
      <c r="BR34">
        <v>26</v>
      </c>
      <c r="BS34">
        <v>14258.4</v>
      </c>
      <c r="BT34">
        <v>20</v>
      </c>
      <c r="BU34">
        <v>10968</v>
      </c>
      <c r="BV34">
        <v>26</v>
      </c>
      <c r="BW34">
        <v>14258.4</v>
      </c>
      <c r="BX34">
        <v>30</v>
      </c>
      <c r="BY34">
        <v>16452</v>
      </c>
      <c r="BZ34">
        <v>28</v>
      </c>
      <c r="CA34">
        <v>15355.199999999999</v>
      </c>
      <c r="CB34">
        <v>19</v>
      </c>
      <c r="CC34">
        <v>10419.6</v>
      </c>
      <c r="CD34">
        <v>30</v>
      </c>
      <c r="CE34">
        <v>16452</v>
      </c>
      <c r="CF34">
        <v>25.669444575826606</v>
      </c>
      <c r="CG34">
        <v>14077.12340538331</v>
      </c>
      <c r="CH34">
        <v>20.06605996286056</v>
      </c>
      <c r="CI34">
        <v>11004.22728363273</v>
      </c>
      <c r="CJ34">
        <v>17.392849363359552</v>
      </c>
      <c r="CK34">
        <v>9538.2385908663782</v>
      </c>
      <c r="CL34">
        <v>15.189363379825826</v>
      </c>
      <c r="CM34">
        <v>8329.8468774964822</v>
      </c>
      <c r="CN34">
        <v>24</v>
      </c>
      <c r="CO34">
        <v>13161.599999999999</v>
      </c>
      <c r="CP34">
        <v>18</v>
      </c>
      <c r="CQ34">
        <v>9871.1999999999989</v>
      </c>
      <c r="CR34">
        <v>21</v>
      </c>
      <c r="CS34">
        <v>11516.4</v>
      </c>
      <c r="CT34">
        <v>18</v>
      </c>
      <c r="CU34">
        <v>9871.1999999999989</v>
      </c>
    </row>
    <row r="35" spans="2:99">
      <c r="C35" s="99" t="s">
        <v>201</v>
      </c>
      <c r="D35">
        <v>20</v>
      </c>
      <c r="E35">
        <v>10055.999999999998</v>
      </c>
      <c r="F35">
        <v>16</v>
      </c>
      <c r="G35">
        <v>8044.7999999999984</v>
      </c>
      <c r="H35">
        <v>18</v>
      </c>
      <c r="I35">
        <v>9050.3999999999978</v>
      </c>
      <c r="J35">
        <v>23.907381743353923</v>
      </c>
      <c r="K35">
        <v>12020.63154055835</v>
      </c>
      <c r="L35">
        <v>23.506652983293403</v>
      </c>
      <c r="M35">
        <v>11819.145119999921</v>
      </c>
      <c r="N35">
        <v>19</v>
      </c>
      <c r="O35">
        <v>9553.1999999999989</v>
      </c>
      <c r="P35">
        <v>17</v>
      </c>
      <c r="Q35">
        <v>8547.5999999999985</v>
      </c>
      <c r="R35">
        <v>15</v>
      </c>
      <c r="S35">
        <v>7541.9999999999982</v>
      </c>
      <c r="T35">
        <v>25</v>
      </c>
      <c r="U35">
        <v>12569.999999999998</v>
      </c>
      <c r="V35">
        <v>20</v>
      </c>
      <c r="W35">
        <v>10055.999999999998</v>
      </c>
      <c r="X35">
        <v>19</v>
      </c>
      <c r="Y35">
        <v>9553.1999999999989</v>
      </c>
      <c r="Z35">
        <v>25</v>
      </c>
      <c r="AA35">
        <v>12569.999999999998</v>
      </c>
      <c r="AB35">
        <v>21</v>
      </c>
      <c r="AC35">
        <v>10558.799999999997</v>
      </c>
      <c r="AD35">
        <v>18</v>
      </c>
      <c r="AE35">
        <v>9050.3999999999978</v>
      </c>
      <c r="AF35">
        <v>22</v>
      </c>
      <c r="AG35">
        <v>11061.599999999999</v>
      </c>
      <c r="AH35">
        <v>19</v>
      </c>
      <c r="AI35">
        <v>9553.1999999999989</v>
      </c>
      <c r="AJ35">
        <v>25</v>
      </c>
      <c r="AK35">
        <v>12569.999999999998</v>
      </c>
      <c r="AL35">
        <v>17</v>
      </c>
      <c r="AM35">
        <v>8547.5999999999985</v>
      </c>
      <c r="AN35">
        <v>21</v>
      </c>
      <c r="AO35">
        <v>10558.799999999997</v>
      </c>
      <c r="AP35">
        <v>16.326456631298271</v>
      </c>
      <c r="AQ35">
        <v>8208.9423942167687</v>
      </c>
      <c r="AR35">
        <v>24.917308645138615</v>
      </c>
      <c r="AS35">
        <v>12528.422786775693</v>
      </c>
      <c r="AT35">
        <v>21</v>
      </c>
      <c r="AU35">
        <v>10558.799999999997</v>
      </c>
      <c r="AV35">
        <v>15</v>
      </c>
      <c r="AW35">
        <v>7541.9999999999982</v>
      </c>
      <c r="AX35">
        <v>14</v>
      </c>
      <c r="AY35">
        <v>7039.1999999999989</v>
      </c>
      <c r="AZ35">
        <v>23</v>
      </c>
      <c r="BA35">
        <v>11564.399999999998</v>
      </c>
      <c r="BB35">
        <v>22</v>
      </c>
      <c r="BC35">
        <v>11061.599999999999</v>
      </c>
      <c r="BD35">
        <v>23</v>
      </c>
      <c r="BE35">
        <v>11564.399999999998</v>
      </c>
      <c r="BF35">
        <v>21</v>
      </c>
      <c r="BG35">
        <v>10558.799999999997</v>
      </c>
      <c r="BH35">
        <v>21</v>
      </c>
      <c r="BI35">
        <v>10558.799999999997</v>
      </c>
      <c r="BJ35">
        <v>22</v>
      </c>
      <c r="BK35">
        <v>11061.599999999999</v>
      </c>
      <c r="BL35">
        <v>20</v>
      </c>
      <c r="BM35">
        <v>10055.999999999998</v>
      </c>
      <c r="BN35">
        <v>25</v>
      </c>
      <c r="BO35">
        <v>12569.999999999998</v>
      </c>
      <c r="BP35">
        <v>31</v>
      </c>
      <c r="BQ35">
        <v>15586.799999999997</v>
      </c>
      <c r="BR35">
        <v>27</v>
      </c>
      <c r="BS35">
        <v>13575.599999999997</v>
      </c>
      <c r="BT35">
        <v>20</v>
      </c>
      <c r="BU35">
        <v>10055.999999999998</v>
      </c>
      <c r="BV35">
        <v>27</v>
      </c>
      <c r="BW35">
        <v>13575.599999999997</v>
      </c>
      <c r="BX35">
        <v>32</v>
      </c>
      <c r="BY35">
        <v>16089.599999999997</v>
      </c>
      <c r="BZ35">
        <v>25</v>
      </c>
      <c r="CA35">
        <v>12569.999999999998</v>
      </c>
      <c r="CB35">
        <v>19</v>
      </c>
      <c r="CC35">
        <v>9553.1999999999989</v>
      </c>
      <c r="CD35">
        <v>33</v>
      </c>
      <c r="CE35">
        <v>16592.399999999998</v>
      </c>
      <c r="CF35">
        <v>23.899138053355806</v>
      </c>
      <c r="CG35">
        <v>12016.486613227296</v>
      </c>
      <c r="CH35">
        <v>19.34941496418697</v>
      </c>
      <c r="CI35">
        <v>9728.8858439932064</v>
      </c>
      <c r="CJ35">
        <v>19.877542129553778</v>
      </c>
      <c r="CK35">
        <v>9994.4281827396371</v>
      </c>
      <c r="CL35">
        <v>15.912666397912771</v>
      </c>
      <c r="CM35">
        <v>8000.8886648705393</v>
      </c>
      <c r="CN35">
        <v>25</v>
      </c>
      <c r="CO35">
        <v>12569.999999999998</v>
      </c>
      <c r="CP35">
        <v>17</v>
      </c>
      <c r="CQ35">
        <v>8547.5999999999985</v>
      </c>
      <c r="CR35">
        <v>23</v>
      </c>
      <c r="CS35">
        <v>11564.399999999998</v>
      </c>
      <c r="CT35">
        <v>19</v>
      </c>
      <c r="CU35">
        <v>9553.1999999999989</v>
      </c>
    </row>
    <row r="36" spans="2:99">
      <c r="C36" s="99" t="s">
        <v>202</v>
      </c>
      <c r="D36">
        <v>21</v>
      </c>
      <c r="E36">
        <v>15976.8</v>
      </c>
      <c r="F36">
        <v>16</v>
      </c>
      <c r="G36">
        <v>12172.8</v>
      </c>
      <c r="H36">
        <v>15</v>
      </c>
      <c r="I36">
        <v>11412</v>
      </c>
      <c r="J36">
        <v>20.918959025434681</v>
      </c>
      <c r="K36">
        <v>15915.144026550704</v>
      </c>
      <c r="L36">
        <v>22.52720910898951</v>
      </c>
      <c r="M36">
        <v>17138.700690119218</v>
      </c>
      <c r="N36">
        <v>17</v>
      </c>
      <c r="O36">
        <v>12933.599999999999</v>
      </c>
      <c r="P36">
        <v>15</v>
      </c>
      <c r="Q36">
        <v>11412</v>
      </c>
      <c r="R36">
        <v>14</v>
      </c>
      <c r="S36">
        <v>10651.199999999999</v>
      </c>
      <c r="T36">
        <v>26</v>
      </c>
      <c r="U36">
        <v>19780.8</v>
      </c>
      <c r="V36">
        <v>21</v>
      </c>
      <c r="W36">
        <v>15976.8</v>
      </c>
      <c r="X36">
        <v>21</v>
      </c>
      <c r="Y36">
        <v>15976.8</v>
      </c>
      <c r="Z36">
        <v>25</v>
      </c>
      <c r="AA36">
        <v>19020</v>
      </c>
      <c r="AB36">
        <v>20</v>
      </c>
      <c r="AC36">
        <v>15216</v>
      </c>
      <c r="AD36">
        <v>20</v>
      </c>
      <c r="AE36">
        <v>15216</v>
      </c>
      <c r="AF36">
        <v>22</v>
      </c>
      <c r="AG36">
        <v>16737.599999999999</v>
      </c>
      <c r="AH36">
        <v>19</v>
      </c>
      <c r="AI36">
        <v>14455.199999999999</v>
      </c>
      <c r="AJ36">
        <v>29</v>
      </c>
      <c r="AK36">
        <v>22063.199999999997</v>
      </c>
      <c r="AL36">
        <v>17</v>
      </c>
      <c r="AM36">
        <v>12933.599999999999</v>
      </c>
      <c r="AN36">
        <v>18</v>
      </c>
      <c r="AO36">
        <v>13694.4</v>
      </c>
      <c r="AP36">
        <v>16.326456631298271</v>
      </c>
      <c r="AQ36">
        <v>12421.168205091724</v>
      </c>
      <c r="AR36">
        <v>22.339656026676</v>
      </c>
      <c r="AS36">
        <v>16996.0103050951</v>
      </c>
      <c r="AT36">
        <v>23</v>
      </c>
      <c r="AU36">
        <v>17498.399999999998</v>
      </c>
      <c r="AV36">
        <v>16</v>
      </c>
      <c r="AW36">
        <v>12172.8</v>
      </c>
      <c r="AX36">
        <v>14</v>
      </c>
      <c r="AY36">
        <v>10651.199999999999</v>
      </c>
      <c r="AZ36">
        <v>26</v>
      </c>
      <c r="BA36">
        <v>19780.8</v>
      </c>
      <c r="BB36">
        <v>25</v>
      </c>
      <c r="BC36">
        <v>19020</v>
      </c>
      <c r="BD36">
        <v>21</v>
      </c>
      <c r="BE36">
        <v>15976.8</v>
      </c>
      <c r="BF36">
        <v>22</v>
      </c>
      <c r="BG36">
        <v>16737.599999999999</v>
      </c>
      <c r="BH36">
        <v>24</v>
      </c>
      <c r="BI36">
        <v>18259.199999999997</v>
      </c>
      <c r="BJ36">
        <v>24</v>
      </c>
      <c r="BK36">
        <v>18259.199999999997</v>
      </c>
      <c r="BL36">
        <v>19</v>
      </c>
      <c r="BM36">
        <v>14455.199999999999</v>
      </c>
      <c r="BN36">
        <v>28</v>
      </c>
      <c r="BO36">
        <v>21302.399999999998</v>
      </c>
      <c r="BP36">
        <v>27</v>
      </c>
      <c r="BQ36">
        <v>20541.599999999999</v>
      </c>
      <c r="BR36">
        <v>26</v>
      </c>
      <c r="BS36">
        <v>19780.8</v>
      </c>
      <c r="BT36">
        <v>17</v>
      </c>
      <c r="BU36">
        <v>12933.599999999999</v>
      </c>
      <c r="BV36">
        <v>29</v>
      </c>
      <c r="BW36">
        <v>22063.199999999997</v>
      </c>
      <c r="BX36">
        <v>30</v>
      </c>
      <c r="BY36">
        <v>22824</v>
      </c>
      <c r="BZ36">
        <v>25</v>
      </c>
      <c r="CA36">
        <v>19020</v>
      </c>
      <c r="CB36">
        <v>18</v>
      </c>
      <c r="CC36">
        <v>13694.4</v>
      </c>
      <c r="CD36">
        <v>28</v>
      </c>
      <c r="CE36">
        <v>21302.399999999998</v>
      </c>
      <c r="CF36">
        <v>23.899138053355806</v>
      </c>
      <c r="CG36">
        <v>18182.464230993097</v>
      </c>
      <c r="CH36">
        <v>20.782704961534154</v>
      </c>
      <c r="CI36">
        <v>15811.481934735184</v>
      </c>
      <c r="CJ36">
        <v>19.049311207489033</v>
      </c>
      <c r="CK36">
        <v>14492.715966657655</v>
      </c>
      <c r="CL36">
        <v>15.189363379825826</v>
      </c>
      <c r="CM36">
        <v>11556.067659371487</v>
      </c>
      <c r="CN36">
        <v>27</v>
      </c>
      <c r="CO36">
        <v>20541.599999999999</v>
      </c>
      <c r="CP36">
        <v>16</v>
      </c>
      <c r="CQ36">
        <v>12172.8</v>
      </c>
      <c r="CR36">
        <v>21</v>
      </c>
      <c r="CS36">
        <v>15976.8</v>
      </c>
      <c r="CT36">
        <v>20</v>
      </c>
      <c r="CU36">
        <v>15216</v>
      </c>
    </row>
    <row r="37" spans="2:99">
      <c r="B37" s="99" t="s">
        <v>128</v>
      </c>
      <c r="C37" s="99" t="s">
        <v>203</v>
      </c>
      <c r="D37">
        <v>19</v>
      </c>
      <c r="E37">
        <v>16347.6</v>
      </c>
      <c r="F37">
        <v>19</v>
      </c>
      <c r="G37">
        <v>16347.6</v>
      </c>
      <c r="H37">
        <v>19</v>
      </c>
      <c r="I37">
        <v>16347.6</v>
      </c>
      <c r="J37">
        <v>15.938254495569282</v>
      </c>
      <c r="K37">
        <v>13713.274167987811</v>
      </c>
      <c r="L37">
        <v>10.77388261734281</v>
      </c>
      <c r="M37">
        <v>9269.8486039617528</v>
      </c>
      <c r="N37">
        <v>11</v>
      </c>
      <c r="O37">
        <v>9464.4</v>
      </c>
      <c r="P37">
        <v>11</v>
      </c>
      <c r="Q37">
        <v>9464.4</v>
      </c>
      <c r="R37">
        <v>12</v>
      </c>
      <c r="S37">
        <v>10324.799999999999</v>
      </c>
      <c r="T37">
        <v>16</v>
      </c>
      <c r="U37">
        <v>13766.4</v>
      </c>
      <c r="V37">
        <v>9</v>
      </c>
      <c r="W37">
        <v>7743.5999999999995</v>
      </c>
      <c r="X37">
        <v>13</v>
      </c>
      <c r="Y37">
        <v>11185.199999999999</v>
      </c>
      <c r="Z37">
        <v>14</v>
      </c>
      <c r="AA37">
        <v>12045.6</v>
      </c>
      <c r="AB37">
        <v>11</v>
      </c>
      <c r="AC37">
        <v>9464.4</v>
      </c>
      <c r="AD37">
        <v>14</v>
      </c>
      <c r="AE37">
        <v>12045.6</v>
      </c>
      <c r="AF37">
        <v>10</v>
      </c>
      <c r="AG37">
        <v>8604</v>
      </c>
      <c r="AH37">
        <v>13</v>
      </c>
      <c r="AI37">
        <v>11185.199999999999</v>
      </c>
      <c r="AJ37">
        <v>14</v>
      </c>
      <c r="AK37">
        <v>12045.6</v>
      </c>
      <c r="AL37">
        <v>14</v>
      </c>
      <c r="AM37">
        <v>12045.6</v>
      </c>
      <c r="AN37">
        <v>15</v>
      </c>
      <c r="AO37">
        <v>12906</v>
      </c>
      <c r="AP37">
        <v>16.326456631298271</v>
      </c>
      <c r="AQ37">
        <v>14047.283285569032</v>
      </c>
      <c r="AR37">
        <v>12.888263092313077</v>
      </c>
      <c r="AS37">
        <v>11089.06156462617</v>
      </c>
      <c r="AT37">
        <v>14</v>
      </c>
      <c r="AU37">
        <v>12045.6</v>
      </c>
      <c r="AV37">
        <v>18</v>
      </c>
      <c r="AW37">
        <v>15487.199999999999</v>
      </c>
      <c r="AX37">
        <v>21</v>
      </c>
      <c r="AY37">
        <v>18068.399999999998</v>
      </c>
      <c r="AZ37">
        <v>14</v>
      </c>
      <c r="BA37">
        <v>12045.6</v>
      </c>
      <c r="BB37">
        <v>14</v>
      </c>
      <c r="BC37">
        <v>12045.6</v>
      </c>
      <c r="BD37">
        <v>12</v>
      </c>
      <c r="BE37">
        <v>10324.799999999999</v>
      </c>
      <c r="BF37">
        <v>19</v>
      </c>
      <c r="BG37">
        <v>16347.6</v>
      </c>
      <c r="BH37">
        <v>14</v>
      </c>
      <c r="BI37">
        <v>12045.6</v>
      </c>
      <c r="BJ37">
        <v>15</v>
      </c>
      <c r="BK37">
        <v>12906</v>
      </c>
      <c r="BL37">
        <v>9</v>
      </c>
      <c r="BM37">
        <v>7743.5999999999995</v>
      </c>
      <c r="BN37">
        <v>13</v>
      </c>
      <c r="BO37">
        <v>11185.199999999999</v>
      </c>
      <c r="BP37">
        <v>16</v>
      </c>
      <c r="BQ37">
        <v>13766.4</v>
      </c>
      <c r="BR37">
        <v>9</v>
      </c>
      <c r="BS37">
        <v>7743.5999999999995</v>
      </c>
      <c r="BT37">
        <v>10</v>
      </c>
      <c r="BU37">
        <v>8604</v>
      </c>
      <c r="BV37">
        <v>16</v>
      </c>
      <c r="BW37">
        <v>13766.4</v>
      </c>
      <c r="BX37">
        <v>16</v>
      </c>
      <c r="BY37">
        <v>13766.4</v>
      </c>
      <c r="BZ37">
        <v>20</v>
      </c>
      <c r="CA37">
        <v>17208</v>
      </c>
      <c r="CB37">
        <v>18</v>
      </c>
      <c r="CC37">
        <v>15487.199999999999</v>
      </c>
      <c r="CD37">
        <v>14</v>
      </c>
      <c r="CE37">
        <v>12045.6</v>
      </c>
      <c r="CF37">
        <v>9.7366858735894031</v>
      </c>
      <c r="CG37">
        <v>8377.4445256363215</v>
      </c>
      <c r="CH37">
        <v>12.182964977451055</v>
      </c>
      <c r="CI37">
        <v>10482.223066598888</v>
      </c>
      <c r="CJ37">
        <v>13.251694753035849</v>
      </c>
      <c r="CK37">
        <v>11401.758165512045</v>
      </c>
      <c r="CL37">
        <v>13.019454325564995</v>
      </c>
      <c r="CM37">
        <v>11201.938501716122</v>
      </c>
      <c r="CN37">
        <v>17</v>
      </c>
      <c r="CO37">
        <v>14626.8</v>
      </c>
      <c r="CP37">
        <v>11</v>
      </c>
      <c r="CQ37">
        <v>9464.4</v>
      </c>
      <c r="CR37">
        <v>13</v>
      </c>
      <c r="CS37">
        <v>11185.199999999999</v>
      </c>
      <c r="CT37">
        <v>12</v>
      </c>
      <c r="CU37">
        <v>10324.799999999999</v>
      </c>
    </row>
    <row r="38" spans="2:99">
      <c r="C38" s="99" t="s">
        <v>204</v>
      </c>
      <c r="D38">
        <v>20</v>
      </c>
      <c r="E38">
        <v>24840</v>
      </c>
      <c r="F38">
        <v>18</v>
      </c>
      <c r="G38">
        <v>22356</v>
      </c>
      <c r="H38">
        <v>17</v>
      </c>
      <c r="I38">
        <v>21114</v>
      </c>
      <c r="J38">
        <v>12.94983177765004</v>
      </c>
      <c r="K38">
        <v>16083.69106784135</v>
      </c>
      <c r="L38">
        <v>9.794438743038917</v>
      </c>
      <c r="M38">
        <v>12164.692918854334</v>
      </c>
      <c r="N38">
        <v>10</v>
      </c>
      <c r="O38">
        <v>12420</v>
      </c>
      <c r="P38">
        <v>9</v>
      </c>
      <c r="Q38">
        <v>11178</v>
      </c>
      <c r="R38">
        <v>12</v>
      </c>
      <c r="S38">
        <v>14904</v>
      </c>
      <c r="T38">
        <v>17</v>
      </c>
      <c r="U38">
        <v>21114</v>
      </c>
      <c r="V38">
        <v>8</v>
      </c>
      <c r="W38">
        <v>9936</v>
      </c>
      <c r="X38">
        <v>12</v>
      </c>
      <c r="Y38">
        <v>14904</v>
      </c>
      <c r="Z38">
        <v>12</v>
      </c>
      <c r="AA38">
        <v>14904</v>
      </c>
      <c r="AB38">
        <v>11</v>
      </c>
      <c r="AC38">
        <v>13662</v>
      </c>
      <c r="AD38">
        <v>14</v>
      </c>
      <c r="AE38">
        <v>17388</v>
      </c>
      <c r="AF38">
        <v>10</v>
      </c>
      <c r="AG38">
        <v>12420</v>
      </c>
      <c r="AH38">
        <v>12</v>
      </c>
      <c r="AI38">
        <v>14904</v>
      </c>
      <c r="AJ38">
        <v>12</v>
      </c>
      <c r="AK38">
        <v>14904</v>
      </c>
      <c r="AL38">
        <v>12</v>
      </c>
      <c r="AM38">
        <v>14904</v>
      </c>
      <c r="AN38">
        <v>15</v>
      </c>
      <c r="AO38">
        <v>18630</v>
      </c>
      <c r="AP38">
        <v>14.607882249056349</v>
      </c>
      <c r="AQ38">
        <v>18142.989753327984</v>
      </c>
      <c r="AR38">
        <v>13.747480631800617</v>
      </c>
      <c r="AS38">
        <v>17074.370944696366</v>
      </c>
      <c r="AT38">
        <v>14</v>
      </c>
      <c r="AU38">
        <v>17388</v>
      </c>
      <c r="AV38">
        <v>17</v>
      </c>
      <c r="AW38">
        <v>21114</v>
      </c>
      <c r="AX38">
        <v>18</v>
      </c>
      <c r="AY38">
        <v>22356</v>
      </c>
      <c r="AZ38">
        <v>17</v>
      </c>
      <c r="BA38">
        <v>21114</v>
      </c>
      <c r="BB38">
        <v>15</v>
      </c>
      <c r="BC38">
        <v>18630</v>
      </c>
      <c r="BD38">
        <v>14</v>
      </c>
      <c r="BE38">
        <v>17388</v>
      </c>
      <c r="BF38">
        <v>17</v>
      </c>
      <c r="BG38">
        <v>21114</v>
      </c>
      <c r="BH38">
        <v>15</v>
      </c>
      <c r="BI38">
        <v>18630</v>
      </c>
      <c r="BJ38">
        <v>15</v>
      </c>
      <c r="BK38">
        <v>18630</v>
      </c>
      <c r="BL38">
        <v>9</v>
      </c>
      <c r="BM38">
        <v>11178</v>
      </c>
      <c r="BN38">
        <v>12</v>
      </c>
      <c r="BO38">
        <v>14904</v>
      </c>
      <c r="BP38">
        <v>13</v>
      </c>
      <c r="BQ38">
        <v>16146</v>
      </c>
      <c r="BR38">
        <v>10</v>
      </c>
      <c r="BS38">
        <v>12420</v>
      </c>
      <c r="BT38">
        <v>11</v>
      </c>
      <c r="BU38">
        <v>13662</v>
      </c>
      <c r="BV38">
        <v>14</v>
      </c>
      <c r="BW38">
        <v>17388</v>
      </c>
      <c r="BX38">
        <v>13</v>
      </c>
      <c r="BY38">
        <v>16146</v>
      </c>
      <c r="BZ38">
        <v>17</v>
      </c>
      <c r="CA38">
        <v>21114</v>
      </c>
      <c r="CB38">
        <v>16</v>
      </c>
      <c r="CC38">
        <v>19872</v>
      </c>
      <c r="CD38">
        <v>15</v>
      </c>
      <c r="CE38">
        <v>18630</v>
      </c>
      <c r="CF38">
        <v>8.8515326123540028</v>
      </c>
      <c r="CG38">
        <v>10993.603504543671</v>
      </c>
      <c r="CH38">
        <v>10.749674980103872</v>
      </c>
      <c r="CI38">
        <v>13351.096325289009</v>
      </c>
      <c r="CJ38">
        <v>11.595232908906368</v>
      </c>
      <c r="CK38">
        <v>14401.27927286171</v>
      </c>
      <c r="CL38">
        <v>13.019454325564995</v>
      </c>
      <c r="CM38">
        <v>16170.162272351723</v>
      </c>
      <c r="CN38">
        <v>14</v>
      </c>
      <c r="CO38">
        <v>17388</v>
      </c>
      <c r="CP38">
        <v>11</v>
      </c>
      <c r="CQ38">
        <v>13662</v>
      </c>
      <c r="CR38">
        <v>13</v>
      </c>
      <c r="CS38">
        <v>16146</v>
      </c>
      <c r="CT38">
        <v>12</v>
      </c>
      <c r="CU38">
        <v>14904</v>
      </c>
    </row>
    <row r="39" spans="2:99">
      <c r="C39" s="99" t="s">
        <v>205</v>
      </c>
      <c r="D39">
        <v>16</v>
      </c>
      <c r="E39">
        <v>22771.200000000001</v>
      </c>
      <c r="F39">
        <v>18</v>
      </c>
      <c r="G39">
        <v>25617.600000000002</v>
      </c>
      <c r="H39">
        <v>16</v>
      </c>
      <c r="I39">
        <v>22771.200000000001</v>
      </c>
      <c r="J39">
        <v>13.945972683623122</v>
      </c>
      <c r="K39">
        <v>19847.908323332427</v>
      </c>
      <c r="L39">
        <v>9.794438743038917</v>
      </c>
      <c r="M39">
        <v>13939.445219092988</v>
      </c>
      <c r="N39">
        <v>9</v>
      </c>
      <c r="O39">
        <v>12808.800000000001</v>
      </c>
      <c r="P39">
        <v>9</v>
      </c>
      <c r="Q39">
        <v>12808.800000000001</v>
      </c>
      <c r="R39">
        <v>11</v>
      </c>
      <c r="S39">
        <v>15655.2</v>
      </c>
      <c r="T39">
        <v>16</v>
      </c>
      <c r="U39">
        <v>22771.200000000001</v>
      </c>
      <c r="V39">
        <v>9</v>
      </c>
      <c r="W39">
        <v>12808.800000000001</v>
      </c>
      <c r="X39">
        <v>11</v>
      </c>
      <c r="Y39">
        <v>15655.2</v>
      </c>
      <c r="Z39">
        <v>13</v>
      </c>
      <c r="AA39">
        <v>18501.600000000002</v>
      </c>
      <c r="AB39">
        <v>11</v>
      </c>
      <c r="AC39">
        <v>15655.2</v>
      </c>
      <c r="AD39">
        <v>15</v>
      </c>
      <c r="AE39">
        <v>21348</v>
      </c>
      <c r="AF39">
        <v>10</v>
      </c>
      <c r="AG39">
        <v>14232</v>
      </c>
      <c r="AH39">
        <v>12</v>
      </c>
      <c r="AI39">
        <v>17078.400000000001</v>
      </c>
      <c r="AJ39">
        <v>12</v>
      </c>
      <c r="AK39">
        <v>17078.400000000001</v>
      </c>
      <c r="AL39">
        <v>12</v>
      </c>
      <c r="AM39">
        <v>17078.400000000001</v>
      </c>
      <c r="AN39">
        <v>15</v>
      </c>
      <c r="AO39">
        <v>21348</v>
      </c>
      <c r="AP39">
        <v>13.74859505793539</v>
      </c>
      <c r="AQ39">
        <v>19567.000486453646</v>
      </c>
      <c r="AR39">
        <v>12.029045552825538</v>
      </c>
      <c r="AS39">
        <v>17119.737630781307</v>
      </c>
      <c r="AT39">
        <v>14</v>
      </c>
      <c r="AU39">
        <v>19924.8</v>
      </c>
      <c r="AV39">
        <v>17</v>
      </c>
      <c r="AW39">
        <v>24194.400000000001</v>
      </c>
      <c r="AX39">
        <v>19</v>
      </c>
      <c r="AY39">
        <v>27040.799999999999</v>
      </c>
      <c r="AZ39">
        <v>16</v>
      </c>
      <c r="BA39">
        <v>22771.200000000001</v>
      </c>
      <c r="BB39">
        <v>14</v>
      </c>
      <c r="BC39">
        <v>19924.8</v>
      </c>
      <c r="BD39">
        <v>14</v>
      </c>
      <c r="BE39">
        <v>19924.8</v>
      </c>
      <c r="BF39">
        <v>19</v>
      </c>
      <c r="BG39">
        <v>27040.799999999999</v>
      </c>
      <c r="BH39">
        <v>14</v>
      </c>
      <c r="BI39">
        <v>19924.8</v>
      </c>
      <c r="BJ39">
        <v>14</v>
      </c>
      <c r="BK39">
        <v>19924.8</v>
      </c>
      <c r="BL39">
        <v>9</v>
      </c>
      <c r="BM39">
        <v>12808.800000000001</v>
      </c>
      <c r="BN39">
        <v>14</v>
      </c>
      <c r="BO39">
        <v>19924.8</v>
      </c>
      <c r="BP39">
        <v>13</v>
      </c>
      <c r="BQ39">
        <v>18501.600000000002</v>
      </c>
      <c r="BR39">
        <v>9</v>
      </c>
      <c r="BS39">
        <v>12808.800000000001</v>
      </c>
      <c r="BT39">
        <v>11</v>
      </c>
      <c r="BU39">
        <v>15655.2</v>
      </c>
      <c r="BV39">
        <v>15</v>
      </c>
      <c r="BW39">
        <v>21348</v>
      </c>
      <c r="BX39">
        <v>15</v>
      </c>
      <c r="BY39">
        <v>21348</v>
      </c>
      <c r="BZ39">
        <v>20</v>
      </c>
      <c r="CA39">
        <v>28464</v>
      </c>
      <c r="CB39">
        <v>18</v>
      </c>
      <c r="CC39">
        <v>25617.600000000002</v>
      </c>
      <c r="CD39">
        <v>14</v>
      </c>
      <c r="CE39">
        <v>19924.8</v>
      </c>
      <c r="CF39">
        <v>8.8515326123540028</v>
      </c>
      <c r="CG39">
        <v>12597.501213902216</v>
      </c>
      <c r="CH39">
        <v>10.749674980103872</v>
      </c>
      <c r="CI39">
        <v>15298.937431683831</v>
      </c>
      <c r="CJ39">
        <v>13.251694753035849</v>
      </c>
      <c r="CK39">
        <v>18859.81197252062</v>
      </c>
      <c r="CL39">
        <v>11.572848289391105</v>
      </c>
      <c r="CM39">
        <v>16470.477685461421</v>
      </c>
      <c r="CN39">
        <v>17</v>
      </c>
      <c r="CO39">
        <v>24194.400000000001</v>
      </c>
      <c r="CP39">
        <v>10</v>
      </c>
      <c r="CQ39">
        <v>14232</v>
      </c>
      <c r="CR39">
        <v>13</v>
      </c>
      <c r="CS39">
        <v>18501.600000000002</v>
      </c>
      <c r="CT39">
        <v>11</v>
      </c>
      <c r="CU39">
        <v>15655.2</v>
      </c>
    </row>
    <row r="40" spans="2:99">
      <c r="C40" s="99" t="s">
        <v>206</v>
      </c>
      <c r="D40">
        <v>18</v>
      </c>
      <c r="E40">
        <v>13046.4</v>
      </c>
      <c r="F40">
        <v>17</v>
      </c>
      <c r="G40">
        <v>12321.599999999999</v>
      </c>
      <c r="H40">
        <v>19</v>
      </c>
      <c r="I40">
        <v>13771.199999999999</v>
      </c>
      <c r="J40">
        <v>13.945972683623122</v>
      </c>
      <c r="K40">
        <v>10108.041001090038</v>
      </c>
      <c r="L40">
        <v>9.794438743038917</v>
      </c>
      <c r="M40">
        <v>7099.009200954607</v>
      </c>
      <c r="N40">
        <v>11</v>
      </c>
      <c r="O40">
        <v>7972.7999999999993</v>
      </c>
      <c r="P40">
        <v>9</v>
      </c>
      <c r="Q40">
        <v>6523.2</v>
      </c>
      <c r="R40">
        <v>11</v>
      </c>
      <c r="S40">
        <v>7972.7999999999993</v>
      </c>
      <c r="T40">
        <v>18</v>
      </c>
      <c r="U40">
        <v>13046.4</v>
      </c>
      <c r="V40">
        <v>10</v>
      </c>
      <c r="W40">
        <v>7248</v>
      </c>
      <c r="X40">
        <v>12</v>
      </c>
      <c r="Y40">
        <v>8697.5999999999985</v>
      </c>
      <c r="Z40">
        <v>14</v>
      </c>
      <c r="AA40">
        <v>10147.199999999999</v>
      </c>
      <c r="AB40">
        <v>12</v>
      </c>
      <c r="AC40">
        <v>8697.5999999999985</v>
      </c>
      <c r="AD40">
        <v>16</v>
      </c>
      <c r="AE40">
        <v>11596.8</v>
      </c>
      <c r="AF40">
        <v>10</v>
      </c>
      <c r="AG40">
        <v>7248</v>
      </c>
      <c r="AH40">
        <v>12</v>
      </c>
      <c r="AI40">
        <v>8697.5999999999985</v>
      </c>
      <c r="AJ40">
        <v>13</v>
      </c>
      <c r="AK40">
        <v>9422.4</v>
      </c>
      <c r="AL40">
        <v>14</v>
      </c>
      <c r="AM40">
        <v>10147.199999999999</v>
      </c>
      <c r="AN40">
        <v>16</v>
      </c>
      <c r="AO40">
        <v>11596.8</v>
      </c>
      <c r="AP40">
        <v>15.467169440177312</v>
      </c>
      <c r="AQ40">
        <v>11210.604410240514</v>
      </c>
      <c r="AR40">
        <v>12.029045552825538</v>
      </c>
      <c r="AS40">
        <v>8718.6522166879495</v>
      </c>
      <c r="AT40">
        <v>14</v>
      </c>
      <c r="AU40">
        <v>10147.199999999999</v>
      </c>
      <c r="AV40">
        <v>18</v>
      </c>
      <c r="AW40">
        <v>13046.4</v>
      </c>
      <c r="AX40">
        <v>18</v>
      </c>
      <c r="AY40">
        <v>13046.4</v>
      </c>
      <c r="AZ40">
        <v>17</v>
      </c>
      <c r="BA40">
        <v>12321.599999999999</v>
      </c>
      <c r="BB40">
        <v>16</v>
      </c>
      <c r="BC40">
        <v>11596.8</v>
      </c>
      <c r="BD40">
        <v>14</v>
      </c>
      <c r="BE40">
        <v>10147.199999999999</v>
      </c>
      <c r="BF40">
        <v>18</v>
      </c>
      <c r="BG40">
        <v>13046.4</v>
      </c>
      <c r="BH40">
        <v>17</v>
      </c>
      <c r="BI40">
        <v>12321.599999999999</v>
      </c>
      <c r="BJ40">
        <v>17</v>
      </c>
      <c r="BK40">
        <v>12321.599999999999</v>
      </c>
      <c r="BL40">
        <v>10</v>
      </c>
      <c r="BM40">
        <v>7248</v>
      </c>
      <c r="BN40">
        <v>13</v>
      </c>
      <c r="BO40">
        <v>9422.4</v>
      </c>
      <c r="BP40">
        <v>14</v>
      </c>
      <c r="BQ40">
        <v>10147.199999999999</v>
      </c>
      <c r="BR40">
        <v>10</v>
      </c>
      <c r="BS40">
        <v>7248</v>
      </c>
      <c r="BT40">
        <v>12</v>
      </c>
      <c r="BU40">
        <v>8697.5999999999985</v>
      </c>
      <c r="BV40">
        <v>17</v>
      </c>
      <c r="BW40">
        <v>12321.599999999999</v>
      </c>
      <c r="BX40">
        <v>15</v>
      </c>
      <c r="BY40">
        <v>10872</v>
      </c>
      <c r="BZ40">
        <v>20</v>
      </c>
      <c r="CA40">
        <v>14496</v>
      </c>
      <c r="CB40">
        <v>17</v>
      </c>
      <c r="CC40">
        <v>12321.599999999999</v>
      </c>
      <c r="CD40">
        <v>15</v>
      </c>
      <c r="CE40">
        <v>10872</v>
      </c>
      <c r="CF40">
        <v>8.8515326123540028</v>
      </c>
      <c r="CG40">
        <v>6415.5908374341807</v>
      </c>
      <c r="CH40">
        <v>10.03302998143028</v>
      </c>
      <c r="CI40">
        <v>7271.9401305406664</v>
      </c>
      <c r="CJ40">
        <v>13.251694753035849</v>
      </c>
      <c r="CK40">
        <v>9604.8283570003823</v>
      </c>
      <c r="CL40">
        <v>12.29615130747805</v>
      </c>
      <c r="CM40">
        <v>8912.2504676600911</v>
      </c>
      <c r="CN40">
        <v>18</v>
      </c>
      <c r="CO40">
        <v>13046.4</v>
      </c>
      <c r="CP40">
        <v>11</v>
      </c>
      <c r="CQ40">
        <v>7972.7999999999993</v>
      </c>
      <c r="CR40">
        <v>13</v>
      </c>
      <c r="CS40">
        <v>9422.4</v>
      </c>
      <c r="CT40">
        <v>11</v>
      </c>
      <c r="CU40">
        <v>7972.7999999999993</v>
      </c>
    </row>
    <row r="41" spans="2:99">
      <c r="C41" s="99" t="s">
        <v>207</v>
      </c>
      <c r="D41">
        <v>19</v>
      </c>
      <c r="E41">
        <v>12540</v>
      </c>
      <c r="F41">
        <v>17</v>
      </c>
      <c r="G41">
        <v>11220</v>
      </c>
      <c r="H41">
        <v>20</v>
      </c>
      <c r="I41">
        <v>13200</v>
      </c>
      <c r="J41">
        <v>13.945972683623122</v>
      </c>
      <c r="K41">
        <v>9204.3419711912611</v>
      </c>
      <c r="L41">
        <v>9.794438743038917</v>
      </c>
      <c r="M41">
        <v>6464.3295704056854</v>
      </c>
      <c r="N41">
        <v>11</v>
      </c>
      <c r="O41">
        <v>7260</v>
      </c>
      <c r="P41">
        <v>10</v>
      </c>
      <c r="Q41">
        <v>6600</v>
      </c>
      <c r="R41">
        <v>13</v>
      </c>
      <c r="S41">
        <v>8580</v>
      </c>
      <c r="T41">
        <v>15</v>
      </c>
      <c r="U41">
        <v>9900</v>
      </c>
      <c r="V41">
        <v>9</v>
      </c>
      <c r="W41">
        <v>5940</v>
      </c>
      <c r="X41">
        <v>13</v>
      </c>
      <c r="Y41">
        <v>8580</v>
      </c>
      <c r="Z41">
        <v>13</v>
      </c>
      <c r="AA41">
        <v>8580</v>
      </c>
      <c r="AB41">
        <v>12</v>
      </c>
      <c r="AC41">
        <v>7920</v>
      </c>
      <c r="AD41">
        <v>16</v>
      </c>
      <c r="AE41">
        <v>10560</v>
      </c>
      <c r="AF41">
        <v>11</v>
      </c>
      <c r="AG41">
        <v>7260</v>
      </c>
      <c r="AH41">
        <v>12</v>
      </c>
      <c r="AI41">
        <v>7920</v>
      </c>
      <c r="AJ41">
        <v>14</v>
      </c>
      <c r="AK41">
        <v>9240</v>
      </c>
      <c r="AL41">
        <v>13</v>
      </c>
      <c r="AM41">
        <v>8580</v>
      </c>
      <c r="AN41">
        <v>15</v>
      </c>
      <c r="AO41">
        <v>9900</v>
      </c>
      <c r="AP41">
        <v>17.185743822419237</v>
      </c>
      <c r="AQ41">
        <v>11342.590922796697</v>
      </c>
      <c r="AR41">
        <v>13.747480631800617</v>
      </c>
      <c r="AS41">
        <v>9073.3372169884078</v>
      </c>
      <c r="AT41">
        <v>16</v>
      </c>
      <c r="AU41">
        <v>10560</v>
      </c>
      <c r="AV41">
        <v>21</v>
      </c>
      <c r="AW41">
        <v>13860</v>
      </c>
      <c r="AX41">
        <v>21</v>
      </c>
      <c r="AY41">
        <v>13860</v>
      </c>
      <c r="AZ41">
        <v>16</v>
      </c>
      <c r="BA41">
        <v>10560</v>
      </c>
      <c r="BB41">
        <v>15</v>
      </c>
      <c r="BC41">
        <v>9900</v>
      </c>
      <c r="BD41">
        <v>15</v>
      </c>
      <c r="BE41">
        <v>9900</v>
      </c>
      <c r="BF41">
        <v>20</v>
      </c>
      <c r="BG41">
        <v>13200</v>
      </c>
      <c r="BH41">
        <v>17</v>
      </c>
      <c r="BI41">
        <v>11220</v>
      </c>
      <c r="BJ41">
        <v>15</v>
      </c>
      <c r="BK41">
        <v>9900</v>
      </c>
      <c r="BL41">
        <v>11</v>
      </c>
      <c r="BM41">
        <v>7260</v>
      </c>
      <c r="BN41">
        <v>14</v>
      </c>
      <c r="BO41">
        <v>9240</v>
      </c>
      <c r="BP41">
        <v>14</v>
      </c>
      <c r="BQ41">
        <v>9240</v>
      </c>
      <c r="BR41">
        <v>9</v>
      </c>
      <c r="BS41">
        <v>5940</v>
      </c>
      <c r="BT41">
        <v>12</v>
      </c>
      <c r="BU41">
        <v>7920</v>
      </c>
      <c r="BV41">
        <v>17</v>
      </c>
      <c r="BW41">
        <v>11220</v>
      </c>
      <c r="BX41">
        <v>15</v>
      </c>
      <c r="BY41">
        <v>9900</v>
      </c>
      <c r="BZ41">
        <v>19</v>
      </c>
      <c r="CA41">
        <v>12540</v>
      </c>
      <c r="CB41">
        <v>19</v>
      </c>
      <c r="CC41">
        <v>12540</v>
      </c>
      <c r="CD41">
        <v>17</v>
      </c>
      <c r="CE41">
        <v>11220</v>
      </c>
      <c r="CF41">
        <v>9.7366858735894031</v>
      </c>
      <c r="CG41">
        <v>6426.2126765690064</v>
      </c>
      <c r="CH41">
        <v>10.749674980103872</v>
      </c>
      <c r="CI41">
        <v>7094.7854868685554</v>
      </c>
      <c r="CJ41">
        <v>14.07992567510059</v>
      </c>
      <c r="CK41">
        <v>9292.7509455663894</v>
      </c>
      <c r="CL41">
        <v>14.466060361738883</v>
      </c>
      <c r="CM41">
        <v>9547.5998387476629</v>
      </c>
      <c r="CN41">
        <v>17</v>
      </c>
      <c r="CO41">
        <v>11220</v>
      </c>
      <c r="CP41">
        <v>10</v>
      </c>
      <c r="CQ41">
        <v>6600</v>
      </c>
      <c r="CR41">
        <v>13</v>
      </c>
      <c r="CS41">
        <v>8580</v>
      </c>
      <c r="CT41">
        <v>12</v>
      </c>
      <c r="CU41">
        <v>7920</v>
      </c>
    </row>
    <row r="42" spans="2:99">
      <c r="C42" s="99" t="s">
        <v>208</v>
      </c>
      <c r="D42">
        <v>17</v>
      </c>
      <c r="E42">
        <v>14382</v>
      </c>
      <c r="F42">
        <v>18</v>
      </c>
      <c r="G42">
        <v>15228</v>
      </c>
      <c r="H42">
        <v>18</v>
      </c>
      <c r="I42">
        <v>15228</v>
      </c>
      <c r="J42">
        <v>14.9421135895962</v>
      </c>
      <c r="K42">
        <v>12641.028096798385</v>
      </c>
      <c r="L42">
        <v>11.753326491646702</v>
      </c>
      <c r="M42">
        <v>9943.3142119331096</v>
      </c>
      <c r="N42">
        <v>11</v>
      </c>
      <c r="O42">
        <v>9306</v>
      </c>
      <c r="P42">
        <v>9</v>
      </c>
      <c r="Q42">
        <v>7614</v>
      </c>
      <c r="R42">
        <v>13</v>
      </c>
      <c r="S42">
        <v>10998</v>
      </c>
      <c r="T42">
        <v>17</v>
      </c>
      <c r="U42">
        <v>14382</v>
      </c>
      <c r="V42">
        <v>10</v>
      </c>
      <c r="W42">
        <v>8460</v>
      </c>
      <c r="X42">
        <v>13</v>
      </c>
      <c r="Y42">
        <v>10998</v>
      </c>
      <c r="Z42">
        <v>12</v>
      </c>
      <c r="AA42">
        <v>10152</v>
      </c>
      <c r="AB42">
        <v>11</v>
      </c>
      <c r="AC42">
        <v>9306</v>
      </c>
      <c r="AD42">
        <v>14</v>
      </c>
      <c r="AE42">
        <v>11844</v>
      </c>
      <c r="AF42">
        <v>9</v>
      </c>
      <c r="AG42">
        <v>7614</v>
      </c>
      <c r="AH42">
        <v>12</v>
      </c>
      <c r="AI42">
        <v>10152</v>
      </c>
      <c r="AJ42">
        <v>15</v>
      </c>
      <c r="AK42">
        <v>12690</v>
      </c>
      <c r="AL42">
        <v>13</v>
      </c>
      <c r="AM42">
        <v>10998</v>
      </c>
      <c r="AN42">
        <v>15</v>
      </c>
      <c r="AO42">
        <v>12690</v>
      </c>
      <c r="AP42">
        <v>16.326456631298271</v>
      </c>
      <c r="AQ42">
        <v>13812.182310078337</v>
      </c>
      <c r="AR42">
        <v>14.606698171288155</v>
      </c>
      <c r="AS42">
        <v>12357.266652909779</v>
      </c>
      <c r="AT42">
        <v>16</v>
      </c>
      <c r="AU42">
        <v>13536</v>
      </c>
      <c r="AV42">
        <v>19</v>
      </c>
      <c r="AW42">
        <v>16074</v>
      </c>
      <c r="AX42">
        <v>17</v>
      </c>
      <c r="AY42">
        <v>14382</v>
      </c>
      <c r="AZ42">
        <v>18</v>
      </c>
      <c r="BA42">
        <v>15228</v>
      </c>
      <c r="BB42">
        <v>16</v>
      </c>
      <c r="BC42">
        <v>13536</v>
      </c>
      <c r="BD42">
        <v>14</v>
      </c>
      <c r="BE42">
        <v>11844</v>
      </c>
      <c r="BF42">
        <v>19</v>
      </c>
      <c r="BG42">
        <v>16074</v>
      </c>
      <c r="BH42">
        <v>15</v>
      </c>
      <c r="BI42">
        <v>12690</v>
      </c>
      <c r="BJ42">
        <v>15</v>
      </c>
      <c r="BK42">
        <v>12690</v>
      </c>
      <c r="BL42">
        <v>10</v>
      </c>
      <c r="BM42">
        <v>8460</v>
      </c>
      <c r="BN42">
        <v>13</v>
      </c>
      <c r="BO42">
        <v>10998</v>
      </c>
      <c r="BP42">
        <v>15</v>
      </c>
      <c r="BQ42">
        <v>12690</v>
      </c>
      <c r="BR42">
        <v>10</v>
      </c>
      <c r="BS42">
        <v>8460</v>
      </c>
      <c r="BT42">
        <v>11</v>
      </c>
      <c r="BU42">
        <v>9306</v>
      </c>
      <c r="BV42">
        <v>15</v>
      </c>
      <c r="BW42">
        <v>12690</v>
      </c>
      <c r="BX42">
        <v>16</v>
      </c>
      <c r="BY42">
        <v>13536</v>
      </c>
      <c r="BZ42">
        <v>21</v>
      </c>
      <c r="CA42">
        <v>17766</v>
      </c>
      <c r="CB42">
        <v>15</v>
      </c>
      <c r="CC42">
        <v>12690</v>
      </c>
      <c r="CD42">
        <v>15</v>
      </c>
      <c r="CE42">
        <v>12690</v>
      </c>
      <c r="CF42">
        <v>8.8515326123540028</v>
      </c>
      <c r="CG42">
        <v>7488.3965900514868</v>
      </c>
      <c r="CH42">
        <v>10.749674980103872</v>
      </c>
      <c r="CI42">
        <v>9094.225033167877</v>
      </c>
      <c r="CJ42">
        <v>11.595232908906368</v>
      </c>
      <c r="CK42">
        <v>9809.5670409347877</v>
      </c>
      <c r="CL42">
        <v>13.019454325564995</v>
      </c>
      <c r="CM42">
        <v>11014.458359427987</v>
      </c>
      <c r="CN42">
        <v>16</v>
      </c>
      <c r="CO42">
        <v>13536</v>
      </c>
      <c r="CP42">
        <v>10</v>
      </c>
      <c r="CQ42">
        <v>8460</v>
      </c>
      <c r="CR42">
        <v>13</v>
      </c>
      <c r="CS42">
        <v>10998</v>
      </c>
      <c r="CT42">
        <v>12</v>
      </c>
      <c r="CU42">
        <v>10152</v>
      </c>
    </row>
    <row r="43" spans="2:99">
      <c r="C43" s="99" t="s">
        <v>209</v>
      </c>
      <c r="D43">
        <v>17</v>
      </c>
      <c r="E43">
        <v>17380.8</v>
      </c>
      <c r="F43">
        <v>16</v>
      </c>
      <c r="G43">
        <v>16358.4</v>
      </c>
      <c r="H43">
        <v>20</v>
      </c>
      <c r="I43">
        <v>20448</v>
      </c>
      <c r="J43">
        <v>13.945972683623122</v>
      </c>
      <c r="K43">
        <v>14258.36247173628</v>
      </c>
      <c r="L43">
        <v>9.794438743038917</v>
      </c>
      <c r="M43">
        <v>10013.834170882988</v>
      </c>
      <c r="N43">
        <v>10</v>
      </c>
      <c r="O43">
        <v>10224</v>
      </c>
      <c r="P43">
        <v>9</v>
      </c>
      <c r="Q43">
        <v>9201.6</v>
      </c>
      <c r="R43">
        <v>13</v>
      </c>
      <c r="S43">
        <v>13291.199999999999</v>
      </c>
      <c r="T43">
        <v>14</v>
      </c>
      <c r="U43">
        <v>14313.6</v>
      </c>
      <c r="V43">
        <v>9</v>
      </c>
      <c r="W43">
        <v>9201.6</v>
      </c>
      <c r="X43">
        <v>12</v>
      </c>
      <c r="Y43">
        <v>12268.8</v>
      </c>
      <c r="Z43">
        <v>13</v>
      </c>
      <c r="AA43">
        <v>13291.199999999999</v>
      </c>
      <c r="AB43">
        <v>11</v>
      </c>
      <c r="AC43">
        <v>11246.4</v>
      </c>
      <c r="AD43">
        <v>15</v>
      </c>
      <c r="AE43">
        <v>15336</v>
      </c>
      <c r="AF43">
        <v>11</v>
      </c>
      <c r="AG43">
        <v>11246.4</v>
      </c>
      <c r="AH43">
        <v>12</v>
      </c>
      <c r="AI43">
        <v>12268.8</v>
      </c>
      <c r="AJ43">
        <v>14</v>
      </c>
      <c r="AK43">
        <v>14313.6</v>
      </c>
      <c r="AL43">
        <v>13</v>
      </c>
      <c r="AM43">
        <v>13291.199999999999</v>
      </c>
      <c r="AN43">
        <v>16</v>
      </c>
      <c r="AO43">
        <v>16358.4</v>
      </c>
      <c r="AP43">
        <v>15.467169440177312</v>
      </c>
      <c r="AQ43">
        <v>15813.634035637284</v>
      </c>
      <c r="AR43">
        <v>13.747480631800617</v>
      </c>
      <c r="AS43">
        <v>14055.424197952951</v>
      </c>
      <c r="AT43">
        <v>15</v>
      </c>
      <c r="AU43">
        <v>15336</v>
      </c>
      <c r="AV43">
        <v>18</v>
      </c>
      <c r="AW43">
        <v>18403.2</v>
      </c>
      <c r="AX43">
        <v>19</v>
      </c>
      <c r="AY43">
        <v>19425.599999999999</v>
      </c>
      <c r="AZ43">
        <v>15</v>
      </c>
      <c r="BA43">
        <v>15336</v>
      </c>
      <c r="BB43">
        <v>15</v>
      </c>
      <c r="BC43">
        <v>15336</v>
      </c>
      <c r="BD43">
        <v>13</v>
      </c>
      <c r="BE43">
        <v>13291.199999999999</v>
      </c>
      <c r="BF43">
        <v>19</v>
      </c>
      <c r="BG43">
        <v>19425.599999999999</v>
      </c>
      <c r="BH43">
        <v>16</v>
      </c>
      <c r="BI43">
        <v>16358.4</v>
      </c>
      <c r="BJ43">
        <v>15</v>
      </c>
      <c r="BK43">
        <v>15336</v>
      </c>
      <c r="BL43">
        <v>10</v>
      </c>
      <c r="BM43">
        <v>10224</v>
      </c>
      <c r="BN43">
        <v>13</v>
      </c>
      <c r="BO43">
        <v>13291.199999999999</v>
      </c>
      <c r="BP43">
        <v>15</v>
      </c>
      <c r="BQ43">
        <v>15336</v>
      </c>
      <c r="BR43">
        <v>10</v>
      </c>
      <c r="BS43">
        <v>10224</v>
      </c>
      <c r="BT43">
        <v>11</v>
      </c>
      <c r="BU43">
        <v>11246.4</v>
      </c>
      <c r="BV43">
        <v>15</v>
      </c>
      <c r="BW43">
        <v>15336</v>
      </c>
      <c r="BX43">
        <v>14</v>
      </c>
      <c r="BY43">
        <v>14313.6</v>
      </c>
      <c r="BZ43">
        <v>17</v>
      </c>
      <c r="CA43">
        <v>17380.8</v>
      </c>
      <c r="CB43">
        <v>17</v>
      </c>
      <c r="CC43">
        <v>17380.8</v>
      </c>
      <c r="CD43">
        <v>15</v>
      </c>
      <c r="CE43">
        <v>15336</v>
      </c>
      <c r="CF43">
        <v>8.8515326123540028</v>
      </c>
      <c r="CG43">
        <v>9049.8069428707331</v>
      </c>
      <c r="CH43">
        <v>11.466319978777463</v>
      </c>
      <c r="CI43">
        <v>11723.165546302078</v>
      </c>
      <c r="CJ43">
        <v>13.251694753035849</v>
      </c>
      <c r="CK43">
        <v>13548.532715503852</v>
      </c>
      <c r="CL43">
        <v>13.019454325564995</v>
      </c>
      <c r="CM43">
        <v>13311.090102457651</v>
      </c>
      <c r="CN43">
        <v>16</v>
      </c>
      <c r="CO43">
        <v>16358.4</v>
      </c>
      <c r="CP43">
        <v>11</v>
      </c>
      <c r="CQ43">
        <v>11246.4</v>
      </c>
      <c r="CR43">
        <v>13</v>
      </c>
      <c r="CS43">
        <v>13291.199999999999</v>
      </c>
      <c r="CT43">
        <v>12</v>
      </c>
      <c r="CU43">
        <v>12268.8</v>
      </c>
    </row>
    <row r="44" spans="2:99">
      <c r="C44" s="99" t="s">
        <v>210</v>
      </c>
      <c r="D44">
        <v>17</v>
      </c>
      <c r="E44">
        <v>17380.8</v>
      </c>
      <c r="F44">
        <v>16</v>
      </c>
      <c r="G44">
        <v>16358.4</v>
      </c>
      <c r="H44">
        <v>20</v>
      </c>
      <c r="I44">
        <v>20448</v>
      </c>
      <c r="J44">
        <v>13.945972683623122</v>
      </c>
      <c r="K44">
        <v>14258.36247173628</v>
      </c>
      <c r="L44">
        <v>10.77388261734281</v>
      </c>
      <c r="M44">
        <v>11015.217587971289</v>
      </c>
      <c r="N44">
        <v>9</v>
      </c>
      <c r="O44">
        <v>9201.6</v>
      </c>
      <c r="P44">
        <v>9</v>
      </c>
      <c r="Q44">
        <v>9201.6</v>
      </c>
      <c r="R44">
        <v>11</v>
      </c>
      <c r="S44">
        <v>11246.4</v>
      </c>
      <c r="T44">
        <v>17</v>
      </c>
      <c r="U44">
        <v>17380.8</v>
      </c>
      <c r="V44">
        <v>10</v>
      </c>
      <c r="W44">
        <v>10224</v>
      </c>
      <c r="X44">
        <v>13</v>
      </c>
      <c r="Y44">
        <v>13291.199999999999</v>
      </c>
      <c r="Z44">
        <v>12</v>
      </c>
      <c r="AA44">
        <v>12268.8</v>
      </c>
      <c r="AB44">
        <v>11</v>
      </c>
      <c r="AC44">
        <v>11246.4</v>
      </c>
      <c r="AD44">
        <v>13</v>
      </c>
      <c r="AE44">
        <v>13291.199999999999</v>
      </c>
      <c r="AF44">
        <v>10</v>
      </c>
      <c r="AG44">
        <v>10224</v>
      </c>
      <c r="AH44">
        <v>12</v>
      </c>
      <c r="AI44">
        <v>12268.8</v>
      </c>
      <c r="AJ44">
        <v>13</v>
      </c>
      <c r="AK44">
        <v>13291.199999999999</v>
      </c>
      <c r="AL44">
        <v>12</v>
      </c>
      <c r="AM44">
        <v>12268.8</v>
      </c>
      <c r="AN44">
        <v>15</v>
      </c>
      <c r="AO44">
        <v>15336</v>
      </c>
      <c r="AP44">
        <v>16.326456631298271</v>
      </c>
      <c r="AQ44">
        <v>16692.169259839353</v>
      </c>
      <c r="AR44">
        <v>12.029045552825538</v>
      </c>
      <c r="AS44">
        <v>12298.49617320883</v>
      </c>
      <c r="AT44">
        <v>15</v>
      </c>
      <c r="AU44">
        <v>15336</v>
      </c>
      <c r="AV44">
        <v>18</v>
      </c>
      <c r="AW44">
        <v>18403.2</v>
      </c>
      <c r="AX44">
        <v>20</v>
      </c>
      <c r="AY44">
        <v>20448</v>
      </c>
      <c r="AZ44">
        <v>17</v>
      </c>
      <c r="BA44">
        <v>17380.8</v>
      </c>
      <c r="BB44">
        <v>14</v>
      </c>
      <c r="BC44">
        <v>14313.6</v>
      </c>
      <c r="BD44">
        <v>12</v>
      </c>
      <c r="BE44">
        <v>12268.8</v>
      </c>
      <c r="BF44">
        <v>20</v>
      </c>
      <c r="BG44">
        <v>20448</v>
      </c>
      <c r="BH44">
        <v>15</v>
      </c>
      <c r="BI44">
        <v>15336</v>
      </c>
      <c r="BJ44">
        <v>15</v>
      </c>
      <c r="BK44">
        <v>15336</v>
      </c>
      <c r="BL44">
        <v>11</v>
      </c>
      <c r="BM44">
        <v>11246.4</v>
      </c>
      <c r="BN44">
        <v>13</v>
      </c>
      <c r="BO44">
        <v>13291.199999999999</v>
      </c>
      <c r="BP44">
        <v>16</v>
      </c>
      <c r="BQ44">
        <v>16358.4</v>
      </c>
      <c r="BR44">
        <v>9</v>
      </c>
      <c r="BS44">
        <v>9201.6</v>
      </c>
      <c r="BT44">
        <v>10</v>
      </c>
      <c r="BU44">
        <v>10224</v>
      </c>
      <c r="BV44">
        <v>16</v>
      </c>
      <c r="BW44">
        <v>16358.4</v>
      </c>
      <c r="BX44">
        <v>16</v>
      </c>
      <c r="BY44">
        <v>16358.4</v>
      </c>
      <c r="BZ44">
        <v>18</v>
      </c>
      <c r="CA44">
        <v>18403.2</v>
      </c>
      <c r="CB44">
        <v>18</v>
      </c>
      <c r="CC44">
        <v>18403.2</v>
      </c>
      <c r="CD44">
        <v>15</v>
      </c>
      <c r="CE44">
        <v>15336</v>
      </c>
      <c r="CF44">
        <v>8.8515326123540028</v>
      </c>
      <c r="CG44">
        <v>9049.8069428707331</v>
      </c>
      <c r="CH44">
        <v>10.03302998143028</v>
      </c>
      <c r="CI44">
        <v>10257.769853014319</v>
      </c>
      <c r="CJ44">
        <v>12.423463830971109</v>
      </c>
      <c r="CK44">
        <v>12701.749420784861</v>
      </c>
      <c r="CL44">
        <v>11.572848289391105</v>
      </c>
      <c r="CM44">
        <v>11832.080091073465</v>
      </c>
      <c r="CN44">
        <v>15</v>
      </c>
      <c r="CO44">
        <v>15336</v>
      </c>
      <c r="CP44">
        <v>11</v>
      </c>
      <c r="CQ44">
        <v>11246.4</v>
      </c>
      <c r="CR44">
        <v>13</v>
      </c>
      <c r="CS44">
        <v>13291.199999999999</v>
      </c>
      <c r="CT44">
        <v>11</v>
      </c>
      <c r="CU44">
        <v>11246.4</v>
      </c>
    </row>
    <row r="45" spans="2:99">
      <c r="C45" s="99" t="s">
        <v>211</v>
      </c>
      <c r="D45">
        <v>16</v>
      </c>
      <c r="E45">
        <v>19987.2</v>
      </c>
      <c r="F45">
        <v>17</v>
      </c>
      <c r="G45">
        <v>21236.400000000001</v>
      </c>
      <c r="H45">
        <v>18</v>
      </c>
      <c r="I45">
        <v>22485.600000000002</v>
      </c>
      <c r="J45">
        <v>14.9421135895962</v>
      </c>
      <c r="K45">
        <v>18665.688296123575</v>
      </c>
      <c r="L45">
        <v>9.794438743038917</v>
      </c>
      <c r="M45">
        <v>12235.212877804215</v>
      </c>
      <c r="N45">
        <v>9</v>
      </c>
      <c r="O45">
        <v>11242.800000000001</v>
      </c>
      <c r="P45">
        <v>9</v>
      </c>
      <c r="Q45">
        <v>11242.800000000001</v>
      </c>
      <c r="R45">
        <v>12</v>
      </c>
      <c r="S45">
        <v>14990.400000000001</v>
      </c>
      <c r="T45">
        <v>14</v>
      </c>
      <c r="U45">
        <v>17488.8</v>
      </c>
      <c r="V45">
        <v>8</v>
      </c>
      <c r="W45">
        <v>9993.6</v>
      </c>
      <c r="X45">
        <v>12</v>
      </c>
      <c r="Y45">
        <v>14990.400000000001</v>
      </c>
      <c r="Z45">
        <v>14</v>
      </c>
      <c r="AA45">
        <v>17488.8</v>
      </c>
      <c r="AB45">
        <v>10</v>
      </c>
      <c r="AC45">
        <v>12492</v>
      </c>
      <c r="AD45">
        <v>14</v>
      </c>
      <c r="AE45">
        <v>17488.8</v>
      </c>
      <c r="AF45">
        <v>11</v>
      </c>
      <c r="AG45">
        <v>13741.2</v>
      </c>
      <c r="AH45">
        <v>13</v>
      </c>
      <c r="AI45">
        <v>16239.6</v>
      </c>
      <c r="AJ45">
        <v>13</v>
      </c>
      <c r="AK45">
        <v>16239.6</v>
      </c>
      <c r="AL45">
        <v>12</v>
      </c>
      <c r="AM45">
        <v>14990.400000000001</v>
      </c>
      <c r="AN45">
        <v>16</v>
      </c>
      <c r="AO45">
        <v>19987.2</v>
      </c>
      <c r="AP45">
        <v>13.74859505793539</v>
      </c>
      <c r="AQ45">
        <v>17174.744946372888</v>
      </c>
      <c r="AR45">
        <v>12.888263092313077</v>
      </c>
      <c r="AS45">
        <v>16100.018254917495</v>
      </c>
      <c r="AT45">
        <v>15</v>
      </c>
      <c r="AU45">
        <v>18738</v>
      </c>
      <c r="AV45">
        <v>17</v>
      </c>
      <c r="AW45">
        <v>21236.400000000001</v>
      </c>
      <c r="AX45">
        <v>17</v>
      </c>
      <c r="AY45">
        <v>21236.400000000001</v>
      </c>
      <c r="AZ45">
        <v>16</v>
      </c>
      <c r="BA45">
        <v>19987.2</v>
      </c>
      <c r="BB45">
        <v>16</v>
      </c>
      <c r="BC45">
        <v>19987.2</v>
      </c>
      <c r="BD45">
        <v>14</v>
      </c>
      <c r="BE45">
        <v>17488.8</v>
      </c>
      <c r="BF45">
        <v>17</v>
      </c>
      <c r="BG45">
        <v>21236.400000000001</v>
      </c>
      <c r="BH45">
        <v>16</v>
      </c>
      <c r="BI45">
        <v>19987.2</v>
      </c>
      <c r="BJ45">
        <v>15</v>
      </c>
      <c r="BK45">
        <v>18738</v>
      </c>
      <c r="BL45">
        <v>11</v>
      </c>
      <c r="BM45">
        <v>13741.2</v>
      </c>
      <c r="BN45">
        <v>13</v>
      </c>
      <c r="BO45">
        <v>16239.6</v>
      </c>
      <c r="BP45">
        <v>15</v>
      </c>
      <c r="BQ45">
        <v>18738</v>
      </c>
      <c r="BR45">
        <v>9</v>
      </c>
      <c r="BS45">
        <v>11242.800000000001</v>
      </c>
      <c r="BT45">
        <v>12</v>
      </c>
      <c r="BU45">
        <v>14990.400000000001</v>
      </c>
      <c r="BV45">
        <v>13</v>
      </c>
      <c r="BW45">
        <v>16239.6</v>
      </c>
      <c r="BX45">
        <v>14</v>
      </c>
      <c r="BY45">
        <v>17488.8</v>
      </c>
      <c r="BZ45">
        <v>20</v>
      </c>
      <c r="CA45">
        <v>24984</v>
      </c>
      <c r="CB45">
        <v>18</v>
      </c>
      <c r="CC45">
        <v>22485.600000000002</v>
      </c>
      <c r="CD45">
        <v>15</v>
      </c>
      <c r="CE45">
        <v>18738</v>
      </c>
      <c r="CF45">
        <v>8.8515326123540028</v>
      </c>
      <c r="CG45">
        <v>11057.334539352622</v>
      </c>
      <c r="CH45">
        <v>10.749674980103872</v>
      </c>
      <c r="CI45">
        <v>13428.493985145758</v>
      </c>
      <c r="CJ45">
        <v>12.423463830971109</v>
      </c>
      <c r="CK45">
        <v>15519.39101764911</v>
      </c>
      <c r="CL45">
        <v>12.29615130747805</v>
      </c>
      <c r="CM45">
        <v>15360.352213301581</v>
      </c>
      <c r="CN45">
        <v>16</v>
      </c>
      <c r="CO45">
        <v>19987.2</v>
      </c>
      <c r="CP45">
        <v>9</v>
      </c>
      <c r="CQ45">
        <v>11242.800000000001</v>
      </c>
      <c r="CR45">
        <v>12</v>
      </c>
      <c r="CS45">
        <v>14990.400000000001</v>
      </c>
      <c r="CT45">
        <v>11</v>
      </c>
      <c r="CU45">
        <v>13741.2</v>
      </c>
    </row>
    <row r="46" spans="2:99">
      <c r="C46" s="99" t="s">
        <v>212</v>
      </c>
      <c r="D46">
        <v>17</v>
      </c>
      <c r="E46">
        <v>20604</v>
      </c>
      <c r="F46">
        <v>17</v>
      </c>
      <c r="G46">
        <v>20604</v>
      </c>
      <c r="H46">
        <v>17</v>
      </c>
      <c r="I46">
        <v>20604</v>
      </c>
      <c r="J46">
        <v>14.9421135895962</v>
      </c>
      <c r="K46">
        <v>18109.841670590595</v>
      </c>
      <c r="L46">
        <v>9.794438743038917</v>
      </c>
      <c r="M46">
        <v>11870.859756563168</v>
      </c>
      <c r="N46">
        <v>11</v>
      </c>
      <c r="O46">
        <v>13332</v>
      </c>
      <c r="P46">
        <v>10</v>
      </c>
      <c r="Q46">
        <v>12120</v>
      </c>
      <c r="R46">
        <v>12</v>
      </c>
      <c r="S46">
        <v>14544</v>
      </c>
      <c r="T46">
        <v>15</v>
      </c>
      <c r="U46">
        <v>18180</v>
      </c>
      <c r="V46">
        <v>9</v>
      </c>
      <c r="W46">
        <v>10908</v>
      </c>
      <c r="X46">
        <v>11</v>
      </c>
      <c r="Y46">
        <v>13332</v>
      </c>
      <c r="Z46">
        <v>13</v>
      </c>
      <c r="AA46">
        <v>15756</v>
      </c>
      <c r="AB46">
        <v>10</v>
      </c>
      <c r="AC46">
        <v>12120</v>
      </c>
      <c r="AD46">
        <v>14</v>
      </c>
      <c r="AE46">
        <v>16968</v>
      </c>
      <c r="AF46">
        <v>9</v>
      </c>
      <c r="AG46">
        <v>10908</v>
      </c>
      <c r="AH46">
        <v>11</v>
      </c>
      <c r="AI46">
        <v>13332</v>
      </c>
      <c r="AJ46">
        <v>13</v>
      </c>
      <c r="AK46">
        <v>15756</v>
      </c>
      <c r="AL46">
        <v>12</v>
      </c>
      <c r="AM46">
        <v>14544</v>
      </c>
      <c r="AN46">
        <v>16</v>
      </c>
      <c r="AO46">
        <v>19392</v>
      </c>
      <c r="AP46">
        <v>14.607882249056349</v>
      </c>
      <c r="AQ46">
        <v>17704.753285856295</v>
      </c>
      <c r="AR46">
        <v>12.029045552825538</v>
      </c>
      <c r="AS46">
        <v>14579.203210024552</v>
      </c>
      <c r="AT46">
        <v>15</v>
      </c>
      <c r="AU46">
        <v>18180</v>
      </c>
      <c r="AV46">
        <v>18</v>
      </c>
      <c r="AW46">
        <v>21816</v>
      </c>
      <c r="AX46">
        <v>19</v>
      </c>
      <c r="AY46">
        <v>23028</v>
      </c>
      <c r="AZ46">
        <v>15</v>
      </c>
      <c r="BA46">
        <v>18180</v>
      </c>
      <c r="BB46">
        <v>15</v>
      </c>
      <c r="BC46">
        <v>18180</v>
      </c>
      <c r="BD46">
        <v>14</v>
      </c>
      <c r="BE46">
        <v>16968</v>
      </c>
      <c r="BF46">
        <v>16</v>
      </c>
      <c r="BG46">
        <v>19392</v>
      </c>
      <c r="BH46">
        <v>15</v>
      </c>
      <c r="BI46">
        <v>18180</v>
      </c>
      <c r="BJ46">
        <v>14</v>
      </c>
      <c r="BK46">
        <v>16968</v>
      </c>
      <c r="BL46">
        <v>11</v>
      </c>
      <c r="BM46">
        <v>13332</v>
      </c>
      <c r="BN46">
        <v>13</v>
      </c>
      <c r="BO46">
        <v>15756</v>
      </c>
      <c r="BP46">
        <v>14</v>
      </c>
      <c r="BQ46">
        <v>16968</v>
      </c>
      <c r="BR46">
        <v>9</v>
      </c>
      <c r="BS46">
        <v>10908</v>
      </c>
      <c r="BT46">
        <v>12</v>
      </c>
      <c r="BU46">
        <v>14544</v>
      </c>
      <c r="BV46">
        <v>14</v>
      </c>
      <c r="BW46">
        <v>16968</v>
      </c>
      <c r="BX46">
        <v>13</v>
      </c>
      <c r="BY46">
        <v>15756</v>
      </c>
      <c r="BZ46">
        <v>18</v>
      </c>
      <c r="CA46">
        <v>21816</v>
      </c>
      <c r="CB46">
        <v>15</v>
      </c>
      <c r="CC46">
        <v>18180</v>
      </c>
      <c r="CD46">
        <v>16</v>
      </c>
      <c r="CE46">
        <v>19392</v>
      </c>
      <c r="CF46">
        <v>9.7366858735894031</v>
      </c>
      <c r="CG46">
        <v>11800.863278790357</v>
      </c>
      <c r="CH46">
        <v>11.466319978777463</v>
      </c>
      <c r="CI46">
        <v>13897.179814278285</v>
      </c>
      <c r="CJ46">
        <v>13.251694753035849</v>
      </c>
      <c r="CK46">
        <v>16061.05404067945</v>
      </c>
      <c r="CL46">
        <v>13.742757343651936</v>
      </c>
      <c r="CM46">
        <v>16656.221900506145</v>
      </c>
      <c r="CN46">
        <v>16</v>
      </c>
      <c r="CO46">
        <v>19392</v>
      </c>
      <c r="CP46">
        <v>11</v>
      </c>
      <c r="CQ46">
        <v>13332</v>
      </c>
      <c r="CR46">
        <v>13</v>
      </c>
      <c r="CS46">
        <v>15756</v>
      </c>
      <c r="CT46">
        <v>12</v>
      </c>
      <c r="CU46">
        <v>14544</v>
      </c>
    </row>
    <row r="47" spans="2:99">
      <c r="C47" s="99" t="s">
        <v>213</v>
      </c>
      <c r="D47">
        <v>18</v>
      </c>
      <c r="E47">
        <v>27496.799999999999</v>
      </c>
      <c r="F47">
        <v>17</v>
      </c>
      <c r="G47">
        <v>25969.199999999997</v>
      </c>
      <c r="H47">
        <v>18</v>
      </c>
      <c r="I47">
        <v>27496.799999999999</v>
      </c>
      <c r="J47">
        <v>14.9421135895962</v>
      </c>
      <c r="K47">
        <v>22825.572719467153</v>
      </c>
      <c r="L47">
        <v>8.8149948687350257</v>
      </c>
      <c r="M47">
        <v>13465.786161479624</v>
      </c>
      <c r="N47">
        <v>9</v>
      </c>
      <c r="O47">
        <v>13748.4</v>
      </c>
      <c r="P47">
        <v>10</v>
      </c>
      <c r="Q47">
        <v>15276</v>
      </c>
      <c r="R47">
        <v>10</v>
      </c>
      <c r="S47">
        <v>15276</v>
      </c>
      <c r="T47">
        <v>14</v>
      </c>
      <c r="U47">
        <v>21386.399999999998</v>
      </c>
      <c r="V47">
        <v>10</v>
      </c>
      <c r="W47">
        <v>15276</v>
      </c>
      <c r="X47">
        <v>11</v>
      </c>
      <c r="Y47">
        <v>16803.599999999999</v>
      </c>
      <c r="Z47">
        <v>11</v>
      </c>
      <c r="AA47">
        <v>16803.599999999999</v>
      </c>
      <c r="AB47">
        <v>10</v>
      </c>
      <c r="AC47">
        <v>15276</v>
      </c>
      <c r="AD47">
        <v>15</v>
      </c>
      <c r="AE47">
        <v>22914</v>
      </c>
      <c r="AF47">
        <v>10</v>
      </c>
      <c r="AG47">
        <v>15276</v>
      </c>
      <c r="AH47">
        <v>11</v>
      </c>
      <c r="AI47">
        <v>16803.599999999999</v>
      </c>
      <c r="AJ47">
        <v>12</v>
      </c>
      <c r="AK47">
        <v>18331.199999999997</v>
      </c>
      <c r="AL47">
        <v>12</v>
      </c>
      <c r="AM47">
        <v>18331.199999999997</v>
      </c>
      <c r="AN47">
        <v>15</v>
      </c>
      <c r="AO47">
        <v>22914</v>
      </c>
      <c r="AP47">
        <v>13.74859505793539</v>
      </c>
      <c r="AQ47">
        <v>21002.3538105021</v>
      </c>
      <c r="AR47">
        <v>12.888263092313077</v>
      </c>
      <c r="AS47">
        <v>19688.110699817455</v>
      </c>
      <c r="AT47">
        <v>13</v>
      </c>
      <c r="AU47">
        <v>19858.8</v>
      </c>
      <c r="AV47">
        <v>19</v>
      </c>
      <c r="AW47">
        <v>29024.399999999998</v>
      </c>
      <c r="AX47">
        <v>18</v>
      </c>
      <c r="AY47">
        <v>27496.799999999999</v>
      </c>
      <c r="AZ47">
        <v>15</v>
      </c>
      <c r="BA47">
        <v>22914</v>
      </c>
      <c r="BB47">
        <v>14</v>
      </c>
      <c r="BC47">
        <v>21386.399999999998</v>
      </c>
      <c r="BD47">
        <v>12</v>
      </c>
      <c r="BE47">
        <v>18331.199999999997</v>
      </c>
      <c r="BF47">
        <v>18</v>
      </c>
      <c r="BG47">
        <v>27496.799999999999</v>
      </c>
      <c r="BH47">
        <v>15</v>
      </c>
      <c r="BI47">
        <v>22914</v>
      </c>
      <c r="BJ47">
        <v>14</v>
      </c>
      <c r="BK47">
        <v>21386.399999999998</v>
      </c>
      <c r="BL47">
        <v>9</v>
      </c>
      <c r="BM47">
        <v>13748.4</v>
      </c>
      <c r="BN47">
        <v>13</v>
      </c>
      <c r="BO47">
        <v>19858.8</v>
      </c>
      <c r="BP47">
        <v>13</v>
      </c>
      <c r="BQ47">
        <v>19858.8</v>
      </c>
      <c r="BR47">
        <v>8</v>
      </c>
      <c r="BS47">
        <v>12220.8</v>
      </c>
      <c r="BT47">
        <v>10</v>
      </c>
      <c r="BU47">
        <v>15276</v>
      </c>
      <c r="BV47">
        <v>14</v>
      </c>
      <c r="BW47">
        <v>21386.399999999998</v>
      </c>
      <c r="BX47">
        <v>13</v>
      </c>
      <c r="BY47">
        <v>19858.8</v>
      </c>
      <c r="BZ47">
        <v>18</v>
      </c>
      <c r="CA47">
        <v>27496.799999999999</v>
      </c>
      <c r="CB47">
        <v>17</v>
      </c>
      <c r="CC47">
        <v>25969.199999999997</v>
      </c>
      <c r="CD47">
        <v>15</v>
      </c>
      <c r="CE47">
        <v>22914</v>
      </c>
      <c r="CF47">
        <v>7.9663793511186025</v>
      </c>
      <c r="CG47">
        <v>12169.441096768776</v>
      </c>
      <c r="CH47">
        <v>11.466319978777463</v>
      </c>
      <c r="CI47">
        <v>17515.950399580452</v>
      </c>
      <c r="CJ47">
        <v>13.251694753035849</v>
      </c>
      <c r="CK47">
        <v>20243.288904737561</v>
      </c>
      <c r="CL47">
        <v>10.849545271304162</v>
      </c>
      <c r="CM47">
        <v>16573.765356444237</v>
      </c>
      <c r="CN47">
        <v>16</v>
      </c>
      <c r="CO47">
        <v>24441.599999999999</v>
      </c>
      <c r="CP47">
        <v>9</v>
      </c>
      <c r="CQ47">
        <v>13748.4</v>
      </c>
      <c r="CR47">
        <v>11</v>
      </c>
      <c r="CS47">
        <v>16803.599999999999</v>
      </c>
      <c r="CT47">
        <v>11</v>
      </c>
      <c r="CU47">
        <v>16803.599999999999</v>
      </c>
    </row>
    <row r="48" spans="2:99">
      <c r="C48" s="99" t="s">
        <v>214</v>
      </c>
      <c r="D48">
        <v>18</v>
      </c>
      <c r="E48">
        <v>15616.800000000001</v>
      </c>
      <c r="F48">
        <v>16</v>
      </c>
      <c r="G48">
        <v>13881.6</v>
      </c>
      <c r="H48">
        <v>18</v>
      </c>
      <c r="I48">
        <v>15616.800000000001</v>
      </c>
      <c r="J48">
        <v>13.945972683623122</v>
      </c>
      <c r="K48">
        <v>12099.525900311421</v>
      </c>
      <c r="L48">
        <v>9.794438743038917</v>
      </c>
      <c r="M48">
        <v>8497.6550534605649</v>
      </c>
      <c r="N48">
        <v>10</v>
      </c>
      <c r="O48">
        <v>8676</v>
      </c>
      <c r="P48">
        <v>10</v>
      </c>
      <c r="Q48">
        <v>8676</v>
      </c>
      <c r="R48">
        <v>12</v>
      </c>
      <c r="S48">
        <v>10411.200000000001</v>
      </c>
      <c r="T48">
        <v>16</v>
      </c>
      <c r="U48">
        <v>13881.6</v>
      </c>
      <c r="V48">
        <v>10</v>
      </c>
      <c r="W48">
        <v>8676</v>
      </c>
      <c r="X48">
        <v>11</v>
      </c>
      <c r="Y48">
        <v>9543.6</v>
      </c>
      <c r="Z48">
        <v>13</v>
      </c>
      <c r="AA48">
        <v>11278.800000000001</v>
      </c>
      <c r="AB48">
        <v>10</v>
      </c>
      <c r="AC48">
        <v>8676</v>
      </c>
      <c r="AD48">
        <v>15</v>
      </c>
      <c r="AE48">
        <v>13014</v>
      </c>
      <c r="AF48">
        <v>10</v>
      </c>
      <c r="AG48">
        <v>8676</v>
      </c>
      <c r="AH48">
        <v>11</v>
      </c>
      <c r="AI48">
        <v>9543.6</v>
      </c>
      <c r="AJ48">
        <v>14</v>
      </c>
      <c r="AK48">
        <v>12146.4</v>
      </c>
      <c r="AL48">
        <v>14</v>
      </c>
      <c r="AM48">
        <v>12146.4</v>
      </c>
      <c r="AN48">
        <v>17</v>
      </c>
      <c r="AO48">
        <v>14749.2</v>
      </c>
      <c r="AP48">
        <v>17.185743822419237</v>
      </c>
      <c r="AQ48">
        <v>14910.35134033093</v>
      </c>
      <c r="AR48">
        <v>12.888263092313077</v>
      </c>
      <c r="AS48">
        <v>11181.857058890826</v>
      </c>
      <c r="AT48">
        <v>16</v>
      </c>
      <c r="AU48">
        <v>13881.6</v>
      </c>
      <c r="AV48">
        <v>19</v>
      </c>
      <c r="AW48">
        <v>16484.400000000001</v>
      </c>
      <c r="AX48">
        <v>18</v>
      </c>
      <c r="AY48">
        <v>15616.800000000001</v>
      </c>
      <c r="AZ48">
        <v>15</v>
      </c>
      <c r="BA48">
        <v>13014</v>
      </c>
      <c r="BB48">
        <v>16</v>
      </c>
      <c r="BC48">
        <v>13881.6</v>
      </c>
      <c r="BD48">
        <v>14</v>
      </c>
      <c r="BE48">
        <v>12146.4</v>
      </c>
      <c r="BF48">
        <v>17</v>
      </c>
      <c r="BG48">
        <v>14749.2</v>
      </c>
      <c r="BH48">
        <v>16</v>
      </c>
      <c r="BI48">
        <v>13881.6</v>
      </c>
      <c r="BJ48">
        <v>17</v>
      </c>
      <c r="BK48">
        <v>14749.2</v>
      </c>
      <c r="BL48">
        <v>11</v>
      </c>
      <c r="BM48">
        <v>9543.6</v>
      </c>
      <c r="BN48">
        <v>13</v>
      </c>
      <c r="BO48">
        <v>11278.800000000001</v>
      </c>
      <c r="BP48">
        <v>15</v>
      </c>
      <c r="BQ48">
        <v>13014</v>
      </c>
      <c r="BR48">
        <v>11</v>
      </c>
      <c r="BS48">
        <v>9543.6</v>
      </c>
      <c r="BT48">
        <v>10</v>
      </c>
      <c r="BU48">
        <v>8676</v>
      </c>
      <c r="BV48">
        <v>16</v>
      </c>
      <c r="BW48">
        <v>13881.6</v>
      </c>
      <c r="BX48">
        <v>15</v>
      </c>
      <c r="BY48">
        <v>13014</v>
      </c>
      <c r="BZ48">
        <v>19</v>
      </c>
      <c r="CA48">
        <v>16484.400000000001</v>
      </c>
      <c r="CB48">
        <v>17</v>
      </c>
      <c r="CC48">
        <v>14749.2</v>
      </c>
      <c r="CD48">
        <v>16</v>
      </c>
      <c r="CE48">
        <v>13881.6</v>
      </c>
      <c r="CF48">
        <v>9.7366858735894031</v>
      </c>
      <c r="CG48">
        <v>8447.5486639261671</v>
      </c>
      <c r="CH48">
        <v>10.749674980103872</v>
      </c>
      <c r="CI48">
        <v>9326.4180127381205</v>
      </c>
      <c r="CJ48">
        <v>12.423463830971109</v>
      </c>
      <c r="CK48">
        <v>10778.597219750534</v>
      </c>
      <c r="CL48">
        <v>13.742757343651936</v>
      </c>
      <c r="CM48">
        <v>11923.216271352419</v>
      </c>
      <c r="CN48">
        <v>17</v>
      </c>
      <c r="CO48">
        <v>14749.2</v>
      </c>
      <c r="CP48">
        <v>11</v>
      </c>
      <c r="CQ48">
        <v>9543.6</v>
      </c>
      <c r="CR48">
        <v>14</v>
      </c>
      <c r="CS48">
        <v>12146.4</v>
      </c>
      <c r="CT48">
        <v>10</v>
      </c>
      <c r="CU48">
        <v>8676</v>
      </c>
    </row>
    <row r="49" spans="2:99">
      <c r="B49" s="99" t="s">
        <v>129</v>
      </c>
      <c r="C49" s="99" t="s">
        <v>215</v>
      </c>
      <c r="D49">
        <v>15</v>
      </c>
      <c r="E49">
        <v>14777.999999999998</v>
      </c>
      <c r="F49">
        <v>16</v>
      </c>
      <c r="G49">
        <v>15763.199999999999</v>
      </c>
      <c r="H49">
        <v>14</v>
      </c>
      <c r="I49">
        <v>13792.8</v>
      </c>
      <c r="J49">
        <v>12</v>
      </c>
      <c r="K49">
        <v>11822.4</v>
      </c>
      <c r="L49">
        <v>11</v>
      </c>
      <c r="M49">
        <v>10837.199999999999</v>
      </c>
      <c r="N49">
        <v>11</v>
      </c>
      <c r="O49">
        <v>10837.199999999999</v>
      </c>
      <c r="P49">
        <v>10</v>
      </c>
      <c r="Q49">
        <v>9852</v>
      </c>
      <c r="R49">
        <v>15</v>
      </c>
      <c r="S49">
        <v>14777.999999999998</v>
      </c>
      <c r="T49">
        <v>16</v>
      </c>
      <c r="U49">
        <v>15763.199999999999</v>
      </c>
      <c r="V49">
        <v>9</v>
      </c>
      <c r="W49">
        <v>8866.7999999999993</v>
      </c>
      <c r="X49">
        <v>17</v>
      </c>
      <c r="Y49">
        <v>16748.399999999998</v>
      </c>
      <c r="Z49">
        <v>8</v>
      </c>
      <c r="AA49">
        <v>7881.5999999999995</v>
      </c>
      <c r="AB49">
        <v>17</v>
      </c>
      <c r="AC49">
        <v>16748.399999999998</v>
      </c>
      <c r="AD49">
        <v>11</v>
      </c>
      <c r="AE49">
        <v>10837.199999999999</v>
      </c>
      <c r="AF49">
        <v>13</v>
      </c>
      <c r="AG49">
        <v>12807.599999999999</v>
      </c>
      <c r="AH49">
        <v>11</v>
      </c>
      <c r="AI49">
        <v>10837.199999999999</v>
      </c>
      <c r="AJ49">
        <v>15</v>
      </c>
      <c r="AK49">
        <v>14777.999999999998</v>
      </c>
      <c r="AL49">
        <v>11</v>
      </c>
      <c r="AM49">
        <v>10837.199999999999</v>
      </c>
      <c r="AN49">
        <v>8</v>
      </c>
      <c r="AO49">
        <v>7881.5999999999995</v>
      </c>
      <c r="AP49">
        <v>13</v>
      </c>
      <c r="AQ49">
        <v>12807.599999999999</v>
      </c>
      <c r="AR49">
        <v>10</v>
      </c>
      <c r="AS49">
        <v>9852</v>
      </c>
      <c r="AT49">
        <v>10</v>
      </c>
      <c r="AU49">
        <v>9852</v>
      </c>
      <c r="AV49">
        <v>9</v>
      </c>
      <c r="AW49">
        <v>8866.7999999999993</v>
      </c>
      <c r="AX49">
        <v>13</v>
      </c>
      <c r="AY49">
        <v>12807.599999999999</v>
      </c>
      <c r="AZ49">
        <v>11</v>
      </c>
      <c r="BA49">
        <v>10837.199999999999</v>
      </c>
      <c r="BB49">
        <v>14</v>
      </c>
      <c r="BC49">
        <v>13792.8</v>
      </c>
      <c r="BD49">
        <v>10</v>
      </c>
      <c r="BE49">
        <v>9852</v>
      </c>
      <c r="BF49">
        <v>11</v>
      </c>
      <c r="BG49">
        <v>10837.199999999999</v>
      </c>
      <c r="BH49">
        <v>9</v>
      </c>
      <c r="BI49">
        <v>8866.7999999999993</v>
      </c>
      <c r="BJ49">
        <v>14</v>
      </c>
      <c r="BK49">
        <v>13792.8</v>
      </c>
      <c r="BL49">
        <v>16</v>
      </c>
      <c r="BM49">
        <v>15763.199999999999</v>
      </c>
      <c r="BN49">
        <v>10</v>
      </c>
      <c r="BO49">
        <v>9852</v>
      </c>
      <c r="BP49">
        <v>11</v>
      </c>
      <c r="BQ49">
        <v>10837.199999999999</v>
      </c>
      <c r="BR49">
        <v>16</v>
      </c>
      <c r="BS49">
        <v>15763.199999999999</v>
      </c>
      <c r="BT49">
        <v>11</v>
      </c>
      <c r="BU49">
        <v>10837.199999999999</v>
      </c>
      <c r="BV49">
        <v>11</v>
      </c>
      <c r="BW49">
        <v>10837.199999999999</v>
      </c>
      <c r="BX49">
        <v>12</v>
      </c>
      <c r="BY49">
        <v>11822.4</v>
      </c>
      <c r="BZ49">
        <v>13</v>
      </c>
      <c r="CA49">
        <v>12807.599999999999</v>
      </c>
      <c r="CB49">
        <v>12</v>
      </c>
      <c r="CC49">
        <v>11822.4</v>
      </c>
      <c r="CD49">
        <v>9</v>
      </c>
      <c r="CE49">
        <v>8866.7999999999993</v>
      </c>
      <c r="CF49">
        <v>17</v>
      </c>
      <c r="CG49">
        <v>16748.399999999998</v>
      </c>
      <c r="CH49">
        <v>8</v>
      </c>
      <c r="CI49">
        <v>7881.5999999999995</v>
      </c>
      <c r="CJ49">
        <v>10</v>
      </c>
      <c r="CK49">
        <v>9852</v>
      </c>
      <c r="CL49">
        <v>17</v>
      </c>
      <c r="CM49">
        <v>16748.399999999998</v>
      </c>
      <c r="CN49">
        <v>13</v>
      </c>
      <c r="CO49">
        <v>12807.599999999999</v>
      </c>
      <c r="CP49">
        <v>12</v>
      </c>
      <c r="CQ49">
        <v>11822.4</v>
      </c>
      <c r="CR49">
        <v>15</v>
      </c>
      <c r="CS49">
        <v>14777.999999999998</v>
      </c>
      <c r="CT49">
        <v>15</v>
      </c>
      <c r="CU49">
        <v>14777.999999999998</v>
      </c>
    </row>
    <row r="50" spans="2:99">
      <c r="C50" s="99" t="s">
        <v>216</v>
      </c>
      <c r="D50">
        <v>14</v>
      </c>
      <c r="E50">
        <v>3948</v>
      </c>
      <c r="F50">
        <v>19</v>
      </c>
      <c r="G50">
        <v>5358</v>
      </c>
      <c r="H50">
        <v>18</v>
      </c>
      <c r="I50">
        <v>5076</v>
      </c>
      <c r="J50">
        <v>13.945972683623122</v>
      </c>
      <c r="K50">
        <v>3932.7642967817205</v>
      </c>
      <c r="L50">
        <v>12.732770365950593</v>
      </c>
      <c r="M50">
        <v>3590.6412431980671</v>
      </c>
      <c r="N50">
        <v>11</v>
      </c>
      <c r="O50">
        <v>3102</v>
      </c>
      <c r="P50">
        <v>11</v>
      </c>
      <c r="Q50">
        <v>3102</v>
      </c>
      <c r="R50">
        <v>14</v>
      </c>
      <c r="S50">
        <v>3948</v>
      </c>
      <c r="T50">
        <v>17</v>
      </c>
      <c r="U50">
        <v>4794</v>
      </c>
      <c r="V50">
        <v>10</v>
      </c>
      <c r="W50">
        <v>2820</v>
      </c>
      <c r="X50">
        <v>17</v>
      </c>
      <c r="Y50">
        <v>4794</v>
      </c>
      <c r="Z50">
        <v>9</v>
      </c>
      <c r="AA50">
        <v>2538</v>
      </c>
      <c r="AB50">
        <v>18</v>
      </c>
      <c r="AC50">
        <v>5076</v>
      </c>
      <c r="AD50">
        <v>12</v>
      </c>
      <c r="AE50">
        <v>3384</v>
      </c>
      <c r="AF50">
        <v>15</v>
      </c>
      <c r="AG50">
        <v>4230</v>
      </c>
      <c r="AH50">
        <v>12</v>
      </c>
      <c r="AI50">
        <v>3384</v>
      </c>
      <c r="AJ50">
        <v>16</v>
      </c>
      <c r="AK50">
        <v>4512</v>
      </c>
      <c r="AL50">
        <v>13</v>
      </c>
      <c r="AM50">
        <v>3666</v>
      </c>
      <c r="AN50">
        <v>9</v>
      </c>
      <c r="AO50">
        <v>2538</v>
      </c>
      <c r="AP50">
        <v>13.74859505793539</v>
      </c>
      <c r="AQ50">
        <v>3877.10380633778</v>
      </c>
      <c r="AR50">
        <v>8.592175394875385</v>
      </c>
      <c r="AS50">
        <v>2422.9934613548585</v>
      </c>
      <c r="AT50">
        <v>10</v>
      </c>
      <c r="AU50">
        <v>2820</v>
      </c>
      <c r="AV50">
        <v>10</v>
      </c>
      <c r="AW50">
        <v>2820</v>
      </c>
      <c r="AX50">
        <v>14</v>
      </c>
      <c r="AY50">
        <v>3948</v>
      </c>
      <c r="AZ50">
        <v>12</v>
      </c>
      <c r="BA50">
        <v>3384</v>
      </c>
      <c r="BB50">
        <v>12</v>
      </c>
      <c r="BC50">
        <v>3384</v>
      </c>
      <c r="BD50">
        <v>11</v>
      </c>
      <c r="BE50">
        <v>3102</v>
      </c>
      <c r="BF50">
        <v>12</v>
      </c>
      <c r="BG50">
        <v>3384</v>
      </c>
      <c r="BH50">
        <v>10</v>
      </c>
      <c r="BI50">
        <v>2820</v>
      </c>
      <c r="BJ50">
        <v>16</v>
      </c>
      <c r="BK50">
        <v>4512</v>
      </c>
      <c r="BL50">
        <v>18</v>
      </c>
      <c r="BM50">
        <v>5076</v>
      </c>
      <c r="BN50">
        <v>10</v>
      </c>
      <c r="BO50">
        <v>2820</v>
      </c>
      <c r="BP50">
        <v>12</v>
      </c>
      <c r="BQ50">
        <v>3384</v>
      </c>
      <c r="BR50">
        <v>18</v>
      </c>
      <c r="BS50">
        <v>5076</v>
      </c>
      <c r="BT50">
        <v>11</v>
      </c>
      <c r="BU50">
        <v>3102</v>
      </c>
      <c r="BV50">
        <v>11</v>
      </c>
      <c r="BW50">
        <v>3102</v>
      </c>
      <c r="BX50">
        <v>12</v>
      </c>
      <c r="BY50">
        <v>3384</v>
      </c>
      <c r="BZ50">
        <v>14</v>
      </c>
      <c r="CA50">
        <v>3948</v>
      </c>
      <c r="CB50">
        <v>12</v>
      </c>
      <c r="CC50">
        <v>3384</v>
      </c>
      <c r="CD50">
        <v>9</v>
      </c>
      <c r="CE50">
        <v>2538</v>
      </c>
      <c r="CF50">
        <v>16.817911963472604</v>
      </c>
      <c r="CG50">
        <v>4742.6511736992743</v>
      </c>
      <c r="CH50">
        <v>5.7331599893887315</v>
      </c>
      <c r="CI50">
        <v>1616.7511170076223</v>
      </c>
      <c r="CJ50">
        <v>9.1105401427121464</v>
      </c>
      <c r="CK50">
        <v>2569.1723202448252</v>
      </c>
      <c r="CL50">
        <v>11.572848289391105</v>
      </c>
      <c r="CM50">
        <v>3263.5432176082918</v>
      </c>
      <c r="CN50">
        <v>15</v>
      </c>
      <c r="CO50">
        <v>4230</v>
      </c>
      <c r="CP50">
        <v>12</v>
      </c>
      <c r="CQ50">
        <v>3384</v>
      </c>
      <c r="CR50">
        <v>17</v>
      </c>
      <c r="CS50">
        <v>4794</v>
      </c>
      <c r="CT50">
        <v>15</v>
      </c>
      <c r="CU50">
        <v>4230</v>
      </c>
    </row>
    <row r="51" spans="2:99">
      <c r="C51" s="99" t="s">
        <v>217</v>
      </c>
      <c r="D51">
        <v>14</v>
      </c>
      <c r="E51">
        <v>11961.6</v>
      </c>
      <c r="F51">
        <v>16</v>
      </c>
      <c r="G51">
        <v>13670.4</v>
      </c>
      <c r="H51">
        <v>17</v>
      </c>
      <c r="I51">
        <v>14524.8</v>
      </c>
      <c r="J51">
        <v>11.953690871676962</v>
      </c>
      <c r="K51">
        <v>10213.233480760795</v>
      </c>
      <c r="L51">
        <v>12.732770365950593</v>
      </c>
      <c r="M51">
        <v>10878.879000668187</v>
      </c>
      <c r="N51">
        <v>11</v>
      </c>
      <c r="O51">
        <v>9398.4</v>
      </c>
      <c r="P51">
        <v>10</v>
      </c>
      <c r="Q51">
        <v>8544</v>
      </c>
      <c r="R51">
        <v>13</v>
      </c>
      <c r="S51">
        <v>11107.199999999999</v>
      </c>
      <c r="T51">
        <v>15</v>
      </c>
      <c r="U51">
        <v>12816</v>
      </c>
      <c r="V51">
        <v>9</v>
      </c>
      <c r="W51">
        <v>7689.5999999999995</v>
      </c>
      <c r="X51">
        <v>15</v>
      </c>
      <c r="Y51">
        <v>12816</v>
      </c>
      <c r="Z51">
        <v>8</v>
      </c>
      <c r="AA51">
        <v>6835.2</v>
      </c>
      <c r="AB51">
        <v>16</v>
      </c>
      <c r="AC51">
        <v>13670.4</v>
      </c>
      <c r="AD51">
        <v>11</v>
      </c>
      <c r="AE51">
        <v>9398.4</v>
      </c>
      <c r="AF51">
        <v>13</v>
      </c>
      <c r="AG51">
        <v>11107.199999999999</v>
      </c>
      <c r="AH51">
        <v>11</v>
      </c>
      <c r="AI51">
        <v>9398.4</v>
      </c>
      <c r="AJ51">
        <v>16</v>
      </c>
      <c r="AK51">
        <v>13670.4</v>
      </c>
      <c r="AL51">
        <v>11</v>
      </c>
      <c r="AM51">
        <v>9398.4</v>
      </c>
      <c r="AN51">
        <v>8</v>
      </c>
      <c r="AO51">
        <v>6835.2</v>
      </c>
      <c r="AP51">
        <v>12.889307866814427</v>
      </c>
      <c r="AQ51">
        <v>11012.624641406246</v>
      </c>
      <c r="AR51">
        <v>9.4513929343629233</v>
      </c>
      <c r="AS51">
        <v>8075.2701231196816</v>
      </c>
      <c r="AT51">
        <v>10</v>
      </c>
      <c r="AU51">
        <v>8544</v>
      </c>
      <c r="AV51">
        <v>10</v>
      </c>
      <c r="AW51">
        <v>8544</v>
      </c>
      <c r="AX51">
        <v>14</v>
      </c>
      <c r="AY51">
        <v>11961.6</v>
      </c>
      <c r="AZ51">
        <v>12</v>
      </c>
      <c r="BA51">
        <v>10252.799999999999</v>
      </c>
      <c r="BB51">
        <v>11</v>
      </c>
      <c r="BC51">
        <v>9398.4</v>
      </c>
      <c r="BD51">
        <v>9</v>
      </c>
      <c r="BE51">
        <v>7689.5999999999995</v>
      </c>
      <c r="BF51">
        <v>10</v>
      </c>
      <c r="BG51">
        <v>8544</v>
      </c>
      <c r="BH51">
        <v>10</v>
      </c>
      <c r="BI51">
        <v>8544</v>
      </c>
      <c r="BJ51">
        <v>13</v>
      </c>
      <c r="BK51">
        <v>11107.199999999999</v>
      </c>
      <c r="BL51">
        <v>14</v>
      </c>
      <c r="BM51">
        <v>11961.6</v>
      </c>
      <c r="BN51">
        <v>9</v>
      </c>
      <c r="BO51">
        <v>7689.5999999999995</v>
      </c>
      <c r="BP51">
        <v>12</v>
      </c>
      <c r="BQ51">
        <v>10252.799999999999</v>
      </c>
      <c r="BR51">
        <v>15</v>
      </c>
      <c r="BS51">
        <v>12816</v>
      </c>
      <c r="BT51">
        <v>10</v>
      </c>
      <c r="BU51">
        <v>8544</v>
      </c>
      <c r="BV51">
        <v>11</v>
      </c>
      <c r="BW51">
        <v>9398.4</v>
      </c>
      <c r="BX51">
        <v>13</v>
      </c>
      <c r="BY51">
        <v>11107.199999999999</v>
      </c>
      <c r="BZ51">
        <v>13</v>
      </c>
      <c r="CA51">
        <v>11107.199999999999</v>
      </c>
      <c r="CB51">
        <v>12</v>
      </c>
      <c r="CC51">
        <v>10252.799999999999</v>
      </c>
      <c r="CD51">
        <v>9</v>
      </c>
      <c r="CE51">
        <v>7689.5999999999995</v>
      </c>
      <c r="CF51">
        <v>15.932758702237205</v>
      </c>
      <c r="CG51">
        <v>13612.949035191468</v>
      </c>
      <c r="CH51">
        <v>5.7331599893887315</v>
      </c>
      <c r="CI51">
        <v>4898.4118949337317</v>
      </c>
      <c r="CJ51">
        <v>9.1105401427121464</v>
      </c>
      <c r="CK51">
        <v>7784.045497933258</v>
      </c>
      <c r="CL51">
        <v>11.572848289391105</v>
      </c>
      <c r="CM51">
        <v>9887.8415784557601</v>
      </c>
      <c r="CN51">
        <v>14</v>
      </c>
      <c r="CO51">
        <v>11961.6</v>
      </c>
      <c r="CP51">
        <v>13</v>
      </c>
      <c r="CQ51">
        <v>11107.199999999999</v>
      </c>
      <c r="CR51">
        <v>15</v>
      </c>
      <c r="CS51">
        <v>12816</v>
      </c>
      <c r="CT51">
        <v>13</v>
      </c>
      <c r="CU51">
        <v>11107.199999999999</v>
      </c>
    </row>
    <row r="52" spans="2:99">
      <c r="C52" s="99" t="s">
        <v>218</v>
      </c>
      <c r="D52">
        <v>15</v>
      </c>
      <c r="E52">
        <v>8100</v>
      </c>
      <c r="F52">
        <v>17</v>
      </c>
      <c r="G52">
        <v>9180</v>
      </c>
      <c r="H52">
        <v>17</v>
      </c>
      <c r="I52">
        <v>9180</v>
      </c>
      <c r="J52">
        <v>11.953690871676962</v>
      </c>
      <c r="K52">
        <v>6454.9930707055591</v>
      </c>
      <c r="L52">
        <v>11.753326491646702</v>
      </c>
      <c r="M52">
        <v>6346.7963054892189</v>
      </c>
      <c r="N52">
        <v>12</v>
      </c>
      <c r="O52">
        <v>6480</v>
      </c>
      <c r="P52">
        <v>10</v>
      </c>
      <c r="Q52">
        <v>5400</v>
      </c>
      <c r="R52">
        <v>14</v>
      </c>
      <c r="S52">
        <v>7560</v>
      </c>
      <c r="T52">
        <v>17</v>
      </c>
      <c r="U52">
        <v>9180</v>
      </c>
      <c r="V52">
        <v>9</v>
      </c>
      <c r="W52">
        <v>4860</v>
      </c>
      <c r="X52">
        <v>18</v>
      </c>
      <c r="Y52">
        <v>9720</v>
      </c>
      <c r="Z52">
        <v>9</v>
      </c>
      <c r="AA52">
        <v>4860</v>
      </c>
      <c r="AB52">
        <v>16</v>
      </c>
      <c r="AC52">
        <v>8640</v>
      </c>
      <c r="AD52">
        <v>11</v>
      </c>
      <c r="AE52">
        <v>5940</v>
      </c>
      <c r="AF52">
        <v>16</v>
      </c>
      <c r="AG52">
        <v>8640</v>
      </c>
      <c r="AH52">
        <v>12</v>
      </c>
      <c r="AI52">
        <v>6480</v>
      </c>
      <c r="AJ52">
        <v>14</v>
      </c>
      <c r="AK52">
        <v>7560</v>
      </c>
      <c r="AL52">
        <v>13</v>
      </c>
      <c r="AM52">
        <v>7020</v>
      </c>
      <c r="AN52">
        <v>9</v>
      </c>
      <c r="AO52">
        <v>4860</v>
      </c>
      <c r="AP52">
        <v>12.889307866814427</v>
      </c>
      <c r="AQ52">
        <v>6960.2262480797908</v>
      </c>
      <c r="AR52">
        <v>9.4513929343629233</v>
      </c>
      <c r="AS52">
        <v>5103.7521845559786</v>
      </c>
      <c r="AT52">
        <v>11</v>
      </c>
      <c r="AU52">
        <v>5940</v>
      </c>
      <c r="AV52">
        <v>11</v>
      </c>
      <c r="AW52">
        <v>5940</v>
      </c>
      <c r="AX52">
        <v>14</v>
      </c>
      <c r="AY52">
        <v>7560</v>
      </c>
      <c r="AZ52">
        <v>12</v>
      </c>
      <c r="BA52">
        <v>6480</v>
      </c>
      <c r="BB52">
        <v>14</v>
      </c>
      <c r="BC52">
        <v>7560</v>
      </c>
      <c r="BD52">
        <v>10</v>
      </c>
      <c r="BE52">
        <v>5400</v>
      </c>
      <c r="BF52">
        <v>12</v>
      </c>
      <c r="BG52">
        <v>6480</v>
      </c>
      <c r="BH52">
        <v>10</v>
      </c>
      <c r="BI52">
        <v>5400</v>
      </c>
      <c r="BJ52">
        <v>15</v>
      </c>
      <c r="BK52">
        <v>8100</v>
      </c>
      <c r="BL52">
        <v>17</v>
      </c>
      <c r="BM52">
        <v>9180</v>
      </c>
      <c r="BN52">
        <v>9</v>
      </c>
      <c r="BO52">
        <v>4860</v>
      </c>
      <c r="BP52">
        <v>11</v>
      </c>
      <c r="BQ52">
        <v>5940</v>
      </c>
      <c r="BR52">
        <v>16</v>
      </c>
      <c r="BS52">
        <v>8640</v>
      </c>
      <c r="BT52">
        <v>11</v>
      </c>
      <c r="BU52">
        <v>5940</v>
      </c>
      <c r="BV52">
        <v>12</v>
      </c>
      <c r="BW52">
        <v>6480</v>
      </c>
      <c r="BX52">
        <v>13</v>
      </c>
      <c r="BY52">
        <v>7020</v>
      </c>
      <c r="BZ52">
        <v>14</v>
      </c>
      <c r="CA52">
        <v>7560</v>
      </c>
      <c r="CB52">
        <v>11</v>
      </c>
      <c r="CC52">
        <v>5940</v>
      </c>
      <c r="CD52">
        <v>8</v>
      </c>
      <c r="CE52">
        <v>4320</v>
      </c>
      <c r="CF52">
        <v>15.932758702237205</v>
      </c>
      <c r="CG52">
        <v>8603.689699208091</v>
      </c>
      <c r="CH52">
        <v>7.1664499867359144</v>
      </c>
      <c r="CI52">
        <v>3869.8829928373939</v>
      </c>
      <c r="CJ52">
        <v>9.1105401427121464</v>
      </c>
      <c r="CK52">
        <v>4919.6916770645594</v>
      </c>
      <c r="CL52">
        <v>10.849545271304162</v>
      </c>
      <c r="CM52">
        <v>5858.7544465042474</v>
      </c>
      <c r="CN52">
        <v>14</v>
      </c>
      <c r="CO52">
        <v>7560</v>
      </c>
      <c r="CP52">
        <v>12</v>
      </c>
      <c r="CQ52">
        <v>6480</v>
      </c>
      <c r="CR52">
        <v>15</v>
      </c>
      <c r="CS52">
        <v>8100</v>
      </c>
      <c r="CT52">
        <v>14</v>
      </c>
      <c r="CU52">
        <v>7560</v>
      </c>
    </row>
    <row r="53" spans="2:99">
      <c r="C53" s="99" t="s">
        <v>219</v>
      </c>
      <c r="D53">
        <v>15</v>
      </c>
      <c r="E53">
        <v>6102</v>
      </c>
      <c r="F53">
        <v>19</v>
      </c>
      <c r="G53">
        <v>7729.2</v>
      </c>
      <c r="H53">
        <v>18</v>
      </c>
      <c r="I53">
        <v>7322.4000000000005</v>
      </c>
      <c r="J53">
        <v>12.94983177765004</v>
      </c>
      <c r="K53">
        <v>5267.9915671480367</v>
      </c>
      <c r="L53">
        <v>11.753326491646702</v>
      </c>
      <c r="M53">
        <v>4781.2532168018779</v>
      </c>
      <c r="N53">
        <v>12</v>
      </c>
      <c r="O53">
        <v>4881.6000000000004</v>
      </c>
      <c r="P53">
        <v>11</v>
      </c>
      <c r="Q53">
        <v>4474.8</v>
      </c>
      <c r="R53">
        <v>15</v>
      </c>
      <c r="S53">
        <v>6102</v>
      </c>
      <c r="T53">
        <v>16</v>
      </c>
      <c r="U53">
        <v>6508.8</v>
      </c>
      <c r="V53">
        <v>10</v>
      </c>
      <c r="W53">
        <v>4068</v>
      </c>
      <c r="X53">
        <v>17</v>
      </c>
      <c r="Y53">
        <v>6915.6</v>
      </c>
      <c r="Z53">
        <v>9</v>
      </c>
      <c r="AA53">
        <v>3661.2000000000003</v>
      </c>
      <c r="AB53">
        <v>19</v>
      </c>
      <c r="AC53">
        <v>7729.2</v>
      </c>
      <c r="AD53">
        <v>12</v>
      </c>
      <c r="AE53">
        <v>4881.6000000000004</v>
      </c>
      <c r="AF53">
        <v>16</v>
      </c>
      <c r="AG53">
        <v>6508.8</v>
      </c>
      <c r="AH53">
        <v>11</v>
      </c>
      <c r="AI53">
        <v>4474.8</v>
      </c>
      <c r="AJ53">
        <v>15</v>
      </c>
      <c r="AK53">
        <v>6102</v>
      </c>
      <c r="AL53">
        <v>12</v>
      </c>
      <c r="AM53">
        <v>4881.6000000000004</v>
      </c>
      <c r="AN53">
        <v>9</v>
      </c>
      <c r="AO53">
        <v>3661.2000000000003</v>
      </c>
      <c r="AP53">
        <v>13.74859505793539</v>
      </c>
      <c r="AQ53">
        <v>5592.9284695681163</v>
      </c>
      <c r="AR53">
        <v>8.592175394875385</v>
      </c>
      <c r="AS53">
        <v>3495.2969506353065</v>
      </c>
      <c r="AT53">
        <v>12</v>
      </c>
      <c r="AU53">
        <v>4881.6000000000004</v>
      </c>
      <c r="AV53">
        <v>10</v>
      </c>
      <c r="AW53">
        <v>4068</v>
      </c>
      <c r="AX53">
        <v>14</v>
      </c>
      <c r="AY53">
        <v>5695.2</v>
      </c>
      <c r="AZ53">
        <v>11</v>
      </c>
      <c r="BA53">
        <v>4474.8</v>
      </c>
      <c r="BB53">
        <v>13</v>
      </c>
      <c r="BC53">
        <v>5288.4000000000005</v>
      </c>
      <c r="BD53">
        <v>11</v>
      </c>
      <c r="BE53">
        <v>4474.8</v>
      </c>
      <c r="BF53">
        <v>10</v>
      </c>
      <c r="BG53">
        <v>4068</v>
      </c>
      <c r="BH53">
        <v>10</v>
      </c>
      <c r="BI53">
        <v>4068</v>
      </c>
      <c r="BJ53">
        <v>14</v>
      </c>
      <c r="BK53">
        <v>5695.2</v>
      </c>
      <c r="BL53">
        <v>17</v>
      </c>
      <c r="BM53">
        <v>6915.6</v>
      </c>
      <c r="BN53">
        <v>10</v>
      </c>
      <c r="BO53">
        <v>4068</v>
      </c>
      <c r="BP53">
        <v>11</v>
      </c>
      <c r="BQ53">
        <v>4474.8</v>
      </c>
      <c r="BR53">
        <v>19</v>
      </c>
      <c r="BS53">
        <v>7729.2</v>
      </c>
      <c r="BT53">
        <v>10</v>
      </c>
      <c r="BU53">
        <v>4068</v>
      </c>
      <c r="BV53">
        <v>12</v>
      </c>
      <c r="BW53">
        <v>4881.6000000000004</v>
      </c>
      <c r="BX53">
        <v>13</v>
      </c>
      <c r="BY53">
        <v>5288.4000000000005</v>
      </c>
      <c r="BZ53">
        <v>12</v>
      </c>
      <c r="CA53">
        <v>4881.6000000000004</v>
      </c>
      <c r="CB53">
        <v>12</v>
      </c>
      <c r="CC53">
        <v>4881.6000000000004</v>
      </c>
      <c r="CD53">
        <v>9</v>
      </c>
      <c r="CE53">
        <v>3661.2000000000003</v>
      </c>
      <c r="CF53">
        <v>15.047605441001803</v>
      </c>
      <c r="CG53">
        <v>6121.3658933995339</v>
      </c>
      <c r="CH53">
        <v>6.4498049880623229</v>
      </c>
      <c r="CI53">
        <v>2623.7806691437531</v>
      </c>
      <c r="CJ53">
        <v>8.2823092206474076</v>
      </c>
      <c r="CK53">
        <v>3369.2433909593656</v>
      </c>
      <c r="CL53">
        <v>11.572848289391105</v>
      </c>
      <c r="CM53">
        <v>4707.8346841243019</v>
      </c>
      <c r="CN53">
        <v>15</v>
      </c>
      <c r="CO53">
        <v>6102</v>
      </c>
      <c r="CP53">
        <v>14</v>
      </c>
      <c r="CQ53">
        <v>5695.2</v>
      </c>
      <c r="CR53">
        <v>18</v>
      </c>
      <c r="CS53">
        <v>7322.4000000000005</v>
      </c>
      <c r="CT53">
        <v>14</v>
      </c>
      <c r="CU53">
        <v>5695.2</v>
      </c>
    </row>
    <row r="54" spans="2:99">
      <c r="C54" s="99" t="s">
        <v>220</v>
      </c>
      <c r="D54">
        <v>15</v>
      </c>
      <c r="E54">
        <v>5022</v>
      </c>
      <c r="F54">
        <v>18</v>
      </c>
      <c r="G54">
        <v>6026.4000000000005</v>
      </c>
      <c r="H54">
        <v>17</v>
      </c>
      <c r="I54">
        <v>5691.6</v>
      </c>
      <c r="J54">
        <v>14.9421135895962</v>
      </c>
      <c r="K54">
        <v>5002.6196297968081</v>
      </c>
      <c r="L54">
        <v>11.753326491646702</v>
      </c>
      <c r="M54">
        <v>3935.0137094033157</v>
      </c>
      <c r="N54">
        <v>12</v>
      </c>
      <c r="O54">
        <v>4017.6000000000004</v>
      </c>
      <c r="P54">
        <v>12</v>
      </c>
      <c r="Q54">
        <v>4017.6000000000004</v>
      </c>
      <c r="R54">
        <v>16</v>
      </c>
      <c r="S54">
        <v>5356.8</v>
      </c>
      <c r="T54">
        <v>16</v>
      </c>
      <c r="U54">
        <v>5356.8</v>
      </c>
      <c r="V54">
        <v>9</v>
      </c>
      <c r="W54">
        <v>3013.2000000000003</v>
      </c>
      <c r="X54">
        <v>17</v>
      </c>
      <c r="Y54">
        <v>5691.6</v>
      </c>
      <c r="Z54">
        <v>9</v>
      </c>
      <c r="AA54">
        <v>3013.2000000000003</v>
      </c>
      <c r="AB54">
        <v>17</v>
      </c>
      <c r="AC54">
        <v>5691.6</v>
      </c>
      <c r="AD54">
        <v>12</v>
      </c>
      <c r="AE54">
        <v>4017.6000000000004</v>
      </c>
      <c r="AF54">
        <v>17</v>
      </c>
      <c r="AG54">
        <v>5691.6</v>
      </c>
      <c r="AH54">
        <v>11</v>
      </c>
      <c r="AI54">
        <v>3682.8</v>
      </c>
      <c r="AJ54">
        <v>15</v>
      </c>
      <c r="AK54">
        <v>5022</v>
      </c>
      <c r="AL54">
        <v>12</v>
      </c>
      <c r="AM54">
        <v>4017.6000000000004</v>
      </c>
      <c r="AN54">
        <v>9</v>
      </c>
      <c r="AO54">
        <v>3013.2000000000003</v>
      </c>
      <c r="AP54">
        <v>12.889307866814427</v>
      </c>
      <c r="AQ54">
        <v>4315.3402738094701</v>
      </c>
      <c r="AR54">
        <v>10.310610473850462</v>
      </c>
      <c r="AS54">
        <v>3451.9923866451345</v>
      </c>
      <c r="AT54">
        <v>10</v>
      </c>
      <c r="AU54">
        <v>3348</v>
      </c>
      <c r="AV54">
        <v>11</v>
      </c>
      <c r="AW54">
        <v>3682.8</v>
      </c>
      <c r="AX54">
        <v>15</v>
      </c>
      <c r="AY54">
        <v>5022</v>
      </c>
      <c r="AZ54">
        <v>13</v>
      </c>
      <c r="BA54">
        <v>4352.4000000000005</v>
      </c>
      <c r="BB54">
        <v>12</v>
      </c>
      <c r="BC54">
        <v>4017.6000000000004</v>
      </c>
      <c r="BD54">
        <v>10</v>
      </c>
      <c r="BE54">
        <v>3348</v>
      </c>
      <c r="BF54">
        <v>11</v>
      </c>
      <c r="BG54">
        <v>3682.8</v>
      </c>
      <c r="BH54">
        <v>11</v>
      </c>
      <c r="BI54">
        <v>3682.8</v>
      </c>
      <c r="BJ54">
        <v>15</v>
      </c>
      <c r="BK54">
        <v>5022</v>
      </c>
      <c r="BL54">
        <v>17</v>
      </c>
      <c r="BM54">
        <v>5691.6</v>
      </c>
      <c r="BN54">
        <v>9</v>
      </c>
      <c r="BO54">
        <v>3013.2000000000003</v>
      </c>
      <c r="BP54">
        <v>12</v>
      </c>
      <c r="BQ54">
        <v>4017.6000000000004</v>
      </c>
      <c r="BR54">
        <v>16</v>
      </c>
      <c r="BS54">
        <v>5356.8</v>
      </c>
      <c r="BT54">
        <v>11</v>
      </c>
      <c r="BU54">
        <v>3682.8</v>
      </c>
      <c r="BV54">
        <v>13</v>
      </c>
      <c r="BW54">
        <v>4352.4000000000005</v>
      </c>
      <c r="BX54">
        <v>12</v>
      </c>
      <c r="BY54">
        <v>4017.6000000000004</v>
      </c>
      <c r="BZ54">
        <v>12</v>
      </c>
      <c r="CA54">
        <v>4017.6000000000004</v>
      </c>
      <c r="CB54">
        <v>12</v>
      </c>
      <c r="CC54">
        <v>4017.6000000000004</v>
      </c>
      <c r="CD54">
        <v>9</v>
      </c>
      <c r="CE54">
        <v>3013.2000000000003</v>
      </c>
      <c r="CF54">
        <v>15.047605441001803</v>
      </c>
      <c r="CG54">
        <v>5037.9383016474039</v>
      </c>
      <c r="CH54">
        <v>6.4498049880623229</v>
      </c>
      <c r="CI54">
        <v>2159.3947100032656</v>
      </c>
      <c r="CJ54">
        <v>8.2823092206474076</v>
      </c>
      <c r="CK54">
        <v>2772.917127072752</v>
      </c>
      <c r="CL54">
        <v>13.019454325564995</v>
      </c>
      <c r="CM54">
        <v>4358.9133081991604</v>
      </c>
      <c r="CN54">
        <v>14</v>
      </c>
      <c r="CO54">
        <v>4687.2</v>
      </c>
      <c r="CP54">
        <v>12</v>
      </c>
      <c r="CQ54">
        <v>4017.6000000000004</v>
      </c>
      <c r="CR54">
        <v>16</v>
      </c>
      <c r="CS54">
        <v>5356.8</v>
      </c>
      <c r="CT54">
        <v>14</v>
      </c>
      <c r="CU54">
        <v>4687.2</v>
      </c>
    </row>
    <row r="55" spans="2:99">
      <c r="C55" s="99" t="s">
        <v>221</v>
      </c>
      <c r="D55">
        <v>13</v>
      </c>
      <c r="E55">
        <v>8626.8000000000011</v>
      </c>
      <c r="F55">
        <v>16</v>
      </c>
      <c r="G55">
        <v>10617.6</v>
      </c>
      <c r="H55">
        <v>16</v>
      </c>
      <c r="I55">
        <v>10617.6</v>
      </c>
      <c r="J55">
        <v>12.94983177765004</v>
      </c>
      <c r="K55">
        <v>8593.5083676485665</v>
      </c>
      <c r="L55">
        <v>12.732770365950593</v>
      </c>
      <c r="M55">
        <v>8449.4664148448137</v>
      </c>
      <c r="N55">
        <v>12</v>
      </c>
      <c r="O55">
        <v>7963.2000000000007</v>
      </c>
      <c r="P55">
        <v>10</v>
      </c>
      <c r="Q55">
        <v>6636</v>
      </c>
      <c r="R55">
        <v>15</v>
      </c>
      <c r="S55">
        <v>9954</v>
      </c>
      <c r="T55">
        <v>16</v>
      </c>
      <c r="U55">
        <v>10617.6</v>
      </c>
      <c r="V55">
        <v>9</v>
      </c>
      <c r="W55">
        <v>5972.4000000000005</v>
      </c>
      <c r="X55">
        <v>16</v>
      </c>
      <c r="Y55">
        <v>10617.6</v>
      </c>
      <c r="Z55">
        <v>8</v>
      </c>
      <c r="AA55">
        <v>5308.8</v>
      </c>
      <c r="AB55">
        <v>17</v>
      </c>
      <c r="AC55">
        <v>11281.2</v>
      </c>
      <c r="AD55">
        <v>12</v>
      </c>
      <c r="AE55">
        <v>7963.2000000000007</v>
      </c>
      <c r="AF55">
        <v>14</v>
      </c>
      <c r="AG55">
        <v>9290.4</v>
      </c>
      <c r="AH55">
        <v>11</v>
      </c>
      <c r="AI55">
        <v>7299.6</v>
      </c>
      <c r="AJ55">
        <v>15</v>
      </c>
      <c r="AK55">
        <v>9954</v>
      </c>
      <c r="AL55">
        <v>12</v>
      </c>
      <c r="AM55">
        <v>7963.2000000000007</v>
      </c>
      <c r="AN55">
        <v>10</v>
      </c>
      <c r="AO55">
        <v>6636</v>
      </c>
      <c r="AP55">
        <v>12.889307866814427</v>
      </c>
      <c r="AQ55">
        <v>8553.3447004180543</v>
      </c>
      <c r="AR55">
        <v>10.310610473850462</v>
      </c>
      <c r="AS55">
        <v>6842.1211104471668</v>
      </c>
      <c r="AT55">
        <v>11</v>
      </c>
      <c r="AU55">
        <v>7299.6</v>
      </c>
      <c r="AV55">
        <v>10</v>
      </c>
      <c r="AW55">
        <v>6636</v>
      </c>
      <c r="AX55">
        <v>13</v>
      </c>
      <c r="AY55">
        <v>8626.8000000000011</v>
      </c>
      <c r="AZ55">
        <v>13</v>
      </c>
      <c r="BA55">
        <v>8626.8000000000011</v>
      </c>
      <c r="BB55">
        <v>13</v>
      </c>
      <c r="BC55">
        <v>8626.8000000000011</v>
      </c>
      <c r="BD55">
        <v>10</v>
      </c>
      <c r="BE55">
        <v>6636</v>
      </c>
      <c r="BF55">
        <v>11</v>
      </c>
      <c r="BG55">
        <v>7299.6</v>
      </c>
      <c r="BH55">
        <v>11</v>
      </c>
      <c r="BI55">
        <v>7299.6</v>
      </c>
      <c r="BJ55">
        <v>15</v>
      </c>
      <c r="BK55">
        <v>9954</v>
      </c>
      <c r="BL55">
        <v>15</v>
      </c>
      <c r="BM55">
        <v>9954</v>
      </c>
      <c r="BN55">
        <v>10</v>
      </c>
      <c r="BO55">
        <v>6636</v>
      </c>
      <c r="BP55">
        <v>13</v>
      </c>
      <c r="BQ55">
        <v>8626.8000000000011</v>
      </c>
      <c r="BR55">
        <v>16</v>
      </c>
      <c r="BS55">
        <v>10617.6</v>
      </c>
      <c r="BT55">
        <v>11</v>
      </c>
      <c r="BU55">
        <v>7299.6</v>
      </c>
      <c r="BV55">
        <v>11</v>
      </c>
      <c r="BW55">
        <v>7299.6</v>
      </c>
      <c r="BX55">
        <v>12</v>
      </c>
      <c r="BY55">
        <v>7963.2000000000007</v>
      </c>
      <c r="BZ55">
        <v>12</v>
      </c>
      <c r="CA55">
        <v>7963.2000000000007</v>
      </c>
      <c r="CB55">
        <v>12</v>
      </c>
      <c r="CC55">
        <v>7963.2000000000007</v>
      </c>
      <c r="CD55">
        <v>9</v>
      </c>
      <c r="CE55">
        <v>5972.4000000000005</v>
      </c>
      <c r="CF55">
        <v>15.047605441001803</v>
      </c>
      <c r="CG55">
        <v>9985.5909706487964</v>
      </c>
      <c r="CH55">
        <v>6.4498049880623229</v>
      </c>
      <c r="CI55">
        <v>4280.0905900781572</v>
      </c>
      <c r="CJ55">
        <v>8.2823092206474076</v>
      </c>
      <c r="CK55">
        <v>5496.1403988216198</v>
      </c>
      <c r="CL55">
        <v>12.29615130747805</v>
      </c>
      <c r="CM55">
        <v>8159.7260076424345</v>
      </c>
      <c r="CN55">
        <v>14</v>
      </c>
      <c r="CO55">
        <v>9290.4</v>
      </c>
      <c r="CP55">
        <v>13</v>
      </c>
      <c r="CQ55">
        <v>8626.8000000000011</v>
      </c>
      <c r="CR55">
        <v>16</v>
      </c>
      <c r="CS55">
        <v>10617.6</v>
      </c>
      <c r="CT55">
        <v>13</v>
      </c>
      <c r="CU55">
        <v>8626.8000000000011</v>
      </c>
    </row>
    <row r="56" spans="2:99">
      <c r="C56" s="99" t="s">
        <v>222</v>
      </c>
      <c r="D56">
        <v>13</v>
      </c>
      <c r="E56">
        <v>12760.8</v>
      </c>
      <c r="F56">
        <v>17</v>
      </c>
      <c r="G56">
        <v>16687.199999999997</v>
      </c>
      <c r="H56">
        <v>17</v>
      </c>
      <c r="I56">
        <v>16687.199999999997</v>
      </c>
      <c r="J56">
        <v>13</v>
      </c>
      <c r="K56">
        <v>12760.8</v>
      </c>
      <c r="L56">
        <v>12</v>
      </c>
      <c r="M56">
        <v>11779.199999999999</v>
      </c>
      <c r="N56">
        <v>11</v>
      </c>
      <c r="O56">
        <v>10797.599999999999</v>
      </c>
      <c r="P56">
        <v>9</v>
      </c>
      <c r="Q56">
        <v>8834.4</v>
      </c>
      <c r="R56">
        <v>14</v>
      </c>
      <c r="S56">
        <v>13742.399999999998</v>
      </c>
      <c r="T56">
        <v>16</v>
      </c>
      <c r="U56">
        <v>15705.599999999999</v>
      </c>
      <c r="V56">
        <v>9</v>
      </c>
      <c r="W56">
        <v>8834.4</v>
      </c>
      <c r="X56">
        <v>15</v>
      </c>
      <c r="Y56">
        <v>14723.999999999998</v>
      </c>
      <c r="Z56">
        <v>8</v>
      </c>
      <c r="AA56">
        <v>7852.7999999999993</v>
      </c>
      <c r="AB56">
        <v>17</v>
      </c>
      <c r="AC56">
        <v>16687.199999999997</v>
      </c>
      <c r="AD56">
        <v>11</v>
      </c>
      <c r="AE56">
        <v>10797.599999999999</v>
      </c>
      <c r="AF56">
        <v>16</v>
      </c>
      <c r="AG56">
        <v>15705.599999999999</v>
      </c>
      <c r="AH56">
        <v>11</v>
      </c>
      <c r="AI56">
        <v>10797.599999999999</v>
      </c>
      <c r="AJ56">
        <v>15</v>
      </c>
      <c r="AK56">
        <v>14723.999999999998</v>
      </c>
      <c r="AL56">
        <v>13</v>
      </c>
      <c r="AM56">
        <v>12760.8</v>
      </c>
      <c r="AN56">
        <v>9</v>
      </c>
      <c r="AO56">
        <v>8834.4</v>
      </c>
      <c r="AP56">
        <v>14</v>
      </c>
      <c r="AQ56">
        <v>13742.399999999998</v>
      </c>
      <c r="AR56">
        <v>11</v>
      </c>
      <c r="AS56">
        <v>10797.599999999999</v>
      </c>
      <c r="AT56">
        <v>11</v>
      </c>
      <c r="AU56">
        <v>10797.599999999999</v>
      </c>
      <c r="AV56">
        <v>9</v>
      </c>
      <c r="AW56">
        <v>8834.4</v>
      </c>
      <c r="AX56">
        <v>13</v>
      </c>
      <c r="AY56">
        <v>12760.8</v>
      </c>
      <c r="AZ56">
        <v>13</v>
      </c>
      <c r="BA56">
        <v>12760.8</v>
      </c>
      <c r="BB56">
        <v>13</v>
      </c>
      <c r="BC56">
        <v>12760.8</v>
      </c>
      <c r="BD56">
        <v>11</v>
      </c>
      <c r="BE56">
        <v>10797.599999999999</v>
      </c>
      <c r="BF56">
        <v>11</v>
      </c>
      <c r="BG56">
        <v>10797.599999999999</v>
      </c>
      <c r="BH56">
        <v>10</v>
      </c>
      <c r="BI56">
        <v>9816</v>
      </c>
      <c r="BJ56">
        <v>14</v>
      </c>
      <c r="BK56">
        <v>13742.399999999998</v>
      </c>
      <c r="BL56">
        <v>16</v>
      </c>
      <c r="BM56">
        <v>15705.599999999999</v>
      </c>
      <c r="BN56">
        <v>9</v>
      </c>
      <c r="BO56">
        <v>8834.4</v>
      </c>
      <c r="BP56">
        <v>11</v>
      </c>
      <c r="BQ56">
        <v>10797.599999999999</v>
      </c>
      <c r="BR56">
        <v>16</v>
      </c>
      <c r="BS56">
        <v>15705.599999999999</v>
      </c>
      <c r="BT56">
        <v>10</v>
      </c>
      <c r="BU56">
        <v>9816</v>
      </c>
      <c r="BV56">
        <v>11</v>
      </c>
      <c r="BW56">
        <v>10797.599999999999</v>
      </c>
      <c r="BX56">
        <v>12</v>
      </c>
      <c r="BY56">
        <v>11779.199999999999</v>
      </c>
      <c r="BZ56">
        <v>11</v>
      </c>
      <c r="CA56">
        <v>10797.599999999999</v>
      </c>
      <c r="CB56">
        <v>12</v>
      </c>
      <c r="CC56">
        <v>11779.199999999999</v>
      </c>
      <c r="CD56">
        <v>9</v>
      </c>
      <c r="CE56">
        <v>8834.4</v>
      </c>
      <c r="CF56">
        <v>17</v>
      </c>
      <c r="CG56">
        <v>16687.199999999997</v>
      </c>
      <c r="CH56">
        <v>9</v>
      </c>
      <c r="CI56">
        <v>8834.4</v>
      </c>
      <c r="CJ56">
        <v>10</v>
      </c>
      <c r="CK56">
        <v>9816</v>
      </c>
      <c r="CL56">
        <v>16</v>
      </c>
      <c r="CM56">
        <v>15705.599999999999</v>
      </c>
      <c r="CN56">
        <v>12</v>
      </c>
      <c r="CO56">
        <v>11779.199999999999</v>
      </c>
      <c r="CP56">
        <v>12</v>
      </c>
      <c r="CQ56">
        <v>11779.199999999999</v>
      </c>
      <c r="CR56">
        <v>15</v>
      </c>
      <c r="CS56">
        <v>14723.999999999998</v>
      </c>
      <c r="CT56">
        <v>13</v>
      </c>
      <c r="CU56">
        <v>12760.8</v>
      </c>
    </row>
    <row r="57" spans="2:99">
      <c r="C57" s="99" t="s">
        <v>223</v>
      </c>
      <c r="D57">
        <v>14</v>
      </c>
      <c r="E57">
        <v>19756.8</v>
      </c>
      <c r="F57">
        <v>17</v>
      </c>
      <c r="G57">
        <v>23990.400000000001</v>
      </c>
      <c r="H57">
        <v>15</v>
      </c>
      <c r="I57">
        <v>21168</v>
      </c>
      <c r="J57">
        <v>12.94983177765004</v>
      </c>
      <c r="K57">
        <v>18274.802604619737</v>
      </c>
      <c r="L57">
        <v>10.77388261734281</v>
      </c>
      <c r="M57">
        <v>15204.103149594173</v>
      </c>
      <c r="N57">
        <v>9</v>
      </c>
      <c r="O57">
        <v>12700.800000000001</v>
      </c>
      <c r="P57">
        <v>10</v>
      </c>
      <c r="Q57">
        <v>14112</v>
      </c>
      <c r="R57">
        <v>14</v>
      </c>
      <c r="S57">
        <v>19756.8</v>
      </c>
      <c r="T57">
        <v>14</v>
      </c>
      <c r="U57">
        <v>19756.8</v>
      </c>
      <c r="V57">
        <v>9</v>
      </c>
      <c r="W57">
        <v>12700.800000000001</v>
      </c>
      <c r="X57">
        <v>15</v>
      </c>
      <c r="Y57">
        <v>21168</v>
      </c>
      <c r="Z57">
        <v>8</v>
      </c>
      <c r="AA57">
        <v>11289.6</v>
      </c>
      <c r="AB57">
        <v>15</v>
      </c>
      <c r="AC57">
        <v>21168</v>
      </c>
      <c r="AD57">
        <v>11</v>
      </c>
      <c r="AE57">
        <v>15523.2</v>
      </c>
      <c r="AF57">
        <v>15</v>
      </c>
      <c r="AG57">
        <v>21168</v>
      </c>
      <c r="AH57">
        <v>9</v>
      </c>
      <c r="AI57">
        <v>12700.800000000001</v>
      </c>
      <c r="AJ57">
        <v>14</v>
      </c>
      <c r="AK57">
        <v>19756.8</v>
      </c>
      <c r="AL57">
        <v>10</v>
      </c>
      <c r="AM57">
        <v>14112</v>
      </c>
      <c r="AN57">
        <v>8</v>
      </c>
      <c r="AO57">
        <v>11289.6</v>
      </c>
      <c r="AP57">
        <v>12.889307866814427</v>
      </c>
      <c r="AQ57">
        <v>18189.391261648521</v>
      </c>
      <c r="AR57">
        <v>8.592175394875385</v>
      </c>
      <c r="AS57">
        <v>12125.277917248144</v>
      </c>
      <c r="AT57">
        <v>10</v>
      </c>
      <c r="AU57">
        <v>14112</v>
      </c>
      <c r="AV57">
        <v>10</v>
      </c>
      <c r="AW57">
        <v>14112</v>
      </c>
      <c r="AX57">
        <v>12</v>
      </c>
      <c r="AY57">
        <v>16934.400000000001</v>
      </c>
      <c r="AZ57">
        <v>11</v>
      </c>
      <c r="BA57">
        <v>15523.2</v>
      </c>
      <c r="BB57">
        <v>11</v>
      </c>
      <c r="BC57">
        <v>15523.2</v>
      </c>
      <c r="BD57">
        <v>9</v>
      </c>
      <c r="BE57">
        <v>12700.800000000001</v>
      </c>
      <c r="BF57">
        <v>11</v>
      </c>
      <c r="BG57">
        <v>15523.2</v>
      </c>
      <c r="BH57">
        <v>9</v>
      </c>
      <c r="BI57">
        <v>12700.800000000001</v>
      </c>
      <c r="BJ57">
        <v>13</v>
      </c>
      <c r="BK57">
        <v>18345.600000000002</v>
      </c>
      <c r="BL57">
        <v>15</v>
      </c>
      <c r="BM57">
        <v>21168</v>
      </c>
      <c r="BN57">
        <v>9</v>
      </c>
      <c r="BO57">
        <v>12700.800000000001</v>
      </c>
      <c r="BP57">
        <v>11</v>
      </c>
      <c r="BQ57">
        <v>15523.2</v>
      </c>
      <c r="BR57">
        <v>16</v>
      </c>
      <c r="BS57">
        <v>22579.200000000001</v>
      </c>
      <c r="BT57">
        <v>9</v>
      </c>
      <c r="BU57">
        <v>12700.800000000001</v>
      </c>
      <c r="BV57">
        <v>10</v>
      </c>
      <c r="BW57">
        <v>14112</v>
      </c>
      <c r="BX57">
        <v>10</v>
      </c>
      <c r="BY57">
        <v>14112</v>
      </c>
      <c r="BZ57">
        <v>11</v>
      </c>
      <c r="CA57">
        <v>15523.2</v>
      </c>
      <c r="CB57">
        <v>12</v>
      </c>
      <c r="CC57">
        <v>16934.400000000001</v>
      </c>
      <c r="CD57">
        <v>8</v>
      </c>
      <c r="CE57">
        <v>11289.6</v>
      </c>
      <c r="CF57">
        <v>14.162452179766404</v>
      </c>
      <c r="CG57">
        <v>19986.052516086351</v>
      </c>
      <c r="CH57">
        <v>6.4498049880623229</v>
      </c>
      <c r="CI57">
        <v>9101.9647991535512</v>
      </c>
      <c r="CJ57">
        <v>9.1105401427121464</v>
      </c>
      <c r="CK57">
        <v>12856.794249395381</v>
      </c>
      <c r="CL57">
        <v>10.126242253217217</v>
      </c>
      <c r="CM57">
        <v>14290.153067740137</v>
      </c>
      <c r="CN57">
        <v>13</v>
      </c>
      <c r="CO57">
        <v>18345.600000000002</v>
      </c>
      <c r="CP57">
        <v>11</v>
      </c>
      <c r="CQ57">
        <v>15523.2</v>
      </c>
      <c r="CR57">
        <v>17</v>
      </c>
      <c r="CS57">
        <v>23990.400000000001</v>
      </c>
      <c r="CT57">
        <v>12</v>
      </c>
      <c r="CU57">
        <v>16934.400000000001</v>
      </c>
    </row>
    <row r="58" spans="2:99">
      <c r="C58" s="99" t="s">
        <v>224</v>
      </c>
      <c r="D58">
        <v>14</v>
      </c>
      <c r="E58">
        <v>16480.8</v>
      </c>
      <c r="F58">
        <v>15</v>
      </c>
      <c r="G58">
        <v>17658</v>
      </c>
      <c r="H58">
        <v>15</v>
      </c>
      <c r="I58">
        <v>17658</v>
      </c>
      <c r="J58">
        <v>14</v>
      </c>
      <c r="K58">
        <v>16480.8</v>
      </c>
      <c r="L58">
        <v>11</v>
      </c>
      <c r="M58">
        <v>12949.2</v>
      </c>
      <c r="N58">
        <v>10</v>
      </c>
      <c r="O58">
        <v>11772</v>
      </c>
      <c r="P58">
        <v>10</v>
      </c>
      <c r="Q58">
        <v>11772</v>
      </c>
      <c r="R58">
        <v>15</v>
      </c>
      <c r="S58">
        <v>17658</v>
      </c>
      <c r="T58">
        <v>15</v>
      </c>
      <c r="U58">
        <v>17658</v>
      </c>
      <c r="V58">
        <v>9</v>
      </c>
      <c r="W58">
        <v>10594.800000000001</v>
      </c>
      <c r="X58">
        <v>14</v>
      </c>
      <c r="Y58">
        <v>16480.8</v>
      </c>
      <c r="Z58">
        <v>8</v>
      </c>
      <c r="AA58">
        <v>9417.6</v>
      </c>
      <c r="AB58">
        <v>15</v>
      </c>
      <c r="AC58">
        <v>17658</v>
      </c>
      <c r="AD58">
        <v>11</v>
      </c>
      <c r="AE58">
        <v>12949.2</v>
      </c>
      <c r="AF58">
        <v>14</v>
      </c>
      <c r="AG58">
        <v>16480.8</v>
      </c>
      <c r="AH58">
        <v>10</v>
      </c>
      <c r="AI58">
        <v>11772</v>
      </c>
      <c r="AJ58">
        <v>13</v>
      </c>
      <c r="AK58">
        <v>15303.6</v>
      </c>
      <c r="AL58">
        <v>11</v>
      </c>
      <c r="AM58">
        <v>12949.2</v>
      </c>
      <c r="AN58">
        <v>9</v>
      </c>
      <c r="AO58">
        <v>10594.800000000001</v>
      </c>
      <c r="AP58">
        <v>14</v>
      </c>
      <c r="AQ58">
        <v>16480.8</v>
      </c>
      <c r="AR58">
        <v>11</v>
      </c>
      <c r="AS58">
        <v>12949.2</v>
      </c>
      <c r="AT58">
        <v>10</v>
      </c>
      <c r="AU58">
        <v>11772</v>
      </c>
      <c r="AV58">
        <v>9</v>
      </c>
      <c r="AW58">
        <v>10594.800000000001</v>
      </c>
      <c r="AX58">
        <v>13</v>
      </c>
      <c r="AY58">
        <v>15303.6</v>
      </c>
      <c r="AZ58">
        <v>11</v>
      </c>
      <c r="BA58">
        <v>12949.2</v>
      </c>
      <c r="BB58">
        <v>13</v>
      </c>
      <c r="BC58">
        <v>15303.6</v>
      </c>
      <c r="BD58">
        <v>10</v>
      </c>
      <c r="BE58">
        <v>11772</v>
      </c>
      <c r="BF58">
        <v>11</v>
      </c>
      <c r="BG58">
        <v>12949.2</v>
      </c>
      <c r="BH58">
        <v>10</v>
      </c>
      <c r="BI58">
        <v>11772</v>
      </c>
      <c r="BJ58">
        <v>13</v>
      </c>
      <c r="BK58">
        <v>15303.6</v>
      </c>
      <c r="BL58">
        <v>16</v>
      </c>
      <c r="BM58">
        <v>18835.2</v>
      </c>
      <c r="BN58">
        <v>9</v>
      </c>
      <c r="BO58">
        <v>10594.800000000001</v>
      </c>
      <c r="BP58">
        <v>12</v>
      </c>
      <c r="BQ58">
        <v>14126.400000000001</v>
      </c>
      <c r="BR58">
        <v>17</v>
      </c>
      <c r="BS58">
        <v>20012.400000000001</v>
      </c>
      <c r="BT58">
        <v>11</v>
      </c>
      <c r="BU58">
        <v>12949.2</v>
      </c>
      <c r="BV58">
        <v>11</v>
      </c>
      <c r="BW58">
        <v>12949.2</v>
      </c>
      <c r="BX58">
        <v>11</v>
      </c>
      <c r="BY58">
        <v>12949.2</v>
      </c>
      <c r="BZ58">
        <v>12</v>
      </c>
      <c r="CA58">
        <v>14126.400000000001</v>
      </c>
      <c r="CB58">
        <v>11</v>
      </c>
      <c r="CC58">
        <v>12949.2</v>
      </c>
      <c r="CD58">
        <v>9</v>
      </c>
      <c r="CE58">
        <v>10594.800000000001</v>
      </c>
      <c r="CF58">
        <v>17</v>
      </c>
      <c r="CG58">
        <v>20012.400000000001</v>
      </c>
      <c r="CH58">
        <v>9</v>
      </c>
      <c r="CI58">
        <v>10594.800000000001</v>
      </c>
      <c r="CJ58">
        <v>9</v>
      </c>
      <c r="CK58">
        <v>10594.800000000001</v>
      </c>
      <c r="CL58">
        <v>14</v>
      </c>
      <c r="CM58">
        <v>16480.8</v>
      </c>
      <c r="CN58">
        <v>14</v>
      </c>
      <c r="CO58">
        <v>16480.8</v>
      </c>
      <c r="CP58">
        <v>12</v>
      </c>
      <c r="CQ58">
        <v>14126.400000000001</v>
      </c>
      <c r="CR58">
        <v>14</v>
      </c>
      <c r="CS58">
        <v>16480.8</v>
      </c>
      <c r="CT58">
        <v>14</v>
      </c>
      <c r="CU58">
        <v>16480.8</v>
      </c>
    </row>
    <row r="59" spans="2:99">
      <c r="C59" s="99" t="s">
        <v>225</v>
      </c>
      <c r="D59">
        <v>14</v>
      </c>
      <c r="E59">
        <v>4250.3999999999996</v>
      </c>
      <c r="F59">
        <v>18</v>
      </c>
      <c r="G59">
        <v>5464.7999999999993</v>
      </c>
      <c r="H59">
        <v>18</v>
      </c>
      <c r="I59">
        <v>5464.7999999999993</v>
      </c>
      <c r="J59">
        <v>14.9421135895962</v>
      </c>
      <c r="K59">
        <v>4536.425685801406</v>
      </c>
      <c r="L59">
        <v>11.753326491646702</v>
      </c>
      <c r="M59">
        <v>3568.309922863938</v>
      </c>
      <c r="N59">
        <v>12</v>
      </c>
      <c r="O59">
        <v>3643.2</v>
      </c>
      <c r="P59">
        <v>12</v>
      </c>
      <c r="Q59">
        <v>3643.2</v>
      </c>
      <c r="R59">
        <v>14</v>
      </c>
      <c r="S59">
        <v>4250.3999999999996</v>
      </c>
      <c r="T59">
        <v>17</v>
      </c>
      <c r="U59">
        <v>5161.2</v>
      </c>
      <c r="V59">
        <v>9</v>
      </c>
      <c r="W59">
        <v>2732.3999999999996</v>
      </c>
      <c r="X59">
        <v>17</v>
      </c>
      <c r="Y59">
        <v>5161.2</v>
      </c>
      <c r="Z59">
        <v>8</v>
      </c>
      <c r="AA59">
        <v>2428.7999999999997</v>
      </c>
      <c r="AB59">
        <v>18</v>
      </c>
      <c r="AC59">
        <v>5464.7999999999993</v>
      </c>
      <c r="AD59">
        <v>11</v>
      </c>
      <c r="AE59">
        <v>3339.5999999999995</v>
      </c>
      <c r="AF59">
        <v>15</v>
      </c>
      <c r="AG59">
        <v>4553.9999999999991</v>
      </c>
      <c r="AH59">
        <v>10</v>
      </c>
      <c r="AI59">
        <v>3035.9999999999995</v>
      </c>
      <c r="AJ59">
        <v>14</v>
      </c>
      <c r="AK59">
        <v>4250.3999999999996</v>
      </c>
      <c r="AL59">
        <v>12</v>
      </c>
      <c r="AM59">
        <v>3643.2</v>
      </c>
      <c r="AN59">
        <v>10</v>
      </c>
      <c r="AO59">
        <v>3035.9999999999995</v>
      </c>
      <c r="AP59">
        <v>12.889307866814427</v>
      </c>
      <c r="AQ59">
        <v>3913.1938683648596</v>
      </c>
      <c r="AR59">
        <v>10.310610473850462</v>
      </c>
      <c r="AS59">
        <v>3130.3013398609996</v>
      </c>
      <c r="AT59">
        <v>10</v>
      </c>
      <c r="AU59">
        <v>3035.9999999999995</v>
      </c>
      <c r="AV59">
        <v>9</v>
      </c>
      <c r="AW59">
        <v>2732.3999999999996</v>
      </c>
      <c r="AX59">
        <v>14</v>
      </c>
      <c r="AY59">
        <v>4250.3999999999996</v>
      </c>
      <c r="AZ59">
        <v>12</v>
      </c>
      <c r="BA59">
        <v>3643.2</v>
      </c>
      <c r="BB59">
        <v>12</v>
      </c>
      <c r="BC59">
        <v>3643.2</v>
      </c>
      <c r="BD59">
        <v>10</v>
      </c>
      <c r="BE59">
        <v>3035.9999999999995</v>
      </c>
      <c r="BF59">
        <v>12</v>
      </c>
      <c r="BG59">
        <v>3643.2</v>
      </c>
      <c r="BH59">
        <v>11</v>
      </c>
      <c r="BI59">
        <v>3339.5999999999995</v>
      </c>
      <c r="BJ59">
        <v>16</v>
      </c>
      <c r="BK59">
        <v>4857.5999999999995</v>
      </c>
      <c r="BL59">
        <v>15</v>
      </c>
      <c r="BM59">
        <v>4553.9999999999991</v>
      </c>
      <c r="BN59">
        <v>11</v>
      </c>
      <c r="BO59">
        <v>3339.5999999999995</v>
      </c>
      <c r="BP59">
        <v>12</v>
      </c>
      <c r="BQ59">
        <v>3643.2</v>
      </c>
      <c r="BR59">
        <v>19</v>
      </c>
      <c r="BS59">
        <v>5768.4</v>
      </c>
      <c r="BT59">
        <v>11</v>
      </c>
      <c r="BU59">
        <v>3339.5999999999995</v>
      </c>
      <c r="BV59">
        <v>11</v>
      </c>
      <c r="BW59">
        <v>3339.5999999999995</v>
      </c>
      <c r="BX59">
        <v>12</v>
      </c>
      <c r="BY59">
        <v>3643.2</v>
      </c>
      <c r="BZ59">
        <v>12</v>
      </c>
      <c r="CA59">
        <v>3643.2</v>
      </c>
      <c r="CB59">
        <v>11</v>
      </c>
      <c r="CC59">
        <v>3339.5999999999995</v>
      </c>
      <c r="CD59">
        <v>9</v>
      </c>
      <c r="CE59">
        <v>2732.3999999999996</v>
      </c>
      <c r="CF59">
        <v>16.817911963472604</v>
      </c>
      <c r="CG59">
        <v>5105.9180721102821</v>
      </c>
      <c r="CH59">
        <v>5.7331599893887315</v>
      </c>
      <c r="CI59">
        <v>1740.5873727784187</v>
      </c>
      <c r="CJ59">
        <v>9.1105401427121464</v>
      </c>
      <c r="CK59">
        <v>2765.9599873274074</v>
      </c>
      <c r="CL59">
        <v>10.849545271304162</v>
      </c>
      <c r="CM59">
        <v>3293.9219443679431</v>
      </c>
      <c r="CN59">
        <v>15</v>
      </c>
      <c r="CO59">
        <v>4553.9999999999991</v>
      </c>
      <c r="CP59">
        <v>12</v>
      </c>
      <c r="CQ59">
        <v>3643.2</v>
      </c>
      <c r="CR59">
        <v>17</v>
      </c>
      <c r="CS59">
        <v>5161.2</v>
      </c>
      <c r="CT59">
        <v>15</v>
      </c>
      <c r="CU59">
        <v>4553.9999999999991</v>
      </c>
    </row>
    <row r="60" spans="2:99">
      <c r="C60" s="99" t="s">
        <v>226</v>
      </c>
      <c r="D60">
        <v>13</v>
      </c>
      <c r="E60">
        <v>8470.8000000000011</v>
      </c>
      <c r="F60">
        <v>16</v>
      </c>
      <c r="G60">
        <v>10425.6</v>
      </c>
      <c r="H60">
        <v>15</v>
      </c>
      <c r="I60">
        <v>9774</v>
      </c>
      <c r="J60">
        <v>12.94983177765004</v>
      </c>
      <c r="K60">
        <v>8438.1103863167664</v>
      </c>
      <c r="L60">
        <v>11.753326491646702</v>
      </c>
      <c r="M60">
        <v>7658.4675419569912</v>
      </c>
      <c r="N60">
        <v>11</v>
      </c>
      <c r="O60">
        <v>7167.6</v>
      </c>
      <c r="P60">
        <v>10</v>
      </c>
      <c r="Q60">
        <v>6516</v>
      </c>
      <c r="R60">
        <v>15</v>
      </c>
      <c r="S60">
        <v>9774</v>
      </c>
      <c r="T60">
        <v>17</v>
      </c>
      <c r="U60">
        <v>11077.2</v>
      </c>
      <c r="V60">
        <v>9</v>
      </c>
      <c r="W60">
        <v>5864.4000000000005</v>
      </c>
      <c r="X60">
        <v>17</v>
      </c>
      <c r="Y60">
        <v>11077.2</v>
      </c>
      <c r="Z60">
        <v>9</v>
      </c>
      <c r="AA60">
        <v>5864.4000000000005</v>
      </c>
      <c r="AB60">
        <v>17</v>
      </c>
      <c r="AC60">
        <v>11077.2</v>
      </c>
      <c r="AD60">
        <v>13</v>
      </c>
      <c r="AE60">
        <v>8470.8000000000011</v>
      </c>
      <c r="AF60">
        <v>15</v>
      </c>
      <c r="AG60">
        <v>9774</v>
      </c>
      <c r="AH60">
        <v>12</v>
      </c>
      <c r="AI60">
        <v>7819.2000000000007</v>
      </c>
      <c r="AJ60">
        <v>15</v>
      </c>
      <c r="AK60">
        <v>9774</v>
      </c>
      <c r="AL60">
        <v>12</v>
      </c>
      <c r="AM60">
        <v>7819.2000000000007</v>
      </c>
      <c r="AN60">
        <v>9</v>
      </c>
      <c r="AO60">
        <v>5864.4000000000005</v>
      </c>
      <c r="AP60">
        <v>12.030020675693464</v>
      </c>
      <c r="AQ60">
        <v>7838.7614722818616</v>
      </c>
      <c r="AR60">
        <v>8.592175394875385</v>
      </c>
      <c r="AS60">
        <v>5598.6614873008011</v>
      </c>
      <c r="AT60">
        <v>10</v>
      </c>
      <c r="AU60">
        <v>6516</v>
      </c>
      <c r="AV60">
        <v>11</v>
      </c>
      <c r="AW60">
        <v>7167.6</v>
      </c>
      <c r="AX60">
        <v>12</v>
      </c>
      <c r="AY60">
        <v>7819.2000000000007</v>
      </c>
      <c r="AZ60">
        <v>12</v>
      </c>
      <c r="BA60">
        <v>7819.2000000000007</v>
      </c>
      <c r="BB60">
        <v>12</v>
      </c>
      <c r="BC60">
        <v>7819.2000000000007</v>
      </c>
      <c r="BD60">
        <v>9</v>
      </c>
      <c r="BE60">
        <v>5864.4000000000005</v>
      </c>
      <c r="BF60">
        <v>10</v>
      </c>
      <c r="BG60">
        <v>6516</v>
      </c>
      <c r="BH60">
        <v>11</v>
      </c>
      <c r="BI60">
        <v>7167.6</v>
      </c>
      <c r="BJ60">
        <v>14</v>
      </c>
      <c r="BK60">
        <v>9122.4</v>
      </c>
      <c r="BL60">
        <v>16</v>
      </c>
      <c r="BM60">
        <v>10425.6</v>
      </c>
      <c r="BN60">
        <v>10</v>
      </c>
      <c r="BO60">
        <v>6516</v>
      </c>
      <c r="BP60">
        <v>11</v>
      </c>
      <c r="BQ60">
        <v>7167.6</v>
      </c>
      <c r="BR60">
        <v>18</v>
      </c>
      <c r="BS60">
        <v>11728.800000000001</v>
      </c>
      <c r="BT60">
        <v>12</v>
      </c>
      <c r="BU60">
        <v>7819.2000000000007</v>
      </c>
      <c r="BV60">
        <v>11</v>
      </c>
      <c r="BW60">
        <v>7167.6</v>
      </c>
      <c r="BX60">
        <v>13</v>
      </c>
      <c r="BY60">
        <v>8470.8000000000011</v>
      </c>
      <c r="BZ60">
        <v>11</v>
      </c>
      <c r="CA60">
        <v>7167.6</v>
      </c>
      <c r="CB60">
        <v>11</v>
      </c>
      <c r="CC60">
        <v>7167.6</v>
      </c>
      <c r="CD60">
        <v>10</v>
      </c>
      <c r="CE60">
        <v>6516</v>
      </c>
      <c r="CF60">
        <v>13.277298918531004</v>
      </c>
      <c r="CG60">
        <v>8651.4879753148034</v>
      </c>
      <c r="CH60">
        <v>6.4498049880623229</v>
      </c>
      <c r="CI60">
        <v>4202.6929302214094</v>
      </c>
      <c r="CJ60">
        <v>8.2823092206474076</v>
      </c>
      <c r="CK60">
        <v>5396.7526881738513</v>
      </c>
      <c r="CL60">
        <v>11.572848289391105</v>
      </c>
      <c r="CM60">
        <v>7540.8679453672448</v>
      </c>
      <c r="CN60">
        <v>13</v>
      </c>
      <c r="CO60">
        <v>8470.8000000000011</v>
      </c>
      <c r="CP60">
        <v>12</v>
      </c>
      <c r="CQ60">
        <v>7819.2000000000007</v>
      </c>
      <c r="CR60">
        <v>18</v>
      </c>
      <c r="CS60">
        <v>11728.800000000001</v>
      </c>
      <c r="CT60">
        <v>14</v>
      </c>
      <c r="CU60">
        <v>9122.4</v>
      </c>
    </row>
    <row r="61" spans="2:99">
      <c r="C61" s="99" t="s">
        <v>227</v>
      </c>
      <c r="D61">
        <v>15</v>
      </c>
      <c r="E61">
        <v>14273.999999999998</v>
      </c>
      <c r="F61">
        <v>15</v>
      </c>
      <c r="G61">
        <v>14273.999999999998</v>
      </c>
      <c r="H61">
        <v>17</v>
      </c>
      <c r="I61">
        <v>16177.199999999999</v>
      </c>
      <c r="J61">
        <v>12.94983177765004</v>
      </c>
      <c r="K61">
        <v>12323.059919611776</v>
      </c>
      <c r="L61">
        <v>11.753326491646702</v>
      </c>
      <c r="M61">
        <v>11184.465489451</v>
      </c>
      <c r="N61">
        <v>11</v>
      </c>
      <c r="O61">
        <v>10467.599999999999</v>
      </c>
      <c r="P61">
        <v>10</v>
      </c>
      <c r="Q61">
        <v>9516</v>
      </c>
      <c r="R61">
        <v>15</v>
      </c>
      <c r="S61">
        <v>14273.999999999998</v>
      </c>
      <c r="T61">
        <v>15</v>
      </c>
      <c r="U61">
        <v>14273.999999999998</v>
      </c>
      <c r="V61">
        <v>8</v>
      </c>
      <c r="W61">
        <v>7612.7999999999993</v>
      </c>
      <c r="X61">
        <v>16</v>
      </c>
      <c r="Y61">
        <v>15225.599999999999</v>
      </c>
      <c r="Z61">
        <v>9</v>
      </c>
      <c r="AA61">
        <v>8564.4</v>
      </c>
      <c r="AB61">
        <v>15</v>
      </c>
      <c r="AC61">
        <v>14273.999999999998</v>
      </c>
      <c r="AD61">
        <v>11</v>
      </c>
      <c r="AE61">
        <v>10467.599999999999</v>
      </c>
      <c r="AF61">
        <v>13</v>
      </c>
      <c r="AG61">
        <v>12370.8</v>
      </c>
      <c r="AH61">
        <v>11</v>
      </c>
      <c r="AI61">
        <v>10467.599999999999</v>
      </c>
      <c r="AJ61">
        <v>15</v>
      </c>
      <c r="AK61">
        <v>14273.999999999998</v>
      </c>
      <c r="AL61">
        <v>12</v>
      </c>
      <c r="AM61">
        <v>11419.199999999999</v>
      </c>
      <c r="AN61">
        <v>10</v>
      </c>
      <c r="AO61">
        <v>9516</v>
      </c>
      <c r="AP61">
        <v>12.889307866814427</v>
      </c>
      <c r="AQ61">
        <v>12265.465366060607</v>
      </c>
      <c r="AR61">
        <v>9.4513929343629233</v>
      </c>
      <c r="AS61">
        <v>8993.9455163397561</v>
      </c>
      <c r="AT61">
        <v>10</v>
      </c>
      <c r="AU61">
        <v>9516</v>
      </c>
      <c r="AV61">
        <v>9</v>
      </c>
      <c r="AW61">
        <v>8564.4</v>
      </c>
      <c r="AX61">
        <v>14</v>
      </c>
      <c r="AY61">
        <v>13322.399999999998</v>
      </c>
      <c r="AZ61">
        <v>13</v>
      </c>
      <c r="BA61">
        <v>12370.8</v>
      </c>
      <c r="BB61">
        <v>13</v>
      </c>
      <c r="BC61">
        <v>12370.8</v>
      </c>
      <c r="BD61">
        <v>9</v>
      </c>
      <c r="BE61">
        <v>8564.4</v>
      </c>
      <c r="BF61">
        <v>12</v>
      </c>
      <c r="BG61">
        <v>11419.199999999999</v>
      </c>
      <c r="BH61">
        <v>11</v>
      </c>
      <c r="BI61">
        <v>10467.599999999999</v>
      </c>
      <c r="BJ61">
        <v>13</v>
      </c>
      <c r="BK61">
        <v>12370.8</v>
      </c>
      <c r="BL61">
        <v>14</v>
      </c>
      <c r="BM61">
        <v>13322.399999999998</v>
      </c>
      <c r="BN61">
        <v>9</v>
      </c>
      <c r="BO61">
        <v>8564.4</v>
      </c>
      <c r="BP61">
        <v>11</v>
      </c>
      <c r="BQ61">
        <v>10467.599999999999</v>
      </c>
      <c r="BR61">
        <v>18</v>
      </c>
      <c r="BS61">
        <v>17128.8</v>
      </c>
      <c r="BT61">
        <v>10</v>
      </c>
      <c r="BU61">
        <v>9516</v>
      </c>
      <c r="BV61">
        <v>10</v>
      </c>
      <c r="BW61">
        <v>9516</v>
      </c>
      <c r="BX61">
        <v>12</v>
      </c>
      <c r="BY61">
        <v>11419.199999999999</v>
      </c>
      <c r="BZ61">
        <v>11</v>
      </c>
      <c r="CA61">
        <v>10467.599999999999</v>
      </c>
      <c r="CB61">
        <v>11</v>
      </c>
      <c r="CC61">
        <v>10467.599999999999</v>
      </c>
      <c r="CD61">
        <v>9</v>
      </c>
      <c r="CE61">
        <v>8564.4</v>
      </c>
      <c r="CF61">
        <v>15.932758702237205</v>
      </c>
      <c r="CG61">
        <v>15161.613181048922</v>
      </c>
      <c r="CH61">
        <v>6.4498049880623229</v>
      </c>
      <c r="CI61">
        <v>6137.6344266401056</v>
      </c>
      <c r="CJ61">
        <v>9.1105401427121464</v>
      </c>
      <c r="CK61">
        <v>8669.5899998048772</v>
      </c>
      <c r="CL61">
        <v>10.126242253217217</v>
      </c>
      <c r="CM61">
        <v>9636.1321281615037</v>
      </c>
      <c r="CN61">
        <v>14</v>
      </c>
      <c r="CO61">
        <v>13322.399999999998</v>
      </c>
      <c r="CP61">
        <v>11</v>
      </c>
      <c r="CQ61">
        <v>10467.599999999999</v>
      </c>
      <c r="CR61">
        <v>16</v>
      </c>
      <c r="CS61">
        <v>15225.599999999999</v>
      </c>
      <c r="CT61">
        <v>13</v>
      </c>
      <c r="CU61">
        <v>12370.8</v>
      </c>
    </row>
    <row r="62" spans="2:99">
      <c r="C62" s="99" t="s">
        <v>228</v>
      </c>
      <c r="D62">
        <v>13</v>
      </c>
      <c r="E62">
        <v>21699.600000000002</v>
      </c>
      <c r="F62">
        <v>16</v>
      </c>
      <c r="G62">
        <v>26707.200000000001</v>
      </c>
      <c r="H62">
        <v>14</v>
      </c>
      <c r="I62">
        <v>23368.799999999999</v>
      </c>
      <c r="J62">
        <v>12</v>
      </c>
      <c r="K62">
        <v>20030.400000000001</v>
      </c>
      <c r="L62">
        <v>12</v>
      </c>
      <c r="M62">
        <v>20030.400000000001</v>
      </c>
      <c r="N62">
        <v>9</v>
      </c>
      <c r="O62">
        <v>15022.800000000001</v>
      </c>
      <c r="P62">
        <v>10</v>
      </c>
      <c r="Q62">
        <v>16692</v>
      </c>
      <c r="R62">
        <v>14</v>
      </c>
      <c r="S62">
        <v>23368.799999999999</v>
      </c>
      <c r="T62">
        <v>14</v>
      </c>
      <c r="U62">
        <v>23368.799999999999</v>
      </c>
      <c r="V62">
        <v>8</v>
      </c>
      <c r="W62">
        <v>13353.6</v>
      </c>
      <c r="X62">
        <v>16</v>
      </c>
      <c r="Y62">
        <v>26707.200000000001</v>
      </c>
      <c r="Z62">
        <v>8</v>
      </c>
      <c r="AA62">
        <v>13353.6</v>
      </c>
      <c r="AB62">
        <v>14</v>
      </c>
      <c r="AC62">
        <v>23368.799999999999</v>
      </c>
      <c r="AD62">
        <v>10</v>
      </c>
      <c r="AE62">
        <v>16692</v>
      </c>
      <c r="AF62">
        <v>15</v>
      </c>
      <c r="AG62">
        <v>25038</v>
      </c>
      <c r="AH62">
        <v>10</v>
      </c>
      <c r="AI62">
        <v>16692</v>
      </c>
      <c r="AJ62">
        <v>15</v>
      </c>
      <c r="AK62">
        <v>25038</v>
      </c>
      <c r="AL62">
        <v>10</v>
      </c>
      <c r="AM62">
        <v>16692</v>
      </c>
      <c r="AN62">
        <v>8</v>
      </c>
      <c r="AO62">
        <v>13353.6</v>
      </c>
      <c r="AP62">
        <v>13</v>
      </c>
      <c r="AQ62">
        <v>21699.600000000002</v>
      </c>
      <c r="AR62">
        <v>10</v>
      </c>
      <c r="AS62">
        <v>16692</v>
      </c>
      <c r="AT62">
        <v>10</v>
      </c>
      <c r="AU62">
        <v>16692</v>
      </c>
      <c r="AV62">
        <v>10</v>
      </c>
      <c r="AW62">
        <v>16692</v>
      </c>
      <c r="AX62">
        <v>12</v>
      </c>
      <c r="AY62">
        <v>20030.400000000001</v>
      </c>
      <c r="AZ62">
        <v>12</v>
      </c>
      <c r="BA62">
        <v>20030.400000000001</v>
      </c>
      <c r="BB62">
        <v>13</v>
      </c>
      <c r="BC62">
        <v>21699.600000000002</v>
      </c>
      <c r="BD62">
        <v>9</v>
      </c>
      <c r="BE62">
        <v>15022.800000000001</v>
      </c>
      <c r="BF62">
        <v>9</v>
      </c>
      <c r="BG62">
        <v>15022.800000000001</v>
      </c>
      <c r="BH62">
        <v>9</v>
      </c>
      <c r="BI62">
        <v>15022.800000000001</v>
      </c>
      <c r="BJ62">
        <v>13</v>
      </c>
      <c r="BK62">
        <v>21699.600000000002</v>
      </c>
      <c r="BL62">
        <v>14</v>
      </c>
      <c r="BM62">
        <v>23368.799999999999</v>
      </c>
      <c r="BN62">
        <v>9</v>
      </c>
      <c r="BO62">
        <v>15022.800000000001</v>
      </c>
      <c r="BP62">
        <v>10</v>
      </c>
      <c r="BQ62">
        <v>16692</v>
      </c>
      <c r="BR62">
        <v>16</v>
      </c>
      <c r="BS62">
        <v>26707.200000000001</v>
      </c>
      <c r="BT62">
        <v>10</v>
      </c>
      <c r="BU62">
        <v>16692</v>
      </c>
      <c r="BV62">
        <v>9</v>
      </c>
      <c r="BW62">
        <v>15022.800000000001</v>
      </c>
      <c r="BX62">
        <v>10</v>
      </c>
      <c r="BY62">
        <v>16692</v>
      </c>
      <c r="BZ62">
        <v>10</v>
      </c>
      <c r="CA62">
        <v>16692</v>
      </c>
      <c r="CB62">
        <v>11</v>
      </c>
      <c r="CC62">
        <v>18361.2</v>
      </c>
      <c r="CD62">
        <v>9</v>
      </c>
      <c r="CE62">
        <v>15022.800000000001</v>
      </c>
      <c r="CF62">
        <v>15</v>
      </c>
      <c r="CG62">
        <v>25038</v>
      </c>
      <c r="CH62">
        <v>9</v>
      </c>
      <c r="CI62">
        <v>15022.800000000001</v>
      </c>
      <c r="CJ62">
        <v>11</v>
      </c>
      <c r="CK62">
        <v>18361.2</v>
      </c>
      <c r="CL62">
        <v>14</v>
      </c>
      <c r="CM62">
        <v>23368.799999999999</v>
      </c>
      <c r="CN62">
        <v>14</v>
      </c>
      <c r="CO62">
        <v>23368.799999999999</v>
      </c>
      <c r="CP62">
        <v>11</v>
      </c>
      <c r="CQ62">
        <v>18361.2</v>
      </c>
      <c r="CR62">
        <v>15</v>
      </c>
      <c r="CS62">
        <v>25038</v>
      </c>
      <c r="CT62">
        <v>13</v>
      </c>
      <c r="CU62">
        <v>21699.600000000002</v>
      </c>
    </row>
    <row r="63" spans="2:99">
      <c r="C63" s="99" t="s">
        <v>229</v>
      </c>
      <c r="D63">
        <v>13</v>
      </c>
      <c r="E63">
        <v>10342.800000000001</v>
      </c>
      <c r="F63">
        <v>18</v>
      </c>
      <c r="G63">
        <v>14320.800000000001</v>
      </c>
      <c r="H63">
        <v>17</v>
      </c>
      <c r="I63">
        <v>13525.2</v>
      </c>
      <c r="J63">
        <v>12.94983177765004</v>
      </c>
      <c r="K63">
        <v>10302.886162298371</v>
      </c>
      <c r="L63">
        <v>12.732770365950593</v>
      </c>
      <c r="M63">
        <v>10130.192103150292</v>
      </c>
      <c r="N63">
        <v>11</v>
      </c>
      <c r="O63">
        <v>8751.6</v>
      </c>
      <c r="P63">
        <v>10</v>
      </c>
      <c r="Q63">
        <v>7956</v>
      </c>
      <c r="R63">
        <v>13</v>
      </c>
      <c r="S63">
        <v>10342.800000000001</v>
      </c>
      <c r="T63">
        <v>16</v>
      </c>
      <c r="U63">
        <v>12729.6</v>
      </c>
      <c r="V63">
        <v>9</v>
      </c>
      <c r="W63">
        <v>7160.4000000000005</v>
      </c>
      <c r="X63">
        <v>17</v>
      </c>
      <c r="Y63">
        <v>13525.2</v>
      </c>
      <c r="Z63">
        <v>9</v>
      </c>
      <c r="AA63">
        <v>7160.4000000000005</v>
      </c>
      <c r="AB63">
        <v>15</v>
      </c>
      <c r="AC63">
        <v>11934</v>
      </c>
      <c r="AD63">
        <v>11</v>
      </c>
      <c r="AE63">
        <v>8751.6</v>
      </c>
      <c r="AF63">
        <v>15</v>
      </c>
      <c r="AG63">
        <v>11934</v>
      </c>
      <c r="AH63">
        <v>10</v>
      </c>
      <c r="AI63">
        <v>7956</v>
      </c>
      <c r="AJ63">
        <v>16</v>
      </c>
      <c r="AK63">
        <v>12729.6</v>
      </c>
      <c r="AL63">
        <v>11</v>
      </c>
      <c r="AM63">
        <v>8751.6</v>
      </c>
      <c r="AN63">
        <v>9</v>
      </c>
      <c r="AO63">
        <v>7160.4000000000005</v>
      </c>
      <c r="AP63">
        <v>12.889307866814427</v>
      </c>
      <c r="AQ63">
        <v>10254.733338837559</v>
      </c>
      <c r="AR63">
        <v>10.310610473850462</v>
      </c>
      <c r="AS63">
        <v>8203.121692995428</v>
      </c>
      <c r="AT63">
        <v>10</v>
      </c>
      <c r="AU63">
        <v>7956</v>
      </c>
      <c r="AV63">
        <v>11</v>
      </c>
      <c r="AW63">
        <v>8751.6</v>
      </c>
      <c r="AX63">
        <v>13</v>
      </c>
      <c r="AY63">
        <v>10342.800000000001</v>
      </c>
      <c r="AZ63">
        <v>11</v>
      </c>
      <c r="BA63">
        <v>8751.6</v>
      </c>
      <c r="BB63">
        <v>12</v>
      </c>
      <c r="BC63">
        <v>9547.2000000000007</v>
      </c>
      <c r="BD63">
        <v>10</v>
      </c>
      <c r="BE63">
        <v>7956</v>
      </c>
      <c r="BF63">
        <v>10</v>
      </c>
      <c r="BG63">
        <v>7956</v>
      </c>
      <c r="BH63">
        <v>10</v>
      </c>
      <c r="BI63">
        <v>7956</v>
      </c>
      <c r="BJ63">
        <v>14</v>
      </c>
      <c r="BK63">
        <v>11138.4</v>
      </c>
      <c r="BL63">
        <v>15</v>
      </c>
      <c r="BM63">
        <v>11934</v>
      </c>
      <c r="BN63">
        <v>10</v>
      </c>
      <c r="BO63">
        <v>7956</v>
      </c>
      <c r="BP63">
        <v>11</v>
      </c>
      <c r="BQ63">
        <v>8751.6</v>
      </c>
      <c r="BR63">
        <v>17</v>
      </c>
      <c r="BS63">
        <v>13525.2</v>
      </c>
      <c r="BT63">
        <v>10</v>
      </c>
      <c r="BU63">
        <v>7956</v>
      </c>
      <c r="BV63">
        <v>10</v>
      </c>
      <c r="BW63">
        <v>7956</v>
      </c>
      <c r="BX63">
        <v>12</v>
      </c>
      <c r="BY63">
        <v>9547.2000000000007</v>
      </c>
      <c r="BZ63">
        <v>12</v>
      </c>
      <c r="CA63">
        <v>9547.2000000000007</v>
      </c>
      <c r="CB63">
        <v>11</v>
      </c>
      <c r="CC63">
        <v>8751.6</v>
      </c>
      <c r="CD63">
        <v>8</v>
      </c>
      <c r="CE63">
        <v>6364.8</v>
      </c>
      <c r="CF63">
        <v>15.047605441001803</v>
      </c>
      <c r="CG63">
        <v>11971.874888861035</v>
      </c>
      <c r="CH63">
        <v>6.4498049880623229</v>
      </c>
      <c r="CI63">
        <v>5131.4648485023845</v>
      </c>
      <c r="CJ63">
        <v>9.1105401427121464</v>
      </c>
      <c r="CK63">
        <v>7248.3457375417838</v>
      </c>
      <c r="CL63">
        <v>10.849545271304162</v>
      </c>
      <c r="CM63">
        <v>8631.8982178495917</v>
      </c>
      <c r="CN63">
        <v>13</v>
      </c>
      <c r="CO63">
        <v>10342.800000000001</v>
      </c>
      <c r="CP63">
        <v>13</v>
      </c>
      <c r="CQ63">
        <v>10342.800000000001</v>
      </c>
      <c r="CR63">
        <v>15</v>
      </c>
      <c r="CS63">
        <v>11934</v>
      </c>
      <c r="CT63">
        <v>12</v>
      </c>
      <c r="CU63">
        <v>9547.2000000000007</v>
      </c>
    </row>
    <row r="64" spans="2:99">
      <c r="C64" s="99" t="s">
        <v>230</v>
      </c>
      <c r="D64">
        <v>14</v>
      </c>
      <c r="E64">
        <v>14128.799999999997</v>
      </c>
      <c r="F64">
        <v>17</v>
      </c>
      <c r="G64">
        <v>17156.399999999998</v>
      </c>
      <c r="H64">
        <v>17</v>
      </c>
      <c r="I64">
        <v>17156.399999999998</v>
      </c>
      <c r="J64">
        <v>12.94983177765004</v>
      </c>
      <c r="K64">
        <v>13068.970230004417</v>
      </c>
      <c r="L64">
        <v>11.753326491646702</v>
      </c>
      <c r="M64">
        <v>11861.457095369849</v>
      </c>
      <c r="N64">
        <v>10</v>
      </c>
      <c r="O64">
        <v>10091.999999999998</v>
      </c>
      <c r="P64">
        <v>9</v>
      </c>
      <c r="Q64">
        <v>9082.7999999999993</v>
      </c>
      <c r="R64">
        <v>13</v>
      </c>
      <c r="S64">
        <v>13119.599999999999</v>
      </c>
      <c r="T64">
        <v>13</v>
      </c>
      <c r="U64">
        <v>13119.599999999999</v>
      </c>
      <c r="V64">
        <v>9</v>
      </c>
      <c r="W64">
        <v>9082.7999999999993</v>
      </c>
      <c r="X64">
        <v>17</v>
      </c>
      <c r="Y64">
        <v>17156.399999999998</v>
      </c>
      <c r="Z64">
        <v>8</v>
      </c>
      <c r="AA64">
        <v>8073.5999999999985</v>
      </c>
      <c r="AB64">
        <v>16</v>
      </c>
      <c r="AC64">
        <v>16147.199999999997</v>
      </c>
      <c r="AD64">
        <v>12</v>
      </c>
      <c r="AE64">
        <v>12110.399999999998</v>
      </c>
      <c r="AF64">
        <v>14</v>
      </c>
      <c r="AG64">
        <v>14128.799999999997</v>
      </c>
      <c r="AH64">
        <v>10</v>
      </c>
      <c r="AI64">
        <v>10091.999999999998</v>
      </c>
      <c r="AJ64">
        <v>14</v>
      </c>
      <c r="AK64">
        <v>14128.799999999997</v>
      </c>
      <c r="AL64">
        <v>12</v>
      </c>
      <c r="AM64">
        <v>12110.399999999998</v>
      </c>
      <c r="AN64">
        <v>9</v>
      </c>
      <c r="AO64">
        <v>9082.7999999999993</v>
      </c>
      <c r="AP64">
        <v>12.030020675693464</v>
      </c>
      <c r="AQ64">
        <v>12140.696865909842</v>
      </c>
      <c r="AR64">
        <v>9.4513929343629233</v>
      </c>
      <c r="AS64">
        <v>9538.3457493590613</v>
      </c>
      <c r="AT64">
        <v>11</v>
      </c>
      <c r="AU64">
        <v>11101.199999999997</v>
      </c>
      <c r="AV64">
        <v>9</v>
      </c>
      <c r="AW64">
        <v>9082.7999999999993</v>
      </c>
      <c r="AX64">
        <v>14</v>
      </c>
      <c r="AY64">
        <v>14128.799999999997</v>
      </c>
      <c r="AZ64">
        <v>13</v>
      </c>
      <c r="BA64">
        <v>13119.599999999999</v>
      </c>
      <c r="BB64">
        <v>12</v>
      </c>
      <c r="BC64">
        <v>12110.399999999998</v>
      </c>
      <c r="BD64">
        <v>9</v>
      </c>
      <c r="BE64">
        <v>9082.7999999999993</v>
      </c>
      <c r="BF64">
        <v>10</v>
      </c>
      <c r="BG64">
        <v>10091.999999999998</v>
      </c>
      <c r="BH64">
        <v>10</v>
      </c>
      <c r="BI64">
        <v>10091.999999999998</v>
      </c>
      <c r="BJ64">
        <v>13</v>
      </c>
      <c r="BK64">
        <v>13119.599999999999</v>
      </c>
      <c r="BL64">
        <v>15</v>
      </c>
      <c r="BM64">
        <v>15137.999999999996</v>
      </c>
      <c r="BN64">
        <v>9</v>
      </c>
      <c r="BO64">
        <v>9082.7999999999993</v>
      </c>
      <c r="BP64">
        <v>12</v>
      </c>
      <c r="BQ64">
        <v>12110.399999999998</v>
      </c>
      <c r="BR64">
        <v>16</v>
      </c>
      <c r="BS64">
        <v>16147.199999999997</v>
      </c>
      <c r="BT64">
        <v>11</v>
      </c>
      <c r="BU64">
        <v>11101.199999999997</v>
      </c>
      <c r="BV64">
        <v>11</v>
      </c>
      <c r="BW64">
        <v>11101.199999999997</v>
      </c>
      <c r="BX64">
        <v>11</v>
      </c>
      <c r="BY64">
        <v>11101.199999999997</v>
      </c>
      <c r="BZ64">
        <v>11</v>
      </c>
      <c r="CA64">
        <v>11101.199999999997</v>
      </c>
      <c r="CB64">
        <v>12</v>
      </c>
      <c r="CC64">
        <v>12110.399999999998</v>
      </c>
      <c r="CD64">
        <v>8</v>
      </c>
      <c r="CE64">
        <v>8073.5999999999985</v>
      </c>
      <c r="CF64">
        <v>13.277298918531004</v>
      </c>
      <c r="CG64">
        <v>13399.450068581487</v>
      </c>
      <c r="CH64">
        <v>6.4498049880623229</v>
      </c>
      <c r="CI64">
        <v>6509.1431939524955</v>
      </c>
      <c r="CJ64">
        <v>7.4540782985826652</v>
      </c>
      <c r="CK64">
        <v>7522.6558189296247</v>
      </c>
      <c r="CL64">
        <v>10.126242253217217</v>
      </c>
      <c r="CM64">
        <v>10219.403681946815</v>
      </c>
      <c r="CN64">
        <v>14</v>
      </c>
      <c r="CO64">
        <v>14128.799999999997</v>
      </c>
      <c r="CP64">
        <v>12</v>
      </c>
      <c r="CQ64">
        <v>12110.399999999998</v>
      </c>
      <c r="CR64">
        <v>16</v>
      </c>
      <c r="CS64">
        <v>16147.199999999997</v>
      </c>
      <c r="CT64">
        <v>13</v>
      </c>
      <c r="CU64">
        <v>13119.599999999999</v>
      </c>
    </row>
    <row r="65" spans="2:99">
      <c r="C65" s="99" t="s">
        <v>231</v>
      </c>
      <c r="D65">
        <v>12</v>
      </c>
      <c r="E65">
        <v>12312</v>
      </c>
      <c r="F65">
        <v>17</v>
      </c>
      <c r="G65">
        <v>17442</v>
      </c>
      <c r="H65">
        <v>15</v>
      </c>
      <c r="I65">
        <v>15390</v>
      </c>
      <c r="J65">
        <v>11.953690871676962</v>
      </c>
      <c r="K65">
        <v>12264.486834340563</v>
      </c>
      <c r="L65">
        <v>11.753326491646702</v>
      </c>
      <c r="M65">
        <v>12058.912980429515</v>
      </c>
      <c r="N65">
        <v>10</v>
      </c>
      <c r="O65">
        <v>10260</v>
      </c>
      <c r="P65">
        <v>10</v>
      </c>
      <c r="Q65">
        <v>10260</v>
      </c>
      <c r="R65">
        <v>15</v>
      </c>
      <c r="S65">
        <v>15390</v>
      </c>
      <c r="T65">
        <v>15</v>
      </c>
      <c r="U65">
        <v>15390</v>
      </c>
      <c r="V65">
        <v>9</v>
      </c>
      <c r="W65">
        <v>9234</v>
      </c>
      <c r="X65">
        <v>15</v>
      </c>
      <c r="Y65">
        <v>15390</v>
      </c>
      <c r="Z65">
        <v>9</v>
      </c>
      <c r="AA65">
        <v>9234</v>
      </c>
      <c r="AB65">
        <v>16</v>
      </c>
      <c r="AC65">
        <v>16416</v>
      </c>
      <c r="AD65">
        <v>12</v>
      </c>
      <c r="AE65">
        <v>12312</v>
      </c>
      <c r="AF65">
        <v>16</v>
      </c>
      <c r="AG65">
        <v>16416</v>
      </c>
      <c r="AH65">
        <v>11</v>
      </c>
      <c r="AI65">
        <v>11286</v>
      </c>
      <c r="AJ65">
        <v>15</v>
      </c>
      <c r="AK65">
        <v>15390</v>
      </c>
      <c r="AL65">
        <v>11</v>
      </c>
      <c r="AM65">
        <v>11286</v>
      </c>
      <c r="AN65">
        <v>9</v>
      </c>
      <c r="AO65">
        <v>9234</v>
      </c>
      <c r="AP65">
        <v>12.889307866814427</v>
      </c>
      <c r="AQ65">
        <v>13224.429871351602</v>
      </c>
      <c r="AR65">
        <v>8.592175394875385</v>
      </c>
      <c r="AS65">
        <v>8815.5719551421444</v>
      </c>
      <c r="AT65">
        <v>10</v>
      </c>
      <c r="AU65">
        <v>10260</v>
      </c>
      <c r="AV65">
        <v>10</v>
      </c>
      <c r="AW65">
        <v>10260</v>
      </c>
      <c r="AX65">
        <v>13</v>
      </c>
      <c r="AY65">
        <v>13338</v>
      </c>
      <c r="AZ65">
        <v>11</v>
      </c>
      <c r="BA65">
        <v>11286</v>
      </c>
      <c r="BB65">
        <v>12</v>
      </c>
      <c r="BC65">
        <v>12312</v>
      </c>
      <c r="BD65">
        <v>11</v>
      </c>
      <c r="BE65">
        <v>11286</v>
      </c>
      <c r="BF65">
        <v>10</v>
      </c>
      <c r="BG65">
        <v>10260</v>
      </c>
      <c r="BH65">
        <v>10</v>
      </c>
      <c r="BI65">
        <v>10260</v>
      </c>
      <c r="BJ65">
        <v>13</v>
      </c>
      <c r="BK65">
        <v>13338</v>
      </c>
      <c r="BL65">
        <v>15</v>
      </c>
      <c r="BM65">
        <v>15390</v>
      </c>
      <c r="BN65">
        <v>9</v>
      </c>
      <c r="BO65">
        <v>9234</v>
      </c>
      <c r="BP65">
        <v>11</v>
      </c>
      <c r="BQ65">
        <v>11286</v>
      </c>
      <c r="BR65">
        <v>17</v>
      </c>
      <c r="BS65">
        <v>17442</v>
      </c>
      <c r="BT65">
        <v>10</v>
      </c>
      <c r="BU65">
        <v>10260</v>
      </c>
      <c r="BV65">
        <v>11</v>
      </c>
      <c r="BW65">
        <v>11286</v>
      </c>
      <c r="BX65">
        <v>12</v>
      </c>
      <c r="BY65">
        <v>12312</v>
      </c>
      <c r="BZ65">
        <v>12</v>
      </c>
      <c r="CA65">
        <v>12312</v>
      </c>
      <c r="CB65">
        <v>11</v>
      </c>
      <c r="CC65">
        <v>11286</v>
      </c>
      <c r="CD65">
        <v>8</v>
      </c>
      <c r="CE65">
        <v>8208</v>
      </c>
      <c r="CF65">
        <v>14.162452179766404</v>
      </c>
      <c r="CG65">
        <v>14530.675936440331</v>
      </c>
      <c r="CH65">
        <v>6.4498049880623229</v>
      </c>
      <c r="CI65">
        <v>6617.499917751943</v>
      </c>
      <c r="CJ65">
        <v>9.1105401427121464</v>
      </c>
      <c r="CK65">
        <v>9347.4141864226622</v>
      </c>
      <c r="CL65">
        <v>10.849545271304162</v>
      </c>
      <c r="CM65">
        <v>11131.63344835807</v>
      </c>
      <c r="CN65">
        <v>12</v>
      </c>
      <c r="CO65">
        <v>12312</v>
      </c>
      <c r="CP65">
        <v>13</v>
      </c>
      <c r="CQ65">
        <v>13338</v>
      </c>
      <c r="CR65">
        <v>15</v>
      </c>
      <c r="CS65">
        <v>15390</v>
      </c>
      <c r="CT65">
        <v>13</v>
      </c>
      <c r="CU65">
        <v>13338</v>
      </c>
    </row>
    <row r="66" spans="2:99">
      <c r="C66" s="99" t="s">
        <v>232</v>
      </c>
      <c r="D66">
        <v>13</v>
      </c>
      <c r="E66">
        <v>15475.199999999999</v>
      </c>
      <c r="F66">
        <v>15</v>
      </c>
      <c r="G66">
        <v>17855.999999999996</v>
      </c>
      <c r="H66">
        <v>15</v>
      </c>
      <c r="I66">
        <v>17855.999999999996</v>
      </c>
      <c r="J66">
        <v>11.953690871676962</v>
      </c>
      <c r="K66">
        <v>14229.673613644254</v>
      </c>
      <c r="L66">
        <v>11.753326491646702</v>
      </c>
      <c r="M66">
        <v>13991.159855656231</v>
      </c>
      <c r="N66">
        <v>11</v>
      </c>
      <c r="O66">
        <v>13094.399999999998</v>
      </c>
      <c r="P66">
        <v>10</v>
      </c>
      <c r="Q66">
        <v>11903.999999999998</v>
      </c>
      <c r="R66">
        <v>15</v>
      </c>
      <c r="S66">
        <v>17855.999999999996</v>
      </c>
      <c r="T66">
        <v>14</v>
      </c>
      <c r="U66">
        <v>16665.599999999999</v>
      </c>
      <c r="V66">
        <v>9</v>
      </c>
      <c r="W66">
        <v>10713.599999999999</v>
      </c>
      <c r="X66">
        <v>15</v>
      </c>
      <c r="Y66">
        <v>17855.999999999996</v>
      </c>
      <c r="Z66">
        <v>9</v>
      </c>
      <c r="AA66">
        <v>10713.599999999999</v>
      </c>
      <c r="AB66">
        <v>15</v>
      </c>
      <c r="AC66">
        <v>17855.999999999996</v>
      </c>
      <c r="AD66">
        <v>12</v>
      </c>
      <c r="AE66">
        <v>14284.8</v>
      </c>
      <c r="AF66">
        <v>13</v>
      </c>
      <c r="AG66">
        <v>15475.199999999999</v>
      </c>
      <c r="AH66">
        <v>10</v>
      </c>
      <c r="AI66">
        <v>11903.999999999998</v>
      </c>
      <c r="AJ66">
        <v>16</v>
      </c>
      <c r="AK66">
        <v>19046.399999999998</v>
      </c>
      <c r="AL66">
        <v>11</v>
      </c>
      <c r="AM66">
        <v>13094.399999999998</v>
      </c>
      <c r="AN66">
        <v>9</v>
      </c>
      <c r="AO66">
        <v>10713.599999999999</v>
      </c>
      <c r="AP66">
        <v>12.889307866814427</v>
      </c>
      <c r="AQ66">
        <v>15343.432084655891</v>
      </c>
      <c r="AR66">
        <v>8.592175394875385</v>
      </c>
      <c r="AS66">
        <v>10228.125590059657</v>
      </c>
      <c r="AT66">
        <v>11</v>
      </c>
      <c r="AU66">
        <v>13094.399999999998</v>
      </c>
      <c r="AV66">
        <v>9</v>
      </c>
      <c r="AW66">
        <v>10713.599999999999</v>
      </c>
      <c r="AX66">
        <v>14</v>
      </c>
      <c r="AY66">
        <v>16665.599999999999</v>
      </c>
      <c r="AZ66">
        <v>11</v>
      </c>
      <c r="BA66">
        <v>13094.399999999998</v>
      </c>
      <c r="BB66">
        <v>12</v>
      </c>
      <c r="BC66">
        <v>14284.8</v>
      </c>
      <c r="BD66">
        <v>9</v>
      </c>
      <c r="BE66">
        <v>10713.599999999999</v>
      </c>
      <c r="BF66">
        <v>11</v>
      </c>
      <c r="BG66">
        <v>13094.399999999998</v>
      </c>
      <c r="BH66">
        <v>9</v>
      </c>
      <c r="BI66">
        <v>10713.599999999999</v>
      </c>
      <c r="BJ66">
        <v>14</v>
      </c>
      <c r="BK66">
        <v>16665.599999999999</v>
      </c>
      <c r="BL66">
        <v>14</v>
      </c>
      <c r="BM66">
        <v>16665.599999999999</v>
      </c>
      <c r="BN66">
        <v>9</v>
      </c>
      <c r="BO66">
        <v>10713.599999999999</v>
      </c>
      <c r="BP66">
        <v>11</v>
      </c>
      <c r="BQ66">
        <v>13094.399999999998</v>
      </c>
      <c r="BR66">
        <v>16</v>
      </c>
      <c r="BS66">
        <v>19046.399999999998</v>
      </c>
      <c r="BT66">
        <v>10</v>
      </c>
      <c r="BU66">
        <v>11903.999999999998</v>
      </c>
      <c r="BV66">
        <v>10</v>
      </c>
      <c r="BW66">
        <v>11903.999999999998</v>
      </c>
      <c r="BX66">
        <v>11</v>
      </c>
      <c r="BY66">
        <v>13094.399999999998</v>
      </c>
      <c r="BZ66">
        <v>12</v>
      </c>
      <c r="CA66">
        <v>14284.8</v>
      </c>
      <c r="CB66">
        <v>12</v>
      </c>
      <c r="CC66">
        <v>14284.8</v>
      </c>
      <c r="CD66">
        <v>9</v>
      </c>
      <c r="CE66">
        <v>10713.599999999999</v>
      </c>
      <c r="CF66">
        <v>15.047605441001803</v>
      </c>
      <c r="CG66">
        <v>17912.669516968544</v>
      </c>
      <c r="CH66">
        <v>5.7331599893887315</v>
      </c>
      <c r="CI66">
        <v>6824.7536513683453</v>
      </c>
      <c r="CJ66">
        <v>8.2823092206474076</v>
      </c>
      <c r="CK66">
        <v>9859.2608962586728</v>
      </c>
      <c r="CL66">
        <v>12.29615130747805</v>
      </c>
      <c r="CM66">
        <v>14637.338516421869</v>
      </c>
      <c r="CN66">
        <v>12</v>
      </c>
      <c r="CO66">
        <v>14284.8</v>
      </c>
      <c r="CP66">
        <v>13</v>
      </c>
      <c r="CQ66">
        <v>15475.199999999999</v>
      </c>
      <c r="CR66">
        <v>16</v>
      </c>
      <c r="CS66">
        <v>19046.399999999998</v>
      </c>
      <c r="CT66">
        <v>13</v>
      </c>
      <c r="CU66">
        <v>15475.199999999999</v>
      </c>
    </row>
    <row r="67" spans="2:99">
      <c r="C67" s="99" t="s">
        <v>233</v>
      </c>
      <c r="D67">
        <v>13</v>
      </c>
      <c r="E67">
        <v>14601.6</v>
      </c>
      <c r="F67">
        <v>17</v>
      </c>
      <c r="G67">
        <v>19094.400000000001</v>
      </c>
      <c r="H67">
        <v>17</v>
      </c>
      <c r="I67">
        <v>19094.400000000001</v>
      </c>
      <c r="J67">
        <v>12.94983177765004</v>
      </c>
      <c r="K67">
        <v>14545.251052656526</v>
      </c>
      <c r="L67">
        <v>11.753326491646702</v>
      </c>
      <c r="M67">
        <v>13201.336315417575</v>
      </c>
      <c r="N67">
        <v>11</v>
      </c>
      <c r="O67">
        <v>12355.2</v>
      </c>
      <c r="P67">
        <v>11</v>
      </c>
      <c r="Q67">
        <v>12355.2</v>
      </c>
      <c r="R67">
        <v>15</v>
      </c>
      <c r="S67">
        <v>16848</v>
      </c>
      <c r="T67">
        <v>13</v>
      </c>
      <c r="U67">
        <v>14601.6</v>
      </c>
      <c r="V67">
        <v>8</v>
      </c>
      <c r="W67">
        <v>8985.6</v>
      </c>
      <c r="X67">
        <v>16</v>
      </c>
      <c r="Y67">
        <v>17971.2</v>
      </c>
      <c r="Z67">
        <v>8</v>
      </c>
      <c r="AA67">
        <v>8985.6</v>
      </c>
      <c r="AB67">
        <v>16</v>
      </c>
      <c r="AC67">
        <v>17971.2</v>
      </c>
      <c r="AD67">
        <v>11</v>
      </c>
      <c r="AE67">
        <v>12355.2</v>
      </c>
      <c r="AF67">
        <v>14</v>
      </c>
      <c r="AG67">
        <v>15724.800000000001</v>
      </c>
      <c r="AH67">
        <v>11</v>
      </c>
      <c r="AI67">
        <v>12355.2</v>
      </c>
      <c r="AJ67">
        <v>15</v>
      </c>
      <c r="AK67">
        <v>16848</v>
      </c>
      <c r="AL67">
        <v>12</v>
      </c>
      <c r="AM67">
        <v>13478.400000000001</v>
      </c>
      <c r="AN67">
        <v>8</v>
      </c>
      <c r="AO67">
        <v>8985.6</v>
      </c>
      <c r="AP67">
        <v>12.889307866814427</v>
      </c>
      <c r="AQ67">
        <v>14477.270596005965</v>
      </c>
      <c r="AR67">
        <v>8.592175394875385</v>
      </c>
      <c r="AS67">
        <v>9650.7314035240324</v>
      </c>
      <c r="AT67">
        <v>9</v>
      </c>
      <c r="AU67">
        <v>10108.800000000001</v>
      </c>
      <c r="AV67">
        <v>10</v>
      </c>
      <c r="AW67">
        <v>11232</v>
      </c>
      <c r="AX67">
        <v>14</v>
      </c>
      <c r="AY67">
        <v>15724.800000000001</v>
      </c>
      <c r="AZ67">
        <v>11</v>
      </c>
      <c r="BA67">
        <v>12355.2</v>
      </c>
      <c r="BB67">
        <v>13</v>
      </c>
      <c r="BC67">
        <v>14601.6</v>
      </c>
      <c r="BD67">
        <v>10</v>
      </c>
      <c r="BE67">
        <v>11232</v>
      </c>
      <c r="BF67">
        <v>10</v>
      </c>
      <c r="BG67">
        <v>11232</v>
      </c>
      <c r="BH67">
        <v>10</v>
      </c>
      <c r="BI67">
        <v>11232</v>
      </c>
      <c r="BJ67">
        <v>14</v>
      </c>
      <c r="BK67">
        <v>15724.800000000001</v>
      </c>
      <c r="BL67">
        <v>15</v>
      </c>
      <c r="BM67">
        <v>16848</v>
      </c>
      <c r="BN67">
        <v>9</v>
      </c>
      <c r="BO67">
        <v>10108.800000000001</v>
      </c>
      <c r="BP67">
        <v>12</v>
      </c>
      <c r="BQ67">
        <v>13478.400000000001</v>
      </c>
      <c r="BR67">
        <v>17</v>
      </c>
      <c r="BS67">
        <v>19094.400000000001</v>
      </c>
      <c r="BT67">
        <v>10</v>
      </c>
      <c r="BU67">
        <v>11232</v>
      </c>
      <c r="BV67">
        <v>10</v>
      </c>
      <c r="BW67">
        <v>11232</v>
      </c>
      <c r="BX67">
        <v>11</v>
      </c>
      <c r="BY67">
        <v>12355.2</v>
      </c>
      <c r="BZ67">
        <v>11</v>
      </c>
      <c r="CA67">
        <v>12355.2</v>
      </c>
      <c r="CB67">
        <v>12</v>
      </c>
      <c r="CC67">
        <v>13478.400000000001</v>
      </c>
      <c r="CD67">
        <v>9</v>
      </c>
      <c r="CE67">
        <v>10108.800000000001</v>
      </c>
      <c r="CF67">
        <v>14.162452179766404</v>
      </c>
      <c r="CG67">
        <v>15907.266288313625</v>
      </c>
      <c r="CH67">
        <v>6.4498049880623229</v>
      </c>
      <c r="CI67">
        <v>7244.420962591601</v>
      </c>
      <c r="CJ67">
        <v>9.1105401427121464</v>
      </c>
      <c r="CK67">
        <v>10232.958688294284</v>
      </c>
      <c r="CL67">
        <v>10.126242253217217</v>
      </c>
      <c r="CM67">
        <v>11373.795298813578</v>
      </c>
      <c r="CN67">
        <v>12</v>
      </c>
      <c r="CO67">
        <v>13478.400000000001</v>
      </c>
      <c r="CP67">
        <v>13</v>
      </c>
      <c r="CQ67">
        <v>14601.6</v>
      </c>
      <c r="CR67">
        <v>17</v>
      </c>
      <c r="CS67">
        <v>19094.400000000001</v>
      </c>
      <c r="CT67">
        <v>14</v>
      </c>
      <c r="CU67">
        <v>15724.800000000001</v>
      </c>
    </row>
    <row r="68" spans="2:99">
      <c r="C68" s="99" t="s">
        <v>234</v>
      </c>
      <c r="D68">
        <v>15</v>
      </c>
      <c r="E68">
        <v>15498</v>
      </c>
      <c r="F68">
        <v>18</v>
      </c>
      <c r="G68">
        <v>18597.600000000002</v>
      </c>
      <c r="H68">
        <v>15</v>
      </c>
      <c r="I68">
        <v>15498</v>
      </c>
      <c r="J68">
        <v>11.953690871676962</v>
      </c>
      <c r="K68">
        <v>12350.553408616637</v>
      </c>
      <c r="L68">
        <v>10.77388261734281</v>
      </c>
      <c r="M68">
        <v>11131.575520238592</v>
      </c>
      <c r="N68">
        <v>10</v>
      </c>
      <c r="O68">
        <v>10332</v>
      </c>
      <c r="P68">
        <v>10</v>
      </c>
      <c r="Q68">
        <v>10332</v>
      </c>
      <c r="R68">
        <v>14</v>
      </c>
      <c r="S68">
        <v>14464.800000000001</v>
      </c>
      <c r="T68">
        <v>14</v>
      </c>
      <c r="U68">
        <v>14464.800000000001</v>
      </c>
      <c r="V68">
        <v>9</v>
      </c>
      <c r="W68">
        <v>9298.8000000000011</v>
      </c>
      <c r="X68">
        <v>15</v>
      </c>
      <c r="Y68">
        <v>15498</v>
      </c>
      <c r="Z68">
        <v>8</v>
      </c>
      <c r="AA68">
        <v>8265.6</v>
      </c>
      <c r="AB68">
        <v>15</v>
      </c>
      <c r="AC68">
        <v>15498</v>
      </c>
      <c r="AD68">
        <v>12</v>
      </c>
      <c r="AE68">
        <v>12398.400000000001</v>
      </c>
      <c r="AF68">
        <v>14</v>
      </c>
      <c r="AG68">
        <v>14464.800000000001</v>
      </c>
      <c r="AH68">
        <v>11</v>
      </c>
      <c r="AI68">
        <v>11365.2</v>
      </c>
      <c r="AJ68">
        <v>16</v>
      </c>
      <c r="AK68">
        <v>16531.2</v>
      </c>
      <c r="AL68">
        <v>11</v>
      </c>
      <c r="AM68">
        <v>11365.2</v>
      </c>
      <c r="AN68">
        <v>9</v>
      </c>
      <c r="AO68">
        <v>9298.8000000000011</v>
      </c>
      <c r="AP68">
        <v>11.170733484572503</v>
      </c>
      <c r="AQ68">
        <v>11541.601836260312</v>
      </c>
      <c r="AR68">
        <v>8.592175394875385</v>
      </c>
      <c r="AS68">
        <v>8877.4356179852475</v>
      </c>
      <c r="AT68">
        <v>10</v>
      </c>
      <c r="AU68">
        <v>10332</v>
      </c>
      <c r="AV68">
        <v>10</v>
      </c>
      <c r="AW68">
        <v>10332</v>
      </c>
      <c r="AX68">
        <v>14</v>
      </c>
      <c r="AY68">
        <v>14464.800000000001</v>
      </c>
      <c r="AZ68">
        <v>11</v>
      </c>
      <c r="BA68">
        <v>11365.2</v>
      </c>
      <c r="BB68">
        <v>13</v>
      </c>
      <c r="BC68">
        <v>13431.6</v>
      </c>
      <c r="BD68">
        <v>10</v>
      </c>
      <c r="BE68">
        <v>10332</v>
      </c>
      <c r="BF68">
        <v>10</v>
      </c>
      <c r="BG68">
        <v>10332</v>
      </c>
      <c r="BH68">
        <v>10</v>
      </c>
      <c r="BI68">
        <v>10332</v>
      </c>
      <c r="BJ68">
        <v>13</v>
      </c>
      <c r="BK68">
        <v>13431.6</v>
      </c>
      <c r="BL68">
        <v>15</v>
      </c>
      <c r="BM68">
        <v>15498</v>
      </c>
      <c r="BN68">
        <v>10</v>
      </c>
      <c r="BO68">
        <v>10332</v>
      </c>
      <c r="BP68">
        <v>12</v>
      </c>
      <c r="BQ68">
        <v>12398.400000000001</v>
      </c>
      <c r="BR68">
        <v>16</v>
      </c>
      <c r="BS68">
        <v>16531.2</v>
      </c>
      <c r="BT68">
        <v>11</v>
      </c>
      <c r="BU68">
        <v>11365.2</v>
      </c>
      <c r="BV68">
        <v>11</v>
      </c>
      <c r="BW68">
        <v>11365.2</v>
      </c>
      <c r="BX68">
        <v>12</v>
      </c>
      <c r="BY68">
        <v>12398.400000000001</v>
      </c>
      <c r="BZ68">
        <v>12</v>
      </c>
      <c r="CA68">
        <v>12398.400000000001</v>
      </c>
      <c r="CB68">
        <v>11</v>
      </c>
      <c r="CC68">
        <v>11365.2</v>
      </c>
      <c r="CD68">
        <v>8</v>
      </c>
      <c r="CE68">
        <v>8265.6</v>
      </c>
      <c r="CF68">
        <v>14.162452179766404</v>
      </c>
      <c r="CG68">
        <v>14632.64559213465</v>
      </c>
      <c r="CH68">
        <v>5.7331599893887315</v>
      </c>
      <c r="CI68">
        <v>5923.5009010364374</v>
      </c>
      <c r="CJ68">
        <v>8.2823092206474076</v>
      </c>
      <c r="CK68">
        <v>8557.281886772902</v>
      </c>
      <c r="CL68">
        <v>11.572848289391105</v>
      </c>
      <c r="CM68">
        <v>11957.066852598891</v>
      </c>
      <c r="CN68">
        <v>12</v>
      </c>
      <c r="CO68">
        <v>12398.400000000001</v>
      </c>
      <c r="CP68">
        <v>12</v>
      </c>
      <c r="CQ68">
        <v>12398.400000000001</v>
      </c>
      <c r="CR68">
        <v>16</v>
      </c>
      <c r="CS68">
        <v>16531.2</v>
      </c>
      <c r="CT68">
        <v>14</v>
      </c>
      <c r="CU68">
        <v>14464.800000000001</v>
      </c>
    </row>
    <row r="69" spans="2:99">
      <c r="C69" s="99" t="s">
        <v>235</v>
      </c>
      <c r="D69">
        <v>14</v>
      </c>
      <c r="E69">
        <v>10617.6</v>
      </c>
      <c r="F69">
        <v>16</v>
      </c>
      <c r="G69">
        <v>12134.4</v>
      </c>
      <c r="H69">
        <v>15</v>
      </c>
      <c r="I69">
        <v>11376</v>
      </c>
      <c r="J69">
        <v>12.94983177765004</v>
      </c>
      <c r="K69">
        <v>9821.1524201697903</v>
      </c>
      <c r="L69">
        <v>12.732770365950593</v>
      </c>
      <c r="M69">
        <v>9656.5330455369294</v>
      </c>
      <c r="N69">
        <v>10</v>
      </c>
      <c r="O69">
        <v>7584</v>
      </c>
      <c r="P69">
        <v>11</v>
      </c>
      <c r="Q69">
        <v>8342.4</v>
      </c>
      <c r="R69">
        <v>15</v>
      </c>
      <c r="S69">
        <v>11376</v>
      </c>
      <c r="T69">
        <v>16</v>
      </c>
      <c r="U69">
        <v>12134.4</v>
      </c>
      <c r="V69">
        <v>8</v>
      </c>
      <c r="W69">
        <v>6067.2</v>
      </c>
      <c r="X69">
        <v>14</v>
      </c>
      <c r="Y69">
        <v>10617.6</v>
      </c>
      <c r="Z69">
        <v>8</v>
      </c>
      <c r="AA69">
        <v>6067.2</v>
      </c>
      <c r="AB69">
        <v>15</v>
      </c>
      <c r="AC69">
        <v>11376</v>
      </c>
      <c r="AD69">
        <v>12</v>
      </c>
      <c r="AE69">
        <v>9100.7999999999993</v>
      </c>
      <c r="AF69">
        <v>15</v>
      </c>
      <c r="AG69">
        <v>11376</v>
      </c>
      <c r="AH69">
        <v>11</v>
      </c>
      <c r="AI69">
        <v>8342.4</v>
      </c>
      <c r="AJ69">
        <v>14</v>
      </c>
      <c r="AK69">
        <v>10617.6</v>
      </c>
      <c r="AL69">
        <v>12</v>
      </c>
      <c r="AM69">
        <v>9100.7999999999993</v>
      </c>
      <c r="AN69">
        <v>9</v>
      </c>
      <c r="AO69">
        <v>6825.5999999999995</v>
      </c>
      <c r="AP69">
        <v>12.889307866814427</v>
      </c>
      <c r="AQ69">
        <v>9775.2510861920618</v>
      </c>
      <c r="AR69">
        <v>9.4513929343629233</v>
      </c>
      <c r="AS69">
        <v>7167.9364014208404</v>
      </c>
      <c r="AT69">
        <v>10</v>
      </c>
      <c r="AU69">
        <v>7584</v>
      </c>
      <c r="AV69">
        <v>9</v>
      </c>
      <c r="AW69">
        <v>6825.5999999999995</v>
      </c>
      <c r="AX69">
        <v>14</v>
      </c>
      <c r="AY69">
        <v>10617.6</v>
      </c>
      <c r="AZ69">
        <v>11</v>
      </c>
      <c r="BA69">
        <v>8342.4</v>
      </c>
      <c r="BB69">
        <v>12</v>
      </c>
      <c r="BC69">
        <v>9100.7999999999993</v>
      </c>
      <c r="BD69">
        <v>10</v>
      </c>
      <c r="BE69">
        <v>7584</v>
      </c>
      <c r="BF69">
        <v>10</v>
      </c>
      <c r="BG69">
        <v>7584</v>
      </c>
      <c r="BH69">
        <v>10</v>
      </c>
      <c r="BI69">
        <v>7584</v>
      </c>
      <c r="BJ69">
        <v>13</v>
      </c>
      <c r="BK69">
        <v>9859.1999999999989</v>
      </c>
      <c r="BL69">
        <v>17</v>
      </c>
      <c r="BM69">
        <v>12892.8</v>
      </c>
      <c r="BN69">
        <v>10</v>
      </c>
      <c r="BO69">
        <v>7584</v>
      </c>
      <c r="BP69">
        <v>11</v>
      </c>
      <c r="BQ69">
        <v>8342.4</v>
      </c>
      <c r="BR69">
        <v>17</v>
      </c>
      <c r="BS69">
        <v>12892.8</v>
      </c>
      <c r="BT69">
        <v>11</v>
      </c>
      <c r="BU69">
        <v>8342.4</v>
      </c>
      <c r="BV69">
        <v>12</v>
      </c>
      <c r="BW69">
        <v>9100.7999999999993</v>
      </c>
      <c r="BX69">
        <v>13</v>
      </c>
      <c r="BY69">
        <v>9859.1999999999989</v>
      </c>
      <c r="BZ69">
        <v>13</v>
      </c>
      <c r="CA69">
        <v>9859.1999999999989</v>
      </c>
      <c r="CB69">
        <v>13</v>
      </c>
      <c r="CC69">
        <v>9859.1999999999989</v>
      </c>
      <c r="CD69">
        <v>8</v>
      </c>
      <c r="CE69">
        <v>6067.2</v>
      </c>
      <c r="CF69">
        <v>14.162452179766404</v>
      </c>
      <c r="CG69">
        <v>10740.803733134841</v>
      </c>
      <c r="CH69">
        <v>5.7331599893887315</v>
      </c>
      <c r="CI69">
        <v>4348.0285359524141</v>
      </c>
      <c r="CJ69">
        <v>8.2823092206474076</v>
      </c>
      <c r="CK69">
        <v>6281.3033129389942</v>
      </c>
      <c r="CL69">
        <v>10.849545271304162</v>
      </c>
      <c r="CM69">
        <v>8228.2951337570757</v>
      </c>
      <c r="CN69">
        <v>13</v>
      </c>
      <c r="CO69">
        <v>9859.1999999999989</v>
      </c>
      <c r="CP69">
        <v>12</v>
      </c>
      <c r="CQ69">
        <v>9100.7999999999993</v>
      </c>
      <c r="CR69">
        <v>15</v>
      </c>
      <c r="CS69">
        <v>11376</v>
      </c>
      <c r="CT69">
        <v>13</v>
      </c>
      <c r="CU69">
        <v>9859.1999999999989</v>
      </c>
    </row>
    <row r="70" spans="2:99">
      <c r="C70" s="99" t="s">
        <v>236</v>
      </c>
      <c r="D70">
        <v>15</v>
      </c>
      <c r="E70">
        <v>8027.9999999999991</v>
      </c>
      <c r="F70">
        <v>16</v>
      </c>
      <c r="G70">
        <v>8563.1999999999989</v>
      </c>
      <c r="H70">
        <v>17</v>
      </c>
      <c r="I70">
        <v>9098.4</v>
      </c>
      <c r="J70">
        <v>12.94983177765004</v>
      </c>
      <c r="K70">
        <v>6930.7499673983002</v>
      </c>
      <c r="L70">
        <v>11.753326491646702</v>
      </c>
      <c r="M70">
        <v>6290.3803383293134</v>
      </c>
      <c r="N70">
        <v>11</v>
      </c>
      <c r="O70">
        <v>5887.1999999999989</v>
      </c>
      <c r="P70">
        <v>11</v>
      </c>
      <c r="Q70">
        <v>5887.1999999999989</v>
      </c>
      <c r="R70">
        <v>14</v>
      </c>
      <c r="S70">
        <v>7492.7999999999993</v>
      </c>
      <c r="T70">
        <v>16</v>
      </c>
      <c r="U70">
        <v>8563.1999999999989</v>
      </c>
      <c r="V70">
        <v>9</v>
      </c>
      <c r="W70">
        <v>4816.7999999999993</v>
      </c>
      <c r="X70">
        <v>15</v>
      </c>
      <c r="Y70">
        <v>8027.9999999999991</v>
      </c>
      <c r="Z70">
        <v>9</v>
      </c>
      <c r="AA70">
        <v>4816.7999999999993</v>
      </c>
      <c r="AB70">
        <v>17</v>
      </c>
      <c r="AC70">
        <v>9098.4</v>
      </c>
      <c r="AD70">
        <v>12</v>
      </c>
      <c r="AE70">
        <v>6422.4</v>
      </c>
      <c r="AF70">
        <v>14</v>
      </c>
      <c r="AG70">
        <v>7492.7999999999993</v>
      </c>
      <c r="AH70">
        <v>11</v>
      </c>
      <c r="AI70">
        <v>5887.1999999999989</v>
      </c>
      <c r="AJ70">
        <v>17</v>
      </c>
      <c r="AK70">
        <v>9098.4</v>
      </c>
      <c r="AL70">
        <v>12</v>
      </c>
      <c r="AM70">
        <v>6422.4</v>
      </c>
      <c r="AN70">
        <v>10</v>
      </c>
      <c r="AO70">
        <v>5351.9999999999991</v>
      </c>
      <c r="AP70">
        <v>11.170733484572503</v>
      </c>
      <c r="AQ70">
        <v>5978.5765609432028</v>
      </c>
      <c r="AR70">
        <v>8.592175394875385</v>
      </c>
      <c r="AS70">
        <v>4598.5322713373052</v>
      </c>
      <c r="AT70">
        <v>11</v>
      </c>
      <c r="AU70">
        <v>5887.1999999999989</v>
      </c>
      <c r="AV70">
        <v>10</v>
      </c>
      <c r="AW70">
        <v>5351.9999999999991</v>
      </c>
      <c r="AX70">
        <v>13</v>
      </c>
      <c r="AY70">
        <v>6957.5999999999995</v>
      </c>
      <c r="AZ70">
        <v>12</v>
      </c>
      <c r="BA70">
        <v>6422.4</v>
      </c>
      <c r="BB70">
        <v>14</v>
      </c>
      <c r="BC70">
        <v>7492.7999999999993</v>
      </c>
      <c r="BD70">
        <v>9</v>
      </c>
      <c r="BE70">
        <v>4816.7999999999993</v>
      </c>
      <c r="BF70">
        <v>11</v>
      </c>
      <c r="BG70">
        <v>5887.1999999999989</v>
      </c>
      <c r="BH70">
        <v>11</v>
      </c>
      <c r="BI70">
        <v>5887.1999999999989</v>
      </c>
      <c r="BJ70">
        <v>14</v>
      </c>
      <c r="BK70">
        <v>7492.7999999999993</v>
      </c>
      <c r="BL70">
        <v>15</v>
      </c>
      <c r="BM70">
        <v>8027.9999999999991</v>
      </c>
      <c r="BN70">
        <v>10</v>
      </c>
      <c r="BO70">
        <v>5351.9999999999991</v>
      </c>
      <c r="BP70">
        <v>12</v>
      </c>
      <c r="BQ70">
        <v>6422.4</v>
      </c>
      <c r="BR70">
        <v>19</v>
      </c>
      <c r="BS70">
        <v>10168.799999999999</v>
      </c>
      <c r="BT70">
        <v>11</v>
      </c>
      <c r="BU70">
        <v>5887.1999999999989</v>
      </c>
      <c r="BV70">
        <v>11</v>
      </c>
      <c r="BW70">
        <v>5887.1999999999989</v>
      </c>
      <c r="BX70">
        <v>12</v>
      </c>
      <c r="BY70">
        <v>6422.4</v>
      </c>
      <c r="BZ70">
        <v>13</v>
      </c>
      <c r="CA70">
        <v>6957.5999999999995</v>
      </c>
      <c r="CB70">
        <v>12</v>
      </c>
      <c r="CC70">
        <v>6422.4</v>
      </c>
      <c r="CD70">
        <v>9</v>
      </c>
      <c r="CE70">
        <v>4816.7999999999993</v>
      </c>
      <c r="CF70">
        <v>15.932758702237205</v>
      </c>
      <c r="CG70">
        <v>8527.2124574373502</v>
      </c>
      <c r="CH70">
        <v>6.4498049880623229</v>
      </c>
      <c r="CI70">
        <v>3451.9356296109549</v>
      </c>
      <c r="CJ70">
        <v>9.1105401427121464</v>
      </c>
      <c r="CK70">
        <v>4875.9610843795399</v>
      </c>
      <c r="CL70">
        <v>13.019454325564995</v>
      </c>
      <c r="CM70">
        <v>6968.0119550423842</v>
      </c>
      <c r="CN70">
        <v>14</v>
      </c>
      <c r="CO70">
        <v>7492.7999999999993</v>
      </c>
      <c r="CP70">
        <v>12</v>
      </c>
      <c r="CQ70">
        <v>6422.4</v>
      </c>
      <c r="CR70">
        <v>15</v>
      </c>
      <c r="CS70">
        <v>8027.9999999999991</v>
      </c>
      <c r="CT70">
        <v>13</v>
      </c>
      <c r="CU70">
        <v>6957.5999999999995</v>
      </c>
    </row>
    <row r="71" spans="2:99">
      <c r="B71" s="99" t="s">
        <v>130</v>
      </c>
      <c r="C71" s="99" t="s">
        <v>237</v>
      </c>
      <c r="D71">
        <v>6</v>
      </c>
      <c r="E71">
        <v>3384</v>
      </c>
      <c r="F71">
        <v>8</v>
      </c>
      <c r="G71">
        <v>4512</v>
      </c>
      <c r="H71">
        <v>7</v>
      </c>
      <c r="I71">
        <v>3948</v>
      </c>
      <c r="J71">
        <v>8</v>
      </c>
      <c r="K71">
        <v>4512</v>
      </c>
      <c r="L71">
        <v>5</v>
      </c>
      <c r="M71">
        <v>2820</v>
      </c>
      <c r="N71">
        <v>10</v>
      </c>
      <c r="O71">
        <v>5640</v>
      </c>
      <c r="P71">
        <v>10</v>
      </c>
      <c r="Q71">
        <v>5640</v>
      </c>
      <c r="R71">
        <v>10</v>
      </c>
      <c r="S71">
        <v>5640</v>
      </c>
      <c r="T71">
        <v>5</v>
      </c>
      <c r="U71">
        <v>2820</v>
      </c>
      <c r="V71">
        <v>9</v>
      </c>
      <c r="W71">
        <v>5076</v>
      </c>
      <c r="X71">
        <v>6</v>
      </c>
      <c r="Y71">
        <v>3384</v>
      </c>
      <c r="Z71">
        <v>7</v>
      </c>
      <c r="AA71">
        <v>3948</v>
      </c>
      <c r="AB71">
        <v>5</v>
      </c>
      <c r="AC71">
        <v>2820</v>
      </c>
      <c r="AD71">
        <v>10</v>
      </c>
      <c r="AE71">
        <v>5640</v>
      </c>
      <c r="AF71">
        <v>8</v>
      </c>
      <c r="AG71">
        <v>4512</v>
      </c>
      <c r="AH71">
        <v>8</v>
      </c>
      <c r="AI71">
        <v>4512</v>
      </c>
      <c r="AJ71">
        <v>9</v>
      </c>
      <c r="AK71">
        <v>5076</v>
      </c>
      <c r="AL71">
        <v>8</v>
      </c>
      <c r="AM71">
        <v>4512</v>
      </c>
      <c r="AN71">
        <v>6</v>
      </c>
      <c r="AO71">
        <v>3384</v>
      </c>
      <c r="AP71">
        <v>9</v>
      </c>
      <c r="AQ71">
        <v>5076</v>
      </c>
      <c r="AR71">
        <v>7</v>
      </c>
      <c r="AS71">
        <v>3948</v>
      </c>
      <c r="AT71">
        <v>6</v>
      </c>
      <c r="AU71">
        <v>3384</v>
      </c>
      <c r="AV71">
        <v>9</v>
      </c>
      <c r="AW71">
        <v>5076</v>
      </c>
      <c r="AX71">
        <v>6</v>
      </c>
      <c r="AY71">
        <v>3384</v>
      </c>
      <c r="AZ71">
        <v>6</v>
      </c>
      <c r="BA71">
        <v>3384</v>
      </c>
      <c r="BB71">
        <v>7</v>
      </c>
      <c r="BC71">
        <v>3948</v>
      </c>
      <c r="BD71">
        <v>9</v>
      </c>
      <c r="BE71">
        <v>5076</v>
      </c>
      <c r="BF71">
        <v>9</v>
      </c>
      <c r="BG71">
        <v>5076</v>
      </c>
      <c r="BH71">
        <v>8</v>
      </c>
      <c r="BI71">
        <v>4512</v>
      </c>
      <c r="BJ71">
        <v>9</v>
      </c>
      <c r="BK71">
        <v>5076</v>
      </c>
      <c r="BL71">
        <v>7</v>
      </c>
      <c r="BM71">
        <v>3948</v>
      </c>
      <c r="BN71">
        <v>10</v>
      </c>
      <c r="BO71">
        <v>5640</v>
      </c>
      <c r="BP71">
        <v>9</v>
      </c>
      <c r="BQ71">
        <v>5076</v>
      </c>
      <c r="BR71">
        <v>10</v>
      </c>
      <c r="BS71">
        <v>5640</v>
      </c>
      <c r="BT71">
        <v>10</v>
      </c>
      <c r="BU71">
        <v>5640</v>
      </c>
      <c r="BV71">
        <v>8</v>
      </c>
      <c r="BW71">
        <v>4512</v>
      </c>
      <c r="BX71">
        <v>8</v>
      </c>
      <c r="BY71">
        <v>4512</v>
      </c>
      <c r="BZ71">
        <v>8</v>
      </c>
      <c r="CA71">
        <v>4512</v>
      </c>
      <c r="CB71">
        <v>11</v>
      </c>
      <c r="CC71">
        <v>6204</v>
      </c>
      <c r="CD71">
        <v>10</v>
      </c>
      <c r="CE71">
        <v>5640</v>
      </c>
      <c r="CF71">
        <v>7</v>
      </c>
      <c r="CG71">
        <v>3948</v>
      </c>
      <c r="CH71">
        <v>7</v>
      </c>
      <c r="CI71">
        <v>3948</v>
      </c>
      <c r="CJ71">
        <v>9</v>
      </c>
      <c r="CK71">
        <v>5076</v>
      </c>
      <c r="CL71">
        <v>5</v>
      </c>
      <c r="CM71">
        <v>2820</v>
      </c>
      <c r="CN71">
        <v>5</v>
      </c>
      <c r="CO71">
        <v>2820</v>
      </c>
      <c r="CP71">
        <v>5</v>
      </c>
      <c r="CQ71">
        <v>2820</v>
      </c>
      <c r="CR71">
        <v>11</v>
      </c>
      <c r="CS71">
        <v>6204</v>
      </c>
      <c r="CT71">
        <v>8</v>
      </c>
      <c r="CU71">
        <v>4512</v>
      </c>
    </row>
    <row r="72" spans="2:99">
      <c r="C72" s="99" t="s">
        <v>238</v>
      </c>
      <c r="D72">
        <v>7</v>
      </c>
      <c r="E72">
        <v>520.79999999999995</v>
      </c>
      <c r="F72">
        <v>9</v>
      </c>
      <c r="G72">
        <v>669.59999999999991</v>
      </c>
      <c r="H72">
        <v>7</v>
      </c>
      <c r="I72">
        <v>520.79999999999995</v>
      </c>
      <c r="J72">
        <v>8</v>
      </c>
      <c r="K72">
        <v>595.19999999999993</v>
      </c>
      <c r="L72">
        <v>6</v>
      </c>
      <c r="M72">
        <v>446.4</v>
      </c>
      <c r="N72">
        <v>10</v>
      </c>
      <c r="O72">
        <v>743.99999999999989</v>
      </c>
      <c r="P72">
        <v>10</v>
      </c>
      <c r="Q72">
        <v>743.99999999999989</v>
      </c>
      <c r="R72">
        <v>9</v>
      </c>
      <c r="S72">
        <v>669.59999999999991</v>
      </c>
      <c r="T72">
        <v>6</v>
      </c>
      <c r="U72">
        <v>446.4</v>
      </c>
      <c r="V72">
        <v>8</v>
      </c>
      <c r="W72">
        <v>595.19999999999993</v>
      </c>
      <c r="X72">
        <v>7</v>
      </c>
      <c r="Y72">
        <v>520.79999999999995</v>
      </c>
      <c r="Z72">
        <v>7</v>
      </c>
      <c r="AA72">
        <v>520.79999999999995</v>
      </c>
      <c r="AB72">
        <v>5</v>
      </c>
      <c r="AC72">
        <v>371.99999999999994</v>
      </c>
      <c r="AD72">
        <v>9</v>
      </c>
      <c r="AE72">
        <v>669.59999999999991</v>
      </c>
      <c r="AF72">
        <v>8</v>
      </c>
      <c r="AG72">
        <v>595.19999999999993</v>
      </c>
      <c r="AH72">
        <v>7</v>
      </c>
      <c r="AI72">
        <v>520.79999999999995</v>
      </c>
      <c r="AJ72">
        <v>9</v>
      </c>
      <c r="AK72">
        <v>669.59999999999991</v>
      </c>
      <c r="AL72">
        <v>8</v>
      </c>
      <c r="AM72">
        <v>595.19999999999993</v>
      </c>
      <c r="AN72">
        <v>7</v>
      </c>
      <c r="AO72">
        <v>520.79999999999995</v>
      </c>
      <c r="AP72">
        <v>10</v>
      </c>
      <c r="AQ72">
        <v>743.99999999999989</v>
      </c>
      <c r="AR72">
        <v>8</v>
      </c>
      <c r="AS72">
        <v>595.19999999999993</v>
      </c>
      <c r="AT72">
        <v>7</v>
      </c>
      <c r="AU72">
        <v>520.79999999999995</v>
      </c>
      <c r="AV72">
        <v>11</v>
      </c>
      <c r="AW72">
        <v>818.39999999999986</v>
      </c>
      <c r="AX72">
        <v>6</v>
      </c>
      <c r="AY72">
        <v>446.4</v>
      </c>
      <c r="AZ72">
        <v>6</v>
      </c>
      <c r="BA72">
        <v>446.4</v>
      </c>
      <c r="BB72">
        <v>8</v>
      </c>
      <c r="BC72">
        <v>595.19999999999993</v>
      </c>
      <c r="BD72">
        <v>9</v>
      </c>
      <c r="BE72">
        <v>669.59999999999991</v>
      </c>
      <c r="BF72">
        <v>9</v>
      </c>
      <c r="BG72">
        <v>669.59999999999991</v>
      </c>
      <c r="BH72">
        <v>9</v>
      </c>
      <c r="BI72">
        <v>669.59999999999991</v>
      </c>
      <c r="BJ72">
        <v>9</v>
      </c>
      <c r="BK72">
        <v>669.59999999999991</v>
      </c>
      <c r="BL72">
        <v>7</v>
      </c>
      <c r="BM72">
        <v>520.79999999999995</v>
      </c>
      <c r="BN72">
        <v>10</v>
      </c>
      <c r="BO72">
        <v>743.99999999999989</v>
      </c>
      <c r="BP72">
        <v>8</v>
      </c>
      <c r="BQ72">
        <v>595.19999999999993</v>
      </c>
      <c r="BR72">
        <v>11</v>
      </c>
      <c r="BS72">
        <v>818.39999999999986</v>
      </c>
      <c r="BT72">
        <v>10</v>
      </c>
      <c r="BU72">
        <v>743.99999999999989</v>
      </c>
      <c r="BV72">
        <v>7</v>
      </c>
      <c r="BW72">
        <v>520.79999999999995</v>
      </c>
      <c r="BX72">
        <v>8</v>
      </c>
      <c r="BY72">
        <v>595.19999999999993</v>
      </c>
      <c r="BZ72">
        <v>9</v>
      </c>
      <c r="CA72">
        <v>669.59999999999991</v>
      </c>
      <c r="CB72">
        <v>12</v>
      </c>
      <c r="CC72">
        <v>892.8</v>
      </c>
      <c r="CD72">
        <v>11</v>
      </c>
      <c r="CE72">
        <v>818.39999999999986</v>
      </c>
      <c r="CF72">
        <v>7</v>
      </c>
      <c r="CG72">
        <v>520.79999999999995</v>
      </c>
      <c r="CH72">
        <v>8</v>
      </c>
      <c r="CI72">
        <v>595.19999999999993</v>
      </c>
      <c r="CJ72">
        <v>9</v>
      </c>
      <c r="CK72">
        <v>669.59999999999991</v>
      </c>
      <c r="CL72">
        <v>6</v>
      </c>
      <c r="CM72">
        <v>446.4</v>
      </c>
      <c r="CN72">
        <v>5</v>
      </c>
      <c r="CO72">
        <v>371.99999999999994</v>
      </c>
      <c r="CP72">
        <v>6</v>
      </c>
      <c r="CQ72">
        <v>446.4</v>
      </c>
      <c r="CR72">
        <v>10</v>
      </c>
      <c r="CS72">
        <v>743.99999999999989</v>
      </c>
      <c r="CT72">
        <v>7</v>
      </c>
      <c r="CU72">
        <v>520.79999999999995</v>
      </c>
    </row>
    <row r="73" spans="2:99">
      <c r="C73" s="99" t="s">
        <v>239</v>
      </c>
      <c r="D73">
        <v>6</v>
      </c>
      <c r="E73">
        <v>3355.2</v>
      </c>
      <c r="F73">
        <v>8</v>
      </c>
      <c r="G73">
        <v>4473.5999999999995</v>
      </c>
      <c r="H73">
        <v>6</v>
      </c>
      <c r="I73">
        <v>3355.2</v>
      </c>
      <c r="J73">
        <v>8</v>
      </c>
      <c r="K73">
        <v>4473.5999999999995</v>
      </c>
      <c r="L73">
        <v>5</v>
      </c>
      <c r="M73">
        <v>2795.9999999999995</v>
      </c>
      <c r="N73">
        <v>8</v>
      </c>
      <c r="O73">
        <v>4473.5999999999995</v>
      </c>
      <c r="P73">
        <v>9</v>
      </c>
      <c r="Q73">
        <v>5032.7999999999993</v>
      </c>
      <c r="R73">
        <v>9</v>
      </c>
      <c r="S73">
        <v>5032.7999999999993</v>
      </c>
      <c r="T73">
        <v>6</v>
      </c>
      <c r="U73">
        <v>3355.2</v>
      </c>
      <c r="V73">
        <v>8</v>
      </c>
      <c r="W73">
        <v>4473.5999999999995</v>
      </c>
      <c r="X73">
        <v>6</v>
      </c>
      <c r="Y73">
        <v>3355.2</v>
      </c>
      <c r="Z73">
        <v>6</v>
      </c>
      <c r="AA73">
        <v>3355.2</v>
      </c>
      <c r="AB73">
        <v>6</v>
      </c>
      <c r="AC73">
        <v>3355.2</v>
      </c>
      <c r="AD73">
        <v>10</v>
      </c>
      <c r="AE73">
        <v>5591.9999999999991</v>
      </c>
      <c r="AF73">
        <v>7</v>
      </c>
      <c r="AG73">
        <v>3914.3999999999996</v>
      </c>
      <c r="AH73">
        <v>7</v>
      </c>
      <c r="AI73">
        <v>3914.3999999999996</v>
      </c>
      <c r="AJ73">
        <v>9</v>
      </c>
      <c r="AK73">
        <v>5032.7999999999993</v>
      </c>
      <c r="AL73">
        <v>8</v>
      </c>
      <c r="AM73">
        <v>4473.5999999999995</v>
      </c>
      <c r="AN73">
        <v>7</v>
      </c>
      <c r="AO73">
        <v>3914.3999999999996</v>
      </c>
      <c r="AP73">
        <v>8</v>
      </c>
      <c r="AQ73">
        <v>4473.5999999999995</v>
      </c>
      <c r="AR73">
        <v>7</v>
      </c>
      <c r="AS73">
        <v>3914.3999999999996</v>
      </c>
      <c r="AT73">
        <v>6</v>
      </c>
      <c r="AU73">
        <v>3355.2</v>
      </c>
      <c r="AV73">
        <v>9</v>
      </c>
      <c r="AW73">
        <v>5032.7999999999993</v>
      </c>
      <c r="AX73">
        <v>6</v>
      </c>
      <c r="AY73">
        <v>3355.2</v>
      </c>
      <c r="AZ73">
        <v>6</v>
      </c>
      <c r="BA73">
        <v>3355.2</v>
      </c>
      <c r="BB73">
        <v>7</v>
      </c>
      <c r="BC73">
        <v>3914.3999999999996</v>
      </c>
      <c r="BD73">
        <v>9</v>
      </c>
      <c r="BE73">
        <v>5032.7999999999993</v>
      </c>
      <c r="BF73">
        <v>9</v>
      </c>
      <c r="BG73">
        <v>5032.7999999999993</v>
      </c>
      <c r="BH73">
        <v>8</v>
      </c>
      <c r="BI73">
        <v>4473.5999999999995</v>
      </c>
      <c r="BJ73">
        <v>10</v>
      </c>
      <c r="BK73">
        <v>5591.9999999999991</v>
      </c>
      <c r="BL73">
        <v>7</v>
      </c>
      <c r="BM73">
        <v>3914.3999999999996</v>
      </c>
      <c r="BN73">
        <v>9</v>
      </c>
      <c r="BO73">
        <v>5032.7999999999993</v>
      </c>
      <c r="BP73">
        <v>8</v>
      </c>
      <c r="BQ73">
        <v>4473.5999999999995</v>
      </c>
      <c r="BR73">
        <v>11</v>
      </c>
      <c r="BS73">
        <v>6151.1999999999989</v>
      </c>
      <c r="BT73">
        <v>8</v>
      </c>
      <c r="BU73">
        <v>4473.5999999999995</v>
      </c>
      <c r="BV73">
        <v>7</v>
      </c>
      <c r="BW73">
        <v>3914.3999999999996</v>
      </c>
      <c r="BX73">
        <v>8</v>
      </c>
      <c r="BY73">
        <v>4473.5999999999995</v>
      </c>
      <c r="BZ73">
        <v>9</v>
      </c>
      <c r="CA73">
        <v>5032.7999999999993</v>
      </c>
      <c r="CB73">
        <v>10</v>
      </c>
      <c r="CC73">
        <v>5591.9999999999991</v>
      </c>
      <c r="CD73">
        <v>11</v>
      </c>
      <c r="CE73">
        <v>6151.1999999999989</v>
      </c>
      <c r="CF73">
        <v>7</v>
      </c>
      <c r="CG73">
        <v>3914.3999999999996</v>
      </c>
      <c r="CH73">
        <v>7</v>
      </c>
      <c r="CI73">
        <v>3914.3999999999996</v>
      </c>
      <c r="CJ73">
        <v>9</v>
      </c>
      <c r="CK73">
        <v>5032.7999999999993</v>
      </c>
      <c r="CL73">
        <v>5</v>
      </c>
      <c r="CM73">
        <v>2795.9999999999995</v>
      </c>
      <c r="CN73">
        <v>5</v>
      </c>
      <c r="CO73">
        <v>2795.9999999999995</v>
      </c>
      <c r="CP73">
        <v>6</v>
      </c>
      <c r="CQ73">
        <v>3355.2</v>
      </c>
      <c r="CR73">
        <v>10</v>
      </c>
      <c r="CS73">
        <v>5591.9999999999991</v>
      </c>
      <c r="CT73">
        <v>7</v>
      </c>
      <c r="CU73">
        <v>3914.3999999999996</v>
      </c>
    </row>
    <row r="74" spans="2:99">
      <c r="C74" s="99" t="s">
        <v>240</v>
      </c>
      <c r="D74">
        <v>6</v>
      </c>
      <c r="E74">
        <v>2419.1999999999998</v>
      </c>
      <c r="F74">
        <v>8</v>
      </c>
      <c r="G74">
        <v>3225.6</v>
      </c>
      <c r="H74">
        <v>6</v>
      </c>
      <c r="I74">
        <v>2419.1999999999998</v>
      </c>
      <c r="J74">
        <v>7</v>
      </c>
      <c r="K74">
        <v>2822.4</v>
      </c>
      <c r="L74">
        <v>5</v>
      </c>
      <c r="M74">
        <v>2016</v>
      </c>
      <c r="N74">
        <v>10</v>
      </c>
      <c r="O74">
        <v>4032</v>
      </c>
      <c r="P74">
        <v>10</v>
      </c>
      <c r="Q74">
        <v>4032</v>
      </c>
      <c r="R74">
        <v>9</v>
      </c>
      <c r="S74">
        <v>3628.7999999999997</v>
      </c>
      <c r="T74">
        <v>6</v>
      </c>
      <c r="U74">
        <v>2419.1999999999998</v>
      </c>
      <c r="V74">
        <v>8</v>
      </c>
      <c r="W74">
        <v>3225.6</v>
      </c>
      <c r="X74">
        <v>6</v>
      </c>
      <c r="Y74">
        <v>2419.1999999999998</v>
      </c>
      <c r="Z74">
        <v>7</v>
      </c>
      <c r="AA74">
        <v>2822.4</v>
      </c>
      <c r="AB74">
        <v>6</v>
      </c>
      <c r="AC74">
        <v>2419.1999999999998</v>
      </c>
      <c r="AD74">
        <v>10</v>
      </c>
      <c r="AE74">
        <v>4032</v>
      </c>
      <c r="AF74">
        <v>8</v>
      </c>
      <c r="AG74">
        <v>3225.6</v>
      </c>
      <c r="AH74">
        <v>7</v>
      </c>
      <c r="AI74">
        <v>2822.4</v>
      </c>
      <c r="AJ74">
        <v>10</v>
      </c>
      <c r="AK74">
        <v>4032</v>
      </c>
      <c r="AL74">
        <v>8</v>
      </c>
      <c r="AM74">
        <v>3225.6</v>
      </c>
      <c r="AN74">
        <v>6</v>
      </c>
      <c r="AO74">
        <v>2419.1999999999998</v>
      </c>
      <c r="AP74">
        <v>10</v>
      </c>
      <c r="AQ74">
        <v>4032</v>
      </c>
      <c r="AR74">
        <v>7</v>
      </c>
      <c r="AS74">
        <v>2822.4</v>
      </c>
      <c r="AT74">
        <v>6</v>
      </c>
      <c r="AU74">
        <v>2419.1999999999998</v>
      </c>
      <c r="AV74">
        <v>10</v>
      </c>
      <c r="AW74">
        <v>4032</v>
      </c>
      <c r="AX74">
        <v>6</v>
      </c>
      <c r="AY74">
        <v>2419.1999999999998</v>
      </c>
      <c r="AZ74">
        <v>5</v>
      </c>
      <c r="BA74">
        <v>2016</v>
      </c>
      <c r="BB74">
        <v>7</v>
      </c>
      <c r="BC74">
        <v>2822.4</v>
      </c>
      <c r="BD74">
        <v>8</v>
      </c>
      <c r="BE74">
        <v>3225.6</v>
      </c>
      <c r="BF74">
        <v>9</v>
      </c>
      <c r="BG74">
        <v>3628.7999999999997</v>
      </c>
      <c r="BH74">
        <v>8</v>
      </c>
      <c r="BI74">
        <v>3225.6</v>
      </c>
      <c r="BJ74">
        <v>9</v>
      </c>
      <c r="BK74">
        <v>3628.7999999999997</v>
      </c>
      <c r="BL74">
        <v>6</v>
      </c>
      <c r="BM74">
        <v>2419.1999999999998</v>
      </c>
      <c r="BN74">
        <v>10</v>
      </c>
      <c r="BO74">
        <v>4032</v>
      </c>
      <c r="BP74">
        <v>8</v>
      </c>
      <c r="BQ74">
        <v>3225.6</v>
      </c>
      <c r="BR74">
        <v>11</v>
      </c>
      <c r="BS74">
        <v>4435.2</v>
      </c>
      <c r="BT74">
        <v>10</v>
      </c>
      <c r="BU74">
        <v>4032</v>
      </c>
      <c r="BV74">
        <v>7</v>
      </c>
      <c r="BW74">
        <v>2822.4</v>
      </c>
      <c r="BX74">
        <v>9</v>
      </c>
      <c r="BY74">
        <v>3628.7999999999997</v>
      </c>
      <c r="BZ74">
        <v>8</v>
      </c>
      <c r="CA74">
        <v>3225.6</v>
      </c>
      <c r="CB74">
        <v>10</v>
      </c>
      <c r="CC74">
        <v>4032</v>
      </c>
      <c r="CD74">
        <v>11</v>
      </c>
      <c r="CE74">
        <v>4435.2</v>
      </c>
      <c r="CF74">
        <v>7</v>
      </c>
      <c r="CG74">
        <v>2822.4</v>
      </c>
      <c r="CH74">
        <v>7</v>
      </c>
      <c r="CI74">
        <v>2822.4</v>
      </c>
      <c r="CJ74">
        <v>10</v>
      </c>
      <c r="CK74">
        <v>4032</v>
      </c>
      <c r="CL74">
        <v>5</v>
      </c>
      <c r="CM74">
        <v>2016</v>
      </c>
      <c r="CN74">
        <v>5</v>
      </c>
      <c r="CO74">
        <v>2016</v>
      </c>
      <c r="CP74">
        <v>6</v>
      </c>
      <c r="CQ74">
        <v>2419.1999999999998</v>
      </c>
      <c r="CR74">
        <v>10</v>
      </c>
      <c r="CS74">
        <v>4032</v>
      </c>
      <c r="CT74">
        <v>8</v>
      </c>
      <c r="CU74">
        <v>3225.6</v>
      </c>
    </row>
    <row r="75" spans="2:99">
      <c r="C75" s="99" t="s">
        <v>241</v>
      </c>
      <c r="D75">
        <v>6</v>
      </c>
      <c r="E75">
        <v>3859.2</v>
      </c>
      <c r="F75">
        <v>8</v>
      </c>
      <c r="G75">
        <v>5145.5999999999995</v>
      </c>
      <c r="H75">
        <v>6</v>
      </c>
      <c r="I75">
        <v>3859.2</v>
      </c>
      <c r="J75">
        <v>8</v>
      </c>
      <c r="K75">
        <v>5145.5999999999995</v>
      </c>
      <c r="L75">
        <v>5</v>
      </c>
      <c r="M75">
        <v>3215.9999999999995</v>
      </c>
      <c r="N75">
        <v>10</v>
      </c>
      <c r="O75">
        <v>6431.9999999999991</v>
      </c>
      <c r="P75">
        <v>9</v>
      </c>
      <c r="Q75">
        <v>5788.7999999999993</v>
      </c>
      <c r="R75">
        <v>10</v>
      </c>
      <c r="S75">
        <v>6431.9999999999991</v>
      </c>
      <c r="T75">
        <v>6</v>
      </c>
      <c r="U75">
        <v>3859.2</v>
      </c>
      <c r="V75">
        <v>9</v>
      </c>
      <c r="W75">
        <v>5788.7999999999993</v>
      </c>
      <c r="X75">
        <v>6</v>
      </c>
      <c r="Y75">
        <v>3859.2</v>
      </c>
      <c r="Z75">
        <v>7</v>
      </c>
      <c r="AA75">
        <v>4502.3999999999996</v>
      </c>
      <c r="AB75">
        <v>5</v>
      </c>
      <c r="AC75">
        <v>3215.9999999999995</v>
      </c>
      <c r="AD75">
        <v>9</v>
      </c>
      <c r="AE75">
        <v>5788.7999999999993</v>
      </c>
      <c r="AF75">
        <v>8</v>
      </c>
      <c r="AG75">
        <v>5145.5999999999995</v>
      </c>
      <c r="AH75">
        <v>7</v>
      </c>
      <c r="AI75">
        <v>4502.3999999999996</v>
      </c>
      <c r="AJ75">
        <v>9</v>
      </c>
      <c r="AK75">
        <v>5788.7999999999993</v>
      </c>
      <c r="AL75">
        <v>7</v>
      </c>
      <c r="AM75">
        <v>4502.3999999999996</v>
      </c>
      <c r="AN75">
        <v>6</v>
      </c>
      <c r="AO75">
        <v>3859.2</v>
      </c>
      <c r="AP75">
        <v>9</v>
      </c>
      <c r="AQ75">
        <v>5788.7999999999993</v>
      </c>
      <c r="AR75">
        <v>7</v>
      </c>
      <c r="AS75">
        <v>4502.3999999999996</v>
      </c>
      <c r="AT75">
        <v>6</v>
      </c>
      <c r="AU75">
        <v>3859.2</v>
      </c>
      <c r="AV75">
        <v>10</v>
      </c>
      <c r="AW75">
        <v>6431.9999999999991</v>
      </c>
      <c r="AX75">
        <v>6</v>
      </c>
      <c r="AY75">
        <v>3859.2</v>
      </c>
      <c r="AZ75">
        <v>6</v>
      </c>
      <c r="BA75">
        <v>3859.2</v>
      </c>
      <c r="BB75">
        <v>6</v>
      </c>
      <c r="BC75">
        <v>3859.2</v>
      </c>
      <c r="BD75">
        <v>10</v>
      </c>
      <c r="BE75">
        <v>6431.9999999999991</v>
      </c>
      <c r="BF75">
        <v>9</v>
      </c>
      <c r="BG75">
        <v>5788.7999999999993</v>
      </c>
      <c r="BH75">
        <v>7</v>
      </c>
      <c r="BI75">
        <v>4502.3999999999996</v>
      </c>
      <c r="BJ75">
        <v>8</v>
      </c>
      <c r="BK75">
        <v>5145.5999999999995</v>
      </c>
      <c r="BL75">
        <v>6</v>
      </c>
      <c r="BM75">
        <v>3859.2</v>
      </c>
      <c r="BN75">
        <v>9</v>
      </c>
      <c r="BO75">
        <v>5788.7999999999993</v>
      </c>
      <c r="BP75">
        <v>8</v>
      </c>
      <c r="BQ75">
        <v>5145.5999999999995</v>
      </c>
      <c r="BR75">
        <v>9</v>
      </c>
      <c r="BS75">
        <v>5788.7999999999993</v>
      </c>
      <c r="BT75">
        <v>10</v>
      </c>
      <c r="BU75">
        <v>6431.9999999999991</v>
      </c>
      <c r="BV75">
        <v>7</v>
      </c>
      <c r="BW75">
        <v>4502.3999999999996</v>
      </c>
      <c r="BX75">
        <v>9</v>
      </c>
      <c r="BY75">
        <v>5788.7999999999993</v>
      </c>
      <c r="BZ75">
        <v>9</v>
      </c>
      <c r="CA75">
        <v>5788.7999999999993</v>
      </c>
      <c r="CB75">
        <v>10</v>
      </c>
      <c r="CC75">
        <v>6431.9999999999991</v>
      </c>
      <c r="CD75">
        <v>10</v>
      </c>
      <c r="CE75">
        <v>6431.9999999999991</v>
      </c>
      <c r="CF75">
        <v>7</v>
      </c>
      <c r="CG75">
        <v>4502.3999999999996</v>
      </c>
      <c r="CH75">
        <v>8</v>
      </c>
      <c r="CI75">
        <v>5145.5999999999995</v>
      </c>
      <c r="CJ75">
        <v>10</v>
      </c>
      <c r="CK75">
        <v>6431.9999999999991</v>
      </c>
      <c r="CL75">
        <v>5</v>
      </c>
      <c r="CM75">
        <v>3215.9999999999995</v>
      </c>
      <c r="CN75">
        <v>5</v>
      </c>
      <c r="CO75">
        <v>3215.9999999999995</v>
      </c>
      <c r="CP75">
        <v>5</v>
      </c>
      <c r="CQ75">
        <v>3215.9999999999995</v>
      </c>
      <c r="CR75">
        <v>11</v>
      </c>
      <c r="CS75">
        <v>7075.1999999999989</v>
      </c>
      <c r="CT75">
        <v>8</v>
      </c>
      <c r="CU75">
        <v>5145.5999999999995</v>
      </c>
    </row>
    <row r="76" spans="2:99">
      <c r="C76" s="99" t="s">
        <v>242</v>
      </c>
      <c r="D76">
        <v>6</v>
      </c>
      <c r="E76">
        <v>4672.7999999999993</v>
      </c>
      <c r="F76">
        <v>9</v>
      </c>
      <c r="G76">
        <v>7009.2</v>
      </c>
      <c r="H76">
        <v>6</v>
      </c>
      <c r="I76">
        <v>4672.7999999999993</v>
      </c>
      <c r="J76">
        <v>8</v>
      </c>
      <c r="K76">
        <v>6230.4</v>
      </c>
      <c r="L76">
        <v>5</v>
      </c>
      <c r="M76">
        <v>3894</v>
      </c>
      <c r="N76">
        <v>9</v>
      </c>
      <c r="O76">
        <v>7009.2</v>
      </c>
      <c r="P76">
        <v>9</v>
      </c>
      <c r="Q76">
        <v>7009.2</v>
      </c>
      <c r="R76">
        <v>9</v>
      </c>
      <c r="S76">
        <v>7009.2</v>
      </c>
      <c r="T76">
        <v>6</v>
      </c>
      <c r="U76">
        <v>4672.7999999999993</v>
      </c>
      <c r="V76">
        <v>8</v>
      </c>
      <c r="W76">
        <v>6230.4</v>
      </c>
      <c r="X76">
        <v>6</v>
      </c>
      <c r="Y76">
        <v>4672.7999999999993</v>
      </c>
      <c r="Z76">
        <v>7</v>
      </c>
      <c r="AA76">
        <v>5451.5999999999995</v>
      </c>
      <c r="AB76">
        <v>5</v>
      </c>
      <c r="AC76">
        <v>3894</v>
      </c>
      <c r="AD76">
        <v>10</v>
      </c>
      <c r="AE76">
        <v>7788</v>
      </c>
      <c r="AF76">
        <v>8</v>
      </c>
      <c r="AG76">
        <v>6230.4</v>
      </c>
      <c r="AH76">
        <v>7</v>
      </c>
      <c r="AI76">
        <v>5451.5999999999995</v>
      </c>
      <c r="AJ76">
        <v>10</v>
      </c>
      <c r="AK76">
        <v>7788</v>
      </c>
      <c r="AL76">
        <v>8</v>
      </c>
      <c r="AM76">
        <v>6230.4</v>
      </c>
      <c r="AN76">
        <v>6</v>
      </c>
      <c r="AO76">
        <v>4672.7999999999993</v>
      </c>
      <c r="AP76">
        <v>9</v>
      </c>
      <c r="AQ76">
        <v>7009.2</v>
      </c>
      <c r="AR76">
        <v>7</v>
      </c>
      <c r="AS76">
        <v>5451.5999999999995</v>
      </c>
      <c r="AT76">
        <v>6</v>
      </c>
      <c r="AU76">
        <v>4672.7999999999993</v>
      </c>
      <c r="AV76">
        <v>9</v>
      </c>
      <c r="AW76">
        <v>7009.2</v>
      </c>
      <c r="AX76">
        <v>6</v>
      </c>
      <c r="AY76">
        <v>4672.7999999999993</v>
      </c>
      <c r="AZ76">
        <v>6</v>
      </c>
      <c r="BA76">
        <v>4672.7999999999993</v>
      </c>
      <c r="BB76">
        <v>7</v>
      </c>
      <c r="BC76">
        <v>5451.5999999999995</v>
      </c>
      <c r="BD76">
        <v>9</v>
      </c>
      <c r="BE76">
        <v>7009.2</v>
      </c>
      <c r="BF76">
        <v>9</v>
      </c>
      <c r="BG76">
        <v>7009.2</v>
      </c>
      <c r="BH76">
        <v>8</v>
      </c>
      <c r="BI76">
        <v>6230.4</v>
      </c>
      <c r="BJ76">
        <v>9</v>
      </c>
      <c r="BK76">
        <v>7009.2</v>
      </c>
      <c r="BL76">
        <v>6</v>
      </c>
      <c r="BM76">
        <v>4672.7999999999993</v>
      </c>
      <c r="BN76">
        <v>9</v>
      </c>
      <c r="BO76">
        <v>7009.2</v>
      </c>
      <c r="BP76">
        <v>8</v>
      </c>
      <c r="BQ76">
        <v>6230.4</v>
      </c>
      <c r="BR76">
        <v>10</v>
      </c>
      <c r="BS76">
        <v>7788</v>
      </c>
      <c r="BT76">
        <v>9</v>
      </c>
      <c r="BU76">
        <v>7009.2</v>
      </c>
      <c r="BV76">
        <v>7</v>
      </c>
      <c r="BW76">
        <v>5451.5999999999995</v>
      </c>
      <c r="BX76">
        <v>8</v>
      </c>
      <c r="BY76">
        <v>6230.4</v>
      </c>
      <c r="BZ76">
        <v>8</v>
      </c>
      <c r="CA76">
        <v>6230.4</v>
      </c>
      <c r="CB76">
        <v>10</v>
      </c>
      <c r="CC76">
        <v>7788</v>
      </c>
      <c r="CD76">
        <v>10</v>
      </c>
      <c r="CE76">
        <v>7788</v>
      </c>
      <c r="CF76">
        <v>6</v>
      </c>
      <c r="CG76">
        <v>4672.7999999999993</v>
      </c>
      <c r="CH76">
        <v>7</v>
      </c>
      <c r="CI76">
        <v>5451.5999999999995</v>
      </c>
      <c r="CJ76">
        <v>9</v>
      </c>
      <c r="CK76">
        <v>7009.2</v>
      </c>
      <c r="CL76">
        <v>5</v>
      </c>
      <c r="CM76">
        <v>3894</v>
      </c>
      <c r="CN76">
        <v>5</v>
      </c>
      <c r="CO76">
        <v>3894</v>
      </c>
      <c r="CP76">
        <v>5</v>
      </c>
      <c r="CQ76">
        <v>3894</v>
      </c>
      <c r="CR76">
        <v>11</v>
      </c>
      <c r="CS76">
        <v>8566.7999999999993</v>
      </c>
      <c r="CT76">
        <v>7</v>
      </c>
      <c r="CU76">
        <v>5451.5999999999995</v>
      </c>
    </row>
    <row r="77" spans="2:99">
      <c r="C77" s="99" t="s">
        <v>243</v>
      </c>
      <c r="D77">
        <v>7</v>
      </c>
      <c r="E77">
        <v>1948.7999999999997</v>
      </c>
      <c r="F77">
        <v>9</v>
      </c>
      <c r="G77">
        <v>2505.6</v>
      </c>
      <c r="H77">
        <v>7</v>
      </c>
      <c r="I77">
        <v>1948.7999999999997</v>
      </c>
      <c r="J77">
        <v>9</v>
      </c>
      <c r="K77">
        <v>2505.6</v>
      </c>
      <c r="L77">
        <v>5</v>
      </c>
      <c r="M77">
        <v>1392</v>
      </c>
      <c r="N77">
        <v>9</v>
      </c>
      <c r="O77">
        <v>2505.6</v>
      </c>
      <c r="P77">
        <v>10</v>
      </c>
      <c r="Q77">
        <v>2784</v>
      </c>
      <c r="R77">
        <v>11</v>
      </c>
      <c r="S77">
        <v>3062.3999999999996</v>
      </c>
      <c r="T77">
        <v>7</v>
      </c>
      <c r="U77">
        <v>1948.7999999999997</v>
      </c>
      <c r="V77">
        <v>9</v>
      </c>
      <c r="W77">
        <v>2505.6</v>
      </c>
      <c r="X77">
        <v>7</v>
      </c>
      <c r="Y77">
        <v>1948.7999999999997</v>
      </c>
      <c r="Z77">
        <v>7</v>
      </c>
      <c r="AA77">
        <v>1948.7999999999997</v>
      </c>
      <c r="AB77">
        <v>6</v>
      </c>
      <c r="AC77">
        <v>1670.3999999999999</v>
      </c>
      <c r="AD77">
        <v>10</v>
      </c>
      <c r="AE77">
        <v>2784</v>
      </c>
      <c r="AF77">
        <v>8</v>
      </c>
      <c r="AG77">
        <v>2227.1999999999998</v>
      </c>
      <c r="AH77">
        <v>7</v>
      </c>
      <c r="AI77">
        <v>1948.7999999999997</v>
      </c>
      <c r="AJ77">
        <v>10</v>
      </c>
      <c r="AK77">
        <v>2784</v>
      </c>
      <c r="AL77">
        <v>8</v>
      </c>
      <c r="AM77">
        <v>2227.1999999999998</v>
      </c>
      <c r="AN77">
        <v>7</v>
      </c>
      <c r="AO77">
        <v>1948.7999999999997</v>
      </c>
      <c r="AP77">
        <v>10</v>
      </c>
      <c r="AQ77">
        <v>2784</v>
      </c>
      <c r="AR77">
        <v>7</v>
      </c>
      <c r="AS77">
        <v>1948.7999999999997</v>
      </c>
      <c r="AT77">
        <v>6</v>
      </c>
      <c r="AU77">
        <v>1670.3999999999999</v>
      </c>
      <c r="AV77">
        <v>10</v>
      </c>
      <c r="AW77">
        <v>2784</v>
      </c>
      <c r="AX77">
        <v>6</v>
      </c>
      <c r="AY77">
        <v>1670.3999999999999</v>
      </c>
      <c r="AZ77">
        <v>6</v>
      </c>
      <c r="BA77">
        <v>1670.3999999999999</v>
      </c>
      <c r="BB77">
        <v>8</v>
      </c>
      <c r="BC77">
        <v>2227.1999999999998</v>
      </c>
      <c r="BD77">
        <v>10</v>
      </c>
      <c r="BE77">
        <v>2784</v>
      </c>
      <c r="BF77">
        <v>10</v>
      </c>
      <c r="BG77">
        <v>2784</v>
      </c>
      <c r="BH77">
        <v>8</v>
      </c>
      <c r="BI77">
        <v>2227.1999999999998</v>
      </c>
      <c r="BJ77">
        <v>10</v>
      </c>
      <c r="BK77">
        <v>2784</v>
      </c>
      <c r="BL77">
        <v>7</v>
      </c>
      <c r="BM77">
        <v>1948.7999999999997</v>
      </c>
      <c r="BN77">
        <v>9</v>
      </c>
      <c r="BO77">
        <v>2505.6</v>
      </c>
      <c r="BP77">
        <v>8</v>
      </c>
      <c r="BQ77">
        <v>2227.1999999999998</v>
      </c>
      <c r="BR77">
        <v>11</v>
      </c>
      <c r="BS77">
        <v>3062.3999999999996</v>
      </c>
      <c r="BT77">
        <v>9</v>
      </c>
      <c r="BU77">
        <v>2505.6</v>
      </c>
      <c r="BV77">
        <v>7</v>
      </c>
      <c r="BW77">
        <v>1948.7999999999997</v>
      </c>
      <c r="BX77">
        <v>9</v>
      </c>
      <c r="BY77">
        <v>2505.6</v>
      </c>
      <c r="BZ77">
        <v>9</v>
      </c>
      <c r="CA77">
        <v>2505.6</v>
      </c>
      <c r="CB77">
        <v>11</v>
      </c>
      <c r="CC77">
        <v>3062.3999999999996</v>
      </c>
      <c r="CD77">
        <v>11</v>
      </c>
      <c r="CE77">
        <v>3062.3999999999996</v>
      </c>
      <c r="CF77">
        <v>7</v>
      </c>
      <c r="CG77">
        <v>1948.7999999999997</v>
      </c>
      <c r="CH77">
        <v>7</v>
      </c>
      <c r="CI77">
        <v>1948.7999999999997</v>
      </c>
      <c r="CJ77">
        <v>9</v>
      </c>
      <c r="CK77">
        <v>2505.6</v>
      </c>
      <c r="CL77">
        <v>5</v>
      </c>
      <c r="CM77">
        <v>1392</v>
      </c>
      <c r="CN77">
        <v>6</v>
      </c>
      <c r="CO77">
        <v>1670.3999999999999</v>
      </c>
      <c r="CP77">
        <v>6</v>
      </c>
      <c r="CQ77">
        <v>1670.3999999999999</v>
      </c>
      <c r="CR77">
        <v>11</v>
      </c>
      <c r="CS77">
        <v>3062.3999999999996</v>
      </c>
      <c r="CT77">
        <v>7</v>
      </c>
      <c r="CU77">
        <v>1948.7999999999997</v>
      </c>
    </row>
    <row r="78" spans="2:99">
      <c r="C78" s="99" t="s">
        <v>244</v>
      </c>
      <c r="D78">
        <v>6</v>
      </c>
      <c r="E78">
        <v>3312</v>
      </c>
      <c r="F78">
        <v>7</v>
      </c>
      <c r="G78">
        <v>3864</v>
      </c>
      <c r="H78">
        <v>6</v>
      </c>
      <c r="I78">
        <v>3312</v>
      </c>
      <c r="J78">
        <v>7</v>
      </c>
      <c r="K78">
        <v>3864</v>
      </c>
      <c r="L78">
        <v>6</v>
      </c>
      <c r="M78">
        <v>3312</v>
      </c>
      <c r="N78">
        <v>9</v>
      </c>
      <c r="O78">
        <v>4968</v>
      </c>
      <c r="P78">
        <v>11</v>
      </c>
      <c r="Q78">
        <v>6072</v>
      </c>
      <c r="R78">
        <v>10</v>
      </c>
      <c r="S78">
        <v>5520</v>
      </c>
      <c r="T78">
        <v>6</v>
      </c>
      <c r="U78">
        <v>3312</v>
      </c>
      <c r="V78">
        <v>9</v>
      </c>
      <c r="W78">
        <v>4968</v>
      </c>
      <c r="X78">
        <v>6</v>
      </c>
      <c r="Y78">
        <v>3312</v>
      </c>
      <c r="Z78">
        <v>7</v>
      </c>
      <c r="AA78">
        <v>3864</v>
      </c>
      <c r="AB78">
        <v>5</v>
      </c>
      <c r="AC78">
        <v>2760</v>
      </c>
      <c r="AD78">
        <v>9</v>
      </c>
      <c r="AE78">
        <v>4968</v>
      </c>
      <c r="AF78">
        <v>8</v>
      </c>
      <c r="AG78">
        <v>4416</v>
      </c>
      <c r="AH78">
        <v>8</v>
      </c>
      <c r="AI78">
        <v>4416</v>
      </c>
      <c r="AJ78">
        <v>10</v>
      </c>
      <c r="AK78">
        <v>5520</v>
      </c>
      <c r="AL78">
        <v>8</v>
      </c>
      <c r="AM78">
        <v>4416</v>
      </c>
      <c r="AN78">
        <v>6</v>
      </c>
      <c r="AO78">
        <v>3312</v>
      </c>
      <c r="AP78">
        <v>9</v>
      </c>
      <c r="AQ78">
        <v>4968</v>
      </c>
      <c r="AR78">
        <v>7</v>
      </c>
      <c r="AS78">
        <v>3864</v>
      </c>
      <c r="AT78">
        <v>6</v>
      </c>
      <c r="AU78">
        <v>3312</v>
      </c>
      <c r="AV78">
        <v>9</v>
      </c>
      <c r="AW78">
        <v>4968</v>
      </c>
      <c r="AX78">
        <v>6</v>
      </c>
      <c r="AY78">
        <v>3312</v>
      </c>
      <c r="AZ78">
        <v>5</v>
      </c>
      <c r="BA78">
        <v>2760</v>
      </c>
      <c r="BB78">
        <v>7</v>
      </c>
      <c r="BC78">
        <v>3864</v>
      </c>
      <c r="BD78">
        <v>10</v>
      </c>
      <c r="BE78">
        <v>5520</v>
      </c>
      <c r="BF78">
        <v>10</v>
      </c>
      <c r="BG78">
        <v>5520</v>
      </c>
      <c r="BH78">
        <v>8</v>
      </c>
      <c r="BI78">
        <v>4416</v>
      </c>
      <c r="BJ78">
        <v>10</v>
      </c>
      <c r="BK78">
        <v>5520</v>
      </c>
      <c r="BL78">
        <v>7</v>
      </c>
      <c r="BM78">
        <v>3864</v>
      </c>
      <c r="BN78">
        <v>9</v>
      </c>
      <c r="BO78">
        <v>4968</v>
      </c>
      <c r="BP78">
        <v>8</v>
      </c>
      <c r="BQ78">
        <v>4416</v>
      </c>
      <c r="BR78">
        <v>9</v>
      </c>
      <c r="BS78">
        <v>4968</v>
      </c>
      <c r="BT78">
        <v>10</v>
      </c>
      <c r="BU78">
        <v>5520</v>
      </c>
      <c r="BV78">
        <v>7</v>
      </c>
      <c r="BW78">
        <v>3864</v>
      </c>
      <c r="BX78">
        <v>8</v>
      </c>
      <c r="BY78">
        <v>4416</v>
      </c>
      <c r="BZ78">
        <v>9</v>
      </c>
      <c r="CA78">
        <v>4968</v>
      </c>
      <c r="CB78">
        <v>10</v>
      </c>
      <c r="CC78">
        <v>5520</v>
      </c>
      <c r="CD78">
        <v>10</v>
      </c>
      <c r="CE78">
        <v>5520</v>
      </c>
      <c r="CF78">
        <v>7</v>
      </c>
      <c r="CG78">
        <v>3864</v>
      </c>
      <c r="CH78">
        <v>8</v>
      </c>
      <c r="CI78">
        <v>4416</v>
      </c>
      <c r="CJ78">
        <v>9</v>
      </c>
      <c r="CK78">
        <v>4968</v>
      </c>
      <c r="CL78">
        <v>6</v>
      </c>
      <c r="CM78">
        <v>3312</v>
      </c>
      <c r="CN78">
        <v>5</v>
      </c>
      <c r="CO78">
        <v>2760</v>
      </c>
      <c r="CP78">
        <v>5</v>
      </c>
      <c r="CQ78">
        <v>2760</v>
      </c>
      <c r="CR78">
        <v>11</v>
      </c>
      <c r="CS78">
        <v>6072</v>
      </c>
      <c r="CT78">
        <v>7</v>
      </c>
      <c r="CU78">
        <v>3864</v>
      </c>
    </row>
    <row r="79" spans="2:99">
      <c r="C79" s="99" t="s">
        <v>245</v>
      </c>
      <c r="D79">
        <v>6</v>
      </c>
      <c r="E79">
        <v>4543.2</v>
      </c>
      <c r="F79">
        <v>8</v>
      </c>
      <c r="G79">
        <v>6057.5999999999995</v>
      </c>
      <c r="H79">
        <v>6</v>
      </c>
      <c r="I79">
        <v>4543.2</v>
      </c>
      <c r="J79">
        <v>8</v>
      </c>
      <c r="K79">
        <v>6057.5999999999995</v>
      </c>
      <c r="L79">
        <v>5</v>
      </c>
      <c r="M79">
        <v>3785.9999999999995</v>
      </c>
      <c r="N79">
        <v>10</v>
      </c>
      <c r="O79">
        <v>7571.9999999999991</v>
      </c>
      <c r="P79">
        <v>10</v>
      </c>
      <c r="Q79">
        <v>7571.9999999999991</v>
      </c>
      <c r="R79">
        <v>9</v>
      </c>
      <c r="S79">
        <v>6814.7999999999993</v>
      </c>
      <c r="T79">
        <v>6</v>
      </c>
      <c r="U79">
        <v>4543.2</v>
      </c>
      <c r="V79">
        <v>8</v>
      </c>
      <c r="W79">
        <v>6057.5999999999995</v>
      </c>
      <c r="X79">
        <v>7</v>
      </c>
      <c r="Y79">
        <v>5300.4</v>
      </c>
      <c r="Z79">
        <v>6</v>
      </c>
      <c r="AA79">
        <v>4543.2</v>
      </c>
      <c r="AB79">
        <v>5</v>
      </c>
      <c r="AC79">
        <v>3785.9999999999995</v>
      </c>
      <c r="AD79">
        <v>10</v>
      </c>
      <c r="AE79">
        <v>7571.9999999999991</v>
      </c>
      <c r="AF79">
        <v>7</v>
      </c>
      <c r="AG79">
        <v>5300.4</v>
      </c>
      <c r="AH79">
        <v>7</v>
      </c>
      <c r="AI79">
        <v>5300.4</v>
      </c>
      <c r="AJ79">
        <v>9</v>
      </c>
      <c r="AK79">
        <v>6814.7999999999993</v>
      </c>
      <c r="AL79">
        <v>8</v>
      </c>
      <c r="AM79">
        <v>6057.5999999999995</v>
      </c>
      <c r="AN79">
        <v>6</v>
      </c>
      <c r="AO79">
        <v>4543.2</v>
      </c>
      <c r="AP79">
        <v>8</v>
      </c>
      <c r="AQ79">
        <v>6057.5999999999995</v>
      </c>
      <c r="AR79">
        <v>7</v>
      </c>
      <c r="AS79">
        <v>5300.4</v>
      </c>
      <c r="AT79">
        <v>6</v>
      </c>
      <c r="AU79">
        <v>4543.2</v>
      </c>
      <c r="AV79">
        <v>9</v>
      </c>
      <c r="AW79">
        <v>6814.7999999999993</v>
      </c>
      <c r="AX79">
        <v>5</v>
      </c>
      <c r="AY79">
        <v>3785.9999999999995</v>
      </c>
      <c r="AZ79">
        <v>6</v>
      </c>
      <c r="BA79">
        <v>4543.2</v>
      </c>
      <c r="BB79">
        <v>7</v>
      </c>
      <c r="BC79">
        <v>5300.4</v>
      </c>
      <c r="BD79">
        <v>9</v>
      </c>
      <c r="BE79">
        <v>6814.7999999999993</v>
      </c>
      <c r="BF79">
        <v>9</v>
      </c>
      <c r="BG79">
        <v>6814.7999999999993</v>
      </c>
      <c r="BH79">
        <v>8</v>
      </c>
      <c r="BI79">
        <v>6057.5999999999995</v>
      </c>
      <c r="BJ79">
        <v>9</v>
      </c>
      <c r="BK79">
        <v>6814.7999999999993</v>
      </c>
      <c r="BL79">
        <v>6</v>
      </c>
      <c r="BM79">
        <v>4543.2</v>
      </c>
      <c r="BN79">
        <v>9</v>
      </c>
      <c r="BO79">
        <v>6814.7999999999993</v>
      </c>
      <c r="BP79">
        <v>9</v>
      </c>
      <c r="BQ79">
        <v>6814.7999999999993</v>
      </c>
      <c r="BR79">
        <v>11</v>
      </c>
      <c r="BS79">
        <v>8329.1999999999989</v>
      </c>
      <c r="BT79">
        <v>10</v>
      </c>
      <c r="BU79">
        <v>7571.9999999999991</v>
      </c>
      <c r="BV79">
        <v>7</v>
      </c>
      <c r="BW79">
        <v>5300.4</v>
      </c>
      <c r="BX79">
        <v>8</v>
      </c>
      <c r="BY79">
        <v>6057.5999999999995</v>
      </c>
      <c r="BZ79">
        <v>9</v>
      </c>
      <c r="CA79">
        <v>6814.7999999999993</v>
      </c>
      <c r="CB79">
        <v>10</v>
      </c>
      <c r="CC79">
        <v>7571.9999999999991</v>
      </c>
      <c r="CD79">
        <v>10</v>
      </c>
      <c r="CE79">
        <v>7571.9999999999991</v>
      </c>
      <c r="CF79">
        <v>6</v>
      </c>
      <c r="CG79">
        <v>4543.2</v>
      </c>
      <c r="CH79">
        <v>8</v>
      </c>
      <c r="CI79">
        <v>6057.5999999999995</v>
      </c>
      <c r="CJ79">
        <v>9</v>
      </c>
      <c r="CK79">
        <v>6814.7999999999993</v>
      </c>
      <c r="CL79">
        <v>5</v>
      </c>
      <c r="CM79">
        <v>3785.9999999999995</v>
      </c>
      <c r="CN79">
        <v>5</v>
      </c>
      <c r="CO79">
        <v>3785.9999999999995</v>
      </c>
      <c r="CP79">
        <v>5</v>
      </c>
      <c r="CQ79">
        <v>3785.9999999999995</v>
      </c>
      <c r="CR79">
        <v>11</v>
      </c>
      <c r="CS79">
        <v>8329.1999999999989</v>
      </c>
      <c r="CT79">
        <v>8</v>
      </c>
      <c r="CU79">
        <v>6057.5999999999995</v>
      </c>
    </row>
    <row r="80" spans="2:99">
      <c r="C80" s="99" t="s">
        <v>246</v>
      </c>
      <c r="D80">
        <v>6</v>
      </c>
      <c r="E80">
        <v>4831.2</v>
      </c>
      <c r="F80">
        <v>7</v>
      </c>
      <c r="G80">
        <v>5636.4</v>
      </c>
      <c r="H80">
        <v>6</v>
      </c>
      <c r="I80">
        <v>4831.2</v>
      </c>
      <c r="J80">
        <v>8</v>
      </c>
      <c r="K80">
        <v>6441.5999999999995</v>
      </c>
      <c r="L80">
        <v>5</v>
      </c>
      <c r="M80">
        <v>4025.9999999999995</v>
      </c>
      <c r="N80">
        <v>9</v>
      </c>
      <c r="O80">
        <v>7246.7999999999993</v>
      </c>
      <c r="P80">
        <v>10</v>
      </c>
      <c r="Q80">
        <v>8051.9999999999991</v>
      </c>
      <c r="R80">
        <v>10</v>
      </c>
      <c r="S80">
        <v>8051.9999999999991</v>
      </c>
      <c r="T80">
        <v>6</v>
      </c>
      <c r="U80">
        <v>4831.2</v>
      </c>
      <c r="V80">
        <v>8</v>
      </c>
      <c r="W80">
        <v>6441.5999999999995</v>
      </c>
      <c r="X80">
        <v>6</v>
      </c>
      <c r="Y80">
        <v>4831.2</v>
      </c>
      <c r="Z80">
        <v>7</v>
      </c>
      <c r="AA80">
        <v>5636.4</v>
      </c>
      <c r="AB80">
        <v>5</v>
      </c>
      <c r="AC80">
        <v>4025.9999999999995</v>
      </c>
      <c r="AD80">
        <v>10</v>
      </c>
      <c r="AE80">
        <v>8051.9999999999991</v>
      </c>
      <c r="AF80">
        <v>8</v>
      </c>
      <c r="AG80">
        <v>6441.5999999999995</v>
      </c>
      <c r="AH80">
        <v>7</v>
      </c>
      <c r="AI80">
        <v>5636.4</v>
      </c>
      <c r="AJ80">
        <v>10</v>
      </c>
      <c r="AK80">
        <v>8051.9999999999991</v>
      </c>
      <c r="AL80">
        <v>7</v>
      </c>
      <c r="AM80">
        <v>5636.4</v>
      </c>
      <c r="AN80">
        <v>6</v>
      </c>
      <c r="AO80">
        <v>4831.2</v>
      </c>
      <c r="AP80">
        <v>9</v>
      </c>
      <c r="AQ80">
        <v>7246.7999999999993</v>
      </c>
      <c r="AR80">
        <v>7</v>
      </c>
      <c r="AS80">
        <v>5636.4</v>
      </c>
      <c r="AT80">
        <v>6</v>
      </c>
      <c r="AU80">
        <v>4831.2</v>
      </c>
      <c r="AV80">
        <v>9</v>
      </c>
      <c r="AW80">
        <v>7246.7999999999993</v>
      </c>
      <c r="AX80">
        <v>6</v>
      </c>
      <c r="AY80">
        <v>4831.2</v>
      </c>
      <c r="AZ80">
        <v>6</v>
      </c>
      <c r="BA80">
        <v>4831.2</v>
      </c>
      <c r="BB80">
        <v>7</v>
      </c>
      <c r="BC80">
        <v>5636.4</v>
      </c>
      <c r="BD80">
        <v>9</v>
      </c>
      <c r="BE80">
        <v>7246.7999999999993</v>
      </c>
      <c r="BF80">
        <v>9</v>
      </c>
      <c r="BG80">
        <v>7246.7999999999993</v>
      </c>
      <c r="BH80">
        <v>8</v>
      </c>
      <c r="BI80">
        <v>6441.5999999999995</v>
      </c>
      <c r="BJ80">
        <v>9</v>
      </c>
      <c r="BK80">
        <v>7246.7999999999993</v>
      </c>
      <c r="BL80">
        <v>7</v>
      </c>
      <c r="BM80">
        <v>5636.4</v>
      </c>
      <c r="BN80">
        <v>8</v>
      </c>
      <c r="BO80">
        <v>6441.5999999999995</v>
      </c>
      <c r="BP80">
        <v>8</v>
      </c>
      <c r="BQ80">
        <v>6441.5999999999995</v>
      </c>
      <c r="BR80">
        <v>10</v>
      </c>
      <c r="BS80">
        <v>8051.9999999999991</v>
      </c>
      <c r="BT80">
        <v>8</v>
      </c>
      <c r="BU80">
        <v>6441.5999999999995</v>
      </c>
      <c r="BV80">
        <v>7</v>
      </c>
      <c r="BW80">
        <v>5636.4</v>
      </c>
      <c r="BX80">
        <v>8</v>
      </c>
      <c r="BY80">
        <v>6441.5999999999995</v>
      </c>
      <c r="BZ80">
        <v>9</v>
      </c>
      <c r="CA80">
        <v>7246.7999999999993</v>
      </c>
      <c r="CB80">
        <v>11</v>
      </c>
      <c r="CC80">
        <v>8857.1999999999989</v>
      </c>
      <c r="CD80">
        <v>9</v>
      </c>
      <c r="CE80">
        <v>7246.7999999999993</v>
      </c>
      <c r="CF80">
        <v>8</v>
      </c>
      <c r="CG80">
        <v>6441.5999999999995</v>
      </c>
      <c r="CH80">
        <v>8</v>
      </c>
      <c r="CI80">
        <v>6441.5999999999995</v>
      </c>
      <c r="CJ80">
        <v>8</v>
      </c>
      <c r="CK80">
        <v>6441.5999999999995</v>
      </c>
      <c r="CL80">
        <v>5</v>
      </c>
      <c r="CM80">
        <v>4025.9999999999995</v>
      </c>
      <c r="CN80">
        <v>5</v>
      </c>
      <c r="CO80">
        <v>4025.9999999999995</v>
      </c>
      <c r="CP80">
        <v>5</v>
      </c>
      <c r="CQ80">
        <v>4025.9999999999995</v>
      </c>
      <c r="CR80">
        <v>9</v>
      </c>
      <c r="CS80">
        <v>7246.7999999999993</v>
      </c>
      <c r="CT80">
        <v>8</v>
      </c>
      <c r="CU80">
        <v>6441.5999999999995</v>
      </c>
    </row>
    <row r="81" spans="2:99">
      <c r="C81" s="99" t="s">
        <v>247</v>
      </c>
      <c r="D81">
        <v>6</v>
      </c>
      <c r="E81">
        <v>4521.6000000000004</v>
      </c>
      <c r="F81">
        <v>7</v>
      </c>
      <c r="G81">
        <v>5275.2</v>
      </c>
      <c r="H81">
        <v>6</v>
      </c>
      <c r="I81">
        <v>4521.6000000000004</v>
      </c>
      <c r="J81">
        <v>8</v>
      </c>
      <c r="K81">
        <v>6028.8</v>
      </c>
      <c r="L81">
        <v>5</v>
      </c>
      <c r="M81">
        <v>3768</v>
      </c>
      <c r="N81">
        <v>10</v>
      </c>
      <c r="O81">
        <v>7536</v>
      </c>
      <c r="P81">
        <v>9</v>
      </c>
      <c r="Q81">
        <v>6782.4000000000005</v>
      </c>
      <c r="R81">
        <v>9</v>
      </c>
      <c r="S81">
        <v>6782.4000000000005</v>
      </c>
      <c r="T81">
        <v>6</v>
      </c>
      <c r="U81">
        <v>4521.6000000000004</v>
      </c>
      <c r="V81">
        <v>8</v>
      </c>
      <c r="W81">
        <v>6028.8</v>
      </c>
      <c r="X81">
        <v>6</v>
      </c>
      <c r="Y81">
        <v>4521.6000000000004</v>
      </c>
      <c r="Z81">
        <v>7</v>
      </c>
      <c r="AA81">
        <v>5275.2</v>
      </c>
      <c r="AB81">
        <v>5</v>
      </c>
      <c r="AC81">
        <v>3768</v>
      </c>
      <c r="AD81">
        <v>9</v>
      </c>
      <c r="AE81">
        <v>6782.4000000000005</v>
      </c>
      <c r="AF81">
        <v>7</v>
      </c>
      <c r="AG81">
        <v>5275.2</v>
      </c>
      <c r="AH81">
        <v>7</v>
      </c>
      <c r="AI81">
        <v>5275.2</v>
      </c>
      <c r="AJ81">
        <v>8</v>
      </c>
      <c r="AK81">
        <v>6028.8</v>
      </c>
      <c r="AL81">
        <v>8</v>
      </c>
      <c r="AM81">
        <v>6028.8</v>
      </c>
      <c r="AN81">
        <v>6</v>
      </c>
      <c r="AO81">
        <v>4521.6000000000004</v>
      </c>
      <c r="AP81">
        <v>8</v>
      </c>
      <c r="AQ81">
        <v>6028.8</v>
      </c>
      <c r="AR81">
        <v>6</v>
      </c>
      <c r="AS81">
        <v>4521.6000000000004</v>
      </c>
      <c r="AT81">
        <v>6</v>
      </c>
      <c r="AU81">
        <v>4521.6000000000004</v>
      </c>
      <c r="AV81">
        <v>10</v>
      </c>
      <c r="AW81">
        <v>7536</v>
      </c>
      <c r="AX81">
        <v>5</v>
      </c>
      <c r="AY81">
        <v>3768</v>
      </c>
      <c r="AZ81">
        <v>6</v>
      </c>
      <c r="BA81">
        <v>4521.6000000000004</v>
      </c>
      <c r="BB81">
        <v>7</v>
      </c>
      <c r="BC81">
        <v>5275.2</v>
      </c>
      <c r="BD81">
        <v>9</v>
      </c>
      <c r="BE81">
        <v>6782.4000000000005</v>
      </c>
      <c r="BF81">
        <v>10</v>
      </c>
      <c r="BG81">
        <v>7536</v>
      </c>
      <c r="BH81">
        <v>7</v>
      </c>
      <c r="BI81">
        <v>5275.2</v>
      </c>
      <c r="BJ81">
        <v>8</v>
      </c>
      <c r="BK81">
        <v>6028.8</v>
      </c>
      <c r="BL81">
        <v>6</v>
      </c>
      <c r="BM81">
        <v>4521.6000000000004</v>
      </c>
      <c r="BN81">
        <v>9</v>
      </c>
      <c r="BO81">
        <v>6782.4000000000005</v>
      </c>
      <c r="BP81">
        <v>8</v>
      </c>
      <c r="BQ81">
        <v>6028.8</v>
      </c>
      <c r="BR81">
        <v>9</v>
      </c>
      <c r="BS81">
        <v>6782.4000000000005</v>
      </c>
      <c r="BT81">
        <v>9</v>
      </c>
      <c r="BU81">
        <v>6782.4000000000005</v>
      </c>
      <c r="BV81">
        <v>7</v>
      </c>
      <c r="BW81">
        <v>5275.2</v>
      </c>
      <c r="BX81">
        <v>9</v>
      </c>
      <c r="BY81">
        <v>6782.4000000000005</v>
      </c>
      <c r="BZ81">
        <v>8</v>
      </c>
      <c r="CA81">
        <v>6028.8</v>
      </c>
      <c r="CB81">
        <v>11</v>
      </c>
      <c r="CC81">
        <v>8289.6</v>
      </c>
      <c r="CD81">
        <v>11</v>
      </c>
      <c r="CE81">
        <v>8289.6</v>
      </c>
      <c r="CF81">
        <v>6</v>
      </c>
      <c r="CG81">
        <v>4521.6000000000004</v>
      </c>
      <c r="CH81">
        <v>8</v>
      </c>
      <c r="CI81">
        <v>6028.8</v>
      </c>
      <c r="CJ81">
        <v>9</v>
      </c>
      <c r="CK81">
        <v>6782.4000000000005</v>
      </c>
      <c r="CL81">
        <v>5</v>
      </c>
      <c r="CM81">
        <v>3768</v>
      </c>
      <c r="CN81">
        <v>5</v>
      </c>
      <c r="CO81">
        <v>3768</v>
      </c>
      <c r="CP81">
        <v>5</v>
      </c>
      <c r="CQ81">
        <v>3768</v>
      </c>
      <c r="CR81">
        <v>10</v>
      </c>
      <c r="CS81">
        <v>7536</v>
      </c>
      <c r="CT81">
        <v>7</v>
      </c>
      <c r="CU81">
        <v>5275.2</v>
      </c>
    </row>
    <row r="82" spans="2:99">
      <c r="C82" s="99" t="s">
        <v>248</v>
      </c>
      <c r="D82">
        <v>6</v>
      </c>
      <c r="E82">
        <v>3052.7999999999993</v>
      </c>
      <c r="F82">
        <v>9</v>
      </c>
      <c r="G82">
        <v>4579.1999999999989</v>
      </c>
      <c r="H82">
        <v>6</v>
      </c>
      <c r="I82">
        <v>3052.7999999999993</v>
      </c>
      <c r="J82">
        <v>9</v>
      </c>
      <c r="K82">
        <v>4579.1999999999989</v>
      </c>
      <c r="L82">
        <v>5</v>
      </c>
      <c r="M82">
        <v>2543.9999999999995</v>
      </c>
      <c r="N82">
        <v>9</v>
      </c>
      <c r="O82">
        <v>4579.1999999999989</v>
      </c>
      <c r="P82">
        <v>10</v>
      </c>
      <c r="Q82">
        <v>5087.9999999999991</v>
      </c>
      <c r="R82">
        <v>9</v>
      </c>
      <c r="S82">
        <v>4579.1999999999989</v>
      </c>
      <c r="T82">
        <v>6</v>
      </c>
      <c r="U82">
        <v>3052.7999999999993</v>
      </c>
      <c r="V82">
        <v>9</v>
      </c>
      <c r="W82">
        <v>4579.1999999999989</v>
      </c>
      <c r="X82">
        <v>6</v>
      </c>
      <c r="Y82">
        <v>3052.7999999999993</v>
      </c>
      <c r="Z82">
        <v>7</v>
      </c>
      <c r="AA82">
        <v>3561.5999999999995</v>
      </c>
      <c r="AB82">
        <v>5</v>
      </c>
      <c r="AC82">
        <v>2543.9999999999995</v>
      </c>
      <c r="AD82">
        <v>10</v>
      </c>
      <c r="AE82">
        <v>5087.9999999999991</v>
      </c>
      <c r="AF82">
        <v>8</v>
      </c>
      <c r="AG82">
        <v>4070.3999999999992</v>
      </c>
      <c r="AH82">
        <v>7</v>
      </c>
      <c r="AI82">
        <v>3561.5999999999995</v>
      </c>
      <c r="AJ82">
        <v>10</v>
      </c>
      <c r="AK82">
        <v>5087.9999999999991</v>
      </c>
      <c r="AL82">
        <v>8</v>
      </c>
      <c r="AM82">
        <v>4070.3999999999992</v>
      </c>
      <c r="AN82">
        <v>7</v>
      </c>
      <c r="AO82">
        <v>3561.5999999999995</v>
      </c>
      <c r="AP82">
        <v>9</v>
      </c>
      <c r="AQ82">
        <v>4579.1999999999989</v>
      </c>
      <c r="AR82">
        <v>7</v>
      </c>
      <c r="AS82">
        <v>3561.5999999999995</v>
      </c>
      <c r="AT82">
        <v>7</v>
      </c>
      <c r="AU82">
        <v>3561.5999999999995</v>
      </c>
      <c r="AV82">
        <v>10</v>
      </c>
      <c r="AW82">
        <v>5087.9999999999991</v>
      </c>
      <c r="AX82">
        <v>5</v>
      </c>
      <c r="AY82">
        <v>2543.9999999999995</v>
      </c>
      <c r="AZ82">
        <v>5</v>
      </c>
      <c r="BA82">
        <v>2543.9999999999995</v>
      </c>
      <c r="BB82">
        <v>6</v>
      </c>
      <c r="BC82">
        <v>3052.7999999999993</v>
      </c>
      <c r="BD82">
        <v>8</v>
      </c>
      <c r="BE82">
        <v>4070.3999999999992</v>
      </c>
      <c r="BF82">
        <v>9</v>
      </c>
      <c r="BG82">
        <v>4579.1999999999989</v>
      </c>
      <c r="BH82">
        <v>7</v>
      </c>
      <c r="BI82">
        <v>3561.5999999999995</v>
      </c>
      <c r="BJ82">
        <v>8</v>
      </c>
      <c r="BK82">
        <v>4070.3999999999992</v>
      </c>
      <c r="BL82">
        <v>7</v>
      </c>
      <c r="BM82">
        <v>3561.5999999999995</v>
      </c>
      <c r="BN82">
        <v>9</v>
      </c>
      <c r="BO82">
        <v>4579.1999999999989</v>
      </c>
      <c r="BP82">
        <v>9</v>
      </c>
      <c r="BQ82">
        <v>4579.1999999999989</v>
      </c>
      <c r="BR82">
        <v>9</v>
      </c>
      <c r="BS82">
        <v>4579.1999999999989</v>
      </c>
      <c r="BT82">
        <v>9</v>
      </c>
      <c r="BU82">
        <v>4579.1999999999989</v>
      </c>
      <c r="BV82">
        <v>8</v>
      </c>
      <c r="BW82">
        <v>4070.3999999999992</v>
      </c>
      <c r="BX82">
        <v>8</v>
      </c>
      <c r="BY82">
        <v>4070.3999999999992</v>
      </c>
      <c r="BZ82">
        <v>9</v>
      </c>
      <c r="CA82">
        <v>4579.1999999999989</v>
      </c>
      <c r="CB82">
        <v>11</v>
      </c>
      <c r="CC82">
        <v>5596.7999999999993</v>
      </c>
      <c r="CD82">
        <v>10</v>
      </c>
      <c r="CE82">
        <v>5087.9999999999991</v>
      </c>
      <c r="CF82">
        <v>7</v>
      </c>
      <c r="CG82">
        <v>3561.5999999999995</v>
      </c>
      <c r="CH82">
        <v>7</v>
      </c>
      <c r="CI82">
        <v>3561.5999999999995</v>
      </c>
      <c r="CJ82">
        <v>9</v>
      </c>
      <c r="CK82">
        <v>4579.1999999999989</v>
      </c>
      <c r="CL82">
        <v>6</v>
      </c>
      <c r="CM82">
        <v>3052.7999999999993</v>
      </c>
      <c r="CN82">
        <v>5</v>
      </c>
      <c r="CO82">
        <v>2543.9999999999995</v>
      </c>
      <c r="CP82">
        <v>5</v>
      </c>
      <c r="CQ82">
        <v>2543.9999999999995</v>
      </c>
      <c r="CR82">
        <v>10</v>
      </c>
      <c r="CS82">
        <v>5087.9999999999991</v>
      </c>
      <c r="CT82">
        <v>7</v>
      </c>
      <c r="CU82">
        <v>3561.5999999999995</v>
      </c>
    </row>
    <row r="83" spans="2:99">
      <c r="C83" s="99" t="s">
        <v>249</v>
      </c>
      <c r="D83">
        <v>6</v>
      </c>
      <c r="E83">
        <v>5162.3999999999996</v>
      </c>
      <c r="F83">
        <v>8</v>
      </c>
      <c r="G83">
        <v>6883.2</v>
      </c>
      <c r="H83">
        <v>6</v>
      </c>
      <c r="I83">
        <v>5162.3999999999996</v>
      </c>
      <c r="J83">
        <v>8</v>
      </c>
      <c r="K83">
        <v>6883.2</v>
      </c>
      <c r="L83">
        <v>5</v>
      </c>
      <c r="M83">
        <v>4302</v>
      </c>
      <c r="N83">
        <v>10</v>
      </c>
      <c r="O83">
        <v>8604</v>
      </c>
      <c r="P83">
        <v>10</v>
      </c>
      <c r="Q83">
        <v>8604</v>
      </c>
      <c r="R83">
        <v>9</v>
      </c>
      <c r="S83">
        <v>7743.5999999999995</v>
      </c>
      <c r="T83">
        <v>6</v>
      </c>
      <c r="U83">
        <v>5162.3999999999996</v>
      </c>
      <c r="V83">
        <v>9</v>
      </c>
      <c r="W83">
        <v>7743.5999999999995</v>
      </c>
      <c r="X83">
        <v>7</v>
      </c>
      <c r="Y83">
        <v>6022.8</v>
      </c>
      <c r="Z83">
        <v>6</v>
      </c>
      <c r="AA83">
        <v>5162.3999999999996</v>
      </c>
      <c r="AB83">
        <v>6</v>
      </c>
      <c r="AC83">
        <v>5162.3999999999996</v>
      </c>
      <c r="AD83">
        <v>10</v>
      </c>
      <c r="AE83">
        <v>8604</v>
      </c>
      <c r="AF83">
        <v>7</v>
      </c>
      <c r="AG83">
        <v>6022.8</v>
      </c>
      <c r="AH83">
        <v>7</v>
      </c>
      <c r="AI83">
        <v>6022.8</v>
      </c>
      <c r="AJ83">
        <v>10</v>
      </c>
      <c r="AK83">
        <v>8604</v>
      </c>
      <c r="AL83">
        <v>7</v>
      </c>
      <c r="AM83">
        <v>6022.8</v>
      </c>
      <c r="AN83">
        <v>7</v>
      </c>
      <c r="AO83">
        <v>6022.8</v>
      </c>
      <c r="AP83">
        <v>9</v>
      </c>
      <c r="AQ83">
        <v>7743.5999999999995</v>
      </c>
      <c r="AR83">
        <v>7</v>
      </c>
      <c r="AS83">
        <v>6022.8</v>
      </c>
      <c r="AT83">
        <v>6</v>
      </c>
      <c r="AU83">
        <v>5162.3999999999996</v>
      </c>
      <c r="AV83">
        <v>10</v>
      </c>
      <c r="AW83">
        <v>8604</v>
      </c>
      <c r="AX83">
        <v>6</v>
      </c>
      <c r="AY83">
        <v>5162.3999999999996</v>
      </c>
      <c r="AZ83">
        <v>6</v>
      </c>
      <c r="BA83">
        <v>5162.3999999999996</v>
      </c>
      <c r="BB83">
        <v>7</v>
      </c>
      <c r="BC83">
        <v>6022.8</v>
      </c>
      <c r="BD83">
        <v>9</v>
      </c>
      <c r="BE83">
        <v>7743.5999999999995</v>
      </c>
      <c r="BF83">
        <v>9</v>
      </c>
      <c r="BG83">
        <v>7743.5999999999995</v>
      </c>
      <c r="BH83">
        <v>7</v>
      </c>
      <c r="BI83">
        <v>6022.8</v>
      </c>
      <c r="BJ83">
        <v>10</v>
      </c>
      <c r="BK83">
        <v>8604</v>
      </c>
      <c r="BL83">
        <v>7</v>
      </c>
      <c r="BM83">
        <v>6022.8</v>
      </c>
      <c r="BN83">
        <v>9</v>
      </c>
      <c r="BO83">
        <v>7743.5999999999995</v>
      </c>
      <c r="BP83">
        <v>9</v>
      </c>
      <c r="BQ83">
        <v>7743.5999999999995</v>
      </c>
      <c r="BR83">
        <v>11</v>
      </c>
      <c r="BS83">
        <v>9464.4</v>
      </c>
      <c r="BT83">
        <v>9</v>
      </c>
      <c r="BU83">
        <v>7743.5999999999995</v>
      </c>
      <c r="BV83">
        <v>7</v>
      </c>
      <c r="BW83">
        <v>6022.8</v>
      </c>
      <c r="BX83">
        <v>8</v>
      </c>
      <c r="BY83">
        <v>6883.2</v>
      </c>
      <c r="BZ83">
        <v>9</v>
      </c>
      <c r="CA83">
        <v>7743.5999999999995</v>
      </c>
      <c r="CB83">
        <v>9</v>
      </c>
      <c r="CC83">
        <v>7743.5999999999995</v>
      </c>
      <c r="CD83">
        <v>9</v>
      </c>
      <c r="CE83">
        <v>7743.5999999999995</v>
      </c>
      <c r="CF83">
        <v>7</v>
      </c>
      <c r="CG83">
        <v>6022.8</v>
      </c>
      <c r="CH83">
        <v>7</v>
      </c>
      <c r="CI83">
        <v>6022.8</v>
      </c>
      <c r="CJ83">
        <v>10</v>
      </c>
      <c r="CK83">
        <v>8604</v>
      </c>
      <c r="CL83">
        <v>6</v>
      </c>
      <c r="CM83">
        <v>5162.3999999999996</v>
      </c>
      <c r="CN83">
        <v>5</v>
      </c>
      <c r="CO83">
        <v>4302</v>
      </c>
      <c r="CP83">
        <v>6</v>
      </c>
      <c r="CQ83">
        <v>5162.3999999999996</v>
      </c>
      <c r="CR83">
        <v>11</v>
      </c>
      <c r="CS83">
        <v>9464.4</v>
      </c>
      <c r="CT83">
        <v>7</v>
      </c>
      <c r="CU83">
        <v>6022.8</v>
      </c>
    </row>
    <row r="84" spans="2:99">
      <c r="C84" s="99" t="s">
        <v>250</v>
      </c>
      <c r="D84">
        <v>6</v>
      </c>
      <c r="E84">
        <v>4687.2</v>
      </c>
      <c r="F84">
        <v>8</v>
      </c>
      <c r="G84">
        <v>6249.5999999999995</v>
      </c>
      <c r="H84">
        <v>6</v>
      </c>
      <c r="I84">
        <v>4687.2</v>
      </c>
      <c r="J84">
        <v>7</v>
      </c>
      <c r="K84">
        <v>5468.4</v>
      </c>
      <c r="L84">
        <v>5</v>
      </c>
      <c r="M84">
        <v>3905.9999999999995</v>
      </c>
      <c r="N84">
        <v>10</v>
      </c>
      <c r="O84">
        <v>7811.9999999999991</v>
      </c>
      <c r="P84">
        <v>9</v>
      </c>
      <c r="Q84">
        <v>7030.7999999999993</v>
      </c>
      <c r="R84">
        <v>10</v>
      </c>
      <c r="S84">
        <v>7811.9999999999991</v>
      </c>
      <c r="T84">
        <v>6</v>
      </c>
      <c r="U84">
        <v>4687.2</v>
      </c>
      <c r="V84">
        <v>8</v>
      </c>
      <c r="W84">
        <v>6249.5999999999995</v>
      </c>
      <c r="X84">
        <v>7</v>
      </c>
      <c r="Y84">
        <v>5468.4</v>
      </c>
      <c r="Z84">
        <v>7</v>
      </c>
      <c r="AA84">
        <v>5468.4</v>
      </c>
      <c r="AB84">
        <v>5</v>
      </c>
      <c r="AC84">
        <v>3905.9999999999995</v>
      </c>
      <c r="AD84">
        <v>10</v>
      </c>
      <c r="AE84">
        <v>7811.9999999999991</v>
      </c>
      <c r="AF84">
        <v>8</v>
      </c>
      <c r="AG84">
        <v>6249.5999999999995</v>
      </c>
      <c r="AH84">
        <v>7</v>
      </c>
      <c r="AI84">
        <v>5468.4</v>
      </c>
      <c r="AJ84">
        <v>9</v>
      </c>
      <c r="AK84">
        <v>7030.7999999999993</v>
      </c>
      <c r="AL84">
        <v>8</v>
      </c>
      <c r="AM84">
        <v>6249.5999999999995</v>
      </c>
      <c r="AN84">
        <v>7</v>
      </c>
      <c r="AO84">
        <v>5468.4</v>
      </c>
      <c r="AP84">
        <v>10</v>
      </c>
      <c r="AQ84">
        <v>7811.9999999999991</v>
      </c>
      <c r="AR84">
        <v>7</v>
      </c>
      <c r="AS84">
        <v>5468.4</v>
      </c>
      <c r="AT84">
        <v>6</v>
      </c>
      <c r="AU84">
        <v>4687.2</v>
      </c>
      <c r="AV84">
        <v>10</v>
      </c>
      <c r="AW84">
        <v>7811.9999999999991</v>
      </c>
      <c r="AX84">
        <v>6</v>
      </c>
      <c r="AY84">
        <v>4687.2</v>
      </c>
      <c r="AZ84">
        <v>5</v>
      </c>
      <c r="BA84">
        <v>3905.9999999999995</v>
      </c>
      <c r="BB84">
        <v>7</v>
      </c>
      <c r="BC84">
        <v>5468.4</v>
      </c>
      <c r="BD84">
        <v>8</v>
      </c>
      <c r="BE84">
        <v>6249.5999999999995</v>
      </c>
      <c r="BF84">
        <v>10</v>
      </c>
      <c r="BG84">
        <v>7811.9999999999991</v>
      </c>
      <c r="BH84">
        <v>7</v>
      </c>
      <c r="BI84">
        <v>5468.4</v>
      </c>
      <c r="BJ84">
        <v>9</v>
      </c>
      <c r="BK84">
        <v>7030.7999999999993</v>
      </c>
      <c r="BL84">
        <v>7</v>
      </c>
      <c r="BM84">
        <v>5468.4</v>
      </c>
      <c r="BN84">
        <v>9</v>
      </c>
      <c r="BO84">
        <v>7030.7999999999993</v>
      </c>
      <c r="BP84">
        <v>8</v>
      </c>
      <c r="BQ84">
        <v>6249.5999999999995</v>
      </c>
      <c r="BR84">
        <v>10</v>
      </c>
      <c r="BS84">
        <v>7811.9999999999991</v>
      </c>
      <c r="BT84">
        <v>9</v>
      </c>
      <c r="BU84">
        <v>7030.7999999999993</v>
      </c>
      <c r="BV84">
        <v>6</v>
      </c>
      <c r="BW84">
        <v>4687.2</v>
      </c>
      <c r="BX84">
        <v>8</v>
      </c>
      <c r="BY84">
        <v>6249.5999999999995</v>
      </c>
      <c r="BZ84">
        <v>8</v>
      </c>
      <c r="CA84">
        <v>6249.5999999999995</v>
      </c>
      <c r="CB84">
        <v>11</v>
      </c>
      <c r="CC84">
        <v>8593.1999999999989</v>
      </c>
      <c r="CD84">
        <v>10</v>
      </c>
      <c r="CE84">
        <v>7811.9999999999991</v>
      </c>
      <c r="CF84">
        <v>8</v>
      </c>
      <c r="CG84">
        <v>6249.5999999999995</v>
      </c>
      <c r="CH84">
        <v>7</v>
      </c>
      <c r="CI84">
        <v>5468.4</v>
      </c>
      <c r="CJ84">
        <v>10</v>
      </c>
      <c r="CK84">
        <v>7811.9999999999991</v>
      </c>
      <c r="CL84">
        <v>6</v>
      </c>
      <c r="CM84">
        <v>4687.2</v>
      </c>
      <c r="CN84">
        <v>5</v>
      </c>
      <c r="CO84">
        <v>3905.9999999999995</v>
      </c>
      <c r="CP84">
        <v>5</v>
      </c>
      <c r="CQ84">
        <v>3905.9999999999995</v>
      </c>
      <c r="CR84">
        <v>10</v>
      </c>
      <c r="CS84">
        <v>7811.9999999999991</v>
      </c>
      <c r="CT84">
        <v>7</v>
      </c>
      <c r="CU84">
        <v>5468.4</v>
      </c>
    </row>
    <row r="85" spans="2:99">
      <c r="C85" s="99" t="s">
        <v>251</v>
      </c>
      <c r="D85">
        <v>6</v>
      </c>
      <c r="E85">
        <v>900</v>
      </c>
      <c r="F85">
        <v>8</v>
      </c>
      <c r="G85">
        <v>1200</v>
      </c>
      <c r="H85">
        <v>7</v>
      </c>
      <c r="I85">
        <v>1050</v>
      </c>
      <c r="J85">
        <v>9</v>
      </c>
      <c r="K85">
        <v>1350</v>
      </c>
      <c r="L85">
        <v>5</v>
      </c>
      <c r="M85">
        <v>750</v>
      </c>
      <c r="N85">
        <v>10</v>
      </c>
      <c r="O85">
        <v>1500</v>
      </c>
      <c r="P85">
        <v>11</v>
      </c>
      <c r="Q85">
        <v>1650</v>
      </c>
      <c r="R85">
        <v>11</v>
      </c>
      <c r="S85">
        <v>1650</v>
      </c>
      <c r="T85">
        <v>6</v>
      </c>
      <c r="U85">
        <v>900</v>
      </c>
      <c r="V85">
        <v>9</v>
      </c>
      <c r="W85">
        <v>1350</v>
      </c>
      <c r="X85">
        <v>6</v>
      </c>
      <c r="Y85">
        <v>900</v>
      </c>
      <c r="Z85">
        <v>7</v>
      </c>
      <c r="AA85">
        <v>1050</v>
      </c>
      <c r="AB85">
        <v>6</v>
      </c>
      <c r="AC85">
        <v>900</v>
      </c>
      <c r="AD85">
        <v>10</v>
      </c>
      <c r="AE85">
        <v>1500</v>
      </c>
      <c r="AF85">
        <v>8</v>
      </c>
      <c r="AG85">
        <v>1200</v>
      </c>
      <c r="AH85">
        <v>8</v>
      </c>
      <c r="AI85">
        <v>1200</v>
      </c>
      <c r="AJ85">
        <v>10</v>
      </c>
      <c r="AK85">
        <v>1500</v>
      </c>
      <c r="AL85">
        <v>8</v>
      </c>
      <c r="AM85">
        <v>1200</v>
      </c>
      <c r="AN85">
        <v>7</v>
      </c>
      <c r="AO85">
        <v>1050</v>
      </c>
      <c r="AP85">
        <v>9</v>
      </c>
      <c r="AQ85">
        <v>1350</v>
      </c>
      <c r="AR85">
        <v>7</v>
      </c>
      <c r="AS85">
        <v>1050</v>
      </c>
      <c r="AT85">
        <v>7</v>
      </c>
      <c r="AU85">
        <v>1050</v>
      </c>
      <c r="AV85">
        <v>10</v>
      </c>
      <c r="AW85">
        <v>1500</v>
      </c>
      <c r="AX85">
        <v>7</v>
      </c>
      <c r="AY85">
        <v>1050</v>
      </c>
      <c r="AZ85">
        <v>5</v>
      </c>
      <c r="BA85">
        <v>750</v>
      </c>
      <c r="BB85">
        <v>7</v>
      </c>
      <c r="BC85">
        <v>1050</v>
      </c>
      <c r="BD85">
        <v>9</v>
      </c>
      <c r="BE85">
        <v>1350</v>
      </c>
      <c r="BF85">
        <v>10</v>
      </c>
      <c r="BG85">
        <v>1500</v>
      </c>
      <c r="BH85">
        <v>7</v>
      </c>
      <c r="BI85">
        <v>1050</v>
      </c>
      <c r="BJ85">
        <v>9</v>
      </c>
      <c r="BK85">
        <v>1350</v>
      </c>
      <c r="BL85">
        <v>7</v>
      </c>
      <c r="BM85">
        <v>1050</v>
      </c>
      <c r="BN85">
        <v>9</v>
      </c>
      <c r="BO85">
        <v>1350</v>
      </c>
      <c r="BP85">
        <v>9</v>
      </c>
      <c r="BQ85">
        <v>1350</v>
      </c>
      <c r="BR85">
        <v>11</v>
      </c>
      <c r="BS85">
        <v>1650</v>
      </c>
      <c r="BT85">
        <v>9</v>
      </c>
      <c r="BU85">
        <v>1350</v>
      </c>
      <c r="BV85">
        <v>7</v>
      </c>
      <c r="BW85">
        <v>1050</v>
      </c>
      <c r="BX85">
        <v>9</v>
      </c>
      <c r="BY85">
        <v>1350</v>
      </c>
      <c r="BZ85">
        <v>8</v>
      </c>
      <c r="CA85">
        <v>1200</v>
      </c>
      <c r="CB85">
        <v>11</v>
      </c>
      <c r="CC85">
        <v>1650</v>
      </c>
      <c r="CD85">
        <v>11</v>
      </c>
      <c r="CE85">
        <v>1650</v>
      </c>
      <c r="CF85">
        <v>7</v>
      </c>
      <c r="CG85">
        <v>1050</v>
      </c>
      <c r="CH85">
        <v>8</v>
      </c>
      <c r="CI85">
        <v>1200</v>
      </c>
      <c r="CJ85">
        <v>10</v>
      </c>
      <c r="CK85">
        <v>1500</v>
      </c>
      <c r="CL85">
        <v>5</v>
      </c>
      <c r="CM85">
        <v>750</v>
      </c>
      <c r="CN85">
        <v>6</v>
      </c>
      <c r="CO85">
        <v>900</v>
      </c>
      <c r="CP85">
        <v>5</v>
      </c>
      <c r="CQ85">
        <v>750</v>
      </c>
      <c r="CR85">
        <v>11</v>
      </c>
      <c r="CS85">
        <v>1650</v>
      </c>
      <c r="CT85">
        <v>8</v>
      </c>
      <c r="CU85">
        <v>1200</v>
      </c>
    </row>
    <row r="86" spans="2:99">
      <c r="C86" s="99" t="s">
        <v>252</v>
      </c>
      <c r="D86">
        <v>6</v>
      </c>
      <c r="E86">
        <v>3240</v>
      </c>
      <c r="F86">
        <v>9</v>
      </c>
      <c r="G86">
        <v>4860</v>
      </c>
      <c r="H86">
        <v>6</v>
      </c>
      <c r="I86">
        <v>3240</v>
      </c>
      <c r="J86">
        <v>8</v>
      </c>
      <c r="K86">
        <v>4320</v>
      </c>
      <c r="L86">
        <v>5</v>
      </c>
      <c r="M86">
        <v>2700</v>
      </c>
      <c r="N86">
        <v>10</v>
      </c>
      <c r="O86">
        <v>5400</v>
      </c>
      <c r="P86">
        <v>10</v>
      </c>
      <c r="Q86">
        <v>5400</v>
      </c>
      <c r="R86">
        <v>9</v>
      </c>
      <c r="S86">
        <v>4860</v>
      </c>
      <c r="T86">
        <v>7</v>
      </c>
      <c r="U86">
        <v>3780</v>
      </c>
      <c r="V86">
        <v>9</v>
      </c>
      <c r="W86">
        <v>4860</v>
      </c>
      <c r="X86">
        <v>7</v>
      </c>
      <c r="Y86">
        <v>3780</v>
      </c>
      <c r="Z86">
        <v>7</v>
      </c>
      <c r="AA86">
        <v>3780</v>
      </c>
      <c r="AB86">
        <v>5</v>
      </c>
      <c r="AC86">
        <v>2700</v>
      </c>
      <c r="AD86">
        <v>9</v>
      </c>
      <c r="AE86">
        <v>4860</v>
      </c>
      <c r="AF86">
        <v>8</v>
      </c>
      <c r="AG86">
        <v>4320</v>
      </c>
      <c r="AH86">
        <v>8</v>
      </c>
      <c r="AI86">
        <v>4320</v>
      </c>
      <c r="AJ86">
        <v>10</v>
      </c>
      <c r="AK86">
        <v>5400</v>
      </c>
      <c r="AL86">
        <v>7</v>
      </c>
      <c r="AM86">
        <v>3780</v>
      </c>
      <c r="AN86">
        <v>6</v>
      </c>
      <c r="AO86">
        <v>3240</v>
      </c>
      <c r="AP86">
        <v>8</v>
      </c>
      <c r="AQ86">
        <v>4320</v>
      </c>
      <c r="AR86">
        <v>6</v>
      </c>
      <c r="AS86">
        <v>3240</v>
      </c>
      <c r="AT86">
        <v>6</v>
      </c>
      <c r="AU86">
        <v>3240</v>
      </c>
      <c r="AV86">
        <v>9</v>
      </c>
      <c r="AW86">
        <v>4860</v>
      </c>
      <c r="AX86">
        <v>6</v>
      </c>
      <c r="AY86">
        <v>3240</v>
      </c>
      <c r="AZ86">
        <v>6</v>
      </c>
      <c r="BA86">
        <v>3240</v>
      </c>
      <c r="BB86">
        <v>7</v>
      </c>
      <c r="BC86">
        <v>3780</v>
      </c>
      <c r="BD86">
        <v>9</v>
      </c>
      <c r="BE86">
        <v>4860</v>
      </c>
      <c r="BF86">
        <v>9</v>
      </c>
      <c r="BG86">
        <v>4860</v>
      </c>
      <c r="BH86">
        <v>8</v>
      </c>
      <c r="BI86">
        <v>4320</v>
      </c>
      <c r="BJ86">
        <v>9</v>
      </c>
      <c r="BK86">
        <v>4860</v>
      </c>
      <c r="BL86">
        <v>6</v>
      </c>
      <c r="BM86">
        <v>3240</v>
      </c>
      <c r="BN86">
        <v>8</v>
      </c>
      <c r="BO86">
        <v>4320</v>
      </c>
      <c r="BP86">
        <v>8</v>
      </c>
      <c r="BQ86">
        <v>4320</v>
      </c>
      <c r="BR86">
        <v>9</v>
      </c>
      <c r="BS86">
        <v>4860</v>
      </c>
      <c r="BT86">
        <v>10</v>
      </c>
      <c r="BU86">
        <v>5400</v>
      </c>
      <c r="BV86">
        <v>7</v>
      </c>
      <c r="BW86">
        <v>3780</v>
      </c>
      <c r="BX86">
        <v>8</v>
      </c>
      <c r="BY86">
        <v>4320</v>
      </c>
      <c r="BZ86">
        <v>8</v>
      </c>
      <c r="CA86">
        <v>4320</v>
      </c>
      <c r="CB86">
        <v>10</v>
      </c>
      <c r="CC86">
        <v>5400</v>
      </c>
      <c r="CD86">
        <v>9</v>
      </c>
      <c r="CE86">
        <v>4860</v>
      </c>
      <c r="CF86">
        <v>8</v>
      </c>
      <c r="CG86">
        <v>4320</v>
      </c>
      <c r="CH86">
        <v>8</v>
      </c>
      <c r="CI86">
        <v>4320</v>
      </c>
      <c r="CJ86">
        <v>9</v>
      </c>
      <c r="CK86">
        <v>4860</v>
      </c>
      <c r="CL86">
        <v>5</v>
      </c>
      <c r="CM86">
        <v>2700</v>
      </c>
      <c r="CN86">
        <v>5</v>
      </c>
      <c r="CO86">
        <v>2700</v>
      </c>
      <c r="CP86">
        <v>6</v>
      </c>
      <c r="CQ86">
        <v>3240</v>
      </c>
      <c r="CR86">
        <v>11</v>
      </c>
      <c r="CS86">
        <v>5940</v>
      </c>
      <c r="CT86">
        <v>8</v>
      </c>
      <c r="CU86">
        <v>4320</v>
      </c>
    </row>
    <row r="87" spans="2:99">
      <c r="B87" s="99" t="s">
        <v>131</v>
      </c>
      <c r="C87" s="99" t="s">
        <v>253</v>
      </c>
      <c r="D87">
        <v>11</v>
      </c>
      <c r="E87">
        <v>11814</v>
      </c>
      <c r="F87">
        <v>7</v>
      </c>
      <c r="G87">
        <v>7518</v>
      </c>
      <c r="H87">
        <v>6</v>
      </c>
      <c r="I87">
        <v>6444</v>
      </c>
      <c r="J87">
        <v>11</v>
      </c>
      <c r="K87">
        <v>11814</v>
      </c>
      <c r="L87">
        <v>9</v>
      </c>
      <c r="M87">
        <v>9666</v>
      </c>
      <c r="N87">
        <v>12</v>
      </c>
      <c r="O87">
        <v>12888</v>
      </c>
      <c r="P87">
        <v>7</v>
      </c>
      <c r="Q87">
        <v>7518</v>
      </c>
      <c r="R87">
        <v>9</v>
      </c>
      <c r="S87">
        <v>9666</v>
      </c>
      <c r="T87">
        <v>8</v>
      </c>
      <c r="U87">
        <v>8592</v>
      </c>
      <c r="V87">
        <v>12</v>
      </c>
      <c r="W87">
        <v>12888</v>
      </c>
      <c r="X87">
        <v>10</v>
      </c>
      <c r="Y87">
        <v>10740</v>
      </c>
      <c r="Z87">
        <v>10</v>
      </c>
      <c r="AA87">
        <v>10740</v>
      </c>
      <c r="AB87">
        <v>6</v>
      </c>
      <c r="AC87">
        <v>6444</v>
      </c>
      <c r="AD87">
        <v>12</v>
      </c>
      <c r="AE87">
        <v>12888</v>
      </c>
      <c r="AF87">
        <v>7</v>
      </c>
      <c r="AG87">
        <v>7518</v>
      </c>
      <c r="AH87">
        <v>7</v>
      </c>
      <c r="AI87">
        <v>7518</v>
      </c>
      <c r="AJ87">
        <v>7</v>
      </c>
      <c r="AK87">
        <v>7518</v>
      </c>
      <c r="AL87">
        <v>9</v>
      </c>
      <c r="AM87">
        <v>9666</v>
      </c>
      <c r="AN87">
        <v>8</v>
      </c>
      <c r="AO87">
        <v>8592</v>
      </c>
      <c r="AP87">
        <v>8</v>
      </c>
      <c r="AQ87">
        <v>8592</v>
      </c>
      <c r="AR87">
        <v>7</v>
      </c>
      <c r="AS87">
        <v>7518</v>
      </c>
      <c r="AT87">
        <v>7</v>
      </c>
      <c r="AU87">
        <v>7518</v>
      </c>
      <c r="AV87">
        <v>11</v>
      </c>
      <c r="AW87">
        <v>11814</v>
      </c>
      <c r="AX87">
        <v>7</v>
      </c>
      <c r="AY87">
        <v>7518</v>
      </c>
      <c r="AZ87">
        <v>7</v>
      </c>
      <c r="BA87">
        <v>7518</v>
      </c>
      <c r="BB87">
        <v>9</v>
      </c>
      <c r="BC87">
        <v>9666</v>
      </c>
      <c r="BD87">
        <v>11</v>
      </c>
      <c r="BE87">
        <v>11814</v>
      </c>
      <c r="BF87">
        <v>11</v>
      </c>
      <c r="BG87">
        <v>11814</v>
      </c>
      <c r="BH87">
        <v>11</v>
      </c>
      <c r="BI87">
        <v>11814</v>
      </c>
      <c r="BJ87">
        <v>13</v>
      </c>
      <c r="BK87">
        <v>13962</v>
      </c>
      <c r="BL87">
        <v>6</v>
      </c>
      <c r="BM87">
        <v>6444</v>
      </c>
      <c r="BN87">
        <v>11</v>
      </c>
      <c r="BO87">
        <v>11814</v>
      </c>
      <c r="BP87">
        <v>11</v>
      </c>
      <c r="BQ87">
        <v>11814</v>
      </c>
      <c r="BR87">
        <v>13</v>
      </c>
      <c r="BS87">
        <v>13962</v>
      </c>
      <c r="BT87">
        <v>8</v>
      </c>
      <c r="BU87">
        <v>8592</v>
      </c>
      <c r="BV87">
        <v>7</v>
      </c>
      <c r="BW87">
        <v>7518</v>
      </c>
      <c r="BX87">
        <v>7</v>
      </c>
      <c r="BY87">
        <v>7518</v>
      </c>
      <c r="BZ87">
        <v>11</v>
      </c>
      <c r="CA87">
        <v>11814</v>
      </c>
      <c r="CB87">
        <v>11</v>
      </c>
      <c r="CC87">
        <v>11814</v>
      </c>
      <c r="CD87">
        <v>10</v>
      </c>
      <c r="CE87">
        <v>10740</v>
      </c>
      <c r="CF87">
        <v>10</v>
      </c>
      <c r="CG87">
        <v>10740</v>
      </c>
      <c r="CH87">
        <v>11</v>
      </c>
      <c r="CI87">
        <v>11814</v>
      </c>
      <c r="CJ87">
        <v>9</v>
      </c>
      <c r="CK87">
        <v>9666</v>
      </c>
      <c r="CL87">
        <v>8</v>
      </c>
      <c r="CM87">
        <v>8592</v>
      </c>
      <c r="CN87">
        <v>13</v>
      </c>
      <c r="CO87">
        <v>13962</v>
      </c>
      <c r="CP87">
        <v>9</v>
      </c>
      <c r="CQ87">
        <v>9666</v>
      </c>
      <c r="CR87">
        <v>8</v>
      </c>
      <c r="CS87">
        <v>8592</v>
      </c>
      <c r="CT87">
        <v>9</v>
      </c>
      <c r="CU87">
        <v>9666</v>
      </c>
    </row>
    <row r="88" spans="2:99">
      <c r="C88" s="99" t="s">
        <v>254</v>
      </c>
      <c r="D88">
        <v>10</v>
      </c>
      <c r="E88">
        <v>9924</v>
      </c>
      <c r="F88">
        <v>6</v>
      </c>
      <c r="G88">
        <v>5954.4</v>
      </c>
      <c r="H88">
        <v>6</v>
      </c>
      <c r="I88">
        <v>5954.4</v>
      </c>
      <c r="J88">
        <v>12</v>
      </c>
      <c r="K88">
        <v>11908.8</v>
      </c>
      <c r="L88">
        <v>10</v>
      </c>
      <c r="M88">
        <v>9924</v>
      </c>
      <c r="N88">
        <v>10</v>
      </c>
      <c r="O88">
        <v>9924</v>
      </c>
      <c r="P88">
        <v>7</v>
      </c>
      <c r="Q88">
        <v>6946.8</v>
      </c>
      <c r="R88">
        <v>10</v>
      </c>
      <c r="S88">
        <v>9924</v>
      </c>
      <c r="T88">
        <v>8</v>
      </c>
      <c r="U88">
        <v>7939.2</v>
      </c>
      <c r="V88">
        <v>13</v>
      </c>
      <c r="W88">
        <v>12901.199999999999</v>
      </c>
      <c r="X88">
        <v>10</v>
      </c>
      <c r="Y88">
        <v>9924</v>
      </c>
      <c r="Z88">
        <v>11</v>
      </c>
      <c r="AA88">
        <v>10916.4</v>
      </c>
      <c r="AB88">
        <v>7</v>
      </c>
      <c r="AC88">
        <v>6946.8</v>
      </c>
      <c r="AD88">
        <v>11</v>
      </c>
      <c r="AE88">
        <v>10916.4</v>
      </c>
      <c r="AF88">
        <v>7</v>
      </c>
      <c r="AG88">
        <v>6946.8</v>
      </c>
      <c r="AH88">
        <v>7</v>
      </c>
      <c r="AI88">
        <v>6946.8</v>
      </c>
      <c r="AJ88">
        <v>7</v>
      </c>
      <c r="AK88">
        <v>6946.8</v>
      </c>
      <c r="AL88">
        <v>9</v>
      </c>
      <c r="AM88">
        <v>8931.6</v>
      </c>
      <c r="AN88">
        <v>9</v>
      </c>
      <c r="AO88">
        <v>8931.6</v>
      </c>
      <c r="AP88">
        <v>8</v>
      </c>
      <c r="AQ88">
        <v>7939.2</v>
      </c>
      <c r="AR88">
        <v>7</v>
      </c>
      <c r="AS88">
        <v>6946.8</v>
      </c>
      <c r="AT88">
        <v>7</v>
      </c>
      <c r="AU88">
        <v>6946.8</v>
      </c>
      <c r="AV88">
        <v>10</v>
      </c>
      <c r="AW88">
        <v>9924</v>
      </c>
      <c r="AX88">
        <v>7</v>
      </c>
      <c r="AY88">
        <v>6946.8</v>
      </c>
      <c r="AZ88">
        <v>7</v>
      </c>
      <c r="BA88">
        <v>6946.8</v>
      </c>
      <c r="BB88">
        <v>8</v>
      </c>
      <c r="BC88">
        <v>7939.2</v>
      </c>
      <c r="BD88">
        <v>10</v>
      </c>
      <c r="BE88">
        <v>9924</v>
      </c>
      <c r="BF88">
        <v>11</v>
      </c>
      <c r="BG88">
        <v>10916.4</v>
      </c>
      <c r="BH88">
        <v>12</v>
      </c>
      <c r="BI88">
        <v>11908.8</v>
      </c>
      <c r="BJ88">
        <v>12</v>
      </c>
      <c r="BK88">
        <v>11908.8</v>
      </c>
      <c r="BL88">
        <v>7</v>
      </c>
      <c r="BM88">
        <v>6946.8</v>
      </c>
      <c r="BN88">
        <v>12</v>
      </c>
      <c r="BO88">
        <v>11908.8</v>
      </c>
      <c r="BP88">
        <v>11</v>
      </c>
      <c r="BQ88">
        <v>10916.4</v>
      </c>
      <c r="BR88">
        <v>13</v>
      </c>
      <c r="BS88">
        <v>12901.199999999999</v>
      </c>
      <c r="BT88">
        <v>7</v>
      </c>
      <c r="BU88">
        <v>6946.8</v>
      </c>
      <c r="BV88">
        <v>8</v>
      </c>
      <c r="BW88">
        <v>7939.2</v>
      </c>
      <c r="BX88">
        <v>7</v>
      </c>
      <c r="BY88">
        <v>6946.8</v>
      </c>
      <c r="BZ88">
        <v>11</v>
      </c>
      <c r="CA88">
        <v>10916.4</v>
      </c>
      <c r="CB88">
        <v>9</v>
      </c>
      <c r="CC88">
        <v>8931.6</v>
      </c>
      <c r="CD88">
        <v>10</v>
      </c>
      <c r="CE88">
        <v>9924</v>
      </c>
      <c r="CF88">
        <v>12</v>
      </c>
      <c r="CG88">
        <v>11908.8</v>
      </c>
      <c r="CH88">
        <v>12</v>
      </c>
      <c r="CI88">
        <v>11908.8</v>
      </c>
      <c r="CJ88">
        <v>8</v>
      </c>
      <c r="CK88">
        <v>7939.2</v>
      </c>
      <c r="CL88">
        <v>8</v>
      </c>
      <c r="CM88">
        <v>7939.2</v>
      </c>
      <c r="CN88">
        <v>13</v>
      </c>
      <c r="CO88">
        <v>12901.199999999999</v>
      </c>
      <c r="CP88">
        <v>8</v>
      </c>
      <c r="CQ88">
        <v>7939.2</v>
      </c>
      <c r="CR88">
        <v>7</v>
      </c>
      <c r="CS88">
        <v>6946.8</v>
      </c>
      <c r="CT88">
        <v>9</v>
      </c>
      <c r="CU88">
        <v>8931.6</v>
      </c>
    </row>
    <row r="89" spans="2:99">
      <c r="C89" s="99" t="s">
        <v>255</v>
      </c>
      <c r="D89">
        <v>10</v>
      </c>
      <c r="E89">
        <v>10620</v>
      </c>
      <c r="F89">
        <v>6</v>
      </c>
      <c r="G89">
        <v>6372</v>
      </c>
      <c r="H89">
        <v>6</v>
      </c>
      <c r="I89">
        <v>6372</v>
      </c>
      <c r="J89">
        <v>11</v>
      </c>
      <c r="K89">
        <v>11682</v>
      </c>
      <c r="L89">
        <v>9</v>
      </c>
      <c r="M89">
        <v>9558</v>
      </c>
      <c r="N89">
        <v>10</v>
      </c>
      <c r="O89">
        <v>10620</v>
      </c>
      <c r="P89">
        <v>7</v>
      </c>
      <c r="Q89">
        <v>7434</v>
      </c>
      <c r="R89">
        <v>9</v>
      </c>
      <c r="S89">
        <v>9558</v>
      </c>
      <c r="T89">
        <v>8</v>
      </c>
      <c r="U89">
        <v>8496</v>
      </c>
      <c r="V89">
        <v>11</v>
      </c>
      <c r="W89">
        <v>11682</v>
      </c>
      <c r="X89">
        <v>9</v>
      </c>
      <c r="Y89">
        <v>9558</v>
      </c>
      <c r="Z89">
        <v>11</v>
      </c>
      <c r="AA89">
        <v>11682</v>
      </c>
      <c r="AB89">
        <v>6</v>
      </c>
      <c r="AC89">
        <v>6372</v>
      </c>
      <c r="AD89">
        <v>10</v>
      </c>
      <c r="AE89">
        <v>10620</v>
      </c>
      <c r="AF89">
        <v>7</v>
      </c>
      <c r="AG89">
        <v>7434</v>
      </c>
      <c r="AH89">
        <v>7</v>
      </c>
      <c r="AI89">
        <v>7434</v>
      </c>
      <c r="AJ89">
        <v>7</v>
      </c>
      <c r="AK89">
        <v>7434</v>
      </c>
      <c r="AL89">
        <v>8</v>
      </c>
      <c r="AM89">
        <v>8496</v>
      </c>
      <c r="AN89">
        <v>8</v>
      </c>
      <c r="AO89">
        <v>8496</v>
      </c>
      <c r="AP89">
        <v>9</v>
      </c>
      <c r="AQ89">
        <v>9558</v>
      </c>
      <c r="AR89">
        <v>7</v>
      </c>
      <c r="AS89">
        <v>7434</v>
      </c>
      <c r="AT89">
        <v>7</v>
      </c>
      <c r="AU89">
        <v>7434</v>
      </c>
      <c r="AV89">
        <v>10</v>
      </c>
      <c r="AW89">
        <v>10620</v>
      </c>
      <c r="AX89">
        <v>7</v>
      </c>
      <c r="AY89">
        <v>7434</v>
      </c>
      <c r="AZ89">
        <v>7</v>
      </c>
      <c r="BA89">
        <v>7434</v>
      </c>
      <c r="BB89">
        <v>10</v>
      </c>
      <c r="BC89">
        <v>10620</v>
      </c>
      <c r="BD89">
        <v>10</v>
      </c>
      <c r="BE89">
        <v>10620</v>
      </c>
      <c r="BF89">
        <v>12</v>
      </c>
      <c r="BG89">
        <v>12744</v>
      </c>
      <c r="BH89">
        <v>12</v>
      </c>
      <c r="BI89">
        <v>12744</v>
      </c>
      <c r="BJ89">
        <v>12</v>
      </c>
      <c r="BK89">
        <v>12744</v>
      </c>
      <c r="BL89">
        <v>7</v>
      </c>
      <c r="BM89">
        <v>7434</v>
      </c>
      <c r="BN89">
        <v>12</v>
      </c>
      <c r="BO89">
        <v>12744</v>
      </c>
      <c r="BP89">
        <v>11</v>
      </c>
      <c r="BQ89">
        <v>11682</v>
      </c>
      <c r="BR89">
        <v>12</v>
      </c>
      <c r="BS89">
        <v>12744</v>
      </c>
      <c r="BT89">
        <v>7</v>
      </c>
      <c r="BU89">
        <v>7434</v>
      </c>
      <c r="BV89">
        <v>8</v>
      </c>
      <c r="BW89">
        <v>8496</v>
      </c>
      <c r="BX89">
        <v>8</v>
      </c>
      <c r="BY89">
        <v>8496</v>
      </c>
      <c r="BZ89">
        <v>12</v>
      </c>
      <c r="CA89">
        <v>12744</v>
      </c>
      <c r="CB89">
        <v>10</v>
      </c>
      <c r="CC89">
        <v>10620</v>
      </c>
      <c r="CD89">
        <v>10</v>
      </c>
      <c r="CE89">
        <v>10620</v>
      </c>
      <c r="CF89">
        <v>12</v>
      </c>
      <c r="CG89">
        <v>12744</v>
      </c>
      <c r="CH89">
        <v>13</v>
      </c>
      <c r="CI89">
        <v>13806</v>
      </c>
      <c r="CJ89">
        <v>9</v>
      </c>
      <c r="CK89">
        <v>9558</v>
      </c>
      <c r="CL89">
        <v>7</v>
      </c>
      <c r="CM89">
        <v>7434</v>
      </c>
      <c r="CN89">
        <v>13</v>
      </c>
      <c r="CO89">
        <v>13806</v>
      </c>
      <c r="CP89">
        <v>8</v>
      </c>
      <c r="CQ89">
        <v>8496</v>
      </c>
      <c r="CR89">
        <v>8</v>
      </c>
      <c r="CS89">
        <v>8496</v>
      </c>
      <c r="CT89">
        <v>8</v>
      </c>
      <c r="CU89">
        <v>8496</v>
      </c>
    </row>
    <row r="90" spans="2:99">
      <c r="C90" s="99" t="s">
        <v>256</v>
      </c>
      <c r="D90">
        <v>11</v>
      </c>
      <c r="E90">
        <v>12196.8</v>
      </c>
      <c r="F90">
        <v>6</v>
      </c>
      <c r="G90">
        <v>6652.7999999999993</v>
      </c>
      <c r="H90">
        <v>6</v>
      </c>
      <c r="I90">
        <v>6652.7999999999993</v>
      </c>
      <c r="J90">
        <v>12</v>
      </c>
      <c r="K90">
        <v>13305.599999999999</v>
      </c>
      <c r="L90">
        <v>9</v>
      </c>
      <c r="M90">
        <v>9979.1999999999989</v>
      </c>
      <c r="N90">
        <v>12</v>
      </c>
      <c r="O90">
        <v>13305.599999999999</v>
      </c>
      <c r="P90">
        <v>7</v>
      </c>
      <c r="Q90">
        <v>7761.5999999999995</v>
      </c>
      <c r="R90">
        <v>10</v>
      </c>
      <c r="S90">
        <v>11088</v>
      </c>
      <c r="T90">
        <v>8</v>
      </c>
      <c r="U90">
        <v>8870.4</v>
      </c>
      <c r="V90">
        <v>11</v>
      </c>
      <c r="W90">
        <v>12196.8</v>
      </c>
      <c r="X90">
        <v>8</v>
      </c>
      <c r="Y90">
        <v>8870.4</v>
      </c>
      <c r="Z90">
        <v>11</v>
      </c>
      <c r="AA90">
        <v>12196.8</v>
      </c>
      <c r="AB90">
        <v>6</v>
      </c>
      <c r="AC90">
        <v>6652.7999999999993</v>
      </c>
      <c r="AD90">
        <v>11</v>
      </c>
      <c r="AE90">
        <v>12196.8</v>
      </c>
      <c r="AF90">
        <v>7</v>
      </c>
      <c r="AG90">
        <v>7761.5999999999995</v>
      </c>
      <c r="AH90">
        <v>8</v>
      </c>
      <c r="AI90">
        <v>8870.4</v>
      </c>
      <c r="AJ90">
        <v>7</v>
      </c>
      <c r="AK90">
        <v>7761.5999999999995</v>
      </c>
      <c r="AL90">
        <v>8</v>
      </c>
      <c r="AM90">
        <v>8870.4</v>
      </c>
      <c r="AN90">
        <v>9</v>
      </c>
      <c r="AO90">
        <v>9979.1999999999989</v>
      </c>
      <c r="AP90">
        <v>9</v>
      </c>
      <c r="AQ90">
        <v>9979.1999999999989</v>
      </c>
      <c r="AR90">
        <v>7</v>
      </c>
      <c r="AS90">
        <v>7761.5999999999995</v>
      </c>
      <c r="AT90">
        <v>7</v>
      </c>
      <c r="AU90">
        <v>7761.5999999999995</v>
      </c>
      <c r="AV90">
        <v>10</v>
      </c>
      <c r="AW90">
        <v>11088</v>
      </c>
      <c r="AX90">
        <v>8</v>
      </c>
      <c r="AY90">
        <v>8870.4</v>
      </c>
      <c r="AZ90">
        <v>7</v>
      </c>
      <c r="BA90">
        <v>7761.5999999999995</v>
      </c>
      <c r="BB90">
        <v>9</v>
      </c>
      <c r="BC90">
        <v>9979.1999999999989</v>
      </c>
      <c r="BD90">
        <v>11</v>
      </c>
      <c r="BE90">
        <v>12196.8</v>
      </c>
      <c r="BF90">
        <v>12</v>
      </c>
      <c r="BG90">
        <v>13305.599999999999</v>
      </c>
      <c r="BH90">
        <v>12</v>
      </c>
      <c r="BI90">
        <v>13305.599999999999</v>
      </c>
      <c r="BJ90">
        <v>11</v>
      </c>
      <c r="BK90">
        <v>12196.8</v>
      </c>
      <c r="BL90">
        <v>7</v>
      </c>
      <c r="BM90">
        <v>7761.5999999999995</v>
      </c>
      <c r="BN90">
        <v>10</v>
      </c>
      <c r="BO90">
        <v>11088</v>
      </c>
      <c r="BP90">
        <v>12</v>
      </c>
      <c r="BQ90">
        <v>13305.599999999999</v>
      </c>
      <c r="BR90">
        <v>13</v>
      </c>
      <c r="BS90">
        <v>14414.4</v>
      </c>
      <c r="BT90">
        <v>7</v>
      </c>
      <c r="BU90">
        <v>7761.5999999999995</v>
      </c>
      <c r="BV90">
        <v>8</v>
      </c>
      <c r="BW90">
        <v>8870.4</v>
      </c>
      <c r="BX90">
        <v>7</v>
      </c>
      <c r="BY90">
        <v>7761.5999999999995</v>
      </c>
      <c r="BZ90">
        <v>13</v>
      </c>
      <c r="CA90">
        <v>14414.4</v>
      </c>
      <c r="CB90">
        <v>10</v>
      </c>
      <c r="CC90">
        <v>11088</v>
      </c>
      <c r="CD90">
        <v>10</v>
      </c>
      <c r="CE90">
        <v>11088</v>
      </c>
      <c r="CF90">
        <v>12</v>
      </c>
      <c r="CG90">
        <v>13305.599999999999</v>
      </c>
      <c r="CH90">
        <v>13</v>
      </c>
      <c r="CI90">
        <v>14414.4</v>
      </c>
      <c r="CJ90">
        <v>9</v>
      </c>
      <c r="CK90">
        <v>9979.1999999999989</v>
      </c>
      <c r="CL90">
        <v>8</v>
      </c>
      <c r="CM90">
        <v>8870.4</v>
      </c>
      <c r="CN90">
        <v>11</v>
      </c>
      <c r="CO90">
        <v>12196.8</v>
      </c>
      <c r="CP90">
        <v>9</v>
      </c>
      <c r="CQ90">
        <v>9979.1999999999989</v>
      </c>
      <c r="CR90">
        <v>8</v>
      </c>
      <c r="CS90">
        <v>8870.4</v>
      </c>
      <c r="CT90">
        <v>7</v>
      </c>
      <c r="CU90">
        <v>7761.5999999999995</v>
      </c>
    </row>
    <row r="91" spans="2:99">
      <c r="C91" s="99" t="s">
        <v>257</v>
      </c>
      <c r="D91">
        <v>12</v>
      </c>
      <c r="E91">
        <v>13636.8</v>
      </c>
      <c r="F91">
        <v>6</v>
      </c>
      <c r="G91">
        <v>6818.4</v>
      </c>
      <c r="H91">
        <v>5</v>
      </c>
      <c r="I91">
        <v>5681.9999999999991</v>
      </c>
      <c r="J91">
        <v>11</v>
      </c>
      <c r="K91">
        <v>12500.399999999998</v>
      </c>
      <c r="L91">
        <v>9</v>
      </c>
      <c r="M91">
        <v>10227.599999999999</v>
      </c>
      <c r="N91">
        <v>12</v>
      </c>
      <c r="O91">
        <v>13636.8</v>
      </c>
      <c r="P91">
        <v>7</v>
      </c>
      <c r="Q91">
        <v>7954.7999999999993</v>
      </c>
      <c r="R91">
        <v>8</v>
      </c>
      <c r="S91">
        <v>9091.1999999999989</v>
      </c>
      <c r="T91">
        <v>9</v>
      </c>
      <c r="U91">
        <v>10227.599999999999</v>
      </c>
      <c r="V91">
        <v>13</v>
      </c>
      <c r="W91">
        <v>14773.199999999999</v>
      </c>
      <c r="X91">
        <v>8</v>
      </c>
      <c r="Y91">
        <v>9091.1999999999989</v>
      </c>
      <c r="Z91">
        <v>10</v>
      </c>
      <c r="AA91">
        <v>11363.999999999998</v>
      </c>
      <c r="AB91">
        <v>6</v>
      </c>
      <c r="AC91">
        <v>6818.4</v>
      </c>
      <c r="AD91">
        <v>11</v>
      </c>
      <c r="AE91">
        <v>12500.399999999998</v>
      </c>
      <c r="AF91">
        <v>8</v>
      </c>
      <c r="AG91">
        <v>9091.1999999999989</v>
      </c>
      <c r="AH91">
        <v>7</v>
      </c>
      <c r="AI91">
        <v>7954.7999999999993</v>
      </c>
      <c r="AJ91">
        <v>8</v>
      </c>
      <c r="AK91">
        <v>9091.1999999999989</v>
      </c>
      <c r="AL91">
        <v>8</v>
      </c>
      <c r="AM91">
        <v>9091.1999999999989</v>
      </c>
      <c r="AN91">
        <v>8</v>
      </c>
      <c r="AO91">
        <v>9091.1999999999989</v>
      </c>
      <c r="AP91">
        <v>9</v>
      </c>
      <c r="AQ91">
        <v>10227.599999999999</v>
      </c>
      <c r="AR91">
        <v>8</v>
      </c>
      <c r="AS91">
        <v>9091.1999999999989</v>
      </c>
      <c r="AT91">
        <v>7</v>
      </c>
      <c r="AU91">
        <v>7954.7999999999993</v>
      </c>
      <c r="AV91">
        <v>11</v>
      </c>
      <c r="AW91">
        <v>12500.399999999998</v>
      </c>
      <c r="AX91">
        <v>7</v>
      </c>
      <c r="AY91">
        <v>7954.7999999999993</v>
      </c>
      <c r="AZ91">
        <v>7</v>
      </c>
      <c r="BA91">
        <v>7954.7999999999993</v>
      </c>
      <c r="BB91">
        <v>9</v>
      </c>
      <c r="BC91">
        <v>10227.599999999999</v>
      </c>
      <c r="BD91">
        <v>11</v>
      </c>
      <c r="BE91">
        <v>12500.399999999998</v>
      </c>
      <c r="BF91">
        <v>10</v>
      </c>
      <c r="BG91">
        <v>11363.999999999998</v>
      </c>
      <c r="BH91">
        <v>12</v>
      </c>
      <c r="BI91">
        <v>13636.8</v>
      </c>
      <c r="BJ91">
        <v>11</v>
      </c>
      <c r="BK91">
        <v>12500.399999999998</v>
      </c>
      <c r="BL91">
        <v>6</v>
      </c>
      <c r="BM91">
        <v>6818.4</v>
      </c>
      <c r="BN91">
        <v>10</v>
      </c>
      <c r="BO91">
        <v>11363.999999999998</v>
      </c>
      <c r="BP91">
        <v>12</v>
      </c>
      <c r="BQ91">
        <v>13636.8</v>
      </c>
      <c r="BR91">
        <v>12</v>
      </c>
      <c r="BS91">
        <v>13636.8</v>
      </c>
      <c r="BT91">
        <v>8</v>
      </c>
      <c r="BU91">
        <v>9091.1999999999989</v>
      </c>
      <c r="BV91">
        <v>7</v>
      </c>
      <c r="BW91">
        <v>7954.7999999999993</v>
      </c>
      <c r="BX91">
        <v>8</v>
      </c>
      <c r="BY91">
        <v>9091.1999999999989</v>
      </c>
      <c r="BZ91">
        <v>12</v>
      </c>
      <c r="CA91">
        <v>13636.8</v>
      </c>
      <c r="CB91">
        <v>10</v>
      </c>
      <c r="CC91">
        <v>11363.999999999998</v>
      </c>
      <c r="CD91">
        <v>11</v>
      </c>
      <c r="CE91">
        <v>12500.399999999998</v>
      </c>
      <c r="CF91">
        <v>11</v>
      </c>
      <c r="CG91">
        <v>12500.399999999998</v>
      </c>
      <c r="CH91">
        <v>13</v>
      </c>
      <c r="CI91">
        <v>14773.199999999999</v>
      </c>
      <c r="CJ91">
        <v>8</v>
      </c>
      <c r="CK91">
        <v>9091.1999999999989</v>
      </c>
      <c r="CL91">
        <v>8</v>
      </c>
      <c r="CM91">
        <v>9091.1999999999989</v>
      </c>
      <c r="CN91">
        <v>12</v>
      </c>
      <c r="CO91">
        <v>13636.8</v>
      </c>
      <c r="CP91">
        <v>8</v>
      </c>
      <c r="CQ91">
        <v>9091.1999999999989</v>
      </c>
      <c r="CR91">
        <v>7</v>
      </c>
      <c r="CS91">
        <v>7954.7999999999993</v>
      </c>
      <c r="CT91">
        <v>8</v>
      </c>
      <c r="CU91">
        <v>9091.1999999999989</v>
      </c>
    </row>
    <row r="92" spans="2:99">
      <c r="C92" s="99" t="s">
        <v>258</v>
      </c>
      <c r="D92">
        <v>12</v>
      </c>
      <c r="E92">
        <v>9417.5999999999985</v>
      </c>
      <c r="F92">
        <v>6</v>
      </c>
      <c r="G92">
        <v>4708.7999999999993</v>
      </c>
      <c r="H92">
        <v>6</v>
      </c>
      <c r="I92">
        <v>4708.7999999999993</v>
      </c>
      <c r="J92">
        <v>12</v>
      </c>
      <c r="K92">
        <v>9417.5999999999985</v>
      </c>
      <c r="L92">
        <v>10</v>
      </c>
      <c r="M92">
        <v>7848</v>
      </c>
      <c r="N92">
        <v>12</v>
      </c>
      <c r="O92">
        <v>9417.5999999999985</v>
      </c>
      <c r="P92">
        <v>8</v>
      </c>
      <c r="Q92">
        <v>6278.4</v>
      </c>
      <c r="R92">
        <v>9</v>
      </c>
      <c r="S92">
        <v>7063.2</v>
      </c>
      <c r="T92">
        <v>9</v>
      </c>
      <c r="U92">
        <v>7063.2</v>
      </c>
      <c r="V92">
        <v>13</v>
      </c>
      <c r="W92">
        <v>10202.4</v>
      </c>
      <c r="X92">
        <v>9</v>
      </c>
      <c r="Y92">
        <v>7063.2</v>
      </c>
      <c r="Z92">
        <v>11</v>
      </c>
      <c r="AA92">
        <v>8632.7999999999993</v>
      </c>
      <c r="AB92">
        <v>7</v>
      </c>
      <c r="AC92">
        <v>5493.5999999999995</v>
      </c>
      <c r="AD92">
        <v>11</v>
      </c>
      <c r="AE92">
        <v>8632.7999999999993</v>
      </c>
      <c r="AF92">
        <v>8</v>
      </c>
      <c r="AG92">
        <v>6278.4</v>
      </c>
      <c r="AH92">
        <v>7</v>
      </c>
      <c r="AI92">
        <v>5493.5999999999995</v>
      </c>
      <c r="AJ92">
        <v>7</v>
      </c>
      <c r="AK92">
        <v>5493.5999999999995</v>
      </c>
      <c r="AL92">
        <v>9</v>
      </c>
      <c r="AM92">
        <v>7063.2</v>
      </c>
      <c r="AN92">
        <v>9</v>
      </c>
      <c r="AO92">
        <v>7063.2</v>
      </c>
      <c r="AP92">
        <v>8</v>
      </c>
      <c r="AQ92">
        <v>6278.4</v>
      </c>
      <c r="AR92">
        <v>8</v>
      </c>
      <c r="AS92">
        <v>6278.4</v>
      </c>
      <c r="AT92">
        <v>8</v>
      </c>
      <c r="AU92">
        <v>6278.4</v>
      </c>
      <c r="AV92">
        <v>12</v>
      </c>
      <c r="AW92">
        <v>9417.5999999999985</v>
      </c>
      <c r="AX92">
        <v>8</v>
      </c>
      <c r="AY92">
        <v>6278.4</v>
      </c>
      <c r="AZ92">
        <v>7</v>
      </c>
      <c r="BA92">
        <v>5493.5999999999995</v>
      </c>
      <c r="BB92">
        <v>9</v>
      </c>
      <c r="BC92">
        <v>7063.2</v>
      </c>
      <c r="BD92">
        <v>11</v>
      </c>
      <c r="BE92">
        <v>8632.7999999999993</v>
      </c>
      <c r="BF92">
        <v>12</v>
      </c>
      <c r="BG92">
        <v>9417.5999999999985</v>
      </c>
      <c r="BH92">
        <v>12</v>
      </c>
      <c r="BI92">
        <v>9417.5999999999985</v>
      </c>
      <c r="BJ92">
        <v>13</v>
      </c>
      <c r="BK92">
        <v>10202.4</v>
      </c>
      <c r="BL92">
        <v>6</v>
      </c>
      <c r="BM92">
        <v>4708.7999999999993</v>
      </c>
      <c r="BN92">
        <v>12</v>
      </c>
      <c r="BO92">
        <v>9417.5999999999985</v>
      </c>
      <c r="BP92">
        <v>11</v>
      </c>
      <c r="BQ92">
        <v>8632.7999999999993</v>
      </c>
      <c r="BR92">
        <v>13</v>
      </c>
      <c r="BS92">
        <v>10202.4</v>
      </c>
      <c r="BT92">
        <v>8</v>
      </c>
      <c r="BU92">
        <v>6278.4</v>
      </c>
      <c r="BV92">
        <v>7</v>
      </c>
      <c r="BW92">
        <v>5493.5999999999995</v>
      </c>
      <c r="BX92">
        <v>8</v>
      </c>
      <c r="BY92">
        <v>6278.4</v>
      </c>
      <c r="BZ92">
        <v>12</v>
      </c>
      <c r="CA92">
        <v>9417.5999999999985</v>
      </c>
      <c r="CB92">
        <v>9</v>
      </c>
      <c r="CC92">
        <v>7063.2</v>
      </c>
      <c r="CD92">
        <v>12</v>
      </c>
      <c r="CE92">
        <v>9417.5999999999985</v>
      </c>
      <c r="CF92">
        <v>11</v>
      </c>
      <c r="CG92">
        <v>8632.7999999999993</v>
      </c>
      <c r="CH92">
        <v>11</v>
      </c>
      <c r="CI92">
        <v>8632.7999999999993</v>
      </c>
      <c r="CJ92">
        <v>9</v>
      </c>
      <c r="CK92">
        <v>7063.2</v>
      </c>
      <c r="CL92">
        <v>8</v>
      </c>
      <c r="CM92">
        <v>6278.4</v>
      </c>
      <c r="CN92">
        <v>13</v>
      </c>
      <c r="CO92">
        <v>10202.4</v>
      </c>
      <c r="CP92">
        <v>9</v>
      </c>
      <c r="CQ92">
        <v>7063.2</v>
      </c>
      <c r="CR92">
        <v>8</v>
      </c>
      <c r="CS92">
        <v>6278.4</v>
      </c>
      <c r="CT92">
        <v>8</v>
      </c>
      <c r="CU92">
        <v>6278.4</v>
      </c>
    </row>
    <row r="93" spans="2:99">
      <c r="C93" s="99" t="s">
        <v>259</v>
      </c>
      <c r="D93">
        <v>10</v>
      </c>
      <c r="E93">
        <v>6936</v>
      </c>
      <c r="F93">
        <v>7</v>
      </c>
      <c r="G93">
        <v>4855.2</v>
      </c>
      <c r="H93">
        <v>6</v>
      </c>
      <c r="I93">
        <v>4161.6000000000004</v>
      </c>
      <c r="J93">
        <v>12</v>
      </c>
      <c r="K93">
        <v>8323.2000000000007</v>
      </c>
      <c r="L93">
        <v>10</v>
      </c>
      <c r="M93">
        <v>6936</v>
      </c>
      <c r="N93">
        <v>10</v>
      </c>
      <c r="O93">
        <v>6936</v>
      </c>
      <c r="P93">
        <v>8</v>
      </c>
      <c r="Q93">
        <v>5548.8</v>
      </c>
      <c r="R93">
        <v>10</v>
      </c>
      <c r="S93">
        <v>6936</v>
      </c>
      <c r="T93">
        <v>8</v>
      </c>
      <c r="U93">
        <v>5548.8</v>
      </c>
      <c r="V93">
        <v>11</v>
      </c>
      <c r="W93">
        <v>7629.6</v>
      </c>
      <c r="X93">
        <v>10</v>
      </c>
      <c r="Y93">
        <v>6936</v>
      </c>
      <c r="Z93">
        <v>11</v>
      </c>
      <c r="AA93">
        <v>7629.6</v>
      </c>
      <c r="AB93">
        <v>7</v>
      </c>
      <c r="AC93">
        <v>4855.2</v>
      </c>
      <c r="AD93">
        <v>12</v>
      </c>
      <c r="AE93">
        <v>8323.2000000000007</v>
      </c>
      <c r="AF93">
        <v>7</v>
      </c>
      <c r="AG93">
        <v>4855.2</v>
      </c>
      <c r="AH93">
        <v>8</v>
      </c>
      <c r="AI93">
        <v>5548.8</v>
      </c>
      <c r="AJ93">
        <v>8</v>
      </c>
      <c r="AK93">
        <v>5548.8</v>
      </c>
      <c r="AL93">
        <v>9</v>
      </c>
      <c r="AM93">
        <v>6242.4000000000005</v>
      </c>
      <c r="AN93">
        <v>10</v>
      </c>
      <c r="AO93">
        <v>6936</v>
      </c>
      <c r="AP93">
        <v>8</v>
      </c>
      <c r="AQ93">
        <v>5548.8</v>
      </c>
      <c r="AR93">
        <v>7</v>
      </c>
      <c r="AS93">
        <v>4855.2</v>
      </c>
      <c r="AT93">
        <v>8</v>
      </c>
      <c r="AU93">
        <v>5548.8</v>
      </c>
      <c r="AV93">
        <v>11</v>
      </c>
      <c r="AW93">
        <v>7629.6</v>
      </c>
      <c r="AX93">
        <v>8</v>
      </c>
      <c r="AY93">
        <v>5548.8</v>
      </c>
      <c r="AZ93">
        <v>7</v>
      </c>
      <c r="BA93">
        <v>4855.2</v>
      </c>
      <c r="BB93">
        <v>8</v>
      </c>
      <c r="BC93">
        <v>5548.8</v>
      </c>
      <c r="BD93">
        <v>10</v>
      </c>
      <c r="BE93">
        <v>6936</v>
      </c>
      <c r="BF93">
        <v>12</v>
      </c>
      <c r="BG93">
        <v>8323.2000000000007</v>
      </c>
      <c r="BH93">
        <v>13</v>
      </c>
      <c r="BI93">
        <v>9016.8000000000011</v>
      </c>
      <c r="BJ93">
        <v>12</v>
      </c>
      <c r="BK93">
        <v>8323.2000000000007</v>
      </c>
      <c r="BL93">
        <v>7</v>
      </c>
      <c r="BM93">
        <v>4855.2</v>
      </c>
      <c r="BN93">
        <v>11</v>
      </c>
      <c r="BO93">
        <v>7629.6</v>
      </c>
      <c r="BP93">
        <v>13</v>
      </c>
      <c r="BQ93">
        <v>9016.8000000000011</v>
      </c>
      <c r="BR93">
        <v>14</v>
      </c>
      <c r="BS93">
        <v>9710.4</v>
      </c>
      <c r="BT93">
        <v>7</v>
      </c>
      <c r="BU93">
        <v>4855.2</v>
      </c>
      <c r="BV93">
        <v>8</v>
      </c>
      <c r="BW93">
        <v>5548.8</v>
      </c>
      <c r="BX93">
        <v>8</v>
      </c>
      <c r="BY93">
        <v>5548.8</v>
      </c>
      <c r="BZ93">
        <v>13</v>
      </c>
      <c r="CA93">
        <v>9016.8000000000011</v>
      </c>
      <c r="CB93">
        <v>10</v>
      </c>
      <c r="CC93">
        <v>6936</v>
      </c>
      <c r="CD93">
        <v>10</v>
      </c>
      <c r="CE93">
        <v>6936</v>
      </c>
      <c r="CF93">
        <v>11</v>
      </c>
      <c r="CG93">
        <v>7629.6</v>
      </c>
      <c r="CH93">
        <v>11</v>
      </c>
      <c r="CI93">
        <v>7629.6</v>
      </c>
      <c r="CJ93">
        <v>9</v>
      </c>
      <c r="CK93">
        <v>6242.4000000000005</v>
      </c>
      <c r="CL93">
        <v>8</v>
      </c>
      <c r="CM93">
        <v>5548.8</v>
      </c>
      <c r="CN93">
        <v>12</v>
      </c>
      <c r="CO93">
        <v>8323.2000000000007</v>
      </c>
      <c r="CP93">
        <v>10</v>
      </c>
      <c r="CQ93">
        <v>6936</v>
      </c>
      <c r="CR93">
        <v>8</v>
      </c>
      <c r="CS93">
        <v>5548.8</v>
      </c>
      <c r="CT93">
        <v>9</v>
      </c>
      <c r="CU93">
        <v>6242.4000000000005</v>
      </c>
    </row>
    <row r="94" spans="2:99">
      <c r="C94" s="99" t="s">
        <v>260</v>
      </c>
      <c r="D94">
        <v>11</v>
      </c>
      <c r="E94">
        <v>13120.8</v>
      </c>
      <c r="F94">
        <v>6</v>
      </c>
      <c r="G94">
        <v>7156.7999999999993</v>
      </c>
      <c r="H94">
        <v>6</v>
      </c>
      <c r="I94">
        <v>7156.7999999999993</v>
      </c>
      <c r="J94">
        <v>10</v>
      </c>
      <c r="K94">
        <v>11928</v>
      </c>
      <c r="L94">
        <v>9</v>
      </c>
      <c r="M94">
        <v>10735.199999999999</v>
      </c>
      <c r="N94">
        <v>11</v>
      </c>
      <c r="O94">
        <v>13120.8</v>
      </c>
      <c r="P94">
        <v>8</v>
      </c>
      <c r="Q94">
        <v>9542.4</v>
      </c>
      <c r="R94">
        <v>10</v>
      </c>
      <c r="S94">
        <v>11928</v>
      </c>
      <c r="T94">
        <v>7</v>
      </c>
      <c r="U94">
        <v>8349.6</v>
      </c>
      <c r="V94">
        <v>11</v>
      </c>
      <c r="W94">
        <v>13120.8</v>
      </c>
      <c r="X94">
        <v>9</v>
      </c>
      <c r="Y94">
        <v>10735.199999999999</v>
      </c>
      <c r="Z94">
        <v>11</v>
      </c>
      <c r="AA94">
        <v>13120.8</v>
      </c>
      <c r="AB94">
        <v>7</v>
      </c>
      <c r="AC94">
        <v>8349.6</v>
      </c>
      <c r="AD94">
        <v>11</v>
      </c>
      <c r="AE94">
        <v>13120.8</v>
      </c>
      <c r="AF94">
        <v>7</v>
      </c>
      <c r="AG94">
        <v>8349.6</v>
      </c>
      <c r="AH94">
        <v>8</v>
      </c>
      <c r="AI94">
        <v>9542.4</v>
      </c>
      <c r="AJ94">
        <v>7</v>
      </c>
      <c r="AK94">
        <v>8349.6</v>
      </c>
      <c r="AL94">
        <v>8</v>
      </c>
      <c r="AM94">
        <v>9542.4</v>
      </c>
      <c r="AN94">
        <v>8</v>
      </c>
      <c r="AO94">
        <v>9542.4</v>
      </c>
      <c r="AP94">
        <v>9</v>
      </c>
      <c r="AQ94">
        <v>10735.199999999999</v>
      </c>
      <c r="AR94">
        <v>7</v>
      </c>
      <c r="AS94">
        <v>8349.6</v>
      </c>
      <c r="AT94">
        <v>7</v>
      </c>
      <c r="AU94">
        <v>8349.6</v>
      </c>
      <c r="AV94">
        <v>11</v>
      </c>
      <c r="AW94">
        <v>13120.8</v>
      </c>
      <c r="AX94">
        <v>7</v>
      </c>
      <c r="AY94">
        <v>8349.6</v>
      </c>
      <c r="AZ94">
        <v>6</v>
      </c>
      <c r="BA94">
        <v>7156.7999999999993</v>
      </c>
      <c r="BB94">
        <v>8</v>
      </c>
      <c r="BC94">
        <v>9542.4</v>
      </c>
      <c r="BD94">
        <v>10</v>
      </c>
      <c r="BE94">
        <v>11928</v>
      </c>
      <c r="BF94">
        <v>10</v>
      </c>
      <c r="BG94">
        <v>11928</v>
      </c>
      <c r="BH94">
        <v>12</v>
      </c>
      <c r="BI94">
        <v>14313.599999999999</v>
      </c>
      <c r="BJ94">
        <v>11</v>
      </c>
      <c r="BK94">
        <v>13120.8</v>
      </c>
      <c r="BL94">
        <v>6</v>
      </c>
      <c r="BM94">
        <v>7156.7999999999993</v>
      </c>
      <c r="BN94">
        <v>12</v>
      </c>
      <c r="BO94">
        <v>14313.599999999999</v>
      </c>
      <c r="BP94">
        <v>12</v>
      </c>
      <c r="BQ94">
        <v>14313.599999999999</v>
      </c>
      <c r="BR94">
        <v>12</v>
      </c>
      <c r="BS94">
        <v>14313.599999999999</v>
      </c>
      <c r="BT94">
        <v>8</v>
      </c>
      <c r="BU94">
        <v>9542.4</v>
      </c>
      <c r="BV94">
        <v>7</v>
      </c>
      <c r="BW94">
        <v>8349.6</v>
      </c>
      <c r="BX94">
        <v>7</v>
      </c>
      <c r="BY94">
        <v>8349.6</v>
      </c>
      <c r="BZ94">
        <v>13</v>
      </c>
      <c r="CA94">
        <v>15506.4</v>
      </c>
      <c r="CB94">
        <v>9</v>
      </c>
      <c r="CC94">
        <v>10735.199999999999</v>
      </c>
      <c r="CD94">
        <v>11</v>
      </c>
      <c r="CE94">
        <v>13120.8</v>
      </c>
      <c r="CF94">
        <v>11</v>
      </c>
      <c r="CG94">
        <v>13120.8</v>
      </c>
      <c r="CH94">
        <v>11</v>
      </c>
      <c r="CI94">
        <v>13120.8</v>
      </c>
      <c r="CJ94">
        <v>8</v>
      </c>
      <c r="CK94">
        <v>9542.4</v>
      </c>
      <c r="CL94">
        <v>8</v>
      </c>
      <c r="CM94">
        <v>9542.4</v>
      </c>
      <c r="CN94">
        <v>13</v>
      </c>
      <c r="CO94">
        <v>15506.4</v>
      </c>
      <c r="CP94">
        <v>8</v>
      </c>
      <c r="CQ94">
        <v>9542.4</v>
      </c>
      <c r="CR94">
        <v>7</v>
      </c>
      <c r="CS94">
        <v>8349.6</v>
      </c>
      <c r="CT94">
        <v>9</v>
      </c>
      <c r="CU94">
        <v>10735.199999999999</v>
      </c>
    </row>
    <row r="95" spans="2:99">
      <c r="B95" s="99" t="s">
        <v>132</v>
      </c>
      <c r="C95" s="99" t="s">
        <v>261</v>
      </c>
      <c r="D95">
        <v>6</v>
      </c>
      <c r="E95">
        <v>1972.8000000000002</v>
      </c>
      <c r="F95">
        <v>8</v>
      </c>
      <c r="G95">
        <v>2630.4</v>
      </c>
      <c r="H95">
        <v>8</v>
      </c>
      <c r="I95">
        <v>2630.4</v>
      </c>
      <c r="J95">
        <v>6</v>
      </c>
      <c r="K95">
        <v>1972.8000000000002</v>
      </c>
      <c r="L95">
        <v>9</v>
      </c>
      <c r="M95">
        <v>2959.2000000000003</v>
      </c>
      <c r="N95">
        <v>11</v>
      </c>
      <c r="O95">
        <v>3616.8</v>
      </c>
      <c r="P95">
        <v>7</v>
      </c>
      <c r="Q95">
        <v>2301.6</v>
      </c>
      <c r="R95">
        <v>9</v>
      </c>
      <c r="S95">
        <v>2959.2000000000003</v>
      </c>
      <c r="T95">
        <v>11</v>
      </c>
      <c r="U95">
        <v>3616.8</v>
      </c>
      <c r="V95">
        <v>6</v>
      </c>
      <c r="W95">
        <v>1972.8000000000002</v>
      </c>
      <c r="X95">
        <v>10</v>
      </c>
      <c r="Y95">
        <v>3288</v>
      </c>
      <c r="Z95">
        <v>10</v>
      </c>
      <c r="AA95">
        <v>3288</v>
      </c>
      <c r="AB95">
        <v>9</v>
      </c>
      <c r="AC95">
        <v>2959.2000000000003</v>
      </c>
      <c r="AD95">
        <v>6</v>
      </c>
      <c r="AE95">
        <v>1972.8000000000002</v>
      </c>
      <c r="AF95">
        <v>7</v>
      </c>
      <c r="AG95">
        <v>2301.6</v>
      </c>
      <c r="AH95">
        <v>11</v>
      </c>
      <c r="AI95">
        <v>3616.8</v>
      </c>
      <c r="AJ95">
        <v>7</v>
      </c>
      <c r="AK95">
        <v>2301.6</v>
      </c>
      <c r="AL95">
        <v>9</v>
      </c>
      <c r="AM95">
        <v>2959.2000000000003</v>
      </c>
      <c r="AN95">
        <v>7</v>
      </c>
      <c r="AO95">
        <v>2301.6</v>
      </c>
      <c r="AP95">
        <v>8</v>
      </c>
      <c r="AQ95">
        <v>2630.4</v>
      </c>
      <c r="AR95">
        <v>11</v>
      </c>
      <c r="AS95">
        <v>3616.8</v>
      </c>
      <c r="AT95">
        <v>8</v>
      </c>
      <c r="AU95">
        <v>2630.4</v>
      </c>
      <c r="AV95">
        <v>10</v>
      </c>
      <c r="AW95">
        <v>3288</v>
      </c>
      <c r="AX95">
        <v>7</v>
      </c>
      <c r="AY95">
        <v>2301.6</v>
      </c>
      <c r="AZ95">
        <v>11</v>
      </c>
      <c r="BA95">
        <v>3616.8</v>
      </c>
      <c r="BB95">
        <v>8</v>
      </c>
      <c r="BC95">
        <v>2630.4</v>
      </c>
      <c r="BD95">
        <v>11</v>
      </c>
      <c r="BE95">
        <v>3616.8</v>
      </c>
      <c r="BF95">
        <v>7</v>
      </c>
      <c r="BG95">
        <v>2301.6</v>
      </c>
      <c r="BH95">
        <v>10</v>
      </c>
      <c r="BI95">
        <v>3288</v>
      </c>
      <c r="BJ95">
        <v>8</v>
      </c>
      <c r="BK95">
        <v>2630.4</v>
      </c>
      <c r="BL95">
        <v>10</v>
      </c>
      <c r="BM95">
        <v>3288</v>
      </c>
      <c r="BN95">
        <v>7</v>
      </c>
      <c r="BO95">
        <v>2301.6</v>
      </c>
      <c r="BP95">
        <v>11</v>
      </c>
      <c r="BQ95">
        <v>3616.8</v>
      </c>
      <c r="BR95">
        <v>7</v>
      </c>
      <c r="BS95">
        <v>2301.6</v>
      </c>
      <c r="BT95">
        <v>7</v>
      </c>
      <c r="BU95">
        <v>2301.6</v>
      </c>
      <c r="BV95">
        <v>8</v>
      </c>
      <c r="BW95">
        <v>2630.4</v>
      </c>
      <c r="BX95">
        <v>11</v>
      </c>
      <c r="BY95">
        <v>3616.8</v>
      </c>
      <c r="BZ95">
        <v>6</v>
      </c>
      <c r="CA95">
        <v>1972.8000000000002</v>
      </c>
      <c r="CB95">
        <v>12</v>
      </c>
      <c r="CC95">
        <v>3945.6000000000004</v>
      </c>
      <c r="CD95">
        <v>8</v>
      </c>
      <c r="CE95">
        <v>2630.4</v>
      </c>
      <c r="CF95">
        <v>9</v>
      </c>
      <c r="CG95">
        <v>2959.2000000000003</v>
      </c>
      <c r="CH95">
        <v>7</v>
      </c>
      <c r="CI95">
        <v>2301.6</v>
      </c>
      <c r="CJ95">
        <v>8</v>
      </c>
      <c r="CK95">
        <v>2630.4</v>
      </c>
      <c r="CL95">
        <v>9</v>
      </c>
      <c r="CM95">
        <v>2959.2000000000003</v>
      </c>
      <c r="CN95">
        <v>10</v>
      </c>
      <c r="CO95">
        <v>3288</v>
      </c>
      <c r="CP95">
        <v>11</v>
      </c>
      <c r="CQ95">
        <v>3616.8</v>
      </c>
      <c r="CR95">
        <v>10</v>
      </c>
      <c r="CS95">
        <v>3288</v>
      </c>
      <c r="CT95">
        <v>11</v>
      </c>
      <c r="CU95">
        <v>3616.8</v>
      </c>
    </row>
    <row r="96" spans="2:99">
      <c r="C96" s="99" t="s">
        <v>262</v>
      </c>
      <c r="D96">
        <v>6</v>
      </c>
      <c r="E96">
        <v>4168.7999999999993</v>
      </c>
      <c r="F96">
        <v>7</v>
      </c>
      <c r="G96">
        <v>4863.5999999999995</v>
      </c>
      <c r="H96">
        <v>7</v>
      </c>
      <c r="I96">
        <v>4863.5999999999995</v>
      </c>
      <c r="J96">
        <v>6</v>
      </c>
      <c r="K96">
        <v>4168.7999999999993</v>
      </c>
      <c r="L96">
        <v>8</v>
      </c>
      <c r="M96">
        <v>5558.4</v>
      </c>
      <c r="N96">
        <v>11</v>
      </c>
      <c r="O96">
        <v>7642.7999999999993</v>
      </c>
      <c r="P96">
        <v>7</v>
      </c>
      <c r="Q96">
        <v>4863.5999999999995</v>
      </c>
      <c r="R96">
        <v>9</v>
      </c>
      <c r="S96">
        <v>6253.2</v>
      </c>
      <c r="T96">
        <v>11</v>
      </c>
      <c r="U96">
        <v>7642.7999999999993</v>
      </c>
      <c r="V96">
        <v>6</v>
      </c>
      <c r="W96">
        <v>4168.7999999999993</v>
      </c>
      <c r="X96">
        <v>10</v>
      </c>
      <c r="Y96">
        <v>6948</v>
      </c>
      <c r="Z96">
        <v>10</v>
      </c>
      <c r="AA96">
        <v>6948</v>
      </c>
      <c r="AB96">
        <v>10</v>
      </c>
      <c r="AC96">
        <v>6948</v>
      </c>
      <c r="AD96">
        <v>6</v>
      </c>
      <c r="AE96">
        <v>4168.7999999999993</v>
      </c>
      <c r="AF96">
        <v>6</v>
      </c>
      <c r="AG96">
        <v>4168.7999999999993</v>
      </c>
      <c r="AH96">
        <v>11</v>
      </c>
      <c r="AI96">
        <v>7642.7999999999993</v>
      </c>
      <c r="AJ96">
        <v>7</v>
      </c>
      <c r="AK96">
        <v>4863.5999999999995</v>
      </c>
      <c r="AL96">
        <v>9</v>
      </c>
      <c r="AM96">
        <v>6253.2</v>
      </c>
      <c r="AN96">
        <v>7</v>
      </c>
      <c r="AO96">
        <v>4863.5999999999995</v>
      </c>
      <c r="AP96">
        <v>8</v>
      </c>
      <c r="AQ96">
        <v>5558.4</v>
      </c>
      <c r="AR96">
        <v>9</v>
      </c>
      <c r="AS96">
        <v>6253.2</v>
      </c>
      <c r="AT96">
        <v>8</v>
      </c>
      <c r="AU96">
        <v>5558.4</v>
      </c>
      <c r="AV96">
        <v>10</v>
      </c>
      <c r="AW96">
        <v>6948</v>
      </c>
      <c r="AX96">
        <v>6</v>
      </c>
      <c r="AY96">
        <v>4168.7999999999993</v>
      </c>
      <c r="AZ96">
        <v>11</v>
      </c>
      <c r="BA96">
        <v>7642.7999999999993</v>
      </c>
      <c r="BB96">
        <v>8</v>
      </c>
      <c r="BC96">
        <v>5558.4</v>
      </c>
      <c r="BD96">
        <v>10</v>
      </c>
      <c r="BE96">
        <v>6948</v>
      </c>
      <c r="BF96">
        <v>8</v>
      </c>
      <c r="BG96">
        <v>5558.4</v>
      </c>
      <c r="BH96">
        <v>9</v>
      </c>
      <c r="BI96">
        <v>6253.2</v>
      </c>
      <c r="BJ96">
        <v>8</v>
      </c>
      <c r="BK96">
        <v>5558.4</v>
      </c>
      <c r="BL96">
        <v>9</v>
      </c>
      <c r="BM96">
        <v>6253.2</v>
      </c>
      <c r="BN96">
        <v>6</v>
      </c>
      <c r="BO96">
        <v>4168.7999999999993</v>
      </c>
      <c r="BP96">
        <v>11</v>
      </c>
      <c r="BQ96">
        <v>7642.7999999999993</v>
      </c>
      <c r="BR96">
        <v>7</v>
      </c>
      <c r="BS96">
        <v>4863.5999999999995</v>
      </c>
      <c r="BT96">
        <v>8</v>
      </c>
      <c r="BU96">
        <v>5558.4</v>
      </c>
      <c r="BV96">
        <v>7</v>
      </c>
      <c r="BW96">
        <v>4863.5999999999995</v>
      </c>
      <c r="BX96">
        <v>11</v>
      </c>
      <c r="BY96">
        <v>7642.7999999999993</v>
      </c>
      <c r="BZ96">
        <v>6</v>
      </c>
      <c r="CA96">
        <v>4168.7999999999993</v>
      </c>
      <c r="CB96">
        <v>10</v>
      </c>
      <c r="CC96">
        <v>6948</v>
      </c>
      <c r="CD96">
        <v>8</v>
      </c>
      <c r="CE96">
        <v>5558.4</v>
      </c>
      <c r="CF96">
        <v>10</v>
      </c>
      <c r="CG96">
        <v>6948</v>
      </c>
      <c r="CH96">
        <v>7</v>
      </c>
      <c r="CI96">
        <v>4863.5999999999995</v>
      </c>
      <c r="CJ96">
        <v>8</v>
      </c>
      <c r="CK96">
        <v>5558.4</v>
      </c>
      <c r="CL96">
        <v>9</v>
      </c>
      <c r="CM96">
        <v>6253.2</v>
      </c>
      <c r="CN96">
        <v>10</v>
      </c>
      <c r="CO96">
        <v>6948</v>
      </c>
      <c r="CP96">
        <v>10</v>
      </c>
      <c r="CQ96">
        <v>6948</v>
      </c>
      <c r="CR96">
        <v>10</v>
      </c>
      <c r="CS96">
        <v>6948</v>
      </c>
      <c r="CT96">
        <v>10</v>
      </c>
      <c r="CU96">
        <v>6948</v>
      </c>
    </row>
    <row r="97" spans="2:99">
      <c r="C97" s="99" t="s">
        <v>263</v>
      </c>
      <c r="D97">
        <v>7</v>
      </c>
      <c r="E97">
        <v>2746.7999999999997</v>
      </c>
      <c r="F97">
        <v>8</v>
      </c>
      <c r="G97">
        <v>3139.2</v>
      </c>
      <c r="H97">
        <v>8</v>
      </c>
      <c r="I97">
        <v>3139.2</v>
      </c>
      <c r="J97">
        <v>6</v>
      </c>
      <c r="K97">
        <v>2354.3999999999996</v>
      </c>
      <c r="L97">
        <v>9</v>
      </c>
      <c r="M97">
        <v>3531.6</v>
      </c>
      <c r="N97">
        <v>10</v>
      </c>
      <c r="O97">
        <v>3924</v>
      </c>
      <c r="P97">
        <v>8</v>
      </c>
      <c r="Q97">
        <v>3139.2</v>
      </c>
      <c r="R97">
        <v>8</v>
      </c>
      <c r="S97">
        <v>3139.2</v>
      </c>
      <c r="T97">
        <v>11</v>
      </c>
      <c r="U97">
        <v>4316.3999999999996</v>
      </c>
      <c r="V97">
        <v>5</v>
      </c>
      <c r="W97">
        <v>1962</v>
      </c>
      <c r="X97">
        <v>9</v>
      </c>
      <c r="Y97">
        <v>3531.6</v>
      </c>
      <c r="Z97">
        <v>11</v>
      </c>
      <c r="AA97">
        <v>4316.3999999999996</v>
      </c>
      <c r="AB97">
        <v>9</v>
      </c>
      <c r="AC97">
        <v>3531.6</v>
      </c>
      <c r="AD97">
        <v>7</v>
      </c>
      <c r="AE97">
        <v>2746.7999999999997</v>
      </c>
      <c r="AF97">
        <v>6</v>
      </c>
      <c r="AG97">
        <v>2354.3999999999996</v>
      </c>
      <c r="AH97">
        <v>10</v>
      </c>
      <c r="AI97">
        <v>3924</v>
      </c>
      <c r="AJ97">
        <v>7</v>
      </c>
      <c r="AK97">
        <v>2746.7999999999997</v>
      </c>
      <c r="AL97">
        <v>9</v>
      </c>
      <c r="AM97">
        <v>3531.6</v>
      </c>
      <c r="AN97">
        <v>7</v>
      </c>
      <c r="AO97">
        <v>2746.7999999999997</v>
      </c>
      <c r="AP97">
        <v>9</v>
      </c>
      <c r="AQ97">
        <v>3531.6</v>
      </c>
      <c r="AR97">
        <v>11</v>
      </c>
      <c r="AS97">
        <v>4316.3999999999996</v>
      </c>
      <c r="AT97">
        <v>7</v>
      </c>
      <c r="AU97">
        <v>2746.7999999999997</v>
      </c>
      <c r="AV97">
        <v>12</v>
      </c>
      <c r="AW97">
        <v>4708.7999999999993</v>
      </c>
      <c r="AX97">
        <v>7</v>
      </c>
      <c r="AY97">
        <v>2746.7999999999997</v>
      </c>
      <c r="AZ97">
        <v>10</v>
      </c>
      <c r="BA97">
        <v>3924</v>
      </c>
      <c r="BB97">
        <v>7</v>
      </c>
      <c r="BC97">
        <v>2746.7999999999997</v>
      </c>
      <c r="BD97">
        <v>11</v>
      </c>
      <c r="BE97">
        <v>4316.3999999999996</v>
      </c>
      <c r="BF97">
        <v>8</v>
      </c>
      <c r="BG97">
        <v>3139.2</v>
      </c>
      <c r="BH97">
        <v>10</v>
      </c>
      <c r="BI97">
        <v>3924</v>
      </c>
      <c r="BJ97">
        <v>8</v>
      </c>
      <c r="BK97">
        <v>3139.2</v>
      </c>
      <c r="BL97">
        <v>9</v>
      </c>
      <c r="BM97">
        <v>3531.6</v>
      </c>
      <c r="BN97">
        <v>6</v>
      </c>
      <c r="BO97">
        <v>2354.3999999999996</v>
      </c>
      <c r="BP97">
        <v>11</v>
      </c>
      <c r="BQ97">
        <v>4316.3999999999996</v>
      </c>
      <c r="BR97">
        <v>7</v>
      </c>
      <c r="BS97">
        <v>2746.7999999999997</v>
      </c>
      <c r="BT97">
        <v>6</v>
      </c>
      <c r="BU97">
        <v>2354.3999999999996</v>
      </c>
      <c r="BV97">
        <v>7</v>
      </c>
      <c r="BW97">
        <v>2746.7999999999997</v>
      </c>
      <c r="BX97">
        <v>10</v>
      </c>
      <c r="BY97">
        <v>3924</v>
      </c>
      <c r="BZ97">
        <v>6</v>
      </c>
      <c r="CA97">
        <v>2354.3999999999996</v>
      </c>
      <c r="CB97">
        <v>11</v>
      </c>
      <c r="CC97">
        <v>4316.3999999999996</v>
      </c>
      <c r="CD97">
        <v>8</v>
      </c>
      <c r="CE97">
        <v>3139.2</v>
      </c>
      <c r="CF97">
        <v>9</v>
      </c>
      <c r="CG97">
        <v>3531.6</v>
      </c>
      <c r="CH97">
        <v>7</v>
      </c>
      <c r="CI97">
        <v>2746.7999999999997</v>
      </c>
      <c r="CJ97">
        <v>9</v>
      </c>
      <c r="CK97">
        <v>3531.6</v>
      </c>
      <c r="CL97">
        <v>10</v>
      </c>
      <c r="CM97">
        <v>3924</v>
      </c>
      <c r="CN97">
        <v>11</v>
      </c>
      <c r="CO97">
        <v>4316.3999999999996</v>
      </c>
      <c r="CP97">
        <v>10</v>
      </c>
      <c r="CQ97">
        <v>3924</v>
      </c>
      <c r="CR97">
        <v>11</v>
      </c>
      <c r="CS97">
        <v>4316.3999999999996</v>
      </c>
      <c r="CT97">
        <v>10</v>
      </c>
      <c r="CU97">
        <v>3924</v>
      </c>
    </row>
    <row r="98" spans="2:99">
      <c r="C98" s="99" t="s">
        <v>264</v>
      </c>
      <c r="D98">
        <v>6</v>
      </c>
      <c r="E98">
        <v>3153.6000000000004</v>
      </c>
      <c r="F98">
        <v>7</v>
      </c>
      <c r="G98">
        <v>3679.2000000000003</v>
      </c>
      <c r="H98">
        <v>7</v>
      </c>
      <c r="I98">
        <v>3679.2000000000003</v>
      </c>
      <c r="J98">
        <v>6</v>
      </c>
      <c r="K98">
        <v>3153.6000000000004</v>
      </c>
      <c r="L98">
        <v>10</v>
      </c>
      <c r="M98">
        <v>5256</v>
      </c>
      <c r="N98">
        <v>10</v>
      </c>
      <c r="O98">
        <v>5256</v>
      </c>
      <c r="P98">
        <v>7</v>
      </c>
      <c r="Q98">
        <v>3679.2000000000003</v>
      </c>
      <c r="R98">
        <v>8</v>
      </c>
      <c r="S98">
        <v>4204.8</v>
      </c>
      <c r="T98">
        <v>10</v>
      </c>
      <c r="U98">
        <v>5256</v>
      </c>
      <c r="V98">
        <v>6</v>
      </c>
      <c r="W98">
        <v>3153.6000000000004</v>
      </c>
      <c r="X98">
        <v>10</v>
      </c>
      <c r="Y98">
        <v>5256</v>
      </c>
      <c r="Z98">
        <v>10</v>
      </c>
      <c r="AA98">
        <v>5256</v>
      </c>
      <c r="AB98">
        <v>9</v>
      </c>
      <c r="AC98">
        <v>4730.4000000000005</v>
      </c>
      <c r="AD98">
        <v>6</v>
      </c>
      <c r="AE98">
        <v>3153.6000000000004</v>
      </c>
      <c r="AF98">
        <v>7</v>
      </c>
      <c r="AG98">
        <v>3679.2000000000003</v>
      </c>
      <c r="AH98">
        <v>10</v>
      </c>
      <c r="AI98">
        <v>5256</v>
      </c>
      <c r="AJ98">
        <v>6</v>
      </c>
      <c r="AK98">
        <v>3153.6000000000004</v>
      </c>
      <c r="AL98">
        <v>9</v>
      </c>
      <c r="AM98">
        <v>4730.4000000000005</v>
      </c>
      <c r="AN98">
        <v>7</v>
      </c>
      <c r="AO98">
        <v>3679.2000000000003</v>
      </c>
      <c r="AP98">
        <v>8</v>
      </c>
      <c r="AQ98">
        <v>4204.8</v>
      </c>
      <c r="AR98">
        <v>11</v>
      </c>
      <c r="AS98">
        <v>5781.6</v>
      </c>
      <c r="AT98">
        <v>7</v>
      </c>
      <c r="AU98">
        <v>3679.2000000000003</v>
      </c>
      <c r="AV98">
        <v>11</v>
      </c>
      <c r="AW98">
        <v>5781.6</v>
      </c>
      <c r="AX98">
        <v>7</v>
      </c>
      <c r="AY98">
        <v>3679.2000000000003</v>
      </c>
      <c r="AZ98">
        <v>11</v>
      </c>
      <c r="BA98">
        <v>5781.6</v>
      </c>
      <c r="BB98">
        <v>8</v>
      </c>
      <c r="BC98">
        <v>4204.8</v>
      </c>
      <c r="BD98">
        <v>11</v>
      </c>
      <c r="BE98">
        <v>5781.6</v>
      </c>
      <c r="BF98">
        <v>7</v>
      </c>
      <c r="BG98">
        <v>3679.2000000000003</v>
      </c>
      <c r="BH98">
        <v>9</v>
      </c>
      <c r="BI98">
        <v>4730.4000000000005</v>
      </c>
      <c r="BJ98">
        <v>7</v>
      </c>
      <c r="BK98">
        <v>3679.2000000000003</v>
      </c>
      <c r="BL98">
        <v>10</v>
      </c>
      <c r="BM98">
        <v>5256</v>
      </c>
      <c r="BN98">
        <v>6</v>
      </c>
      <c r="BO98">
        <v>3153.6000000000004</v>
      </c>
      <c r="BP98">
        <v>11</v>
      </c>
      <c r="BQ98">
        <v>5781.6</v>
      </c>
      <c r="BR98">
        <v>6</v>
      </c>
      <c r="BS98">
        <v>3153.6000000000004</v>
      </c>
      <c r="BT98">
        <v>7</v>
      </c>
      <c r="BU98">
        <v>3679.2000000000003</v>
      </c>
      <c r="BV98">
        <v>8</v>
      </c>
      <c r="BW98">
        <v>4204.8</v>
      </c>
      <c r="BX98">
        <v>10</v>
      </c>
      <c r="BY98">
        <v>5256</v>
      </c>
      <c r="BZ98">
        <v>6</v>
      </c>
      <c r="CA98">
        <v>3153.6000000000004</v>
      </c>
      <c r="CB98">
        <v>12</v>
      </c>
      <c r="CC98">
        <v>6307.2000000000007</v>
      </c>
      <c r="CD98">
        <v>8</v>
      </c>
      <c r="CE98">
        <v>4204.8</v>
      </c>
      <c r="CF98">
        <v>9</v>
      </c>
      <c r="CG98">
        <v>4730.4000000000005</v>
      </c>
      <c r="CH98">
        <v>8</v>
      </c>
      <c r="CI98">
        <v>4204.8</v>
      </c>
      <c r="CJ98">
        <v>9</v>
      </c>
      <c r="CK98">
        <v>4730.4000000000005</v>
      </c>
      <c r="CL98">
        <v>10</v>
      </c>
      <c r="CM98">
        <v>5256</v>
      </c>
      <c r="CN98">
        <v>9</v>
      </c>
      <c r="CO98">
        <v>4730.4000000000005</v>
      </c>
      <c r="CP98">
        <v>11</v>
      </c>
      <c r="CQ98">
        <v>5781.6</v>
      </c>
      <c r="CR98">
        <v>10</v>
      </c>
      <c r="CS98">
        <v>5256</v>
      </c>
      <c r="CT98">
        <v>12</v>
      </c>
      <c r="CU98">
        <v>6307.2000000000007</v>
      </c>
    </row>
    <row r="99" spans="2:99">
      <c r="C99" s="99" t="s">
        <v>265</v>
      </c>
      <c r="D99">
        <v>4</v>
      </c>
      <c r="E99">
        <v>16833.599999999999</v>
      </c>
      <c r="F99">
        <v>6</v>
      </c>
      <c r="G99">
        <v>25250.399999999998</v>
      </c>
      <c r="H99">
        <v>6</v>
      </c>
      <c r="I99">
        <v>25250.399999999998</v>
      </c>
      <c r="J99">
        <v>4</v>
      </c>
      <c r="K99">
        <v>16833.599999999999</v>
      </c>
      <c r="L99">
        <v>8</v>
      </c>
      <c r="M99">
        <v>33667.199999999997</v>
      </c>
      <c r="N99">
        <v>8</v>
      </c>
      <c r="O99">
        <v>33667.199999999997</v>
      </c>
      <c r="P99">
        <v>6</v>
      </c>
      <c r="Q99">
        <v>25250.399999999998</v>
      </c>
      <c r="R99">
        <v>6</v>
      </c>
      <c r="S99">
        <v>25250.399999999998</v>
      </c>
      <c r="T99">
        <v>7</v>
      </c>
      <c r="U99">
        <v>29458.799999999996</v>
      </c>
      <c r="V99">
        <v>4</v>
      </c>
      <c r="W99">
        <v>16833.599999999999</v>
      </c>
      <c r="X99">
        <v>7</v>
      </c>
      <c r="Y99">
        <v>29458.799999999996</v>
      </c>
      <c r="Z99">
        <v>8</v>
      </c>
      <c r="AA99">
        <v>33667.199999999997</v>
      </c>
      <c r="AB99">
        <v>7</v>
      </c>
      <c r="AC99">
        <v>29458.799999999996</v>
      </c>
      <c r="AD99">
        <v>4</v>
      </c>
      <c r="AE99">
        <v>16833.599999999999</v>
      </c>
      <c r="AF99">
        <v>5</v>
      </c>
      <c r="AG99">
        <v>21042</v>
      </c>
      <c r="AH99">
        <v>8</v>
      </c>
      <c r="AI99">
        <v>33667.199999999997</v>
      </c>
      <c r="AJ99">
        <v>5</v>
      </c>
      <c r="AK99">
        <v>21042</v>
      </c>
      <c r="AL99">
        <v>6</v>
      </c>
      <c r="AM99">
        <v>25250.399999999998</v>
      </c>
      <c r="AN99">
        <v>5</v>
      </c>
      <c r="AO99">
        <v>21042</v>
      </c>
      <c r="AP99">
        <v>6</v>
      </c>
      <c r="AQ99">
        <v>25250.399999999998</v>
      </c>
      <c r="AR99">
        <v>8</v>
      </c>
      <c r="AS99">
        <v>33667.199999999997</v>
      </c>
      <c r="AT99">
        <v>6</v>
      </c>
      <c r="AU99">
        <v>25250.399999999998</v>
      </c>
      <c r="AV99">
        <v>7</v>
      </c>
      <c r="AW99">
        <v>29458.799999999996</v>
      </c>
      <c r="AX99">
        <v>5</v>
      </c>
      <c r="AY99">
        <v>21042</v>
      </c>
      <c r="AZ99">
        <v>7</v>
      </c>
      <c r="BA99">
        <v>29458.799999999996</v>
      </c>
      <c r="BB99">
        <v>5</v>
      </c>
      <c r="BC99">
        <v>21042</v>
      </c>
      <c r="BD99">
        <v>8</v>
      </c>
      <c r="BE99">
        <v>33667.199999999997</v>
      </c>
      <c r="BF99">
        <v>6</v>
      </c>
      <c r="BG99">
        <v>25250.399999999998</v>
      </c>
      <c r="BH99">
        <v>7</v>
      </c>
      <c r="BI99">
        <v>29458.799999999996</v>
      </c>
      <c r="BJ99">
        <v>5</v>
      </c>
      <c r="BK99">
        <v>21042</v>
      </c>
      <c r="BL99">
        <v>6</v>
      </c>
      <c r="BM99">
        <v>25250.399999999998</v>
      </c>
      <c r="BN99">
        <v>4</v>
      </c>
      <c r="BO99">
        <v>16833.599999999999</v>
      </c>
      <c r="BP99">
        <v>7</v>
      </c>
      <c r="BQ99">
        <v>29458.799999999996</v>
      </c>
      <c r="BR99">
        <v>5</v>
      </c>
      <c r="BS99">
        <v>21042</v>
      </c>
      <c r="BT99">
        <v>6</v>
      </c>
      <c r="BU99">
        <v>25250.399999999998</v>
      </c>
      <c r="BV99">
        <v>6</v>
      </c>
      <c r="BW99">
        <v>25250.399999999998</v>
      </c>
      <c r="BX99">
        <v>7</v>
      </c>
      <c r="BY99">
        <v>29458.799999999996</v>
      </c>
      <c r="BZ99">
        <v>5</v>
      </c>
      <c r="CA99">
        <v>21042</v>
      </c>
      <c r="CB99">
        <v>9</v>
      </c>
      <c r="CC99">
        <v>37875.599999999999</v>
      </c>
      <c r="CD99">
        <v>6</v>
      </c>
      <c r="CE99">
        <v>25250.399999999998</v>
      </c>
      <c r="CF99">
        <v>6</v>
      </c>
      <c r="CG99">
        <v>25250.399999999998</v>
      </c>
      <c r="CH99">
        <v>6</v>
      </c>
      <c r="CI99">
        <v>25250.399999999998</v>
      </c>
      <c r="CJ99">
        <v>7</v>
      </c>
      <c r="CK99">
        <v>29458.799999999996</v>
      </c>
      <c r="CL99">
        <v>8</v>
      </c>
      <c r="CM99">
        <v>33667.199999999997</v>
      </c>
      <c r="CN99">
        <v>7</v>
      </c>
      <c r="CO99">
        <v>29458.799999999996</v>
      </c>
      <c r="CP99">
        <v>8</v>
      </c>
      <c r="CQ99">
        <v>33667.199999999997</v>
      </c>
      <c r="CR99">
        <v>8</v>
      </c>
      <c r="CS99">
        <v>33667.199999999997</v>
      </c>
      <c r="CT99">
        <v>9</v>
      </c>
      <c r="CU99">
        <v>37875.599999999999</v>
      </c>
    </row>
    <row r="100" spans="2:99">
      <c r="C100" s="99" t="s">
        <v>266</v>
      </c>
      <c r="D100">
        <v>7</v>
      </c>
      <c r="E100">
        <v>2268</v>
      </c>
      <c r="F100">
        <v>8</v>
      </c>
      <c r="G100">
        <v>2592</v>
      </c>
      <c r="H100">
        <v>7</v>
      </c>
      <c r="I100">
        <v>2268</v>
      </c>
      <c r="J100">
        <v>6</v>
      </c>
      <c r="K100">
        <v>1944</v>
      </c>
      <c r="L100">
        <v>10</v>
      </c>
      <c r="M100">
        <v>3240</v>
      </c>
      <c r="N100">
        <v>11</v>
      </c>
      <c r="O100">
        <v>3564</v>
      </c>
      <c r="P100">
        <v>7</v>
      </c>
      <c r="Q100">
        <v>2268</v>
      </c>
      <c r="R100">
        <v>10</v>
      </c>
      <c r="S100">
        <v>3240</v>
      </c>
      <c r="T100">
        <v>11</v>
      </c>
      <c r="U100">
        <v>3564</v>
      </c>
      <c r="V100">
        <v>6</v>
      </c>
      <c r="W100">
        <v>1944</v>
      </c>
      <c r="X100">
        <v>9</v>
      </c>
      <c r="Y100">
        <v>2916</v>
      </c>
      <c r="Z100">
        <v>11</v>
      </c>
      <c r="AA100">
        <v>3564</v>
      </c>
      <c r="AB100">
        <v>9</v>
      </c>
      <c r="AC100">
        <v>2916</v>
      </c>
      <c r="AD100">
        <v>7</v>
      </c>
      <c r="AE100">
        <v>2268</v>
      </c>
      <c r="AF100">
        <v>7</v>
      </c>
      <c r="AG100">
        <v>2268</v>
      </c>
      <c r="AH100">
        <v>11</v>
      </c>
      <c r="AI100">
        <v>3564</v>
      </c>
      <c r="AJ100">
        <v>6</v>
      </c>
      <c r="AK100">
        <v>1944</v>
      </c>
      <c r="AL100">
        <v>9</v>
      </c>
      <c r="AM100">
        <v>2916</v>
      </c>
      <c r="AN100">
        <v>7</v>
      </c>
      <c r="AO100">
        <v>2268</v>
      </c>
      <c r="AP100">
        <v>8</v>
      </c>
      <c r="AQ100">
        <v>2592</v>
      </c>
      <c r="AR100">
        <v>11</v>
      </c>
      <c r="AS100">
        <v>3564</v>
      </c>
      <c r="AT100">
        <v>8</v>
      </c>
      <c r="AU100">
        <v>2592</v>
      </c>
      <c r="AV100">
        <v>11</v>
      </c>
      <c r="AW100">
        <v>3564</v>
      </c>
      <c r="AX100">
        <v>6</v>
      </c>
      <c r="AY100">
        <v>1944</v>
      </c>
      <c r="AZ100">
        <v>10</v>
      </c>
      <c r="BA100">
        <v>3240</v>
      </c>
      <c r="BB100">
        <v>7</v>
      </c>
      <c r="BC100">
        <v>2268</v>
      </c>
      <c r="BD100">
        <v>11</v>
      </c>
      <c r="BE100">
        <v>3564</v>
      </c>
      <c r="BF100">
        <v>8</v>
      </c>
      <c r="BG100">
        <v>2592</v>
      </c>
      <c r="BH100">
        <v>10</v>
      </c>
      <c r="BI100">
        <v>3240</v>
      </c>
      <c r="BJ100">
        <v>7</v>
      </c>
      <c r="BK100">
        <v>2268</v>
      </c>
      <c r="BL100">
        <v>9</v>
      </c>
      <c r="BM100">
        <v>2916</v>
      </c>
      <c r="BN100">
        <v>7</v>
      </c>
      <c r="BO100">
        <v>2268</v>
      </c>
      <c r="BP100">
        <v>11</v>
      </c>
      <c r="BQ100">
        <v>3564</v>
      </c>
      <c r="BR100">
        <v>7</v>
      </c>
      <c r="BS100">
        <v>2268</v>
      </c>
      <c r="BT100">
        <v>7</v>
      </c>
      <c r="BU100">
        <v>2268</v>
      </c>
      <c r="BV100">
        <v>8</v>
      </c>
      <c r="BW100">
        <v>2592</v>
      </c>
      <c r="BX100">
        <v>10</v>
      </c>
      <c r="BY100">
        <v>3240</v>
      </c>
      <c r="BZ100">
        <v>6</v>
      </c>
      <c r="CA100">
        <v>1944</v>
      </c>
      <c r="CB100">
        <v>13</v>
      </c>
      <c r="CC100">
        <v>4212</v>
      </c>
      <c r="CD100">
        <v>8</v>
      </c>
      <c r="CE100">
        <v>2592</v>
      </c>
      <c r="CF100">
        <v>10</v>
      </c>
      <c r="CG100">
        <v>3240</v>
      </c>
      <c r="CH100">
        <v>7</v>
      </c>
      <c r="CI100">
        <v>2268</v>
      </c>
      <c r="CJ100">
        <v>9</v>
      </c>
      <c r="CK100">
        <v>2916</v>
      </c>
      <c r="CL100">
        <v>10</v>
      </c>
      <c r="CM100">
        <v>3240</v>
      </c>
      <c r="CN100">
        <v>10</v>
      </c>
      <c r="CO100">
        <v>3240</v>
      </c>
      <c r="CP100">
        <v>10</v>
      </c>
      <c r="CQ100">
        <v>3240</v>
      </c>
      <c r="CR100">
        <v>11</v>
      </c>
      <c r="CS100">
        <v>3564</v>
      </c>
      <c r="CT100">
        <v>12</v>
      </c>
      <c r="CU100">
        <v>3888</v>
      </c>
    </row>
    <row r="101" spans="2:99">
      <c r="C101" s="99" t="s">
        <v>267</v>
      </c>
      <c r="D101">
        <v>6</v>
      </c>
      <c r="E101">
        <v>4341.6000000000004</v>
      </c>
      <c r="F101">
        <v>7</v>
      </c>
      <c r="G101">
        <v>5065.2</v>
      </c>
      <c r="H101">
        <v>8</v>
      </c>
      <c r="I101">
        <v>5788.8</v>
      </c>
      <c r="J101">
        <v>6</v>
      </c>
      <c r="K101">
        <v>4341.6000000000004</v>
      </c>
      <c r="L101">
        <v>9</v>
      </c>
      <c r="M101">
        <v>6512.4000000000005</v>
      </c>
      <c r="N101">
        <v>10</v>
      </c>
      <c r="O101">
        <v>7236</v>
      </c>
      <c r="P101">
        <v>7</v>
      </c>
      <c r="Q101">
        <v>5065.2</v>
      </c>
      <c r="R101">
        <v>9</v>
      </c>
      <c r="S101">
        <v>6512.4000000000005</v>
      </c>
      <c r="T101">
        <v>10</v>
      </c>
      <c r="U101">
        <v>7236</v>
      </c>
      <c r="V101">
        <v>6</v>
      </c>
      <c r="W101">
        <v>4341.6000000000004</v>
      </c>
      <c r="X101">
        <v>10</v>
      </c>
      <c r="Y101">
        <v>7236</v>
      </c>
      <c r="Z101">
        <v>11</v>
      </c>
      <c r="AA101">
        <v>7959.6</v>
      </c>
      <c r="AB101">
        <v>8</v>
      </c>
      <c r="AC101">
        <v>5788.8</v>
      </c>
      <c r="AD101">
        <v>6</v>
      </c>
      <c r="AE101">
        <v>4341.6000000000004</v>
      </c>
      <c r="AF101">
        <v>6</v>
      </c>
      <c r="AG101">
        <v>4341.6000000000004</v>
      </c>
      <c r="AH101">
        <v>11</v>
      </c>
      <c r="AI101">
        <v>7959.6</v>
      </c>
      <c r="AJ101">
        <v>6</v>
      </c>
      <c r="AK101">
        <v>4341.6000000000004</v>
      </c>
      <c r="AL101">
        <v>9</v>
      </c>
      <c r="AM101">
        <v>6512.4000000000005</v>
      </c>
      <c r="AN101">
        <v>7</v>
      </c>
      <c r="AO101">
        <v>5065.2</v>
      </c>
      <c r="AP101">
        <v>8</v>
      </c>
      <c r="AQ101">
        <v>5788.8</v>
      </c>
      <c r="AR101">
        <v>11</v>
      </c>
      <c r="AS101">
        <v>7959.6</v>
      </c>
      <c r="AT101">
        <v>8</v>
      </c>
      <c r="AU101">
        <v>5788.8</v>
      </c>
      <c r="AV101">
        <v>11</v>
      </c>
      <c r="AW101">
        <v>7959.6</v>
      </c>
      <c r="AX101">
        <v>6</v>
      </c>
      <c r="AY101">
        <v>4341.6000000000004</v>
      </c>
      <c r="AZ101">
        <v>10</v>
      </c>
      <c r="BA101">
        <v>7236</v>
      </c>
      <c r="BB101">
        <v>8</v>
      </c>
      <c r="BC101">
        <v>5788.8</v>
      </c>
      <c r="BD101">
        <v>10</v>
      </c>
      <c r="BE101">
        <v>7236</v>
      </c>
      <c r="BF101">
        <v>7</v>
      </c>
      <c r="BG101">
        <v>5065.2</v>
      </c>
      <c r="BH101">
        <v>10</v>
      </c>
      <c r="BI101">
        <v>7236</v>
      </c>
      <c r="BJ101">
        <v>8</v>
      </c>
      <c r="BK101">
        <v>5788.8</v>
      </c>
      <c r="BL101">
        <v>9</v>
      </c>
      <c r="BM101">
        <v>6512.4000000000005</v>
      </c>
      <c r="BN101">
        <v>6</v>
      </c>
      <c r="BO101">
        <v>4341.6000000000004</v>
      </c>
      <c r="BP101">
        <v>11</v>
      </c>
      <c r="BQ101">
        <v>7959.6</v>
      </c>
      <c r="BR101">
        <v>6</v>
      </c>
      <c r="BS101">
        <v>4341.6000000000004</v>
      </c>
      <c r="BT101">
        <v>7</v>
      </c>
      <c r="BU101">
        <v>5065.2</v>
      </c>
      <c r="BV101">
        <v>7</v>
      </c>
      <c r="BW101">
        <v>5065.2</v>
      </c>
      <c r="BX101">
        <v>10</v>
      </c>
      <c r="BY101">
        <v>7236</v>
      </c>
      <c r="BZ101">
        <v>5</v>
      </c>
      <c r="CA101">
        <v>3618</v>
      </c>
      <c r="CB101">
        <v>12</v>
      </c>
      <c r="CC101">
        <v>8683.2000000000007</v>
      </c>
      <c r="CD101">
        <v>7</v>
      </c>
      <c r="CE101">
        <v>5065.2</v>
      </c>
      <c r="CF101">
        <v>9</v>
      </c>
      <c r="CG101">
        <v>6512.4000000000005</v>
      </c>
      <c r="CH101">
        <v>7</v>
      </c>
      <c r="CI101">
        <v>5065.2</v>
      </c>
      <c r="CJ101">
        <v>9</v>
      </c>
      <c r="CK101">
        <v>6512.4000000000005</v>
      </c>
      <c r="CL101">
        <v>11</v>
      </c>
      <c r="CM101">
        <v>7959.6</v>
      </c>
      <c r="CN101">
        <v>9</v>
      </c>
      <c r="CO101">
        <v>6512.4000000000005</v>
      </c>
      <c r="CP101">
        <v>10</v>
      </c>
      <c r="CQ101">
        <v>7236</v>
      </c>
      <c r="CR101">
        <v>10</v>
      </c>
      <c r="CS101">
        <v>7236</v>
      </c>
      <c r="CT101">
        <v>11</v>
      </c>
      <c r="CU101">
        <v>7959.6</v>
      </c>
    </row>
    <row r="102" spans="2:99">
      <c r="C102" s="99" t="s">
        <v>268</v>
      </c>
      <c r="D102">
        <v>6</v>
      </c>
      <c r="E102">
        <v>3189.6000000000004</v>
      </c>
      <c r="F102">
        <v>8</v>
      </c>
      <c r="G102">
        <v>4252.8</v>
      </c>
      <c r="H102">
        <v>8</v>
      </c>
      <c r="I102">
        <v>4252.8</v>
      </c>
      <c r="J102">
        <v>5</v>
      </c>
      <c r="K102">
        <v>2658</v>
      </c>
      <c r="L102">
        <v>9</v>
      </c>
      <c r="M102">
        <v>4784.4000000000005</v>
      </c>
      <c r="N102">
        <v>11</v>
      </c>
      <c r="O102">
        <v>5847.6</v>
      </c>
      <c r="P102">
        <v>8</v>
      </c>
      <c r="Q102">
        <v>4252.8</v>
      </c>
      <c r="R102">
        <v>10</v>
      </c>
      <c r="S102">
        <v>5316</v>
      </c>
      <c r="T102">
        <v>11</v>
      </c>
      <c r="U102">
        <v>5847.6</v>
      </c>
      <c r="V102">
        <v>6</v>
      </c>
      <c r="W102">
        <v>3189.6000000000004</v>
      </c>
      <c r="X102">
        <v>10</v>
      </c>
      <c r="Y102">
        <v>5316</v>
      </c>
      <c r="Z102">
        <v>10</v>
      </c>
      <c r="AA102">
        <v>5316</v>
      </c>
      <c r="AB102">
        <v>10</v>
      </c>
      <c r="AC102">
        <v>5316</v>
      </c>
      <c r="AD102">
        <v>6</v>
      </c>
      <c r="AE102">
        <v>3189.6000000000004</v>
      </c>
      <c r="AF102">
        <v>7</v>
      </c>
      <c r="AG102">
        <v>3721.2000000000003</v>
      </c>
      <c r="AH102">
        <v>10</v>
      </c>
      <c r="AI102">
        <v>5316</v>
      </c>
      <c r="AJ102">
        <v>6</v>
      </c>
      <c r="AK102">
        <v>3189.6000000000004</v>
      </c>
      <c r="AL102">
        <v>10</v>
      </c>
      <c r="AM102">
        <v>5316</v>
      </c>
      <c r="AN102">
        <v>7</v>
      </c>
      <c r="AO102">
        <v>3721.2000000000003</v>
      </c>
      <c r="AP102">
        <v>9</v>
      </c>
      <c r="AQ102">
        <v>4784.4000000000005</v>
      </c>
      <c r="AR102">
        <v>11</v>
      </c>
      <c r="AS102">
        <v>5847.6</v>
      </c>
      <c r="AT102">
        <v>8</v>
      </c>
      <c r="AU102">
        <v>4252.8</v>
      </c>
      <c r="AV102">
        <v>10</v>
      </c>
      <c r="AW102">
        <v>5316</v>
      </c>
      <c r="AX102">
        <v>6</v>
      </c>
      <c r="AY102">
        <v>3189.6000000000004</v>
      </c>
      <c r="AZ102">
        <v>9</v>
      </c>
      <c r="BA102">
        <v>4784.4000000000005</v>
      </c>
      <c r="BB102">
        <v>7</v>
      </c>
      <c r="BC102">
        <v>3721.2000000000003</v>
      </c>
      <c r="BD102">
        <v>11</v>
      </c>
      <c r="BE102">
        <v>5847.6</v>
      </c>
      <c r="BF102">
        <v>8</v>
      </c>
      <c r="BG102">
        <v>4252.8</v>
      </c>
      <c r="BH102">
        <v>9</v>
      </c>
      <c r="BI102">
        <v>4784.4000000000005</v>
      </c>
      <c r="BJ102">
        <v>7</v>
      </c>
      <c r="BK102">
        <v>3721.2000000000003</v>
      </c>
      <c r="BL102">
        <v>8</v>
      </c>
      <c r="BM102">
        <v>4252.8</v>
      </c>
      <c r="BN102">
        <v>6</v>
      </c>
      <c r="BO102">
        <v>3189.6000000000004</v>
      </c>
      <c r="BP102">
        <v>11</v>
      </c>
      <c r="BQ102">
        <v>5847.6</v>
      </c>
      <c r="BR102">
        <v>6</v>
      </c>
      <c r="BS102">
        <v>3189.6000000000004</v>
      </c>
      <c r="BT102">
        <v>7</v>
      </c>
      <c r="BU102">
        <v>3721.2000000000003</v>
      </c>
      <c r="BV102">
        <v>7</v>
      </c>
      <c r="BW102">
        <v>3721.2000000000003</v>
      </c>
      <c r="BX102">
        <v>11</v>
      </c>
      <c r="BY102">
        <v>5847.6</v>
      </c>
      <c r="BZ102">
        <v>5</v>
      </c>
      <c r="CA102">
        <v>2658</v>
      </c>
      <c r="CB102">
        <v>12</v>
      </c>
      <c r="CC102">
        <v>6379.2000000000007</v>
      </c>
      <c r="CD102">
        <v>8</v>
      </c>
      <c r="CE102">
        <v>4252.8</v>
      </c>
      <c r="CF102">
        <v>9</v>
      </c>
      <c r="CG102">
        <v>4784.4000000000005</v>
      </c>
      <c r="CH102">
        <v>7</v>
      </c>
      <c r="CI102">
        <v>3721.2000000000003</v>
      </c>
      <c r="CJ102">
        <v>9</v>
      </c>
      <c r="CK102">
        <v>4784.4000000000005</v>
      </c>
      <c r="CL102">
        <v>11</v>
      </c>
      <c r="CM102">
        <v>5847.6</v>
      </c>
      <c r="CN102">
        <v>9</v>
      </c>
      <c r="CO102">
        <v>4784.4000000000005</v>
      </c>
      <c r="CP102">
        <v>10</v>
      </c>
      <c r="CQ102">
        <v>5316</v>
      </c>
      <c r="CR102">
        <v>12</v>
      </c>
      <c r="CS102">
        <v>6379.2000000000007</v>
      </c>
      <c r="CT102">
        <v>11</v>
      </c>
      <c r="CU102">
        <v>5847.6</v>
      </c>
    </row>
    <row r="103" spans="2:99">
      <c r="C103" s="99" t="s">
        <v>269</v>
      </c>
      <c r="D103">
        <v>6</v>
      </c>
      <c r="E103">
        <v>3535.2</v>
      </c>
      <c r="F103">
        <v>7</v>
      </c>
      <c r="G103">
        <v>4124.3999999999996</v>
      </c>
      <c r="H103">
        <v>8</v>
      </c>
      <c r="I103">
        <v>4713.5999999999995</v>
      </c>
      <c r="J103">
        <v>5</v>
      </c>
      <c r="K103">
        <v>2945.9999999999995</v>
      </c>
      <c r="L103">
        <v>10</v>
      </c>
      <c r="M103">
        <v>5891.9999999999991</v>
      </c>
      <c r="N103">
        <v>11</v>
      </c>
      <c r="O103">
        <v>6481.1999999999989</v>
      </c>
      <c r="P103">
        <v>7</v>
      </c>
      <c r="Q103">
        <v>4124.3999999999996</v>
      </c>
      <c r="R103">
        <v>9</v>
      </c>
      <c r="S103">
        <v>5302.7999999999993</v>
      </c>
      <c r="T103">
        <v>11</v>
      </c>
      <c r="U103">
        <v>6481.1999999999989</v>
      </c>
      <c r="V103">
        <v>6</v>
      </c>
      <c r="W103">
        <v>3535.2</v>
      </c>
      <c r="X103">
        <v>10</v>
      </c>
      <c r="Y103">
        <v>5891.9999999999991</v>
      </c>
      <c r="Z103">
        <v>11</v>
      </c>
      <c r="AA103">
        <v>6481.1999999999989</v>
      </c>
      <c r="AB103">
        <v>8</v>
      </c>
      <c r="AC103">
        <v>4713.5999999999995</v>
      </c>
      <c r="AD103">
        <v>6</v>
      </c>
      <c r="AE103">
        <v>3535.2</v>
      </c>
      <c r="AF103">
        <v>7</v>
      </c>
      <c r="AG103">
        <v>4124.3999999999996</v>
      </c>
      <c r="AH103">
        <v>10</v>
      </c>
      <c r="AI103">
        <v>5891.9999999999991</v>
      </c>
      <c r="AJ103">
        <v>6</v>
      </c>
      <c r="AK103">
        <v>3535.2</v>
      </c>
      <c r="AL103">
        <v>9</v>
      </c>
      <c r="AM103">
        <v>5302.7999999999993</v>
      </c>
      <c r="AN103">
        <v>7</v>
      </c>
      <c r="AO103">
        <v>4124.3999999999996</v>
      </c>
      <c r="AP103">
        <v>9</v>
      </c>
      <c r="AQ103">
        <v>5302.7999999999993</v>
      </c>
      <c r="AR103">
        <v>10</v>
      </c>
      <c r="AS103">
        <v>5891.9999999999991</v>
      </c>
      <c r="AT103">
        <v>8</v>
      </c>
      <c r="AU103">
        <v>4713.5999999999995</v>
      </c>
      <c r="AV103">
        <v>11</v>
      </c>
      <c r="AW103">
        <v>6481.1999999999989</v>
      </c>
      <c r="AX103">
        <v>6</v>
      </c>
      <c r="AY103">
        <v>3535.2</v>
      </c>
      <c r="AZ103">
        <v>10</v>
      </c>
      <c r="BA103">
        <v>5891.9999999999991</v>
      </c>
      <c r="BB103">
        <v>7</v>
      </c>
      <c r="BC103">
        <v>4124.3999999999996</v>
      </c>
      <c r="BD103">
        <v>11</v>
      </c>
      <c r="BE103">
        <v>6481.1999999999989</v>
      </c>
      <c r="BF103">
        <v>8</v>
      </c>
      <c r="BG103">
        <v>4713.5999999999995</v>
      </c>
      <c r="BH103">
        <v>10</v>
      </c>
      <c r="BI103">
        <v>5891.9999999999991</v>
      </c>
      <c r="BJ103">
        <v>7</v>
      </c>
      <c r="BK103">
        <v>4124.3999999999996</v>
      </c>
      <c r="BL103">
        <v>9</v>
      </c>
      <c r="BM103">
        <v>5302.7999999999993</v>
      </c>
      <c r="BN103">
        <v>6</v>
      </c>
      <c r="BO103">
        <v>3535.2</v>
      </c>
      <c r="BP103">
        <v>10</v>
      </c>
      <c r="BQ103">
        <v>5891.9999999999991</v>
      </c>
      <c r="BR103">
        <v>7</v>
      </c>
      <c r="BS103">
        <v>4124.3999999999996</v>
      </c>
      <c r="BT103">
        <v>7</v>
      </c>
      <c r="BU103">
        <v>4124.3999999999996</v>
      </c>
      <c r="BV103">
        <v>8</v>
      </c>
      <c r="BW103">
        <v>4713.5999999999995</v>
      </c>
      <c r="BX103">
        <v>10</v>
      </c>
      <c r="BY103">
        <v>5891.9999999999991</v>
      </c>
      <c r="BZ103">
        <v>6</v>
      </c>
      <c r="CA103">
        <v>3535.2</v>
      </c>
      <c r="CB103">
        <v>12</v>
      </c>
      <c r="CC103">
        <v>7070.4</v>
      </c>
      <c r="CD103">
        <v>8</v>
      </c>
      <c r="CE103">
        <v>4713.5999999999995</v>
      </c>
      <c r="CF103">
        <v>8</v>
      </c>
      <c r="CG103">
        <v>4713.5999999999995</v>
      </c>
      <c r="CH103">
        <v>8</v>
      </c>
      <c r="CI103">
        <v>4713.5999999999995</v>
      </c>
      <c r="CJ103">
        <v>9</v>
      </c>
      <c r="CK103">
        <v>5302.7999999999993</v>
      </c>
      <c r="CL103">
        <v>10</v>
      </c>
      <c r="CM103">
        <v>5891.9999999999991</v>
      </c>
      <c r="CN103">
        <v>10</v>
      </c>
      <c r="CO103">
        <v>5891.9999999999991</v>
      </c>
      <c r="CP103">
        <v>10</v>
      </c>
      <c r="CQ103">
        <v>5891.9999999999991</v>
      </c>
      <c r="CR103">
        <v>12</v>
      </c>
      <c r="CS103">
        <v>7070.4</v>
      </c>
      <c r="CT103">
        <v>10</v>
      </c>
      <c r="CU103">
        <v>5891.9999999999991</v>
      </c>
    </row>
    <row r="104" spans="2:99">
      <c r="C104" s="99" t="s">
        <v>270</v>
      </c>
      <c r="D104">
        <v>6</v>
      </c>
      <c r="E104">
        <v>3794.3999999999996</v>
      </c>
      <c r="F104">
        <v>7</v>
      </c>
      <c r="G104">
        <v>4426.8</v>
      </c>
      <c r="H104">
        <v>8</v>
      </c>
      <c r="I104">
        <v>5059.2</v>
      </c>
      <c r="J104">
        <v>6</v>
      </c>
      <c r="K104">
        <v>3794.3999999999996</v>
      </c>
      <c r="L104">
        <v>9</v>
      </c>
      <c r="M104">
        <v>5691.5999999999995</v>
      </c>
      <c r="N104">
        <v>10</v>
      </c>
      <c r="O104">
        <v>6324</v>
      </c>
      <c r="P104">
        <v>8</v>
      </c>
      <c r="Q104">
        <v>5059.2</v>
      </c>
      <c r="R104">
        <v>9</v>
      </c>
      <c r="S104">
        <v>5691.5999999999995</v>
      </c>
      <c r="T104">
        <v>10</v>
      </c>
      <c r="U104">
        <v>6324</v>
      </c>
      <c r="V104">
        <v>5</v>
      </c>
      <c r="W104">
        <v>3162</v>
      </c>
      <c r="X104">
        <v>9</v>
      </c>
      <c r="Y104">
        <v>5691.5999999999995</v>
      </c>
      <c r="Z104">
        <v>11</v>
      </c>
      <c r="AA104">
        <v>6956.4</v>
      </c>
      <c r="AB104">
        <v>9</v>
      </c>
      <c r="AC104">
        <v>5691.5999999999995</v>
      </c>
      <c r="AD104">
        <v>6</v>
      </c>
      <c r="AE104">
        <v>3794.3999999999996</v>
      </c>
      <c r="AF104">
        <v>6</v>
      </c>
      <c r="AG104">
        <v>3794.3999999999996</v>
      </c>
      <c r="AH104">
        <v>11</v>
      </c>
      <c r="AI104">
        <v>6956.4</v>
      </c>
      <c r="AJ104">
        <v>7</v>
      </c>
      <c r="AK104">
        <v>4426.8</v>
      </c>
      <c r="AL104">
        <v>9</v>
      </c>
      <c r="AM104">
        <v>5691.5999999999995</v>
      </c>
      <c r="AN104">
        <v>7</v>
      </c>
      <c r="AO104">
        <v>4426.8</v>
      </c>
      <c r="AP104">
        <v>9</v>
      </c>
      <c r="AQ104">
        <v>5691.5999999999995</v>
      </c>
      <c r="AR104">
        <v>11</v>
      </c>
      <c r="AS104">
        <v>6956.4</v>
      </c>
      <c r="AT104">
        <v>7</v>
      </c>
      <c r="AU104">
        <v>4426.8</v>
      </c>
      <c r="AV104">
        <v>11</v>
      </c>
      <c r="AW104">
        <v>6956.4</v>
      </c>
      <c r="AX104">
        <v>6</v>
      </c>
      <c r="AY104">
        <v>3794.3999999999996</v>
      </c>
      <c r="AZ104">
        <v>10</v>
      </c>
      <c r="BA104">
        <v>6324</v>
      </c>
      <c r="BB104">
        <v>8</v>
      </c>
      <c r="BC104">
        <v>5059.2</v>
      </c>
      <c r="BD104">
        <v>10</v>
      </c>
      <c r="BE104">
        <v>6324</v>
      </c>
      <c r="BF104">
        <v>7</v>
      </c>
      <c r="BG104">
        <v>4426.8</v>
      </c>
      <c r="BH104">
        <v>9</v>
      </c>
      <c r="BI104">
        <v>5691.5999999999995</v>
      </c>
      <c r="BJ104">
        <v>7</v>
      </c>
      <c r="BK104">
        <v>4426.8</v>
      </c>
      <c r="BL104">
        <v>9</v>
      </c>
      <c r="BM104">
        <v>5691.5999999999995</v>
      </c>
      <c r="BN104">
        <v>6</v>
      </c>
      <c r="BO104">
        <v>3794.3999999999996</v>
      </c>
      <c r="BP104">
        <v>11</v>
      </c>
      <c r="BQ104">
        <v>6956.4</v>
      </c>
      <c r="BR104">
        <v>6</v>
      </c>
      <c r="BS104">
        <v>3794.3999999999996</v>
      </c>
      <c r="BT104">
        <v>7</v>
      </c>
      <c r="BU104">
        <v>4426.8</v>
      </c>
      <c r="BV104">
        <v>8</v>
      </c>
      <c r="BW104">
        <v>5059.2</v>
      </c>
      <c r="BX104">
        <v>11</v>
      </c>
      <c r="BY104">
        <v>6956.4</v>
      </c>
      <c r="BZ104">
        <v>6</v>
      </c>
      <c r="CA104">
        <v>3794.3999999999996</v>
      </c>
      <c r="CB104">
        <v>10</v>
      </c>
      <c r="CC104">
        <v>6324</v>
      </c>
      <c r="CD104">
        <v>7</v>
      </c>
      <c r="CE104">
        <v>4426.8</v>
      </c>
      <c r="CF104">
        <v>9</v>
      </c>
      <c r="CG104">
        <v>5691.5999999999995</v>
      </c>
      <c r="CH104">
        <v>7</v>
      </c>
      <c r="CI104">
        <v>4426.8</v>
      </c>
      <c r="CJ104">
        <v>9</v>
      </c>
      <c r="CK104">
        <v>5691.5999999999995</v>
      </c>
      <c r="CL104">
        <v>10</v>
      </c>
      <c r="CM104">
        <v>6324</v>
      </c>
      <c r="CN104">
        <v>10</v>
      </c>
      <c r="CO104">
        <v>6324</v>
      </c>
      <c r="CP104">
        <v>12</v>
      </c>
      <c r="CQ104">
        <v>7588.7999999999993</v>
      </c>
      <c r="CR104">
        <v>11</v>
      </c>
      <c r="CS104">
        <v>6956.4</v>
      </c>
      <c r="CT104">
        <v>10</v>
      </c>
      <c r="CU104">
        <v>6324</v>
      </c>
    </row>
    <row r="105" spans="2:99">
      <c r="C105" s="99" t="s">
        <v>271</v>
      </c>
      <c r="D105">
        <v>6</v>
      </c>
      <c r="E105">
        <v>3340.7999999999997</v>
      </c>
      <c r="F105">
        <v>7</v>
      </c>
      <c r="G105">
        <v>3897.5999999999995</v>
      </c>
      <c r="H105">
        <v>7</v>
      </c>
      <c r="I105">
        <v>3897.5999999999995</v>
      </c>
      <c r="J105">
        <v>6</v>
      </c>
      <c r="K105">
        <v>3340.7999999999997</v>
      </c>
      <c r="L105">
        <v>10</v>
      </c>
      <c r="M105">
        <v>5568</v>
      </c>
      <c r="N105">
        <v>11</v>
      </c>
      <c r="O105">
        <v>6124.7999999999993</v>
      </c>
      <c r="P105">
        <v>7</v>
      </c>
      <c r="Q105">
        <v>3897.5999999999995</v>
      </c>
      <c r="R105">
        <v>9</v>
      </c>
      <c r="S105">
        <v>5011.2</v>
      </c>
      <c r="T105">
        <v>9</v>
      </c>
      <c r="U105">
        <v>5011.2</v>
      </c>
      <c r="V105">
        <v>5</v>
      </c>
      <c r="W105">
        <v>2784</v>
      </c>
      <c r="X105">
        <v>10</v>
      </c>
      <c r="Y105">
        <v>5568</v>
      </c>
      <c r="Z105">
        <v>10</v>
      </c>
      <c r="AA105">
        <v>5568</v>
      </c>
      <c r="AB105">
        <v>9</v>
      </c>
      <c r="AC105">
        <v>5011.2</v>
      </c>
      <c r="AD105">
        <v>6</v>
      </c>
      <c r="AE105">
        <v>3340.7999999999997</v>
      </c>
      <c r="AF105">
        <v>6</v>
      </c>
      <c r="AG105">
        <v>3340.7999999999997</v>
      </c>
      <c r="AH105">
        <v>10</v>
      </c>
      <c r="AI105">
        <v>5568</v>
      </c>
      <c r="AJ105">
        <v>7</v>
      </c>
      <c r="AK105">
        <v>3897.5999999999995</v>
      </c>
      <c r="AL105">
        <v>9</v>
      </c>
      <c r="AM105">
        <v>5011.2</v>
      </c>
      <c r="AN105">
        <v>6</v>
      </c>
      <c r="AO105">
        <v>3340.7999999999997</v>
      </c>
      <c r="AP105">
        <v>9</v>
      </c>
      <c r="AQ105">
        <v>5011.2</v>
      </c>
      <c r="AR105">
        <v>11</v>
      </c>
      <c r="AS105">
        <v>6124.7999999999993</v>
      </c>
      <c r="AT105">
        <v>8</v>
      </c>
      <c r="AU105">
        <v>4454.3999999999996</v>
      </c>
      <c r="AV105">
        <v>11</v>
      </c>
      <c r="AW105">
        <v>6124.7999999999993</v>
      </c>
      <c r="AX105">
        <v>7</v>
      </c>
      <c r="AY105">
        <v>3897.5999999999995</v>
      </c>
      <c r="AZ105">
        <v>11</v>
      </c>
      <c r="BA105">
        <v>6124.7999999999993</v>
      </c>
      <c r="BB105">
        <v>7</v>
      </c>
      <c r="BC105">
        <v>3897.5999999999995</v>
      </c>
      <c r="BD105">
        <v>11</v>
      </c>
      <c r="BE105">
        <v>6124.7999999999993</v>
      </c>
      <c r="BF105">
        <v>8</v>
      </c>
      <c r="BG105">
        <v>4454.3999999999996</v>
      </c>
      <c r="BH105">
        <v>8</v>
      </c>
      <c r="BI105">
        <v>4454.3999999999996</v>
      </c>
      <c r="BJ105">
        <v>7</v>
      </c>
      <c r="BK105">
        <v>3897.5999999999995</v>
      </c>
      <c r="BL105">
        <v>10</v>
      </c>
      <c r="BM105">
        <v>5568</v>
      </c>
      <c r="BN105">
        <v>6</v>
      </c>
      <c r="BO105">
        <v>3340.7999999999997</v>
      </c>
      <c r="BP105">
        <v>12</v>
      </c>
      <c r="BQ105">
        <v>6681.5999999999995</v>
      </c>
      <c r="BR105">
        <v>6</v>
      </c>
      <c r="BS105">
        <v>3340.7999999999997</v>
      </c>
      <c r="BT105">
        <v>7</v>
      </c>
      <c r="BU105">
        <v>3897.5999999999995</v>
      </c>
      <c r="BV105">
        <v>8</v>
      </c>
      <c r="BW105">
        <v>4454.3999999999996</v>
      </c>
      <c r="BX105">
        <v>10</v>
      </c>
      <c r="BY105">
        <v>5568</v>
      </c>
      <c r="BZ105">
        <v>6</v>
      </c>
      <c r="CA105">
        <v>3340.7999999999997</v>
      </c>
      <c r="CB105">
        <v>11</v>
      </c>
      <c r="CC105">
        <v>6124.7999999999993</v>
      </c>
      <c r="CD105">
        <v>8</v>
      </c>
      <c r="CE105">
        <v>4454.3999999999996</v>
      </c>
      <c r="CF105">
        <v>9</v>
      </c>
      <c r="CG105">
        <v>5011.2</v>
      </c>
      <c r="CH105">
        <v>8</v>
      </c>
      <c r="CI105">
        <v>4454.3999999999996</v>
      </c>
      <c r="CJ105">
        <v>9</v>
      </c>
      <c r="CK105">
        <v>5011.2</v>
      </c>
      <c r="CL105">
        <v>11</v>
      </c>
      <c r="CM105">
        <v>6124.7999999999993</v>
      </c>
      <c r="CN105">
        <v>10</v>
      </c>
      <c r="CO105">
        <v>5568</v>
      </c>
      <c r="CP105">
        <v>11</v>
      </c>
      <c r="CQ105">
        <v>6124.7999999999993</v>
      </c>
      <c r="CR105">
        <v>10</v>
      </c>
      <c r="CS105">
        <v>5568</v>
      </c>
      <c r="CT105">
        <v>11</v>
      </c>
      <c r="CU105">
        <v>6124.7999999999993</v>
      </c>
    </row>
    <row r="107" spans="2:99">
      <c r="B107" s="102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>
        <f>SUM(D$6:D$19)+SUM(F$6:F$19)+SUM(H$6:H$19)+SUM(J$6:J$19)</f>
        <v>986.90401729635482</v>
      </c>
      <c r="E109">
        <f>SUM(L$6:L$19)+SUM(N$6:N$19)+SUM(P$6:P$19)+SUM(R$6:R$19)</f>
        <v>1098.9153867939519</v>
      </c>
      <c r="F109">
        <f>SUM(T$6:T$19)+SUM(V$6:V$19)+SUM(X$6:X$19)+SUM(Z$6:Z$19)</f>
        <v>1023</v>
      </c>
      <c r="G109">
        <f>SUM(AB$6:AB$19)+SUM(AD$6:AD$19)+SUM(AF$6:AF$19)+SUM(AH$6:AH$19)</f>
        <v>1165</v>
      </c>
      <c r="H109">
        <f>SUM(AJ$6:AJ$19)+SUM(AL$6:AL$19)+SUM(AN$6:AN$19)+SUM(AP$6:AP$19)</f>
        <v>1226.8011676741353</v>
      </c>
      <c r="I109">
        <f>SUM(AR$6:AR$19)+SUM(AT$6:AT$19)+SUM(AV$6:AV$19)+SUM(AX$6:AX$19)</f>
        <v>1115.3764053211648</v>
      </c>
      <c r="J109">
        <f>SUM(AZ$6:AZ$19)+SUM(BB$6:BB$19)+SUM(BD$6:BD$19)+SUM(BF$6:BF$19)</f>
        <v>1015</v>
      </c>
      <c r="K109">
        <f>SUM(BH$6:BH$19)+SUM(BJ$6:BJ$19)+SUM(BL$6:BL$19)+SUM(BN$6:BN$19)</f>
        <v>1325</v>
      </c>
      <c r="L109">
        <f>SUM(BP$6:BP$19)+SUM(BR$6:BR$19)+SUM(BT$6:BT$19)+SUM(BV$6:BV$19)</f>
        <v>1125</v>
      </c>
      <c r="M109">
        <f>SUM(BX$6:BX$19)+SUM(BZ$6:BZ$19)+SUM(CB$6:CB$19)+SUM(CD$6:CD$19)</f>
        <v>1231</v>
      </c>
      <c r="N109">
        <f>SUM(CF$6:CF$19)+SUM(CH$6:CH$19)+SUM(CJ$6:CJ$19)+SUM(CL$6:CL$19)</f>
        <v>1146.2406725273663</v>
      </c>
      <c r="O109">
        <f>SUM(CN$6:CN$19)+SUM(CP$6:CP$19)+SUM(CR$6:CR$19)+SUM(CT$6:CT$19)</f>
        <v>1298</v>
      </c>
    </row>
    <row r="110" spans="2:99">
      <c r="C110" s="99" t="s">
        <v>127</v>
      </c>
      <c r="D110">
        <f>SUM(D$20:D$36)+SUM(F$20:F$36)+SUM(H$20:H$36)+SUM(J$20:J$36)</f>
        <v>1317.5219669876897</v>
      </c>
      <c r="E110">
        <f>SUM(L$20:L$36)+SUM(N$20:N$36)+SUM(P$20:P$36)+SUM(R$20:R$36)</f>
        <v>1263.0786414478889</v>
      </c>
      <c r="F110">
        <f>SUM(T$20:T$36)+SUM(V$20:V$36)+SUM(X$20:X$36)+SUM(Z$20:Z$36)</f>
        <v>1559</v>
      </c>
      <c r="G110">
        <f>SUM(AB$20:AB$36)+SUM(AD$20:AD$36)+SUM(AF$20:AF$36)+SUM(AH$20:AH$36)</f>
        <v>1352</v>
      </c>
      <c r="H110">
        <f>SUM(AJ$20:AJ$36)+SUM(AL$20:AL$36)+SUM(AN$20:AN$36)+SUM(AP$20:AP$36)</f>
        <v>1414.0469528479414</v>
      </c>
      <c r="I110">
        <f>SUM(AR$20:AR$36)+SUM(AT$20:AT$36)+SUM(AV$20:AV$36)+SUM(AX$20:AX$36)</f>
        <v>1307.2400681642675</v>
      </c>
      <c r="J110">
        <f>SUM(AZ$20:AZ$36)+SUM(BB$20:BB$36)+SUM(BD$20:BD$36)+SUM(BF$20:BF$36)</f>
        <v>1581</v>
      </c>
      <c r="K110">
        <f>SUM(BH$20:BH$36)+SUM(BJ$20:BJ$36)+SUM(BL$20:BL$36)+SUM(BN$20:BN$36)</f>
        <v>1616</v>
      </c>
      <c r="L110">
        <f>SUM(BP$20:BP$36)+SUM(BR$20:BR$36)+SUM(BT$20:BT$36)+SUM(BV$20:BV$36)</f>
        <v>1797</v>
      </c>
      <c r="M110">
        <f>SUM(BX$20:BX$36)+SUM(BZ$20:BZ$36)+SUM(CB$20:CB$36)+SUM(CD$20:CD$36)</f>
        <v>1804</v>
      </c>
      <c r="N110">
        <f>SUM(CF$20:CF$36)+SUM(CH$20:CH$36)+SUM(CJ$20:CJ$36)+SUM(CL$20:CL$36)</f>
        <v>1351.9459591465431</v>
      </c>
      <c r="O110">
        <f>SUM(CN$20:CN$36)+SUM(CP$20:CP$36)+SUM(CR$20:CR$36)+SUM(CT$20:CT$36)</f>
        <v>1456</v>
      </c>
    </row>
    <row r="111" spans="2:99">
      <c r="C111" s="99" t="s">
        <v>128</v>
      </c>
      <c r="D111">
        <f>SUM(D$37:D$48)+SUM(F$37:F$48)+SUM(H$37:H$48)+SUM(J$37:J$48)</f>
        <v>810.33237673334293</v>
      </c>
      <c r="E111">
        <f>SUM(L$37:L$48)+SUM(N$37:N$48)+SUM(P$37:P$48)+SUM(R$37:R$48)</f>
        <v>497.47159653937865</v>
      </c>
      <c r="F111">
        <f>SUM(T$37:T$48)+SUM(V$37:V$48)+SUM(X$37:X$48)+SUM(Z$37:Z$48)</f>
        <v>598</v>
      </c>
      <c r="G111">
        <f>SUM(AB$37:AB$48)+SUM(AD$37:AD$48)+SUM(AF$37:AF$48)+SUM(AH$37:AH$48)</f>
        <v>569</v>
      </c>
      <c r="H111">
        <f>SUM(AJ$37:AJ$48)+SUM(AL$37:AL$48)+SUM(AN$37:AN$48)+SUM(AP$37:AP$48)</f>
        <v>682.7467460910068</v>
      </c>
      <c r="I111">
        <f>SUM(AR$37:AR$48)+SUM(AT$37:AT$48)+SUM(AV$37:AV$48)+SUM(AX$37:AX$48)</f>
        <v>776.51837464724451</v>
      </c>
      <c r="J111">
        <f>SUM(AZ$37:AZ$48)+SUM(BB$37:BB$48)+SUM(BD$37:BD$48)+SUM(BF$37:BF$48)</f>
        <v>752</v>
      </c>
      <c r="K111">
        <f>SUM(BH$37:BH$48)+SUM(BJ$37:BJ$48)+SUM(BL$37:BL$48)+SUM(BN$37:BN$48)</f>
        <v>644</v>
      </c>
      <c r="L111">
        <f>SUM(BP$37:BP$48)+SUM(BR$37:BR$48)+SUM(BT$37:BT$48)+SUM(BV$37:BV$48)</f>
        <v>600</v>
      </c>
      <c r="M111">
        <f>SUM(BX$37:BX$48)+SUM(BZ$37:BZ$48)+SUM(CB$37:CB$48)+SUM(CD$37:CD$48)</f>
        <v>789</v>
      </c>
      <c r="N111">
        <f>SUM(CF$37:CF$48)+SUM(CH$37:CH$48)+SUM(CJ$37:CJ$48)+SUM(CL$37:CL$48)</f>
        <v>546.68777420960839</v>
      </c>
      <c r="O111">
        <f>SUM(CN$37:CN$48)+SUM(CP$37:CP$48)+SUM(CR$37:CR$48)+SUM(CT$37:CT$48)</f>
        <v>611</v>
      </c>
    </row>
    <row r="112" spans="2:99">
      <c r="C112" s="99" t="s">
        <v>129</v>
      </c>
      <c r="D112">
        <f>SUM(D$49:D$70)+SUM(F$49:F$70)+SUM(H$49:H$70)+SUM(J$49:J$70)</f>
        <v>1315.0969719977008</v>
      </c>
      <c r="E112">
        <f>SUM(L$49:L$70)+SUM(N$49:N$70)+SUM(P$49:P$70)+SUM(R$49:R$70)</f>
        <v>1042.4982084725523</v>
      </c>
      <c r="F112">
        <f>SUM(T$49:T$70)+SUM(V$49:V$70)+SUM(X$49:X$70)+SUM(Z$49:Z$70)</f>
        <v>1071</v>
      </c>
      <c r="G112">
        <f>SUM(AB$49:AB$70)+SUM(AD$49:AD$70)+SUM(AF$49:AF$70)+SUM(AH$49:AH$70)</f>
        <v>1168</v>
      </c>
      <c r="H112">
        <f>SUM(AJ$49:AJ$70)+SUM(AL$49:AL$70)+SUM(AN$49:AN$70)+SUM(AP$49:AP$70)</f>
        <v>1065.5703928381758</v>
      </c>
      <c r="I112">
        <f>SUM(AR$49:AR$70)+SUM(AT$49:AT$70)+SUM(AV$49:AV$70)+SUM(AX$49:AX$70)</f>
        <v>946.828985121095</v>
      </c>
      <c r="J112">
        <f>SUM(AZ$49:AZ$70)+SUM(BB$49:BB$70)+SUM(BD$49:BD$70)+SUM(BF$49:BF$70)</f>
        <v>986</v>
      </c>
      <c r="K112">
        <f>SUM(BH$49:BH$70)+SUM(BJ$49:BJ$70)+SUM(BL$49:BL$70)+SUM(BN$49:BN$70)</f>
        <v>1078</v>
      </c>
      <c r="L112">
        <f>SUM(BP$49:BP$70)+SUM(BR$49:BR$70)+SUM(BT$49:BT$70)+SUM(BV$49:BV$70)</f>
        <v>1095</v>
      </c>
      <c r="M112">
        <f>SUM(BX$49:BX$70)+SUM(BZ$49:BZ$70)+SUM(CB$49:CB$70)+SUM(CD$49:CD$70)</f>
        <v>973</v>
      </c>
      <c r="N112">
        <f>SUM(CF$49:CF$70)+SUM(CH$49:CH$70)+SUM(CJ$49:CJ$70)+SUM(CL$49:CL$70)</f>
        <v>944.2688018212184</v>
      </c>
      <c r="O112">
        <f>SUM(CN$49:CN$70)+SUM(CP$49:CP$70)+SUM(CR$49:CR$70)+SUM(CT$49:CT$70)</f>
        <v>1211</v>
      </c>
    </row>
    <row r="113" spans="2:15">
      <c r="C113" s="99" t="s">
        <v>130</v>
      </c>
      <c r="D113">
        <f>SUM(D$71:D$86)+SUM(F$71:F$86)+SUM(H$71:H$86)+SUM(J$71:J$86)</f>
        <v>456</v>
      </c>
      <c r="E113">
        <f>SUM(L$71:L$86)+SUM(N$71:N$86)+SUM(P$71:P$86)+SUM(R$71:R$86)</f>
        <v>545</v>
      </c>
      <c r="F113">
        <f>SUM(T$71:T$86)+SUM(V$71:V$86)+SUM(X$71:X$86)+SUM(Z$71:Z$86)</f>
        <v>444</v>
      </c>
      <c r="G113">
        <f>SUM(AB$71:AB$86)+SUM(AD$71:AD$86)+SUM(AF$71:AF$86)+SUM(AH$71:AH$86)</f>
        <v>480</v>
      </c>
      <c r="H113">
        <f>SUM(AJ$71:AJ$86)+SUM(AL$71:AL$86)+SUM(AN$71:AN$86)+SUM(AP$71:AP$86)</f>
        <v>523</v>
      </c>
      <c r="I113">
        <f>SUM(AR$71:AR$86)+SUM(AT$71:AT$86)+SUM(AV$71:AV$86)+SUM(AX$71:AX$86)</f>
        <v>458</v>
      </c>
      <c r="J113">
        <f>SUM(AZ$71:AZ$86)+SUM(BB$71:BB$86)+SUM(BD$71:BD$86)+SUM(BF$71:BF$86)</f>
        <v>496</v>
      </c>
      <c r="K113">
        <f>SUM(BH$71:BH$86)+SUM(BJ$71:BJ$86)+SUM(BL$71:BL$86)+SUM(BN$71:BN$86)</f>
        <v>519</v>
      </c>
      <c r="L113">
        <f>SUM(BP$71:BP$86)+SUM(BR$71:BR$86)+SUM(BT$71:BT$86)+SUM(BV$71:BV$86)</f>
        <v>557</v>
      </c>
      <c r="M113">
        <f>SUM(BX$71:BX$86)+SUM(BZ$71:BZ$86)+SUM(CB$71:CB$86)+SUM(CD$71:CD$86)</f>
        <v>601</v>
      </c>
      <c r="N113">
        <f>SUM(CF$71:CF$86)+SUM(CH$71:CH$86)+SUM(CJ$71:CJ$86)+SUM(CL$71:CL$86)</f>
        <v>465</v>
      </c>
      <c r="O113">
        <f>SUM(CN$71:CN$86)+SUM(CP$71:CP$86)+SUM(CR$71:CR$86)+SUM(CT$71:CT$86)</f>
        <v>455</v>
      </c>
    </row>
    <row r="114" spans="2:15">
      <c r="C114" s="99" t="s">
        <v>131</v>
      </c>
      <c r="D114">
        <f>SUM(D$87:D$94)+SUM(F$87:F$94)+SUM(H$87:H$94)+SUM(J$87:J$94)</f>
        <v>275</v>
      </c>
      <c r="E114">
        <f>SUM(L$87:L$94)+SUM(N$87:N$94)+SUM(P$87:P$94)+SUM(R$87:R$94)</f>
        <v>298</v>
      </c>
      <c r="F114">
        <f>SUM(T$87:T$94)+SUM(V$87:V$94)+SUM(X$87:X$94)+SUM(Z$87:Z$94)</f>
        <v>319</v>
      </c>
      <c r="G114">
        <f>SUM(AB$87:AB$94)+SUM(AD$87:AD$94)+SUM(AF$87:AF$94)+SUM(AH$87:AH$94)</f>
        <v>258</v>
      </c>
      <c r="H114">
        <f>SUM(AJ$87:AJ$94)+SUM(AL$87:AL$94)+SUM(AN$87:AN$94)+SUM(AP$87:AP$94)</f>
        <v>263</v>
      </c>
      <c r="I114">
        <f>SUM(AR$87:AR$94)+SUM(AT$87:AT$94)+SUM(AV$87:AV$94)+SUM(AX$87:AX$94)</f>
        <v>261</v>
      </c>
      <c r="J114">
        <f>SUM(AZ$87:AZ$94)+SUM(BB$87:BB$94)+SUM(BD$87:BD$94)+SUM(BF$87:BF$94)</f>
        <v>299</v>
      </c>
      <c r="K114">
        <f>SUM(BH$87:BH$94)+SUM(BJ$87:BJ$94)+SUM(BL$87:BL$94)+SUM(BN$87:BN$94)</f>
        <v>333</v>
      </c>
      <c r="L114">
        <f>SUM(BP$87:BP$94)+SUM(BR$87:BR$94)+SUM(BT$87:BT$94)+SUM(BV$87:BV$94)</f>
        <v>315</v>
      </c>
      <c r="M114">
        <f>SUM(BX$87:BX$94)+SUM(BZ$87:BZ$94)+SUM(CB$87:CB$94)+SUM(CD$87:CD$94)</f>
        <v>319</v>
      </c>
      <c r="N114">
        <f>SUM(CF$87:CF$94)+SUM(CH$87:CH$94)+SUM(CJ$87:CJ$94)+SUM(CL$87:CL$94)</f>
        <v>317</v>
      </c>
      <c r="O114">
        <f>SUM(CN$87:CN$94)+SUM(CP$87:CP$94)+SUM(CR$87:CR$94)+SUM(CT$87:CT$94)</f>
        <v>297</v>
      </c>
    </row>
    <row r="115" spans="2:15">
      <c r="C115" s="99" t="s">
        <v>132</v>
      </c>
      <c r="D115">
        <f>SUM(D$95:D$105)+SUM(F$95:F$105)+SUM(H$95:H$105)+SUM(J$95:J$105)</f>
        <v>290</v>
      </c>
      <c r="E115">
        <f>SUM(L$95:L$105)+SUM(N$95:N$105)+SUM(P$95:P$105)+SUM(R$95:R$105)</f>
        <v>390</v>
      </c>
      <c r="F115">
        <f>SUM(T$95:T$105)+SUM(V$95:V$105)+SUM(X$95:X$105)+SUM(Z$95:Z$105)</f>
        <v>390</v>
      </c>
      <c r="G115">
        <f>SUM(AB$95:AB$105)+SUM(AD$95:AD$105)+SUM(AF$95:AF$105)+SUM(AH$95:AH$105)</f>
        <v>346</v>
      </c>
      <c r="H115">
        <f>SUM(AJ$95:AJ$105)+SUM(AL$95:AL$105)+SUM(AN$95:AN$105)+SUM(AP$95:AP$105)</f>
        <v>332</v>
      </c>
      <c r="I115">
        <f>SUM(AR$95:AR$105)+SUM(AT$95:AT$105)+SUM(AV$95:AV$105)+SUM(AX$95:AX$105)</f>
        <v>382</v>
      </c>
      <c r="J115">
        <f>SUM(AZ$95:AZ$105)+SUM(BB$95:BB$105)+SUM(BD$95:BD$105)+SUM(BF$95:BF$105)</f>
        <v>387</v>
      </c>
      <c r="K115">
        <f>SUM(BH$95:BH$105)+SUM(BJ$95:BJ$105)+SUM(BL$95:BL$105)+SUM(BN$95:BN$105)</f>
        <v>344</v>
      </c>
      <c r="L115">
        <f>SUM(BP$95:BP$105)+SUM(BR$95:BR$105)+SUM(BT$95:BT$105)+SUM(BV$95:BV$105)</f>
        <v>345</v>
      </c>
      <c r="M115">
        <f>SUM(BX$95:BX$105)+SUM(BZ$95:BZ$105)+SUM(CB$95:CB$105)+SUM(CD$95:CD$105)</f>
        <v>382</v>
      </c>
      <c r="N115">
        <f>SUM(CF$95:CF$105)+SUM(CH$95:CH$105)+SUM(CJ$95:CJ$105)+SUM(CL$95:CL$105)</f>
        <v>380</v>
      </c>
      <c r="O115">
        <f>SUM(CN$95:CN$105)+SUM(CP$95:CP$105)+SUM(CR$95:CR$105)+SUM(CT$95:CT$105)</f>
        <v>450</v>
      </c>
    </row>
    <row r="116" spans="2:15">
      <c r="C116" s="99" t="s">
        <v>278</v>
      </c>
      <c r="D116">
        <f t="shared" ref="D116:O116" si="0">SUM(D$109:D$115)</f>
        <v>5450.8553330150889</v>
      </c>
      <c r="E116">
        <f t="shared" si="0"/>
        <v>5134.9638332537725</v>
      </c>
      <c r="F116">
        <f t="shared" si="0"/>
        <v>5404</v>
      </c>
      <c r="G116">
        <f t="shared" si="0"/>
        <v>5338</v>
      </c>
      <c r="H116">
        <f t="shared" si="0"/>
        <v>5507.1652594512598</v>
      </c>
      <c r="I116">
        <f t="shared" si="0"/>
        <v>5246.9638332537716</v>
      </c>
      <c r="J116">
        <f t="shared" si="0"/>
        <v>5516</v>
      </c>
      <c r="K116">
        <f t="shared" si="0"/>
        <v>5859</v>
      </c>
      <c r="L116">
        <f t="shared" si="0"/>
        <v>5834</v>
      </c>
      <c r="M116">
        <f t="shared" si="0"/>
        <v>6099</v>
      </c>
      <c r="N116">
        <f t="shared" si="0"/>
        <v>5151.1432077047366</v>
      </c>
      <c r="O116">
        <f t="shared" si="0"/>
        <v>5778</v>
      </c>
    </row>
    <row r="118" spans="2:15">
      <c r="B118" s="101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>
        <f>D109*pricing!D6*2000</f>
        <v>3355473.658807606</v>
      </c>
      <c r="E120">
        <f>E109*pricing!E6*2000</f>
        <v>3736312.3150994363</v>
      </c>
      <c r="F120">
        <f>F109*pricing!F6*2000</f>
        <v>3478200</v>
      </c>
      <c r="G120">
        <f>G109*pricing!G6*2000</f>
        <v>3961000</v>
      </c>
      <c r="H120">
        <f>H109*pricing!H6*2000</f>
        <v>4171123.9700920596</v>
      </c>
      <c r="I120">
        <f>I109*pricing!I6*2000</f>
        <v>3792279.7780919606</v>
      </c>
      <c r="J120">
        <f>J109*pricing!J6*2000</f>
        <v>3451000</v>
      </c>
      <c r="K120">
        <f>K109*pricing!K6*2000</f>
        <v>4505000</v>
      </c>
      <c r="L120">
        <f>L109*pricing!L6*2000</f>
        <v>3825000</v>
      </c>
      <c r="M120">
        <f>M109*pricing!M6*2000</f>
        <v>4185399.9999999995</v>
      </c>
      <c r="N120">
        <f>N109*pricing!N6*2000</f>
        <v>3897218.2865930456</v>
      </c>
      <c r="O120">
        <f>O109*pricing!O6*2000</f>
        <v>4413200</v>
      </c>
    </row>
    <row r="121" spans="2:15">
      <c r="C121" s="99" t="s">
        <v>127</v>
      </c>
      <c r="D121">
        <f>D110*pricing!D7*2000</f>
        <v>5270087.8679507589</v>
      </c>
      <c r="E121">
        <f>E110*pricing!E7*2000</f>
        <v>5052314.5657915557</v>
      </c>
      <c r="F121">
        <f>F110*pricing!F7*2000</f>
        <v>6236000</v>
      </c>
      <c r="G121">
        <f>G110*pricing!G7*2000</f>
        <v>5408000</v>
      </c>
      <c r="H121">
        <f>H110*pricing!H7*2000</f>
        <v>5656187.8113917653</v>
      </c>
      <c r="I121">
        <f>I110*pricing!I7*2000</f>
        <v>5228960.2726570703</v>
      </c>
      <c r="J121">
        <f>J110*pricing!J7*2000</f>
        <v>6324000</v>
      </c>
      <c r="K121">
        <f>K110*pricing!K7*2000</f>
        <v>6464000</v>
      </c>
      <c r="L121">
        <f>L110*pricing!L7*2000</f>
        <v>7188000</v>
      </c>
      <c r="M121">
        <f>M110*pricing!M7*2000</f>
        <v>7216000</v>
      </c>
      <c r="N121">
        <f>N110*pricing!N7*2000</f>
        <v>5407783.8365861727</v>
      </c>
      <c r="O121">
        <f>O110*pricing!O7*2000</f>
        <v>5824000</v>
      </c>
    </row>
    <row r="122" spans="2:15">
      <c r="C122" s="99" t="s">
        <v>128</v>
      </c>
      <c r="D122">
        <f>D111*pricing!D8*2000</f>
        <v>3646495.6953000431</v>
      </c>
      <c r="E122">
        <f>E111*pricing!E8*2000</f>
        <v>2238622.1844272041</v>
      </c>
      <c r="F122">
        <f>F111*pricing!F8*2000</f>
        <v>2691000</v>
      </c>
      <c r="G122">
        <f>G111*pricing!G8*2000</f>
        <v>2560500</v>
      </c>
      <c r="H122">
        <f>H111*pricing!H8*2000</f>
        <v>3072360.3574095303</v>
      </c>
      <c r="I122">
        <f>I111*pricing!I8*2000</f>
        <v>3494332.6859126003</v>
      </c>
      <c r="J122">
        <f>J111*pricing!J8*2000</f>
        <v>3384000</v>
      </c>
      <c r="K122">
        <f>K111*pricing!K8*2000</f>
        <v>2898000</v>
      </c>
      <c r="L122">
        <f>L111*pricing!L8*2000</f>
        <v>2700000</v>
      </c>
      <c r="M122">
        <f>M111*pricing!M8*2000</f>
        <v>3550500</v>
      </c>
      <c r="N122">
        <f>N111*pricing!N8*2000</f>
        <v>2460094.9839432379</v>
      </c>
      <c r="O122">
        <f>O111*pricing!O8*2000</f>
        <v>2749500</v>
      </c>
    </row>
    <row r="123" spans="2:15">
      <c r="C123" s="99" t="s">
        <v>129</v>
      </c>
      <c r="D123">
        <f>D112*pricing!D9*2000</f>
        <v>5917936.3739896538</v>
      </c>
      <c r="E123">
        <f>E112*pricing!E9*2000</f>
        <v>4691241.9381264858</v>
      </c>
      <c r="F123">
        <f>F112*pricing!F9*2000</f>
        <v>4819500</v>
      </c>
      <c r="G123">
        <f>G112*pricing!G9*2000</f>
        <v>5256000</v>
      </c>
      <c r="H123">
        <f>H112*pricing!H9*2000</f>
        <v>4795066.7677717907</v>
      </c>
      <c r="I123">
        <f>I112*pricing!I9*2000</f>
        <v>4260730.4330449281</v>
      </c>
      <c r="J123">
        <f>J112*pricing!J9*2000</f>
        <v>4437000</v>
      </c>
      <c r="K123">
        <f>K112*pricing!K9*2000</f>
        <v>4851000</v>
      </c>
      <c r="L123">
        <f>L112*pricing!L9*2000</f>
        <v>4927500</v>
      </c>
      <c r="M123">
        <f>M112*pricing!M9*2000</f>
        <v>4378500</v>
      </c>
      <c r="N123">
        <f>N112*pricing!N9*2000</f>
        <v>4249209.6081954828</v>
      </c>
      <c r="O123">
        <f>O112*pricing!O9*2000</f>
        <v>5449500</v>
      </c>
    </row>
    <row r="124" spans="2:15">
      <c r="C124" s="99" t="s">
        <v>130</v>
      </c>
      <c r="D124">
        <f>D113*pricing!D10*2000</f>
        <v>2280000</v>
      </c>
      <c r="E124">
        <f>E113*pricing!E10*2000</f>
        <v>2725000</v>
      </c>
      <c r="F124">
        <f>F113*pricing!F10*2000</f>
        <v>2220000</v>
      </c>
      <c r="G124">
        <f>G113*pricing!G10*2000</f>
        <v>2400000</v>
      </c>
      <c r="H124">
        <f>H113*pricing!H10*2000</f>
        <v>2615000</v>
      </c>
      <c r="I124">
        <f>I113*pricing!I10*2000</f>
        <v>2290000</v>
      </c>
      <c r="J124">
        <f>J113*pricing!J10*2000</f>
        <v>2480000</v>
      </c>
      <c r="K124">
        <f>K113*pricing!K10*2000</f>
        <v>2595000</v>
      </c>
      <c r="L124">
        <f>L113*pricing!L10*2000</f>
        <v>2785000</v>
      </c>
      <c r="M124">
        <f>M113*pricing!M10*2000</f>
        <v>3005000</v>
      </c>
      <c r="N124">
        <f>N113*pricing!N10*2000</f>
        <v>2325000</v>
      </c>
      <c r="O124">
        <f>O113*pricing!O10*2000</f>
        <v>2275000</v>
      </c>
    </row>
    <row r="125" spans="2:15">
      <c r="C125" s="99" t="s">
        <v>131</v>
      </c>
      <c r="D125">
        <f>D114*pricing!D11*2000</f>
        <v>1430000</v>
      </c>
      <c r="E125">
        <f>E114*pricing!E11*2000</f>
        <v>1549600.0000000002</v>
      </c>
      <c r="F125">
        <f>F114*pricing!F11*2000</f>
        <v>1658800</v>
      </c>
      <c r="G125">
        <f>G114*pricing!G11*2000</f>
        <v>1341600.0000000002</v>
      </c>
      <c r="H125">
        <f>H114*pricing!H11*2000</f>
        <v>1367600.0000000002</v>
      </c>
      <c r="I125">
        <f>I114*pricing!I11*2000</f>
        <v>1357200</v>
      </c>
      <c r="J125">
        <f>J114*pricing!J11*2000</f>
        <v>1554800</v>
      </c>
      <c r="K125">
        <f>K114*pricing!K11*2000</f>
        <v>1731600.0000000002</v>
      </c>
      <c r="L125">
        <f>L114*pricing!L11*2000</f>
        <v>1638000</v>
      </c>
      <c r="M125">
        <f>M114*pricing!M11*2000</f>
        <v>1658800</v>
      </c>
      <c r="N125">
        <f>N114*pricing!N11*2000</f>
        <v>1648400</v>
      </c>
      <c r="O125">
        <f>O114*pricing!O11*2000</f>
        <v>1544400</v>
      </c>
    </row>
    <row r="126" spans="2:15">
      <c r="C126" s="99" t="s">
        <v>132</v>
      </c>
      <c r="D126">
        <f>D115*pricing!D12*2000</f>
        <v>1566000</v>
      </c>
      <c r="E126">
        <f>E115*pricing!E12*2000</f>
        <v>2106000</v>
      </c>
      <c r="F126">
        <f>F115*pricing!F12*2000</f>
        <v>2106000</v>
      </c>
      <c r="G126">
        <f>G115*pricing!G12*2000</f>
        <v>1868400</v>
      </c>
      <c r="H126">
        <f>H115*pricing!H12*2000</f>
        <v>1792800.0000000002</v>
      </c>
      <c r="I126">
        <f>I115*pricing!I12*2000</f>
        <v>2062800.0000000002</v>
      </c>
      <c r="J126">
        <f>J115*pricing!J12*2000</f>
        <v>2089800.0000000002</v>
      </c>
      <c r="K126">
        <f>K115*pricing!K12*2000</f>
        <v>1857600.0000000002</v>
      </c>
      <c r="L126">
        <f>L115*pricing!L12*2000</f>
        <v>1863000.0000000002</v>
      </c>
      <c r="M126">
        <f>M115*pricing!M12*2000</f>
        <v>2062800.0000000002</v>
      </c>
      <c r="N126">
        <f>N115*pricing!N12*2000</f>
        <v>2052000</v>
      </c>
      <c r="O126">
        <f>O115*pricing!O12*2000</f>
        <v>2430000</v>
      </c>
    </row>
    <row r="127" spans="2:15">
      <c r="C127" s="99" t="s">
        <v>278</v>
      </c>
      <c r="D127">
        <f t="shared" ref="D127:O127" si="1">SUM(D$120:D$126)</f>
        <v>23465993.596048061</v>
      </c>
      <c r="E127">
        <f t="shared" si="1"/>
        <v>22099091.003444679</v>
      </c>
      <c r="F127">
        <f t="shared" si="1"/>
        <v>23209500</v>
      </c>
      <c r="G127">
        <f t="shared" si="1"/>
        <v>22795500</v>
      </c>
      <c r="H127">
        <f t="shared" si="1"/>
        <v>23470138.906665146</v>
      </c>
      <c r="I127">
        <f t="shared" si="1"/>
        <v>22486303.169706557</v>
      </c>
      <c r="J127">
        <f t="shared" si="1"/>
        <v>23720600</v>
      </c>
      <c r="K127">
        <f t="shared" si="1"/>
        <v>24902200</v>
      </c>
      <c r="L127">
        <f t="shared" si="1"/>
        <v>24926500</v>
      </c>
      <c r="M127">
        <f t="shared" si="1"/>
        <v>26057000</v>
      </c>
      <c r="N127">
        <f t="shared" si="1"/>
        <v>22039706.715317938</v>
      </c>
      <c r="O127">
        <f t="shared" si="1"/>
        <v>24685600</v>
      </c>
    </row>
    <row r="129" spans="2:15">
      <c r="B129" s="101" t="s">
        <v>280</v>
      </c>
    </row>
    <row r="130" spans="2:15">
      <c r="C130" s="103" t="s">
        <v>277</v>
      </c>
      <c r="D130" s="103" t="s">
        <v>92</v>
      </c>
      <c r="E130" s="103" t="s">
        <v>93</v>
      </c>
      <c r="F130" s="103" t="s">
        <v>94</v>
      </c>
      <c r="G130" s="103" t="s">
        <v>95</v>
      </c>
      <c r="H130" s="103" t="s">
        <v>96</v>
      </c>
      <c r="I130" s="103" t="s">
        <v>97</v>
      </c>
      <c r="J130" s="103" t="s">
        <v>98</v>
      </c>
      <c r="K130" s="103" t="s">
        <v>99</v>
      </c>
      <c r="L130" s="103" t="s">
        <v>100</v>
      </c>
      <c r="M130" s="103" t="s">
        <v>101</v>
      </c>
      <c r="N130" s="103" t="s">
        <v>102</v>
      </c>
      <c r="O130" s="103" t="s">
        <v>103</v>
      </c>
    </row>
    <row r="131" spans="2:15">
      <c r="C131" s="103" t="s">
        <v>126</v>
      </c>
      <c r="D131" s="104">
        <f>SUM(E$6:E$19)+SUM(G$6:G$19)+SUM(I$6:I$19)+SUM(K$6:K$19)</f>
        <v>496733.61308123136</v>
      </c>
      <c r="E131" s="104">
        <f>SUM(M$6:M$19)+SUM(O$6:O$19)+SUM(Q$6:Q$19)+SUM(S$6:S$19)</f>
        <v>552427.17582672928</v>
      </c>
      <c r="F131" s="104">
        <f>SUM(U$6:U$19)+SUM(W$6:W$19)+SUM(Y$6:Y$19)+SUM(AA$6:AA$19)</f>
        <v>514508.4</v>
      </c>
      <c r="G131" s="104">
        <f>SUM(AC$6:AC$19)+SUM(AE$6:AE$19)+SUM(AG$6:AG$19)+SUM(AI$6:AI$19)</f>
        <v>585907.19999999995</v>
      </c>
      <c r="H131" s="104">
        <f>SUM(AK$6:AK$19)+SUM(AM$6:AM$19)+SUM(AO$6:AO$19)+SUM(AQ$6:AQ$19)</f>
        <v>615687.42737433407</v>
      </c>
      <c r="I131" s="104">
        <f>SUM(AS$6:AS$19)+SUM(AU$6:AU$19)+SUM(AW$6:AW$19)+SUM(AY$6:AY$19)</f>
        <v>563354.5399254628</v>
      </c>
      <c r="J131" s="104">
        <f>SUM(BA$6:BA$19)+SUM(BC$6:BC$19)+SUM(BE$6:BE$19)+SUM(BG$6:BG$19)</f>
        <v>510432</v>
      </c>
      <c r="K131" s="104">
        <f>SUM(BI$6:BI$19)+SUM(BK$6:BK$19)+SUM(BM$6:BM$19)+SUM(BO$6:BO$19)</f>
        <v>666411.6</v>
      </c>
      <c r="L131" s="104">
        <f>SUM(BQ$6:BQ$19)+SUM(BS$6:BS$19)+SUM(BU$6:BU$19)+SUM(BW$6:BW$19)</f>
        <v>563862</v>
      </c>
      <c r="M131" s="104">
        <f>SUM(BY$6:BY$19)+SUM(CA$6:CA$19)+SUM(CC$6:CC$19)+SUM(CE$6:CE$19)</f>
        <v>616444.79999999993</v>
      </c>
      <c r="N131" s="104">
        <f>SUM(CG$6:CG$19)+SUM(CI$6:CI$19)+SUM(CK$6:CK$19)+SUM(CM$6:CM$19)</f>
        <v>577602.90092865936</v>
      </c>
      <c r="O131" s="104">
        <f>SUM(CO$6:CO$19)+SUM(CQ$6:CQ$19)+SUM(CS$6:CS$19)+SUM(CU$6:CU$19)</f>
        <v>652932</v>
      </c>
    </row>
    <row r="132" spans="2:15">
      <c r="C132" s="103" t="s">
        <v>127</v>
      </c>
      <c r="D132" s="104">
        <f>SUM(E$20:E$36)+SUM(G$20:G$36)+SUM(I$20:I$36)+SUM(K$20:K$36)</f>
        <v>561372.02629176108</v>
      </c>
      <c r="E132" s="104">
        <f>SUM(M$20:M$36)+SUM(O$20:O$36)+SUM(Q$20:Q$36)+SUM(S$20:S$36)</f>
        <v>535856.07044959301</v>
      </c>
      <c r="F132" s="104">
        <f>SUM(U$20:U$36)+SUM(W$20:W$36)+SUM(Y$20:Y$36)+SUM(AA$20:AA$36)</f>
        <v>662351.99999999988</v>
      </c>
      <c r="G132" s="104">
        <f>SUM(AC$20:AC$36)+SUM(AE$20:AE$36)+SUM(AG$20:AG$36)+SUM(AI$20:AI$36)</f>
        <v>579123.60000000009</v>
      </c>
      <c r="H132" s="104">
        <f>SUM(AK$20:AK$36)+SUM(AM$20:AM$36)+SUM(AO$20:AO$36)+SUM(AQ$20:AQ$36)</f>
        <v>601320.90076285042</v>
      </c>
      <c r="I132" s="104">
        <f>SUM(AS$20:AS$36)+SUM(AU$20:AU$36)+SUM(AW$20:AW$36)+SUM(AY$20:AY$36)</f>
        <v>555903.02825334063</v>
      </c>
      <c r="J132" s="104">
        <f>SUM(BA$20:BA$36)+SUM(BC$20:BC$36)+SUM(BE$20:BE$36)+SUM(BG$20:BG$36)</f>
        <v>676930.8</v>
      </c>
      <c r="K132" s="104">
        <f>SUM(BI$20:BI$36)+SUM(BK$20:BK$36)+SUM(BM$20:BM$36)+SUM(BO$20:BO$36)</f>
        <v>687618</v>
      </c>
      <c r="L132" s="104">
        <f>SUM(BQ$20:BQ$36)+SUM(BS$20:BS$36)+SUM(BU$20:BU$36)+SUM(BW$20:BW$36)</f>
        <v>763566</v>
      </c>
      <c r="M132" s="104">
        <f>SUM(BY$20:BY$36)+SUM(CA$20:CA$36)+SUM(CC$20:CC$36)+SUM(CE$20:CE$36)</f>
        <v>766041.59999999998</v>
      </c>
      <c r="N132" s="104">
        <f>SUM(CG$20:CG$36)+SUM(CI$20:CI$36)+SUM(CK$20:CK$36)+SUM(CM$20:CM$36)</f>
        <v>575852.41366915684</v>
      </c>
      <c r="O132" s="104">
        <f>SUM(CO$20:CO$36)+SUM(CQ$20:CQ$36)+SUM(CS$20:CS$36)+SUM(CU$20:CU$36)</f>
        <v>619483.19999999995</v>
      </c>
    </row>
    <row r="133" spans="2:15">
      <c r="C133" s="103" t="s">
        <v>128</v>
      </c>
      <c r="D133" s="104">
        <f>SUM(E$37:E$48)+SUM(G$37:G$48)+SUM(I$37:I$48)+SUM(K$37:K$48)</f>
        <v>851239.23815820646</v>
      </c>
      <c r="E133" s="104">
        <f>SUM(M$37:M$48)+SUM(O$37:O$48)+SUM(Q$37:Q$48)+SUM(S$37:S$48)</f>
        <v>519736.40533336432</v>
      </c>
      <c r="F133" s="104">
        <f>SUM(U$37:U$48)+SUM(W$37:W$48)+SUM(Y$37:Y$48)+SUM(AA$37:AA$48)</f>
        <v>625494</v>
      </c>
      <c r="G133" s="104">
        <f>SUM(AC$37:AC$48)+SUM(AE$37:AE$48)+SUM(AG$37:AG$48)+SUM(AI$37:AI$48)</f>
        <v>597399.6</v>
      </c>
      <c r="H133" s="104">
        <f>SUM(AK$37:AK$48)+SUM(AM$37:AM$48)+SUM(AO$37:AO$48)+SUM(AQ$37:AQ$48)</f>
        <v>712011.85784700501</v>
      </c>
      <c r="I133" s="104">
        <f>SUM(AS$37:AS$48)+SUM(AU$37:AU$48)+SUM(AW$37:AW$48)+SUM(AY$37:AY$48)</f>
        <v>813416.33582150203</v>
      </c>
      <c r="J133" s="104">
        <f>SUM(BA$37:BA$48)+SUM(BC$37:BC$48)+SUM(BE$37:BE$48)+SUM(BG$37:BG$48)</f>
        <v>789164.39999999991</v>
      </c>
      <c r="K133" s="104">
        <f>SUM(BI$37:BI$48)+SUM(BK$37:BK$48)+SUM(BM$37:BM$48)+SUM(BO$37:BO$48)</f>
        <v>674299.2</v>
      </c>
      <c r="L133" s="104">
        <f>SUM(BQ$37:BQ$48)+SUM(BS$37:BS$48)+SUM(BU$37:BU$48)+SUM(BW$37:BW$48)</f>
        <v>626431.19999999995</v>
      </c>
      <c r="M133" s="104">
        <f>SUM(BY$37:BY$48)+SUM(CA$37:CA$48)+SUM(CC$37:CC$48)+SUM(CE$37:CE$48)</f>
        <v>827187.6</v>
      </c>
      <c r="N133" s="104">
        <f>SUM(CG$37:CG$48)+SUM(CI$37:CI$48)+SUM(CK$37:CK$48)+SUM(CM$37:CM$48)</f>
        <v>573811.95803192595</v>
      </c>
      <c r="O133" s="104">
        <f>SUM(CO$37:CO$48)+SUM(CQ$37:CQ$48)+SUM(CS$37:CS$48)+SUM(CU$37:CU$48)</f>
        <v>640347.6</v>
      </c>
    </row>
    <row r="134" spans="2:15">
      <c r="C134" s="103" t="s">
        <v>129</v>
      </c>
      <c r="D134" s="104">
        <f>SUM(E$49:E$70)+SUM(G$49:G$70)+SUM(I$49:I$70)+SUM(K$49:K$70)</f>
        <v>1099095.6326983201</v>
      </c>
      <c r="E134" s="104">
        <f>SUM(M$49:M$70)+SUM(O$49:O$70)+SUM(Q$49:Q$70)+SUM(S$49:S$70)</f>
        <v>873874.94324839977</v>
      </c>
      <c r="F134" s="104">
        <f>SUM(U$49:U$70)+SUM(W$49:W$70)+SUM(Y$49:Y$70)+SUM(AA$49:AA$70)</f>
        <v>894124.8</v>
      </c>
      <c r="G134" s="104">
        <f>SUM(AC$49:AC$70)+SUM(AE$49:AE$70)+SUM(AG$49:AG$70)+SUM(AI$49:AI$70)</f>
        <v>975638.39999999991</v>
      </c>
      <c r="H134" s="104">
        <f>SUM(AK$49:AK$70)+SUM(AM$49:AM$70)+SUM(AO$49:AO$70)+SUM(AQ$49:AQ$70)</f>
        <v>896449.5723481318</v>
      </c>
      <c r="I134" s="104">
        <f>SUM(AS$49:AS$70)+SUM(AU$49:AU$70)+SUM(AW$49:AW$70)+SUM(AY$49:AY$70)</f>
        <v>798147.81315933145</v>
      </c>
      <c r="J134" s="104">
        <f>SUM(BA$49:BA$70)+SUM(BC$49:BC$70)+SUM(BE$49:BE$70)+SUM(BG$49:BG$70)</f>
        <v>830179.2</v>
      </c>
      <c r="K134" s="104">
        <f>SUM(BI$49:BI$70)+SUM(BK$49:BK$70)+SUM(BM$49:BM$70)+SUM(BO$49:BO$70)</f>
        <v>898610.40000000014</v>
      </c>
      <c r="L134" s="104">
        <f>SUM(BQ$49:BQ$70)+SUM(BS$49:BS$70)+SUM(BU$49:BU$70)+SUM(BW$49:BW$70)</f>
        <v>915754.79999999993</v>
      </c>
      <c r="M134" s="104">
        <f>SUM(BY$49:BY$70)+SUM(CA$49:CA$70)+SUM(CC$49:CC$70)+SUM(CE$49:CE$70)</f>
        <v>815329.2</v>
      </c>
      <c r="N134" s="104">
        <f>SUM(CG$49:CG$70)+SUM(CI$49:CI$70)+SUM(CK$49:CK$70)+SUM(CM$49:CM$70)</f>
        <v>807731.61482508632</v>
      </c>
      <c r="O134" s="104">
        <f>SUM(CO$49:CO$70)+SUM(CQ$49:CQ$70)+SUM(CS$49:CS$70)+SUM(CU$49:CU$70)</f>
        <v>1016674.8</v>
      </c>
    </row>
    <row r="135" spans="2:15">
      <c r="C135" s="103" t="s">
        <v>130</v>
      </c>
      <c r="D135" s="104">
        <f>SUM(E$71:E$86)+SUM(G$71:G$86)+SUM(I$71:I$86)+SUM(K$71:K$86)</f>
        <v>252958.8</v>
      </c>
      <c r="E135" s="104">
        <f>SUM(M$71:M$86)+SUM(O$71:O$86)+SUM(Q$71:Q$86)+SUM(S$71:S$86)</f>
        <v>304299.59999999998</v>
      </c>
      <c r="F135" s="104">
        <f>SUM(U$71:U$86)+SUM(W$71:W$86)+SUM(Y$71:Y$86)+SUM(AA$71:AA$86)</f>
        <v>248725.19999999998</v>
      </c>
      <c r="G135" s="104">
        <f>SUM(AC$71:AC$86)+SUM(AE$71:AE$86)+SUM(AG$71:AG$86)+SUM(AI$71:AI$86)</f>
        <v>268851.59999999998</v>
      </c>
      <c r="H135" s="104">
        <f>SUM(AK$71:AK$86)+SUM(AM$71:AM$86)+SUM(AO$71:AO$86)+SUM(AQ$71:AQ$86)</f>
        <v>291721.2</v>
      </c>
      <c r="I135" s="104">
        <f>SUM(AS$71:AS$86)+SUM(AU$71:AU$86)+SUM(AW$71:AW$86)+SUM(AY$71:AY$86)</f>
        <v>254440.8</v>
      </c>
      <c r="J135" s="104">
        <f>SUM(BA$71:BA$86)+SUM(BC$71:BC$86)+SUM(BE$71:BE$86)+SUM(BG$71:BG$86)</f>
        <v>278398.80000000005</v>
      </c>
      <c r="K135" s="104">
        <f>SUM(BI$71:BI$86)+SUM(BK$71:BK$86)+SUM(BM$71:BM$86)+SUM(BO$71:BO$86)</f>
        <v>289858.8</v>
      </c>
      <c r="L135" s="104">
        <f>SUM(BQ$71:BQ$86)+SUM(BS$71:BS$86)+SUM(BU$71:BU$86)+SUM(BW$71:BW$86)</f>
        <v>311713.2</v>
      </c>
      <c r="M135" s="104">
        <f>SUM(BY$71:BY$86)+SUM(CA$71:CA$86)+SUM(CC$71:CC$86)+SUM(CE$71:CE$86)</f>
        <v>334755.59999999998</v>
      </c>
      <c r="N135" s="104">
        <f>SUM(CG$71:CG$86)+SUM(CI$71:CI$86)+SUM(CK$71:CK$86)+SUM(CM$71:CM$86)</f>
        <v>261190.8</v>
      </c>
      <c r="O135" s="104">
        <f>SUM(CO$71:CO$86)+SUM(CQ$71:CQ$86)+SUM(CS$71:CS$86)+SUM(CU$71:CU$86)</f>
        <v>254584.8</v>
      </c>
    </row>
    <row r="136" spans="2:15">
      <c r="C136" s="103" t="s">
        <v>131</v>
      </c>
      <c r="D136" s="104">
        <f>SUM(E$87:E$94)+SUM(G$87:G$94)+SUM(I$87:I$94)+SUM(K$87:K$94)</f>
        <v>275714.40000000002</v>
      </c>
      <c r="E136" s="104">
        <f>SUM(M$87:M$94)+SUM(O$87:O$94)+SUM(Q$87:Q$94)+SUM(S$87:S$94)</f>
        <v>298962</v>
      </c>
      <c r="F136" s="104">
        <f>SUM(U$87:U$94)+SUM(W$87:W$94)+SUM(Y$87:Y$94)+SUM(AA$87:AA$94)</f>
        <v>319681.2</v>
      </c>
      <c r="G136" s="104">
        <f>SUM(AC$87:AC$94)+SUM(AE$87:AE$94)+SUM(AG$87:AG$94)+SUM(AI$87:AI$94)</f>
        <v>258674.39999999997</v>
      </c>
      <c r="H136" s="104">
        <f>SUM(AK$87:AK$94)+SUM(AM$87:AM$94)+SUM(AO$87:AO$94)+SUM(AQ$87:AQ$94)</f>
        <v>263536.8</v>
      </c>
      <c r="I136" s="104">
        <f>SUM(AS$87:AS$94)+SUM(AU$87:AU$94)+SUM(AW$87:AW$94)+SUM(AY$87:AY$94)</f>
        <v>261042</v>
      </c>
      <c r="J136" s="104">
        <f>SUM(BA$87:BA$94)+SUM(BC$87:BC$94)+SUM(BE$87:BE$94)+SUM(BG$87:BG$94)</f>
        <v>300072</v>
      </c>
      <c r="K136" s="104">
        <f>SUM(BI$87:BI$94)+SUM(BK$87:BK$94)+SUM(BM$87:BM$94)+SUM(BO$87:BO$94)</f>
        <v>333520.79999999993</v>
      </c>
      <c r="L136" s="104">
        <f>SUM(BQ$87:BQ$94)+SUM(BS$87:BS$94)+SUM(BU$87:BU$94)+SUM(BW$87:BW$94)</f>
        <v>315874.8</v>
      </c>
      <c r="M136" s="104">
        <f>SUM(BY$87:BY$94)+SUM(CA$87:CA$94)+SUM(CC$87:CC$94)+SUM(CE$87:CE$94)</f>
        <v>320355.59999999998</v>
      </c>
      <c r="N136" s="104">
        <f>SUM(CG$87:CG$94)+SUM(CI$87:CI$94)+SUM(CK$87:CK$94)+SUM(CM$87:CM$94)</f>
        <v>319059.60000000003</v>
      </c>
      <c r="O136" s="104">
        <f>SUM(CO$87:CO$94)+SUM(CQ$87:CQ$94)+SUM(CS$87:CS$94)+SUM(CU$87:CU$94)</f>
        <v>297487.19999999995</v>
      </c>
    </row>
    <row r="137" spans="2:15">
      <c r="C137" s="103" t="s">
        <v>132</v>
      </c>
      <c r="D137" s="104">
        <f>SUM(E$95:E$105)+SUM(G$95:G$105)+SUM(I$95:I$105)+SUM(K$95:K$105)</f>
        <v>226317.6</v>
      </c>
      <c r="E137" s="104">
        <f>SUM(M$95:M$105)+SUM(O$95:O$105)+SUM(Q$95:Q$105)+SUM(S$95:S$105)</f>
        <v>309127.2</v>
      </c>
      <c r="F137" s="104">
        <f>SUM(U$95:U$105)+SUM(W$95:W$105)+SUM(Y$95:Y$105)+SUM(AA$95:AA$105)</f>
        <v>302224.8</v>
      </c>
      <c r="G137" s="104">
        <f>SUM(AC$95:AC$105)+SUM(AE$95:AE$105)+SUM(AG$95:AG$105)+SUM(AI$95:AI$105)</f>
        <v>270909.59999999998</v>
      </c>
      <c r="H137" s="104">
        <f>SUM(AK$95:AK$105)+SUM(AM$95:AM$105)+SUM(AO$95:AO$105)+SUM(AQ$95:AQ$105)</f>
        <v>256843.2</v>
      </c>
      <c r="I137" s="104">
        <f>SUM(AS$95:AS$105)+SUM(AU$95:AU$105)+SUM(AW$95:AW$105)+SUM(AY$95:AY$105)</f>
        <v>297301.2</v>
      </c>
      <c r="J137" s="104">
        <f>SUM(BA$95:BA$105)+SUM(BC$95:BC$105)+SUM(BE$95:BE$105)+SUM(BG$95:BG$105)</f>
        <v>300408</v>
      </c>
      <c r="K137" s="104">
        <f>SUM(BI$95:BI$105)+SUM(BK$95:BK$105)+SUM(BM$95:BM$105)+SUM(BO$95:BO$105)</f>
        <v>262333.19999999995</v>
      </c>
      <c r="L137" s="104">
        <f>SUM(BQ$95:BQ$105)+SUM(BS$95:BS$105)+SUM(BU$95:BU$105)+SUM(BW$95:BW$105)</f>
        <v>270832.8</v>
      </c>
      <c r="M137" s="104">
        <f>SUM(BY$95:BY$105)+SUM(CA$95:CA$105)+SUM(CC$95:CC$105)+SUM(CE$95:CE$105)</f>
        <v>300694.8</v>
      </c>
      <c r="N137" s="104">
        <f>SUM(CG$95:CG$105)+SUM(CI$95:CI$105)+SUM(CK$95:CK$105)+SUM(CM$95:CM$105)</f>
        <v>300964.80000000005</v>
      </c>
      <c r="O137" s="104">
        <f>SUM(CO$95:CO$105)+SUM(CQ$95:CQ$105)+SUM(CS$95:CS$105)+SUM(CU$95:CU$105)</f>
        <v>355354.80000000005</v>
      </c>
    </row>
    <row r="138" spans="2:15">
      <c r="C138" s="103" t="s">
        <v>278</v>
      </c>
      <c r="D138">
        <f t="shared" ref="D138:O138" si="2">SUM(D$131:D$137)</f>
        <v>3763431.3102295185</v>
      </c>
      <c r="E138">
        <f t="shared" si="2"/>
        <v>3394283.3948580869</v>
      </c>
      <c r="F138">
        <f t="shared" si="2"/>
        <v>3567110.4000000004</v>
      </c>
      <c r="G138">
        <f t="shared" si="2"/>
        <v>3536504.4</v>
      </c>
      <c r="H138">
        <f t="shared" si="2"/>
        <v>3637570.9583323216</v>
      </c>
      <c r="I138">
        <f t="shared" si="2"/>
        <v>3543605.7171596373</v>
      </c>
      <c r="J138">
        <f t="shared" si="2"/>
        <v>3685585.2</v>
      </c>
      <c r="K138">
        <f t="shared" si="2"/>
        <v>3812652</v>
      </c>
      <c r="L138">
        <f t="shared" si="2"/>
        <v>3768034.8</v>
      </c>
      <c r="M138">
        <f t="shared" si="2"/>
        <v>3980809.2</v>
      </c>
      <c r="N138">
        <f t="shared" si="2"/>
        <v>3416214.0874548284</v>
      </c>
      <c r="O138">
        <f t="shared" si="2"/>
        <v>3836864.3999999994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sheetData>
    <row r="2" spans="1:99">
      <c r="B2" s="1" t="s">
        <v>272</v>
      </c>
    </row>
    <row r="3" spans="1:99">
      <c r="B3" s="101" t="s">
        <v>282</v>
      </c>
    </row>
    <row r="4" spans="1:99">
      <c r="A4" s="100"/>
      <c r="B4" s="100"/>
      <c r="C4" s="99" t="s">
        <v>274</v>
      </c>
      <c r="D4" s="99" t="s">
        <v>92</v>
      </c>
      <c r="E4" s="100"/>
      <c r="F4" s="100"/>
      <c r="G4" s="100"/>
      <c r="H4" s="100"/>
      <c r="I4" s="100"/>
      <c r="J4" s="100"/>
      <c r="K4" s="100"/>
      <c r="L4" s="99" t="s">
        <v>93</v>
      </c>
      <c r="M4" s="100"/>
      <c r="N4" s="100"/>
      <c r="O4" s="100"/>
      <c r="P4" s="100"/>
      <c r="Q4" s="100"/>
      <c r="R4" s="100"/>
      <c r="S4" s="100"/>
      <c r="T4" s="99" t="s">
        <v>94</v>
      </c>
      <c r="U4" s="100"/>
      <c r="V4" s="100"/>
      <c r="W4" s="100"/>
      <c r="X4" s="100"/>
      <c r="Y4" s="100"/>
      <c r="Z4" s="100"/>
      <c r="AA4" s="100"/>
      <c r="AB4" s="99" t="s">
        <v>95</v>
      </c>
      <c r="AC4" s="100"/>
      <c r="AD4" s="100"/>
      <c r="AE4" s="100"/>
      <c r="AF4" s="100"/>
      <c r="AG4" s="100"/>
      <c r="AH4" s="100"/>
      <c r="AI4" s="100"/>
      <c r="AJ4" s="99" t="s">
        <v>96</v>
      </c>
      <c r="AK4" s="100"/>
      <c r="AL4" s="100"/>
      <c r="AM4" s="100"/>
      <c r="AN4" s="100"/>
      <c r="AO4" s="100"/>
      <c r="AP4" s="100"/>
      <c r="AQ4" s="100"/>
      <c r="AR4" s="99" t="s">
        <v>97</v>
      </c>
      <c r="AS4" s="100"/>
      <c r="AT4" s="100"/>
      <c r="AU4" s="100"/>
      <c r="AV4" s="100"/>
      <c r="AW4" s="100"/>
      <c r="AX4" s="100"/>
      <c r="AY4" s="100"/>
      <c r="AZ4" s="99" t="s">
        <v>98</v>
      </c>
      <c r="BA4" s="100"/>
      <c r="BB4" s="100"/>
      <c r="BC4" s="100"/>
      <c r="BD4" s="100"/>
      <c r="BE4" s="100"/>
      <c r="BF4" s="100"/>
      <c r="BG4" s="100"/>
      <c r="BH4" s="99" t="s">
        <v>99</v>
      </c>
      <c r="BI4" s="100"/>
      <c r="BJ4" s="100"/>
      <c r="BK4" s="100"/>
      <c r="BL4" s="100"/>
      <c r="BM4" s="100"/>
      <c r="BN4" s="100"/>
      <c r="BO4" s="100"/>
      <c r="BP4" s="99" t="s">
        <v>100</v>
      </c>
      <c r="BQ4" s="100"/>
      <c r="BR4" s="100"/>
      <c r="BS4" s="100"/>
      <c r="BT4" s="100"/>
      <c r="BU4" s="100"/>
      <c r="BV4" s="100"/>
      <c r="BW4" s="100"/>
      <c r="BX4" s="99" t="s">
        <v>101</v>
      </c>
      <c r="BY4" s="100"/>
      <c r="BZ4" s="100"/>
      <c r="CA4" s="100"/>
      <c r="CB4" s="100"/>
      <c r="CC4" s="100"/>
      <c r="CD4" s="100"/>
      <c r="CE4" s="100"/>
      <c r="CF4" s="99" t="s">
        <v>102</v>
      </c>
      <c r="CG4" s="100"/>
      <c r="CH4" s="100"/>
      <c r="CI4" s="100"/>
      <c r="CJ4" s="100"/>
      <c r="CK4" s="100"/>
      <c r="CL4" s="100"/>
      <c r="CM4" s="100"/>
      <c r="CN4" s="99" t="s">
        <v>103</v>
      </c>
      <c r="CO4" s="100"/>
      <c r="CP4" s="100"/>
      <c r="CQ4" s="100"/>
      <c r="CR4" s="100"/>
      <c r="CS4" s="100"/>
      <c r="CT4" s="100"/>
      <c r="CU4" s="100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>
        <v>5.7953765658482119</v>
      </c>
      <c r="E6">
        <v>3352.0458056866055</v>
      </c>
      <c r="F6">
        <v>6.849419576424987</v>
      </c>
      <c r="G6">
        <v>3961.7042830042124</v>
      </c>
      <c r="H6">
        <v>7.2480302983030542</v>
      </c>
      <c r="I6">
        <v>4192.2607245384861</v>
      </c>
      <c r="J6">
        <v>7</v>
      </c>
      <c r="K6">
        <v>4048.7999999999997</v>
      </c>
      <c r="L6">
        <v>7.6422670720043628</v>
      </c>
      <c r="M6">
        <v>4420.2872744473234</v>
      </c>
      <c r="N6">
        <v>4.3788701765827573</v>
      </c>
      <c r="O6">
        <v>2532.7385101354666</v>
      </c>
      <c r="P6">
        <v>10</v>
      </c>
      <c r="Q6">
        <v>5784</v>
      </c>
      <c r="R6">
        <v>6</v>
      </c>
      <c r="S6">
        <v>3470.3999999999996</v>
      </c>
      <c r="T6">
        <v>7</v>
      </c>
      <c r="U6">
        <v>4048.7999999999997</v>
      </c>
      <c r="V6">
        <v>6.1042831569760025</v>
      </c>
      <c r="W6">
        <v>3530.7173779949198</v>
      </c>
      <c r="X6">
        <v>5</v>
      </c>
      <c r="Y6">
        <v>2892</v>
      </c>
      <c r="Z6">
        <v>5</v>
      </c>
      <c r="AA6">
        <v>2892</v>
      </c>
      <c r="AB6">
        <v>8</v>
      </c>
      <c r="AC6">
        <v>4627.2</v>
      </c>
      <c r="AD6">
        <v>6</v>
      </c>
      <c r="AE6">
        <v>3470.3999999999996</v>
      </c>
      <c r="AF6">
        <v>8</v>
      </c>
      <c r="AG6">
        <v>4627.2</v>
      </c>
      <c r="AH6">
        <v>7</v>
      </c>
      <c r="AI6">
        <v>4048.7999999999997</v>
      </c>
      <c r="AJ6">
        <v>7.1679455640490213</v>
      </c>
      <c r="AK6">
        <v>4145.9397142459538</v>
      </c>
      <c r="AL6">
        <v>5.9748816456466463</v>
      </c>
      <c r="AM6">
        <v>3455.8715438420199</v>
      </c>
      <c r="AN6">
        <v>10</v>
      </c>
      <c r="AO6">
        <v>5784</v>
      </c>
      <c r="AP6">
        <v>8</v>
      </c>
      <c r="AQ6">
        <v>4627.2</v>
      </c>
      <c r="AR6">
        <v>5.9731549134313049</v>
      </c>
      <c r="AS6">
        <v>3454.8728019286668</v>
      </c>
      <c r="AT6">
        <v>5.6974934340757395</v>
      </c>
      <c r="AU6">
        <v>3295.4302022694078</v>
      </c>
      <c r="AV6">
        <v>3.0997272802667504</v>
      </c>
      <c r="AW6">
        <v>1792.8822589062884</v>
      </c>
      <c r="AX6">
        <v>9</v>
      </c>
      <c r="AY6">
        <v>5205.5999999999995</v>
      </c>
      <c r="AZ6">
        <v>12</v>
      </c>
      <c r="BA6">
        <v>6940.7999999999993</v>
      </c>
      <c r="BB6">
        <v>9</v>
      </c>
      <c r="BC6">
        <v>5205.5999999999995</v>
      </c>
      <c r="BD6">
        <v>7.3337202026379149</v>
      </c>
      <c r="BE6">
        <v>4241.8237652057696</v>
      </c>
      <c r="BF6">
        <v>10</v>
      </c>
      <c r="BG6">
        <v>5784</v>
      </c>
      <c r="BH6">
        <v>8</v>
      </c>
      <c r="BI6">
        <v>4627.2</v>
      </c>
      <c r="BJ6">
        <v>5.8125190767338522</v>
      </c>
      <c r="BK6">
        <v>3361.96103398286</v>
      </c>
      <c r="BL6">
        <v>11</v>
      </c>
      <c r="BM6">
        <v>6362.4</v>
      </c>
      <c r="BN6">
        <v>7</v>
      </c>
      <c r="BO6">
        <v>4048.7999999999997</v>
      </c>
      <c r="BP6">
        <v>13</v>
      </c>
      <c r="BQ6">
        <v>7519.2</v>
      </c>
      <c r="BR6">
        <v>9</v>
      </c>
      <c r="BS6">
        <v>5205.5999999999995</v>
      </c>
      <c r="BT6">
        <v>4.9621922536577179</v>
      </c>
      <c r="BU6">
        <v>2870.1319995156241</v>
      </c>
      <c r="BV6">
        <v>11</v>
      </c>
      <c r="BW6">
        <v>6362.4</v>
      </c>
      <c r="BX6">
        <v>8</v>
      </c>
      <c r="BY6">
        <v>4627.2</v>
      </c>
      <c r="BZ6">
        <v>7</v>
      </c>
      <c r="CA6">
        <v>4048.7999999999997</v>
      </c>
      <c r="CB6">
        <v>12</v>
      </c>
      <c r="CC6">
        <v>6940.7999999999993</v>
      </c>
      <c r="CD6">
        <v>1.5723918902804563</v>
      </c>
      <c r="CE6">
        <v>909.47146933821591</v>
      </c>
      <c r="CF6">
        <v>10</v>
      </c>
      <c r="CG6">
        <v>5784</v>
      </c>
      <c r="CH6">
        <v>10</v>
      </c>
      <c r="CI6">
        <v>5784</v>
      </c>
      <c r="CJ6">
        <v>10</v>
      </c>
      <c r="CK6">
        <v>5784</v>
      </c>
      <c r="CL6">
        <v>10</v>
      </c>
      <c r="CM6">
        <v>5784</v>
      </c>
      <c r="CN6">
        <v>9.4323596860640091</v>
      </c>
      <c r="CO6">
        <v>5455.6768424194224</v>
      </c>
      <c r="CP6">
        <v>4.0050428538924301</v>
      </c>
      <c r="CQ6">
        <v>2316.5167866913816</v>
      </c>
      <c r="CR6">
        <v>9</v>
      </c>
      <c r="CS6">
        <v>5205.5999999999995</v>
      </c>
      <c r="CT6">
        <v>9</v>
      </c>
      <c r="CU6">
        <v>5205.5999999999995</v>
      </c>
    </row>
    <row r="7" spans="1:99">
      <c r="C7" s="99" t="s">
        <v>173</v>
      </c>
      <c r="D7">
        <v>5.7953765658482119</v>
      </c>
      <c r="E7">
        <v>4569.07488451473</v>
      </c>
      <c r="F7">
        <v>5.9932421293718638</v>
      </c>
      <c r="G7">
        <v>4725.0720947967775</v>
      </c>
      <c r="H7">
        <v>8.1540340855909363</v>
      </c>
      <c r="I7">
        <v>6428.640473079894</v>
      </c>
      <c r="J7">
        <v>7</v>
      </c>
      <c r="K7">
        <v>5518.8</v>
      </c>
      <c r="L7">
        <v>7.6422670720043628</v>
      </c>
      <c r="M7">
        <v>6025.1633595682397</v>
      </c>
      <c r="N7">
        <v>4.3788701765827573</v>
      </c>
      <c r="O7">
        <v>3452.3012472178457</v>
      </c>
      <c r="P7">
        <v>9</v>
      </c>
      <c r="Q7">
        <v>7095.5999999999995</v>
      </c>
      <c r="R7">
        <v>7</v>
      </c>
      <c r="S7">
        <v>5518.8</v>
      </c>
      <c r="T7">
        <v>6</v>
      </c>
      <c r="U7">
        <v>4730.3999999999996</v>
      </c>
      <c r="V7">
        <v>6.1042831569760025</v>
      </c>
      <c r="W7">
        <v>4812.6168409598804</v>
      </c>
      <c r="X7">
        <v>5</v>
      </c>
      <c r="Y7">
        <v>3942</v>
      </c>
      <c r="Z7">
        <v>5</v>
      </c>
      <c r="AA7">
        <v>3942</v>
      </c>
      <c r="AB7">
        <v>9</v>
      </c>
      <c r="AC7">
        <v>7095.5999999999995</v>
      </c>
      <c r="AD7">
        <v>5</v>
      </c>
      <c r="AE7">
        <v>3942</v>
      </c>
      <c r="AF7">
        <v>9</v>
      </c>
      <c r="AG7">
        <v>7095.5999999999995</v>
      </c>
      <c r="AH7">
        <v>7</v>
      </c>
      <c r="AI7">
        <v>5518.8</v>
      </c>
      <c r="AJ7">
        <v>7.1679455640490213</v>
      </c>
      <c r="AK7">
        <v>5651.2082826962478</v>
      </c>
      <c r="AL7">
        <v>5.9748816456466463</v>
      </c>
      <c r="AM7">
        <v>4710.5966894278154</v>
      </c>
      <c r="AN7">
        <v>11</v>
      </c>
      <c r="AO7">
        <v>8672.4</v>
      </c>
      <c r="AP7">
        <v>8</v>
      </c>
      <c r="AQ7">
        <v>6307.2</v>
      </c>
      <c r="AR7">
        <v>5.9731549134313049</v>
      </c>
      <c r="AS7">
        <v>4709.2353337492405</v>
      </c>
      <c r="AT7">
        <v>5.6974934340757395</v>
      </c>
      <c r="AU7">
        <v>4491.903823425313</v>
      </c>
      <c r="AV7">
        <v>2.7897545522400753</v>
      </c>
      <c r="AW7">
        <v>2199.4424889860752</v>
      </c>
      <c r="AX7">
        <v>9</v>
      </c>
      <c r="AY7">
        <v>7095.5999999999995</v>
      </c>
      <c r="AZ7">
        <v>12</v>
      </c>
      <c r="BA7">
        <v>9460.7999999999993</v>
      </c>
      <c r="BB7">
        <v>9</v>
      </c>
      <c r="BC7">
        <v>7095.5999999999995</v>
      </c>
      <c r="BD7">
        <v>6.7695878793580748</v>
      </c>
      <c r="BE7">
        <v>5337.1430840859057</v>
      </c>
      <c r="BF7">
        <v>9</v>
      </c>
      <c r="BG7">
        <v>7095.5999999999995</v>
      </c>
      <c r="BH7">
        <v>8</v>
      </c>
      <c r="BI7">
        <v>6307.2</v>
      </c>
      <c r="BJ7">
        <v>5.8125190767338522</v>
      </c>
      <c r="BK7">
        <v>4582.5900400969686</v>
      </c>
      <c r="BL7">
        <v>10</v>
      </c>
      <c r="BM7">
        <v>7884</v>
      </c>
      <c r="BN7">
        <v>8</v>
      </c>
      <c r="BO7">
        <v>6307.2</v>
      </c>
      <c r="BP7">
        <v>12</v>
      </c>
      <c r="BQ7">
        <v>9460.7999999999993</v>
      </c>
      <c r="BR7">
        <v>10</v>
      </c>
      <c r="BS7">
        <v>7884</v>
      </c>
      <c r="BT7">
        <v>4.9621922536577179</v>
      </c>
      <c r="BU7">
        <v>3912.1923727837448</v>
      </c>
      <c r="BV7">
        <v>9</v>
      </c>
      <c r="BW7">
        <v>7095.5999999999995</v>
      </c>
      <c r="BX7">
        <v>7</v>
      </c>
      <c r="BY7">
        <v>5518.8</v>
      </c>
      <c r="BZ7">
        <v>7</v>
      </c>
      <c r="CA7">
        <v>5518.8</v>
      </c>
      <c r="CB7">
        <v>11</v>
      </c>
      <c r="CC7">
        <v>8672.4</v>
      </c>
      <c r="CD7">
        <v>1.5723918902804563</v>
      </c>
      <c r="CE7">
        <v>1239.6737662971118</v>
      </c>
      <c r="CF7">
        <v>10</v>
      </c>
      <c r="CG7">
        <v>7884</v>
      </c>
      <c r="CH7">
        <v>10</v>
      </c>
      <c r="CI7">
        <v>7884</v>
      </c>
      <c r="CJ7">
        <v>11</v>
      </c>
      <c r="CK7">
        <v>8672.4</v>
      </c>
      <c r="CL7">
        <v>9</v>
      </c>
      <c r="CM7">
        <v>7095.5999999999995</v>
      </c>
      <c r="CN7">
        <v>8.706793556366776</v>
      </c>
      <c r="CO7">
        <v>6864.4360398395656</v>
      </c>
      <c r="CP7">
        <v>4.0050428538924301</v>
      </c>
      <c r="CQ7">
        <v>3157.575786008792</v>
      </c>
      <c r="CR7">
        <v>9</v>
      </c>
      <c r="CS7">
        <v>7095.5999999999995</v>
      </c>
      <c r="CT7">
        <v>9</v>
      </c>
      <c r="CU7">
        <v>7095.5999999999995</v>
      </c>
    </row>
    <row r="8" spans="1:99">
      <c r="C8" s="99" t="s">
        <v>174</v>
      </c>
      <c r="D8">
        <v>6.6232875038265284</v>
      </c>
      <c r="E8">
        <v>2050.5698111846928</v>
      </c>
      <c r="F8">
        <v>6.849419576424987</v>
      </c>
      <c r="G8">
        <v>2120.5803008611756</v>
      </c>
      <c r="H8">
        <v>9.0600378728788176</v>
      </c>
      <c r="I8">
        <v>2804.9877254432818</v>
      </c>
      <c r="J8">
        <v>7</v>
      </c>
      <c r="K8">
        <v>2167.1999999999998</v>
      </c>
      <c r="L8">
        <v>7.6422670720043628</v>
      </c>
      <c r="M8">
        <v>2366.0458854925505</v>
      </c>
      <c r="N8">
        <v>4.3788701765827573</v>
      </c>
      <c r="O8">
        <v>1355.6982066700216</v>
      </c>
      <c r="P8">
        <v>9</v>
      </c>
      <c r="Q8">
        <v>2786.3999999999996</v>
      </c>
      <c r="R8">
        <v>7</v>
      </c>
      <c r="S8">
        <v>2167.1999999999998</v>
      </c>
      <c r="T8">
        <v>7</v>
      </c>
      <c r="U8">
        <v>2167.1999999999998</v>
      </c>
      <c r="V8">
        <v>6.9763236079725752</v>
      </c>
      <c r="W8">
        <v>2159.8697890283092</v>
      </c>
      <c r="X8">
        <v>6</v>
      </c>
      <c r="Y8">
        <v>1857.6</v>
      </c>
      <c r="Z8">
        <v>6</v>
      </c>
      <c r="AA8">
        <v>1857.6</v>
      </c>
      <c r="AB8">
        <v>9</v>
      </c>
      <c r="AC8">
        <v>2786.3999999999996</v>
      </c>
      <c r="AD8">
        <v>6</v>
      </c>
      <c r="AE8">
        <v>1857.6</v>
      </c>
      <c r="AF8">
        <v>9</v>
      </c>
      <c r="AG8">
        <v>2786.3999999999996</v>
      </c>
      <c r="AH8">
        <v>7</v>
      </c>
      <c r="AI8">
        <v>2167.1999999999998</v>
      </c>
      <c r="AJ8">
        <v>7.9643839600544686</v>
      </c>
      <c r="AK8">
        <v>2465.7732740328634</v>
      </c>
      <c r="AL8">
        <v>5.9748816456466463</v>
      </c>
      <c r="AM8">
        <v>1849.8233574922015</v>
      </c>
      <c r="AN8">
        <v>11</v>
      </c>
      <c r="AO8">
        <v>3405.5999999999995</v>
      </c>
      <c r="AP8">
        <v>9</v>
      </c>
      <c r="AQ8">
        <v>2786.3999999999996</v>
      </c>
      <c r="AR8">
        <v>5.9731549134313049</v>
      </c>
      <c r="AS8">
        <v>1849.2887611983317</v>
      </c>
      <c r="AT8">
        <v>4.8835658006363483</v>
      </c>
      <c r="AU8">
        <v>1511.9519718770132</v>
      </c>
      <c r="AV8">
        <v>3.0997272802667504</v>
      </c>
      <c r="AW8">
        <v>959.67556597058581</v>
      </c>
      <c r="AX8">
        <v>8</v>
      </c>
      <c r="AY8">
        <v>2476.7999999999997</v>
      </c>
      <c r="AZ8">
        <v>12</v>
      </c>
      <c r="BA8">
        <v>3715.2</v>
      </c>
      <c r="BB8">
        <v>7</v>
      </c>
      <c r="BC8">
        <v>2167.1999999999998</v>
      </c>
      <c r="BD8">
        <v>6.7695878793580748</v>
      </c>
      <c r="BE8">
        <v>2095.8644074492599</v>
      </c>
      <c r="BF8">
        <v>9</v>
      </c>
      <c r="BG8">
        <v>2786.3999999999996</v>
      </c>
      <c r="BH8">
        <v>8</v>
      </c>
      <c r="BI8">
        <v>2476.7999999999997</v>
      </c>
      <c r="BJ8">
        <v>6.6428789448386878</v>
      </c>
      <c r="BK8">
        <v>2056.6353213220577</v>
      </c>
      <c r="BL8">
        <v>10</v>
      </c>
      <c r="BM8">
        <v>3095.9999999999995</v>
      </c>
      <c r="BN8">
        <v>8</v>
      </c>
      <c r="BO8">
        <v>2476.7999999999997</v>
      </c>
      <c r="BP8">
        <v>12</v>
      </c>
      <c r="BQ8">
        <v>3715.2</v>
      </c>
      <c r="BR8">
        <v>9</v>
      </c>
      <c r="BS8">
        <v>2786.3999999999996</v>
      </c>
      <c r="BT8">
        <v>5.4133006403538744</v>
      </c>
      <c r="BU8">
        <v>1675.9578782535593</v>
      </c>
      <c r="BV8">
        <v>10</v>
      </c>
      <c r="BW8">
        <v>3095.9999999999995</v>
      </c>
      <c r="BX8">
        <v>8</v>
      </c>
      <c r="BY8">
        <v>2476.7999999999997</v>
      </c>
      <c r="BZ8">
        <v>7</v>
      </c>
      <c r="CA8">
        <v>2167.1999999999998</v>
      </c>
      <c r="CB8">
        <v>12</v>
      </c>
      <c r="CC8">
        <v>3715.2</v>
      </c>
      <c r="CD8">
        <v>1.5723918902804563</v>
      </c>
      <c r="CE8">
        <v>486.81252923082923</v>
      </c>
      <c r="CF8">
        <v>11</v>
      </c>
      <c r="CG8">
        <v>3405.5999999999995</v>
      </c>
      <c r="CH8">
        <v>10</v>
      </c>
      <c r="CI8">
        <v>3095.9999999999995</v>
      </c>
      <c r="CJ8">
        <v>11</v>
      </c>
      <c r="CK8">
        <v>3405.5999999999995</v>
      </c>
      <c r="CL8">
        <v>10</v>
      </c>
      <c r="CM8">
        <v>3095.9999999999995</v>
      </c>
      <c r="CN8">
        <v>8.706793556366776</v>
      </c>
      <c r="CO8">
        <v>2695.6232850511537</v>
      </c>
      <c r="CP8">
        <v>4.4055471392816727</v>
      </c>
      <c r="CQ8">
        <v>1363.9573943216058</v>
      </c>
      <c r="CR8">
        <v>9</v>
      </c>
      <c r="CS8">
        <v>2786.3999999999996</v>
      </c>
      <c r="CT8">
        <v>9</v>
      </c>
      <c r="CU8">
        <v>2786.3999999999996</v>
      </c>
    </row>
    <row r="9" spans="1:99">
      <c r="C9" s="99" t="s">
        <v>175</v>
      </c>
      <c r="D9">
        <v>6.6232875038265284</v>
      </c>
      <c r="E9">
        <v>4649.5478276862232</v>
      </c>
      <c r="F9">
        <v>6.849419576424987</v>
      </c>
      <c r="G9">
        <v>4808.2925426503407</v>
      </c>
      <c r="H9">
        <v>7.2480302983030542</v>
      </c>
      <c r="I9">
        <v>5088.1172694087445</v>
      </c>
      <c r="J9">
        <v>7</v>
      </c>
      <c r="K9">
        <v>4914</v>
      </c>
      <c r="L9">
        <v>8.491407857782626</v>
      </c>
      <c r="M9">
        <v>5960.9683161634039</v>
      </c>
      <c r="N9">
        <v>4.3788701765827573</v>
      </c>
      <c r="O9">
        <v>3073.9668639610954</v>
      </c>
      <c r="P9">
        <v>10</v>
      </c>
      <c r="Q9">
        <v>7020</v>
      </c>
      <c r="R9">
        <v>6</v>
      </c>
      <c r="S9">
        <v>4212</v>
      </c>
      <c r="T9">
        <v>7</v>
      </c>
      <c r="U9">
        <v>4914</v>
      </c>
      <c r="V9">
        <v>6.9763236079725752</v>
      </c>
      <c r="W9">
        <v>4897.3791727967482</v>
      </c>
      <c r="X9">
        <v>5</v>
      </c>
      <c r="Y9">
        <v>3510</v>
      </c>
      <c r="Z9">
        <v>6</v>
      </c>
      <c r="AA9">
        <v>4212</v>
      </c>
      <c r="AB9">
        <v>8</v>
      </c>
      <c r="AC9">
        <v>5616</v>
      </c>
      <c r="AD9">
        <v>6</v>
      </c>
      <c r="AE9">
        <v>4212</v>
      </c>
      <c r="AF9">
        <v>8</v>
      </c>
      <c r="AG9">
        <v>5616</v>
      </c>
      <c r="AH9">
        <v>7</v>
      </c>
      <c r="AI9">
        <v>4914</v>
      </c>
      <c r="AJ9">
        <v>7.1679455640490213</v>
      </c>
      <c r="AK9">
        <v>5031.8977859624129</v>
      </c>
      <c r="AL9">
        <v>5.9748816456466463</v>
      </c>
      <c r="AM9">
        <v>4194.3669152439461</v>
      </c>
      <c r="AN9">
        <v>10</v>
      </c>
      <c r="AO9">
        <v>7020</v>
      </c>
      <c r="AP9">
        <v>8</v>
      </c>
      <c r="AQ9">
        <v>5616</v>
      </c>
      <c r="AR9">
        <v>5.1198470686554041</v>
      </c>
      <c r="AS9">
        <v>3594.1326421960935</v>
      </c>
      <c r="AT9">
        <v>5.6974934340757395</v>
      </c>
      <c r="AU9">
        <v>3999.6403907211693</v>
      </c>
      <c r="AV9">
        <v>2.7897545522400753</v>
      </c>
      <c r="AW9">
        <v>1958.4076956725328</v>
      </c>
      <c r="AX9">
        <v>9</v>
      </c>
      <c r="AY9">
        <v>6318</v>
      </c>
      <c r="AZ9">
        <v>11</v>
      </c>
      <c r="BA9">
        <v>7722</v>
      </c>
      <c r="BB9">
        <v>9</v>
      </c>
      <c r="BC9">
        <v>6318</v>
      </c>
      <c r="BD9">
        <v>6.2054555560782356</v>
      </c>
      <c r="BE9">
        <v>4356.2298003669212</v>
      </c>
      <c r="BF9">
        <v>10</v>
      </c>
      <c r="BG9">
        <v>7020</v>
      </c>
      <c r="BH9">
        <v>8</v>
      </c>
      <c r="BI9">
        <v>5616</v>
      </c>
      <c r="BJ9">
        <v>4.9821592086290156</v>
      </c>
      <c r="BK9">
        <v>3497.4757644575689</v>
      </c>
      <c r="BL9">
        <v>10</v>
      </c>
      <c r="BM9">
        <v>7020</v>
      </c>
      <c r="BN9">
        <v>8</v>
      </c>
      <c r="BO9">
        <v>5616</v>
      </c>
      <c r="BP9">
        <v>13</v>
      </c>
      <c r="BQ9">
        <v>9126</v>
      </c>
      <c r="BR9">
        <v>10</v>
      </c>
      <c r="BS9">
        <v>7020</v>
      </c>
      <c r="BT9">
        <v>4.9621922536577179</v>
      </c>
      <c r="BU9">
        <v>3483.4589620677179</v>
      </c>
      <c r="BV9">
        <v>10</v>
      </c>
      <c r="BW9">
        <v>7020</v>
      </c>
      <c r="BX9">
        <v>7</v>
      </c>
      <c r="BY9">
        <v>4914</v>
      </c>
      <c r="BZ9">
        <v>6</v>
      </c>
      <c r="CA9">
        <v>4212</v>
      </c>
      <c r="CB9">
        <v>10</v>
      </c>
      <c r="CC9">
        <v>7020</v>
      </c>
      <c r="CD9">
        <v>1.5723918902804563</v>
      </c>
      <c r="CE9">
        <v>1103.8191069768804</v>
      </c>
      <c r="CF9">
        <v>11</v>
      </c>
      <c r="CG9">
        <v>7722</v>
      </c>
      <c r="CH9">
        <v>10</v>
      </c>
      <c r="CI9">
        <v>7020</v>
      </c>
      <c r="CJ9">
        <v>11</v>
      </c>
      <c r="CK9">
        <v>7722</v>
      </c>
      <c r="CL9">
        <v>10</v>
      </c>
      <c r="CM9">
        <v>7020</v>
      </c>
      <c r="CN9">
        <v>8.706793556366776</v>
      </c>
      <c r="CO9">
        <v>6112.1690765694766</v>
      </c>
      <c r="CP9">
        <v>3.604538568503187</v>
      </c>
      <c r="CQ9">
        <v>2530.3860750892372</v>
      </c>
      <c r="CR9">
        <v>9</v>
      </c>
      <c r="CS9">
        <v>6318</v>
      </c>
      <c r="CT9">
        <v>9</v>
      </c>
      <c r="CU9">
        <v>6318</v>
      </c>
    </row>
    <row r="10" spans="1:99">
      <c r="C10" s="99" t="s">
        <v>176</v>
      </c>
      <c r="D10">
        <v>5.7953765658482119</v>
      </c>
      <c r="E10">
        <v>3157.3211530741055</v>
      </c>
      <c r="F10">
        <v>6.849419576424987</v>
      </c>
      <c r="G10">
        <v>3731.5637852363325</v>
      </c>
      <c r="H10">
        <v>9.0600378728788176</v>
      </c>
      <c r="I10">
        <v>4935.9086331443796</v>
      </c>
      <c r="J10">
        <v>7</v>
      </c>
      <c r="K10">
        <v>3813.5999999999995</v>
      </c>
      <c r="L10">
        <v>7.6422670720043628</v>
      </c>
      <c r="M10">
        <v>4163.5071008279765</v>
      </c>
      <c r="N10">
        <v>4.9262289486556021</v>
      </c>
      <c r="O10">
        <v>2683.8095312275718</v>
      </c>
      <c r="P10">
        <v>10</v>
      </c>
      <c r="Q10">
        <v>5448</v>
      </c>
      <c r="R10">
        <v>7</v>
      </c>
      <c r="S10">
        <v>3813.5999999999995</v>
      </c>
      <c r="T10">
        <v>6</v>
      </c>
      <c r="U10">
        <v>3268.7999999999997</v>
      </c>
      <c r="V10">
        <v>6.9763236079725752</v>
      </c>
      <c r="W10">
        <v>3800.7011016234587</v>
      </c>
      <c r="X10">
        <v>6</v>
      </c>
      <c r="Y10">
        <v>3268.7999999999997</v>
      </c>
      <c r="Z10">
        <v>5</v>
      </c>
      <c r="AA10">
        <v>2724</v>
      </c>
      <c r="AB10">
        <v>9</v>
      </c>
      <c r="AC10">
        <v>4903.2</v>
      </c>
      <c r="AD10">
        <v>6</v>
      </c>
      <c r="AE10">
        <v>3268.7999999999997</v>
      </c>
      <c r="AF10">
        <v>9</v>
      </c>
      <c r="AG10">
        <v>4903.2</v>
      </c>
      <c r="AH10">
        <v>7</v>
      </c>
      <c r="AI10">
        <v>3813.5999999999995</v>
      </c>
      <c r="AJ10">
        <v>7.1679455640490213</v>
      </c>
      <c r="AK10">
        <v>3905.0967432939065</v>
      </c>
      <c r="AL10">
        <v>5.3110059072414639</v>
      </c>
      <c r="AM10">
        <v>2893.4360182651494</v>
      </c>
      <c r="AN10">
        <v>10</v>
      </c>
      <c r="AO10">
        <v>5448</v>
      </c>
      <c r="AP10">
        <v>9</v>
      </c>
      <c r="AQ10">
        <v>4903.2</v>
      </c>
      <c r="AR10">
        <v>5.9731549134313049</v>
      </c>
      <c r="AS10">
        <v>3254.1747968373747</v>
      </c>
      <c r="AT10">
        <v>5.6974934340757395</v>
      </c>
      <c r="AU10">
        <v>3103.9944228844624</v>
      </c>
      <c r="AV10">
        <v>2.7897545522400753</v>
      </c>
      <c r="AW10">
        <v>1519.8582800603929</v>
      </c>
      <c r="AX10">
        <v>8</v>
      </c>
      <c r="AY10">
        <v>4358.3999999999996</v>
      </c>
      <c r="AZ10">
        <v>10</v>
      </c>
      <c r="BA10">
        <v>5448</v>
      </c>
      <c r="BB10">
        <v>8</v>
      </c>
      <c r="BC10">
        <v>4358.3999999999996</v>
      </c>
      <c r="BD10">
        <v>6.2054555560782356</v>
      </c>
      <c r="BE10">
        <v>3380.7321869514226</v>
      </c>
      <c r="BF10">
        <v>9</v>
      </c>
      <c r="BG10">
        <v>4903.2</v>
      </c>
      <c r="BH10">
        <v>7</v>
      </c>
      <c r="BI10">
        <v>3813.5999999999995</v>
      </c>
      <c r="BJ10">
        <v>5.8125190767338522</v>
      </c>
      <c r="BK10">
        <v>3166.6603930046026</v>
      </c>
      <c r="BL10">
        <v>12</v>
      </c>
      <c r="BM10">
        <v>6537.5999999999995</v>
      </c>
      <c r="BN10">
        <v>8</v>
      </c>
      <c r="BO10">
        <v>4358.3999999999996</v>
      </c>
      <c r="BP10">
        <v>12</v>
      </c>
      <c r="BQ10">
        <v>6537.5999999999995</v>
      </c>
      <c r="BR10">
        <v>11</v>
      </c>
      <c r="BS10">
        <v>5992.7999999999993</v>
      </c>
      <c r="BT10">
        <v>4.5110838669615623</v>
      </c>
      <c r="BU10">
        <v>2457.6384907206589</v>
      </c>
      <c r="BV10">
        <v>11</v>
      </c>
      <c r="BW10">
        <v>5992.7999999999993</v>
      </c>
      <c r="BX10">
        <v>7</v>
      </c>
      <c r="BY10">
        <v>3813.5999999999995</v>
      </c>
      <c r="BZ10">
        <v>7</v>
      </c>
      <c r="CA10">
        <v>3813.5999999999995</v>
      </c>
      <c r="CB10">
        <v>11</v>
      </c>
      <c r="CC10">
        <v>5992.7999999999993</v>
      </c>
      <c r="CD10">
        <v>1.441359232757085</v>
      </c>
      <c r="CE10">
        <v>785.25251000605988</v>
      </c>
      <c r="CF10">
        <v>11</v>
      </c>
      <c r="CG10">
        <v>5992.7999999999993</v>
      </c>
      <c r="CH10">
        <v>11</v>
      </c>
      <c r="CI10">
        <v>5992.7999999999993</v>
      </c>
      <c r="CJ10">
        <v>11</v>
      </c>
      <c r="CK10">
        <v>5992.7999999999993</v>
      </c>
      <c r="CL10">
        <v>9</v>
      </c>
      <c r="CM10">
        <v>4903.2</v>
      </c>
      <c r="CN10">
        <v>9.4323596860640091</v>
      </c>
      <c r="CO10">
        <v>5138.7495569676721</v>
      </c>
      <c r="CP10">
        <v>4.4055471392816727</v>
      </c>
      <c r="CQ10">
        <v>2400.1420814806552</v>
      </c>
      <c r="CR10">
        <v>9</v>
      </c>
      <c r="CS10">
        <v>4903.2</v>
      </c>
      <c r="CT10">
        <v>8</v>
      </c>
      <c r="CU10">
        <v>4358.3999999999996</v>
      </c>
    </row>
    <row r="11" spans="1:99">
      <c r="C11" s="99" t="s">
        <v>177</v>
      </c>
      <c r="D11">
        <v>5.7953765658482119</v>
      </c>
      <c r="E11">
        <v>3087.7766342839273</v>
      </c>
      <c r="F11">
        <v>5.9932421293718638</v>
      </c>
      <c r="G11">
        <v>3193.1994065293288</v>
      </c>
      <c r="H11">
        <v>8.1540340855909363</v>
      </c>
      <c r="I11">
        <v>4344.4693608028501</v>
      </c>
      <c r="J11">
        <v>7</v>
      </c>
      <c r="K11">
        <v>3729.5999999999995</v>
      </c>
      <c r="L11">
        <v>6.7931262862260997</v>
      </c>
      <c r="M11">
        <v>3619.3776853012655</v>
      </c>
      <c r="N11">
        <v>4.9262289486556021</v>
      </c>
      <c r="O11">
        <v>2624.6947838437045</v>
      </c>
      <c r="P11">
        <v>10</v>
      </c>
      <c r="Q11">
        <v>5328</v>
      </c>
      <c r="R11">
        <v>6</v>
      </c>
      <c r="S11">
        <v>3196.7999999999997</v>
      </c>
      <c r="T11">
        <v>6</v>
      </c>
      <c r="U11">
        <v>3196.7999999999997</v>
      </c>
      <c r="V11">
        <v>6.1042831569760025</v>
      </c>
      <c r="W11">
        <v>3252.3620660368138</v>
      </c>
      <c r="X11">
        <v>6</v>
      </c>
      <c r="Y11">
        <v>3196.7999999999997</v>
      </c>
      <c r="Z11">
        <v>6</v>
      </c>
      <c r="AA11">
        <v>3196.7999999999997</v>
      </c>
      <c r="AB11">
        <v>9</v>
      </c>
      <c r="AC11">
        <v>4795.2</v>
      </c>
      <c r="AD11">
        <v>6</v>
      </c>
      <c r="AE11">
        <v>3196.7999999999997</v>
      </c>
      <c r="AF11">
        <v>8</v>
      </c>
      <c r="AG11">
        <v>4262.3999999999996</v>
      </c>
      <c r="AH11">
        <v>6</v>
      </c>
      <c r="AI11">
        <v>3196.7999999999997</v>
      </c>
      <c r="AJ11">
        <v>7.1679455640490213</v>
      </c>
      <c r="AK11">
        <v>3819.0813965253183</v>
      </c>
      <c r="AL11">
        <v>6.6387573840518286</v>
      </c>
      <c r="AM11">
        <v>3537.129934222814</v>
      </c>
      <c r="AN11">
        <v>11</v>
      </c>
      <c r="AO11">
        <v>5860.7999999999993</v>
      </c>
      <c r="AP11">
        <v>9</v>
      </c>
      <c r="AQ11">
        <v>4795.2</v>
      </c>
      <c r="AR11">
        <v>5.9731549134313049</v>
      </c>
      <c r="AS11">
        <v>3182.4969378761989</v>
      </c>
      <c r="AT11">
        <v>5.6974934340757395</v>
      </c>
      <c r="AU11">
        <v>3035.6245016755538</v>
      </c>
      <c r="AV11">
        <v>3.0997272802667504</v>
      </c>
      <c r="AW11">
        <v>1651.5346949261245</v>
      </c>
      <c r="AX11">
        <v>9</v>
      </c>
      <c r="AY11">
        <v>4795.2</v>
      </c>
      <c r="AZ11">
        <v>11</v>
      </c>
      <c r="BA11">
        <v>5860.7999999999993</v>
      </c>
      <c r="BB11">
        <v>9</v>
      </c>
      <c r="BC11">
        <v>4795.2</v>
      </c>
      <c r="BD11">
        <v>6.2054555560782356</v>
      </c>
      <c r="BE11">
        <v>3306.2667202784837</v>
      </c>
      <c r="BF11">
        <v>9</v>
      </c>
      <c r="BG11">
        <v>4795.2</v>
      </c>
      <c r="BH11">
        <v>7</v>
      </c>
      <c r="BI11">
        <v>3729.5999999999995</v>
      </c>
      <c r="BJ11">
        <v>5.8125190767338522</v>
      </c>
      <c r="BK11">
        <v>3096.9101640837962</v>
      </c>
      <c r="BL11">
        <v>10</v>
      </c>
      <c r="BM11">
        <v>5328</v>
      </c>
      <c r="BN11">
        <v>8</v>
      </c>
      <c r="BO11">
        <v>4262.3999999999996</v>
      </c>
      <c r="BP11">
        <v>12</v>
      </c>
      <c r="BQ11">
        <v>6393.5999999999995</v>
      </c>
      <c r="BR11">
        <v>11</v>
      </c>
      <c r="BS11">
        <v>5860.7999999999993</v>
      </c>
      <c r="BT11">
        <v>5.4133006403538744</v>
      </c>
      <c r="BU11">
        <v>2884.2065811805442</v>
      </c>
      <c r="BV11">
        <v>11</v>
      </c>
      <c r="BW11">
        <v>5860.7999999999993</v>
      </c>
      <c r="BX11">
        <v>7</v>
      </c>
      <c r="BY11">
        <v>3729.5999999999995</v>
      </c>
      <c r="BZ11">
        <v>7</v>
      </c>
      <c r="CA11">
        <v>3729.5999999999995</v>
      </c>
      <c r="CB11">
        <v>11</v>
      </c>
      <c r="CC11">
        <v>5860.7999999999993</v>
      </c>
      <c r="CD11">
        <v>1.3103265752337137</v>
      </c>
      <c r="CE11">
        <v>698.14199928452263</v>
      </c>
      <c r="CF11">
        <v>11</v>
      </c>
      <c r="CG11">
        <v>5860.7999999999993</v>
      </c>
      <c r="CH11">
        <v>12</v>
      </c>
      <c r="CI11">
        <v>6393.5999999999995</v>
      </c>
      <c r="CJ11">
        <v>10</v>
      </c>
      <c r="CK11">
        <v>5328</v>
      </c>
      <c r="CL11">
        <v>9</v>
      </c>
      <c r="CM11">
        <v>4795.2</v>
      </c>
      <c r="CN11">
        <v>8.706793556366776</v>
      </c>
      <c r="CO11">
        <v>4638.9796068322175</v>
      </c>
      <c r="CP11">
        <v>4.4055471392816727</v>
      </c>
      <c r="CQ11">
        <v>2347.275515809275</v>
      </c>
      <c r="CR11">
        <v>9</v>
      </c>
      <c r="CS11">
        <v>4795.2</v>
      </c>
      <c r="CT11">
        <v>8</v>
      </c>
      <c r="CU11">
        <v>4262.3999999999996</v>
      </c>
    </row>
    <row r="12" spans="1:99">
      <c r="C12" s="99" t="s">
        <v>178</v>
      </c>
      <c r="D12">
        <v>6.6232875038265284</v>
      </c>
      <c r="E12">
        <v>3727.5862071535698</v>
      </c>
      <c r="F12">
        <v>6.849419576424987</v>
      </c>
      <c r="G12">
        <v>3854.8533376119822</v>
      </c>
      <c r="H12">
        <v>8.1540340855909363</v>
      </c>
      <c r="I12">
        <v>4589.0903833705788</v>
      </c>
      <c r="J12">
        <v>7</v>
      </c>
      <c r="K12">
        <v>3939.5999999999995</v>
      </c>
      <c r="L12">
        <v>6.7931262862260997</v>
      </c>
      <c r="M12">
        <v>3823.1714738880487</v>
      </c>
      <c r="N12">
        <v>4.3788701765827573</v>
      </c>
      <c r="O12">
        <v>2464.4281353807755</v>
      </c>
      <c r="P12">
        <v>8</v>
      </c>
      <c r="Q12">
        <v>4502.3999999999996</v>
      </c>
      <c r="R12">
        <v>7</v>
      </c>
      <c r="S12">
        <v>3939.5999999999995</v>
      </c>
      <c r="T12">
        <v>6</v>
      </c>
      <c r="U12">
        <v>3376.7999999999997</v>
      </c>
      <c r="V12">
        <v>6.1042831569760025</v>
      </c>
      <c r="W12">
        <v>3435.4905607460942</v>
      </c>
      <c r="X12">
        <v>6</v>
      </c>
      <c r="Y12">
        <v>3376.7999999999997</v>
      </c>
      <c r="Z12">
        <v>6</v>
      </c>
      <c r="AA12">
        <v>3376.7999999999997</v>
      </c>
      <c r="AB12">
        <v>8</v>
      </c>
      <c r="AC12">
        <v>4502.3999999999996</v>
      </c>
      <c r="AD12">
        <v>7</v>
      </c>
      <c r="AE12">
        <v>3939.5999999999995</v>
      </c>
      <c r="AF12">
        <v>9</v>
      </c>
      <c r="AG12">
        <v>5065.2</v>
      </c>
      <c r="AH12">
        <v>7</v>
      </c>
      <c r="AI12">
        <v>3939.5999999999995</v>
      </c>
      <c r="AJ12">
        <v>7.1679455640490213</v>
      </c>
      <c r="AK12">
        <v>4034.119763446789</v>
      </c>
      <c r="AL12">
        <v>5.3110059072414639</v>
      </c>
      <c r="AM12">
        <v>2989.0341245954955</v>
      </c>
      <c r="AN12">
        <v>11</v>
      </c>
      <c r="AO12">
        <v>6190.7999999999993</v>
      </c>
      <c r="AP12">
        <v>8</v>
      </c>
      <c r="AQ12">
        <v>4502.3999999999996</v>
      </c>
      <c r="AR12">
        <v>5.9731549134313049</v>
      </c>
      <c r="AS12">
        <v>3361.6915852791381</v>
      </c>
      <c r="AT12">
        <v>5.6974934340757395</v>
      </c>
      <c r="AU12">
        <v>3206.5493046978258</v>
      </c>
      <c r="AV12">
        <v>3.0997272802667504</v>
      </c>
      <c r="AW12">
        <v>1744.526513334127</v>
      </c>
      <c r="AX12">
        <v>9</v>
      </c>
      <c r="AY12">
        <v>5065.2</v>
      </c>
      <c r="AZ12">
        <v>11</v>
      </c>
      <c r="BA12">
        <v>6190.7999999999993</v>
      </c>
      <c r="BB12">
        <v>8</v>
      </c>
      <c r="BC12">
        <v>4502.3999999999996</v>
      </c>
      <c r="BD12">
        <v>6.7695878793580748</v>
      </c>
      <c r="BE12">
        <v>3809.9240585027242</v>
      </c>
      <c r="BF12">
        <v>9</v>
      </c>
      <c r="BG12">
        <v>5065.2</v>
      </c>
      <c r="BH12">
        <v>7</v>
      </c>
      <c r="BI12">
        <v>3939.5999999999995</v>
      </c>
      <c r="BJ12">
        <v>5.8125190767338522</v>
      </c>
      <c r="BK12">
        <v>3271.2857363858116</v>
      </c>
      <c r="BL12">
        <v>11</v>
      </c>
      <c r="BM12">
        <v>6190.7999999999993</v>
      </c>
      <c r="BN12">
        <v>7</v>
      </c>
      <c r="BO12">
        <v>3939.5999999999995</v>
      </c>
      <c r="BP12">
        <v>12</v>
      </c>
      <c r="BQ12">
        <v>6753.5999999999995</v>
      </c>
      <c r="BR12">
        <v>11</v>
      </c>
      <c r="BS12">
        <v>6190.7999999999993</v>
      </c>
      <c r="BT12">
        <v>5.4133006403538744</v>
      </c>
      <c r="BU12">
        <v>3046.6056003911604</v>
      </c>
      <c r="BV12">
        <v>9</v>
      </c>
      <c r="BW12">
        <v>5065.2</v>
      </c>
      <c r="BX12">
        <v>7</v>
      </c>
      <c r="BY12">
        <v>3939.5999999999995</v>
      </c>
      <c r="BZ12">
        <v>6</v>
      </c>
      <c r="CA12">
        <v>3376.7999999999997</v>
      </c>
      <c r="CB12">
        <v>11</v>
      </c>
      <c r="CC12">
        <v>6190.7999999999993</v>
      </c>
      <c r="CD12">
        <v>1.5723918902804563</v>
      </c>
      <c r="CE12">
        <v>884.94215584984079</v>
      </c>
      <c r="CF12">
        <v>9</v>
      </c>
      <c r="CG12">
        <v>5065.2</v>
      </c>
      <c r="CH12">
        <v>12</v>
      </c>
      <c r="CI12">
        <v>6753.5999999999995</v>
      </c>
      <c r="CJ12">
        <v>11</v>
      </c>
      <c r="CK12">
        <v>6190.7999999999993</v>
      </c>
      <c r="CL12">
        <v>10</v>
      </c>
      <c r="CM12">
        <v>5628</v>
      </c>
      <c r="CN12">
        <v>8.706793556366776</v>
      </c>
      <c r="CO12">
        <v>4900.1834135232211</v>
      </c>
      <c r="CP12">
        <v>4.0050428538924301</v>
      </c>
      <c r="CQ12">
        <v>2254.0381181706593</v>
      </c>
      <c r="CR12">
        <v>9</v>
      </c>
      <c r="CS12">
        <v>5065.2</v>
      </c>
      <c r="CT12">
        <v>8</v>
      </c>
      <c r="CU12">
        <v>4502.3999999999996</v>
      </c>
    </row>
    <row r="13" spans="1:99">
      <c r="C13" s="99" t="s">
        <v>179</v>
      </c>
      <c r="D13">
        <v>6.6232875038265284</v>
      </c>
      <c r="E13">
        <v>564.30409532602027</v>
      </c>
      <c r="F13">
        <v>6.849419576424987</v>
      </c>
      <c r="G13">
        <v>583.57054791140888</v>
      </c>
      <c r="H13">
        <v>9.0600378728788176</v>
      </c>
      <c r="I13">
        <v>771.91522676927525</v>
      </c>
      <c r="J13">
        <v>8</v>
      </c>
      <c r="K13">
        <v>681.6</v>
      </c>
      <c r="L13">
        <v>7.6422670720043628</v>
      </c>
      <c r="M13">
        <v>651.12115453477179</v>
      </c>
      <c r="N13">
        <v>5.4735877207284469</v>
      </c>
      <c r="O13">
        <v>466.34967380606372</v>
      </c>
      <c r="P13">
        <v>10</v>
      </c>
      <c r="Q13">
        <v>852</v>
      </c>
      <c r="R13">
        <v>6</v>
      </c>
      <c r="S13">
        <v>511.20000000000005</v>
      </c>
      <c r="T13">
        <v>6</v>
      </c>
      <c r="U13">
        <v>511.20000000000005</v>
      </c>
      <c r="V13">
        <v>6.1042831569760025</v>
      </c>
      <c r="W13">
        <v>520.08492497435543</v>
      </c>
      <c r="X13">
        <v>6</v>
      </c>
      <c r="Y13">
        <v>511.20000000000005</v>
      </c>
      <c r="Z13">
        <v>6</v>
      </c>
      <c r="AA13">
        <v>511.20000000000005</v>
      </c>
      <c r="AB13">
        <v>8</v>
      </c>
      <c r="AC13">
        <v>681.6</v>
      </c>
      <c r="AD13">
        <v>7</v>
      </c>
      <c r="AE13">
        <v>596.4</v>
      </c>
      <c r="AF13">
        <v>8</v>
      </c>
      <c r="AG13">
        <v>681.6</v>
      </c>
      <c r="AH13">
        <v>7</v>
      </c>
      <c r="AI13">
        <v>596.4</v>
      </c>
      <c r="AJ13">
        <v>7.1679455640490213</v>
      </c>
      <c r="AK13">
        <v>610.70896205697659</v>
      </c>
      <c r="AL13">
        <v>5.9748816456466463</v>
      </c>
      <c r="AM13">
        <v>509.0599162090943</v>
      </c>
      <c r="AN13">
        <v>12</v>
      </c>
      <c r="AO13">
        <v>1022.4000000000001</v>
      </c>
      <c r="AP13">
        <v>9</v>
      </c>
      <c r="AQ13">
        <v>766.80000000000007</v>
      </c>
      <c r="AR13">
        <v>5.9731549134313049</v>
      </c>
      <c r="AS13">
        <v>508.9127986243472</v>
      </c>
      <c r="AT13">
        <v>5.6974934340757395</v>
      </c>
      <c r="AU13">
        <v>485.426440583253</v>
      </c>
      <c r="AV13">
        <v>3.0997272802667504</v>
      </c>
      <c r="AW13">
        <v>264.09676427872716</v>
      </c>
      <c r="AX13">
        <v>9</v>
      </c>
      <c r="AY13">
        <v>766.80000000000007</v>
      </c>
      <c r="AZ13">
        <v>12</v>
      </c>
      <c r="BA13">
        <v>1022.4000000000001</v>
      </c>
      <c r="BB13">
        <v>8</v>
      </c>
      <c r="BC13">
        <v>681.6</v>
      </c>
      <c r="BD13">
        <v>7.3337202026379149</v>
      </c>
      <c r="BE13">
        <v>624.83296126475034</v>
      </c>
      <c r="BF13">
        <v>10</v>
      </c>
      <c r="BG13">
        <v>852</v>
      </c>
      <c r="BH13">
        <v>8</v>
      </c>
      <c r="BI13">
        <v>681.6</v>
      </c>
      <c r="BJ13">
        <v>5.8125190767338522</v>
      </c>
      <c r="BK13">
        <v>495.22662533772422</v>
      </c>
      <c r="BL13">
        <v>11</v>
      </c>
      <c r="BM13">
        <v>937.2</v>
      </c>
      <c r="BN13">
        <v>8</v>
      </c>
      <c r="BO13">
        <v>681.6</v>
      </c>
      <c r="BP13">
        <v>13</v>
      </c>
      <c r="BQ13">
        <v>1107.6000000000001</v>
      </c>
      <c r="BR13">
        <v>11</v>
      </c>
      <c r="BS13">
        <v>937.2</v>
      </c>
      <c r="BT13">
        <v>5.4133006403538744</v>
      </c>
      <c r="BU13">
        <v>461.21321455815013</v>
      </c>
      <c r="BV13">
        <v>11</v>
      </c>
      <c r="BW13">
        <v>937.2</v>
      </c>
      <c r="BX13">
        <v>7</v>
      </c>
      <c r="BY13">
        <v>596.4</v>
      </c>
      <c r="BZ13">
        <v>6</v>
      </c>
      <c r="CA13">
        <v>511.20000000000005</v>
      </c>
      <c r="CB13">
        <v>11</v>
      </c>
      <c r="CC13">
        <v>937.2</v>
      </c>
      <c r="CD13">
        <v>1.5723918902804563</v>
      </c>
      <c r="CE13">
        <v>133.9677890518949</v>
      </c>
      <c r="CF13">
        <v>11</v>
      </c>
      <c r="CG13">
        <v>937.2</v>
      </c>
      <c r="CH13">
        <v>11</v>
      </c>
      <c r="CI13">
        <v>937.2</v>
      </c>
      <c r="CJ13">
        <v>11</v>
      </c>
      <c r="CK13">
        <v>937.2</v>
      </c>
      <c r="CL13">
        <v>9</v>
      </c>
      <c r="CM13">
        <v>766.80000000000007</v>
      </c>
      <c r="CN13">
        <v>8.706793556366776</v>
      </c>
      <c r="CO13">
        <v>741.81881100244937</v>
      </c>
      <c r="CP13">
        <v>4.8060514246709163</v>
      </c>
      <c r="CQ13">
        <v>409.47558138196206</v>
      </c>
      <c r="CR13">
        <v>9</v>
      </c>
      <c r="CS13">
        <v>766.80000000000007</v>
      </c>
      <c r="CT13">
        <v>10</v>
      </c>
      <c r="CU13">
        <v>852</v>
      </c>
    </row>
    <row r="14" spans="1:99">
      <c r="C14" s="99" t="s">
        <v>180</v>
      </c>
      <c r="D14">
        <v>5.7953765658482119</v>
      </c>
      <c r="E14">
        <v>2830.4619147602666</v>
      </c>
      <c r="F14">
        <v>5.9932421293718638</v>
      </c>
      <c r="G14">
        <v>2927.0994559852184</v>
      </c>
      <c r="H14">
        <v>9.0600378728788176</v>
      </c>
      <c r="I14">
        <v>4424.9224971140147</v>
      </c>
      <c r="J14">
        <v>8</v>
      </c>
      <c r="K14">
        <v>3907.2</v>
      </c>
      <c r="L14">
        <v>7.6422670720043628</v>
      </c>
      <c r="M14">
        <v>3732.4832379669306</v>
      </c>
      <c r="N14">
        <v>4.9262289486556021</v>
      </c>
      <c r="O14">
        <v>2405.9702185233959</v>
      </c>
      <c r="P14">
        <v>9</v>
      </c>
      <c r="Q14">
        <v>4395.5999999999995</v>
      </c>
      <c r="R14">
        <v>7</v>
      </c>
      <c r="S14">
        <v>3418.7999999999997</v>
      </c>
      <c r="T14">
        <v>6</v>
      </c>
      <c r="U14">
        <v>2930.3999999999996</v>
      </c>
      <c r="V14">
        <v>6.1042831569760025</v>
      </c>
      <c r="W14">
        <v>2981.3318938670795</v>
      </c>
      <c r="X14">
        <v>6</v>
      </c>
      <c r="Y14">
        <v>2930.3999999999996</v>
      </c>
      <c r="Z14">
        <v>6</v>
      </c>
      <c r="AA14">
        <v>2930.3999999999996</v>
      </c>
      <c r="AB14">
        <v>8</v>
      </c>
      <c r="AC14">
        <v>3907.2</v>
      </c>
      <c r="AD14">
        <v>6</v>
      </c>
      <c r="AE14">
        <v>2930.3999999999996</v>
      </c>
      <c r="AF14">
        <v>9</v>
      </c>
      <c r="AG14">
        <v>4395.5999999999995</v>
      </c>
      <c r="AH14">
        <v>7</v>
      </c>
      <c r="AI14">
        <v>3418.7999999999997</v>
      </c>
      <c r="AJ14">
        <v>7.9643839600544686</v>
      </c>
      <c r="AK14">
        <v>3889.8051260906022</v>
      </c>
      <c r="AL14">
        <v>6.6387573840518286</v>
      </c>
      <c r="AM14">
        <v>3242.369106370913</v>
      </c>
      <c r="AN14">
        <v>10</v>
      </c>
      <c r="AO14">
        <v>4884</v>
      </c>
      <c r="AP14">
        <v>9</v>
      </c>
      <c r="AQ14">
        <v>4395.5999999999995</v>
      </c>
      <c r="AR14">
        <v>5.9731549134313049</v>
      </c>
      <c r="AS14">
        <v>2917.2888597198494</v>
      </c>
      <c r="AT14">
        <v>5.6974934340757395</v>
      </c>
      <c r="AU14">
        <v>2782.6557932025912</v>
      </c>
      <c r="AV14">
        <v>3.0997272802667504</v>
      </c>
      <c r="AW14">
        <v>1513.9068036822807</v>
      </c>
      <c r="AX14">
        <v>9</v>
      </c>
      <c r="AY14">
        <v>4395.5999999999995</v>
      </c>
      <c r="AZ14">
        <v>12</v>
      </c>
      <c r="BA14">
        <v>5860.7999999999993</v>
      </c>
      <c r="BB14">
        <v>8</v>
      </c>
      <c r="BC14">
        <v>3907.2</v>
      </c>
      <c r="BD14">
        <v>6.2054555560782356</v>
      </c>
      <c r="BE14">
        <v>3030.7444935886101</v>
      </c>
      <c r="BF14">
        <v>9</v>
      </c>
      <c r="BG14">
        <v>4395.5999999999995</v>
      </c>
      <c r="BH14">
        <v>7</v>
      </c>
      <c r="BI14">
        <v>3418.7999999999997</v>
      </c>
      <c r="BJ14">
        <v>5.8125190767338522</v>
      </c>
      <c r="BK14">
        <v>2838.8343170768135</v>
      </c>
      <c r="BL14">
        <v>10</v>
      </c>
      <c r="BM14">
        <v>4884</v>
      </c>
      <c r="BN14">
        <v>8</v>
      </c>
      <c r="BO14">
        <v>3907.2</v>
      </c>
      <c r="BP14">
        <v>12</v>
      </c>
      <c r="BQ14">
        <v>5860.7999999999993</v>
      </c>
      <c r="BR14">
        <v>10</v>
      </c>
      <c r="BS14">
        <v>4884</v>
      </c>
      <c r="BT14">
        <v>5.4133006403538744</v>
      </c>
      <c r="BU14">
        <v>2643.8560327488321</v>
      </c>
      <c r="BV14">
        <v>10</v>
      </c>
      <c r="BW14">
        <v>4884</v>
      </c>
      <c r="BX14">
        <v>7</v>
      </c>
      <c r="BY14">
        <v>3418.7999999999997</v>
      </c>
      <c r="BZ14">
        <v>6</v>
      </c>
      <c r="CA14">
        <v>2930.3999999999996</v>
      </c>
      <c r="CB14">
        <v>12</v>
      </c>
      <c r="CC14">
        <v>5860.7999999999993</v>
      </c>
      <c r="CD14">
        <v>1.5723918902804563</v>
      </c>
      <c r="CE14">
        <v>767.95619921297487</v>
      </c>
      <c r="CF14">
        <v>10</v>
      </c>
      <c r="CG14">
        <v>4884</v>
      </c>
      <c r="CH14">
        <v>11</v>
      </c>
      <c r="CI14">
        <v>5372.4</v>
      </c>
      <c r="CJ14">
        <v>12</v>
      </c>
      <c r="CK14">
        <v>5860.7999999999993</v>
      </c>
      <c r="CL14">
        <v>10</v>
      </c>
      <c r="CM14">
        <v>4884</v>
      </c>
      <c r="CN14">
        <v>7.9812274266695464</v>
      </c>
      <c r="CO14">
        <v>3898.0314751854062</v>
      </c>
      <c r="CP14">
        <v>4.4055471392816727</v>
      </c>
      <c r="CQ14">
        <v>2151.6692228251691</v>
      </c>
      <c r="CR14">
        <v>10</v>
      </c>
      <c r="CS14">
        <v>4884</v>
      </c>
      <c r="CT14">
        <v>9</v>
      </c>
      <c r="CU14">
        <v>4395.5999999999995</v>
      </c>
    </row>
    <row r="15" spans="1:99">
      <c r="C15" s="99" t="s">
        <v>181</v>
      </c>
      <c r="D15">
        <v>6.6232875038265284</v>
      </c>
      <c r="E15">
        <v>5054.8930229204061</v>
      </c>
      <c r="F15">
        <v>5.9932421293718638</v>
      </c>
      <c r="G15">
        <v>4574.0423931366058</v>
      </c>
      <c r="H15">
        <v>8.1540340855909363</v>
      </c>
      <c r="I15">
        <v>6223.1588141230022</v>
      </c>
      <c r="J15">
        <v>7</v>
      </c>
      <c r="K15">
        <v>5342.4</v>
      </c>
      <c r="L15">
        <v>7.6422670720043628</v>
      </c>
      <c r="M15">
        <v>5832.5782293537295</v>
      </c>
      <c r="N15">
        <v>4.3788701765827573</v>
      </c>
      <c r="O15">
        <v>3341.9537187679603</v>
      </c>
      <c r="P15">
        <v>9</v>
      </c>
      <c r="Q15">
        <v>6868.7999999999993</v>
      </c>
      <c r="R15">
        <v>7</v>
      </c>
      <c r="S15">
        <v>5342.4</v>
      </c>
      <c r="T15">
        <v>6</v>
      </c>
      <c r="U15">
        <v>4579.2</v>
      </c>
      <c r="V15">
        <v>6.1042831569760025</v>
      </c>
      <c r="W15">
        <v>4658.7889054040843</v>
      </c>
      <c r="X15">
        <v>5</v>
      </c>
      <c r="Y15">
        <v>3815.9999999999995</v>
      </c>
      <c r="Z15">
        <v>6</v>
      </c>
      <c r="AA15">
        <v>4579.2</v>
      </c>
      <c r="AB15">
        <v>8</v>
      </c>
      <c r="AC15">
        <v>6105.5999999999995</v>
      </c>
      <c r="AD15">
        <v>6</v>
      </c>
      <c r="AE15">
        <v>4579.2</v>
      </c>
      <c r="AF15">
        <v>8</v>
      </c>
      <c r="AG15">
        <v>6105.5999999999995</v>
      </c>
      <c r="AH15">
        <v>7</v>
      </c>
      <c r="AI15">
        <v>5342.4</v>
      </c>
      <c r="AJ15">
        <v>7.1679455640490213</v>
      </c>
      <c r="AK15">
        <v>5470.5760544822124</v>
      </c>
      <c r="AL15">
        <v>5.3110059072414639</v>
      </c>
      <c r="AM15">
        <v>4053.3597084066851</v>
      </c>
      <c r="AN15">
        <v>10</v>
      </c>
      <c r="AO15">
        <v>7631.9999999999991</v>
      </c>
      <c r="AP15">
        <v>9</v>
      </c>
      <c r="AQ15">
        <v>6868.7999999999993</v>
      </c>
      <c r="AR15">
        <v>5.9731549134313049</v>
      </c>
      <c r="AS15">
        <v>4558.7118299307713</v>
      </c>
      <c r="AT15">
        <v>4.8835658006363483</v>
      </c>
      <c r="AU15">
        <v>3727.1374190456609</v>
      </c>
      <c r="AV15">
        <v>2.7897545522400753</v>
      </c>
      <c r="AW15">
        <v>2129.1406742696254</v>
      </c>
      <c r="AX15">
        <v>8</v>
      </c>
      <c r="AY15">
        <v>6105.5999999999995</v>
      </c>
      <c r="AZ15">
        <v>11</v>
      </c>
      <c r="BA15">
        <v>8395.1999999999989</v>
      </c>
      <c r="BB15">
        <v>8</v>
      </c>
      <c r="BC15">
        <v>6105.5999999999995</v>
      </c>
      <c r="BD15">
        <v>6.2054555560782356</v>
      </c>
      <c r="BE15">
        <v>4736.0036803989087</v>
      </c>
      <c r="BF15">
        <v>9</v>
      </c>
      <c r="BG15">
        <v>6868.7999999999993</v>
      </c>
      <c r="BH15">
        <v>7</v>
      </c>
      <c r="BI15">
        <v>5342.4</v>
      </c>
      <c r="BJ15">
        <v>5.8125190767338522</v>
      </c>
      <c r="BK15">
        <v>4436.1145593632755</v>
      </c>
      <c r="BL15">
        <v>11</v>
      </c>
      <c r="BM15">
        <v>8395.1999999999989</v>
      </c>
      <c r="BN15">
        <v>7</v>
      </c>
      <c r="BO15">
        <v>5342.4</v>
      </c>
      <c r="BP15">
        <v>13</v>
      </c>
      <c r="BQ15">
        <v>9921.5999999999985</v>
      </c>
      <c r="BR15">
        <v>11</v>
      </c>
      <c r="BS15">
        <v>8395.1999999999989</v>
      </c>
      <c r="BT15">
        <v>5.4133006403538744</v>
      </c>
      <c r="BU15">
        <v>4131.4310487180765</v>
      </c>
      <c r="BV15">
        <v>10</v>
      </c>
      <c r="BW15">
        <v>7631.9999999999991</v>
      </c>
      <c r="BX15">
        <v>7</v>
      </c>
      <c r="BY15">
        <v>5342.4</v>
      </c>
      <c r="BZ15">
        <v>6</v>
      </c>
      <c r="CA15">
        <v>4579.2</v>
      </c>
      <c r="CB15">
        <v>12</v>
      </c>
      <c r="CC15">
        <v>9158.4</v>
      </c>
      <c r="CD15">
        <v>1.3103265752337137</v>
      </c>
      <c r="CE15">
        <v>1000.0412422183701</v>
      </c>
      <c r="CF15">
        <v>11</v>
      </c>
      <c r="CG15">
        <v>8395.1999999999989</v>
      </c>
      <c r="CH15">
        <v>10</v>
      </c>
      <c r="CI15">
        <v>7631.9999999999991</v>
      </c>
      <c r="CJ15">
        <v>12</v>
      </c>
      <c r="CK15">
        <v>9158.4</v>
      </c>
      <c r="CL15">
        <v>9</v>
      </c>
      <c r="CM15">
        <v>6868.7999999999993</v>
      </c>
      <c r="CN15">
        <v>9.4323596860640091</v>
      </c>
      <c r="CO15">
        <v>7198.7769124040515</v>
      </c>
      <c r="CP15">
        <v>3.604538568503187</v>
      </c>
      <c r="CQ15">
        <v>2750.983835481632</v>
      </c>
      <c r="CR15">
        <v>8</v>
      </c>
      <c r="CS15">
        <v>6105.5999999999995</v>
      </c>
      <c r="CT15">
        <v>8</v>
      </c>
      <c r="CU15">
        <v>6105.5999999999995</v>
      </c>
    </row>
    <row r="16" spans="1:99">
      <c r="C16" s="99" t="s">
        <v>182</v>
      </c>
      <c r="D16">
        <v>5.7953765658482119</v>
      </c>
      <c r="E16">
        <v>1975.0643336410708</v>
      </c>
      <c r="F16">
        <v>6.849419576424987</v>
      </c>
      <c r="G16">
        <v>2334.2821916456355</v>
      </c>
      <c r="H16">
        <v>9.0600378728788176</v>
      </c>
      <c r="I16">
        <v>3087.660907077101</v>
      </c>
      <c r="J16">
        <v>7</v>
      </c>
      <c r="K16">
        <v>2385.6</v>
      </c>
      <c r="L16">
        <v>7.6422670720043628</v>
      </c>
      <c r="M16">
        <v>2604.4846181390872</v>
      </c>
      <c r="N16">
        <v>4.3788701765827573</v>
      </c>
      <c r="O16">
        <v>1492.3189561794038</v>
      </c>
      <c r="P16">
        <v>9</v>
      </c>
      <c r="Q16">
        <v>3067.2000000000003</v>
      </c>
      <c r="R16">
        <v>6</v>
      </c>
      <c r="S16">
        <v>2044.8000000000002</v>
      </c>
      <c r="T16">
        <v>6</v>
      </c>
      <c r="U16">
        <v>2044.8000000000002</v>
      </c>
      <c r="V16">
        <v>6.9763236079725752</v>
      </c>
      <c r="W16">
        <v>2377.5310855970538</v>
      </c>
      <c r="X16">
        <v>6</v>
      </c>
      <c r="Y16">
        <v>2044.8000000000002</v>
      </c>
      <c r="Z16">
        <v>5</v>
      </c>
      <c r="AA16">
        <v>1704</v>
      </c>
      <c r="AB16">
        <v>8</v>
      </c>
      <c r="AC16">
        <v>2726.4</v>
      </c>
      <c r="AD16">
        <v>6</v>
      </c>
      <c r="AE16">
        <v>2044.8000000000002</v>
      </c>
      <c r="AF16">
        <v>9</v>
      </c>
      <c r="AG16">
        <v>3067.2000000000003</v>
      </c>
      <c r="AH16">
        <v>6</v>
      </c>
      <c r="AI16">
        <v>2044.8000000000002</v>
      </c>
      <c r="AJ16">
        <v>8.760822356059915</v>
      </c>
      <c r="AK16">
        <v>2985.6882589452193</v>
      </c>
      <c r="AL16">
        <v>5.3110059072414639</v>
      </c>
      <c r="AM16">
        <v>1809.990813187891</v>
      </c>
      <c r="AN16">
        <v>10</v>
      </c>
      <c r="AO16">
        <v>3408</v>
      </c>
      <c r="AP16">
        <v>8</v>
      </c>
      <c r="AQ16">
        <v>2726.4</v>
      </c>
      <c r="AR16">
        <v>5.9731549134313049</v>
      </c>
      <c r="AS16">
        <v>2035.6511944973888</v>
      </c>
      <c r="AT16">
        <v>5.6974934340757395</v>
      </c>
      <c r="AU16">
        <v>1941.705762333012</v>
      </c>
      <c r="AV16">
        <v>2.7897545522400753</v>
      </c>
      <c r="AW16">
        <v>950.7483514034177</v>
      </c>
      <c r="AX16">
        <v>9</v>
      </c>
      <c r="AY16">
        <v>3067.2000000000003</v>
      </c>
      <c r="AZ16">
        <v>12</v>
      </c>
      <c r="BA16">
        <v>4089.6000000000004</v>
      </c>
      <c r="BB16">
        <v>9</v>
      </c>
      <c r="BC16">
        <v>3067.2000000000003</v>
      </c>
      <c r="BD16">
        <v>6.7695878793580748</v>
      </c>
      <c r="BE16">
        <v>2307.0755492852318</v>
      </c>
      <c r="BF16">
        <v>9</v>
      </c>
      <c r="BG16">
        <v>3067.2000000000003</v>
      </c>
      <c r="BH16">
        <v>8</v>
      </c>
      <c r="BI16">
        <v>2726.4</v>
      </c>
      <c r="BJ16">
        <v>6.6428789448386878</v>
      </c>
      <c r="BK16">
        <v>2263.893144401025</v>
      </c>
      <c r="BL16">
        <v>12</v>
      </c>
      <c r="BM16">
        <v>4089.6000000000004</v>
      </c>
      <c r="BN16">
        <v>8</v>
      </c>
      <c r="BO16">
        <v>2726.4</v>
      </c>
      <c r="BP16">
        <v>13</v>
      </c>
      <c r="BQ16">
        <v>4430.4000000000005</v>
      </c>
      <c r="BR16">
        <v>10</v>
      </c>
      <c r="BS16">
        <v>3408</v>
      </c>
      <c r="BT16">
        <v>4.9621922536577179</v>
      </c>
      <c r="BU16">
        <v>1691.1151200465504</v>
      </c>
      <c r="BV16">
        <v>10</v>
      </c>
      <c r="BW16">
        <v>3408</v>
      </c>
      <c r="BX16">
        <v>7</v>
      </c>
      <c r="BY16">
        <v>2385.6</v>
      </c>
      <c r="BZ16">
        <v>6</v>
      </c>
      <c r="CA16">
        <v>2044.8000000000002</v>
      </c>
      <c r="CB16">
        <v>12</v>
      </c>
      <c r="CC16">
        <v>4089.6000000000004</v>
      </c>
      <c r="CD16">
        <v>1.7034245478038277</v>
      </c>
      <c r="CE16">
        <v>580.52708589154452</v>
      </c>
      <c r="CF16">
        <v>11</v>
      </c>
      <c r="CG16">
        <v>3748.8</v>
      </c>
      <c r="CH16">
        <v>11</v>
      </c>
      <c r="CI16">
        <v>3748.8</v>
      </c>
      <c r="CJ16">
        <v>12</v>
      </c>
      <c r="CK16">
        <v>4089.6000000000004</v>
      </c>
      <c r="CL16">
        <v>9</v>
      </c>
      <c r="CM16">
        <v>3067.2000000000003</v>
      </c>
      <c r="CN16">
        <v>9.4323596860640091</v>
      </c>
      <c r="CO16">
        <v>3214.5481810106144</v>
      </c>
      <c r="CP16">
        <v>4.4055471392816727</v>
      </c>
      <c r="CQ16">
        <v>1501.4104650671941</v>
      </c>
      <c r="CR16">
        <v>10</v>
      </c>
      <c r="CS16">
        <v>3408</v>
      </c>
      <c r="CT16">
        <v>9</v>
      </c>
      <c r="CU16">
        <v>3067.2000000000003</v>
      </c>
    </row>
    <row r="17" spans="2:99">
      <c r="C17" s="99" t="s">
        <v>183</v>
      </c>
      <c r="D17">
        <v>5.7953765658482119</v>
      </c>
      <c r="E17">
        <v>2447.9670614142847</v>
      </c>
      <c r="F17">
        <v>6.849419576424987</v>
      </c>
      <c r="G17">
        <v>2893.1948290819146</v>
      </c>
      <c r="H17">
        <v>8.1540340855909363</v>
      </c>
      <c r="I17">
        <v>3444.2639977536114</v>
      </c>
      <c r="J17">
        <v>7</v>
      </c>
      <c r="K17">
        <v>2956.7999999999997</v>
      </c>
      <c r="L17">
        <v>7.6422670720043628</v>
      </c>
      <c r="M17">
        <v>3228.0936112146428</v>
      </c>
      <c r="N17">
        <v>4.3788701765827573</v>
      </c>
      <c r="O17">
        <v>1849.6347625885567</v>
      </c>
      <c r="P17">
        <v>9</v>
      </c>
      <c r="Q17">
        <v>3801.6</v>
      </c>
      <c r="R17">
        <v>7</v>
      </c>
      <c r="S17">
        <v>2956.7999999999997</v>
      </c>
      <c r="T17">
        <v>6</v>
      </c>
      <c r="U17">
        <v>2534.3999999999996</v>
      </c>
      <c r="V17">
        <v>6.9763236079725752</v>
      </c>
      <c r="W17">
        <v>2946.7990920076154</v>
      </c>
      <c r="X17">
        <v>5</v>
      </c>
      <c r="Y17">
        <v>2112</v>
      </c>
      <c r="Z17">
        <v>6</v>
      </c>
      <c r="AA17">
        <v>2534.3999999999996</v>
      </c>
      <c r="AB17">
        <v>9</v>
      </c>
      <c r="AC17">
        <v>3801.6</v>
      </c>
      <c r="AD17">
        <v>6</v>
      </c>
      <c r="AE17">
        <v>2534.3999999999996</v>
      </c>
      <c r="AF17">
        <v>8</v>
      </c>
      <c r="AG17">
        <v>3379.2</v>
      </c>
      <c r="AH17">
        <v>6</v>
      </c>
      <c r="AI17">
        <v>2534.3999999999996</v>
      </c>
      <c r="AJ17">
        <v>8.760822356059915</v>
      </c>
      <c r="AK17">
        <v>3700.5713631997078</v>
      </c>
      <c r="AL17">
        <v>6.6387573840518286</v>
      </c>
      <c r="AM17">
        <v>2804.2111190234923</v>
      </c>
      <c r="AN17">
        <v>11</v>
      </c>
      <c r="AO17">
        <v>4646.3999999999996</v>
      </c>
      <c r="AP17">
        <v>9</v>
      </c>
      <c r="AQ17">
        <v>3801.6</v>
      </c>
      <c r="AR17">
        <v>5.9731549134313049</v>
      </c>
      <c r="AS17">
        <v>2523.0606354333831</v>
      </c>
      <c r="AT17">
        <v>5.6974934340757395</v>
      </c>
      <c r="AU17">
        <v>2406.6212265535924</v>
      </c>
      <c r="AV17">
        <v>3.0997272802667504</v>
      </c>
      <c r="AW17">
        <v>1309.3248031846754</v>
      </c>
      <c r="AX17">
        <v>9</v>
      </c>
      <c r="AY17">
        <v>3801.6</v>
      </c>
      <c r="AZ17">
        <v>11</v>
      </c>
      <c r="BA17">
        <v>4646.3999999999996</v>
      </c>
      <c r="BB17">
        <v>8</v>
      </c>
      <c r="BC17">
        <v>3379.2</v>
      </c>
      <c r="BD17">
        <v>7.3337202026379149</v>
      </c>
      <c r="BE17">
        <v>3097.7634135942549</v>
      </c>
      <c r="BF17">
        <v>9</v>
      </c>
      <c r="BG17">
        <v>3801.6</v>
      </c>
      <c r="BH17">
        <v>8</v>
      </c>
      <c r="BI17">
        <v>3379.2</v>
      </c>
      <c r="BJ17">
        <v>5.8125190767338522</v>
      </c>
      <c r="BK17">
        <v>2455.2080580123788</v>
      </c>
      <c r="BL17">
        <v>11</v>
      </c>
      <c r="BM17">
        <v>4646.3999999999996</v>
      </c>
      <c r="BN17">
        <v>8</v>
      </c>
      <c r="BO17">
        <v>3379.2</v>
      </c>
      <c r="BP17">
        <v>11</v>
      </c>
      <c r="BQ17">
        <v>4646.3999999999996</v>
      </c>
      <c r="BR17">
        <v>11</v>
      </c>
      <c r="BS17">
        <v>4646.3999999999996</v>
      </c>
      <c r="BT17">
        <v>4.9621922536577179</v>
      </c>
      <c r="BU17">
        <v>2096.0300079450199</v>
      </c>
      <c r="BV17">
        <v>11</v>
      </c>
      <c r="BW17">
        <v>4646.3999999999996</v>
      </c>
      <c r="BX17">
        <v>7</v>
      </c>
      <c r="BY17">
        <v>2956.7999999999997</v>
      </c>
      <c r="BZ17">
        <v>6</v>
      </c>
      <c r="CA17">
        <v>2534.3999999999996</v>
      </c>
      <c r="CB17">
        <v>11</v>
      </c>
      <c r="CC17">
        <v>4646.3999999999996</v>
      </c>
      <c r="CD17">
        <v>1.5723918902804563</v>
      </c>
      <c r="CE17">
        <v>664.17833445446468</v>
      </c>
      <c r="CF17">
        <v>10</v>
      </c>
      <c r="CG17">
        <v>4224</v>
      </c>
      <c r="CH17">
        <v>12</v>
      </c>
      <c r="CI17">
        <v>5068.7999999999993</v>
      </c>
      <c r="CJ17">
        <v>12</v>
      </c>
      <c r="CK17">
        <v>5068.7999999999993</v>
      </c>
      <c r="CL17">
        <v>10</v>
      </c>
      <c r="CM17">
        <v>4224</v>
      </c>
      <c r="CN17">
        <v>8.706793556366776</v>
      </c>
      <c r="CO17">
        <v>3677.749598209326</v>
      </c>
      <c r="CP17">
        <v>4.0050428538924301</v>
      </c>
      <c r="CQ17">
        <v>1691.7301014841623</v>
      </c>
      <c r="CR17">
        <v>9</v>
      </c>
      <c r="CS17">
        <v>3801.6</v>
      </c>
      <c r="CT17">
        <v>8</v>
      </c>
      <c r="CU17">
        <v>3379.2</v>
      </c>
    </row>
    <row r="18" spans="2:99">
      <c r="C18" s="99" t="s">
        <v>184</v>
      </c>
      <c r="D18">
        <v>6.6232875038265284</v>
      </c>
      <c r="E18">
        <v>4323.6820824979577</v>
      </c>
      <c r="F18">
        <v>5.9932421293718638</v>
      </c>
      <c r="G18">
        <v>3912.3884620539525</v>
      </c>
      <c r="H18">
        <v>9.0600378728788176</v>
      </c>
      <c r="I18">
        <v>5914.3927234152916</v>
      </c>
      <c r="J18">
        <v>7</v>
      </c>
      <c r="K18">
        <v>4569.5999999999995</v>
      </c>
      <c r="L18">
        <v>7.6422670720043628</v>
      </c>
      <c r="M18">
        <v>4988.8719446044479</v>
      </c>
      <c r="N18">
        <v>4.3788701765827573</v>
      </c>
      <c r="O18">
        <v>2858.5264512732238</v>
      </c>
      <c r="P18">
        <v>10</v>
      </c>
      <c r="Q18">
        <v>6528</v>
      </c>
      <c r="R18">
        <v>7</v>
      </c>
      <c r="S18">
        <v>4569.5999999999995</v>
      </c>
      <c r="T18">
        <v>7</v>
      </c>
      <c r="U18">
        <v>4569.5999999999995</v>
      </c>
      <c r="V18">
        <v>6.9763236079725752</v>
      </c>
      <c r="W18">
        <v>4554.1440512844965</v>
      </c>
      <c r="X18">
        <v>5</v>
      </c>
      <c r="Y18">
        <v>3264</v>
      </c>
      <c r="Z18">
        <v>6</v>
      </c>
      <c r="AA18">
        <v>3916.7999999999997</v>
      </c>
      <c r="AB18">
        <v>9</v>
      </c>
      <c r="AC18">
        <v>5875.2</v>
      </c>
      <c r="AD18">
        <v>6</v>
      </c>
      <c r="AE18">
        <v>3916.7999999999997</v>
      </c>
      <c r="AF18">
        <v>8</v>
      </c>
      <c r="AG18">
        <v>5222.3999999999996</v>
      </c>
      <c r="AH18">
        <v>7</v>
      </c>
      <c r="AI18">
        <v>4569.5999999999995</v>
      </c>
      <c r="AJ18">
        <v>7.9643839600544686</v>
      </c>
      <c r="AK18">
        <v>5199.149849123557</v>
      </c>
      <c r="AL18">
        <v>5.9748816456466463</v>
      </c>
      <c r="AM18">
        <v>3900.4027382781305</v>
      </c>
      <c r="AN18">
        <v>10</v>
      </c>
      <c r="AO18">
        <v>6528</v>
      </c>
      <c r="AP18">
        <v>9</v>
      </c>
      <c r="AQ18">
        <v>5875.2</v>
      </c>
      <c r="AR18">
        <v>5.1198470686554041</v>
      </c>
      <c r="AS18">
        <v>3342.2361664182476</v>
      </c>
      <c r="AT18">
        <v>5.6974934340757395</v>
      </c>
      <c r="AU18">
        <v>3719.3237137646424</v>
      </c>
      <c r="AV18">
        <v>3.0997272802667504</v>
      </c>
      <c r="AW18">
        <v>2023.5019685581344</v>
      </c>
      <c r="AX18">
        <v>9</v>
      </c>
      <c r="AY18">
        <v>5875.2</v>
      </c>
      <c r="AZ18">
        <v>12</v>
      </c>
      <c r="BA18">
        <v>7833.5999999999995</v>
      </c>
      <c r="BB18">
        <v>8</v>
      </c>
      <c r="BC18">
        <v>5222.3999999999996</v>
      </c>
      <c r="BD18">
        <v>6.2054555560782356</v>
      </c>
      <c r="BE18">
        <v>4050.921387007872</v>
      </c>
      <c r="BF18">
        <v>9</v>
      </c>
      <c r="BG18">
        <v>5875.2</v>
      </c>
      <c r="BH18">
        <v>7</v>
      </c>
      <c r="BI18">
        <v>4569.5999999999995</v>
      </c>
      <c r="BJ18">
        <v>5.8125190767338522</v>
      </c>
      <c r="BK18">
        <v>3794.4124532918586</v>
      </c>
      <c r="BL18">
        <v>11</v>
      </c>
      <c r="BM18">
        <v>7180.7999999999993</v>
      </c>
      <c r="BN18">
        <v>7</v>
      </c>
      <c r="BO18">
        <v>4569.5999999999995</v>
      </c>
      <c r="BP18">
        <v>12</v>
      </c>
      <c r="BQ18">
        <v>7833.5999999999995</v>
      </c>
      <c r="BR18">
        <v>11</v>
      </c>
      <c r="BS18">
        <v>7180.7999999999993</v>
      </c>
      <c r="BT18">
        <v>4.5110838669615623</v>
      </c>
      <c r="BU18">
        <v>2944.8355483525074</v>
      </c>
      <c r="BV18">
        <v>10</v>
      </c>
      <c r="BW18">
        <v>6528</v>
      </c>
      <c r="BX18">
        <v>7</v>
      </c>
      <c r="BY18">
        <v>4569.5999999999995</v>
      </c>
      <c r="BZ18">
        <v>6</v>
      </c>
      <c r="CA18">
        <v>3916.7999999999997</v>
      </c>
      <c r="CB18">
        <v>12</v>
      </c>
      <c r="CC18">
        <v>7833.5999999999995</v>
      </c>
      <c r="CD18">
        <v>1.5723918902804563</v>
      </c>
      <c r="CE18">
        <v>1026.4574259750818</v>
      </c>
      <c r="CF18">
        <v>9</v>
      </c>
      <c r="CG18">
        <v>5875.2</v>
      </c>
      <c r="CH18">
        <v>10</v>
      </c>
      <c r="CI18">
        <v>6528</v>
      </c>
      <c r="CJ18">
        <v>12</v>
      </c>
      <c r="CK18">
        <v>7833.5999999999995</v>
      </c>
      <c r="CL18">
        <v>10</v>
      </c>
      <c r="CM18">
        <v>6528</v>
      </c>
      <c r="CN18">
        <v>9.4323596860640091</v>
      </c>
      <c r="CO18">
        <v>6157.4444030625846</v>
      </c>
      <c r="CP18">
        <v>4.4055471392816727</v>
      </c>
      <c r="CQ18">
        <v>2875.9411725230757</v>
      </c>
      <c r="CR18">
        <v>9</v>
      </c>
      <c r="CS18">
        <v>5875.2</v>
      </c>
      <c r="CT18">
        <v>9</v>
      </c>
      <c r="CU18">
        <v>5875.2</v>
      </c>
    </row>
    <row r="19" spans="2:99">
      <c r="C19" s="99" t="s">
        <v>185</v>
      </c>
      <c r="D19">
        <v>5.7953765658482119</v>
      </c>
      <c r="E19">
        <v>1912.4742667299099</v>
      </c>
      <c r="F19">
        <v>6.849419576424987</v>
      </c>
      <c r="G19">
        <v>2260.3084602202457</v>
      </c>
      <c r="H19">
        <v>9.0600378728788176</v>
      </c>
      <c r="I19">
        <v>2989.8124980500097</v>
      </c>
      <c r="J19">
        <v>7</v>
      </c>
      <c r="K19">
        <v>2310</v>
      </c>
      <c r="L19">
        <v>7.6422670720043628</v>
      </c>
      <c r="M19">
        <v>2521.9481337614397</v>
      </c>
      <c r="N19">
        <v>4.3788701765827573</v>
      </c>
      <c r="O19">
        <v>1445.0271582723099</v>
      </c>
      <c r="P19">
        <v>9</v>
      </c>
      <c r="Q19">
        <v>2970</v>
      </c>
      <c r="R19">
        <v>7</v>
      </c>
      <c r="S19">
        <v>2310</v>
      </c>
      <c r="T19">
        <v>7</v>
      </c>
      <c r="U19">
        <v>2310</v>
      </c>
      <c r="V19">
        <v>6.9763236079725752</v>
      </c>
      <c r="W19">
        <v>2302.1867906309499</v>
      </c>
      <c r="X19">
        <v>6</v>
      </c>
      <c r="Y19">
        <v>1980</v>
      </c>
      <c r="Z19">
        <v>5</v>
      </c>
      <c r="AA19">
        <v>1650</v>
      </c>
      <c r="AB19">
        <v>9</v>
      </c>
      <c r="AC19">
        <v>2970</v>
      </c>
      <c r="AD19">
        <v>6</v>
      </c>
      <c r="AE19">
        <v>1980</v>
      </c>
      <c r="AF19">
        <v>9</v>
      </c>
      <c r="AG19">
        <v>2970</v>
      </c>
      <c r="AH19">
        <v>6</v>
      </c>
      <c r="AI19">
        <v>1980</v>
      </c>
      <c r="AJ19">
        <v>7.1679455640490213</v>
      </c>
      <c r="AK19">
        <v>2365.4220361361772</v>
      </c>
      <c r="AL19">
        <v>5.9748816456466463</v>
      </c>
      <c r="AM19">
        <v>1971.7109430633932</v>
      </c>
      <c r="AN19">
        <v>11</v>
      </c>
      <c r="AO19">
        <v>3630</v>
      </c>
      <c r="AP19">
        <v>9</v>
      </c>
      <c r="AQ19">
        <v>2970</v>
      </c>
      <c r="AR19">
        <v>5.9731549134313049</v>
      </c>
      <c r="AS19">
        <v>1971.1411214323307</v>
      </c>
      <c r="AT19">
        <v>4.8835658006363483</v>
      </c>
      <c r="AU19">
        <v>1611.5767142099949</v>
      </c>
      <c r="AV19">
        <v>2.7897545522400753</v>
      </c>
      <c r="AW19">
        <v>920.61900223922487</v>
      </c>
      <c r="AX19">
        <v>8</v>
      </c>
      <c r="AY19">
        <v>2640</v>
      </c>
      <c r="AZ19">
        <v>12</v>
      </c>
      <c r="BA19">
        <v>3960</v>
      </c>
      <c r="BB19">
        <v>8</v>
      </c>
      <c r="BC19">
        <v>2640</v>
      </c>
      <c r="BD19">
        <v>7.3337202026379149</v>
      </c>
      <c r="BE19">
        <v>2420.1276668705118</v>
      </c>
      <c r="BF19">
        <v>10</v>
      </c>
      <c r="BG19">
        <v>3300</v>
      </c>
      <c r="BH19">
        <v>8</v>
      </c>
      <c r="BI19">
        <v>2640</v>
      </c>
      <c r="BJ19">
        <v>5.8125190767338522</v>
      </c>
      <c r="BK19">
        <v>1918.1312953221711</v>
      </c>
      <c r="BL19">
        <v>10</v>
      </c>
      <c r="BM19">
        <v>3300</v>
      </c>
      <c r="BN19">
        <v>8</v>
      </c>
      <c r="BO19">
        <v>2640</v>
      </c>
      <c r="BP19">
        <v>12</v>
      </c>
      <c r="BQ19">
        <v>3960</v>
      </c>
      <c r="BR19">
        <v>11</v>
      </c>
      <c r="BS19">
        <v>3630</v>
      </c>
      <c r="BT19">
        <v>5.4133006403538744</v>
      </c>
      <c r="BU19">
        <v>1786.3892113167785</v>
      </c>
      <c r="BV19">
        <v>11</v>
      </c>
      <c r="BW19">
        <v>3630</v>
      </c>
      <c r="BX19">
        <v>7</v>
      </c>
      <c r="BY19">
        <v>2310</v>
      </c>
      <c r="BZ19">
        <v>6</v>
      </c>
      <c r="CA19">
        <v>1980</v>
      </c>
      <c r="CB19">
        <v>11</v>
      </c>
      <c r="CC19">
        <v>3630</v>
      </c>
      <c r="CD19">
        <v>1.441359232757085</v>
      </c>
      <c r="CE19">
        <v>475.64854680983802</v>
      </c>
      <c r="CF19">
        <v>11</v>
      </c>
      <c r="CG19">
        <v>3630</v>
      </c>
      <c r="CH19">
        <v>10</v>
      </c>
      <c r="CI19">
        <v>3300</v>
      </c>
      <c r="CJ19">
        <v>12</v>
      </c>
      <c r="CK19">
        <v>3960</v>
      </c>
      <c r="CL19">
        <v>9</v>
      </c>
      <c r="CM19">
        <v>2970</v>
      </c>
      <c r="CN19">
        <v>8.706793556366776</v>
      </c>
      <c r="CO19">
        <v>2873.2418736010359</v>
      </c>
      <c r="CP19">
        <v>4.4055471392816727</v>
      </c>
      <c r="CQ19">
        <v>1453.8305559629521</v>
      </c>
      <c r="CR19">
        <v>9</v>
      </c>
      <c r="CS19">
        <v>2970</v>
      </c>
      <c r="CT19">
        <v>9</v>
      </c>
      <c r="CU19">
        <v>2970</v>
      </c>
    </row>
    <row r="20" spans="2:99">
      <c r="B20" s="99" t="s">
        <v>127</v>
      </c>
      <c r="C20" s="99" t="s">
        <v>186</v>
      </c>
      <c r="D20">
        <v>15.730307821588003</v>
      </c>
      <c r="E20">
        <v>4511.4522832314397</v>
      </c>
      <c r="F20">
        <v>17.979726388115591</v>
      </c>
      <c r="G20">
        <v>5156.5855281115519</v>
      </c>
      <c r="H20">
        <v>12.684053022030344</v>
      </c>
      <c r="I20">
        <v>3637.7864067183027</v>
      </c>
      <c r="J20">
        <v>14</v>
      </c>
      <c r="K20">
        <v>4015.2000000000003</v>
      </c>
      <c r="L20">
        <v>16.982815715565252</v>
      </c>
      <c r="M20">
        <v>4870.6715472241149</v>
      </c>
      <c r="N20">
        <v>9.8524578973112042</v>
      </c>
      <c r="O20">
        <v>2825.6849249488537</v>
      </c>
      <c r="P20">
        <v>15</v>
      </c>
      <c r="Q20">
        <v>4302</v>
      </c>
      <c r="R20">
        <v>16</v>
      </c>
      <c r="S20">
        <v>4588.8</v>
      </c>
      <c r="T20">
        <v>13</v>
      </c>
      <c r="U20">
        <v>3728.4</v>
      </c>
      <c r="V20">
        <v>11.336525862955433</v>
      </c>
      <c r="W20">
        <v>3251.3156174956184</v>
      </c>
      <c r="X20">
        <v>15</v>
      </c>
      <c r="Y20">
        <v>4302</v>
      </c>
      <c r="Z20">
        <v>21</v>
      </c>
      <c r="AA20">
        <v>6022.8</v>
      </c>
      <c r="AB20">
        <v>20</v>
      </c>
      <c r="AC20">
        <v>5736</v>
      </c>
      <c r="AD20">
        <v>19</v>
      </c>
      <c r="AE20">
        <v>5449.2</v>
      </c>
      <c r="AF20">
        <v>14</v>
      </c>
      <c r="AG20">
        <v>4015.2000000000003</v>
      </c>
      <c r="AH20">
        <v>15</v>
      </c>
      <c r="AI20">
        <v>4302</v>
      </c>
      <c r="AJ20">
        <v>15.928767920108937</v>
      </c>
      <c r="AK20">
        <v>4568.3706394872434</v>
      </c>
      <c r="AL20">
        <v>9.2942603376725597</v>
      </c>
      <c r="AM20">
        <v>2665.5938648444903</v>
      </c>
      <c r="AN20">
        <v>18</v>
      </c>
      <c r="AO20">
        <v>5162.4000000000005</v>
      </c>
      <c r="AP20">
        <v>13</v>
      </c>
      <c r="AQ20">
        <v>3728.4</v>
      </c>
      <c r="AR20">
        <v>17.919464740293915</v>
      </c>
      <c r="AS20">
        <v>5139.3024875162946</v>
      </c>
      <c r="AT20">
        <v>10.581059234712086</v>
      </c>
      <c r="AU20">
        <v>3034.6477885154263</v>
      </c>
      <c r="AV20">
        <v>5.8894818325068252</v>
      </c>
      <c r="AW20">
        <v>1689.1033895629575</v>
      </c>
      <c r="AX20">
        <v>14</v>
      </c>
      <c r="AY20">
        <v>4015.2000000000003</v>
      </c>
      <c r="AZ20">
        <v>22</v>
      </c>
      <c r="BA20">
        <v>6309.6</v>
      </c>
      <c r="BB20">
        <v>19</v>
      </c>
      <c r="BC20">
        <v>5449.2</v>
      </c>
      <c r="BD20">
        <v>9.5902494957572717</v>
      </c>
      <c r="BE20">
        <v>2750.4835553831858</v>
      </c>
      <c r="BF20">
        <v>16</v>
      </c>
      <c r="BG20">
        <v>4588.8</v>
      </c>
      <c r="BH20">
        <v>16</v>
      </c>
      <c r="BI20">
        <v>4588.8</v>
      </c>
      <c r="BJ20">
        <v>17.437557230201556</v>
      </c>
      <c r="BK20">
        <v>5001.0914136218062</v>
      </c>
      <c r="BL20">
        <v>14</v>
      </c>
      <c r="BM20">
        <v>4015.2000000000003</v>
      </c>
      <c r="BN20">
        <v>16</v>
      </c>
      <c r="BO20">
        <v>4588.8</v>
      </c>
      <c r="BP20">
        <v>21</v>
      </c>
      <c r="BQ20">
        <v>6022.8</v>
      </c>
      <c r="BR20">
        <v>15</v>
      </c>
      <c r="BS20">
        <v>4302</v>
      </c>
      <c r="BT20">
        <v>8.5710593472269672</v>
      </c>
      <c r="BU20">
        <v>2458.1798207846941</v>
      </c>
      <c r="BV20">
        <v>20</v>
      </c>
      <c r="BW20">
        <v>5736</v>
      </c>
      <c r="BX20">
        <v>15</v>
      </c>
      <c r="BY20">
        <v>4302</v>
      </c>
      <c r="BZ20">
        <v>18</v>
      </c>
      <c r="CA20">
        <v>5162.4000000000005</v>
      </c>
      <c r="CB20">
        <v>16</v>
      </c>
      <c r="CC20">
        <v>4588.8</v>
      </c>
      <c r="CD20">
        <v>2.6206531504674273</v>
      </c>
      <c r="CE20">
        <v>751.60332355405819</v>
      </c>
      <c r="CF20">
        <v>22</v>
      </c>
      <c r="CG20">
        <v>6309.6</v>
      </c>
      <c r="CH20">
        <v>18</v>
      </c>
      <c r="CI20">
        <v>5162.4000000000005</v>
      </c>
      <c r="CJ20">
        <v>17</v>
      </c>
      <c r="CK20">
        <v>4875.6000000000004</v>
      </c>
      <c r="CL20">
        <v>22</v>
      </c>
      <c r="CM20">
        <v>6309.6</v>
      </c>
      <c r="CN20">
        <v>9.4323596860640091</v>
      </c>
      <c r="CO20">
        <v>2705.2007579631581</v>
      </c>
      <c r="CP20">
        <v>7.6095814223956157</v>
      </c>
      <c r="CQ20">
        <v>2182.4279519430629</v>
      </c>
      <c r="CR20">
        <v>17</v>
      </c>
      <c r="CS20">
        <v>4875.6000000000004</v>
      </c>
      <c r="CT20">
        <v>18</v>
      </c>
      <c r="CU20">
        <v>5162.4000000000005</v>
      </c>
    </row>
    <row r="21" spans="2:99">
      <c r="C21" s="99" t="s">
        <v>187</v>
      </c>
      <c r="D21">
        <v>15.730307821588003</v>
      </c>
      <c r="E21">
        <v>981.57120806709133</v>
      </c>
      <c r="F21">
        <v>18.835903835168715</v>
      </c>
      <c r="G21">
        <v>1175.3603993145277</v>
      </c>
      <c r="H21">
        <v>14.496060596606108</v>
      </c>
      <c r="I21">
        <v>904.55418122822118</v>
      </c>
      <c r="J21">
        <v>17</v>
      </c>
      <c r="K21">
        <v>1060.8</v>
      </c>
      <c r="L21">
        <v>16.133674929786988</v>
      </c>
      <c r="M21">
        <v>1006.741315618708</v>
      </c>
      <c r="N21">
        <v>8.7577403531655147</v>
      </c>
      <c r="O21">
        <v>546.48299803752809</v>
      </c>
      <c r="P21">
        <v>18</v>
      </c>
      <c r="Q21">
        <v>1123.2</v>
      </c>
      <c r="R21">
        <v>16</v>
      </c>
      <c r="S21">
        <v>998.4</v>
      </c>
      <c r="T21">
        <v>13</v>
      </c>
      <c r="U21">
        <v>811.19999999999993</v>
      </c>
      <c r="V21">
        <v>13.080606764948579</v>
      </c>
      <c r="W21">
        <v>816.22986213279125</v>
      </c>
      <c r="X21">
        <v>13</v>
      </c>
      <c r="Y21">
        <v>811.19999999999993</v>
      </c>
      <c r="Z21">
        <v>23</v>
      </c>
      <c r="AA21">
        <v>1435.2</v>
      </c>
      <c r="AB21">
        <v>19</v>
      </c>
      <c r="AC21">
        <v>1185.5999999999999</v>
      </c>
      <c r="AD21">
        <v>20</v>
      </c>
      <c r="AE21">
        <v>1248</v>
      </c>
      <c r="AF21">
        <v>14</v>
      </c>
      <c r="AG21">
        <v>873.6</v>
      </c>
      <c r="AH21">
        <v>16</v>
      </c>
      <c r="AI21">
        <v>998.4</v>
      </c>
      <c r="AJ21">
        <v>18.318083108125279</v>
      </c>
      <c r="AK21">
        <v>1143.0483859470173</v>
      </c>
      <c r="AL21">
        <v>9.2942603376725597</v>
      </c>
      <c r="AM21">
        <v>579.96184507076771</v>
      </c>
      <c r="AN21">
        <v>18</v>
      </c>
      <c r="AO21">
        <v>1123.2</v>
      </c>
      <c r="AP21">
        <v>13</v>
      </c>
      <c r="AQ21">
        <v>811.19999999999993</v>
      </c>
      <c r="AR21">
        <v>19.626080429845715</v>
      </c>
      <c r="AS21">
        <v>1224.6674188223726</v>
      </c>
      <c r="AT21">
        <v>10.581059234712086</v>
      </c>
      <c r="AU21">
        <v>660.25809624603414</v>
      </c>
      <c r="AV21">
        <v>5.5795091044801506</v>
      </c>
      <c r="AW21">
        <v>348.16136811956142</v>
      </c>
      <c r="AX21">
        <v>16</v>
      </c>
      <c r="AY21">
        <v>998.4</v>
      </c>
      <c r="AZ21">
        <v>20</v>
      </c>
      <c r="BA21">
        <v>1248</v>
      </c>
      <c r="BB21">
        <v>17</v>
      </c>
      <c r="BC21">
        <v>1060.8</v>
      </c>
      <c r="BD21">
        <v>9.5902494957572717</v>
      </c>
      <c r="BE21">
        <v>598.43156853525375</v>
      </c>
      <c r="BF21">
        <v>15</v>
      </c>
      <c r="BG21">
        <v>936</v>
      </c>
      <c r="BH21">
        <v>18</v>
      </c>
      <c r="BI21">
        <v>1123.2</v>
      </c>
      <c r="BJ21">
        <v>15.776837493991884</v>
      </c>
      <c r="BK21">
        <v>984.47465962509352</v>
      </c>
      <c r="BL21">
        <v>13</v>
      </c>
      <c r="BM21">
        <v>811.19999999999993</v>
      </c>
      <c r="BN21">
        <v>17</v>
      </c>
      <c r="BO21">
        <v>1060.8</v>
      </c>
      <c r="BP21">
        <v>24</v>
      </c>
      <c r="BQ21">
        <v>1497.6</v>
      </c>
      <c r="BR21">
        <v>13</v>
      </c>
      <c r="BS21">
        <v>811.19999999999993</v>
      </c>
      <c r="BT21">
        <v>9.4732761206192801</v>
      </c>
      <c r="BU21">
        <v>591.13242992664311</v>
      </c>
      <c r="BV21">
        <v>22</v>
      </c>
      <c r="BW21">
        <v>1372.8</v>
      </c>
      <c r="BX21">
        <v>16</v>
      </c>
      <c r="BY21">
        <v>998.4</v>
      </c>
      <c r="BZ21">
        <v>21</v>
      </c>
      <c r="CA21">
        <v>1310.3999999999999</v>
      </c>
      <c r="CB21">
        <v>16</v>
      </c>
      <c r="CC21">
        <v>998.4</v>
      </c>
      <c r="CD21">
        <v>3.0137511230375416</v>
      </c>
      <c r="CE21">
        <v>188.0580700775426</v>
      </c>
      <c r="CF21">
        <v>21</v>
      </c>
      <c r="CG21">
        <v>1310.3999999999999</v>
      </c>
      <c r="CH21">
        <v>22</v>
      </c>
      <c r="CI21">
        <v>1372.8</v>
      </c>
      <c r="CJ21">
        <v>18</v>
      </c>
      <c r="CK21">
        <v>1123.2</v>
      </c>
      <c r="CL21">
        <v>20</v>
      </c>
      <c r="CM21">
        <v>1248</v>
      </c>
      <c r="CN21">
        <v>8.706793556366776</v>
      </c>
      <c r="CO21">
        <v>543.30391791728675</v>
      </c>
      <c r="CP21">
        <v>7.6095814223956157</v>
      </c>
      <c r="CQ21">
        <v>474.8378807574864</v>
      </c>
      <c r="CR21">
        <v>19</v>
      </c>
      <c r="CS21">
        <v>1185.5999999999999</v>
      </c>
      <c r="CT21">
        <v>16</v>
      </c>
      <c r="CU21">
        <v>998.4</v>
      </c>
    </row>
    <row r="22" spans="2:99">
      <c r="C22" s="99" t="s">
        <v>188</v>
      </c>
      <c r="D22">
        <v>14.902396883609688</v>
      </c>
      <c r="E22">
        <v>2789.7286966117335</v>
      </c>
      <c r="F22">
        <v>17.979726388115591</v>
      </c>
      <c r="G22">
        <v>3365.8047798552384</v>
      </c>
      <c r="H22">
        <v>14.496060596606108</v>
      </c>
      <c r="I22">
        <v>2713.6625436846634</v>
      </c>
      <c r="J22">
        <v>14</v>
      </c>
      <c r="K22">
        <v>2620.7999999999997</v>
      </c>
      <c r="L22">
        <v>16.982815715565252</v>
      </c>
      <c r="M22">
        <v>3179.1831019538149</v>
      </c>
      <c r="N22">
        <v>9.3050991252383604</v>
      </c>
      <c r="O22">
        <v>1741.9145562446211</v>
      </c>
      <c r="P22">
        <v>18</v>
      </c>
      <c r="Q22">
        <v>3369.6</v>
      </c>
      <c r="R22">
        <v>16</v>
      </c>
      <c r="S22">
        <v>2995.2</v>
      </c>
      <c r="T22">
        <v>15</v>
      </c>
      <c r="U22">
        <v>2808</v>
      </c>
      <c r="V22">
        <v>11.336525862955433</v>
      </c>
      <c r="W22">
        <v>2122.1976415452568</v>
      </c>
      <c r="X22">
        <v>13</v>
      </c>
      <c r="Y22">
        <v>2433.6</v>
      </c>
      <c r="Z22">
        <v>19</v>
      </c>
      <c r="AA22">
        <v>3556.7999999999997</v>
      </c>
      <c r="AB22">
        <v>21</v>
      </c>
      <c r="AC22">
        <v>3931.2</v>
      </c>
      <c r="AD22">
        <v>20</v>
      </c>
      <c r="AE22">
        <v>3744</v>
      </c>
      <c r="AF22">
        <v>13</v>
      </c>
      <c r="AG22">
        <v>2433.6</v>
      </c>
      <c r="AH22">
        <v>16</v>
      </c>
      <c r="AI22">
        <v>2995.2</v>
      </c>
      <c r="AJ22">
        <v>17.52164471211983</v>
      </c>
      <c r="AK22">
        <v>3280.0518901088321</v>
      </c>
      <c r="AL22">
        <v>7.966508860862195</v>
      </c>
      <c r="AM22">
        <v>1491.3304587534028</v>
      </c>
      <c r="AN22">
        <v>19</v>
      </c>
      <c r="AO22">
        <v>3556.7999999999997</v>
      </c>
      <c r="AP22">
        <v>12</v>
      </c>
      <c r="AQ22">
        <v>2246.3999999999996</v>
      </c>
      <c r="AR22">
        <v>18.772772585069816</v>
      </c>
      <c r="AS22">
        <v>3514.2630279250693</v>
      </c>
      <c r="AT22">
        <v>10.581059234712086</v>
      </c>
      <c r="AU22">
        <v>1980.7742887381023</v>
      </c>
      <c r="AV22">
        <v>6.5094272885601763</v>
      </c>
      <c r="AW22">
        <v>1218.564788418465</v>
      </c>
      <c r="AX22">
        <v>16</v>
      </c>
      <c r="AY22">
        <v>2995.2</v>
      </c>
      <c r="AZ22">
        <v>19</v>
      </c>
      <c r="BA22">
        <v>3556.7999999999997</v>
      </c>
      <c r="BB22">
        <v>17</v>
      </c>
      <c r="BC22">
        <v>3182.3999999999996</v>
      </c>
      <c r="BD22">
        <v>10.154381819037113</v>
      </c>
      <c r="BE22">
        <v>1900.9002765237474</v>
      </c>
      <c r="BF22">
        <v>16</v>
      </c>
      <c r="BG22">
        <v>2995.2</v>
      </c>
      <c r="BH22">
        <v>16</v>
      </c>
      <c r="BI22">
        <v>2995.2</v>
      </c>
      <c r="BJ22">
        <v>18.267917098306391</v>
      </c>
      <c r="BK22">
        <v>3419.7540808029562</v>
      </c>
      <c r="BL22">
        <v>14</v>
      </c>
      <c r="BM22">
        <v>2620.7999999999997</v>
      </c>
      <c r="BN22">
        <v>15</v>
      </c>
      <c r="BO22">
        <v>2808</v>
      </c>
      <c r="BP22">
        <v>24</v>
      </c>
      <c r="BQ22">
        <v>4492.7999999999993</v>
      </c>
      <c r="BR22">
        <v>13</v>
      </c>
      <c r="BS22">
        <v>2433.6</v>
      </c>
      <c r="BT22">
        <v>9.0221677339231245</v>
      </c>
      <c r="BU22">
        <v>1688.9497997904089</v>
      </c>
      <c r="BV22">
        <v>22</v>
      </c>
      <c r="BW22">
        <v>4118.3999999999996</v>
      </c>
      <c r="BX22">
        <v>17</v>
      </c>
      <c r="BY22">
        <v>3182.3999999999996</v>
      </c>
      <c r="BZ22">
        <v>21</v>
      </c>
      <c r="CA22">
        <v>3931.2</v>
      </c>
      <c r="CB22">
        <v>17</v>
      </c>
      <c r="CC22">
        <v>3182.3999999999996</v>
      </c>
      <c r="CD22">
        <v>3.0137511230375416</v>
      </c>
      <c r="CE22">
        <v>564.17421023262773</v>
      </c>
      <c r="CF22">
        <v>20</v>
      </c>
      <c r="CG22">
        <v>3744</v>
      </c>
      <c r="CH22">
        <v>20</v>
      </c>
      <c r="CI22">
        <v>3744</v>
      </c>
      <c r="CJ22">
        <v>17</v>
      </c>
      <c r="CK22">
        <v>3182.3999999999996</v>
      </c>
      <c r="CL22">
        <v>22</v>
      </c>
      <c r="CM22">
        <v>4118.3999999999996</v>
      </c>
      <c r="CN22">
        <v>9.4323596860640091</v>
      </c>
      <c r="CO22">
        <v>1765.7377332311823</v>
      </c>
      <c r="CP22">
        <v>7.6095814223956157</v>
      </c>
      <c r="CQ22">
        <v>1424.5136422724593</v>
      </c>
      <c r="CR22">
        <v>17</v>
      </c>
      <c r="CS22">
        <v>3182.3999999999996</v>
      </c>
      <c r="CT22">
        <v>15</v>
      </c>
      <c r="CU22">
        <v>2808</v>
      </c>
    </row>
    <row r="23" spans="2:99">
      <c r="C23" s="99" t="s">
        <v>189</v>
      </c>
      <c r="D23">
        <v>15.730307821588003</v>
      </c>
      <c r="E23">
        <v>4624.7104995468726</v>
      </c>
      <c r="F23">
        <v>17.123548941062467</v>
      </c>
      <c r="G23">
        <v>5034.3233886723656</v>
      </c>
      <c r="H23">
        <v>13.590056809318225</v>
      </c>
      <c r="I23">
        <v>3995.4767019395581</v>
      </c>
      <c r="J23">
        <v>15</v>
      </c>
      <c r="K23">
        <v>4410</v>
      </c>
      <c r="L23">
        <v>16.133674929786988</v>
      </c>
      <c r="M23">
        <v>4743.300429357374</v>
      </c>
      <c r="N23">
        <v>9.8524578973112042</v>
      </c>
      <c r="O23">
        <v>2896.6226218094939</v>
      </c>
      <c r="P23">
        <v>17</v>
      </c>
      <c r="Q23">
        <v>4998</v>
      </c>
      <c r="R23">
        <v>14</v>
      </c>
      <c r="S23">
        <v>4116</v>
      </c>
      <c r="T23">
        <v>13</v>
      </c>
      <c r="U23">
        <v>3822</v>
      </c>
      <c r="V23">
        <v>11.336525862955433</v>
      </c>
      <c r="W23">
        <v>3332.9386037088975</v>
      </c>
      <c r="X23">
        <v>15</v>
      </c>
      <c r="Y23">
        <v>4410</v>
      </c>
      <c r="Z23">
        <v>22</v>
      </c>
      <c r="AA23">
        <v>6468</v>
      </c>
      <c r="AB23">
        <v>20</v>
      </c>
      <c r="AC23">
        <v>5880</v>
      </c>
      <c r="AD23">
        <v>22</v>
      </c>
      <c r="AE23">
        <v>6468</v>
      </c>
      <c r="AF23">
        <v>12</v>
      </c>
      <c r="AG23">
        <v>3528</v>
      </c>
      <c r="AH23">
        <v>17</v>
      </c>
      <c r="AI23">
        <v>4998</v>
      </c>
      <c r="AJ23">
        <v>17.52164471211983</v>
      </c>
      <c r="AK23">
        <v>5151.3635453632296</v>
      </c>
      <c r="AL23">
        <v>9.2942603376725597</v>
      </c>
      <c r="AM23">
        <v>2732.5125392757327</v>
      </c>
      <c r="AN23">
        <v>16</v>
      </c>
      <c r="AO23">
        <v>4704</v>
      </c>
      <c r="AP23">
        <v>12</v>
      </c>
      <c r="AQ23">
        <v>3528</v>
      </c>
      <c r="AR23">
        <v>18.772772585069816</v>
      </c>
      <c r="AS23">
        <v>5519.1951400105263</v>
      </c>
      <c r="AT23">
        <v>9.7671316012726965</v>
      </c>
      <c r="AU23">
        <v>2871.5366907741727</v>
      </c>
      <c r="AV23">
        <v>6.1994545605335007</v>
      </c>
      <c r="AW23">
        <v>1822.6396407968491</v>
      </c>
      <c r="AX23">
        <v>15</v>
      </c>
      <c r="AY23">
        <v>4410</v>
      </c>
      <c r="AZ23">
        <v>22</v>
      </c>
      <c r="BA23">
        <v>6468</v>
      </c>
      <c r="BB23">
        <v>17</v>
      </c>
      <c r="BC23">
        <v>4998</v>
      </c>
      <c r="BD23">
        <v>8.4619848491975933</v>
      </c>
      <c r="BE23">
        <v>2487.8235456640923</v>
      </c>
      <c r="BF23">
        <v>16</v>
      </c>
      <c r="BG23">
        <v>4704</v>
      </c>
      <c r="BH23">
        <v>16</v>
      </c>
      <c r="BI23">
        <v>4704</v>
      </c>
      <c r="BJ23">
        <v>18.267917098306391</v>
      </c>
      <c r="BK23">
        <v>5370.7676269020794</v>
      </c>
      <c r="BL23">
        <v>13</v>
      </c>
      <c r="BM23">
        <v>3822</v>
      </c>
      <c r="BN23">
        <v>16</v>
      </c>
      <c r="BO23">
        <v>4704</v>
      </c>
      <c r="BP23">
        <v>21</v>
      </c>
      <c r="BQ23">
        <v>6174</v>
      </c>
      <c r="BR23">
        <v>12</v>
      </c>
      <c r="BS23">
        <v>3528</v>
      </c>
      <c r="BT23">
        <v>9.0221677339231245</v>
      </c>
      <c r="BU23">
        <v>2652.5173137733987</v>
      </c>
      <c r="BV23">
        <v>23</v>
      </c>
      <c r="BW23">
        <v>6762</v>
      </c>
      <c r="BX23">
        <v>16</v>
      </c>
      <c r="BY23">
        <v>4704</v>
      </c>
      <c r="BZ23">
        <v>22</v>
      </c>
      <c r="CA23">
        <v>6468</v>
      </c>
      <c r="CB23">
        <v>17</v>
      </c>
      <c r="CC23">
        <v>4998</v>
      </c>
      <c r="CD23">
        <v>3.0137511230375416</v>
      </c>
      <c r="CE23">
        <v>886.04283017303726</v>
      </c>
      <c r="CF23">
        <v>20</v>
      </c>
      <c r="CG23">
        <v>5880</v>
      </c>
      <c r="CH23">
        <v>20</v>
      </c>
      <c r="CI23">
        <v>5880</v>
      </c>
      <c r="CJ23">
        <v>17</v>
      </c>
      <c r="CK23">
        <v>4998</v>
      </c>
      <c r="CL23">
        <v>20</v>
      </c>
      <c r="CM23">
        <v>5880</v>
      </c>
      <c r="CN23">
        <v>8.706793556366776</v>
      </c>
      <c r="CO23">
        <v>2559.7973055718321</v>
      </c>
      <c r="CP23">
        <v>7.209077137006374</v>
      </c>
      <c r="CQ23">
        <v>2119.468678279874</v>
      </c>
      <c r="CR23">
        <v>19</v>
      </c>
      <c r="CS23">
        <v>5586</v>
      </c>
      <c r="CT23">
        <v>16</v>
      </c>
      <c r="CU23">
        <v>4704</v>
      </c>
    </row>
    <row r="24" spans="2:99">
      <c r="C24" s="99" t="s">
        <v>190</v>
      </c>
      <c r="D24">
        <v>14.902396883609688</v>
      </c>
      <c r="E24">
        <v>5472.1601356614774</v>
      </c>
      <c r="F24">
        <v>17.123548941062467</v>
      </c>
      <c r="G24">
        <v>6287.7671711581379</v>
      </c>
      <c r="H24">
        <v>14.496060596606108</v>
      </c>
      <c r="I24">
        <v>5322.9534510737631</v>
      </c>
      <c r="J24">
        <v>16</v>
      </c>
      <c r="K24">
        <v>5875.2</v>
      </c>
      <c r="L24">
        <v>16.133674929786988</v>
      </c>
      <c r="M24">
        <v>5924.2854342177816</v>
      </c>
      <c r="N24">
        <v>8.7577403531655147</v>
      </c>
      <c r="O24">
        <v>3215.8422576823768</v>
      </c>
      <c r="P24">
        <v>16</v>
      </c>
      <c r="Q24">
        <v>5875.2</v>
      </c>
      <c r="R24">
        <v>14</v>
      </c>
      <c r="S24">
        <v>5140.8</v>
      </c>
      <c r="T24">
        <v>13</v>
      </c>
      <c r="U24">
        <v>4773.5999999999995</v>
      </c>
      <c r="V24">
        <v>10.464485411958862</v>
      </c>
      <c r="W24">
        <v>3842.5590432712938</v>
      </c>
      <c r="X24">
        <v>12</v>
      </c>
      <c r="Y24">
        <v>4406.3999999999996</v>
      </c>
      <c r="Z24">
        <v>20</v>
      </c>
      <c r="AA24">
        <v>7344</v>
      </c>
      <c r="AB24">
        <v>19</v>
      </c>
      <c r="AC24">
        <v>6976.8</v>
      </c>
      <c r="AD24">
        <v>21</v>
      </c>
      <c r="AE24">
        <v>7711.2</v>
      </c>
      <c r="AF24">
        <v>14</v>
      </c>
      <c r="AG24">
        <v>5140.8</v>
      </c>
      <c r="AH24">
        <v>16</v>
      </c>
      <c r="AI24">
        <v>5875.2</v>
      </c>
      <c r="AJ24">
        <v>18.318083108125279</v>
      </c>
      <c r="AK24">
        <v>6726.4001173036022</v>
      </c>
      <c r="AL24">
        <v>7.966508860862195</v>
      </c>
      <c r="AM24">
        <v>2925.3020537085981</v>
      </c>
      <c r="AN24">
        <v>16</v>
      </c>
      <c r="AO24">
        <v>5875.2</v>
      </c>
      <c r="AP24">
        <v>12</v>
      </c>
      <c r="AQ24">
        <v>4406.3999999999996</v>
      </c>
      <c r="AR24">
        <v>19.626080429845715</v>
      </c>
      <c r="AS24">
        <v>7206.6967338393461</v>
      </c>
      <c r="AT24">
        <v>10.581059234712086</v>
      </c>
      <c r="AU24">
        <v>3885.364950986278</v>
      </c>
      <c r="AV24">
        <v>5.8894818325068252</v>
      </c>
      <c r="AW24">
        <v>2162.6177288965064</v>
      </c>
      <c r="AX24">
        <v>14</v>
      </c>
      <c r="AY24">
        <v>5140.8</v>
      </c>
      <c r="AZ24">
        <v>22</v>
      </c>
      <c r="BA24">
        <v>8078.4</v>
      </c>
      <c r="BB24">
        <v>18</v>
      </c>
      <c r="BC24">
        <v>6609.5999999999995</v>
      </c>
      <c r="BD24">
        <v>9.0261171724774343</v>
      </c>
      <c r="BE24">
        <v>3314.3902257337136</v>
      </c>
      <c r="BF24">
        <v>15</v>
      </c>
      <c r="BG24">
        <v>5508</v>
      </c>
      <c r="BH24">
        <v>17</v>
      </c>
      <c r="BI24">
        <v>6242.4</v>
      </c>
      <c r="BJ24">
        <v>18.267917098306391</v>
      </c>
      <c r="BK24">
        <v>6707.9791584981067</v>
      </c>
      <c r="BL24">
        <v>14</v>
      </c>
      <c r="BM24">
        <v>5140.8</v>
      </c>
      <c r="BN24">
        <v>16</v>
      </c>
      <c r="BO24">
        <v>5875.2</v>
      </c>
      <c r="BP24">
        <v>20</v>
      </c>
      <c r="BQ24">
        <v>7344</v>
      </c>
      <c r="BR24">
        <v>13</v>
      </c>
      <c r="BS24">
        <v>4773.5999999999995</v>
      </c>
      <c r="BT24">
        <v>8.5710593472269672</v>
      </c>
      <c r="BU24">
        <v>3147.2929923017423</v>
      </c>
      <c r="BV24">
        <v>21</v>
      </c>
      <c r="BW24">
        <v>7711.2</v>
      </c>
      <c r="BX24">
        <v>15</v>
      </c>
      <c r="BY24">
        <v>5508</v>
      </c>
      <c r="BZ24">
        <v>21</v>
      </c>
      <c r="CA24">
        <v>7711.2</v>
      </c>
      <c r="CB24">
        <v>18</v>
      </c>
      <c r="CC24">
        <v>6609.5999999999995</v>
      </c>
      <c r="CD24">
        <v>3.0137511230375416</v>
      </c>
      <c r="CE24">
        <v>1106.6494123793852</v>
      </c>
      <c r="CF24">
        <v>20</v>
      </c>
      <c r="CG24">
        <v>7344</v>
      </c>
      <c r="CH24">
        <v>21</v>
      </c>
      <c r="CI24">
        <v>7711.2</v>
      </c>
      <c r="CJ24">
        <v>17</v>
      </c>
      <c r="CK24">
        <v>6242.4</v>
      </c>
      <c r="CL24">
        <v>22</v>
      </c>
      <c r="CM24">
        <v>8078.4</v>
      </c>
      <c r="CN24">
        <v>8.706793556366776</v>
      </c>
      <c r="CO24">
        <v>3197.1345938978802</v>
      </c>
      <c r="CP24">
        <v>7.6095814223956157</v>
      </c>
      <c r="CQ24">
        <v>2794.23829830367</v>
      </c>
      <c r="CR24">
        <v>17</v>
      </c>
      <c r="CS24">
        <v>6242.4</v>
      </c>
      <c r="CT24">
        <v>16</v>
      </c>
      <c r="CU24">
        <v>5875.2</v>
      </c>
    </row>
    <row r="25" spans="2:99">
      <c r="C25" s="99" t="s">
        <v>191</v>
      </c>
      <c r="D25">
        <v>16.558218759566319</v>
      </c>
      <c r="E25">
        <v>8782.4792300739755</v>
      </c>
      <c r="F25">
        <v>17.979726388115591</v>
      </c>
      <c r="G25">
        <v>9536.4468762565084</v>
      </c>
      <c r="H25">
        <v>13.590056809318225</v>
      </c>
      <c r="I25">
        <v>7208.1661316623868</v>
      </c>
      <c r="J25">
        <v>15</v>
      </c>
      <c r="K25">
        <v>7956</v>
      </c>
      <c r="L25">
        <v>14.435393358230462</v>
      </c>
      <c r="M25">
        <v>7656.5326372054369</v>
      </c>
      <c r="N25">
        <v>9.3050991252383604</v>
      </c>
      <c r="O25">
        <v>4935.4245760264257</v>
      </c>
      <c r="P25">
        <v>14</v>
      </c>
      <c r="Q25">
        <v>7425.5999999999995</v>
      </c>
      <c r="R25">
        <v>16</v>
      </c>
      <c r="S25">
        <v>8486.4</v>
      </c>
      <c r="T25">
        <v>14</v>
      </c>
      <c r="U25">
        <v>7425.5999999999995</v>
      </c>
      <c r="V25">
        <v>12.208566313952005</v>
      </c>
      <c r="W25">
        <v>6475.4235729201437</v>
      </c>
      <c r="X25">
        <v>14</v>
      </c>
      <c r="Y25">
        <v>7425.5999999999995</v>
      </c>
      <c r="Z25">
        <v>20</v>
      </c>
      <c r="AA25">
        <v>10608</v>
      </c>
      <c r="AB25">
        <v>18</v>
      </c>
      <c r="AC25">
        <v>9547.1999999999989</v>
      </c>
      <c r="AD25">
        <v>21</v>
      </c>
      <c r="AE25">
        <v>11138.4</v>
      </c>
      <c r="AF25">
        <v>15</v>
      </c>
      <c r="AG25">
        <v>7956</v>
      </c>
      <c r="AH25">
        <v>16</v>
      </c>
      <c r="AI25">
        <v>8486.4</v>
      </c>
      <c r="AJ25">
        <v>15.13232952410349</v>
      </c>
      <c r="AK25">
        <v>8026.1875795844908</v>
      </c>
      <c r="AL25">
        <v>8.6303845992673782</v>
      </c>
      <c r="AM25">
        <v>4577.555991451417</v>
      </c>
      <c r="AN25">
        <v>19</v>
      </c>
      <c r="AO25">
        <v>10077.6</v>
      </c>
      <c r="AP25">
        <v>13</v>
      </c>
      <c r="AQ25">
        <v>6895.2</v>
      </c>
      <c r="AR25">
        <v>17.066156895518013</v>
      </c>
      <c r="AS25">
        <v>9051.8896173827543</v>
      </c>
      <c r="AT25">
        <v>11.394986868151479</v>
      </c>
      <c r="AU25">
        <v>6043.9010348675438</v>
      </c>
      <c r="AV25">
        <v>5.2695363764534751</v>
      </c>
      <c r="AW25">
        <v>2794.9620940709228</v>
      </c>
      <c r="AX25">
        <v>16</v>
      </c>
      <c r="AY25">
        <v>8486.4</v>
      </c>
      <c r="AZ25">
        <v>19</v>
      </c>
      <c r="BA25">
        <v>10077.6</v>
      </c>
      <c r="BB25">
        <v>20</v>
      </c>
      <c r="BC25">
        <v>10608</v>
      </c>
      <c r="BD25">
        <v>9.0261171724774343</v>
      </c>
      <c r="BE25">
        <v>4787.4525482820309</v>
      </c>
      <c r="BF25">
        <v>15</v>
      </c>
      <c r="BG25">
        <v>7956</v>
      </c>
      <c r="BH25">
        <v>15</v>
      </c>
      <c r="BI25">
        <v>7956</v>
      </c>
      <c r="BJ25">
        <v>18.267917098306391</v>
      </c>
      <c r="BK25">
        <v>9689.3032289417097</v>
      </c>
      <c r="BL25">
        <v>13</v>
      </c>
      <c r="BM25">
        <v>6895.2</v>
      </c>
      <c r="BN25">
        <v>16</v>
      </c>
      <c r="BO25">
        <v>8486.4</v>
      </c>
      <c r="BP25">
        <v>23</v>
      </c>
      <c r="BQ25">
        <v>12199.199999999999</v>
      </c>
      <c r="BR25">
        <v>13</v>
      </c>
      <c r="BS25">
        <v>6895.2</v>
      </c>
      <c r="BT25">
        <v>8.1199509605308116</v>
      </c>
      <c r="BU25">
        <v>4306.8219894655422</v>
      </c>
      <c r="BV25">
        <v>23</v>
      </c>
      <c r="BW25">
        <v>12199.199999999999</v>
      </c>
      <c r="BX25">
        <v>17</v>
      </c>
      <c r="BY25">
        <v>9016.7999999999993</v>
      </c>
      <c r="BZ25">
        <v>18</v>
      </c>
      <c r="CA25">
        <v>9547.1999999999989</v>
      </c>
      <c r="CB25">
        <v>18</v>
      </c>
      <c r="CC25">
        <v>9547.1999999999989</v>
      </c>
      <c r="CD25">
        <v>2.7516858079907984</v>
      </c>
      <c r="CE25">
        <v>1459.4941525583195</v>
      </c>
      <c r="CF25">
        <v>21</v>
      </c>
      <c r="CG25">
        <v>11138.4</v>
      </c>
      <c r="CH25">
        <v>18</v>
      </c>
      <c r="CI25">
        <v>9547.1999999999989</v>
      </c>
      <c r="CJ25">
        <v>18</v>
      </c>
      <c r="CK25">
        <v>9547.1999999999989</v>
      </c>
      <c r="CL25">
        <v>19</v>
      </c>
      <c r="CM25">
        <v>10077.6</v>
      </c>
      <c r="CN25">
        <v>7.9812274266695464</v>
      </c>
      <c r="CO25">
        <v>4233.2430271055273</v>
      </c>
      <c r="CP25">
        <v>7.209077137006374</v>
      </c>
      <c r="CQ25">
        <v>3823.6945134681805</v>
      </c>
      <c r="CR25">
        <v>18</v>
      </c>
      <c r="CS25">
        <v>9547.1999999999989</v>
      </c>
      <c r="CT25">
        <v>18</v>
      </c>
      <c r="CU25">
        <v>9547.1999999999989</v>
      </c>
    </row>
    <row r="26" spans="2:99">
      <c r="C26" s="99" t="s">
        <v>192</v>
      </c>
      <c r="D26">
        <v>15.730307821588003</v>
      </c>
      <c r="E26">
        <v>7644.9296012917694</v>
      </c>
      <c r="F26">
        <v>16.267371494009343</v>
      </c>
      <c r="G26">
        <v>7905.9425460885404</v>
      </c>
      <c r="H26">
        <v>12.684053022030344</v>
      </c>
      <c r="I26">
        <v>6164.4497687067469</v>
      </c>
      <c r="J26">
        <v>14</v>
      </c>
      <c r="K26">
        <v>6804</v>
      </c>
      <c r="L26">
        <v>15.284534144008726</v>
      </c>
      <c r="M26">
        <v>7428.2835939882407</v>
      </c>
      <c r="N26">
        <v>9.3050991252383604</v>
      </c>
      <c r="O26">
        <v>4522.2781748658435</v>
      </c>
      <c r="P26">
        <v>16</v>
      </c>
      <c r="Q26">
        <v>7776</v>
      </c>
      <c r="R26">
        <v>15</v>
      </c>
      <c r="S26">
        <v>7290</v>
      </c>
      <c r="T26">
        <v>13</v>
      </c>
      <c r="U26">
        <v>6318</v>
      </c>
      <c r="V26">
        <v>11.336525862955433</v>
      </c>
      <c r="W26">
        <v>5509.5515693963407</v>
      </c>
      <c r="X26">
        <v>14</v>
      </c>
      <c r="Y26">
        <v>6804</v>
      </c>
      <c r="Z26">
        <v>20</v>
      </c>
      <c r="AA26">
        <v>9720</v>
      </c>
      <c r="AB26">
        <v>21</v>
      </c>
      <c r="AC26">
        <v>10206</v>
      </c>
      <c r="AD26">
        <v>19</v>
      </c>
      <c r="AE26">
        <v>9234</v>
      </c>
      <c r="AF26">
        <v>13</v>
      </c>
      <c r="AG26">
        <v>6318</v>
      </c>
      <c r="AH26">
        <v>16</v>
      </c>
      <c r="AI26">
        <v>7776</v>
      </c>
      <c r="AJ26">
        <v>15.13232952410349</v>
      </c>
      <c r="AK26">
        <v>7354.3121487142962</v>
      </c>
      <c r="AL26">
        <v>7.966508860862195</v>
      </c>
      <c r="AM26">
        <v>3871.7233063790268</v>
      </c>
      <c r="AN26">
        <v>17</v>
      </c>
      <c r="AO26">
        <v>8262</v>
      </c>
      <c r="AP26">
        <v>14</v>
      </c>
      <c r="AQ26">
        <v>6804</v>
      </c>
      <c r="AR26">
        <v>18.772772585069816</v>
      </c>
      <c r="AS26">
        <v>9123.567476343931</v>
      </c>
      <c r="AT26">
        <v>10.581059234712086</v>
      </c>
      <c r="AU26">
        <v>5142.3947880700734</v>
      </c>
      <c r="AV26">
        <v>6.1994545605335007</v>
      </c>
      <c r="AW26">
        <v>3012.9349164192813</v>
      </c>
      <c r="AX26">
        <v>16</v>
      </c>
      <c r="AY26">
        <v>7776</v>
      </c>
      <c r="AZ26">
        <v>22</v>
      </c>
      <c r="BA26">
        <v>10692</v>
      </c>
      <c r="BB26">
        <v>19</v>
      </c>
      <c r="BC26">
        <v>9234</v>
      </c>
      <c r="BD26">
        <v>10.154381819037113</v>
      </c>
      <c r="BE26">
        <v>4935.0295640520371</v>
      </c>
      <c r="BF26">
        <v>15</v>
      </c>
      <c r="BG26">
        <v>7290</v>
      </c>
      <c r="BH26">
        <v>18</v>
      </c>
      <c r="BI26">
        <v>8748</v>
      </c>
      <c r="BJ26">
        <v>17.437557230201556</v>
      </c>
      <c r="BK26">
        <v>8474.6528138779559</v>
      </c>
      <c r="BL26">
        <v>12</v>
      </c>
      <c r="BM26">
        <v>5832</v>
      </c>
      <c r="BN26">
        <v>17</v>
      </c>
      <c r="BO26">
        <v>8262</v>
      </c>
      <c r="BP26">
        <v>20</v>
      </c>
      <c r="BQ26">
        <v>9720</v>
      </c>
      <c r="BR26">
        <v>14</v>
      </c>
      <c r="BS26">
        <v>6804</v>
      </c>
      <c r="BT26">
        <v>9.0221677339231245</v>
      </c>
      <c r="BU26">
        <v>4384.7735186866385</v>
      </c>
      <c r="BV26">
        <v>21</v>
      </c>
      <c r="BW26">
        <v>10206</v>
      </c>
      <c r="BX26">
        <v>16</v>
      </c>
      <c r="BY26">
        <v>7776</v>
      </c>
      <c r="BZ26">
        <v>19</v>
      </c>
      <c r="CA26">
        <v>9234</v>
      </c>
      <c r="CB26">
        <v>18</v>
      </c>
      <c r="CC26">
        <v>8748</v>
      </c>
      <c r="CD26">
        <v>2.7516858079907984</v>
      </c>
      <c r="CE26">
        <v>1337.3193026835281</v>
      </c>
      <c r="CF26">
        <v>21</v>
      </c>
      <c r="CG26">
        <v>10206</v>
      </c>
      <c r="CH26">
        <v>20</v>
      </c>
      <c r="CI26">
        <v>9720</v>
      </c>
      <c r="CJ26">
        <v>18</v>
      </c>
      <c r="CK26">
        <v>8748</v>
      </c>
      <c r="CL26">
        <v>21</v>
      </c>
      <c r="CM26">
        <v>10206</v>
      </c>
      <c r="CN26">
        <v>7.9812274266695464</v>
      </c>
      <c r="CO26">
        <v>3878.8765293613997</v>
      </c>
      <c r="CP26">
        <v>6.8085728516171304</v>
      </c>
      <c r="CQ26">
        <v>3308.9664058859253</v>
      </c>
      <c r="CR26">
        <v>18</v>
      </c>
      <c r="CS26">
        <v>8748</v>
      </c>
      <c r="CT26">
        <v>16</v>
      </c>
      <c r="CU26">
        <v>7776</v>
      </c>
    </row>
    <row r="27" spans="2:99">
      <c r="C27" s="99" t="s">
        <v>193</v>
      </c>
      <c r="D27">
        <v>14.074485945631372</v>
      </c>
      <c r="E27">
        <v>6012.6203959737222</v>
      </c>
      <c r="F27">
        <v>18.835903835168715</v>
      </c>
      <c r="G27">
        <v>8046.6981183840744</v>
      </c>
      <c r="H27">
        <v>13.590056809318225</v>
      </c>
      <c r="I27">
        <v>5805.6722689407461</v>
      </c>
      <c r="J27">
        <v>16</v>
      </c>
      <c r="K27">
        <v>6835.2</v>
      </c>
      <c r="L27">
        <v>16.982815715565252</v>
      </c>
      <c r="M27">
        <v>7255.0588736894751</v>
      </c>
      <c r="N27">
        <v>8.7577403531655147</v>
      </c>
      <c r="O27">
        <v>3741.3066788723077</v>
      </c>
      <c r="P27">
        <v>16</v>
      </c>
      <c r="Q27">
        <v>6835.2</v>
      </c>
      <c r="R27">
        <v>16</v>
      </c>
      <c r="S27">
        <v>6835.2</v>
      </c>
      <c r="T27">
        <v>13</v>
      </c>
      <c r="U27">
        <v>5553.5999999999995</v>
      </c>
      <c r="V27">
        <v>11.336525862955433</v>
      </c>
      <c r="W27">
        <v>4842.9638486545609</v>
      </c>
      <c r="X27">
        <v>12</v>
      </c>
      <c r="Y27">
        <v>5126.3999999999996</v>
      </c>
      <c r="Z27">
        <v>22</v>
      </c>
      <c r="AA27">
        <v>9398.4</v>
      </c>
      <c r="AB27">
        <v>20</v>
      </c>
      <c r="AC27">
        <v>8544</v>
      </c>
      <c r="AD27">
        <v>20</v>
      </c>
      <c r="AE27">
        <v>8544</v>
      </c>
      <c r="AF27">
        <v>12</v>
      </c>
      <c r="AG27">
        <v>5126.3999999999996</v>
      </c>
      <c r="AH27">
        <v>14</v>
      </c>
      <c r="AI27">
        <v>5980.8</v>
      </c>
      <c r="AJ27">
        <v>18.318083108125279</v>
      </c>
      <c r="AK27">
        <v>7825.4851037911194</v>
      </c>
      <c r="AL27">
        <v>8.6303845992673782</v>
      </c>
      <c r="AM27">
        <v>3686.900300807024</v>
      </c>
      <c r="AN27">
        <v>19</v>
      </c>
      <c r="AO27">
        <v>8116.8</v>
      </c>
      <c r="AP27">
        <v>13</v>
      </c>
      <c r="AQ27">
        <v>5553.5999999999995</v>
      </c>
      <c r="AR27">
        <v>17.066156895518013</v>
      </c>
      <c r="AS27">
        <v>7290.6622257652953</v>
      </c>
      <c r="AT27">
        <v>11.394986868151479</v>
      </c>
      <c r="AU27">
        <v>4867.9383900743114</v>
      </c>
      <c r="AV27">
        <v>5.8894818325068252</v>
      </c>
      <c r="AW27">
        <v>2515.9866388469159</v>
      </c>
      <c r="AX27">
        <v>13</v>
      </c>
      <c r="AY27">
        <v>5553.5999999999995</v>
      </c>
      <c r="AZ27">
        <v>19</v>
      </c>
      <c r="BA27">
        <v>8116.8</v>
      </c>
      <c r="BB27">
        <v>18</v>
      </c>
      <c r="BC27">
        <v>7689.5999999999995</v>
      </c>
      <c r="BD27">
        <v>9.0261171724774343</v>
      </c>
      <c r="BE27">
        <v>3855.9572560823599</v>
      </c>
      <c r="BF27">
        <v>14</v>
      </c>
      <c r="BG27">
        <v>5980.8</v>
      </c>
      <c r="BH27">
        <v>17</v>
      </c>
      <c r="BI27">
        <v>7262.4</v>
      </c>
      <c r="BJ27">
        <v>16.607197362096716</v>
      </c>
      <c r="BK27">
        <v>7094.5947130877166</v>
      </c>
      <c r="BL27">
        <v>14</v>
      </c>
      <c r="BM27">
        <v>5980.8</v>
      </c>
      <c r="BN27">
        <v>15</v>
      </c>
      <c r="BO27">
        <v>6408</v>
      </c>
      <c r="BP27">
        <v>20</v>
      </c>
      <c r="BQ27">
        <v>8544</v>
      </c>
      <c r="BR27">
        <v>14</v>
      </c>
      <c r="BS27">
        <v>5980.8</v>
      </c>
      <c r="BT27">
        <v>8.5710593472269672</v>
      </c>
      <c r="BU27">
        <v>3661.5565531353604</v>
      </c>
      <c r="BV27">
        <v>24</v>
      </c>
      <c r="BW27">
        <v>10252.799999999999</v>
      </c>
      <c r="BX27">
        <v>17</v>
      </c>
      <c r="BY27">
        <v>7262.4</v>
      </c>
      <c r="BZ27">
        <v>20</v>
      </c>
      <c r="CA27">
        <v>8544</v>
      </c>
      <c r="CB27">
        <v>18</v>
      </c>
      <c r="CC27">
        <v>7689.5999999999995</v>
      </c>
      <c r="CD27">
        <v>2.88271846551417</v>
      </c>
      <c r="CE27">
        <v>1231.4973284676535</v>
      </c>
      <c r="CF27">
        <v>20</v>
      </c>
      <c r="CG27">
        <v>8544</v>
      </c>
      <c r="CH27">
        <v>19</v>
      </c>
      <c r="CI27">
        <v>8116.8</v>
      </c>
      <c r="CJ27">
        <v>17</v>
      </c>
      <c r="CK27">
        <v>7262.4</v>
      </c>
      <c r="CL27">
        <v>20</v>
      </c>
      <c r="CM27">
        <v>8544</v>
      </c>
      <c r="CN27">
        <v>9.4323596860640091</v>
      </c>
      <c r="CO27">
        <v>4029.5040578865446</v>
      </c>
      <c r="CP27">
        <v>6.8085728516171304</v>
      </c>
      <c r="CQ27">
        <v>2908.6223222108379</v>
      </c>
      <c r="CR27">
        <v>17</v>
      </c>
      <c r="CS27">
        <v>7262.4</v>
      </c>
      <c r="CT27">
        <v>18</v>
      </c>
      <c r="CU27">
        <v>7689.5999999999995</v>
      </c>
    </row>
    <row r="28" spans="2:99">
      <c r="C28" s="99" t="s">
        <v>194</v>
      </c>
      <c r="D28">
        <v>14.074485945631372</v>
      </c>
      <c r="E28">
        <v>10386.970627875951</v>
      </c>
      <c r="F28">
        <v>17.123548941062467</v>
      </c>
      <c r="G28">
        <v>12637.1791185041</v>
      </c>
      <c r="H28">
        <v>11.778049234742463</v>
      </c>
      <c r="I28">
        <v>8692.200335239937</v>
      </c>
      <c r="J28">
        <v>14</v>
      </c>
      <c r="K28">
        <v>10332</v>
      </c>
      <c r="L28">
        <v>16.133674929786988</v>
      </c>
      <c r="M28">
        <v>11906.652098182796</v>
      </c>
      <c r="N28">
        <v>8.7577403531655147</v>
      </c>
      <c r="O28">
        <v>6463.2123806361496</v>
      </c>
      <c r="P28">
        <v>16</v>
      </c>
      <c r="Q28">
        <v>11808</v>
      </c>
      <c r="R28">
        <v>16</v>
      </c>
      <c r="S28">
        <v>11808</v>
      </c>
      <c r="T28">
        <v>15</v>
      </c>
      <c r="U28">
        <v>11070</v>
      </c>
      <c r="V28">
        <v>10.464485411958862</v>
      </c>
      <c r="W28">
        <v>7722.7902340256396</v>
      </c>
      <c r="X28">
        <v>14</v>
      </c>
      <c r="Y28">
        <v>10332</v>
      </c>
      <c r="Z28">
        <v>19</v>
      </c>
      <c r="AA28">
        <v>14022</v>
      </c>
      <c r="AB28">
        <v>18</v>
      </c>
      <c r="AC28">
        <v>13284</v>
      </c>
      <c r="AD28">
        <v>21</v>
      </c>
      <c r="AE28">
        <v>15498</v>
      </c>
      <c r="AF28">
        <v>13</v>
      </c>
      <c r="AG28">
        <v>9594</v>
      </c>
      <c r="AH28">
        <v>15</v>
      </c>
      <c r="AI28">
        <v>11070</v>
      </c>
      <c r="AJ28">
        <v>15.928767920108937</v>
      </c>
      <c r="AK28">
        <v>11755.430725040396</v>
      </c>
      <c r="AL28">
        <v>7.966508860862195</v>
      </c>
      <c r="AM28">
        <v>5879.2835393162995</v>
      </c>
      <c r="AN28">
        <v>17</v>
      </c>
      <c r="AO28">
        <v>12546</v>
      </c>
      <c r="AP28">
        <v>11</v>
      </c>
      <c r="AQ28">
        <v>8118</v>
      </c>
      <c r="AR28">
        <v>19.626080429845715</v>
      </c>
      <c r="AS28">
        <v>14484.047357226138</v>
      </c>
      <c r="AT28">
        <v>10.581059234712086</v>
      </c>
      <c r="AU28">
        <v>7808.8217152175193</v>
      </c>
      <c r="AV28">
        <v>6.1994545605335007</v>
      </c>
      <c r="AW28">
        <v>4575.1974656737239</v>
      </c>
      <c r="AX28">
        <v>13</v>
      </c>
      <c r="AY28">
        <v>9594</v>
      </c>
      <c r="AZ28">
        <v>18</v>
      </c>
      <c r="BA28">
        <v>13284</v>
      </c>
      <c r="BB28">
        <v>19</v>
      </c>
      <c r="BC28">
        <v>14022</v>
      </c>
      <c r="BD28">
        <v>8.4619848491975933</v>
      </c>
      <c r="BE28">
        <v>6244.9448187078242</v>
      </c>
      <c r="BF28">
        <v>16</v>
      </c>
      <c r="BG28">
        <v>11808</v>
      </c>
      <c r="BH28">
        <v>15</v>
      </c>
      <c r="BI28">
        <v>11070</v>
      </c>
      <c r="BJ28">
        <v>19.098276966411227</v>
      </c>
      <c r="BK28">
        <v>14094.528401211486</v>
      </c>
      <c r="BL28">
        <v>14</v>
      </c>
      <c r="BM28">
        <v>10332</v>
      </c>
      <c r="BN28">
        <v>16</v>
      </c>
      <c r="BO28">
        <v>11808</v>
      </c>
      <c r="BP28">
        <v>21</v>
      </c>
      <c r="BQ28">
        <v>15498</v>
      </c>
      <c r="BR28">
        <v>14</v>
      </c>
      <c r="BS28">
        <v>10332</v>
      </c>
      <c r="BT28">
        <v>9.0221677339231245</v>
      </c>
      <c r="BU28">
        <v>6658.359787635266</v>
      </c>
      <c r="BV28">
        <v>22</v>
      </c>
      <c r="BW28">
        <v>16236</v>
      </c>
      <c r="BX28">
        <v>16</v>
      </c>
      <c r="BY28">
        <v>11808</v>
      </c>
      <c r="BZ28">
        <v>21</v>
      </c>
      <c r="CA28">
        <v>15498</v>
      </c>
      <c r="CB28">
        <v>16</v>
      </c>
      <c r="CC28">
        <v>11808</v>
      </c>
      <c r="CD28">
        <v>2.88271846551417</v>
      </c>
      <c r="CE28">
        <v>2127.4462275494575</v>
      </c>
      <c r="CF28">
        <v>19</v>
      </c>
      <c r="CG28">
        <v>14022</v>
      </c>
      <c r="CH28">
        <v>18</v>
      </c>
      <c r="CI28">
        <v>13284</v>
      </c>
      <c r="CJ28">
        <v>16</v>
      </c>
      <c r="CK28">
        <v>11808</v>
      </c>
      <c r="CL28">
        <v>20</v>
      </c>
      <c r="CM28">
        <v>14760</v>
      </c>
      <c r="CN28">
        <v>7.9812274266695464</v>
      </c>
      <c r="CO28">
        <v>5890.1458408821254</v>
      </c>
      <c r="CP28">
        <v>8.0100857077848602</v>
      </c>
      <c r="CQ28">
        <v>5911.4432523452269</v>
      </c>
      <c r="CR28">
        <v>17</v>
      </c>
      <c r="CS28">
        <v>12546</v>
      </c>
      <c r="CT28">
        <v>16</v>
      </c>
      <c r="CU28">
        <v>11808</v>
      </c>
    </row>
    <row r="29" spans="2:99">
      <c r="C29" s="99" t="s">
        <v>195</v>
      </c>
      <c r="D29">
        <v>14.902396883609688</v>
      </c>
      <c r="E29">
        <v>5042.9711054135178</v>
      </c>
      <c r="F29">
        <v>17.979726388115591</v>
      </c>
      <c r="G29">
        <v>6084.3394097383152</v>
      </c>
      <c r="H29">
        <v>14.496060596606108</v>
      </c>
      <c r="I29">
        <v>4905.4669058915069</v>
      </c>
      <c r="J29">
        <v>16</v>
      </c>
      <c r="K29">
        <v>5414.4</v>
      </c>
      <c r="L29">
        <v>16.133674929786988</v>
      </c>
      <c r="M29">
        <v>5459.6355962399166</v>
      </c>
      <c r="N29">
        <v>9.3050991252383604</v>
      </c>
      <c r="O29">
        <v>3148.8455439806608</v>
      </c>
      <c r="P29">
        <v>17</v>
      </c>
      <c r="Q29">
        <v>5752.7999999999993</v>
      </c>
      <c r="R29">
        <v>15</v>
      </c>
      <c r="S29">
        <v>5076</v>
      </c>
      <c r="T29">
        <v>14</v>
      </c>
      <c r="U29">
        <v>4737.5999999999995</v>
      </c>
      <c r="V29">
        <v>12.208566313952005</v>
      </c>
      <c r="W29">
        <v>4131.3788406413587</v>
      </c>
      <c r="X29">
        <v>13</v>
      </c>
      <c r="Y29">
        <v>4399.2</v>
      </c>
      <c r="Z29">
        <v>22</v>
      </c>
      <c r="AA29">
        <v>7444.7999999999993</v>
      </c>
      <c r="AB29">
        <v>21</v>
      </c>
      <c r="AC29">
        <v>7106.4</v>
      </c>
      <c r="AD29">
        <v>20</v>
      </c>
      <c r="AE29">
        <v>6768</v>
      </c>
      <c r="AF29">
        <v>12</v>
      </c>
      <c r="AG29">
        <v>4060.7999999999997</v>
      </c>
      <c r="AH29">
        <v>16</v>
      </c>
      <c r="AI29">
        <v>5414.4</v>
      </c>
      <c r="AJ29">
        <v>15.928767920108937</v>
      </c>
      <c r="AK29">
        <v>5390.295064164864</v>
      </c>
      <c r="AL29">
        <v>8.6303845992673782</v>
      </c>
      <c r="AM29">
        <v>2920.5221483920805</v>
      </c>
      <c r="AN29">
        <v>19</v>
      </c>
      <c r="AO29">
        <v>6429.5999999999995</v>
      </c>
      <c r="AP29">
        <v>14</v>
      </c>
      <c r="AQ29">
        <v>4737.5999999999995</v>
      </c>
      <c r="AR29">
        <v>17.919464740293915</v>
      </c>
      <c r="AS29">
        <v>6063.9468681154603</v>
      </c>
      <c r="AT29">
        <v>11.394986868151479</v>
      </c>
      <c r="AU29">
        <v>3856.0635561824602</v>
      </c>
      <c r="AV29">
        <v>5.5795091044801506</v>
      </c>
      <c r="AW29">
        <v>1888.1058809560827</v>
      </c>
      <c r="AX29">
        <v>15</v>
      </c>
      <c r="AY29">
        <v>5076</v>
      </c>
      <c r="AZ29">
        <v>22</v>
      </c>
      <c r="BA29">
        <v>7444.7999999999993</v>
      </c>
      <c r="BB29">
        <v>18</v>
      </c>
      <c r="BC29">
        <v>6091.2</v>
      </c>
      <c r="BD29">
        <v>9.0261171724774343</v>
      </c>
      <c r="BE29">
        <v>3054.4380511663635</v>
      </c>
      <c r="BF29">
        <v>16</v>
      </c>
      <c r="BG29">
        <v>5414.4</v>
      </c>
      <c r="BH29">
        <v>18</v>
      </c>
      <c r="BI29">
        <v>6091.2</v>
      </c>
      <c r="BJ29">
        <v>19.098276966411227</v>
      </c>
      <c r="BK29">
        <v>6462.8569254335589</v>
      </c>
      <c r="BL29">
        <v>13</v>
      </c>
      <c r="BM29">
        <v>4399.2</v>
      </c>
      <c r="BN29">
        <v>15</v>
      </c>
      <c r="BO29">
        <v>5076</v>
      </c>
      <c r="BP29">
        <v>23</v>
      </c>
      <c r="BQ29">
        <v>7783.2</v>
      </c>
      <c r="BR29">
        <v>14</v>
      </c>
      <c r="BS29">
        <v>4737.5999999999995</v>
      </c>
      <c r="BT29">
        <v>9.0221677339231245</v>
      </c>
      <c r="BU29">
        <v>3053.1015611595853</v>
      </c>
      <c r="BV29">
        <v>20</v>
      </c>
      <c r="BW29">
        <v>6768</v>
      </c>
      <c r="BX29">
        <v>17</v>
      </c>
      <c r="BY29">
        <v>5752.7999999999993</v>
      </c>
      <c r="BZ29">
        <v>20</v>
      </c>
      <c r="CA29">
        <v>6768</v>
      </c>
      <c r="CB29">
        <v>18</v>
      </c>
      <c r="CC29">
        <v>6091.2</v>
      </c>
      <c r="CD29">
        <v>2.7516858079907984</v>
      </c>
      <c r="CE29">
        <v>931.17047742408613</v>
      </c>
      <c r="CF29">
        <v>21</v>
      </c>
      <c r="CG29">
        <v>7106.4</v>
      </c>
      <c r="CH29">
        <v>19</v>
      </c>
      <c r="CI29">
        <v>6429.5999999999995</v>
      </c>
      <c r="CJ29">
        <v>17</v>
      </c>
      <c r="CK29">
        <v>5752.7999999999993</v>
      </c>
      <c r="CL29">
        <v>20</v>
      </c>
      <c r="CM29">
        <v>6768</v>
      </c>
      <c r="CN29">
        <v>9.4323596860640091</v>
      </c>
      <c r="CO29">
        <v>3191.9105177640604</v>
      </c>
      <c r="CP29">
        <v>7.6095814223956157</v>
      </c>
      <c r="CQ29">
        <v>2575.0823533386761</v>
      </c>
      <c r="CR29">
        <v>19</v>
      </c>
      <c r="CS29">
        <v>6429.5999999999995</v>
      </c>
      <c r="CT29">
        <v>15</v>
      </c>
      <c r="CU29">
        <v>5076</v>
      </c>
    </row>
    <row r="30" spans="2:99">
      <c r="C30" s="99" t="s">
        <v>196</v>
      </c>
      <c r="D30">
        <v>17.386129697544636</v>
      </c>
      <c r="E30">
        <v>2420.1492538982129</v>
      </c>
      <c r="F30">
        <v>19.692081282221835</v>
      </c>
      <c r="G30">
        <v>2741.137714485279</v>
      </c>
      <c r="H30">
        <v>12.684053022030344</v>
      </c>
      <c r="I30">
        <v>1765.6201806666238</v>
      </c>
      <c r="J30">
        <v>15</v>
      </c>
      <c r="K30">
        <v>2088</v>
      </c>
      <c r="L30">
        <v>16.982815715565252</v>
      </c>
      <c r="M30">
        <v>2364.007947606683</v>
      </c>
      <c r="N30">
        <v>9.8524578973112042</v>
      </c>
      <c r="O30">
        <v>1371.4621393057196</v>
      </c>
      <c r="P30">
        <v>15</v>
      </c>
      <c r="Q30">
        <v>2088</v>
      </c>
      <c r="R30">
        <v>16</v>
      </c>
      <c r="S30">
        <v>2227.1999999999998</v>
      </c>
      <c r="T30">
        <v>15</v>
      </c>
      <c r="U30">
        <v>2088</v>
      </c>
      <c r="V30">
        <v>12.208566313952005</v>
      </c>
      <c r="W30">
        <v>1699.432430902119</v>
      </c>
      <c r="X30">
        <v>13</v>
      </c>
      <c r="Y30">
        <v>1809.6</v>
      </c>
      <c r="Z30">
        <v>19</v>
      </c>
      <c r="AA30">
        <v>2644.7999999999997</v>
      </c>
      <c r="AB30">
        <v>21</v>
      </c>
      <c r="AC30">
        <v>2923.2</v>
      </c>
      <c r="AD30">
        <v>20</v>
      </c>
      <c r="AE30">
        <v>2784</v>
      </c>
      <c r="AF30">
        <v>13</v>
      </c>
      <c r="AG30">
        <v>1809.6</v>
      </c>
      <c r="AH30">
        <v>17</v>
      </c>
      <c r="AI30">
        <v>2366.3999999999996</v>
      </c>
      <c r="AJ30">
        <v>16.725206316114384</v>
      </c>
      <c r="AK30">
        <v>2328.1487192031223</v>
      </c>
      <c r="AL30">
        <v>9.9581360760777446</v>
      </c>
      <c r="AM30">
        <v>1386.172541790022</v>
      </c>
      <c r="AN30">
        <v>17</v>
      </c>
      <c r="AO30">
        <v>2366.3999999999996</v>
      </c>
      <c r="AP30">
        <v>13</v>
      </c>
      <c r="AQ30">
        <v>1809.6</v>
      </c>
      <c r="AR30">
        <v>17.919464740293915</v>
      </c>
      <c r="AS30">
        <v>2494.3894918489127</v>
      </c>
      <c r="AT30">
        <v>11.394986868151479</v>
      </c>
      <c r="AU30">
        <v>1586.1821720466858</v>
      </c>
      <c r="AV30">
        <v>6.1994545605335007</v>
      </c>
      <c r="AW30">
        <v>862.96407482626319</v>
      </c>
      <c r="AX30">
        <v>15</v>
      </c>
      <c r="AY30">
        <v>2088</v>
      </c>
      <c r="AZ30">
        <v>22</v>
      </c>
      <c r="BA30">
        <v>3062.3999999999996</v>
      </c>
      <c r="BB30">
        <v>19</v>
      </c>
      <c r="BC30">
        <v>2644.7999999999997</v>
      </c>
      <c r="BD30">
        <v>8.4619848491975933</v>
      </c>
      <c r="BE30">
        <v>1177.9082910083048</v>
      </c>
      <c r="BF30">
        <v>17</v>
      </c>
      <c r="BG30">
        <v>2366.3999999999996</v>
      </c>
      <c r="BH30">
        <v>18</v>
      </c>
      <c r="BI30">
        <v>2505.6</v>
      </c>
      <c r="BJ30">
        <v>18.267917098306391</v>
      </c>
      <c r="BK30">
        <v>2542.8940600842493</v>
      </c>
      <c r="BL30">
        <v>13</v>
      </c>
      <c r="BM30">
        <v>1809.6</v>
      </c>
      <c r="BN30">
        <v>16</v>
      </c>
      <c r="BO30">
        <v>2227.1999999999998</v>
      </c>
      <c r="BP30">
        <v>20</v>
      </c>
      <c r="BQ30">
        <v>2784</v>
      </c>
      <c r="BR30">
        <v>13</v>
      </c>
      <c r="BS30">
        <v>1809.6</v>
      </c>
      <c r="BT30">
        <v>9.0221677339231245</v>
      </c>
      <c r="BU30">
        <v>1255.8857485620988</v>
      </c>
      <c r="BV30">
        <v>24</v>
      </c>
      <c r="BW30">
        <v>3340.7999999999997</v>
      </c>
      <c r="BX30">
        <v>15</v>
      </c>
      <c r="BY30">
        <v>2088</v>
      </c>
      <c r="BZ30">
        <v>20</v>
      </c>
      <c r="CA30">
        <v>2784</v>
      </c>
      <c r="CB30">
        <v>18</v>
      </c>
      <c r="CC30">
        <v>2505.6</v>
      </c>
      <c r="CD30">
        <v>3.0137511230375416</v>
      </c>
      <c r="CE30">
        <v>419.51415632682574</v>
      </c>
      <c r="CF30">
        <v>21</v>
      </c>
      <c r="CG30">
        <v>2923.2</v>
      </c>
      <c r="CH30">
        <v>19</v>
      </c>
      <c r="CI30">
        <v>2644.7999999999997</v>
      </c>
      <c r="CJ30">
        <v>15</v>
      </c>
      <c r="CK30">
        <v>2088</v>
      </c>
      <c r="CL30">
        <v>20</v>
      </c>
      <c r="CM30">
        <v>2784</v>
      </c>
      <c r="CN30">
        <v>10.15792581576124</v>
      </c>
      <c r="CO30">
        <v>1413.9832735539646</v>
      </c>
      <c r="CP30">
        <v>7.6095814223956157</v>
      </c>
      <c r="CQ30">
        <v>1059.2537339974697</v>
      </c>
      <c r="CR30">
        <v>17</v>
      </c>
      <c r="CS30">
        <v>2366.3999999999996</v>
      </c>
      <c r="CT30">
        <v>17</v>
      </c>
      <c r="CU30">
        <v>2366.3999999999996</v>
      </c>
    </row>
    <row r="31" spans="2:99">
      <c r="C31" s="99" t="s">
        <v>197</v>
      </c>
      <c r="D31">
        <v>15.730307821588003</v>
      </c>
      <c r="E31">
        <v>5360.8889055971913</v>
      </c>
      <c r="F31">
        <v>18.835903835168715</v>
      </c>
      <c r="G31">
        <v>6419.2760270254985</v>
      </c>
      <c r="H31">
        <v>14.496060596606108</v>
      </c>
      <c r="I31">
        <v>4940.2574513233621</v>
      </c>
      <c r="J31">
        <v>17</v>
      </c>
      <c r="K31">
        <v>5793.6</v>
      </c>
      <c r="L31">
        <v>16.133674929786988</v>
      </c>
      <c r="M31">
        <v>5498.3564160714059</v>
      </c>
      <c r="N31">
        <v>8.2103815810926708</v>
      </c>
      <c r="O31">
        <v>2798.0980428363823</v>
      </c>
      <c r="P31">
        <v>16</v>
      </c>
      <c r="Q31">
        <v>5452.8</v>
      </c>
      <c r="R31">
        <v>15</v>
      </c>
      <c r="S31">
        <v>5112</v>
      </c>
      <c r="T31">
        <v>15</v>
      </c>
      <c r="U31">
        <v>5112</v>
      </c>
      <c r="V31">
        <v>11.336525862955433</v>
      </c>
      <c r="W31">
        <v>3863.4880140952118</v>
      </c>
      <c r="X31">
        <v>15</v>
      </c>
      <c r="Y31">
        <v>5112</v>
      </c>
      <c r="Z31">
        <v>19</v>
      </c>
      <c r="AA31">
        <v>6475.2</v>
      </c>
      <c r="AB31">
        <v>21</v>
      </c>
      <c r="AC31">
        <v>7156.8</v>
      </c>
      <c r="AD31">
        <v>18</v>
      </c>
      <c r="AE31">
        <v>6134.4000000000005</v>
      </c>
      <c r="AF31">
        <v>14</v>
      </c>
      <c r="AG31">
        <v>4771.2</v>
      </c>
      <c r="AH31">
        <v>17</v>
      </c>
      <c r="AI31">
        <v>5793.6</v>
      </c>
      <c r="AJ31">
        <v>18.318083108125279</v>
      </c>
      <c r="AK31">
        <v>6242.8027232490949</v>
      </c>
      <c r="AL31">
        <v>9.2942603376725597</v>
      </c>
      <c r="AM31">
        <v>3167.4839230788084</v>
      </c>
      <c r="AN31">
        <v>19</v>
      </c>
      <c r="AO31">
        <v>6475.2</v>
      </c>
      <c r="AP31">
        <v>13</v>
      </c>
      <c r="AQ31">
        <v>4430.4000000000005</v>
      </c>
      <c r="AR31">
        <v>19.626080429845715</v>
      </c>
      <c r="AS31">
        <v>6688.5682104914194</v>
      </c>
      <c r="AT31">
        <v>9.7671316012726965</v>
      </c>
      <c r="AU31">
        <v>3328.6384497137351</v>
      </c>
      <c r="AV31">
        <v>5.2695363764534751</v>
      </c>
      <c r="AW31">
        <v>1795.8579970953444</v>
      </c>
      <c r="AX31">
        <v>16</v>
      </c>
      <c r="AY31">
        <v>5452.8</v>
      </c>
      <c r="AZ31">
        <v>20</v>
      </c>
      <c r="BA31">
        <v>6816</v>
      </c>
      <c r="BB31">
        <v>18</v>
      </c>
      <c r="BC31">
        <v>6134.4000000000005</v>
      </c>
      <c r="BD31">
        <v>9.0261171724774343</v>
      </c>
      <c r="BE31">
        <v>3076.1007323803096</v>
      </c>
      <c r="BF31">
        <v>16</v>
      </c>
      <c r="BG31">
        <v>5452.8</v>
      </c>
      <c r="BH31">
        <v>16</v>
      </c>
      <c r="BI31">
        <v>5452.8</v>
      </c>
      <c r="BJ31">
        <v>16.607197362096716</v>
      </c>
      <c r="BK31">
        <v>5659.7328610025615</v>
      </c>
      <c r="BL31">
        <v>13</v>
      </c>
      <c r="BM31">
        <v>4430.4000000000005</v>
      </c>
      <c r="BN31">
        <v>16</v>
      </c>
      <c r="BO31">
        <v>5452.8</v>
      </c>
      <c r="BP31">
        <v>24</v>
      </c>
      <c r="BQ31">
        <v>8179.2000000000007</v>
      </c>
      <c r="BR31">
        <v>12</v>
      </c>
      <c r="BS31">
        <v>4089.6000000000004</v>
      </c>
      <c r="BT31">
        <v>8.5710593472269672</v>
      </c>
      <c r="BU31">
        <v>2921.0170255349503</v>
      </c>
      <c r="BV31">
        <v>22</v>
      </c>
      <c r="BW31">
        <v>7497.6</v>
      </c>
      <c r="BX31">
        <v>16</v>
      </c>
      <c r="BY31">
        <v>5452.8</v>
      </c>
      <c r="BZ31">
        <v>22</v>
      </c>
      <c r="CA31">
        <v>7497.6</v>
      </c>
      <c r="CB31">
        <v>16</v>
      </c>
      <c r="CC31">
        <v>5452.8</v>
      </c>
      <c r="CD31">
        <v>2.88271846551417</v>
      </c>
      <c r="CE31">
        <v>982.43045304722921</v>
      </c>
      <c r="CF31">
        <v>21</v>
      </c>
      <c r="CG31">
        <v>7156.8</v>
      </c>
      <c r="CH31">
        <v>19</v>
      </c>
      <c r="CI31">
        <v>6475.2</v>
      </c>
      <c r="CJ31">
        <v>17</v>
      </c>
      <c r="CK31">
        <v>5793.6</v>
      </c>
      <c r="CL31">
        <v>22</v>
      </c>
      <c r="CM31">
        <v>7497.6</v>
      </c>
      <c r="CN31">
        <v>8.706793556366776</v>
      </c>
      <c r="CO31">
        <v>2967.2752440097975</v>
      </c>
      <c r="CP31">
        <v>7.209077137006374</v>
      </c>
      <c r="CQ31">
        <v>2456.8534882917725</v>
      </c>
      <c r="CR31">
        <v>19</v>
      </c>
      <c r="CS31">
        <v>6475.2</v>
      </c>
      <c r="CT31">
        <v>16</v>
      </c>
      <c r="CU31">
        <v>5452.8</v>
      </c>
    </row>
    <row r="32" spans="2:99">
      <c r="C32" s="99" t="s">
        <v>198</v>
      </c>
      <c r="D32">
        <v>15.730307821588003</v>
      </c>
      <c r="E32">
        <v>13213.458570133922</v>
      </c>
      <c r="F32">
        <v>15.41119404695622</v>
      </c>
      <c r="G32">
        <v>12945.402999443226</v>
      </c>
      <c r="H32">
        <v>12.684053022030344</v>
      </c>
      <c r="I32">
        <v>10654.604538505489</v>
      </c>
      <c r="J32">
        <v>15</v>
      </c>
      <c r="K32">
        <v>12600</v>
      </c>
      <c r="L32">
        <v>14.435393358230462</v>
      </c>
      <c r="M32">
        <v>12125.730420913587</v>
      </c>
      <c r="N32">
        <v>8.2103815810926708</v>
      </c>
      <c r="O32">
        <v>6896.7205281178431</v>
      </c>
      <c r="P32">
        <v>15</v>
      </c>
      <c r="Q32">
        <v>12600</v>
      </c>
      <c r="R32">
        <v>13</v>
      </c>
      <c r="S32">
        <v>10920</v>
      </c>
      <c r="T32">
        <v>14</v>
      </c>
      <c r="U32">
        <v>11760</v>
      </c>
      <c r="V32">
        <v>10.464485411958862</v>
      </c>
      <c r="W32">
        <v>8790.167746045443</v>
      </c>
      <c r="X32">
        <v>14</v>
      </c>
      <c r="Y32">
        <v>11760</v>
      </c>
      <c r="Z32">
        <v>19</v>
      </c>
      <c r="AA32">
        <v>15960</v>
      </c>
      <c r="AB32">
        <v>20</v>
      </c>
      <c r="AC32">
        <v>16800</v>
      </c>
      <c r="AD32">
        <v>21</v>
      </c>
      <c r="AE32">
        <v>17640</v>
      </c>
      <c r="AF32">
        <v>13</v>
      </c>
      <c r="AG32">
        <v>10920</v>
      </c>
      <c r="AH32">
        <v>17</v>
      </c>
      <c r="AI32">
        <v>14280</v>
      </c>
      <c r="AJ32">
        <v>15.13232952410349</v>
      </c>
      <c r="AK32">
        <v>12711.156800246932</v>
      </c>
      <c r="AL32">
        <v>7.966508860862195</v>
      </c>
      <c r="AM32">
        <v>6691.8674431242434</v>
      </c>
      <c r="AN32">
        <v>16</v>
      </c>
      <c r="AO32">
        <v>13440</v>
      </c>
      <c r="AP32">
        <v>11</v>
      </c>
      <c r="AQ32">
        <v>9240</v>
      </c>
      <c r="AR32">
        <v>18.772772585069816</v>
      </c>
      <c r="AS32">
        <v>15769.128971458646</v>
      </c>
      <c r="AT32">
        <v>10.581059234712086</v>
      </c>
      <c r="AU32">
        <v>8888.0897571581518</v>
      </c>
      <c r="AV32">
        <v>5.2695363764534751</v>
      </c>
      <c r="AW32">
        <v>4426.4105562209188</v>
      </c>
      <c r="AX32">
        <v>14</v>
      </c>
      <c r="AY32">
        <v>11760</v>
      </c>
      <c r="AZ32">
        <v>19</v>
      </c>
      <c r="BA32">
        <v>15960</v>
      </c>
      <c r="BB32">
        <v>18</v>
      </c>
      <c r="BC32">
        <v>15120</v>
      </c>
      <c r="BD32">
        <v>8.4619848491975933</v>
      </c>
      <c r="BE32">
        <v>7108.067273325978</v>
      </c>
      <c r="BF32">
        <v>16</v>
      </c>
      <c r="BG32">
        <v>13440</v>
      </c>
      <c r="BH32">
        <v>15</v>
      </c>
      <c r="BI32">
        <v>12600</v>
      </c>
      <c r="BJ32">
        <v>17.437557230201556</v>
      </c>
      <c r="BK32">
        <v>14647.548073369308</v>
      </c>
      <c r="BL32">
        <v>14</v>
      </c>
      <c r="BM32">
        <v>11760</v>
      </c>
      <c r="BN32">
        <v>14</v>
      </c>
      <c r="BO32">
        <v>11760</v>
      </c>
      <c r="BP32">
        <v>20</v>
      </c>
      <c r="BQ32">
        <v>16800</v>
      </c>
      <c r="BR32">
        <v>13</v>
      </c>
      <c r="BS32">
        <v>10920</v>
      </c>
      <c r="BT32">
        <v>9.0221677339231245</v>
      </c>
      <c r="BU32">
        <v>7578.6208964954249</v>
      </c>
      <c r="BV32">
        <v>21</v>
      </c>
      <c r="BW32">
        <v>17640</v>
      </c>
      <c r="BX32">
        <v>16</v>
      </c>
      <c r="BY32">
        <v>13440</v>
      </c>
      <c r="BZ32">
        <v>21</v>
      </c>
      <c r="CA32">
        <v>17640</v>
      </c>
      <c r="CB32">
        <v>18</v>
      </c>
      <c r="CC32">
        <v>15120</v>
      </c>
      <c r="CD32">
        <v>3.0137511230375416</v>
      </c>
      <c r="CE32">
        <v>2531.5509433515349</v>
      </c>
      <c r="CF32">
        <v>18</v>
      </c>
      <c r="CG32">
        <v>15120</v>
      </c>
      <c r="CH32">
        <v>18</v>
      </c>
      <c r="CI32">
        <v>15120</v>
      </c>
      <c r="CJ32">
        <v>15</v>
      </c>
      <c r="CK32">
        <v>12600</v>
      </c>
      <c r="CL32">
        <v>22</v>
      </c>
      <c r="CM32">
        <v>18480</v>
      </c>
      <c r="CN32">
        <v>8.706793556366776</v>
      </c>
      <c r="CO32">
        <v>7313.7065873480915</v>
      </c>
      <c r="CP32">
        <v>6.8085728516171304</v>
      </c>
      <c r="CQ32">
        <v>5719.2011953583897</v>
      </c>
      <c r="CR32">
        <v>18</v>
      </c>
      <c r="CS32">
        <v>15120</v>
      </c>
      <c r="CT32">
        <v>15</v>
      </c>
      <c r="CU32">
        <v>12600</v>
      </c>
    </row>
    <row r="33" spans="2:99">
      <c r="C33" s="99" t="s">
        <v>199</v>
      </c>
      <c r="D33">
        <v>14.902396883609688</v>
      </c>
      <c r="E33">
        <v>7063.7361228309919</v>
      </c>
      <c r="F33">
        <v>16.267371494009343</v>
      </c>
      <c r="G33">
        <v>7710.7340881604287</v>
      </c>
      <c r="H33">
        <v>13.590056809318225</v>
      </c>
      <c r="I33">
        <v>6441.6869276168391</v>
      </c>
      <c r="J33">
        <v>15</v>
      </c>
      <c r="K33">
        <v>7110</v>
      </c>
      <c r="L33">
        <v>16.982815715565252</v>
      </c>
      <c r="M33">
        <v>8049.8546491779298</v>
      </c>
      <c r="N33">
        <v>8.2103815810926708</v>
      </c>
      <c r="O33">
        <v>3891.720869437926</v>
      </c>
      <c r="P33">
        <v>16</v>
      </c>
      <c r="Q33">
        <v>7584</v>
      </c>
      <c r="R33">
        <v>15</v>
      </c>
      <c r="S33">
        <v>7110</v>
      </c>
      <c r="T33">
        <v>13</v>
      </c>
      <c r="U33">
        <v>6162</v>
      </c>
      <c r="V33">
        <v>10.464485411958862</v>
      </c>
      <c r="W33">
        <v>4960.1660852685</v>
      </c>
      <c r="X33">
        <v>13</v>
      </c>
      <c r="Y33">
        <v>6162</v>
      </c>
      <c r="Z33">
        <v>20</v>
      </c>
      <c r="AA33">
        <v>9480</v>
      </c>
      <c r="AB33">
        <v>18</v>
      </c>
      <c r="AC33">
        <v>8532</v>
      </c>
      <c r="AD33">
        <v>18</v>
      </c>
      <c r="AE33">
        <v>8532</v>
      </c>
      <c r="AF33">
        <v>13</v>
      </c>
      <c r="AG33">
        <v>6162</v>
      </c>
      <c r="AH33">
        <v>17</v>
      </c>
      <c r="AI33">
        <v>8058</v>
      </c>
      <c r="AJ33">
        <v>17.52164471211983</v>
      </c>
      <c r="AK33">
        <v>8305.2595935447989</v>
      </c>
      <c r="AL33">
        <v>9.2942603376725597</v>
      </c>
      <c r="AM33">
        <v>4405.4794000567936</v>
      </c>
      <c r="AN33">
        <v>17</v>
      </c>
      <c r="AO33">
        <v>8058</v>
      </c>
      <c r="AP33">
        <v>13</v>
      </c>
      <c r="AQ33">
        <v>6162</v>
      </c>
      <c r="AR33">
        <v>19.626080429845715</v>
      </c>
      <c r="AS33">
        <v>9302.7621237468684</v>
      </c>
      <c r="AT33">
        <v>10.581059234712086</v>
      </c>
      <c r="AU33">
        <v>5015.4220772535291</v>
      </c>
      <c r="AV33">
        <v>5.2695363764534751</v>
      </c>
      <c r="AW33">
        <v>2497.760242438947</v>
      </c>
      <c r="AX33">
        <v>15</v>
      </c>
      <c r="AY33">
        <v>7110</v>
      </c>
      <c r="AZ33">
        <v>21</v>
      </c>
      <c r="BA33">
        <v>9954</v>
      </c>
      <c r="BB33">
        <v>19</v>
      </c>
      <c r="BC33">
        <v>9006</v>
      </c>
      <c r="BD33">
        <v>10.154381819037113</v>
      </c>
      <c r="BE33">
        <v>4813.176982223591</v>
      </c>
      <c r="BF33">
        <v>16</v>
      </c>
      <c r="BG33">
        <v>7584</v>
      </c>
      <c r="BH33">
        <v>16</v>
      </c>
      <c r="BI33">
        <v>7584</v>
      </c>
      <c r="BJ33">
        <v>18.267917098306391</v>
      </c>
      <c r="BK33">
        <v>8658.992704597229</v>
      </c>
      <c r="BL33">
        <v>12</v>
      </c>
      <c r="BM33">
        <v>5688</v>
      </c>
      <c r="BN33">
        <v>16</v>
      </c>
      <c r="BO33">
        <v>7584</v>
      </c>
      <c r="BP33">
        <v>24</v>
      </c>
      <c r="BQ33">
        <v>11376</v>
      </c>
      <c r="BR33">
        <v>12</v>
      </c>
      <c r="BS33">
        <v>5688</v>
      </c>
      <c r="BT33">
        <v>9.0221677339231245</v>
      </c>
      <c r="BU33">
        <v>4276.507505879561</v>
      </c>
      <c r="BV33">
        <v>21</v>
      </c>
      <c r="BW33">
        <v>9954</v>
      </c>
      <c r="BX33">
        <v>15</v>
      </c>
      <c r="BY33">
        <v>7110</v>
      </c>
      <c r="BZ33">
        <v>21</v>
      </c>
      <c r="CA33">
        <v>9954</v>
      </c>
      <c r="CB33">
        <v>16</v>
      </c>
      <c r="CC33">
        <v>7584</v>
      </c>
      <c r="CD33">
        <v>2.88271846551417</v>
      </c>
      <c r="CE33">
        <v>1366.4085526537165</v>
      </c>
      <c r="CF33">
        <v>22</v>
      </c>
      <c r="CG33">
        <v>10428</v>
      </c>
      <c r="CH33">
        <v>20</v>
      </c>
      <c r="CI33">
        <v>9480</v>
      </c>
      <c r="CJ33">
        <v>15</v>
      </c>
      <c r="CK33">
        <v>7110</v>
      </c>
      <c r="CL33">
        <v>21</v>
      </c>
      <c r="CM33">
        <v>9954</v>
      </c>
      <c r="CN33">
        <v>7.9812274266695464</v>
      </c>
      <c r="CO33">
        <v>3783.1018002413648</v>
      </c>
      <c r="CP33">
        <v>7.6095814223956157</v>
      </c>
      <c r="CQ33">
        <v>3606.9415942155219</v>
      </c>
      <c r="CR33">
        <v>19</v>
      </c>
      <c r="CS33">
        <v>9006</v>
      </c>
      <c r="CT33">
        <v>17</v>
      </c>
      <c r="CU33">
        <v>8058</v>
      </c>
    </row>
    <row r="34" spans="2:99">
      <c r="C34" s="99" t="s">
        <v>200</v>
      </c>
      <c r="D34">
        <v>14.074485945631372</v>
      </c>
      <c r="E34">
        <v>7718.4480925842436</v>
      </c>
      <c r="F34">
        <v>18.835903835168715</v>
      </c>
      <c r="G34">
        <v>10329.609663206522</v>
      </c>
      <c r="H34">
        <v>13.590056809318225</v>
      </c>
      <c r="I34">
        <v>7452.7871542301145</v>
      </c>
      <c r="J34">
        <v>16</v>
      </c>
      <c r="K34">
        <v>8774.4</v>
      </c>
      <c r="L34">
        <v>15.284534144008726</v>
      </c>
      <c r="M34">
        <v>8382.0385245743855</v>
      </c>
      <c r="N34">
        <v>9.3050991252383604</v>
      </c>
      <c r="O34">
        <v>5102.9163602807166</v>
      </c>
      <c r="P34">
        <v>15</v>
      </c>
      <c r="Q34">
        <v>8226</v>
      </c>
      <c r="R34">
        <v>14</v>
      </c>
      <c r="S34">
        <v>7677.5999999999995</v>
      </c>
      <c r="T34">
        <v>14</v>
      </c>
      <c r="U34">
        <v>7677.5999999999995</v>
      </c>
      <c r="V34">
        <v>12.208566313952005</v>
      </c>
      <c r="W34">
        <v>6695.1777665712789</v>
      </c>
      <c r="X34">
        <v>15</v>
      </c>
      <c r="Y34">
        <v>8226</v>
      </c>
      <c r="Z34">
        <v>21</v>
      </c>
      <c r="AA34">
        <v>11516.4</v>
      </c>
      <c r="AB34">
        <v>21</v>
      </c>
      <c r="AC34">
        <v>11516.4</v>
      </c>
      <c r="AD34">
        <v>20</v>
      </c>
      <c r="AE34">
        <v>10968</v>
      </c>
      <c r="AF34">
        <v>13</v>
      </c>
      <c r="AG34">
        <v>7129.2</v>
      </c>
      <c r="AH34">
        <v>15</v>
      </c>
      <c r="AI34">
        <v>8226</v>
      </c>
      <c r="AJ34">
        <v>18.318083108125279</v>
      </c>
      <c r="AK34">
        <v>10045.636776495903</v>
      </c>
      <c r="AL34">
        <v>7.966508860862195</v>
      </c>
      <c r="AM34">
        <v>4368.8334592968276</v>
      </c>
      <c r="AN34">
        <v>19</v>
      </c>
      <c r="AO34">
        <v>10419.6</v>
      </c>
      <c r="AP34">
        <v>13</v>
      </c>
      <c r="AQ34">
        <v>7129.2</v>
      </c>
      <c r="AR34">
        <v>17.919464740293915</v>
      </c>
      <c r="AS34">
        <v>9827.0344635771817</v>
      </c>
      <c r="AT34">
        <v>10.581059234712086</v>
      </c>
      <c r="AU34">
        <v>5802.6528843161077</v>
      </c>
      <c r="AV34">
        <v>5.5795091044801506</v>
      </c>
      <c r="AW34">
        <v>3059.8027928969145</v>
      </c>
      <c r="AX34">
        <v>15</v>
      </c>
      <c r="AY34">
        <v>8226</v>
      </c>
      <c r="AZ34">
        <v>22</v>
      </c>
      <c r="BA34">
        <v>12064.8</v>
      </c>
      <c r="BB34">
        <v>19</v>
      </c>
      <c r="BC34">
        <v>10419.6</v>
      </c>
      <c r="BD34">
        <v>9.0261171724774343</v>
      </c>
      <c r="BE34">
        <v>4949.9226573866245</v>
      </c>
      <c r="BF34">
        <v>15</v>
      </c>
      <c r="BG34">
        <v>8226</v>
      </c>
      <c r="BH34">
        <v>17</v>
      </c>
      <c r="BI34">
        <v>9322.7999999999993</v>
      </c>
      <c r="BJ34">
        <v>16.607197362096716</v>
      </c>
      <c r="BK34">
        <v>9107.3870333738396</v>
      </c>
      <c r="BL34">
        <v>14</v>
      </c>
      <c r="BM34">
        <v>7677.5999999999995</v>
      </c>
      <c r="BN34">
        <v>17</v>
      </c>
      <c r="BO34">
        <v>9322.7999999999993</v>
      </c>
      <c r="BP34">
        <v>22</v>
      </c>
      <c r="BQ34">
        <v>12064.8</v>
      </c>
      <c r="BR34">
        <v>15</v>
      </c>
      <c r="BS34">
        <v>8226</v>
      </c>
      <c r="BT34">
        <v>8.5710593472269672</v>
      </c>
      <c r="BU34">
        <v>4700.3689460192682</v>
      </c>
      <c r="BV34">
        <v>22</v>
      </c>
      <c r="BW34">
        <v>12064.8</v>
      </c>
      <c r="BX34">
        <v>18</v>
      </c>
      <c r="BY34">
        <v>9871.1999999999989</v>
      </c>
      <c r="BZ34">
        <v>21</v>
      </c>
      <c r="CA34">
        <v>11516.4</v>
      </c>
      <c r="CB34">
        <v>18</v>
      </c>
      <c r="CC34">
        <v>9871.1999999999989</v>
      </c>
      <c r="CD34">
        <v>2.88271846551417</v>
      </c>
      <c r="CE34">
        <v>1580.8828064879708</v>
      </c>
      <c r="CF34">
        <v>20</v>
      </c>
      <c r="CG34">
        <v>10968</v>
      </c>
      <c r="CH34">
        <v>18</v>
      </c>
      <c r="CI34">
        <v>9871.1999999999989</v>
      </c>
      <c r="CJ34">
        <v>18</v>
      </c>
      <c r="CK34">
        <v>9871.1999999999989</v>
      </c>
      <c r="CL34">
        <v>19</v>
      </c>
      <c r="CM34">
        <v>10419.6</v>
      </c>
      <c r="CN34">
        <v>8.706793556366776</v>
      </c>
      <c r="CO34">
        <v>4774.8055863115396</v>
      </c>
      <c r="CP34">
        <v>7.6095814223956157</v>
      </c>
      <c r="CQ34">
        <v>4173.0944520417552</v>
      </c>
      <c r="CR34">
        <v>18</v>
      </c>
      <c r="CS34">
        <v>9871.1999999999989</v>
      </c>
      <c r="CT34">
        <v>17</v>
      </c>
      <c r="CU34">
        <v>9322.7999999999993</v>
      </c>
    </row>
    <row r="35" spans="2:99">
      <c r="C35" s="99" t="s">
        <v>201</v>
      </c>
      <c r="D35">
        <v>15.730307821588003</v>
      </c>
      <c r="E35">
        <v>7909.1987726944462</v>
      </c>
      <c r="F35">
        <v>18.835903835168715</v>
      </c>
      <c r="G35">
        <v>9470.6924483228286</v>
      </c>
      <c r="H35">
        <v>12.684053022030344</v>
      </c>
      <c r="I35">
        <v>6377.5418594768562</v>
      </c>
      <c r="J35">
        <v>15</v>
      </c>
      <c r="K35">
        <v>7541.9999999999982</v>
      </c>
      <c r="L35">
        <v>16.133674929786988</v>
      </c>
      <c r="M35">
        <v>8112.0117546968959</v>
      </c>
      <c r="N35">
        <v>9.3050991252383604</v>
      </c>
      <c r="O35">
        <v>4678.603840169847</v>
      </c>
      <c r="P35">
        <v>17</v>
      </c>
      <c r="Q35">
        <v>8547.5999999999985</v>
      </c>
      <c r="R35">
        <v>15</v>
      </c>
      <c r="S35">
        <v>7541.9999999999982</v>
      </c>
      <c r="T35">
        <v>14</v>
      </c>
      <c r="U35">
        <v>7039.1999999999989</v>
      </c>
      <c r="V35">
        <v>10.464485411958862</v>
      </c>
      <c r="W35">
        <v>5261.5432651329147</v>
      </c>
      <c r="X35">
        <v>13</v>
      </c>
      <c r="Y35">
        <v>6536.3999999999987</v>
      </c>
      <c r="Z35">
        <v>22</v>
      </c>
      <c r="AA35">
        <v>11061.599999999999</v>
      </c>
      <c r="AB35">
        <v>22</v>
      </c>
      <c r="AC35">
        <v>11061.599999999999</v>
      </c>
      <c r="AD35">
        <v>21</v>
      </c>
      <c r="AE35">
        <v>10558.799999999997</v>
      </c>
      <c r="AF35">
        <v>13</v>
      </c>
      <c r="AG35">
        <v>6536.3999999999987</v>
      </c>
      <c r="AH35">
        <v>16</v>
      </c>
      <c r="AI35">
        <v>8044.7999999999984</v>
      </c>
      <c r="AJ35">
        <v>15.928767920108937</v>
      </c>
      <c r="AK35">
        <v>8008.9845102307718</v>
      </c>
      <c r="AL35">
        <v>7.966508860862195</v>
      </c>
      <c r="AM35">
        <v>4005.5606552415106</v>
      </c>
      <c r="AN35">
        <v>16</v>
      </c>
      <c r="AO35">
        <v>8044.7999999999984</v>
      </c>
      <c r="AP35">
        <v>13</v>
      </c>
      <c r="AQ35">
        <v>6536.3999999999987</v>
      </c>
      <c r="AR35">
        <v>17.066156895518013</v>
      </c>
      <c r="AS35">
        <v>8580.8636870664559</v>
      </c>
      <c r="AT35">
        <v>9.7671316012726965</v>
      </c>
      <c r="AU35">
        <v>4910.9137691199112</v>
      </c>
      <c r="AV35">
        <v>5.5795091044801506</v>
      </c>
      <c r="AW35">
        <v>2805.3771777326192</v>
      </c>
      <c r="AX35">
        <v>15</v>
      </c>
      <c r="AY35">
        <v>7541.9999999999982</v>
      </c>
      <c r="AZ35">
        <v>20</v>
      </c>
      <c r="BA35">
        <v>10055.999999999998</v>
      </c>
      <c r="BB35">
        <v>18</v>
      </c>
      <c r="BC35">
        <v>9050.3999999999978</v>
      </c>
      <c r="BD35">
        <v>8.4619848491975933</v>
      </c>
      <c r="BE35">
        <v>4254.6859821765493</v>
      </c>
      <c r="BF35">
        <v>15</v>
      </c>
      <c r="BG35">
        <v>7541.9999999999982</v>
      </c>
      <c r="BH35">
        <v>16</v>
      </c>
      <c r="BI35">
        <v>8044.7999999999984</v>
      </c>
      <c r="BJ35">
        <v>19.098276966411227</v>
      </c>
      <c r="BK35">
        <v>9602.6136587115634</v>
      </c>
      <c r="BL35">
        <v>13</v>
      </c>
      <c r="BM35">
        <v>6536.3999999999987</v>
      </c>
      <c r="BN35">
        <v>15</v>
      </c>
      <c r="BO35">
        <v>7541.9999999999982</v>
      </c>
      <c r="BP35">
        <v>20</v>
      </c>
      <c r="BQ35">
        <v>10055.999999999998</v>
      </c>
      <c r="BR35">
        <v>14</v>
      </c>
      <c r="BS35">
        <v>7039.1999999999989</v>
      </c>
      <c r="BT35">
        <v>9.0221677339231245</v>
      </c>
      <c r="BU35">
        <v>4536.3459366165462</v>
      </c>
      <c r="BV35">
        <v>21</v>
      </c>
      <c r="BW35">
        <v>10558.799999999997</v>
      </c>
      <c r="BX35">
        <v>15</v>
      </c>
      <c r="BY35">
        <v>7541.9999999999982</v>
      </c>
      <c r="BZ35">
        <v>20</v>
      </c>
      <c r="CA35">
        <v>10055.999999999998</v>
      </c>
      <c r="CB35">
        <v>18</v>
      </c>
      <c r="CC35">
        <v>9050.3999999999978</v>
      </c>
      <c r="CD35">
        <v>3.0137511230375416</v>
      </c>
      <c r="CE35">
        <v>1515.3140646632755</v>
      </c>
      <c r="CF35">
        <v>22</v>
      </c>
      <c r="CG35">
        <v>11061.599999999999</v>
      </c>
      <c r="CH35">
        <v>19</v>
      </c>
      <c r="CI35">
        <v>9553.1999999999989</v>
      </c>
      <c r="CJ35">
        <v>17</v>
      </c>
      <c r="CK35">
        <v>8547.5999999999985</v>
      </c>
      <c r="CL35">
        <v>20</v>
      </c>
      <c r="CM35">
        <v>10055.999999999998</v>
      </c>
      <c r="CN35">
        <v>8.706793556366776</v>
      </c>
      <c r="CO35">
        <v>4377.7758001412139</v>
      </c>
      <c r="CP35">
        <v>6.8085728516171304</v>
      </c>
      <c r="CQ35">
        <v>3423.3504297930926</v>
      </c>
      <c r="CR35">
        <v>19</v>
      </c>
      <c r="CS35">
        <v>9553.1999999999989</v>
      </c>
      <c r="CT35">
        <v>18</v>
      </c>
      <c r="CU35">
        <v>9050.3999999999978</v>
      </c>
    </row>
    <row r="36" spans="2:99">
      <c r="C36" s="99" t="s">
        <v>202</v>
      </c>
      <c r="D36">
        <v>16.558218759566319</v>
      </c>
      <c r="E36">
        <v>12597.492832278054</v>
      </c>
      <c r="F36">
        <v>16.267371494009343</v>
      </c>
      <c r="G36">
        <v>12376.216232642308</v>
      </c>
      <c r="H36">
        <v>13.590056809318225</v>
      </c>
      <c r="I36">
        <v>10339.315220529304</v>
      </c>
      <c r="J36">
        <v>14</v>
      </c>
      <c r="K36">
        <v>10651.199999999999</v>
      </c>
      <c r="L36">
        <v>16.133674929786988</v>
      </c>
      <c r="M36">
        <v>12274.49988658194</v>
      </c>
      <c r="N36">
        <v>8.7577403531655147</v>
      </c>
      <c r="O36">
        <v>6662.8888606883229</v>
      </c>
      <c r="P36">
        <v>14</v>
      </c>
      <c r="Q36">
        <v>10651.199999999999</v>
      </c>
      <c r="R36">
        <v>15</v>
      </c>
      <c r="S36">
        <v>11412</v>
      </c>
      <c r="T36">
        <v>13</v>
      </c>
      <c r="U36">
        <v>9890.4</v>
      </c>
      <c r="V36">
        <v>11.336525862955433</v>
      </c>
      <c r="W36">
        <v>8624.8288765364923</v>
      </c>
      <c r="X36">
        <v>14</v>
      </c>
      <c r="Y36">
        <v>10651.199999999999</v>
      </c>
      <c r="Z36">
        <v>22</v>
      </c>
      <c r="AA36">
        <v>16737.599999999999</v>
      </c>
      <c r="AB36">
        <v>20</v>
      </c>
      <c r="AC36">
        <v>15216</v>
      </c>
      <c r="AD36">
        <v>20</v>
      </c>
      <c r="AE36">
        <v>15216</v>
      </c>
      <c r="AF36">
        <v>14</v>
      </c>
      <c r="AG36">
        <v>10651.199999999999</v>
      </c>
      <c r="AH36">
        <v>15</v>
      </c>
      <c r="AI36">
        <v>11412</v>
      </c>
      <c r="AJ36">
        <v>16.725206316114384</v>
      </c>
      <c r="AK36">
        <v>12724.536965299823</v>
      </c>
      <c r="AL36">
        <v>8.6303845992673782</v>
      </c>
      <c r="AM36">
        <v>6565.9966031226213</v>
      </c>
      <c r="AN36">
        <v>19</v>
      </c>
      <c r="AO36">
        <v>14455.199999999999</v>
      </c>
      <c r="AP36">
        <v>13</v>
      </c>
      <c r="AQ36">
        <v>9890.4</v>
      </c>
      <c r="AR36">
        <v>18.772772585069816</v>
      </c>
      <c r="AS36">
        <v>14282.325382721116</v>
      </c>
      <c r="AT36">
        <v>10.581059234712086</v>
      </c>
      <c r="AU36">
        <v>8050.0698657689545</v>
      </c>
      <c r="AV36">
        <v>5.5795091044801506</v>
      </c>
      <c r="AW36">
        <v>4244.8905266884985</v>
      </c>
      <c r="AX36">
        <v>14</v>
      </c>
      <c r="AY36">
        <v>10651.199999999999</v>
      </c>
      <c r="AZ36">
        <v>18</v>
      </c>
      <c r="BA36">
        <v>13694.4</v>
      </c>
      <c r="BB36">
        <v>18</v>
      </c>
      <c r="BC36">
        <v>13694.4</v>
      </c>
      <c r="BD36">
        <v>9.0261171724774343</v>
      </c>
      <c r="BE36">
        <v>6867.0699448208316</v>
      </c>
      <c r="BF36">
        <v>16</v>
      </c>
      <c r="BG36">
        <v>12172.8</v>
      </c>
      <c r="BH36">
        <v>17</v>
      </c>
      <c r="BI36">
        <v>12933.599999999999</v>
      </c>
      <c r="BJ36">
        <v>16.607197362096716</v>
      </c>
      <c r="BK36">
        <v>12634.755753083182</v>
      </c>
      <c r="BL36">
        <v>14</v>
      </c>
      <c r="BM36">
        <v>10651.199999999999</v>
      </c>
      <c r="BN36">
        <v>15</v>
      </c>
      <c r="BO36">
        <v>11412</v>
      </c>
      <c r="BP36">
        <v>23</v>
      </c>
      <c r="BQ36">
        <v>17498.399999999998</v>
      </c>
      <c r="BR36">
        <v>14</v>
      </c>
      <c r="BS36">
        <v>10651.199999999999</v>
      </c>
      <c r="BT36">
        <v>9.4732761206192801</v>
      </c>
      <c r="BU36">
        <v>7207.2684725671479</v>
      </c>
      <c r="BV36">
        <v>20</v>
      </c>
      <c r="BW36">
        <v>15216</v>
      </c>
      <c r="BX36">
        <v>15</v>
      </c>
      <c r="BY36">
        <v>11412</v>
      </c>
      <c r="BZ36">
        <v>18</v>
      </c>
      <c r="CA36">
        <v>13694.4</v>
      </c>
      <c r="CB36">
        <v>18</v>
      </c>
      <c r="CC36">
        <v>13694.4</v>
      </c>
      <c r="CD36">
        <v>3.0137511230375416</v>
      </c>
      <c r="CE36">
        <v>2292.8618544069614</v>
      </c>
      <c r="CF36">
        <v>19</v>
      </c>
      <c r="CG36">
        <v>14455.199999999999</v>
      </c>
      <c r="CH36">
        <v>20</v>
      </c>
      <c r="CI36">
        <v>15216</v>
      </c>
      <c r="CJ36">
        <v>17</v>
      </c>
      <c r="CK36">
        <v>12933.599999999999</v>
      </c>
      <c r="CL36">
        <v>21</v>
      </c>
      <c r="CM36">
        <v>15976.8</v>
      </c>
      <c r="CN36">
        <v>8.706793556366776</v>
      </c>
      <c r="CO36">
        <v>6624.1285376838432</v>
      </c>
      <c r="CP36">
        <v>6.8085728516171304</v>
      </c>
      <c r="CQ36">
        <v>5179.9622255103122</v>
      </c>
      <c r="CR36">
        <v>16</v>
      </c>
      <c r="CS36">
        <v>12172.8</v>
      </c>
      <c r="CT36">
        <v>16</v>
      </c>
      <c r="CU36">
        <v>12172.8</v>
      </c>
    </row>
    <row r="37" spans="2:99">
      <c r="B37" s="99" t="s">
        <v>128</v>
      </c>
      <c r="C37" s="99" t="s">
        <v>203</v>
      </c>
      <c r="D37">
        <v>7.451198441804844</v>
      </c>
      <c r="E37">
        <v>6411.011139328888</v>
      </c>
      <c r="F37">
        <v>6.849419576424987</v>
      </c>
      <c r="G37">
        <v>5893.2406035560589</v>
      </c>
      <c r="H37">
        <v>11.778049234742463</v>
      </c>
      <c r="I37">
        <v>10133.833561572415</v>
      </c>
      <c r="J37">
        <v>12</v>
      </c>
      <c r="K37">
        <v>10324.799999999999</v>
      </c>
      <c r="L37">
        <v>9.3405486435608882</v>
      </c>
      <c r="M37">
        <v>8036.608052919788</v>
      </c>
      <c r="N37">
        <v>7.1156640369469821</v>
      </c>
      <c r="O37">
        <v>6122.3173373891832</v>
      </c>
      <c r="P37">
        <v>8</v>
      </c>
      <c r="Q37">
        <v>6883.2</v>
      </c>
      <c r="R37">
        <v>12</v>
      </c>
      <c r="S37">
        <v>10324.799999999999</v>
      </c>
      <c r="T37">
        <v>13</v>
      </c>
      <c r="U37">
        <v>11185.199999999999</v>
      </c>
      <c r="V37">
        <v>9.5924449609622897</v>
      </c>
      <c r="W37">
        <v>8253.3396444119535</v>
      </c>
      <c r="X37">
        <v>8</v>
      </c>
      <c r="Y37">
        <v>6883.2</v>
      </c>
      <c r="Z37">
        <v>10</v>
      </c>
      <c r="AA37">
        <v>8604</v>
      </c>
      <c r="AB37">
        <v>13</v>
      </c>
      <c r="AC37">
        <v>11185.199999999999</v>
      </c>
      <c r="AD37">
        <v>10</v>
      </c>
      <c r="AE37">
        <v>8604</v>
      </c>
      <c r="AF37">
        <v>10</v>
      </c>
      <c r="AG37">
        <v>8604</v>
      </c>
      <c r="AH37">
        <v>9</v>
      </c>
      <c r="AI37">
        <v>7743.5999999999995</v>
      </c>
      <c r="AJ37">
        <v>10.353699148070808</v>
      </c>
      <c r="AK37">
        <v>8908.322747000122</v>
      </c>
      <c r="AL37">
        <v>5.9748816456466463</v>
      </c>
      <c r="AM37">
        <v>5140.7881679143748</v>
      </c>
      <c r="AN37">
        <v>13</v>
      </c>
      <c r="AO37">
        <v>11185.199999999999</v>
      </c>
      <c r="AP37">
        <v>12</v>
      </c>
      <c r="AQ37">
        <v>10324.799999999999</v>
      </c>
      <c r="AR37">
        <v>11.94630982686261</v>
      </c>
      <c r="AS37">
        <v>10278.604975032589</v>
      </c>
      <c r="AT37">
        <v>10.581059234712086</v>
      </c>
      <c r="AU37">
        <v>9103.9433655462781</v>
      </c>
      <c r="AV37">
        <v>3.0997272802667504</v>
      </c>
      <c r="AW37">
        <v>2667.0053519415119</v>
      </c>
      <c r="AX37">
        <v>8</v>
      </c>
      <c r="AY37">
        <v>6883.2</v>
      </c>
      <c r="AZ37">
        <v>9</v>
      </c>
      <c r="BA37">
        <v>7743.5999999999995</v>
      </c>
      <c r="BB37">
        <v>12</v>
      </c>
      <c r="BC37">
        <v>10324.799999999999</v>
      </c>
      <c r="BD37">
        <v>4.5130585862387171</v>
      </c>
      <c r="BE37">
        <v>3883.035607599792</v>
      </c>
      <c r="BF37">
        <v>14</v>
      </c>
      <c r="BG37">
        <v>12045.6</v>
      </c>
      <c r="BH37">
        <v>13</v>
      </c>
      <c r="BI37">
        <v>11185.199999999999</v>
      </c>
      <c r="BJ37">
        <v>10.794678285362867</v>
      </c>
      <c r="BK37">
        <v>9287.7411967262105</v>
      </c>
      <c r="BL37">
        <v>16</v>
      </c>
      <c r="BM37">
        <v>13766.4</v>
      </c>
      <c r="BN37">
        <v>14</v>
      </c>
      <c r="BO37">
        <v>12045.6</v>
      </c>
      <c r="BP37">
        <v>12</v>
      </c>
      <c r="BQ37">
        <v>10324.799999999999</v>
      </c>
      <c r="BR37">
        <v>11</v>
      </c>
      <c r="BS37">
        <v>9464.4</v>
      </c>
      <c r="BT37">
        <v>4.5110838669615623</v>
      </c>
      <c r="BU37">
        <v>3881.3365591337279</v>
      </c>
      <c r="BV37">
        <v>15</v>
      </c>
      <c r="BW37">
        <v>12906</v>
      </c>
      <c r="BX37">
        <v>12</v>
      </c>
      <c r="BY37">
        <v>10324.799999999999</v>
      </c>
      <c r="BZ37">
        <v>14</v>
      </c>
      <c r="CA37">
        <v>12045.6</v>
      </c>
      <c r="CB37">
        <v>11</v>
      </c>
      <c r="CC37">
        <v>9464.4</v>
      </c>
      <c r="CD37">
        <v>1.048261260186971</v>
      </c>
      <c r="CE37">
        <v>901.92398826486976</v>
      </c>
      <c r="CF37">
        <v>11</v>
      </c>
      <c r="CG37">
        <v>9464.4</v>
      </c>
      <c r="CH37">
        <v>9</v>
      </c>
      <c r="CI37">
        <v>7743.5999999999995</v>
      </c>
      <c r="CJ37">
        <v>10</v>
      </c>
      <c r="CK37">
        <v>8604</v>
      </c>
      <c r="CL37">
        <v>8</v>
      </c>
      <c r="CM37">
        <v>6883.2</v>
      </c>
      <c r="CN37">
        <v>5.8045290375778515</v>
      </c>
      <c r="CO37">
        <v>4994.2167839319836</v>
      </c>
      <c r="CP37">
        <v>3.2040342831139439</v>
      </c>
      <c r="CQ37">
        <v>2756.7510971912375</v>
      </c>
      <c r="CR37">
        <v>15</v>
      </c>
      <c r="CS37">
        <v>12906</v>
      </c>
      <c r="CT37">
        <v>9</v>
      </c>
      <c r="CU37">
        <v>7743.5999999999995</v>
      </c>
    </row>
    <row r="38" spans="2:99">
      <c r="C38" s="99" t="s">
        <v>204</v>
      </c>
      <c r="D38">
        <v>6.6232875038265284</v>
      </c>
      <c r="E38">
        <v>8226.1230797525477</v>
      </c>
      <c r="F38">
        <v>6.849419576424987</v>
      </c>
      <c r="G38">
        <v>8506.9791139198333</v>
      </c>
      <c r="H38">
        <v>12.684053022030344</v>
      </c>
      <c r="I38">
        <v>15753.593853361688</v>
      </c>
      <c r="J38">
        <v>13</v>
      </c>
      <c r="K38">
        <v>16146</v>
      </c>
      <c r="L38">
        <v>8.491407857782626</v>
      </c>
      <c r="M38">
        <v>10546.328559366022</v>
      </c>
      <c r="N38">
        <v>7.6630228090198269</v>
      </c>
      <c r="O38">
        <v>9517.4743288026257</v>
      </c>
      <c r="P38">
        <v>8</v>
      </c>
      <c r="Q38">
        <v>9936</v>
      </c>
      <c r="R38">
        <v>11</v>
      </c>
      <c r="S38">
        <v>13662</v>
      </c>
      <c r="T38">
        <v>12</v>
      </c>
      <c r="U38">
        <v>14904</v>
      </c>
      <c r="V38">
        <v>9.5924449609622897</v>
      </c>
      <c r="W38">
        <v>11913.816641515165</v>
      </c>
      <c r="X38">
        <v>7</v>
      </c>
      <c r="Y38">
        <v>8694</v>
      </c>
      <c r="Z38">
        <v>10</v>
      </c>
      <c r="AA38">
        <v>12420</v>
      </c>
      <c r="AB38">
        <v>12</v>
      </c>
      <c r="AC38">
        <v>14904</v>
      </c>
      <c r="AD38">
        <v>10</v>
      </c>
      <c r="AE38">
        <v>12420</v>
      </c>
      <c r="AF38">
        <v>9</v>
      </c>
      <c r="AG38">
        <v>11178</v>
      </c>
      <c r="AH38">
        <v>10</v>
      </c>
      <c r="AI38">
        <v>12420</v>
      </c>
      <c r="AJ38">
        <v>10.353699148070808</v>
      </c>
      <c r="AK38">
        <v>12859.294341903944</v>
      </c>
      <c r="AL38">
        <v>5.9748816456466463</v>
      </c>
      <c r="AM38">
        <v>7420.8030038931347</v>
      </c>
      <c r="AN38">
        <v>12</v>
      </c>
      <c r="AO38">
        <v>14904</v>
      </c>
      <c r="AP38">
        <v>12</v>
      </c>
      <c r="AQ38">
        <v>14904</v>
      </c>
      <c r="AR38">
        <v>11.09300198208671</v>
      </c>
      <c r="AS38">
        <v>13777.508461751693</v>
      </c>
      <c r="AT38">
        <v>10.581059234712086</v>
      </c>
      <c r="AU38">
        <v>13141.67556951241</v>
      </c>
      <c r="AV38">
        <v>2.7897545522400753</v>
      </c>
      <c r="AW38">
        <v>3464.8751538821734</v>
      </c>
      <c r="AX38">
        <v>9</v>
      </c>
      <c r="AY38">
        <v>11178</v>
      </c>
      <c r="AZ38">
        <v>8</v>
      </c>
      <c r="BA38">
        <v>9936</v>
      </c>
      <c r="BB38">
        <v>12</v>
      </c>
      <c r="BC38">
        <v>14904</v>
      </c>
      <c r="BD38">
        <v>4.5130585862387171</v>
      </c>
      <c r="BE38">
        <v>5605.2187641084865</v>
      </c>
      <c r="BF38">
        <v>14</v>
      </c>
      <c r="BG38">
        <v>17388</v>
      </c>
      <c r="BH38">
        <v>11</v>
      </c>
      <c r="BI38">
        <v>13662</v>
      </c>
      <c r="BJ38">
        <v>10.794678285362867</v>
      </c>
      <c r="BK38">
        <v>13406.990430420681</v>
      </c>
      <c r="BL38">
        <v>15</v>
      </c>
      <c r="BM38">
        <v>18630</v>
      </c>
      <c r="BN38">
        <v>13</v>
      </c>
      <c r="BO38">
        <v>16146</v>
      </c>
      <c r="BP38">
        <v>12</v>
      </c>
      <c r="BQ38">
        <v>14904</v>
      </c>
      <c r="BR38">
        <v>12</v>
      </c>
      <c r="BS38">
        <v>14904</v>
      </c>
      <c r="BT38">
        <v>4.5110838669615623</v>
      </c>
      <c r="BU38">
        <v>5602.7661627662601</v>
      </c>
      <c r="BV38">
        <v>13</v>
      </c>
      <c r="BW38">
        <v>16146</v>
      </c>
      <c r="BX38">
        <v>12</v>
      </c>
      <c r="BY38">
        <v>14904</v>
      </c>
      <c r="BZ38">
        <v>14</v>
      </c>
      <c r="CA38">
        <v>17388</v>
      </c>
      <c r="CB38">
        <v>10</v>
      </c>
      <c r="CC38">
        <v>12420</v>
      </c>
      <c r="CD38">
        <v>1.1792939177103421</v>
      </c>
      <c r="CE38">
        <v>1464.6830457962449</v>
      </c>
      <c r="CF38">
        <v>13</v>
      </c>
      <c r="CG38">
        <v>16146</v>
      </c>
      <c r="CH38">
        <v>9</v>
      </c>
      <c r="CI38">
        <v>11178</v>
      </c>
      <c r="CJ38">
        <v>11</v>
      </c>
      <c r="CK38">
        <v>13662</v>
      </c>
      <c r="CL38">
        <v>8</v>
      </c>
      <c r="CM38">
        <v>9936</v>
      </c>
      <c r="CN38">
        <v>5.0789629078806202</v>
      </c>
      <c r="CO38">
        <v>6308.0719315877304</v>
      </c>
      <c r="CP38">
        <v>3.604538568503187</v>
      </c>
      <c r="CQ38">
        <v>4476.8369020809587</v>
      </c>
      <c r="CR38">
        <v>14</v>
      </c>
      <c r="CS38">
        <v>17388</v>
      </c>
      <c r="CT38">
        <v>8</v>
      </c>
      <c r="CU38">
        <v>9936</v>
      </c>
    </row>
    <row r="39" spans="2:99">
      <c r="C39" s="99" t="s">
        <v>205</v>
      </c>
      <c r="D39">
        <v>6.6232875038265284</v>
      </c>
      <c r="E39">
        <v>9426.2627754459154</v>
      </c>
      <c r="F39">
        <v>5.9932421293718638</v>
      </c>
      <c r="G39">
        <v>8529.5821985220373</v>
      </c>
      <c r="H39">
        <v>10.872045447454582</v>
      </c>
      <c r="I39">
        <v>15473.095080817362</v>
      </c>
      <c r="J39">
        <v>11</v>
      </c>
      <c r="K39">
        <v>15655.2</v>
      </c>
      <c r="L39">
        <v>9.3405486435608882</v>
      </c>
      <c r="M39">
        <v>13293.468829515856</v>
      </c>
      <c r="N39">
        <v>7.1156640369469821</v>
      </c>
      <c r="O39">
        <v>10127.013057382945</v>
      </c>
      <c r="P39">
        <v>8</v>
      </c>
      <c r="Q39">
        <v>11385.6</v>
      </c>
      <c r="R39">
        <v>12</v>
      </c>
      <c r="S39">
        <v>17078.400000000001</v>
      </c>
      <c r="T39">
        <v>11</v>
      </c>
      <c r="U39">
        <v>15655.2</v>
      </c>
      <c r="V39">
        <v>11.336525862955433</v>
      </c>
      <c r="W39">
        <v>16134.143608158172</v>
      </c>
      <c r="X39">
        <v>7</v>
      </c>
      <c r="Y39">
        <v>9962.4</v>
      </c>
      <c r="Z39">
        <v>9</v>
      </c>
      <c r="AA39">
        <v>12808.800000000001</v>
      </c>
      <c r="AB39">
        <v>13</v>
      </c>
      <c r="AC39">
        <v>18501.600000000002</v>
      </c>
      <c r="AD39">
        <v>12</v>
      </c>
      <c r="AE39">
        <v>17078.400000000001</v>
      </c>
      <c r="AF39">
        <v>10</v>
      </c>
      <c r="AG39">
        <v>14232</v>
      </c>
      <c r="AH39">
        <v>9</v>
      </c>
      <c r="AI39">
        <v>12808.800000000001</v>
      </c>
      <c r="AJ39">
        <v>9.5572607520653623</v>
      </c>
      <c r="AK39">
        <v>13601.893502339424</v>
      </c>
      <c r="AL39">
        <v>5.9748816456466463</v>
      </c>
      <c r="AM39">
        <v>8503.4515580843072</v>
      </c>
      <c r="AN39">
        <v>10</v>
      </c>
      <c r="AO39">
        <v>14232</v>
      </c>
      <c r="AP39">
        <v>13</v>
      </c>
      <c r="AQ39">
        <v>18501.600000000002</v>
      </c>
      <c r="AR39">
        <v>11.09300198208671</v>
      </c>
      <c r="AS39">
        <v>15787.560420905806</v>
      </c>
      <c r="AT39">
        <v>10.581059234712086</v>
      </c>
      <c r="AU39">
        <v>15058.963502842242</v>
      </c>
      <c r="AV39">
        <v>2.7897545522400753</v>
      </c>
      <c r="AW39">
        <v>3970.3786787480753</v>
      </c>
      <c r="AX39">
        <v>8</v>
      </c>
      <c r="AY39">
        <v>11385.6</v>
      </c>
      <c r="AZ39">
        <v>8</v>
      </c>
      <c r="BA39">
        <v>11385.6</v>
      </c>
      <c r="BB39">
        <v>11</v>
      </c>
      <c r="BC39">
        <v>15655.2</v>
      </c>
      <c r="BD39">
        <v>4.5130585862387171</v>
      </c>
      <c r="BE39">
        <v>6422.9849799349422</v>
      </c>
      <c r="BF39">
        <v>14</v>
      </c>
      <c r="BG39">
        <v>19924.8</v>
      </c>
      <c r="BH39">
        <v>11</v>
      </c>
      <c r="BI39">
        <v>15655.2</v>
      </c>
      <c r="BJ39">
        <v>9.9643184172580312</v>
      </c>
      <c r="BK39">
        <v>14181.217971441631</v>
      </c>
      <c r="BL39">
        <v>15</v>
      </c>
      <c r="BM39">
        <v>21348</v>
      </c>
      <c r="BN39">
        <v>13</v>
      </c>
      <c r="BO39">
        <v>18501.600000000002</v>
      </c>
      <c r="BP39">
        <v>13</v>
      </c>
      <c r="BQ39">
        <v>18501.600000000002</v>
      </c>
      <c r="BR39">
        <v>11</v>
      </c>
      <c r="BS39">
        <v>15655.2</v>
      </c>
      <c r="BT39">
        <v>4.9621922536577179</v>
      </c>
      <c r="BU39">
        <v>7062.1920154056643</v>
      </c>
      <c r="BV39">
        <v>14</v>
      </c>
      <c r="BW39">
        <v>19924.8</v>
      </c>
      <c r="BX39">
        <v>13</v>
      </c>
      <c r="BY39">
        <v>18501.600000000002</v>
      </c>
      <c r="BZ39">
        <v>14</v>
      </c>
      <c r="CA39">
        <v>19924.8</v>
      </c>
      <c r="CB39">
        <v>10</v>
      </c>
      <c r="CC39">
        <v>14232</v>
      </c>
      <c r="CD39">
        <v>1.048261260186971</v>
      </c>
      <c r="CE39">
        <v>1491.8854254980972</v>
      </c>
      <c r="CF39">
        <v>12</v>
      </c>
      <c r="CG39">
        <v>17078.400000000001</v>
      </c>
      <c r="CH39">
        <v>8</v>
      </c>
      <c r="CI39">
        <v>11385.6</v>
      </c>
      <c r="CJ39">
        <v>10</v>
      </c>
      <c r="CK39">
        <v>14232</v>
      </c>
      <c r="CL39">
        <v>8</v>
      </c>
      <c r="CM39">
        <v>11385.6</v>
      </c>
      <c r="CN39">
        <v>5.8045290375778515</v>
      </c>
      <c r="CO39">
        <v>8261.0057262807986</v>
      </c>
      <c r="CP39">
        <v>3.2040342831139439</v>
      </c>
      <c r="CQ39">
        <v>4559.9815917277647</v>
      </c>
      <c r="CR39">
        <v>14</v>
      </c>
      <c r="CS39">
        <v>19924.8</v>
      </c>
      <c r="CT39">
        <v>9</v>
      </c>
      <c r="CU39">
        <v>12808.800000000001</v>
      </c>
    </row>
    <row r="40" spans="2:99">
      <c r="C40" s="99" t="s">
        <v>206</v>
      </c>
      <c r="D40">
        <v>6.6232875038265284</v>
      </c>
      <c r="E40">
        <v>4800.5587827734671</v>
      </c>
      <c r="F40">
        <v>5.9932421293718638</v>
      </c>
      <c r="G40">
        <v>4343.9018953687264</v>
      </c>
      <c r="H40">
        <v>13.590056809318225</v>
      </c>
      <c r="I40">
        <v>9850.0731753938489</v>
      </c>
      <c r="J40">
        <v>14</v>
      </c>
      <c r="K40">
        <v>10147.199999999999</v>
      </c>
      <c r="L40">
        <v>9.3405486435608882</v>
      </c>
      <c r="M40">
        <v>6770.0296568529311</v>
      </c>
      <c r="N40">
        <v>7.1156640369469821</v>
      </c>
      <c r="O40">
        <v>5157.433293979172</v>
      </c>
      <c r="P40">
        <v>8</v>
      </c>
      <c r="Q40">
        <v>5798.4</v>
      </c>
      <c r="R40">
        <v>12</v>
      </c>
      <c r="S40">
        <v>8697.5999999999985</v>
      </c>
      <c r="T40">
        <v>12</v>
      </c>
      <c r="U40">
        <v>8697.5999999999985</v>
      </c>
      <c r="V40">
        <v>11.336525862955433</v>
      </c>
      <c r="W40">
        <v>8216.7139454700973</v>
      </c>
      <c r="X40">
        <v>8</v>
      </c>
      <c r="Y40">
        <v>5798.4</v>
      </c>
      <c r="Z40">
        <v>10</v>
      </c>
      <c r="AA40">
        <v>7248</v>
      </c>
      <c r="AB40">
        <v>13</v>
      </c>
      <c r="AC40">
        <v>9422.4</v>
      </c>
      <c r="AD40">
        <v>11</v>
      </c>
      <c r="AE40">
        <v>7972.7999999999993</v>
      </c>
      <c r="AF40">
        <v>10</v>
      </c>
      <c r="AG40">
        <v>7248</v>
      </c>
      <c r="AH40">
        <v>10</v>
      </c>
      <c r="AI40">
        <v>7248</v>
      </c>
      <c r="AJ40">
        <v>10.353699148070808</v>
      </c>
      <c r="AK40">
        <v>7504.3611425217214</v>
      </c>
      <c r="AL40">
        <v>6.6387573840518286</v>
      </c>
      <c r="AM40">
        <v>4811.7713519607651</v>
      </c>
      <c r="AN40">
        <v>13</v>
      </c>
      <c r="AO40">
        <v>9422.4</v>
      </c>
      <c r="AP40">
        <v>12</v>
      </c>
      <c r="AQ40">
        <v>8697.5999999999985</v>
      </c>
      <c r="AR40">
        <v>11.94630982686261</v>
      </c>
      <c r="AS40">
        <v>8658.6853625100193</v>
      </c>
      <c r="AT40">
        <v>12.20891450159087</v>
      </c>
      <c r="AU40">
        <v>8849.0212307530619</v>
      </c>
      <c r="AV40">
        <v>3.0997272802667504</v>
      </c>
      <c r="AW40">
        <v>2246.6823327373404</v>
      </c>
      <c r="AX40">
        <v>9</v>
      </c>
      <c r="AY40">
        <v>6523.2</v>
      </c>
      <c r="AZ40">
        <v>8</v>
      </c>
      <c r="BA40">
        <v>5798.4</v>
      </c>
      <c r="BB40">
        <v>13</v>
      </c>
      <c r="BC40">
        <v>9422.4</v>
      </c>
      <c r="BD40">
        <v>4.5130585862387171</v>
      </c>
      <c r="BE40">
        <v>3271.0648633058222</v>
      </c>
      <c r="BF40">
        <v>13</v>
      </c>
      <c r="BG40">
        <v>9422.4</v>
      </c>
      <c r="BH40">
        <v>11</v>
      </c>
      <c r="BI40">
        <v>7972.7999999999993</v>
      </c>
      <c r="BJ40">
        <v>11.625038153467704</v>
      </c>
      <c r="BK40">
        <v>8425.8276536333924</v>
      </c>
      <c r="BL40">
        <v>15</v>
      </c>
      <c r="BM40">
        <v>10872</v>
      </c>
      <c r="BN40">
        <v>14</v>
      </c>
      <c r="BO40">
        <v>10147.199999999999</v>
      </c>
      <c r="BP40">
        <v>12</v>
      </c>
      <c r="BQ40">
        <v>8697.5999999999985</v>
      </c>
      <c r="BR40">
        <v>13</v>
      </c>
      <c r="BS40">
        <v>9422.4</v>
      </c>
      <c r="BT40">
        <v>4.5110838669615623</v>
      </c>
      <c r="BU40">
        <v>3269.6335867737403</v>
      </c>
      <c r="BV40">
        <v>14</v>
      </c>
      <c r="BW40">
        <v>10147.199999999999</v>
      </c>
      <c r="BX40">
        <v>12</v>
      </c>
      <c r="BY40">
        <v>8697.5999999999985</v>
      </c>
      <c r="BZ40">
        <v>17</v>
      </c>
      <c r="CA40">
        <v>12321.599999999999</v>
      </c>
      <c r="CB40">
        <v>10</v>
      </c>
      <c r="CC40">
        <v>7248</v>
      </c>
      <c r="CD40">
        <v>1.048261260186971</v>
      </c>
      <c r="CE40">
        <v>759.77976138351653</v>
      </c>
      <c r="CF40">
        <v>13</v>
      </c>
      <c r="CG40">
        <v>9422.4</v>
      </c>
      <c r="CH40">
        <v>9</v>
      </c>
      <c r="CI40">
        <v>6523.2</v>
      </c>
      <c r="CJ40">
        <v>11</v>
      </c>
      <c r="CK40">
        <v>7972.7999999999993</v>
      </c>
      <c r="CL40">
        <v>8</v>
      </c>
      <c r="CM40">
        <v>5798.4</v>
      </c>
      <c r="CN40">
        <v>5.8045290375778515</v>
      </c>
      <c r="CO40">
        <v>4207.1226464364263</v>
      </c>
      <c r="CP40">
        <v>3.604538568503187</v>
      </c>
      <c r="CQ40">
        <v>2612.56955445111</v>
      </c>
      <c r="CR40">
        <v>15</v>
      </c>
      <c r="CS40">
        <v>10872</v>
      </c>
      <c r="CT40">
        <v>9</v>
      </c>
      <c r="CU40">
        <v>6523.2</v>
      </c>
    </row>
    <row r="41" spans="2:99">
      <c r="C41" s="99" t="s">
        <v>207</v>
      </c>
      <c r="D41">
        <v>7.451198441804844</v>
      </c>
      <c r="E41">
        <v>4917.7909715911974</v>
      </c>
      <c r="F41">
        <v>6.849419576424987</v>
      </c>
      <c r="G41">
        <v>4520.6169204404914</v>
      </c>
      <c r="H41">
        <v>10.872045447454582</v>
      </c>
      <c r="I41">
        <v>7175.5499953200242</v>
      </c>
      <c r="J41">
        <v>12</v>
      </c>
      <c r="K41">
        <v>7920</v>
      </c>
      <c r="L41">
        <v>10.189689429339149</v>
      </c>
      <c r="M41">
        <v>6725.1950233638381</v>
      </c>
      <c r="N41">
        <v>7.6630228090198269</v>
      </c>
      <c r="O41">
        <v>5057.5950539530859</v>
      </c>
      <c r="P41">
        <v>8</v>
      </c>
      <c r="Q41">
        <v>5280</v>
      </c>
      <c r="R41">
        <v>13</v>
      </c>
      <c r="S41">
        <v>8580</v>
      </c>
      <c r="T41">
        <v>13</v>
      </c>
      <c r="U41">
        <v>8580</v>
      </c>
      <c r="V41">
        <v>11.336525862955433</v>
      </c>
      <c r="W41">
        <v>7482.1070695505859</v>
      </c>
      <c r="X41">
        <v>8</v>
      </c>
      <c r="Y41">
        <v>5280</v>
      </c>
      <c r="Z41">
        <v>9</v>
      </c>
      <c r="AA41">
        <v>5940</v>
      </c>
      <c r="AB41">
        <v>12</v>
      </c>
      <c r="AC41">
        <v>7920</v>
      </c>
      <c r="AD41">
        <v>12</v>
      </c>
      <c r="AE41">
        <v>7920</v>
      </c>
      <c r="AF41">
        <v>10</v>
      </c>
      <c r="AG41">
        <v>6600</v>
      </c>
      <c r="AH41">
        <v>10</v>
      </c>
      <c r="AI41">
        <v>6600</v>
      </c>
      <c r="AJ41">
        <v>10.353699148070808</v>
      </c>
      <c r="AK41">
        <v>6833.4414377267331</v>
      </c>
      <c r="AL41">
        <v>6.6387573840518286</v>
      </c>
      <c r="AM41">
        <v>4381.5798734742066</v>
      </c>
      <c r="AN41">
        <v>12</v>
      </c>
      <c r="AO41">
        <v>7920</v>
      </c>
      <c r="AP41">
        <v>11</v>
      </c>
      <c r="AQ41">
        <v>7260</v>
      </c>
      <c r="AR41">
        <v>11.94630982686261</v>
      </c>
      <c r="AS41">
        <v>7884.5644857293228</v>
      </c>
      <c r="AT41">
        <v>11.394986868151479</v>
      </c>
      <c r="AU41">
        <v>7520.6913329799763</v>
      </c>
      <c r="AV41">
        <v>3.0997272802667504</v>
      </c>
      <c r="AW41">
        <v>2045.8200049760553</v>
      </c>
      <c r="AX41">
        <v>9</v>
      </c>
      <c r="AY41">
        <v>5940</v>
      </c>
      <c r="AZ41">
        <v>8</v>
      </c>
      <c r="BA41">
        <v>5280</v>
      </c>
      <c r="BB41">
        <v>12</v>
      </c>
      <c r="BC41">
        <v>7920</v>
      </c>
      <c r="BD41">
        <v>4.5130585862387171</v>
      </c>
      <c r="BE41">
        <v>2978.6186669175531</v>
      </c>
      <c r="BF41">
        <v>15</v>
      </c>
      <c r="BG41">
        <v>9900</v>
      </c>
      <c r="BH41">
        <v>12</v>
      </c>
      <c r="BI41">
        <v>7920</v>
      </c>
      <c r="BJ41">
        <v>10.794678285362867</v>
      </c>
      <c r="BK41">
        <v>7124.4876683394923</v>
      </c>
      <c r="BL41">
        <v>15</v>
      </c>
      <c r="BM41">
        <v>9900</v>
      </c>
      <c r="BN41">
        <v>14</v>
      </c>
      <c r="BO41">
        <v>9240</v>
      </c>
      <c r="BP41">
        <v>12</v>
      </c>
      <c r="BQ41">
        <v>7920</v>
      </c>
      <c r="BR41">
        <v>13</v>
      </c>
      <c r="BS41">
        <v>8580</v>
      </c>
      <c r="BT41">
        <v>4.9621922536577179</v>
      </c>
      <c r="BU41">
        <v>3275.0468874140938</v>
      </c>
      <c r="BV41">
        <v>14</v>
      </c>
      <c r="BW41">
        <v>9240</v>
      </c>
      <c r="BX41">
        <v>13</v>
      </c>
      <c r="BY41">
        <v>8580</v>
      </c>
      <c r="BZ41">
        <v>16</v>
      </c>
      <c r="CA41">
        <v>10560</v>
      </c>
      <c r="CB41">
        <v>10</v>
      </c>
      <c r="CC41">
        <v>6600</v>
      </c>
      <c r="CD41">
        <v>1.1792939177103421</v>
      </c>
      <c r="CE41">
        <v>778.33398568882581</v>
      </c>
      <c r="CF41">
        <v>12</v>
      </c>
      <c r="CG41">
        <v>7920</v>
      </c>
      <c r="CH41">
        <v>9</v>
      </c>
      <c r="CI41">
        <v>5940</v>
      </c>
      <c r="CJ41">
        <v>12</v>
      </c>
      <c r="CK41">
        <v>7920</v>
      </c>
      <c r="CL41">
        <v>8</v>
      </c>
      <c r="CM41">
        <v>5280</v>
      </c>
      <c r="CN41">
        <v>5.8045290375778515</v>
      </c>
      <c r="CO41">
        <v>3830.9891648013822</v>
      </c>
      <c r="CP41">
        <v>3.604538568503187</v>
      </c>
      <c r="CQ41">
        <v>2378.9954552121035</v>
      </c>
      <c r="CR41">
        <v>16</v>
      </c>
      <c r="CS41">
        <v>10560</v>
      </c>
      <c r="CT41">
        <v>9</v>
      </c>
      <c r="CU41">
        <v>5940</v>
      </c>
    </row>
    <row r="42" spans="2:99">
      <c r="C42" s="99" t="s">
        <v>208</v>
      </c>
      <c r="D42">
        <v>7.451198441804844</v>
      </c>
      <c r="E42">
        <v>6303.7138817668983</v>
      </c>
      <c r="F42">
        <v>6.849419576424987</v>
      </c>
      <c r="G42">
        <v>5794.6089616555391</v>
      </c>
      <c r="H42">
        <v>12.684053022030344</v>
      </c>
      <c r="I42">
        <v>10730.708856637671</v>
      </c>
      <c r="J42">
        <v>12</v>
      </c>
      <c r="K42">
        <v>10152</v>
      </c>
      <c r="L42">
        <v>10.189689429339149</v>
      </c>
      <c r="M42">
        <v>8620.4772572209204</v>
      </c>
      <c r="N42">
        <v>7.6630228090198269</v>
      </c>
      <c r="O42">
        <v>6482.9172964307736</v>
      </c>
      <c r="P42">
        <v>8</v>
      </c>
      <c r="Q42">
        <v>6768</v>
      </c>
      <c r="R42">
        <v>13</v>
      </c>
      <c r="S42">
        <v>10998</v>
      </c>
      <c r="T42">
        <v>13</v>
      </c>
      <c r="U42">
        <v>10998</v>
      </c>
      <c r="V42">
        <v>11.336525862955433</v>
      </c>
      <c r="W42">
        <v>9590.7008800602962</v>
      </c>
      <c r="X42">
        <v>8</v>
      </c>
      <c r="Y42">
        <v>6768</v>
      </c>
      <c r="Z42">
        <v>9</v>
      </c>
      <c r="AA42">
        <v>7614</v>
      </c>
      <c r="AB42">
        <v>12</v>
      </c>
      <c r="AC42">
        <v>10152</v>
      </c>
      <c r="AD42">
        <v>10</v>
      </c>
      <c r="AE42">
        <v>8460</v>
      </c>
      <c r="AF42">
        <v>10</v>
      </c>
      <c r="AG42">
        <v>8460</v>
      </c>
      <c r="AH42">
        <v>9</v>
      </c>
      <c r="AI42">
        <v>7614</v>
      </c>
      <c r="AJ42">
        <v>11.150137544076257</v>
      </c>
      <c r="AK42">
        <v>9433.0163622885138</v>
      </c>
      <c r="AL42">
        <v>5.9748816456466463</v>
      </c>
      <c r="AM42">
        <v>5054.7498722170631</v>
      </c>
      <c r="AN42">
        <v>13</v>
      </c>
      <c r="AO42">
        <v>10998</v>
      </c>
      <c r="AP42">
        <v>12</v>
      </c>
      <c r="AQ42">
        <v>10152</v>
      </c>
      <c r="AR42">
        <v>11.09300198208671</v>
      </c>
      <c r="AS42">
        <v>9384.6796768453569</v>
      </c>
      <c r="AT42">
        <v>10.581059234712086</v>
      </c>
      <c r="AU42">
        <v>8951.5761125664249</v>
      </c>
      <c r="AV42">
        <v>3.0997272802667504</v>
      </c>
      <c r="AW42">
        <v>2622.369279105671</v>
      </c>
      <c r="AX42">
        <v>8</v>
      </c>
      <c r="AY42">
        <v>6768</v>
      </c>
      <c r="AZ42">
        <v>8</v>
      </c>
      <c r="BA42">
        <v>6768</v>
      </c>
      <c r="BB42">
        <v>11</v>
      </c>
      <c r="BC42">
        <v>9306</v>
      </c>
      <c r="BD42">
        <v>4.5130585862387171</v>
      </c>
      <c r="BE42">
        <v>3818.0475639579545</v>
      </c>
      <c r="BF42">
        <v>13</v>
      </c>
      <c r="BG42">
        <v>10998</v>
      </c>
      <c r="BH42">
        <v>12</v>
      </c>
      <c r="BI42">
        <v>10152</v>
      </c>
      <c r="BJ42">
        <v>9.9643184172580312</v>
      </c>
      <c r="BK42">
        <v>8429.8133810002946</v>
      </c>
      <c r="BL42">
        <v>15</v>
      </c>
      <c r="BM42">
        <v>12690</v>
      </c>
      <c r="BN42">
        <v>14</v>
      </c>
      <c r="BO42">
        <v>11844</v>
      </c>
      <c r="BP42">
        <v>12</v>
      </c>
      <c r="BQ42">
        <v>10152</v>
      </c>
      <c r="BR42">
        <v>12</v>
      </c>
      <c r="BS42">
        <v>10152</v>
      </c>
      <c r="BT42">
        <v>4.9621922536577179</v>
      </c>
      <c r="BU42">
        <v>4198.014646594429</v>
      </c>
      <c r="BV42">
        <v>14</v>
      </c>
      <c r="BW42">
        <v>11844</v>
      </c>
      <c r="BX42">
        <v>12</v>
      </c>
      <c r="BY42">
        <v>10152</v>
      </c>
      <c r="BZ42">
        <v>14</v>
      </c>
      <c r="CA42">
        <v>11844</v>
      </c>
      <c r="CB42">
        <v>12</v>
      </c>
      <c r="CC42">
        <v>10152</v>
      </c>
      <c r="CD42">
        <v>1.1792939177103421</v>
      </c>
      <c r="CE42">
        <v>997.68265438294941</v>
      </c>
      <c r="CF42">
        <v>13</v>
      </c>
      <c r="CG42">
        <v>10998</v>
      </c>
      <c r="CH42">
        <v>10</v>
      </c>
      <c r="CI42">
        <v>8460</v>
      </c>
      <c r="CJ42">
        <v>11</v>
      </c>
      <c r="CK42">
        <v>9306</v>
      </c>
      <c r="CL42">
        <v>8</v>
      </c>
      <c r="CM42">
        <v>6768</v>
      </c>
      <c r="CN42">
        <v>5.8045290375778515</v>
      </c>
      <c r="CO42">
        <v>4910.6315657908626</v>
      </c>
      <c r="CP42">
        <v>3.2040342831139439</v>
      </c>
      <c r="CQ42">
        <v>2710.6130035143965</v>
      </c>
      <c r="CR42">
        <v>15</v>
      </c>
      <c r="CS42">
        <v>12690</v>
      </c>
      <c r="CT42">
        <v>8</v>
      </c>
      <c r="CU42">
        <v>6768</v>
      </c>
    </row>
    <row r="43" spans="2:99">
      <c r="C43" s="99" t="s">
        <v>209</v>
      </c>
      <c r="D43">
        <v>6.6232875038265284</v>
      </c>
      <c r="E43">
        <v>6771.6491439122428</v>
      </c>
      <c r="F43">
        <v>7.7055970234781102</v>
      </c>
      <c r="G43">
        <v>7878.2023968040194</v>
      </c>
      <c r="H43">
        <v>12.684053022030344</v>
      </c>
      <c r="I43">
        <v>12968.175809723823</v>
      </c>
      <c r="J43">
        <v>12</v>
      </c>
      <c r="K43">
        <v>12268.8</v>
      </c>
      <c r="L43">
        <v>10.189689429339149</v>
      </c>
      <c r="M43">
        <v>10417.938472556345</v>
      </c>
      <c r="N43">
        <v>7.1156640369469821</v>
      </c>
      <c r="O43">
        <v>7275.0549113745947</v>
      </c>
      <c r="P43">
        <v>8</v>
      </c>
      <c r="Q43">
        <v>8179.2</v>
      </c>
      <c r="R43">
        <v>13</v>
      </c>
      <c r="S43">
        <v>13291.199999999999</v>
      </c>
      <c r="T43">
        <v>13</v>
      </c>
      <c r="U43">
        <v>13291.199999999999</v>
      </c>
      <c r="V43">
        <v>9.5924449609622897</v>
      </c>
      <c r="W43">
        <v>9807.315728087844</v>
      </c>
      <c r="X43">
        <v>8</v>
      </c>
      <c r="Y43">
        <v>8179.2</v>
      </c>
      <c r="Z43">
        <v>10</v>
      </c>
      <c r="AA43">
        <v>10224</v>
      </c>
      <c r="AB43">
        <v>14</v>
      </c>
      <c r="AC43">
        <v>14313.6</v>
      </c>
      <c r="AD43">
        <v>10</v>
      </c>
      <c r="AE43">
        <v>10224</v>
      </c>
      <c r="AF43">
        <v>10</v>
      </c>
      <c r="AG43">
        <v>10224</v>
      </c>
      <c r="AH43">
        <v>9</v>
      </c>
      <c r="AI43">
        <v>9201.6</v>
      </c>
      <c r="AJ43">
        <v>9.5572607520653623</v>
      </c>
      <c r="AK43">
        <v>9771.3433929116254</v>
      </c>
      <c r="AL43">
        <v>6.6387573840518286</v>
      </c>
      <c r="AM43">
        <v>6787.4655494545896</v>
      </c>
      <c r="AN43">
        <v>12</v>
      </c>
      <c r="AO43">
        <v>12268.8</v>
      </c>
      <c r="AP43">
        <v>12</v>
      </c>
      <c r="AQ43">
        <v>12268.8</v>
      </c>
      <c r="AR43">
        <v>12.799617671638511</v>
      </c>
      <c r="AS43">
        <v>13086.329107483214</v>
      </c>
      <c r="AT43">
        <v>11.394986868151479</v>
      </c>
      <c r="AU43">
        <v>11650.234573998072</v>
      </c>
      <c r="AV43">
        <v>2.7897545522400753</v>
      </c>
      <c r="AW43">
        <v>2852.2450542102529</v>
      </c>
      <c r="AX43">
        <v>9</v>
      </c>
      <c r="AY43">
        <v>9201.6</v>
      </c>
      <c r="AZ43">
        <v>8</v>
      </c>
      <c r="BA43">
        <v>8179.2</v>
      </c>
      <c r="BB43">
        <v>12</v>
      </c>
      <c r="BC43">
        <v>12268.8</v>
      </c>
      <c r="BD43">
        <v>4.5130585862387171</v>
      </c>
      <c r="BE43">
        <v>4614.1510985704645</v>
      </c>
      <c r="BF43">
        <v>13</v>
      </c>
      <c r="BG43">
        <v>13291.199999999999</v>
      </c>
      <c r="BH43">
        <v>13</v>
      </c>
      <c r="BI43">
        <v>13291.199999999999</v>
      </c>
      <c r="BJ43">
        <v>12.455398021572538</v>
      </c>
      <c r="BK43">
        <v>12734.398937255763</v>
      </c>
      <c r="BL43">
        <v>15</v>
      </c>
      <c r="BM43">
        <v>15336</v>
      </c>
      <c r="BN43">
        <v>14</v>
      </c>
      <c r="BO43">
        <v>14313.6</v>
      </c>
      <c r="BP43">
        <v>13</v>
      </c>
      <c r="BQ43">
        <v>13291.199999999999</v>
      </c>
      <c r="BR43">
        <v>13</v>
      </c>
      <c r="BS43">
        <v>13291.199999999999</v>
      </c>
      <c r="BT43">
        <v>4.5110838669615623</v>
      </c>
      <c r="BU43">
        <v>4612.1321455815014</v>
      </c>
      <c r="BV43">
        <v>15</v>
      </c>
      <c r="BW43">
        <v>15336</v>
      </c>
      <c r="BX43">
        <v>12</v>
      </c>
      <c r="BY43">
        <v>12268.8</v>
      </c>
      <c r="BZ43">
        <v>15</v>
      </c>
      <c r="CA43">
        <v>15336</v>
      </c>
      <c r="CB43">
        <v>12</v>
      </c>
      <c r="CC43">
        <v>12268.8</v>
      </c>
      <c r="CD43">
        <v>1.1792939177103421</v>
      </c>
      <c r="CE43">
        <v>1205.7101014670536</v>
      </c>
      <c r="CF43">
        <v>12</v>
      </c>
      <c r="CG43">
        <v>12268.8</v>
      </c>
      <c r="CH43">
        <v>10</v>
      </c>
      <c r="CI43">
        <v>10224</v>
      </c>
      <c r="CJ43">
        <v>10</v>
      </c>
      <c r="CK43">
        <v>10224</v>
      </c>
      <c r="CL43">
        <v>8</v>
      </c>
      <c r="CM43">
        <v>8179.2</v>
      </c>
      <c r="CN43">
        <v>5.0789629078806202</v>
      </c>
      <c r="CO43">
        <v>5192.7316770171456</v>
      </c>
      <c r="CP43">
        <v>3.2040342831139439</v>
      </c>
      <c r="CQ43">
        <v>3275.804651055696</v>
      </c>
      <c r="CR43">
        <v>13</v>
      </c>
      <c r="CS43">
        <v>13291.199999999999</v>
      </c>
      <c r="CT43">
        <v>9</v>
      </c>
      <c r="CU43">
        <v>9201.6</v>
      </c>
    </row>
    <row r="44" spans="2:99">
      <c r="C44" s="99" t="s">
        <v>210</v>
      </c>
      <c r="D44">
        <v>7.451198441804844</v>
      </c>
      <c r="E44">
        <v>7618.1052869012719</v>
      </c>
      <c r="F44">
        <v>7.7055970234781102</v>
      </c>
      <c r="G44">
        <v>7878.2023968040194</v>
      </c>
      <c r="H44">
        <v>11.778049234742463</v>
      </c>
      <c r="I44">
        <v>12041.877537600694</v>
      </c>
      <c r="J44">
        <v>12</v>
      </c>
      <c r="K44">
        <v>12268.8</v>
      </c>
      <c r="L44">
        <v>10.189689429339149</v>
      </c>
      <c r="M44">
        <v>10417.938472556345</v>
      </c>
      <c r="N44">
        <v>7.1156640369469821</v>
      </c>
      <c r="O44">
        <v>7275.0549113745947</v>
      </c>
      <c r="P44">
        <v>8</v>
      </c>
      <c r="Q44">
        <v>8179.2</v>
      </c>
      <c r="R44">
        <v>12</v>
      </c>
      <c r="S44">
        <v>12268.8</v>
      </c>
      <c r="T44">
        <v>11</v>
      </c>
      <c r="U44">
        <v>11246.4</v>
      </c>
      <c r="V44">
        <v>10.464485411958862</v>
      </c>
      <c r="W44">
        <v>10698.88988518674</v>
      </c>
      <c r="X44">
        <v>7</v>
      </c>
      <c r="Y44">
        <v>7156.8</v>
      </c>
      <c r="Z44">
        <v>10</v>
      </c>
      <c r="AA44">
        <v>10224</v>
      </c>
      <c r="AB44">
        <v>13</v>
      </c>
      <c r="AC44">
        <v>13291.199999999999</v>
      </c>
      <c r="AD44">
        <v>10</v>
      </c>
      <c r="AE44">
        <v>10224</v>
      </c>
      <c r="AF44">
        <v>10</v>
      </c>
      <c r="AG44">
        <v>10224</v>
      </c>
      <c r="AH44">
        <v>10</v>
      </c>
      <c r="AI44">
        <v>10224</v>
      </c>
      <c r="AJ44">
        <v>9.5572607520653623</v>
      </c>
      <c r="AK44">
        <v>9771.3433929116254</v>
      </c>
      <c r="AL44">
        <v>6.6387573840518286</v>
      </c>
      <c r="AM44">
        <v>6787.4655494545896</v>
      </c>
      <c r="AN44">
        <v>12</v>
      </c>
      <c r="AO44">
        <v>12268.8</v>
      </c>
      <c r="AP44">
        <v>13</v>
      </c>
      <c r="AQ44">
        <v>13291.199999999999</v>
      </c>
      <c r="AR44">
        <v>11.94630982686261</v>
      </c>
      <c r="AS44">
        <v>12213.907166984332</v>
      </c>
      <c r="AT44">
        <v>10.581059234712086</v>
      </c>
      <c r="AU44">
        <v>10818.074961569637</v>
      </c>
      <c r="AV44">
        <v>2.7897545522400753</v>
      </c>
      <c r="AW44">
        <v>2852.2450542102529</v>
      </c>
      <c r="AX44">
        <v>8</v>
      </c>
      <c r="AY44">
        <v>8179.2</v>
      </c>
      <c r="AZ44">
        <v>8</v>
      </c>
      <c r="BA44">
        <v>8179.2</v>
      </c>
      <c r="BB44">
        <v>11</v>
      </c>
      <c r="BC44">
        <v>11246.4</v>
      </c>
      <c r="BD44">
        <v>4.5130585862387171</v>
      </c>
      <c r="BE44">
        <v>4614.1510985704645</v>
      </c>
      <c r="BF44">
        <v>12</v>
      </c>
      <c r="BG44">
        <v>12268.8</v>
      </c>
      <c r="BH44">
        <v>12</v>
      </c>
      <c r="BI44">
        <v>12268.8</v>
      </c>
      <c r="BJ44">
        <v>11.625038153467704</v>
      </c>
      <c r="BK44">
        <v>11885.439008105381</v>
      </c>
      <c r="BL44">
        <v>15</v>
      </c>
      <c r="BM44">
        <v>15336</v>
      </c>
      <c r="BN44">
        <v>15</v>
      </c>
      <c r="BO44">
        <v>15336</v>
      </c>
      <c r="BP44">
        <v>12</v>
      </c>
      <c r="BQ44">
        <v>12268.8</v>
      </c>
      <c r="BR44">
        <v>13</v>
      </c>
      <c r="BS44">
        <v>13291.199999999999</v>
      </c>
      <c r="BT44">
        <v>4.9621922536577179</v>
      </c>
      <c r="BU44">
        <v>5073.3453601396504</v>
      </c>
      <c r="BV44">
        <v>15</v>
      </c>
      <c r="BW44">
        <v>15336</v>
      </c>
      <c r="BX44">
        <v>13</v>
      </c>
      <c r="BY44">
        <v>13291.199999999999</v>
      </c>
      <c r="BZ44">
        <v>14</v>
      </c>
      <c r="CA44">
        <v>14313.6</v>
      </c>
      <c r="CB44">
        <v>10</v>
      </c>
      <c r="CC44">
        <v>10224</v>
      </c>
      <c r="CD44">
        <v>1.1792939177103421</v>
      </c>
      <c r="CE44">
        <v>1205.7101014670536</v>
      </c>
      <c r="CF44">
        <v>12</v>
      </c>
      <c r="CG44">
        <v>12268.8</v>
      </c>
      <c r="CH44">
        <v>9</v>
      </c>
      <c r="CI44">
        <v>9201.6</v>
      </c>
      <c r="CJ44">
        <v>10</v>
      </c>
      <c r="CK44">
        <v>10224</v>
      </c>
      <c r="CL44">
        <v>8</v>
      </c>
      <c r="CM44">
        <v>8179.2</v>
      </c>
      <c r="CN44">
        <v>5.8045290375778515</v>
      </c>
      <c r="CO44">
        <v>5934.5504880195949</v>
      </c>
      <c r="CP44">
        <v>3.604538568503187</v>
      </c>
      <c r="CQ44">
        <v>3685.2802324376585</v>
      </c>
      <c r="CR44">
        <v>14</v>
      </c>
      <c r="CS44">
        <v>14313.6</v>
      </c>
      <c r="CT44">
        <v>8</v>
      </c>
      <c r="CU44">
        <v>8179.2</v>
      </c>
    </row>
    <row r="45" spans="2:99">
      <c r="C45" s="99" t="s">
        <v>211</v>
      </c>
      <c r="D45">
        <v>7.451198441804844</v>
      </c>
      <c r="E45">
        <v>9308.0370935026112</v>
      </c>
      <c r="F45">
        <v>6.849419576424987</v>
      </c>
      <c r="G45">
        <v>8556.2949348700949</v>
      </c>
      <c r="H45">
        <v>10.872045447454582</v>
      </c>
      <c r="I45">
        <v>13581.359172960265</v>
      </c>
      <c r="J45">
        <v>12</v>
      </c>
      <c r="K45">
        <v>14990.400000000001</v>
      </c>
      <c r="L45">
        <v>9.3405486435608882</v>
      </c>
      <c r="M45">
        <v>11668.213365536261</v>
      </c>
      <c r="N45">
        <v>7.6630228090198269</v>
      </c>
      <c r="O45">
        <v>9572.6480930275684</v>
      </c>
      <c r="P45">
        <v>8</v>
      </c>
      <c r="Q45">
        <v>9993.6</v>
      </c>
      <c r="R45">
        <v>12</v>
      </c>
      <c r="S45">
        <v>14990.400000000001</v>
      </c>
      <c r="T45">
        <v>12</v>
      </c>
      <c r="U45">
        <v>14990.400000000001</v>
      </c>
      <c r="V45">
        <v>10.464485411958862</v>
      </c>
      <c r="W45">
        <v>13072.23517661901</v>
      </c>
      <c r="X45">
        <v>8</v>
      </c>
      <c r="Y45">
        <v>9993.6</v>
      </c>
      <c r="Z45">
        <v>9</v>
      </c>
      <c r="AA45">
        <v>11242.800000000001</v>
      </c>
      <c r="AB45">
        <v>13</v>
      </c>
      <c r="AC45">
        <v>16239.6</v>
      </c>
      <c r="AD45">
        <v>11</v>
      </c>
      <c r="AE45">
        <v>13741.2</v>
      </c>
      <c r="AF45">
        <v>10</v>
      </c>
      <c r="AG45">
        <v>12492</v>
      </c>
      <c r="AH45">
        <v>9</v>
      </c>
      <c r="AI45">
        <v>11242.800000000001</v>
      </c>
      <c r="AJ45">
        <v>10.353699148070808</v>
      </c>
      <c r="AK45">
        <v>12933.840975770054</v>
      </c>
      <c r="AL45">
        <v>6.6387573840518286</v>
      </c>
      <c r="AM45">
        <v>8293.1357241575442</v>
      </c>
      <c r="AN45">
        <v>10</v>
      </c>
      <c r="AO45">
        <v>12492</v>
      </c>
      <c r="AP45">
        <v>11</v>
      </c>
      <c r="AQ45">
        <v>13741.2</v>
      </c>
      <c r="AR45">
        <v>12.799617671638511</v>
      </c>
      <c r="AS45">
        <v>15989.28239541083</v>
      </c>
      <c r="AT45">
        <v>11.394986868151479</v>
      </c>
      <c r="AU45">
        <v>14234.617595694828</v>
      </c>
      <c r="AV45">
        <v>3.0997272802667504</v>
      </c>
      <c r="AW45">
        <v>3872.1793185092247</v>
      </c>
      <c r="AX45">
        <v>9</v>
      </c>
      <c r="AY45">
        <v>11242.800000000001</v>
      </c>
      <c r="AZ45">
        <v>8</v>
      </c>
      <c r="BA45">
        <v>9993.6</v>
      </c>
      <c r="BB45">
        <v>10</v>
      </c>
      <c r="BC45">
        <v>12492</v>
      </c>
      <c r="BD45">
        <v>4.5130585862387171</v>
      </c>
      <c r="BE45">
        <v>5637.712785929406</v>
      </c>
      <c r="BF45">
        <v>12</v>
      </c>
      <c r="BG45">
        <v>14990.400000000001</v>
      </c>
      <c r="BH45">
        <v>11</v>
      </c>
      <c r="BI45">
        <v>13741.2</v>
      </c>
      <c r="BJ45">
        <v>11.625038153467704</v>
      </c>
      <c r="BK45">
        <v>14521.997661311856</v>
      </c>
      <c r="BL45">
        <v>14</v>
      </c>
      <c r="BM45">
        <v>17488.8</v>
      </c>
      <c r="BN45">
        <v>15</v>
      </c>
      <c r="BO45">
        <v>18738</v>
      </c>
      <c r="BP45">
        <v>12</v>
      </c>
      <c r="BQ45">
        <v>14990.400000000001</v>
      </c>
      <c r="BR45">
        <v>13</v>
      </c>
      <c r="BS45">
        <v>16239.6</v>
      </c>
      <c r="BT45">
        <v>4.5110838669615623</v>
      </c>
      <c r="BU45">
        <v>5635.2459666083842</v>
      </c>
      <c r="BV45">
        <v>14</v>
      </c>
      <c r="BW45">
        <v>17488.8</v>
      </c>
      <c r="BX45">
        <v>11</v>
      </c>
      <c r="BY45">
        <v>13741.2</v>
      </c>
      <c r="BZ45">
        <v>15</v>
      </c>
      <c r="CA45">
        <v>18738</v>
      </c>
      <c r="CB45">
        <v>10</v>
      </c>
      <c r="CC45">
        <v>12492</v>
      </c>
      <c r="CD45">
        <v>1.048261260186971</v>
      </c>
      <c r="CE45">
        <v>1309.4879662255642</v>
      </c>
      <c r="CF45">
        <v>13</v>
      </c>
      <c r="CG45">
        <v>16239.6</v>
      </c>
      <c r="CH45">
        <v>10</v>
      </c>
      <c r="CI45">
        <v>12492</v>
      </c>
      <c r="CJ45">
        <v>9</v>
      </c>
      <c r="CK45">
        <v>11242.800000000001</v>
      </c>
      <c r="CL45">
        <v>8</v>
      </c>
      <c r="CM45">
        <v>9993.6</v>
      </c>
      <c r="CN45">
        <v>5.8045290375778515</v>
      </c>
      <c r="CO45">
        <v>7251.0176737422526</v>
      </c>
      <c r="CP45">
        <v>3.2040342831139439</v>
      </c>
      <c r="CQ45">
        <v>4002.479626465939</v>
      </c>
      <c r="CR45">
        <v>15</v>
      </c>
      <c r="CS45">
        <v>18738</v>
      </c>
      <c r="CT45">
        <v>8</v>
      </c>
      <c r="CU45">
        <v>9993.6</v>
      </c>
    </row>
    <row r="46" spans="2:99">
      <c r="C46" s="99" t="s">
        <v>212</v>
      </c>
      <c r="D46">
        <v>7.451198441804844</v>
      </c>
      <c r="E46">
        <v>9030.8525114674703</v>
      </c>
      <c r="F46">
        <v>6.849419576424987</v>
      </c>
      <c r="G46">
        <v>8301.4965266270847</v>
      </c>
      <c r="H46">
        <v>10.872045447454582</v>
      </c>
      <c r="I46">
        <v>13176.919082314953</v>
      </c>
      <c r="J46">
        <v>12</v>
      </c>
      <c r="K46">
        <v>14544</v>
      </c>
      <c r="L46">
        <v>9.3405486435608882</v>
      </c>
      <c r="M46">
        <v>11320.744955995797</v>
      </c>
      <c r="N46">
        <v>7.6630228090198269</v>
      </c>
      <c r="O46">
        <v>9287.583644532031</v>
      </c>
      <c r="P46">
        <v>9</v>
      </c>
      <c r="Q46">
        <v>10908</v>
      </c>
      <c r="R46">
        <v>12</v>
      </c>
      <c r="S46">
        <v>14544</v>
      </c>
      <c r="T46">
        <v>11</v>
      </c>
      <c r="U46">
        <v>13332</v>
      </c>
      <c r="V46">
        <v>10.464485411958862</v>
      </c>
      <c r="W46">
        <v>12682.95631929414</v>
      </c>
      <c r="X46">
        <v>8</v>
      </c>
      <c r="Y46">
        <v>9696</v>
      </c>
      <c r="Z46">
        <v>9</v>
      </c>
      <c r="AA46">
        <v>10908</v>
      </c>
      <c r="AB46">
        <v>11</v>
      </c>
      <c r="AC46">
        <v>13332</v>
      </c>
      <c r="AD46">
        <v>10</v>
      </c>
      <c r="AE46">
        <v>12120</v>
      </c>
      <c r="AF46">
        <v>9</v>
      </c>
      <c r="AG46">
        <v>10908</v>
      </c>
      <c r="AH46">
        <v>9</v>
      </c>
      <c r="AI46">
        <v>10908</v>
      </c>
      <c r="AJ46">
        <v>9.5572607520653623</v>
      </c>
      <c r="AK46">
        <v>11583.400031503219</v>
      </c>
      <c r="AL46">
        <v>6.6387573840518286</v>
      </c>
      <c r="AM46">
        <v>8046.1739494708163</v>
      </c>
      <c r="AN46">
        <v>13</v>
      </c>
      <c r="AO46">
        <v>15756</v>
      </c>
      <c r="AP46">
        <v>12</v>
      </c>
      <c r="AQ46">
        <v>14544</v>
      </c>
      <c r="AR46">
        <v>11.94630982686261</v>
      </c>
      <c r="AS46">
        <v>14478.927510157482</v>
      </c>
      <c r="AT46">
        <v>10.581059234712086</v>
      </c>
      <c r="AU46">
        <v>12824.243792471048</v>
      </c>
      <c r="AV46">
        <v>2.7897545522400753</v>
      </c>
      <c r="AW46">
        <v>3381.1825173149714</v>
      </c>
      <c r="AX46">
        <v>8</v>
      </c>
      <c r="AY46">
        <v>9696</v>
      </c>
      <c r="AZ46">
        <v>7</v>
      </c>
      <c r="BA46">
        <v>8484</v>
      </c>
      <c r="BB46">
        <v>12</v>
      </c>
      <c r="BC46">
        <v>14544</v>
      </c>
      <c r="BD46">
        <v>4.5130585862387171</v>
      </c>
      <c r="BE46">
        <v>5469.8270065213255</v>
      </c>
      <c r="BF46">
        <v>12</v>
      </c>
      <c r="BG46">
        <v>14544</v>
      </c>
      <c r="BH46">
        <v>11</v>
      </c>
      <c r="BI46">
        <v>13332</v>
      </c>
      <c r="BJ46">
        <v>12.455398021572538</v>
      </c>
      <c r="BK46">
        <v>15095.942402145916</v>
      </c>
      <c r="BL46">
        <v>15</v>
      </c>
      <c r="BM46">
        <v>18180</v>
      </c>
      <c r="BN46">
        <v>13</v>
      </c>
      <c r="BO46">
        <v>15756</v>
      </c>
      <c r="BP46">
        <v>13</v>
      </c>
      <c r="BQ46">
        <v>15756</v>
      </c>
      <c r="BR46">
        <v>11</v>
      </c>
      <c r="BS46">
        <v>13332</v>
      </c>
      <c r="BT46">
        <v>4.5110838669615623</v>
      </c>
      <c r="BU46">
        <v>5467.433646757413</v>
      </c>
      <c r="BV46">
        <v>14</v>
      </c>
      <c r="BW46">
        <v>16968</v>
      </c>
      <c r="BX46">
        <v>13</v>
      </c>
      <c r="BY46">
        <v>15756</v>
      </c>
      <c r="BZ46">
        <v>14</v>
      </c>
      <c r="CA46">
        <v>16968</v>
      </c>
      <c r="CB46">
        <v>11</v>
      </c>
      <c r="CC46">
        <v>13332</v>
      </c>
      <c r="CD46">
        <v>1.048261260186971</v>
      </c>
      <c r="CE46">
        <v>1270.4926473466089</v>
      </c>
      <c r="CF46">
        <v>13</v>
      </c>
      <c r="CG46">
        <v>15756</v>
      </c>
      <c r="CH46">
        <v>10</v>
      </c>
      <c r="CI46">
        <v>12120</v>
      </c>
      <c r="CJ46">
        <v>10</v>
      </c>
      <c r="CK46">
        <v>12120</v>
      </c>
      <c r="CL46">
        <v>7</v>
      </c>
      <c r="CM46">
        <v>8484</v>
      </c>
      <c r="CN46">
        <v>5.0789629078806202</v>
      </c>
      <c r="CO46">
        <v>6155.7030443513113</v>
      </c>
      <c r="CP46">
        <v>3.2040342831139439</v>
      </c>
      <c r="CQ46">
        <v>3883.2895511340998</v>
      </c>
      <c r="CR46">
        <v>15</v>
      </c>
      <c r="CS46">
        <v>18180</v>
      </c>
      <c r="CT46">
        <v>8</v>
      </c>
      <c r="CU46">
        <v>9696</v>
      </c>
    </row>
    <row r="47" spans="2:99">
      <c r="C47" s="99" t="s">
        <v>213</v>
      </c>
      <c r="D47">
        <v>7.451198441804844</v>
      </c>
      <c r="E47">
        <v>11382.450739701078</v>
      </c>
      <c r="F47">
        <v>6.849419576424987</v>
      </c>
      <c r="G47">
        <v>10463.17334494681</v>
      </c>
      <c r="H47">
        <v>12.684053022030344</v>
      </c>
      <c r="I47">
        <v>19376.159396453553</v>
      </c>
      <c r="J47">
        <v>13</v>
      </c>
      <c r="K47">
        <v>19858.8</v>
      </c>
      <c r="L47">
        <v>9.3405486435608882</v>
      </c>
      <c r="M47">
        <v>14268.622107903611</v>
      </c>
      <c r="N47">
        <v>7.1156640369469821</v>
      </c>
      <c r="O47">
        <v>10869.888382840209</v>
      </c>
      <c r="P47">
        <v>9</v>
      </c>
      <c r="Q47">
        <v>13748.4</v>
      </c>
      <c r="R47">
        <v>13</v>
      </c>
      <c r="S47">
        <v>19858.8</v>
      </c>
      <c r="T47">
        <v>12</v>
      </c>
      <c r="U47">
        <v>18331.199999999997</v>
      </c>
      <c r="V47">
        <v>10.464485411958862</v>
      </c>
      <c r="W47">
        <v>15985.547915308356</v>
      </c>
      <c r="X47">
        <v>7</v>
      </c>
      <c r="Y47">
        <v>10693.199999999999</v>
      </c>
      <c r="Z47">
        <v>9</v>
      </c>
      <c r="AA47">
        <v>13748.4</v>
      </c>
      <c r="AB47">
        <v>12</v>
      </c>
      <c r="AC47">
        <v>18331.199999999997</v>
      </c>
      <c r="AD47">
        <v>11</v>
      </c>
      <c r="AE47">
        <v>16803.599999999999</v>
      </c>
      <c r="AF47">
        <v>10</v>
      </c>
      <c r="AG47">
        <v>15276</v>
      </c>
      <c r="AH47">
        <v>9</v>
      </c>
      <c r="AI47">
        <v>13748.4</v>
      </c>
      <c r="AJ47">
        <v>10.353699148070808</v>
      </c>
      <c r="AK47">
        <v>15816.310818592965</v>
      </c>
      <c r="AL47">
        <v>6.6387573840518286</v>
      </c>
      <c r="AM47">
        <v>10141.365779877573</v>
      </c>
      <c r="AN47">
        <v>11</v>
      </c>
      <c r="AO47">
        <v>16803.599999999999</v>
      </c>
      <c r="AP47">
        <v>13</v>
      </c>
      <c r="AQ47">
        <v>19858.8</v>
      </c>
      <c r="AR47">
        <v>11.94630982686261</v>
      </c>
      <c r="AS47">
        <v>18249.18289151532</v>
      </c>
      <c r="AT47">
        <v>10.581059234712086</v>
      </c>
      <c r="AU47">
        <v>16163.626086946182</v>
      </c>
      <c r="AV47">
        <v>2.7897545522400753</v>
      </c>
      <c r="AW47">
        <v>4261.629054001939</v>
      </c>
      <c r="AX47">
        <v>8</v>
      </c>
      <c r="AY47">
        <v>12220.8</v>
      </c>
      <c r="AZ47">
        <v>7</v>
      </c>
      <c r="BA47">
        <v>10693.199999999999</v>
      </c>
      <c r="BB47">
        <v>10</v>
      </c>
      <c r="BC47">
        <v>15276</v>
      </c>
      <c r="BD47">
        <v>3.9489262629588766</v>
      </c>
      <c r="BE47">
        <v>6032.37975929598</v>
      </c>
      <c r="BF47">
        <v>13</v>
      </c>
      <c r="BG47">
        <v>19858.8</v>
      </c>
      <c r="BH47">
        <v>11</v>
      </c>
      <c r="BI47">
        <v>16803.599999999999</v>
      </c>
      <c r="BJ47">
        <v>11.625038153467704</v>
      </c>
      <c r="BK47">
        <v>17758.408283237262</v>
      </c>
      <c r="BL47">
        <v>14</v>
      </c>
      <c r="BM47">
        <v>21386.399999999998</v>
      </c>
      <c r="BN47">
        <v>14</v>
      </c>
      <c r="BO47">
        <v>21386.399999999998</v>
      </c>
      <c r="BP47">
        <v>11</v>
      </c>
      <c r="BQ47">
        <v>16803.599999999999</v>
      </c>
      <c r="BR47">
        <v>13</v>
      </c>
      <c r="BS47">
        <v>19858.8</v>
      </c>
      <c r="BT47">
        <v>4.9621922536577179</v>
      </c>
      <c r="BU47">
        <v>7580.2448866875293</v>
      </c>
      <c r="BV47">
        <v>14</v>
      </c>
      <c r="BW47">
        <v>21386.399999999998</v>
      </c>
      <c r="BX47">
        <v>13</v>
      </c>
      <c r="BY47">
        <v>19858.8</v>
      </c>
      <c r="BZ47">
        <v>14</v>
      </c>
      <c r="CA47">
        <v>21386.399999999998</v>
      </c>
      <c r="CB47">
        <v>11</v>
      </c>
      <c r="CC47">
        <v>16803.599999999999</v>
      </c>
      <c r="CD47">
        <v>1.1792939177103421</v>
      </c>
      <c r="CE47">
        <v>1801.4893886943184</v>
      </c>
      <c r="CF47">
        <v>12</v>
      </c>
      <c r="CG47">
        <v>18331.199999999997</v>
      </c>
      <c r="CH47">
        <v>10</v>
      </c>
      <c r="CI47">
        <v>15276</v>
      </c>
      <c r="CJ47">
        <v>11</v>
      </c>
      <c r="CK47">
        <v>16803.599999999999</v>
      </c>
      <c r="CL47">
        <v>7</v>
      </c>
      <c r="CM47">
        <v>10693.199999999999</v>
      </c>
      <c r="CN47">
        <v>5.0789629078806202</v>
      </c>
      <c r="CO47">
        <v>7758.6237380784351</v>
      </c>
      <c r="CP47">
        <v>3.604538568503187</v>
      </c>
      <c r="CQ47">
        <v>5506.2931172454682</v>
      </c>
      <c r="CR47">
        <v>14</v>
      </c>
      <c r="CS47">
        <v>21386.399999999998</v>
      </c>
      <c r="CT47">
        <v>8</v>
      </c>
      <c r="CU47">
        <v>12220.8</v>
      </c>
    </row>
    <row r="48" spans="2:99">
      <c r="C48" s="99" t="s">
        <v>214</v>
      </c>
      <c r="D48">
        <v>8.2791093797831596</v>
      </c>
      <c r="E48">
        <v>7182.955297899869</v>
      </c>
      <c r="F48">
        <v>6.849419576424987</v>
      </c>
      <c r="G48">
        <v>5942.5564245063188</v>
      </c>
      <c r="H48">
        <v>11.778049234742463</v>
      </c>
      <c r="I48">
        <v>10218.635516062561</v>
      </c>
      <c r="J48">
        <v>14</v>
      </c>
      <c r="K48">
        <v>12146.4</v>
      </c>
      <c r="L48">
        <v>10.189689429339149</v>
      </c>
      <c r="M48">
        <v>8840.574548894645</v>
      </c>
      <c r="N48">
        <v>7.1156640369469821</v>
      </c>
      <c r="O48">
        <v>6173.5501184552022</v>
      </c>
      <c r="P48">
        <v>8</v>
      </c>
      <c r="Q48">
        <v>6940.8</v>
      </c>
      <c r="R48">
        <v>12</v>
      </c>
      <c r="S48">
        <v>10411.200000000001</v>
      </c>
      <c r="T48">
        <v>12</v>
      </c>
      <c r="U48">
        <v>10411.200000000001</v>
      </c>
      <c r="V48">
        <v>9.5924449609622897</v>
      </c>
      <c r="W48">
        <v>8322.4052481308827</v>
      </c>
      <c r="X48">
        <v>7</v>
      </c>
      <c r="Y48">
        <v>6073.2</v>
      </c>
      <c r="Z48">
        <v>9</v>
      </c>
      <c r="AA48">
        <v>7808.4000000000005</v>
      </c>
      <c r="AB48">
        <v>12</v>
      </c>
      <c r="AC48">
        <v>10411.200000000001</v>
      </c>
      <c r="AD48">
        <v>12</v>
      </c>
      <c r="AE48">
        <v>10411.200000000001</v>
      </c>
      <c r="AF48">
        <v>10</v>
      </c>
      <c r="AG48">
        <v>8676</v>
      </c>
      <c r="AH48">
        <v>10</v>
      </c>
      <c r="AI48">
        <v>8676</v>
      </c>
      <c r="AJ48">
        <v>10.353699148070808</v>
      </c>
      <c r="AK48">
        <v>8982.8693808662338</v>
      </c>
      <c r="AL48">
        <v>6.6387573840518286</v>
      </c>
      <c r="AM48">
        <v>5759.7859064033664</v>
      </c>
      <c r="AN48">
        <v>12</v>
      </c>
      <c r="AO48">
        <v>10411.200000000001</v>
      </c>
      <c r="AP48">
        <v>13</v>
      </c>
      <c r="AQ48">
        <v>11278.800000000001</v>
      </c>
      <c r="AR48">
        <v>11.94630982686261</v>
      </c>
      <c r="AS48">
        <v>10364.618405786001</v>
      </c>
      <c r="AT48">
        <v>11.394986868151479</v>
      </c>
      <c r="AU48">
        <v>9886.2906068082229</v>
      </c>
      <c r="AV48">
        <v>3.0997272802667504</v>
      </c>
      <c r="AW48">
        <v>2689.3233883594326</v>
      </c>
      <c r="AX48">
        <v>9</v>
      </c>
      <c r="AY48">
        <v>7808.4000000000005</v>
      </c>
      <c r="AZ48">
        <v>8</v>
      </c>
      <c r="BA48">
        <v>6940.8</v>
      </c>
      <c r="BB48">
        <v>12</v>
      </c>
      <c r="BC48">
        <v>10411.200000000001</v>
      </c>
      <c r="BD48">
        <v>5.0771909095185563</v>
      </c>
      <c r="BE48">
        <v>4404.9708330982994</v>
      </c>
      <c r="BF48">
        <v>13</v>
      </c>
      <c r="BG48">
        <v>11278.800000000001</v>
      </c>
      <c r="BH48">
        <v>11</v>
      </c>
      <c r="BI48">
        <v>9543.6</v>
      </c>
      <c r="BJ48">
        <v>12.455398021572538</v>
      </c>
      <c r="BK48">
        <v>10806.303323516335</v>
      </c>
      <c r="BL48">
        <v>15</v>
      </c>
      <c r="BM48">
        <v>13014</v>
      </c>
      <c r="BN48">
        <v>13</v>
      </c>
      <c r="BO48">
        <v>11278.800000000001</v>
      </c>
      <c r="BP48">
        <v>13</v>
      </c>
      <c r="BQ48">
        <v>11278.800000000001</v>
      </c>
      <c r="BR48">
        <v>13</v>
      </c>
      <c r="BS48">
        <v>11278.800000000001</v>
      </c>
      <c r="BT48">
        <v>4.9621922536577179</v>
      </c>
      <c r="BU48">
        <v>4305.1979992734359</v>
      </c>
      <c r="BV48">
        <v>15</v>
      </c>
      <c r="BW48">
        <v>13014</v>
      </c>
      <c r="BX48">
        <v>12</v>
      </c>
      <c r="BY48">
        <v>10411.200000000001</v>
      </c>
      <c r="BZ48">
        <v>16</v>
      </c>
      <c r="CA48">
        <v>13881.6</v>
      </c>
      <c r="CB48">
        <v>12</v>
      </c>
      <c r="CC48">
        <v>10411.200000000001</v>
      </c>
      <c r="CD48">
        <v>1.1792939177103421</v>
      </c>
      <c r="CE48">
        <v>1023.1554030054929</v>
      </c>
      <c r="CF48">
        <v>12</v>
      </c>
      <c r="CG48">
        <v>10411.200000000001</v>
      </c>
      <c r="CH48">
        <v>9</v>
      </c>
      <c r="CI48">
        <v>7808.4000000000005</v>
      </c>
      <c r="CJ48">
        <v>10</v>
      </c>
      <c r="CK48">
        <v>8676</v>
      </c>
      <c r="CL48">
        <v>7</v>
      </c>
      <c r="CM48">
        <v>6073.2</v>
      </c>
      <c r="CN48">
        <v>5.0789629078806202</v>
      </c>
      <c r="CO48">
        <v>4406.5082188772258</v>
      </c>
      <c r="CP48">
        <v>3.2040342831139439</v>
      </c>
      <c r="CQ48">
        <v>2779.820144029658</v>
      </c>
      <c r="CR48">
        <v>15</v>
      </c>
      <c r="CS48">
        <v>13014</v>
      </c>
      <c r="CT48">
        <v>9</v>
      </c>
      <c r="CU48">
        <v>7808.4000000000005</v>
      </c>
    </row>
    <row r="49" spans="2:99">
      <c r="B49" s="99" t="s">
        <v>129</v>
      </c>
      <c r="C49" s="99" t="s">
        <v>215</v>
      </c>
      <c r="D49">
        <v>7</v>
      </c>
      <c r="E49">
        <v>6896.4</v>
      </c>
      <c r="F49">
        <v>10</v>
      </c>
      <c r="G49">
        <v>9852</v>
      </c>
      <c r="H49">
        <v>7</v>
      </c>
      <c r="I49">
        <v>6896.4</v>
      </c>
      <c r="J49">
        <v>5</v>
      </c>
      <c r="K49">
        <v>4926</v>
      </c>
      <c r="L49">
        <v>8</v>
      </c>
      <c r="M49">
        <v>7881.5999999999995</v>
      </c>
      <c r="N49">
        <v>9</v>
      </c>
      <c r="O49">
        <v>8866.7999999999993</v>
      </c>
      <c r="P49">
        <v>10</v>
      </c>
      <c r="Q49">
        <v>9852</v>
      </c>
      <c r="R49">
        <v>5.7118960130432486</v>
      </c>
      <c r="S49">
        <v>5627.3599520502084</v>
      </c>
      <c r="T49">
        <v>1.714847204329941</v>
      </c>
      <c r="U49">
        <v>1689.4674657058576</v>
      </c>
      <c r="V49">
        <v>7</v>
      </c>
      <c r="W49">
        <v>6896.4</v>
      </c>
      <c r="X49">
        <v>5.1209769319749396</v>
      </c>
      <c r="Y49">
        <v>5045.1864733817101</v>
      </c>
      <c r="Z49">
        <v>7</v>
      </c>
      <c r="AA49">
        <v>6896.4</v>
      </c>
      <c r="AB49">
        <v>10.156131395255615</v>
      </c>
      <c r="AC49">
        <v>10005.82065060583</v>
      </c>
      <c r="AD49">
        <v>8</v>
      </c>
      <c r="AE49">
        <v>7881.5999999999995</v>
      </c>
      <c r="AF49">
        <v>7</v>
      </c>
      <c r="AG49">
        <v>6896.4</v>
      </c>
      <c r="AH49">
        <v>7</v>
      </c>
      <c r="AI49">
        <v>6896.4</v>
      </c>
      <c r="AJ49">
        <v>8</v>
      </c>
      <c r="AK49">
        <v>7881.5999999999995</v>
      </c>
      <c r="AL49">
        <v>7</v>
      </c>
      <c r="AM49">
        <v>6896.4</v>
      </c>
      <c r="AN49">
        <v>10</v>
      </c>
      <c r="AO49">
        <v>9852</v>
      </c>
      <c r="AP49">
        <v>9.6743215000788094</v>
      </c>
      <c r="AQ49">
        <v>9531.1415418776432</v>
      </c>
      <c r="AR49">
        <v>8</v>
      </c>
      <c r="AS49">
        <v>7881.5999999999995</v>
      </c>
      <c r="AT49">
        <v>6.9865137053265824</v>
      </c>
      <c r="AU49">
        <v>6883.1133024877481</v>
      </c>
      <c r="AV49">
        <v>6.7390374134284832</v>
      </c>
      <c r="AW49">
        <v>6639.2996597097408</v>
      </c>
      <c r="AX49">
        <v>0</v>
      </c>
      <c r="AY49">
        <v>0</v>
      </c>
      <c r="AZ49">
        <v>7</v>
      </c>
      <c r="BA49">
        <v>6896.4</v>
      </c>
      <c r="BB49">
        <v>4.1538409126796756</v>
      </c>
      <c r="BC49">
        <v>4092.3640671720159</v>
      </c>
      <c r="BD49">
        <v>5.5632056231324647</v>
      </c>
      <c r="BE49">
        <v>5480.8701799101036</v>
      </c>
      <c r="BF49">
        <v>8</v>
      </c>
      <c r="BG49">
        <v>7881.5999999999995</v>
      </c>
      <c r="BH49">
        <v>7</v>
      </c>
      <c r="BI49">
        <v>6896.4</v>
      </c>
      <c r="BJ49">
        <v>3.2110319700859189</v>
      </c>
      <c r="BK49">
        <v>3163.5086969286472</v>
      </c>
      <c r="BL49">
        <v>8</v>
      </c>
      <c r="BM49">
        <v>7881.5999999999995</v>
      </c>
      <c r="BN49">
        <v>6</v>
      </c>
      <c r="BO49">
        <v>5911.2</v>
      </c>
      <c r="BP49">
        <v>6</v>
      </c>
      <c r="BQ49">
        <v>5911.2</v>
      </c>
      <c r="BR49">
        <v>6</v>
      </c>
      <c r="BS49">
        <v>5911.2</v>
      </c>
      <c r="BT49">
        <v>6</v>
      </c>
      <c r="BU49">
        <v>5911.2</v>
      </c>
      <c r="BV49">
        <v>7.2450585755182537</v>
      </c>
      <c r="BW49">
        <v>7137.8317086005827</v>
      </c>
      <c r="BX49">
        <v>7.980550923660263</v>
      </c>
      <c r="BY49">
        <v>7862.4387699900908</v>
      </c>
      <c r="BZ49">
        <v>1.9117780445691217</v>
      </c>
      <c r="CA49">
        <v>1883.4837295094985</v>
      </c>
      <c r="CB49">
        <v>7.3740290534620829</v>
      </c>
      <c r="CC49">
        <v>7264.893423470844</v>
      </c>
      <c r="CD49">
        <v>8</v>
      </c>
      <c r="CE49">
        <v>7881.5999999999995</v>
      </c>
      <c r="CF49">
        <v>6</v>
      </c>
      <c r="CG49">
        <v>5911.2</v>
      </c>
      <c r="CH49">
        <v>9</v>
      </c>
      <c r="CI49">
        <v>8866.7999999999993</v>
      </c>
      <c r="CJ49">
        <v>0.11698891743024453</v>
      </c>
      <c r="CK49">
        <v>115.25748145227691</v>
      </c>
      <c r="CL49">
        <v>11</v>
      </c>
      <c r="CM49">
        <v>10837.199999999999</v>
      </c>
      <c r="CN49">
        <v>11</v>
      </c>
      <c r="CO49">
        <v>10837.199999999999</v>
      </c>
      <c r="CP49">
        <v>9</v>
      </c>
      <c r="CQ49">
        <v>8866.7999999999993</v>
      </c>
      <c r="CR49">
        <v>9.9352806838381031</v>
      </c>
      <c r="CS49">
        <v>9788.2385297172987</v>
      </c>
      <c r="CT49">
        <v>6</v>
      </c>
      <c r="CU49">
        <v>5911.2</v>
      </c>
    </row>
    <row r="50" spans="2:99">
      <c r="C50" s="99" t="s">
        <v>216</v>
      </c>
      <c r="D50">
        <v>5.7953765658482119</v>
      </c>
      <c r="E50">
        <v>1634.2961915691958</v>
      </c>
      <c r="F50">
        <v>9.4179519175843573</v>
      </c>
      <c r="G50">
        <v>2655.8624407587886</v>
      </c>
      <c r="H50">
        <v>8.1540340855909363</v>
      </c>
      <c r="I50">
        <v>2299.437612136644</v>
      </c>
      <c r="J50">
        <v>6</v>
      </c>
      <c r="K50">
        <v>1692</v>
      </c>
      <c r="L50">
        <v>7.6422670720043628</v>
      </c>
      <c r="M50">
        <v>2155.1193143052305</v>
      </c>
      <c r="N50">
        <v>5.4735877207284469</v>
      </c>
      <c r="O50">
        <v>1543.5517372454219</v>
      </c>
      <c r="P50">
        <v>11</v>
      </c>
      <c r="Q50">
        <v>3102</v>
      </c>
      <c r="R50">
        <v>6</v>
      </c>
      <c r="S50">
        <v>1692</v>
      </c>
      <c r="T50">
        <v>9</v>
      </c>
      <c r="U50">
        <v>2538</v>
      </c>
      <c r="V50">
        <v>6.1042831569760025</v>
      </c>
      <c r="W50">
        <v>1721.4078502672328</v>
      </c>
      <c r="X50">
        <v>7</v>
      </c>
      <c r="Y50">
        <v>1974</v>
      </c>
      <c r="Z50">
        <v>7</v>
      </c>
      <c r="AA50">
        <v>1974</v>
      </c>
      <c r="AB50">
        <v>12</v>
      </c>
      <c r="AC50">
        <v>3384</v>
      </c>
      <c r="AD50">
        <v>7</v>
      </c>
      <c r="AE50">
        <v>1974</v>
      </c>
      <c r="AF50">
        <v>8</v>
      </c>
      <c r="AG50">
        <v>2256</v>
      </c>
      <c r="AH50">
        <v>8</v>
      </c>
      <c r="AI50">
        <v>2256</v>
      </c>
      <c r="AJ50">
        <v>6.3715071680435749</v>
      </c>
      <c r="AK50">
        <v>1796.765021388288</v>
      </c>
      <c r="AL50">
        <v>5.9748816456466463</v>
      </c>
      <c r="AM50">
        <v>1684.9166240723544</v>
      </c>
      <c r="AN50">
        <v>12</v>
      </c>
      <c r="AO50">
        <v>3384</v>
      </c>
      <c r="AP50">
        <v>10</v>
      </c>
      <c r="AQ50">
        <v>2820</v>
      </c>
      <c r="AR50">
        <v>7.6797706029831057</v>
      </c>
      <c r="AS50">
        <v>2165.6953100412356</v>
      </c>
      <c r="AT50">
        <v>5.6974934340757395</v>
      </c>
      <c r="AU50">
        <v>1606.6931484093586</v>
      </c>
      <c r="AV50">
        <v>1.8598363681600505</v>
      </c>
      <c r="AW50">
        <v>524.47385582113429</v>
      </c>
      <c r="AX50">
        <v>9</v>
      </c>
      <c r="AY50">
        <v>2538</v>
      </c>
      <c r="AZ50">
        <v>6</v>
      </c>
      <c r="BA50">
        <v>1692</v>
      </c>
      <c r="BB50">
        <v>9</v>
      </c>
      <c r="BC50">
        <v>2538</v>
      </c>
      <c r="BD50">
        <v>3.9489262629588766</v>
      </c>
      <c r="BE50">
        <v>1113.5972061544032</v>
      </c>
      <c r="BF50">
        <v>9</v>
      </c>
      <c r="BG50">
        <v>2538</v>
      </c>
      <c r="BH50">
        <v>8</v>
      </c>
      <c r="BI50">
        <v>2256</v>
      </c>
      <c r="BJ50">
        <v>4.9821592086290156</v>
      </c>
      <c r="BK50">
        <v>1404.9688968333824</v>
      </c>
      <c r="BL50">
        <v>9</v>
      </c>
      <c r="BM50">
        <v>2538</v>
      </c>
      <c r="BN50">
        <v>6</v>
      </c>
      <c r="BO50">
        <v>1692</v>
      </c>
      <c r="BP50">
        <v>6</v>
      </c>
      <c r="BQ50">
        <v>1692</v>
      </c>
      <c r="BR50">
        <v>6</v>
      </c>
      <c r="BS50">
        <v>1692</v>
      </c>
      <c r="BT50">
        <v>3.1577587068730932</v>
      </c>
      <c r="BU50">
        <v>890.48795533821226</v>
      </c>
      <c r="BV50">
        <v>10</v>
      </c>
      <c r="BW50">
        <v>2820</v>
      </c>
      <c r="BX50">
        <v>11</v>
      </c>
      <c r="BY50">
        <v>3102</v>
      </c>
      <c r="BZ50">
        <v>9</v>
      </c>
      <c r="CA50">
        <v>2538</v>
      </c>
      <c r="CB50">
        <v>9</v>
      </c>
      <c r="CC50">
        <v>2538</v>
      </c>
      <c r="CD50">
        <v>1.1792939177103421</v>
      </c>
      <c r="CE50">
        <v>332.56088479431645</v>
      </c>
      <c r="CF50">
        <v>7</v>
      </c>
      <c r="CG50">
        <v>1974</v>
      </c>
      <c r="CH50">
        <v>9</v>
      </c>
      <c r="CI50">
        <v>2538</v>
      </c>
      <c r="CJ50">
        <v>8</v>
      </c>
      <c r="CK50">
        <v>2256</v>
      </c>
      <c r="CL50">
        <v>12</v>
      </c>
      <c r="CM50">
        <v>3384</v>
      </c>
      <c r="CN50">
        <v>7.2556612969723142</v>
      </c>
      <c r="CO50">
        <v>2046.0964857461927</v>
      </c>
      <c r="CP50">
        <v>3.604538568503187</v>
      </c>
      <c r="CQ50">
        <v>1016.4798763178987</v>
      </c>
      <c r="CR50">
        <v>12</v>
      </c>
      <c r="CS50">
        <v>3384</v>
      </c>
      <c r="CT50">
        <v>6</v>
      </c>
      <c r="CU50">
        <v>1692</v>
      </c>
    </row>
    <row r="51" spans="2:99">
      <c r="C51" s="99" t="s">
        <v>217</v>
      </c>
      <c r="D51">
        <v>6.6232875038265284</v>
      </c>
      <c r="E51">
        <v>5658.9368432693855</v>
      </c>
      <c r="F51">
        <v>9.4179519175843573</v>
      </c>
      <c r="G51">
        <v>8046.6981183840744</v>
      </c>
      <c r="H51">
        <v>6.3420265110151721</v>
      </c>
      <c r="I51">
        <v>5418.6274510113626</v>
      </c>
      <c r="J51">
        <v>6</v>
      </c>
      <c r="K51">
        <v>5126.3999999999996</v>
      </c>
      <c r="L51">
        <v>6.7931262862260997</v>
      </c>
      <c r="M51">
        <v>5804.0470989515798</v>
      </c>
      <c r="N51">
        <v>5.4735877207284469</v>
      </c>
      <c r="O51">
        <v>4676.6333485903851</v>
      </c>
      <c r="P51">
        <v>12</v>
      </c>
      <c r="Q51">
        <v>10252.799999999999</v>
      </c>
      <c r="R51">
        <v>6</v>
      </c>
      <c r="S51">
        <v>5126.3999999999996</v>
      </c>
      <c r="T51">
        <v>9</v>
      </c>
      <c r="U51">
        <v>7689.5999999999995</v>
      </c>
      <c r="V51">
        <v>6.1042831569760025</v>
      </c>
      <c r="W51">
        <v>5215.4995293202965</v>
      </c>
      <c r="X51">
        <v>7</v>
      </c>
      <c r="Y51">
        <v>5980.8</v>
      </c>
      <c r="Z51">
        <v>6</v>
      </c>
      <c r="AA51">
        <v>5126.3999999999996</v>
      </c>
      <c r="AB51">
        <v>10</v>
      </c>
      <c r="AC51">
        <v>8544</v>
      </c>
      <c r="AD51">
        <v>7</v>
      </c>
      <c r="AE51">
        <v>5980.8</v>
      </c>
      <c r="AF51">
        <v>8</v>
      </c>
      <c r="AG51">
        <v>6835.2</v>
      </c>
      <c r="AH51">
        <v>7</v>
      </c>
      <c r="AI51">
        <v>5980.8</v>
      </c>
      <c r="AJ51">
        <v>6.3715071680435749</v>
      </c>
      <c r="AK51">
        <v>5443.8157243764299</v>
      </c>
      <c r="AL51">
        <v>5.3110059072414639</v>
      </c>
      <c r="AM51">
        <v>4537.7234471471065</v>
      </c>
      <c r="AN51">
        <v>11</v>
      </c>
      <c r="AO51">
        <v>9398.4</v>
      </c>
      <c r="AP51">
        <v>9</v>
      </c>
      <c r="AQ51">
        <v>7689.5999999999995</v>
      </c>
      <c r="AR51">
        <v>7.6797706029831057</v>
      </c>
      <c r="AS51">
        <v>6561.5960031887653</v>
      </c>
      <c r="AT51">
        <v>6.5114210675151307</v>
      </c>
      <c r="AU51">
        <v>5563.3581600849275</v>
      </c>
      <c r="AV51">
        <v>2.1698090961867251</v>
      </c>
      <c r="AW51">
        <v>1853.884891781938</v>
      </c>
      <c r="AX51">
        <v>9</v>
      </c>
      <c r="AY51">
        <v>7689.5999999999995</v>
      </c>
      <c r="AZ51">
        <v>6</v>
      </c>
      <c r="BA51">
        <v>5126.3999999999996</v>
      </c>
      <c r="BB51">
        <v>8</v>
      </c>
      <c r="BC51">
        <v>6835.2</v>
      </c>
      <c r="BD51">
        <v>3.9489262629588766</v>
      </c>
      <c r="BE51">
        <v>3373.9625990720642</v>
      </c>
      <c r="BF51">
        <v>9</v>
      </c>
      <c r="BG51">
        <v>7689.5999999999995</v>
      </c>
      <c r="BH51">
        <v>6</v>
      </c>
      <c r="BI51">
        <v>5126.3999999999996</v>
      </c>
      <c r="BJ51">
        <v>4.9821592086290156</v>
      </c>
      <c r="BK51">
        <v>4256.7568278526305</v>
      </c>
      <c r="BL51">
        <v>7</v>
      </c>
      <c r="BM51">
        <v>5980.8</v>
      </c>
      <c r="BN51">
        <v>6</v>
      </c>
      <c r="BO51">
        <v>5126.3999999999996</v>
      </c>
      <c r="BP51">
        <v>6</v>
      </c>
      <c r="BQ51">
        <v>5126.3999999999996</v>
      </c>
      <c r="BR51">
        <v>7</v>
      </c>
      <c r="BS51">
        <v>5980.8</v>
      </c>
      <c r="BT51">
        <v>3.1577587068730932</v>
      </c>
      <c r="BU51">
        <v>2697.9890391523709</v>
      </c>
      <c r="BV51">
        <v>9</v>
      </c>
      <c r="BW51">
        <v>7689.5999999999995</v>
      </c>
      <c r="BX51">
        <v>10</v>
      </c>
      <c r="BY51">
        <v>8544</v>
      </c>
      <c r="BZ51">
        <v>9</v>
      </c>
      <c r="CA51">
        <v>7689.5999999999995</v>
      </c>
      <c r="CB51">
        <v>10</v>
      </c>
      <c r="CC51">
        <v>8544</v>
      </c>
      <c r="CD51">
        <v>1.048261260186971</v>
      </c>
      <c r="CE51">
        <v>895.63442070374799</v>
      </c>
      <c r="CF51">
        <v>6</v>
      </c>
      <c r="CG51">
        <v>5126.3999999999996</v>
      </c>
      <c r="CH51">
        <v>8</v>
      </c>
      <c r="CI51">
        <v>6835.2</v>
      </c>
      <c r="CJ51">
        <v>8</v>
      </c>
      <c r="CK51">
        <v>6835.2</v>
      </c>
      <c r="CL51">
        <v>10</v>
      </c>
      <c r="CM51">
        <v>8544</v>
      </c>
      <c r="CN51">
        <v>7.2556612969723142</v>
      </c>
      <c r="CO51">
        <v>6199.2370121331451</v>
      </c>
      <c r="CP51">
        <v>3.604538568503187</v>
      </c>
      <c r="CQ51">
        <v>3079.717752929123</v>
      </c>
      <c r="CR51">
        <v>9</v>
      </c>
      <c r="CS51">
        <v>7689.5999999999995</v>
      </c>
      <c r="CT51">
        <v>6</v>
      </c>
      <c r="CU51">
        <v>5126.3999999999996</v>
      </c>
    </row>
    <row r="52" spans="2:99">
      <c r="C52" s="99" t="s">
        <v>218</v>
      </c>
      <c r="D52">
        <v>6.6232875038265284</v>
      </c>
      <c r="E52">
        <v>3576.5752520663254</v>
      </c>
      <c r="F52">
        <v>8.5617744705312333</v>
      </c>
      <c r="G52">
        <v>4623.3582140868657</v>
      </c>
      <c r="H52">
        <v>6.3420265110151721</v>
      </c>
      <c r="I52">
        <v>3424.694315948193</v>
      </c>
      <c r="J52">
        <v>5</v>
      </c>
      <c r="K52">
        <v>2700</v>
      </c>
      <c r="L52">
        <v>6.7931262862260997</v>
      </c>
      <c r="M52">
        <v>3668.2881945620938</v>
      </c>
      <c r="N52">
        <v>5.4735877207284469</v>
      </c>
      <c r="O52">
        <v>2955.7373691933612</v>
      </c>
      <c r="P52">
        <v>10</v>
      </c>
      <c r="Q52">
        <v>5400</v>
      </c>
      <c r="R52">
        <v>5</v>
      </c>
      <c r="S52">
        <v>2700</v>
      </c>
      <c r="T52">
        <v>9</v>
      </c>
      <c r="U52">
        <v>4860</v>
      </c>
      <c r="V52">
        <v>6.1042831569760025</v>
      </c>
      <c r="W52">
        <v>3296.3129047670413</v>
      </c>
      <c r="X52">
        <v>7</v>
      </c>
      <c r="Y52">
        <v>3780</v>
      </c>
      <c r="Z52">
        <v>6</v>
      </c>
      <c r="AA52">
        <v>3240</v>
      </c>
      <c r="AB52">
        <v>11</v>
      </c>
      <c r="AC52">
        <v>5940</v>
      </c>
      <c r="AD52">
        <v>8</v>
      </c>
      <c r="AE52">
        <v>4320</v>
      </c>
      <c r="AF52">
        <v>8</v>
      </c>
      <c r="AG52">
        <v>4320</v>
      </c>
      <c r="AH52">
        <v>7</v>
      </c>
      <c r="AI52">
        <v>3780</v>
      </c>
      <c r="AJ52">
        <v>6.3715071680435749</v>
      </c>
      <c r="AK52">
        <v>3440.6138707435302</v>
      </c>
      <c r="AL52">
        <v>4.6471301688362798</v>
      </c>
      <c r="AM52">
        <v>2509.4502911715913</v>
      </c>
      <c r="AN52">
        <v>12</v>
      </c>
      <c r="AO52">
        <v>6480</v>
      </c>
      <c r="AP52">
        <v>9</v>
      </c>
      <c r="AQ52">
        <v>4860</v>
      </c>
      <c r="AR52">
        <v>6.8264627582072048</v>
      </c>
      <c r="AS52">
        <v>3686.2898894318905</v>
      </c>
      <c r="AT52">
        <v>6.5114210675151307</v>
      </c>
      <c r="AU52">
        <v>3516.1673764581706</v>
      </c>
      <c r="AV52">
        <v>2.1698090961867251</v>
      </c>
      <c r="AW52">
        <v>1171.6969119408316</v>
      </c>
      <c r="AX52">
        <v>9</v>
      </c>
      <c r="AY52">
        <v>4860</v>
      </c>
      <c r="AZ52">
        <v>7</v>
      </c>
      <c r="BA52">
        <v>3780</v>
      </c>
      <c r="BB52">
        <v>9</v>
      </c>
      <c r="BC52">
        <v>4860</v>
      </c>
      <c r="BD52">
        <v>4.5130585862387171</v>
      </c>
      <c r="BE52">
        <v>2437.0516365689073</v>
      </c>
      <c r="BF52">
        <v>10</v>
      </c>
      <c r="BG52">
        <v>5400</v>
      </c>
      <c r="BH52">
        <v>7</v>
      </c>
      <c r="BI52">
        <v>3780</v>
      </c>
      <c r="BJ52">
        <v>4.9821592086290156</v>
      </c>
      <c r="BK52">
        <v>2690.3659726596684</v>
      </c>
      <c r="BL52">
        <v>7</v>
      </c>
      <c r="BM52">
        <v>3780</v>
      </c>
      <c r="BN52">
        <v>7</v>
      </c>
      <c r="BO52">
        <v>3780</v>
      </c>
      <c r="BP52">
        <v>6</v>
      </c>
      <c r="BQ52">
        <v>3240</v>
      </c>
      <c r="BR52">
        <v>6</v>
      </c>
      <c r="BS52">
        <v>3240</v>
      </c>
      <c r="BT52">
        <v>3.1577587068730932</v>
      </c>
      <c r="BU52">
        <v>1705.1897017114704</v>
      </c>
      <c r="BV52">
        <v>9</v>
      </c>
      <c r="BW52">
        <v>4860</v>
      </c>
      <c r="BX52">
        <v>10</v>
      </c>
      <c r="BY52">
        <v>5400</v>
      </c>
      <c r="BZ52">
        <v>9</v>
      </c>
      <c r="CA52">
        <v>4860</v>
      </c>
      <c r="CB52">
        <v>11</v>
      </c>
      <c r="CC52">
        <v>5940</v>
      </c>
      <c r="CD52">
        <v>1.3103265752337137</v>
      </c>
      <c r="CE52">
        <v>707.57635062620534</v>
      </c>
      <c r="CF52">
        <v>6</v>
      </c>
      <c r="CG52">
        <v>3240</v>
      </c>
      <c r="CH52">
        <v>9</v>
      </c>
      <c r="CI52">
        <v>4860</v>
      </c>
      <c r="CJ52">
        <v>8</v>
      </c>
      <c r="CK52">
        <v>4320</v>
      </c>
      <c r="CL52">
        <v>11</v>
      </c>
      <c r="CM52">
        <v>5940</v>
      </c>
      <c r="CN52">
        <v>7.2556612969723142</v>
      </c>
      <c r="CO52">
        <v>3918.0571003650498</v>
      </c>
      <c r="CP52">
        <v>4.0050428538924301</v>
      </c>
      <c r="CQ52">
        <v>2162.7231411019125</v>
      </c>
      <c r="CR52">
        <v>11</v>
      </c>
      <c r="CS52">
        <v>5940</v>
      </c>
      <c r="CT52">
        <v>6</v>
      </c>
      <c r="CU52">
        <v>3240</v>
      </c>
    </row>
    <row r="53" spans="2:99">
      <c r="C53" s="99" t="s">
        <v>219</v>
      </c>
      <c r="D53">
        <v>6.6232875038265284</v>
      </c>
      <c r="E53">
        <v>2694.3533565566318</v>
      </c>
      <c r="F53">
        <v>8.5617744705312333</v>
      </c>
      <c r="G53">
        <v>3482.9298546121058</v>
      </c>
      <c r="H53">
        <v>7.2480302983030542</v>
      </c>
      <c r="I53">
        <v>2948.4987253496824</v>
      </c>
      <c r="J53">
        <v>5</v>
      </c>
      <c r="K53">
        <v>2034</v>
      </c>
      <c r="L53">
        <v>7.6422670720043628</v>
      </c>
      <c r="M53">
        <v>3108.8742448913749</v>
      </c>
      <c r="N53">
        <v>6.0209464928012917</v>
      </c>
      <c r="O53">
        <v>2449.3210332715657</v>
      </c>
      <c r="P53">
        <v>12</v>
      </c>
      <c r="Q53">
        <v>4881.6000000000004</v>
      </c>
      <c r="R53">
        <v>5</v>
      </c>
      <c r="S53">
        <v>2034</v>
      </c>
      <c r="T53">
        <v>10</v>
      </c>
      <c r="U53">
        <v>4068</v>
      </c>
      <c r="V53">
        <v>6.1042831569760025</v>
      </c>
      <c r="W53">
        <v>2483.2223882578378</v>
      </c>
      <c r="X53">
        <v>7</v>
      </c>
      <c r="Y53">
        <v>2847.6</v>
      </c>
      <c r="Z53">
        <v>7</v>
      </c>
      <c r="AA53">
        <v>2847.6</v>
      </c>
      <c r="AB53">
        <v>11</v>
      </c>
      <c r="AC53">
        <v>4474.8</v>
      </c>
      <c r="AD53">
        <v>8</v>
      </c>
      <c r="AE53">
        <v>3254.4</v>
      </c>
      <c r="AF53">
        <v>7</v>
      </c>
      <c r="AG53">
        <v>2847.6</v>
      </c>
      <c r="AH53">
        <v>7</v>
      </c>
      <c r="AI53">
        <v>2847.6</v>
      </c>
      <c r="AJ53">
        <v>6.3715071680435749</v>
      </c>
      <c r="AK53">
        <v>2591.9291159601262</v>
      </c>
      <c r="AL53">
        <v>4.6471301688362798</v>
      </c>
      <c r="AM53">
        <v>1890.4525526825987</v>
      </c>
      <c r="AN53">
        <v>11</v>
      </c>
      <c r="AO53">
        <v>4474.8</v>
      </c>
      <c r="AP53">
        <v>10</v>
      </c>
      <c r="AQ53">
        <v>4068</v>
      </c>
      <c r="AR53">
        <v>7.6797706029831057</v>
      </c>
      <c r="AS53">
        <v>3124.1306812935277</v>
      </c>
      <c r="AT53">
        <v>5.6974934340757395</v>
      </c>
      <c r="AU53">
        <v>2317.7403289820109</v>
      </c>
      <c r="AV53">
        <v>1.8598363681600505</v>
      </c>
      <c r="AW53">
        <v>756.58143456750861</v>
      </c>
      <c r="AX53">
        <v>9</v>
      </c>
      <c r="AY53">
        <v>3661.2000000000003</v>
      </c>
      <c r="AZ53">
        <v>7</v>
      </c>
      <c r="BA53">
        <v>2847.6</v>
      </c>
      <c r="BB53">
        <v>8</v>
      </c>
      <c r="BC53">
        <v>3254.4</v>
      </c>
      <c r="BD53">
        <v>4.5130585862387171</v>
      </c>
      <c r="BE53">
        <v>1835.9122328819101</v>
      </c>
      <c r="BF53">
        <v>9</v>
      </c>
      <c r="BG53">
        <v>3661.2000000000003</v>
      </c>
      <c r="BH53">
        <v>7</v>
      </c>
      <c r="BI53">
        <v>2847.6</v>
      </c>
      <c r="BJ53">
        <v>4.9821592086290156</v>
      </c>
      <c r="BK53">
        <v>2026.7423660702837</v>
      </c>
      <c r="BL53">
        <v>7</v>
      </c>
      <c r="BM53">
        <v>2847.6</v>
      </c>
      <c r="BN53">
        <v>7</v>
      </c>
      <c r="BO53">
        <v>2847.6</v>
      </c>
      <c r="BP53">
        <v>6</v>
      </c>
      <c r="BQ53">
        <v>2440.8000000000002</v>
      </c>
      <c r="BR53">
        <v>7</v>
      </c>
      <c r="BS53">
        <v>2847.6</v>
      </c>
      <c r="BT53">
        <v>3.1577587068730932</v>
      </c>
      <c r="BU53">
        <v>1284.5762419559744</v>
      </c>
      <c r="BV53">
        <v>9</v>
      </c>
      <c r="BW53">
        <v>3661.2000000000003</v>
      </c>
      <c r="BX53">
        <v>9</v>
      </c>
      <c r="BY53">
        <v>3661.2000000000003</v>
      </c>
      <c r="BZ53">
        <v>9</v>
      </c>
      <c r="CA53">
        <v>3661.2000000000003</v>
      </c>
      <c r="CB53">
        <v>10</v>
      </c>
      <c r="CC53">
        <v>4068</v>
      </c>
      <c r="CD53">
        <v>1.1792939177103421</v>
      </c>
      <c r="CE53">
        <v>479.73676572456719</v>
      </c>
      <c r="CF53">
        <v>6</v>
      </c>
      <c r="CG53">
        <v>2440.8000000000002</v>
      </c>
      <c r="CH53">
        <v>8</v>
      </c>
      <c r="CI53">
        <v>3254.4</v>
      </c>
      <c r="CJ53">
        <v>8</v>
      </c>
      <c r="CK53">
        <v>3254.4</v>
      </c>
      <c r="CL53">
        <v>10</v>
      </c>
      <c r="CM53">
        <v>4068</v>
      </c>
      <c r="CN53">
        <v>7.2556612969723142</v>
      </c>
      <c r="CO53">
        <v>2951.6030156083375</v>
      </c>
      <c r="CP53">
        <v>4.0050428538924301</v>
      </c>
      <c r="CQ53">
        <v>1629.2514329634405</v>
      </c>
      <c r="CR53">
        <v>11</v>
      </c>
      <c r="CS53">
        <v>4474.8</v>
      </c>
      <c r="CT53">
        <v>6</v>
      </c>
      <c r="CU53">
        <v>2440.8000000000002</v>
      </c>
    </row>
    <row r="54" spans="2:99">
      <c r="C54" s="99" t="s">
        <v>220</v>
      </c>
      <c r="D54">
        <v>7.451198441804844</v>
      </c>
      <c r="E54">
        <v>2494.6612383162619</v>
      </c>
      <c r="F54">
        <v>9.4179519175843573</v>
      </c>
      <c r="G54">
        <v>3153.1303020072428</v>
      </c>
      <c r="H54">
        <v>7.2480302983030542</v>
      </c>
      <c r="I54">
        <v>2426.6405438718625</v>
      </c>
      <c r="J54">
        <v>5</v>
      </c>
      <c r="K54">
        <v>1674</v>
      </c>
      <c r="L54">
        <v>6.7931262862260997</v>
      </c>
      <c r="M54">
        <v>2274.3386806284984</v>
      </c>
      <c r="N54">
        <v>4.9262289486556021</v>
      </c>
      <c r="O54">
        <v>1649.3014520098957</v>
      </c>
      <c r="P54">
        <v>12</v>
      </c>
      <c r="Q54">
        <v>4017.6000000000004</v>
      </c>
      <c r="R54">
        <v>6</v>
      </c>
      <c r="S54">
        <v>2008.8000000000002</v>
      </c>
      <c r="T54">
        <v>10</v>
      </c>
      <c r="U54">
        <v>3348</v>
      </c>
      <c r="V54">
        <v>6.9763236079725752</v>
      </c>
      <c r="W54">
        <v>2335.6731439492182</v>
      </c>
      <c r="X54">
        <v>6</v>
      </c>
      <c r="Y54">
        <v>2008.8000000000002</v>
      </c>
      <c r="Z54">
        <v>7</v>
      </c>
      <c r="AA54">
        <v>2343.6</v>
      </c>
      <c r="AB54">
        <v>11</v>
      </c>
      <c r="AC54">
        <v>3682.8</v>
      </c>
      <c r="AD54">
        <v>7</v>
      </c>
      <c r="AE54">
        <v>2343.6</v>
      </c>
      <c r="AF54">
        <v>7</v>
      </c>
      <c r="AG54">
        <v>2343.6</v>
      </c>
      <c r="AH54">
        <v>8</v>
      </c>
      <c r="AI54">
        <v>2678.4</v>
      </c>
      <c r="AJ54">
        <v>6.3715071680435749</v>
      </c>
      <c r="AK54">
        <v>2133.1805998609889</v>
      </c>
      <c r="AL54">
        <v>5.9748816456466463</v>
      </c>
      <c r="AM54">
        <v>2000.3903749624972</v>
      </c>
      <c r="AN54">
        <v>11</v>
      </c>
      <c r="AO54">
        <v>3682.8</v>
      </c>
      <c r="AP54">
        <v>10</v>
      </c>
      <c r="AQ54">
        <v>3348</v>
      </c>
      <c r="AR54">
        <v>6.8264627582072048</v>
      </c>
      <c r="AS54">
        <v>2285.4997314477723</v>
      </c>
      <c r="AT54">
        <v>6.5114210675151307</v>
      </c>
      <c r="AU54">
        <v>2180.0237734040657</v>
      </c>
      <c r="AV54">
        <v>2.1698090961867251</v>
      </c>
      <c r="AW54">
        <v>726.45208540331555</v>
      </c>
      <c r="AX54">
        <v>10</v>
      </c>
      <c r="AY54">
        <v>3348</v>
      </c>
      <c r="AZ54">
        <v>7</v>
      </c>
      <c r="BA54">
        <v>2343.6</v>
      </c>
      <c r="BB54">
        <v>9</v>
      </c>
      <c r="BC54">
        <v>3013.2000000000003</v>
      </c>
      <c r="BD54">
        <v>3.9489262629588766</v>
      </c>
      <c r="BE54">
        <v>1322.1005128386319</v>
      </c>
      <c r="BF54">
        <v>10</v>
      </c>
      <c r="BG54">
        <v>3348</v>
      </c>
      <c r="BH54">
        <v>7</v>
      </c>
      <c r="BI54">
        <v>2343.6</v>
      </c>
      <c r="BJ54">
        <v>4.9821592086290156</v>
      </c>
      <c r="BK54">
        <v>1668.0269030489944</v>
      </c>
      <c r="BL54">
        <v>7</v>
      </c>
      <c r="BM54">
        <v>2343.6</v>
      </c>
      <c r="BN54">
        <v>6</v>
      </c>
      <c r="BO54">
        <v>2008.8000000000002</v>
      </c>
      <c r="BP54">
        <v>6</v>
      </c>
      <c r="BQ54">
        <v>2008.8000000000002</v>
      </c>
      <c r="BR54">
        <v>7</v>
      </c>
      <c r="BS54">
        <v>2343.6</v>
      </c>
      <c r="BT54">
        <v>3.6088670935692497</v>
      </c>
      <c r="BU54">
        <v>1208.2487029269848</v>
      </c>
      <c r="BV54">
        <v>10</v>
      </c>
      <c r="BW54">
        <v>3348</v>
      </c>
      <c r="BX54">
        <v>11</v>
      </c>
      <c r="BY54">
        <v>3682.8</v>
      </c>
      <c r="BZ54">
        <v>9</v>
      </c>
      <c r="CA54">
        <v>3013.2000000000003</v>
      </c>
      <c r="CB54">
        <v>11</v>
      </c>
      <c r="CC54">
        <v>3682.8</v>
      </c>
      <c r="CD54">
        <v>1.1792939177103421</v>
      </c>
      <c r="CE54">
        <v>394.82760364942254</v>
      </c>
      <c r="CF54">
        <v>6</v>
      </c>
      <c r="CG54">
        <v>2008.8000000000002</v>
      </c>
      <c r="CH54">
        <v>9</v>
      </c>
      <c r="CI54">
        <v>3013.2000000000003</v>
      </c>
      <c r="CJ54">
        <v>8</v>
      </c>
      <c r="CK54">
        <v>2678.4</v>
      </c>
      <c r="CL54">
        <v>12</v>
      </c>
      <c r="CM54">
        <v>4017.6000000000004</v>
      </c>
      <c r="CN54">
        <v>7.9812274266695464</v>
      </c>
      <c r="CO54">
        <v>2672.114942448964</v>
      </c>
      <c r="CP54">
        <v>4.0050428538924301</v>
      </c>
      <c r="CQ54">
        <v>1340.8883474831857</v>
      </c>
      <c r="CR54">
        <v>10</v>
      </c>
      <c r="CS54">
        <v>3348</v>
      </c>
      <c r="CT54">
        <v>7</v>
      </c>
      <c r="CU54">
        <v>2343.6</v>
      </c>
    </row>
    <row r="55" spans="2:99">
      <c r="C55" s="99" t="s">
        <v>221</v>
      </c>
      <c r="D55">
        <v>6.6232875038265284</v>
      </c>
      <c r="E55">
        <v>4395.2135875392842</v>
      </c>
      <c r="F55">
        <v>7.7055970234781102</v>
      </c>
      <c r="G55">
        <v>5113.4341847800742</v>
      </c>
      <c r="H55">
        <v>8.1540340855909363</v>
      </c>
      <c r="I55">
        <v>5411.0170191981451</v>
      </c>
      <c r="J55">
        <v>6</v>
      </c>
      <c r="K55">
        <v>3981.6000000000004</v>
      </c>
      <c r="L55">
        <v>7.6422670720043628</v>
      </c>
      <c r="M55">
        <v>5071.4084289820958</v>
      </c>
      <c r="N55">
        <v>4.9262289486556021</v>
      </c>
      <c r="O55">
        <v>3269.0455303278577</v>
      </c>
      <c r="P55">
        <v>11</v>
      </c>
      <c r="Q55">
        <v>7299.6</v>
      </c>
      <c r="R55">
        <v>5</v>
      </c>
      <c r="S55">
        <v>3318</v>
      </c>
      <c r="T55">
        <v>9</v>
      </c>
      <c r="U55">
        <v>5972.4000000000005</v>
      </c>
      <c r="V55">
        <v>6.9763236079725752</v>
      </c>
      <c r="W55">
        <v>4629.4883462506014</v>
      </c>
      <c r="X55">
        <v>6</v>
      </c>
      <c r="Y55">
        <v>3981.6000000000004</v>
      </c>
      <c r="Z55">
        <v>7</v>
      </c>
      <c r="AA55">
        <v>4645.2</v>
      </c>
      <c r="AB55">
        <v>11</v>
      </c>
      <c r="AC55">
        <v>7299.6</v>
      </c>
      <c r="AD55">
        <v>7</v>
      </c>
      <c r="AE55">
        <v>4645.2</v>
      </c>
      <c r="AF55">
        <v>7</v>
      </c>
      <c r="AG55">
        <v>4645.2</v>
      </c>
      <c r="AH55">
        <v>8</v>
      </c>
      <c r="AI55">
        <v>5308.8</v>
      </c>
      <c r="AJ55">
        <v>6.3715071680435749</v>
      </c>
      <c r="AK55">
        <v>4228.1321567137165</v>
      </c>
      <c r="AL55">
        <v>5.3110059072414639</v>
      </c>
      <c r="AM55">
        <v>3524.3835200454355</v>
      </c>
      <c r="AN55">
        <v>10</v>
      </c>
      <c r="AO55">
        <v>6636</v>
      </c>
      <c r="AP55">
        <v>10</v>
      </c>
      <c r="AQ55">
        <v>6636</v>
      </c>
      <c r="AR55">
        <v>7.6797706029831057</v>
      </c>
      <c r="AS55">
        <v>5096.2957721395887</v>
      </c>
      <c r="AT55">
        <v>6.5114210675151307</v>
      </c>
      <c r="AU55">
        <v>4320.9790204030405</v>
      </c>
      <c r="AV55">
        <v>1.8598363681600505</v>
      </c>
      <c r="AW55">
        <v>1234.1874139110096</v>
      </c>
      <c r="AX55">
        <v>10</v>
      </c>
      <c r="AY55">
        <v>6636</v>
      </c>
      <c r="AZ55">
        <v>7</v>
      </c>
      <c r="BA55">
        <v>4645.2</v>
      </c>
      <c r="BB55">
        <v>9</v>
      </c>
      <c r="BC55">
        <v>5972.4000000000005</v>
      </c>
      <c r="BD55">
        <v>3.9489262629588766</v>
      </c>
      <c r="BE55">
        <v>2620.5074680995108</v>
      </c>
      <c r="BF55">
        <v>8</v>
      </c>
      <c r="BG55">
        <v>5308.8</v>
      </c>
      <c r="BH55">
        <v>7</v>
      </c>
      <c r="BI55">
        <v>4645.2</v>
      </c>
      <c r="BJ55">
        <v>4.9821592086290156</v>
      </c>
      <c r="BK55">
        <v>3306.160850846215</v>
      </c>
      <c r="BL55">
        <v>8</v>
      </c>
      <c r="BM55">
        <v>5308.8</v>
      </c>
      <c r="BN55">
        <v>7</v>
      </c>
      <c r="BO55">
        <v>4645.2</v>
      </c>
      <c r="BP55">
        <v>6</v>
      </c>
      <c r="BQ55">
        <v>3981.6000000000004</v>
      </c>
      <c r="BR55">
        <v>7</v>
      </c>
      <c r="BS55">
        <v>4645.2</v>
      </c>
      <c r="BT55">
        <v>2.7066503201769372</v>
      </c>
      <c r="BU55">
        <v>1796.1331524694156</v>
      </c>
      <c r="BV55">
        <v>9</v>
      </c>
      <c r="BW55">
        <v>5972.4000000000005</v>
      </c>
      <c r="BX55">
        <v>10</v>
      </c>
      <c r="BY55">
        <v>6636</v>
      </c>
      <c r="BZ55">
        <v>10</v>
      </c>
      <c r="CA55">
        <v>6636</v>
      </c>
      <c r="CB55">
        <v>11</v>
      </c>
      <c r="CC55">
        <v>7299.6</v>
      </c>
      <c r="CD55">
        <v>1.048261260186971</v>
      </c>
      <c r="CE55">
        <v>695.62617226007399</v>
      </c>
      <c r="CF55">
        <v>6</v>
      </c>
      <c r="CG55">
        <v>3981.6000000000004</v>
      </c>
      <c r="CH55">
        <v>9</v>
      </c>
      <c r="CI55">
        <v>5972.4000000000005</v>
      </c>
      <c r="CJ55">
        <v>8</v>
      </c>
      <c r="CK55">
        <v>5308.8</v>
      </c>
      <c r="CL55">
        <v>11</v>
      </c>
      <c r="CM55">
        <v>7299.6</v>
      </c>
      <c r="CN55">
        <v>7.2556612969723142</v>
      </c>
      <c r="CO55">
        <v>4814.8568366708278</v>
      </c>
      <c r="CP55">
        <v>3.604538568503187</v>
      </c>
      <c r="CQ55">
        <v>2391.9717940587147</v>
      </c>
      <c r="CR55">
        <v>11</v>
      </c>
      <c r="CS55">
        <v>7299.6</v>
      </c>
      <c r="CT55">
        <v>5</v>
      </c>
      <c r="CU55">
        <v>3318</v>
      </c>
    </row>
    <row r="56" spans="2:99">
      <c r="C56" s="99" t="s">
        <v>222</v>
      </c>
      <c r="D56">
        <v>8</v>
      </c>
      <c r="E56">
        <v>7852.7999999999993</v>
      </c>
      <c r="F56">
        <v>9.7503751968210022</v>
      </c>
      <c r="G56">
        <v>9570.9682931994957</v>
      </c>
      <c r="H56">
        <v>8.2051516115801455</v>
      </c>
      <c r="I56">
        <v>8054.1768219270698</v>
      </c>
      <c r="J56">
        <v>4.5094979588846984</v>
      </c>
      <c r="K56">
        <v>4426.5231964412196</v>
      </c>
      <c r="L56">
        <v>6.071902013605011</v>
      </c>
      <c r="M56">
        <v>5960.1790165546781</v>
      </c>
      <c r="N56">
        <v>9.2815972045317583</v>
      </c>
      <c r="O56">
        <v>9110.8158159683735</v>
      </c>
      <c r="P56">
        <v>9.0632066820721864</v>
      </c>
      <c r="Q56">
        <v>8896.4436791220578</v>
      </c>
      <c r="R56">
        <v>5.2525402362009261</v>
      </c>
      <c r="S56">
        <v>5155.8934958548289</v>
      </c>
      <c r="T56">
        <v>6.9246972402349281</v>
      </c>
      <c r="U56">
        <v>6797.2828110146047</v>
      </c>
      <c r="V56">
        <v>6.2887556569480481</v>
      </c>
      <c r="W56">
        <v>6173.0425528602036</v>
      </c>
      <c r="X56">
        <v>0.5032196713757594</v>
      </c>
      <c r="Y56">
        <v>493.96042942244537</v>
      </c>
      <c r="Z56">
        <v>6</v>
      </c>
      <c r="AA56">
        <v>5889.5999999999995</v>
      </c>
      <c r="AB56">
        <v>6.8574513595227176</v>
      </c>
      <c r="AC56">
        <v>6731.2742545074989</v>
      </c>
      <c r="AD56">
        <v>7</v>
      </c>
      <c r="AE56">
        <v>6871.1999999999989</v>
      </c>
      <c r="AF56">
        <v>5.3049675730151451</v>
      </c>
      <c r="AG56">
        <v>5207.3561696716661</v>
      </c>
      <c r="AH56">
        <v>8</v>
      </c>
      <c r="AI56">
        <v>7852.7999999999993</v>
      </c>
      <c r="AJ56">
        <v>7</v>
      </c>
      <c r="AK56">
        <v>6871.1999999999989</v>
      </c>
      <c r="AL56">
        <v>8</v>
      </c>
      <c r="AM56">
        <v>7852.7999999999993</v>
      </c>
      <c r="AN56">
        <v>1.7954833244607626</v>
      </c>
      <c r="AO56">
        <v>1762.4464312906844</v>
      </c>
      <c r="AP56">
        <v>10</v>
      </c>
      <c r="AQ56">
        <v>9816</v>
      </c>
      <c r="AR56">
        <v>8</v>
      </c>
      <c r="AS56">
        <v>7852.7999999999993</v>
      </c>
      <c r="AT56">
        <v>8</v>
      </c>
      <c r="AU56">
        <v>7852.7999999999993</v>
      </c>
      <c r="AV56">
        <v>1.7204524919566364</v>
      </c>
      <c r="AW56">
        <v>1688.796166104634</v>
      </c>
      <c r="AX56">
        <v>5.0326893929642136</v>
      </c>
      <c r="AY56">
        <v>4940.0879081336716</v>
      </c>
      <c r="AZ56">
        <v>4.221219550554169</v>
      </c>
      <c r="BA56">
        <v>4143.5491108239721</v>
      </c>
      <c r="BB56">
        <v>0.5744363404890177</v>
      </c>
      <c r="BC56">
        <v>563.86671182401972</v>
      </c>
      <c r="BD56">
        <v>7</v>
      </c>
      <c r="BE56">
        <v>6871.1999999999989</v>
      </c>
      <c r="BF56">
        <v>5.9673410094696608</v>
      </c>
      <c r="BG56">
        <v>5857.5419348954183</v>
      </c>
      <c r="BH56">
        <v>5.261080952032148</v>
      </c>
      <c r="BI56">
        <v>5164.2770625147559</v>
      </c>
      <c r="BJ56">
        <v>0.41182370808927909</v>
      </c>
      <c r="BK56">
        <v>404.24615186043633</v>
      </c>
      <c r="BL56">
        <v>7</v>
      </c>
      <c r="BM56">
        <v>6871.1999999999989</v>
      </c>
      <c r="BN56">
        <v>3.4157064118920104</v>
      </c>
      <c r="BO56">
        <v>3352.857413913197</v>
      </c>
      <c r="BP56">
        <v>6</v>
      </c>
      <c r="BQ56">
        <v>5889.5999999999995</v>
      </c>
      <c r="BR56">
        <v>6</v>
      </c>
      <c r="BS56">
        <v>5889.5999999999995</v>
      </c>
      <c r="BT56">
        <v>6.2401681704124599</v>
      </c>
      <c r="BU56">
        <v>6125.34907607687</v>
      </c>
      <c r="BV56">
        <v>0.57510819585801087</v>
      </c>
      <c r="BW56">
        <v>564.5262050542234</v>
      </c>
      <c r="BX56">
        <v>6.968194082196205</v>
      </c>
      <c r="BY56">
        <v>6839.9793110837945</v>
      </c>
      <c r="BZ56">
        <v>9</v>
      </c>
      <c r="CA56">
        <v>8834.4</v>
      </c>
      <c r="CB56">
        <v>10</v>
      </c>
      <c r="CC56">
        <v>9816</v>
      </c>
      <c r="CD56">
        <v>3.6121931337644448</v>
      </c>
      <c r="CE56">
        <v>3545.7287801031789</v>
      </c>
      <c r="CF56">
        <v>1.4533828686002049E-16</v>
      </c>
      <c r="CG56">
        <v>1.4266406238179609E-13</v>
      </c>
      <c r="CH56">
        <v>9</v>
      </c>
      <c r="CI56">
        <v>8834.4</v>
      </c>
      <c r="CJ56">
        <v>8</v>
      </c>
      <c r="CK56">
        <v>7852.7999999999993</v>
      </c>
      <c r="CL56">
        <v>10</v>
      </c>
      <c r="CM56">
        <v>9816</v>
      </c>
      <c r="CN56">
        <v>9.9285415735837823</v>
      </c>
      <c r="CO56">
        <v>9745.8564086298393</v>
      </c>
      <c r="CP56">
        <v>8.0154371234511252</v>
      </c>
      <c r="CQ56">
        <v>7867.9530803796242</v>
      </c>
      <c r="CR56">
        <v>7.846387266423605</v>
      </c>
      <c r="CS56">
        <v>7702.0137407214097</v>
      </c>
      <c r="CT56">
        <v>1.819802387631325</v>
      </c>
      <c r="CU56">
        <v>1786.3180236989085</v>
      </c>
    </row>
    <row r="57" spans="2:99">
      <c r="C57" s="99" t="s">
        <v>223</v>
      </c>
      <c r="D57">
        <v>6.6232875038265284</v>
      </c>
      <c r="E57">
        <v>9346.7833253999979</v>
      </c>
      <c r="F57">
        <v>8.5617744705312333</v>
      </c>
      <c r="G57">
        <v>12082.376132813677</v>
      </c>
      <c r="H57">
        <v>6.3420265110151721</v>
      </c>
      <c r="I57">
        <v>8949.8678123446116</v>
      </c>
      <c r="J57">
        <v>5</v>
      </c>
      <c r="K57">
        <v>7056</v>
      </c>
      <c r="L57">
        <v>6.7931262862260997</v>
      </c>
      <c r="M57">
        <v>9586.4598151222726</v>
      </c>
      <c r="N57">
        <v>4.9262289486556021</v>
      </c>
      <c r="O57">
        <v>6951.8942923427858</v>
      </c>
      <c r="P57">
        <v>11</v>
      </c>
      <c r="Q57">
        <v>15523.2</v>
      </c>
      <c r="R57">
        <v>5</v>
      </c>
      <c r="S57">
        <v>7056</v>
      </c>
      <c r="T57">
        <v>9</v>
      </c>
      <c r="U57">
        <v>12700.800000000001</v>
      </c>
      <c r="V57">
        <v>5.2322427059794308</v>
      </c>
      <c r="W57">
        <v>7383.7409066781729</v>
      </c>
      <c r="X57">
        <v>6</v>
      </c>
      <c r="Y57">
        <v>8467.2000000000007</v>
      </c>
      <c r="Z57">
        <v>6</v>
      </c>
      <c r="AA57">
        <v>8467.2000000000007</v>
      </c>
      <c r="AB57">
        <v>11</v>
      </c>
      <c r="AC57">
        <v>15523.2</v>
      </c>
      <c r="AD57">
        <v>6</v>
      </c>
      <c r="AE57">
        <v>8467.2000000000007</v>
      </c>
      <c r="AF57">
        <v>7</v>
      </c>
      <c r="AG57">
        <v>9878.4</v>
      </c>
      <c r="AH57">
        <v>7</v>
      </c>
      <c r="AI57">
        <v>9878.4</v>
      </c>
      <c r="AJ57">
        <v>6.3715071680435749</v>
      </c>
      <c r="AK57">
        <v>8991.4709155430937</v>
      </c>
      <c r="AL57">
        <v>5.3110059072414639</v>
      </c>
      <c r="AM57">
        <v>7494.8915362991538</v>
      </c>
      <c r="AN57">
        <v>10</v>
      </c>
      <c r="AO57">
        <v>14112</v>
      </c>
      <c r="AP57">
        <v>10</v>
      </c>
      <c r="AQ57">
        <v>14112</v>
      </c>
      <c r="AR57">
        <v>6.8264627582072048</v>
      </c>
      <c r="AS57">
        <v>9633.5042443820075</v>
      </c>
      <c r="AT57">
        <v>4.8835658006363483</v>
      </c>
      <c r="AU57">
        <v>6891.6880578580149</v>
      </c>
      <c r="AV57">
        <v>2.1698090961867251</v>
      </c>
      <c r="AW57">
        <v>3062.0345965387064</v>
      </c>
      <c r="AX57">
        <v>8</v>
      </c>
      <c r="AY57">
        <v>11289.6</v>
      </c>
      <c r="AZ57">
        <v>6</v>
      </c>
      <c r="BA57">
        <v>8467.2000000000007</v>
      </c>
      <c r="BB57">
        <v>7</v>
      </c>
      <c r="BC57">
        <v>9878.4</v>
      </c>
      <c r="BD57">
        <v>3.9489262629588766</v>
      </c>
      <c r="BE57">
        <v>5572.7247422875671</v>
      </c>
      <c r="BF57">
        <v>8</v>
      </c>
      <c r="BG57">
        <v>11289.6</v>
      </c>
      <c r="BH57">
        <v>7</v>
      </c>
      <c r="BI57">
        <v>9878.4</v>
      </c>
      <c r="BJ57">
        <v>4.9821592086290156</v>
      </c>
      <c r="BK57">
        <v>7030.8230752172667</v>
      </c>
      <c r="BL57">
        <v>8</v>
      </c>
      <c r="BM57">
        <v>11289.6</v>
      </c>
      <c r="BN57">
        <v>7</v>
      </c>
      <c r="BO57">
        <v>9878.4</v>
      </c>
      <c r="BP57">
        <v>6</v>
      </c>
      <c r="BQ57">
        <v>8467.2000000000007</v>
      </c>
      <c r="BR57">
        <v>6</v>
      </c>
      <c r="BS57">
        <v>8467.2000000000007</v>
      </c>
      <c r="BT57">
        <v>2.7066503201769372</v>
      </c>
      <c r="BU57">
        <v>3819.6249318336941</v>
      </c>
      <c r="BV57">
        <v>9</v>
      </c>
      <c r="BW57">
        <v>12700.800000000001</v>
      </c>
      <c r="BX57">
        <v>10</v>
      </c>
      <c r="BY57">
        <v>14112</v>
      </c>
      <c r="BZ57">
        <v>9</v>
      </c>
      <c r="CA57">
        <v>12700.800000000001</v>
      </c>
      <c r="CB57">
        <v>8</v>
      </c>
      <c r="CC57">
        <v>11289.6</v>
      </c>
      <c r="CD57">
        <v>1.048261260186971</v>
      </c>
      <c r="CE57">
        <v>1479.3062903758535</v>
      </c>
      <c r="CF57">
        <v>6</v>
      </c>
      <c r="CG57">
        <v>8467.2000000000007</v>
      </c>
      <c r="CH57">
        <v>9</v>
      </c>
      <c r="CI57">
        <v>12700.800000000001</v>
      </c>
      <c r="CJ57">
        <v>7</v>
      </c>
      <c r="CK57">
        <v>9878.4</v>
      </c>
      <c r="CL57">
        <v>11</v>
      </c>
      <c r="CM57">
        <v>15523.2</v>
      </c>
      <c r="CN57">
        <v>7.9812274266695464</v>
      </c>
      <c r="CO57">
        <v>11263.108144516063</v>
      </c>
      <c r="CP57">
        <v>3.2040342831139439</v>
      </c>
      <c r="CQ57">
        <v>4521.533180330398</v>
      </c>
      <c r="CR57">
        <v>11</v>
      </c>
      <c r="CS57">
        <v>15523.2</v>
      </c>
      <c r="CT57">
        <v>5</v>
      </c>
      <c r="CU57">
        <v>7056</v>
      </c>
    </row>
    <row r="58" spans="2:99">
      <c r="C58" s="99" t="s">
        <v>224</v>
      </c>
      <c r="D58">
        <v>8</v>
      </c>
      <c r="E58">
        <v>9417.6</v>
      </c>
      <c r="F58">
        <v>10</v>
      </c>
      <c r="G58">
        <v>11772</v>
      </c>
      <c r="H58">
        <v>8</v>
      </c>
      <c r="I58">
        <v>9417.6</v>
      </c>
      <c r="J58">
        <v>5</v>
      </c>
      <c r="K58">
        <v>5886</v>
      </c>
      <c r="L58">
        <v>8</v>
      </c>
      <c r="M58">
        <v>9417.6</v>
      </c>
      <c r="N58">
        <v>10</v>
      </c>
      <c r="O58">
        <v>11772</v>
      </c>
      <c r="P58">
        <v>9</v>
      </c>
      <c r="Q58">
        <v>10594.800000000001</v>
      </c>
      <c r="R58">
        <v>4.7599133442027073</v>
      </c>
      <c r="S58">
        <v>5603.3699887954272</v>
      </c>
      <c r="T58">
        <v>1.714847204329941</v>
      </c>
      <c r="U58">
        <v>2018.7181289372065</v>
      </c>
      <c r="V58">
        <v>7</v>
      </c>
      <c r="W58">
        <v>8240.4</v>
      </c>
      <c r="X58">
        <v>5.1209769319749396</v>
      </c>
      <c r="Y58">
        <v>6028.4140443208989</v>
      </c>
      <c r="Z58">
        <v>6</v>
      </c>
      <c r="AA58">
        <v>7063.2000000000007</v>
      </c>
      <c r="AB58">
        <v>9.2328467229596516</v>
      </c>
      <c r="AC58">
        <v>10868.907162268102</v>
      </c>
      <c r="AD58">
        <v>7</v>
      </c>
      <c r="AE58">
        <v>8240.4</v>
      </c>
      <c r="AF58">
        <v>7</v>
      </c>
      <c r="AG58">
        <v>8240.4</v>
      </c>
      <c r="AH58">
        <v>7</v>
      </c>
      <c r="AI58">
        <v>8240.4</v>
      </c>
      <c r="AJ58">
        <v>8</v>
      </c>
      <c r="AK58">
        <v>9417.6</v>
      </c>
      <c r="AL58">
        <v>7</v>
      </c>
      <c r="AM58">
        <v>8240.4</v>
      </c>
      <c r="AN58">
        <v>10</v>
      </c>
      <c r="AO58">
        <v>11772</v>
      </c>
      <c r="AP58">
        <v>8.7068893500709272</v>
      </c>
      <c r="AQ58">
        <v>10249.750142903496</v>
      </c>
      <c r="AR58">
        <v>8</v>
      </c>
      <c r="AS58">
        <v>9417.6</v>
      </c>
      <c r="AT58">
        <v>6.1131994921607609</v>
      </c>
      <c r="AU58">
        <v>7196.4584421716481</v>
      </c>
      <c r="AV58">
        <v>5.7763177829387002</v>
      </c>
      <c r="AW58">
        <v>6799.8812940754378</v>
      </c>
      <c r="AX58">
        <v>0</v>
      </c>
      <c r="AY58">
        <v>0</v>
      </c>
      <c r="AZ58">
        <v>7</v>
      </c>
      <c r="BA58">
        <v>8240.4</v>
      </c>
      <c r="BB58">
        <v>4.1538409126796756</v>
      </c>
      <c r="BC58">
        <v>4889.9015224065142</v>
      </c>
      <c r="BD58">
        <v>4.8678049202409071</v>
      </c>
      <c r="BE58">
        <v>5730.3799521075962</v>
      </c>
      <c r="BF58">
        <v>8</v>
      </c>
      <c r="BG58">
        <v>9417.6</v>
      </c>
      <c r="BH58">
        <v>7</v>
      </c>
      <c r="BI58">
        <v>8240.4</v>
      </c>
      <c r="BJ58">
        <v>3.2110319700859189</v>
      </c>
      <c r="BK58">
        <v>3780.0268351851437</v>
      </c>
      <c r="BL58">
        <v>8</v>
      </c>
      <c r="BM58">
        <v>9417.6</v>
      </c>
      <c r="BN58">
        <v>6</v>
      </c>
      <c r="BO58">
        <v>7063.2000000000007</v>
      </c>
      <c r="BP58">
        <v>5</v>
      </c>
      <c r="BQ58">
        <v>5886</v>
      </c>
      <c r="BR58">
        <v>6</v>
      </c>
      <c r="BS58">
        <v>7063.2000000000007</v>
      </c>
      <c r="BT58">
        <v>6</v>
      </c>
      <c r="BU58">
        <v>7063.2000000000007</v>
      </c>
      <c r="BV58">
        <v>7.2450585755182537</v>
      </c>
      <c r="BW58">
        <v>8528.882955100089</v>
      </c>
      <c r="BX58">
        <v>7.1824958312942373</v>
      </c>
      <c r="BY58">
        <v>8455.2340925995759</v>
      </c>
      <c r="BZ58">
        <v>1.6993582618392191</v>
      </c>
      <c r="CA58">
        <v>2000.4845458371287</v>
      </c>
      <c r="CB58">
        <v>6.0332964982871591</v>
      </c>
      <c r="CC58">
        <v>7102.3966377836441</v>
      </c>
      <c r="CD58">
        <v>8</v>
      </c>
      <c r="CE58">
        <v>9417.6</v>
      </c>
      <c r="CF58">
        <v>6</v>
      </c>
      <c r="CG58">
        <v>7063.2000000000007</v>
      </c>
      <c r="CH58">
        <v>9</v>
      </c>
      <c r="CI58">
        <v>10594.800000000001</v>
      </c>
      <c r="CJ58">
        <v>0.11698891743024453</v>
      </c>
      <c r="CK58">
        <v>137.71935359888386</v>
      </c>
      <c r="CL58">
        <v>10</v>
      </c>
      <c r="CM58">
        <v>11772</v>
      </c>
      <c r="CN58">
        <v>10</v>
      </c>
      <c r="CO58">
        <v>11772</v>
      </c>
      <c r="CP58">
        <v>9</v>
      </c>
      <c r="CQ58">
        <v>10594.800000000001</v>
      </c>
      <c r="CR58">
        <v>8.941752615454293</v>
      </c>
      <c r="CS58">
        <v>10526.231178912794</v>
      </c>
      <c r="CT58">
        <v>6</v>
      </c>
      <c r="CU58">
        <v>7063.2000000000007</v>
      </c>
    </row>
    <row r="59" spans="2:99">
      <c r="C59" s="99" t="s">
        <v>225</v>
      </c>
      <c r="D59">
        <v>7.451198441804844</v>
      </c>
      <c r="E59">
        <v>2262.1838469319505</v>
      </c>
      <c r="F59">
        <v>9.4179519175843573</v>
      </c>
      <c r="G59">
        <v>2859.2902021786103</v>
      </c>
      <c r="H59">
        <v>7.2480302983030542</v>
      </c>
      <c r="I59">
        <v>2200.5019985648069</v>
      </c>
      <c r="J59">
        <v>6</v>
      </c>
      <c r="K59">
        <v>1821.6</v>
      </c>
      <c r="L59">
        <v>6.7931262862260997</v>
      </c>
      <c r="M59">
        <v>2062.3931404982436</v>
      </c>
      <c r="N59">
        <v>6.0209464928012917</v>
      </c>
      <c r="O59">
        <v>1827.959355214472</v>
      </c>
      <c r="P59">
        <v>11</v>
      </c>
      <c r="Q59">
        <v>3339.5999999999995</v>
      </c>
      <c r="R59">
        <v>5</v>
      </c>
      <c r="S59">
        <v>1517.9999999999998</v>
      </c>
      <c r="T59">
        <v>10</v>
      </c>
      <c r="U59">
        <v>3035.9999999999995</v>
      </c>
      <c r="V59">
        <v>6.1042831569760025</v>
      </c>
      <c r="W59">
        <v>1853.2603664579142</v>
      </c>
      <c r="X59">
        <v>7</v>
      </c>
      <c r="Y59">
        <v>2125.1999999999998</v>
      </c>
      <c r="Z59">
        <v>7</v>
      </c>
      <c r="AA59">
        <v>2125.1999999999998</v>
      </c>
      <c r="AB59">
        <v>12</v>
      </c>
      <c r="AC59">
        <v>3643.2</v>
      </c>
      <c r="AD59">
        <v>8</v>
      </c>
      <c r="AE59">
        <v>2428.7999999999997</v>
      </c>
      <c r="AF59">
        <v>7</v>
      </c>
      <c r="AG59">
        <v>2125.1999999999998</v>
      </c>
      <c r="AH59">
        <v>8</v>
      </c>
      <c r="AI59">
        <v>2428.7999999999997</v>
      </c>
      <c r="AJ59">
        <v>7.1679455640490213</v>
      </c>
      <c r="AK59">
        <v>2176.1882732452827</v>
      </c>
      <c r="AL59">
        <v>5.3110059072414639</v>
      </c>
      <c r="AM59">
        <v>1612.4213934385082</v>
      </c>
      <c r="AN59">
        <v>12</v>
      </c>
      <c r="AO59">
        <v>3643.2</v>
      </c>
      <c r="AP59">
        <v>10</v>
      </c>
      <c r="AQ59">
        <v>3035.9999999999995</v>
      </c>
      <c r="AR59">
        <v>6.8264627582072048</v>
      </c>
      <c r="AS59">
        <v>2072.5140933917073</v>
      </c>
      <c r="AT59">
        <v>6.5114210675151307</v>
      </c>
      <c r="AU59">
        <v>1976.8674360975936</v>
      </c>
      <c r="AV59">
        <v>2.1698090961867251</v>
      </c>
      <c r="AW59">
        <v>658.7540416022897</v>
      </c>
      <c r="AX59">
        <v>9</v>
      </c>
      <c r="AY59">
        <v>2732.3999999999996</v>
      </c>
      <c r="AZ59">
        <v>7</v>
      </c>
      <c r="BA59">
        <v>2125.1999999999998</v>
      </c>
      <c r="BB59">
        <v>9</v>
      </c>
      <c r="BC59">
        <v>2732.3999999999996</v>
      </c>
      <c r="BD59">
        <v>3.9489262629588766</v>
      </c>
      <c r="BE59">
        <v>1198.8940134343147</v>
      </c>
      <c r="BF59">
        <v>10</v>
      </c>
      <c r="BG59">
        <v>3035.9999999999995</v>
      </c>
      <c r="BH59">
        <v>7</v>
      </c>
      <c r="BI59">
        <v>2125.1999999999998</v>
      </c>
      <c r="BJ59">
        <v>4.9821592086290156</v>
      </c>
      <c r="BK59">
        <v>1512.5835357397689</v>
      </c>
      <c r="BL59">
        <v>7</v>
      </c>
      <c r="BM59">
        <v>2125.1999999999998</v>
      </c>
      <c r="BN59">
        <v>7</v>
      </c>
      <c r="BO59">
        <v>2125.1999999999998</v>
      </c>
      <c r="BP59">
        <v>6</v>
      </c>
      <c r="BQ59">
        <v>1821.6</v>
      </c>
      <c r="BR59">
        <v>7</v>
      </c>
      <c r="BS59">
        <v>2125.1999999999998</v>
      </c>
      <c r="BT59">
        <v>3.1577587068730932</v>
      </c>
      <c r="BU59">
        <v>958.69554340667105</v>
      </c>
      <c r="BV59">
        <v>9</v>
      </c>
      <c r="BW59">
        <v>2732.3999999999996</v>
      </c>
      <c r="BX59">
        <v>9</v>
      </c>
      <c r="BY59">
        <v>2732.3999999999996</v>
      </c>
      <c r="BZ59">
        <v>9</v>
      </c>
      <c r="CA59">
        <v>2732.3999999999996</v>
      </c>
      <c r="CB59">
        <v>10</v>
      </c>
      <c r="CC59">
        <v>3035.9999999999995</v>
      </c>
      <c r="CD59">
        <v>1.3103265752337137</v>
      </c>
      <c r="CE59">
        <v>397.81514824095541</v>
      </c>
      <c r="CF59">
        <v>6</v>
      </c>
      <c r="CG59">
        <v>1821.6</v>
      </c>
      <c r="CH59">
        <v>9</v>
      </c>
      <c r="CI59">
        <v>2732.3999999999996</v>
      </c>
      <c r="CJ59">
        <v>7</v>
      </c>
      <c r="CK59">
        <v>2125.1999999999998</v>
      </c>
      <c r="CL59">
        <v>11</v>
      </c>
      <c r="CM59">
        <v>3339.5999999999995</v>
      </c>
      <c r="CN59">
        <v>7.9812274266695464</v>
      </c>
      <c r="CO59">
        <v>2423.1006467368738</v>
      </c>
      <c r="CP59">
        <v>4.0050428538924301</v>
      </c>
      <c r="CQ59">
        <v>1215.9310104417416</v>
      </c>
      <c r="CR59">
        <v>11</v>
      </c>
      <c r="CS59">
        <v>3339.5999999999995</v>
      </c>
      <c r="CT59">
        <v>7</v>
      </c>
      <c r="CU59">
        <v>2125.1999999999998</v>
      </c>
    </row>
    <row r="60" spans="2:99">
      <c r="C60" s="99" t="s">
        <v>226</v>
      </c>
      <c r="D60">
        <v>7.451198441804844</v>
      </c>
      <c r="E60">
        <v>4855.2009046800367</v>
      </c>
      <c r="F60">
        <v>8.5617744705312333</v>
      </c>
      <c r="G60">
        <v>5578.8522449981519</v>
      </c>
      <c r="H60">
        <v>8.1540340855909363</v>
      </c>
      <c r="I60">
        <v>5313.1686101710548</v>
      </c>
      <c r="J60">
        <v>5</v>
      </c>
      <c r="K60">
        <v>3258</v>
      </c>
      <c r="L60">
        <v>6.7931262862260997</v>
      </c>
      <c r="M60">
        <v>4426.4010881049271</v>
      </c>
      <c r="N60">
        <v>5.4735877207284469</v>
      </c>
      <c r="O60">
        <v>3566.5897588266562</v>
      </c>
      <c r="P60">
        <v>10</v>
      </c>
      <c r="Q60">
        <v>6516</v>
      </c>
      <c r="R60">
        <v>5</v>
      </c>
      <c r="S60">
        <v>3258</v>
      </c>
      <c r="T60">
        <v>10</v>
      </c>
      <c r="U60">
        <v>6516</v>
      </c>
      <c r="V60">
        <v>6.1042831569760025</v>
      </c>
      <c r="W60">
        <v>3977.5509050855635</v>
      </c>
      <c r="X60">
        <v>6</v>
      </c>
      <c r="Y60">
        <v>3909.6000000000004</v>
      </c>
      <c r="Z60">
        <v>6</v>
      </c>
      <c r="AA60">
        <v>3909.6000000000004</v>
      </c>
      <c r="AB60">
        <v>10</v>
      </c>
      <c r="AC60">
        <v>6516</v>
      </c>
      <c r="AD60">
        <v>7</v>
      </c>
      <c r="AE60">
        <v>4561.2</v>
      </c>
      <c r="AF60">
        <v>8</v>
      </c>
      <c r="AG60">
        <v>5212.8</v>
      </c>
      <c r="AH60">
        <v>7</v>
      </c>
      <c r="AI60">
        <v>4561.2</v>
      </c>
      <c r="AJ60">
        <v>7.1679455640490213</v>
      </c>
      <c r="AK60">
        <v>4670.633329534342</v>
      </c>
      <c r="AL60">
        <v>5.3110059072414639</v>
      </c>
      <c r="AM60">
        <v>3460.6514491585381</v>
      </c>
      <c r="AN60">
        <v>10</v>
      </c>
      <c r="AO60">
        <v>6516</v>
      </c>
      <c r="AP60">
        <v>10</v>
      </c>
      <c r="AQ60">
        <v>6516</v>
      </c>
      <c r="AR60">
        <v>7.6797706029831057</v>
      </c>
      <c r="AS60">
        <v>5004.1385249037921</v>
      </c>
      <c r="AT60">
        <v>6.5114210675151307</v>
      </c>
      <c r="AU60">
        <v>4242.841967592859</v>
      </c>
      <c r="AV60">
        <v>2.1698090961867251</v>
      </c>
      <c r="AW60">
        <v>1413.8476070752702</v>
      </c>
      <c r="AX60">
        <v>9</v>
      </c>
      <c r="AY60">
        <v>5864.4000000000005</v>
      </c>
      <c r="AZ60">
        <v>7</v>
      </c>
      <c r="BA60">
        <v>4561.2</v>
      </c>
      <c r="BB60">
        <v>7</v>
      </c>
      <c r="BC60">
        <v>4561.2</v>
      </c>
      <c r="BD60">
        <v>3.9489262629588766</v>
      </c>
      <c r="BE60">
        <v>2573.120352944004</v>
      </c>
      <c r="BF60">
        <v>9</v>
      </c>
      <c r="BG60">
        <v>5864.4000000000005</v>
      </c>
      <c r="BH60">
        <v>7</v>
      </c>
      <c r="BI60">
        <v>4561.2</v>
      </c>
      <c r="BJ60">
        <v>4.9821592086290156</v>
      </c>
      <c r="BK60">
        <v>3246.3749403426668</v>
      </c>
      <c r="BL60">
        <v>8</v>
      </c>
      <c r="BM60">
        <v>5212.8</v>
      </c>
      <c r="BN60">
        <v>7</v>
      </c>
      <c r="BO60">
        <v>4561.2</v>
      </c>
      <c r="BP60">
        <v>6</v>
      </c>
      <c r="BQ60">
        <v>3909.6000000000004</v>
      </c>
      <c r="BR60">
        <v>7</v>
      </c>
      <c r="BS60">
        <v>4561.2</v>
      </c>
      <c r="BT60">
        <v>2.7066503201769372</v>
      </c>
      <c r="BU60">
        <v>1763.6533486272924</v>
      </c>
      <c r="BV60">
        <v>9</v>
      </c>
      <c r="BW60">
        <v>5864.4000000000005</v>
      </c>
      <c r="BX60">
        <v>9</v>
      </c>
      <c r="BY60">
        <v>5864.4000000000005</v>
      </c>
      <c r="BZ60">
        <v>9</v>
      </c>
      <c r="CA60">
        <v>5864.4000000000005</v>
      </c>
      <c r="CB60">
        <v>11</v>
      </c>
      <c r="CC60">
        <v>7167.6</v>
      </c>
      <c r="CD60">
        <v>1.048261260186971</v>
      </c>
      <c r="CE60">
        <v>683.04703713783033</v>
      </c>
      <c r="CF60">
        <v>6</v>
      </c>
      <c r="CG60">
        <v>3909.6000000000004</v>
      </c>
      <c r="CH60">
        <v>9</v>
      </c>
      <c r="CI60">
        <v>5864.4000000000005</v>
      </c>
      <c r="CJ60">
        <v>9</v>
      </c>
      <c r="CK60">
        <v>5864.4000000000005</v>
      </c>
      <c r="CL60">
        <v>10</v>
      </c>
      <c r="CM60">
        <v>6516</v>
      </c>
      <c r="CN60">
        <v>7.2556612969723142</v>
      </c>
      <c r="CO60">
        <v>4727.7889011071602</v>
      </c>
      <c r="CP60">
        <v>3.604538568503187</v>
      </c>
      <c r="CQ60">
        <v>2348.7173312366767</v>
      </c>
      <c r="CR60">
        <v>10</v>
      </c>
      <c r="CS60">
        <v>6516</v>
      </c>
      <c r="CT60">
        <v>6</v>
      </c>
      <c r="CU60">
        <v>3909.6000000000004</v>
      </c>
    </row>
    <row r="61" spans="2:99">
      <c r="C61" s="99" t="s">
        <v>227</v>
      </c>
      <c r="D61">
        <v>5.7953765658482119</v>
      </c>
      <c r="E61">
        <v>5514.8803400611578</v>
      </c>
      <c r="F61">
        <v>9.4179519175843573</v>
      </c>
      <c r="G61">
        <v>8962.1230447732742</v>
      </c>
      <c r="H61">
        <v>7.2480302983030542</v>
      </c>
      <c r="I61">
        <v>6897.2256318651862</v>
      </c>
      <c r="J61">
        <v>5</v>
      </c>
      <c r="K61">
        <v>4758</v>
      </c>
      <c r="L61">
        <v>6.7931262862260997</v>
      </c>
      <c r="M61">
        <v>6464.3389739727554</v>
      </c>
      <c r="N61">
        <v>5.4735877207284469</v>
      </c>
      <c r="O61">
        <v>5208.6660750451892</v>
      </c>
      <c r="P61">
        <v>11</v>
      </c>
      <c r="Q61">
        <v>10467.599999999999</v>
      </c>
      <c r="R61">
        <v>5</v>
      </c>
      <c r="S61">
        <v>4758</v>
      </c>
      <c r="T61">
        <v>10</v>
      </c>
      <c r="U61">
        <v>9516</v>
      </c>
      <c r="V61">
        <v>6.9763236079725752</v>
      </c>
      <c r="W61">
        <v>6638.6695453467019</v>
      </c>
      <c r="X61">
        <v>6</v>
      </c>
      <c r="Y61">
        <v>5709.5999999999995</v>
      </c>
      <c r="Z61">
        <v>7</v>
      </c>
      <c r="AA61">
        <v>6661.1999999999989</v>
      </c>
      <c r="AB61">
        <v>11</v>
      </c>
      <c r="AC61">
        <v>10467.599999999999</v>
      </c>
      <c r="AD61">
        <v>7</v>
      </c>
      <c r="AE61">
        <v>6661.1999999999989</v>
      </c>
      <c r="AF61">
        <v>7</v>
      </c>
      <c r="AG61">
        <v>6661.1999999999989</v>
      </c>
      <c r="AH61">
        <v>7</v>
      </c>
      <c r="AI61">
        <v>6661.1999999999989</v>
      </c>
      <c r="AJ61">
        <v>7.1679455640490213</v>
      </c>
      <c r="AK61">
        <v>6821.0169987490481</v>
      </c>
      <c r="AL61">
        <v>5.3110059072414639</v>
      </c>
      <c r="AM61">
        <v>5053.9532213309767</v>
      </c>
      <c r="AN61">
        <v>11</v>
      </c>
      <c r="AO61">
        <v>10467.599999999999</v>
      </c>
      <c r="AP61">
        <v>9</v>
      </c>
      <c r="AQ61">
        <v>8564.4</v>
      </c>
      <c r="AR61">
        <v>7.6797706029831057</v>
      </c>
      <c r="AS61">
        <v>7308.0697057987227</v>
      </c>
      <c r="AT61">
        <v>6.5114210675151307</v>
      </c>
      <c r="AU61">
        <v>6196.2682878473979</v>
      </c>
      <c r="AV61">
        <v>2.1698090961867251</v>
      </c>
      <c r="AW61">
        <v>2064.7903359312872</v>
      </c>
      <c r="AX61">
        <v>9</v>
      </c>
      <c r="AY61">
        <v>8564.4</v>
      </c>
      <c r="AZ61">
        <v>7</v>
      </c>
      <c r="BA61">
        <v>6661.1999999999989</v>
      </c>
      <c r="BB61">
        <v>9</v>
      </c>
      <c r="BC61">
        <v>8564.4</v>
      </c>
      <c r="BD61">
        <v>3.9489262629588766</v>
      </c>
      <c r="BE61">
        <v>3757.7982318316667</v>
      </c>
      <c r="BF61">
        <v>9</v>
      </c>
      <c r="BG61">
        <v>8564.4</v>
      </c>
      <c r="BH61">
        <v>7</v>
      </c>
      <c r="BI61">
        <v>6661.1999999999989</v>
      </c>
      <c r="BJ61">
        <v>4.9821592086290156</v>
      </c>
      <c r="BK61">
        <v>4741.022702931371</v>
      </c>
      <c r="BL61">
        <v>8</v>
      </c>
      <c r="BM61">
        <v>7612.7999999999993</v>
      </c>
      <c r="BN61">
        <v>6</v>
      </c>
      <c r="BO61">
        <v>5709.5999999999995</v>
      </c>
      <c r="BP61">
        <v>6</v>
      </c>
      <c r="BQ61">
        <v>5709.5999999999995</v>
      </c>
      <c r="BR61">
        <v>7</v>
      </c>
      <c r="BS61">
        <v>6661.1999999999989</v>
      </c>
      <c r="BT61">
        <v>2.7066503201769372</v>
      </c>
      <c r="BU61">
        <v>2575.6484446803734</v>
      </c>
      <c r="BV61">
        <v>8</v>
      </c>
      <c r="BW61">
        <v>7612.7999999999993</v>
      </c>
      <c r="BX61">
        <v>10</v>
      </c>
      <c r="BY61">
        <v>9516</v>
      </c>
      <c r="BZ61">
        <v>9</v>
      </c>
      <c r="CA61">
        <v>8564.4</v>
      </c>
      <c r="CB61">
        <v>9</v>
      </c>
      <c r="CC61">
        <v>8564.4</v>
      </c>
      <c r="CD61">
        <v>1.1792939177103421</v>
      </c>
      <c r="CE61">
        <v>1122.2160920931615</v>
      </c>
      <c r="CF61">
        <v>5</v>
      </c>
      <c r="CG61">
        <v>4758</v>
      </c>
      <c r="CH61">
        <v>8</v>
      </c>
      <c r="CI61">
        <v>7612.7999999999993</v>
      </c>
      <c r="CJ61">
        <v>9</v>
      </c>
      <c r="CK61">
        <v>8564.4</v>
      </c>
      <c r="CL61">
        <v>10</v>
      </c>
      <c r="CM61">
        <v>9516</v>
      </c>
      <c r="CN61">
        <v>7.9812274266695464</v>
      </c>
      <c r="CO61">
        <v>7594.9360192187396</v>
      </c>
      <c r="CP61">
        <v>3.604538568503187</v>
      </c>
      <c r="CQ61">
        <v>3430.0789017876323</v>
      </c>
      <c r="CR61">
        <v>10</v>
      </c>
      <c r="CS61">
        <v>9516</v>
      </c>
      <c r="CT61">
        <v>5</v>
      </c>
      <c r="CU61">
        <v>4758</v>
      </c>
    </row>
    <row r="62" spans="2:99">
      <c r="C62" s="99" t="s">
        <v>228</v>
      </c>
      <c r="D62">
        <v>8</v>
      </c>
      <c r="E62">
        <v>13353.6</v>
      </c>
      <c r="F62">
        <v>8.8639774516554564</v>
      </c>
      <c r="G62">
        <v>14795.751162303288</v>
      </c>
      <c r="H62">
        <v>6.3817845867845575</v>
      </c>
      <c r="I62">
        <v>10652.474832260783</v>
      </c>
      <c r="J62">
        <v>3.7579149657372488</v>
      </c>
      <c r="K62">
        <v>6272.7116608086162</v>
      </c>
      <c r="L62">
        <v>5.3129142619043845</v>
      </c>
      <c r="M62">
        <v>8868.3164859707995</v>
      </c>
      <c r="N62">
        <v>7.4252777636254068</v>
      </c>
      <c r="O62">
        <v>12394.273643043529</v>
      </c>
      <c r="P62">
        <v>8.2392788018838043</v>
      </c>
      <c r="Q62">
        <v>13753.004176104447</v>
      </c>
      <c r="R62">
        <v>5.2525402362009261</v>
      </c>
      <c r="S62">
        <v>8767.5401622665868</v>
      </c>
      <c r="T62">
        <v>7.7902843952642939</v>
      </c>
      <c r="U62">
        <v>13003.542712575159</v>
      </c>
      <c r="V62">
        <v>5.502661199829542</v>
      </c>
      <c r="W62">
        <v>9185.0420747554726</v>
      </c>
      <c r="X62">
        <v>0.43133114689350815</v>
      </c>
      <c r="Y62">
        <v>719.97795039464381</v>
      </c>
      <c r="Z62">
        <v>6</v>
      </c>
      <c r="AA62">
        <v>10015.200000000001</v>
      </c>
      <c r="AB62">
        <v>6.2340466904751981</v>
      </c>
      <c r="AC62">
        <v>10405.8707357412</v>
      </c>
      <c r="AD62">
        <v>7</v>
      </c>
      <c r="AE62">
        <v>11684.4</v>
      </c>
      <c r="AF62">
        <v>4.5471150625844095</v>
      </c>
      <c r="AG62">
        <v>7590.0444624658967</v>
      </c>
      <c r="AH62">
        <v>8</v>
      </c>
      <c r="AI62">
        <v>13353.6</v>
      </c>
      <c r="AJ62">
        <v>9</v>
      </c>
      <c r="AK62">
        <v>15022.800000000001</v>
      </c>
      <c r="AL62">
        <v>7</v>
      </c>
      <c r="AM62">
        <v>11684.4</v>
      </c>
      <c r="AN62">
        <v>1.6322575676916022</v>
      </c>
      <c r="AO62">
        <v>2724.5643319908227</v>
      </c>
      <c r="AP62">
        <v>8</v>
      </c>
      <c r="AQ62">
        <v>13353.6</v>
      </c>
      <c r="AR62">
        <v>9</v>
      </c>
      <c r="AS62">
        <v>15022.800000000001</v>
      </c>
      <c r="AT62">
        <v>7</v>
      </c>
      <c r="AU62">
        <v>11684.4</v>
      </c>
      <c r="AV62">
        <v>1.7204524919566364</v>
      </c>
      <c r="AW62">
        <v>2871.7792995740174</v>
      </c>
      <c r="AX62">
        <v>5.0326893929642136</v>
      </c>
      <c r="AY62">
        <v>8400.5651347358653</v>
      </c>
      <c r="AZ62">
        <v>4.9247561423131971</v>
      </c>
      <c r="BA62">
        <v>8220.4029527491894</v>
      </c>
      <c r="BB62">
        <v>0.44678382038034709</v>
      </c>
      <c r="BC62">
        <v>745.77155297887532</v>
      </c>
      <c r="BD62">
        <v>7</v>
      </c>
      <c r="BE62">
        <v>11684.4</v>
      </c>
      <c r="BF62">
        <v>6.7132586356533688</v>
      </c>
      <c r="BG62">
        <v>11205.771314632604</v>
      </c>
      <c r="BH62">
        <v>5.261080952032148</v>
      </c>
      <c r="BI62">
        <v>8781.7963251320616</v>
      </c>
      <c r="BJ62">
        <v>0.41182370808927909</v>
      </c>
      <c r="BK62">
        <v>687.41613354262472</v>
      </c>
      <c r="BL62">
        <v>7</v>
      </c>
      <c r="BM62">
        <v>11684.4</v>
      </c>
      <c r="BN62">
        <v>3.4157064118920104</v>
      </c>
      <c r="BO62">
        <v>5701.4971427301443</v>
      </c>
      <c r="BP62">
        <v>5</v>
      </c>
      <c r="BQ62">
        <v>8346</v>
      </c>
      <c r="BR62">
        <v>6</v>
      </c>
      <c r="BS62">
        <v>10015.200000000001</v>
      </c>
      <c r="BT62">
        <v>5.3487155746392512</v>
      </c>
      <c r="BU62">
        <v>8928.0760371878387</v>
      </c>
      <c r="BV62">
        <v>0.57510819585801087</v>
      </c>
      <c r="BW62">
        <v>959.97060052619179</v>
      </c>
      <c r="BX62">
        <v>6.968194082196205</v>
      </c>
      <c r="BY62">
        <v>11631.309562001905</v>
      </c>
      <c r="BZ62">
        <v>9</v>
      </c>
      <c r="CA62">
        <v>15022.800000000001</v>
      </c>
      <c r="CB62">
        <v>9</v>
      </c>
      <c r="CC62">
        <v>15022.800000000001</v>
      </c>
      <c r="CD62">
        <v>3.6121931337644448</v>
      </c>
      <c r="CE62">
        <v>6029.4727788796117</v>
      </c>
      <c r="CF62">
        <v>1.4533828686002049E-16</v>
      </c>
      <c r="CG62">
        <v>2.4259866842674619E-13</v>
      </c>
      <c r="CH62">
        <v>8</v>
      </c>
      <c r="CI62">
        <v>13353.6</v>
      </c>
      <c r="CJ62">
        <v>7</v>
      </c>
      <c r="CK62">
        <v>11684.4</v>
      </c>
      <c r="CL62">
        <v>11</v>
      </c>
      <c r="CM62">
        <v>18361.2</v>
      </c>
      <c r="CN62">
        <v>9.9285415735837823</v>
      </c>
      <c r="CO62">
        <v>16572.721594626051</v>
      </c>
      <c r="CP62">
        <v>7.1248329986232219</v>
      </c>
      <c r="CQ62">
        <v>11892.771241301882</v>
      </c>
      <c r="CR62">
        <v>6.4197713998011317</v>
      </c>
      <c r="CS62">
        <v>10715.882420548049</v>
      </c>
      <c r="CT62">
        <v>1.5165019896927707</v>
      </c>
      <c r="CU62">
        <v>2531.3451211951729</v>
      </c>
    </row>
    <row r="63" spans="2:99">
      <c r="C63" s="99" t="s">
        <v>229</v>
      </c>
      <c r="D63">
        <v>6.6232875038265284</v>
      </c>
      <c r="E63">
        <v>5269.4875380443864</v>
      </c>
      <c r="F63">
        <v>8.5617744705312333</v>
      </c>
      <c r="G63">
        <v>6811.7477687546498</v>
      </c>
      <c r="H63">
        <v>7.2480302983030542</v>
      </c>
      <c r="I63">
        <v>5766.5329053299101</v>
      </c>
      <c r="J63">
        <v>6</v>
      </c>
      <c r="K63">
        <v>4773.6000000000004</v>
      </c>
      <c r="L63">
        <v>6.7931262862260997</v>
      </c>
      <c r="M63">
        <v>5404.611273321485</v>
      </c>
      <c r="N63">
        <v>5.4735877207284469</v>
      </c>
      <c r="O63">
        <v>4354.7863906115526</v>
      </c>
      <c r="P63">
        <v>11</v>
      </c>
      <c r="Q63">
        <v>8751.6</v>
      </c>
      <c r="R63">
        <v>6</v>
      </c>
      <c r="S63">
        <v>4773.6000000000004</v>
      </c>
      <c r="T63">
        <v>10</v>
      </c>
      <c r="U63">
        <v>7956</v>
      </c>
      <c r="V63">
        <v>6.9763236079725752</v>
      </c>
      <c r="W63">
        <v>5550.3630625029809</v>
      </c>
      <c r="X63">
        <v>6</v>
      </c>
      <c r="Y63">
        <v>4773.6000000000004</v>
      </c>
      <c r="Z63">
        <v>7</v>
      </c>
      <c r="AA63">
        <v>5569.2</v>
      </c>
      <c r="AB63">
        <v>12</v>
      </c>
      <c r="AC63">
        <v>9547.2000000000007</v>
      </c>
      <c r="AD63">
        <v>7</v>
      </c>
      <c r="AE63">
        <v>5569.2</v>
      </c>
      <c r="AF63">
        <v>7</v>
      </c>
      <c r="AG63">
        <v>5569.2</v>
      </c>
      <c r="AH63">
        <v>7</v>
      </c>
      <c r="AI63">
        <v>5569.2</v>
      </c>
      <c r="AJ63">
        <v>6.3715071680435749</v>
      </c>
      <c r="AK63">
        <v>5069.1711028954687</v>
      </c>
      <c r="AL63">
        <v>5.3110059072414639</v>
      </c>
      <c r="AM63">
        <v>4225.4362998013085</v>
      </c>
      <c r="AN63">
        <v>10</v>
      </c>
      <c r="AO63">
        <v>7956</v>
      </c>
      <c r="AP63">
        <v>10</v>
      </c>
      <c r="AQ63">
        <v>7956</v>
      </c>
      <c r="AR63">
        <v>7.6797706029831057</v>
      </c>
      <c r="AS63">
        <v>6110.0254917333586</v>
      </c>
      <c r="AT63">
        <v>6.5114210675151307</v>
      </c>
      <c r="AU63">
        <v>5180.4866013150386</v>
      </c>
      <c r="AV63">
        <v>1.8598363681600505</v>
      </c>
      <c r="AW63">
        <v>1479.6858145081362</v>
      </c>
      <c r="AX63">
        <v>10</v>
      </c>
      <c r="AY63">
        <v>7956</v>
      </c>
      <c r="AZ63">
        <v>7</v>
      </c>
      <c r="BA63">
        <v>5569.2</v>
      </c>
      <c r="BB63">
        <v>8</v>
      </c>
      <c r="BC63">
        <v>6364.8</v>
      </c>
      <c r="BD63">
        <v>3.9489262629588766</v>
      </c>
      <c r="BE63">
        <v>3141.7657348100824</v>
      </c>
      <c r="BF63">
        <v>8</v>
      </c>
      <c r="BG63">
        <v>6364.8</v>
      </c>
      <c r="BH63">
        <v>8</v>
      </c>
      <c r="BI63">
        <v>6364.8</v>
      </c>
      <c r="BJ63">
        <v>4.9821592086290156</v>
      </c>
      <c r="BK63">
        <v>3963.8058663852448</v>
      </c>
      <c r="BL63">
        <v>7</v>
      </c>
      <c r="BM63">
        <v>5569.2</v>
      </c>
      <c r="BN63">
        <v>6</v>
      </c>
      <c r="BO63">
        <v>4773.6000000000004</v>
      </c>
      <c r="BP63">
        <v>6</v>
      </c>
      <c r="BQ63">
        <v>4773.6000000000004</v>
      </c>
      <c r="BR63">
        <v>7</v>
      </c>
      <c r="BS63">
        <v>5569.2</v>
      </c>
      <c r="BT63">
        <v>3.1577587068730932</v>
      </c>
      <c r="BU63">
        <v>2512.3128271882329</v>
      </c>
      <c r="BV63">
        <v>9</v>
      </c>
      <c r="BW63">
        <v>7160.4000000000005</v>
      </c>
      <c r="BX63">
        <v>10</v>
      </c>
      <c r="BY63">
        <v>7956</v>
      </c>
      <c r="BZ63">
        <v>9</v>
      </c>
      <c r="CA63">
        <v>7160.4000000000005</v>
      </c>
      <c r="CB63">
        <v>10</v>
      </c>
      <c r="CC63">
        <v>7956</v>
      </c>
      <c r="CD63">
        <v>1.048261260186971</v>
      </c>
      <c r="CE63">
        <v>833.99665860475409</v>
      </c>
      <c r="CF63">
        <v>6</v>
      </c>
      <c r="CG63">
        <v>4773.6000000000004</v>
      </c>
      <c r="CH63">
        <v>9</v>
      </c>
      <c r="CI63">
        <v>7160.4000000000005</v>
      </c>
      <c r="CJ63">
        <v>8</v>
      </c>
      <c r="CK63">
        <v>6364.8</v>
      </c>
      <c r="CL63">
        <v>11</v>
      </c>
      <c r="CM63">
        <v>8751.6</v>
      </c>
      <c r="CN63">
        <v>7.2556612969723142</v>
      </c>
      <c r="CO63">
        <v>5772.6041278711737</v>
      </c>
      <c r="CP63">
        <v>3.2040342831139439</v>
      </c>
      <c r="CQ63">
        <v>2549.129675645454</v>
      </c>
      <c r="CR63">
        <v>11</v>
      </c>
      <c r="CS63">
        <v>8751.6</v>
      </c>
      <c r="CT63">
        <v>6</v>
      </c>
      <c r="CU63">
        <v>4773.6000000000004</v>
      </c>
    </row>
    <row r="64" spans="2:99">
      <c r="C64" s="99" t="s">
        <v>230</v>
      </c>
      <c r="D64">
        <v>5.7953765658482119</v>
      </c>
      <c r="E64">
        <v>5848.6940302540143</v>
      </c>
      <c r="F64">
        <v>7.7055970234781102</v>
      </c>
      <c r="G64">
        <v>7776.4885160941076</v>
      </c>
      <c r="H64">
        <v>7.2480302983030542</v>
      </c>
      <c r="I64">
        <v>7314.7121770474414</v>
      </c>
      <c r="J64">
        <v>6</v>
      </c>
      <c r="K64">
        <v>6055.1999999999989</v>
      </c>
      <c r="L64">
        <v>6.7931262862260997</v>
      </c>
      <c r="M64">
        <v>6855.6230480593786</v>
      </c>
      <c r="N64">
        <v>5.4735877207284469</v>
      </c>
      <c r="O64">
        <v>5523.944727759148</v>
      </c>
      <c r="P64">
        <v>10</v>
      </c>
      <c r="Q64">
        <v>10091.999999999998</v>
      </c>
      <c r="R64">
        <v>6</v>
      </c>
      <c r="S64">
        <v>6055.1999999999989</v>
      </c>
      <c r="T64">
        <v>9</v>
      </c>
      <c r="U64">
        <v>9082.7999999999993</v>
      </c>
      <c r="V64">
        <v>6.9763236079725752</v>
      </c>
      <c r="W64">
        <v>7040.5057851659212</v>
      </c>
      <c r="X64">
        <v>6</v>
      </c>
      <c r="Y64">
        <v>6055.1999999999989</v>
      </c>
      <c r="Z64">
        <v>6</v>
      </c>
      <c r="AA64">
        <v>6055.1999999999989</v>
      </c>
      <c r="AB64">
        <v>11</v>
      </c>
      <c r="AC64">
        <v>11101.199999999997</v>
      </c>
      <c r="AD64">
        <v>7</v>
      </c>
      <c r="AE64">
        <v>7064.3999999999987</v>
      </c>
      <c r="AF64">
        <v>8</v>
      </c>
      <c r="AG64">
        <v>8073.5999999999985</v>
      </c>
      <c r="AH64">
        <v>8</v>
      </c>
      <c r="AI64">
        <v>8073.5999999999985</v>
      </c>
      <c r="AJ64">
        <v>6.3715071680435749</v>
      </c>
      <c r="AK64">
        <v>6430.1250339895741</v>
      </c>
      <c r="AL64">
        <v>5.3110059072414639</v>
      </c>
      <c r="AM64">
        <v>5359.8671615880849</v>
      </c>
      <c r="AN64">
        <v>10</v>
      </c>
      <c r="AO64">
        <v>10091.999999999998</v>
      </c>
      <c r="AP64">
        <v>10</v>
      </c>
      <c r="AQ64">
        <v>10091.999999999998</v>
      </c>
      <c r="AR64">
        <v>7.6797706029831057</v>
      </c>
      <c r="AS64">
        <v>7750.4244925305484</v>
      </c>
      <c r="AT64">
        <v>6.5114210675151307</v>
      </c>
      <c r="AU64">
        <v>6571.3261413362688</v>
      </c>
      <c r="AV64">
        <v>1.8598363681600505</v>
      </c>
      <c r="AW64">
        <v>1876.9468627471226</v>
      </c>
      <c r="AX64">
        <v>9</v>
      </c>
      <c r="AY64">
        <v>9082.7999999999993</v>
      </c>
      <c r="AZ64">
        <v>6</v>
      </c>
      <c r="BA64">
        <v>6055.1999999999989</v>
      </c>
      <c r="BB64">
        <v>8</v>
      </c>
      <c r="BC64">
        <v>8073.5999999999985</v>
      </c>
      <c r="BD64">
        <v>4.5130585862387171</v>
      </c>
      <c r="BE64">
        <v>4554.5787252321124</v>
      </c>
      <c r="BF64">
        <v>8</v>
      </c>
      <c r="BG64">
        <v>8073.5999999999985</v>
      </c>
      <c r="BH64">
        <v>8</v>
      </c>
      <c r="BI64">
        <v>8073.5999999999985</v>
      </c>
      <c r="BJ64">
        <v>4.1517993405241791</v>
      </c>
      <c r="BK64">
        <v>4189.9958944570008</v>
      </c>
      <c r="BL64">
        <v>8</v>
      </c>
      <c r="BM64">
        <v>8073.5999999999985</v>
      </c>
      <c r="BN64">
        <v>7</v>
      </c>
      <c r="BO64">
        <v>7064.3999999999987</v>
      </c>
      <c r="BP64">
        <v>6</v>
      </c>
      <c r="BQ64">
        <v>6055.1999999999989</v>
      </c>
      <c r="BR64">
        <v>6</v>
      </c>
      <c r="BS64">
        <v>6055.1999999999989</v>
      </c>
      <c r="BT64">
        <v>3.1577587068730932</v>
      </c>
      <c r="BU64">
        <v>3186.8100869763252</v>
      </c>
      <c r="BV64">
        <v>9</v>
      </c>
      <c r="BW64">
        <v>9082.7999999999993</v>
      </c>
      <c r="BX64">
        <v>10</v>
      </c>
      <c r="BY64">
        <v>10091.999999999998</v>
      </c>
      <c r="BZ64">
        <v>9</v>
      </c>
      <c r="CA64">
        <v>9082.7999999999993</v>
      </c>
      <c r="CB64">
        <v>11</v>
      </c>
      <c r="CC64">
        <v>11101.199999999997</v>
      </c>
      <c r="CD64">
        <v>1.048261260186971</v>
      </c>
      <c r="CE64">
        <v>1057.9052637806908</v>
      </c>
      <c r="CF64">
        <v>6</v>
      </c>
      <c r="CG64">
        <v>6055.1999999999989</v>
      </c>
      <c r="CH64">
        <v>8</v>
      </c>
      <c r="CI64">
        <v>8073.5999999999985</v>
      </c>
      <c r="CJ64">
        <v>9</v>
      </c>
      <c r="CK64">
        <v>9082.7999999999993</v>
      </c>
      <c r="CL64">
        <v>11</v>
      </c>
      <c r="CM64">
        <v>11101.199999999997</v>
      </c>
      <c r="CN64">
        <v>7.9812274266695464</v>
      </c>
      <c r="CO64">
        <v>8054.6547189949051</v>
      </c>
      <c r="CP64">
        <v>3.2040342831139439</v>
      </c>
      <c r="CQ64">
        <v>3233.5113985185917</v>
      </c>
      <c r="CR64">
        <v>10</v>
      </c>
      <c r="CS64">
        <v>10091.999999999998</v>
      </c>
      <c r="CT64">
        <v>6</v>
      </c>
      <c r="CU64">
        <v>6055.1999999999989</v>
      </c>
    </row>
    <row r="65" spans="2:99">
      <c r="C65" s="99" t="s">
        <v>231</v>
      </c>
      <c r="D65">
        <v>6.6232875038265284</v>
      </c>
      <c r="E65">
        <v>6795.4929789260177</v>
      </c>
      <c r="F65">
        <v>8.5617744705312333</v>
      </c>
      <c r="G65">
        <v>8784.3806067650457</v>
      </c>
      <c r="H65">
        <v>6.3420265110151721</v>
      </c>
      <c r="I65">
        <v>6506.9192003015669</v>
      </c>
      <c r="J65">
        <v>5</v>
      </c>
      <c r="K65">
        <v>5130</v>
      </c>
      <c r="L65">
        <v>6.7931262862260997</v>
      </c>
      <c r="M65">
        <v>6969.7475696679785</v>
      </c>
      <c r="N65">
        <v>4.9262289486556021</v>
      </c>
      <c r="O65">
        <v>5054.3109013206476</v>
      </c>
      <c r="P65">
        <v>10</v>
      </c>
      <c r="Q65">
        <v>10260</v>
      </c>
      <c r="R65">
        <v>5</v>
      </c>
      <c r="S65">
        <v>5130</v>
      </c>
      <c r="T65">
        <v>10</v>
      </c>
      <c r="U65">
        <v>10260</v>
      </c>
      <c r="V65">
        <v>6.1042831569760025</v>
      </c>
      <c r="W65">
        <v>6262.994519057379</v>
      </c>
      <c r="X65">
        <v>7</v>
      </c>
      <c r="Y65">
        <v>7182</v>
      </c>
      <c r="Z65">
        <v>6</v>
      </c>
      <c r="AA65">
        <v>6156</v>
      </c>
      <c r="AB65">
        <v>10</v>
      </c>
      <c r="AC65">
        <v>10260</v>
      </c>
      <c r="AD65">
        <v>7</v>
      </c>
      <c r="AE65">
        <v>7182</v>
      </c>
      <c r="AF65">
        <v>8</v>
      </c>
      <c r="AG65">
        <v>8208</v>
      </c>
      <c r="AH65">
        <v>8</v>
      </c>
      <c r="AI65">
        <v>8208</v>
      </c>
      <c r="AJ65">
        <v>7.1679455640490213</v>
      </c>
      <c r="AK65">
        <v>7354.3121487142962</v>
      </c>
      <c r="AL65">
        <v>5.3110059072414639</v>
      </c>
      <c r="AM65">
        <v>5449.092060829742</v>
      </c>
      <c r="AN65">
        <v>11</v>
      </c>
      <c r="AO65">
        <v>11286</v>
      </c>
      <c r="AP65">
        <v>9</v>
      </c>
      <c r="AQ65">
        <v>9234</v>
      </c>
      <c r="AR65">
        <v>7.6797706029831057</v>
      </c>
      <c r="AS65">
        <v>7879.444638660666</v>
      </c>
      <c r="AT65">
        <v>5.6974934340757395</v>
      </c>
      <c r="AU65">
        <v>5845.6282633617084</v>
      </c>
      <c r="AV65">
        <v>1.8598363681600505</v>
      </c>
      <c r="AW65">
        <v>1908.1921137322117</v>
      </c>
      <c r="AX65">
        <v>10</v>
      </c>
      <c r="AY65">
        <v>10260</v>
      </c>
      <c r="AZ65">
        <v>6</v>
      </c>
      <c r="BA65">
        <v>6156</v>
      </c>
      <c r="BB65">
        <v>7</v>
      </c>
      <c r="BC65">
        <v>7182</v>
      </c>
      <c r="BD65">
        <v>3.9489262629588766</v>
      </c>
      <c r="BE65">
        <v>4051.5983457958073</v>
      </c>
      <c r="BF65">
        <v>8</v>
      </c>
      <c r="BG65">
        <v>8208</v>
      </c>
      <c r="BH65">
        <v>6</v>
      </c>
      <c r="BI65">
        <v>6156</v>
      </c>
      <c r="BJ65">
        <v>4.1517993405241791</v>
      </c>
      <c r="BK65">
        <v>4259.7461233778076</v>
      </c>
      <c r="BL65">
        <v>8</v>
      </c>
      <c r="BM65">
        <v>8208</v>
      </c>
      <c r="BN65">
        <v>6</v>
      </c>
      <c r="BO65">
        <v>6156</v>
      </c>
      <c r="BP65">
        <v>6</v>
      </c>
      <c r="BQ65">
        <v>6156</v>
      </c>
      <c r="BR65">
        <v>6</v>
      </c>
      <c r="BS65">
        <v>6156</v>
      </c>
      <c r="BT65">
        <v>3.1577587068730932</v>
      </c>
      <c r="BU65">
        <v>3239.8604332517934</v>
      </c>
      <c r="BV65">
        <v>9</v>
      </c>
      <c r="BW65">
        <v>9234</v>
      </c>
      <c r="BX65">
        <v>9</v>
      </c>
      <c r="BY65">
        <v>9234</v>
      </c>
      <c r="BZ65">
        <v>9</v>
      </c>
      <c r="CA65">
        <v>9234</v>
      </c>
      <c r="CB65">
        <v>9</v>
      </c>
      <c r="CC65">
        <v>9234</v>
      </c>
      <c r="CD65">
        <v>1.048261260186971</v>
      </c>
      <c r="CE65">
        <v>1075.5160529518323</v>
      </c>
      <c r="CF65">
        <v>6</v>
      </c>
      <c r="CG65">
        <v>6156</v>
      </c>
      <c r="CH65">
        <v>9</v>
      </c>
      <c r="CI65">
        <v>9234</v>
      </c>
      <c r="CJ65">
        <v>8</v>
      </c>
      <c r="CK65">
        <v>8208</v>
      </c>
      <c r="CL65">
        <v>10</v>
      </c>
      <c r="CM65">
        <v>10260</v>
      </c>
      <c r="CN65">
        <v>7.2556612969723142</v>
      </c>
      <c r="CO65">
        <v>7444.3084906935946</v>
      </c>
      <c r="CP65">
        <v>3.604538568503187</v>
      </c>
      <c r="CQ65">
        <v>3698.2565712842697</v>
      </c>
      <c r="CR65">
        <v>10</v>
      </c>
      <c r="CS65">
        <v>10260</v>
      </c>
      <c r="CT65">
        <v>5</v>
      </c>
      <c r="CU65">
        <v>5130</v>
      </c>
    </row>
    <row r="66" spans="2:99">
      <c r="C66" s="99" t="s">
        <v>232</v>
      </c>
      <c r="D66">
        <v>6.6232875038265284</v>
      </c>
      <c r="E66">
        <v>7884.3614445550984</v>
      </c>
      <c r="F66">
        <v>7.7055970234781102</v>
      </c>
      <c r="G66">
        <v>9172.7426967483407</v>
      </c>
      <c r="H66">
        <v>8.1540340855909363</v>
      </c>
      <c r="I66">
        <v>9706.5621754874501</v>
      </c>
      <c r="J66">
        <v>6</v>
      </c>
      <c r="K66">
        <v>7142.4</v>
      </c>
      <c r="L66">
        <v>7.6422670720043628</v>
      </c>
      <c r="M66">
        <v>9097.3547225139919</v>
      </c>
      <c r="N66">
        <v>4.9262289486556021</v>
      </c>
      <c r="O66">
        <v>5864.1829404796281</v>
      </c>
      <c r="P66">
        <v>11</v>
      </c>
      <c r="Q66">
        <v>13094.399999999998</v>
      </c>
      <c r="R66">
        <v>5</v>
      </c>
      <c r="S66">
        <v>5951.9999999999991</v>
      </c>
      <c r="T66">
        <v>9</v>
      </c>
      <c r="U66">
        <v>10713.599999999999</v>
      </c>
      <c r="V66">
        <v>6.1042831569760025</v>
      </c>
      <c r="W66">
        <v>7266.538670064233</v>
      </c>
      <c r="X66">
        <v>6</v>
      </c>
      <c r="Y66">
        <v>7142.4</v>
      </c>
      <c r="Z66">
        <v>6</v>
      </c>
      <c r="AA66">
        <v>7142.4</v>
      </c>
      <c r="AB66">
        <v>10</v>
      </c>
      <c r="AC66">
        <v>11903.999999999998</v>
      </c>
      <c r="AD66">
        <v>8</v>
      </c>
      <c r="AE66">
        <v>9523.1999999999989</v>
      </c>
      <c r="AF66">
        <v>8</v>
      </c>
      <c r="AG66">
        <v>9523.1999999999989</v>
      </c>
      <c r="AH66">
        <v>8</v>
      </c>
      <c r="AI66">
        <v>9523.1999999999989</v>
      </c>
      <c r="AJ66">
        <v>6.3715071680435749</v>
      </c>
      <c r="AK66">
        <v>7584.6421328390707</v>
      </c>
      <c r="AL66">
        <v>5.3110059072414639</v>
      </c>
      <c r="AM66">
        <v>6322.2214319802379</v>
      </c>
      <c r="AN66">
        <v>10</v>
      </c>
      <c r="AO66">
        <v>11903.999999999998</v>
      </c>
      <c r="AP66">
        <v>9</v>
      </c>
      <c r="AQ66">
        <v>10713.599999999999</v>
      </c>
      <c r="AR66">
        <v>7.6797706029831057</v>
      </c>
      <c r="AS66">
        <v>9141.9989257910875</v>
      </c>
      <c r="AT66">
        <v>6.5114210675151307</v>
      </c>
      <c r="AU66">
        <v>7751.1956387700111</v>
      </c>
      <c r="AV66">
        <v>2.1698090961867251</v>
      </c>
      <c r="AW66">
        <v>2582.9407481006774</v>
      </c>
      <c r="AX66">
        <v>10</v>
      </c>
      <c r="AY66">
        <v>11903.999999999998</v>
      </c>
      <c r="AZ66">
        <v>7</v>
      </c>
      <c r="BA66">
        <v>8332.7999999999993</v>
      </c>
      <c r="BB66">
        <v>8</v>
      </c>
      <c r="BC66">
        <v>9523.1999999999989</v>
      </c>
      <c r="BD66">
        <v>4.5130585862387171</v>
      </c>
      <c r="BE66">
        <v>5372.3449410585681</v>
      </c>
      <c r="BF66">
        <v>9</v>
      </c>
      <c r="BG66">
        <v>10713.599999999999</v>
      </c>
      <c r="BH66">
        <v>7</v>
      </c>
      <c r="BI66">
        <v>8332.7999999999993</v>
      </c>
      <c r="BJ66">
        <v>4.9821592086290156</v>
      </c>
      <c r="BK66">
        <v>5930.7623219519792</v>
      </c>
      <c r="BL66">
        <v>7</v>
      </c>
      <c r="BM66">
        <v>8332.7999999999993</v>
      </c>
      <c r="BN66">
        <v>7</v>
      </c>
      <c r="BO66">
        <v>8332.7999999999993</v>
      </c>
      <c r="BP66">
        <v>6</v>
      </c>
      <c r="BQ66">
        <v>7142.4</v>
      </c>
      <c r="BR66">
        <v>6</v>
      </c>
      <c r="BS66">
        <v>7142.4</v>
      </c>
      <c r="BT66">
        <v>2.7066503201769372</v>
      </c>
      <c r="BU66">
        <v>3221.9965411386256</v>
      </c>
      <c r="BV66">
        <v>9</v>
      </c>
      <c r="BW66">
        <v>10713.599999999999</v>
      </c>
      <c r="BX66">
        <v>9</v>
      </c>
      <c r="BY66">
        <v>10713.599999999999</v>
      </c>
      <c r="BZ66">
        <v>9</v>
      </c>
      <c r="CA66">
        <v>10713.599999999999</v>
      </c>
      <c r="CB66">
        <v>10</v>
      </c>
      <c r="CC66">
        <v>11903.999999999998</v>
      </c>
      <c r="CD66">
        <v>1.1792939177103421</v>
      </c>
      <c r="CE66">
        <v>1403.8314796423911</v>
      </c>
      <c r="CF66">
        <v>6</v>
      </c>
      <c r="CG66">
        <v>7142.4</v>
      </c>
      <c r="CH66">
        <v>9</v>
      </c>
      <c r="CI66">
        <v>10713.599999999999</v>
      </c>
      <c r="CJ66">
        <v>8</v>
      </c>
      <c r="CK66">
        <v>9523.1999999999989</v>
      </c>
      <c r="CL66">
        <v>11</v>
      </c>
      <c r="CM66">
        <v>13094.399999999998</v>
      </c>
      <c r="CN66">
        <v>7.2556612969723142</v>
      </c>
      <c r="CO66">
        <v>8637.1392079158413</v>
      </c>
      <c r="CP66">
        <v>3.604538568503187</v>
      </c>
      <c r="CQ66">
        <v>4290.842711946193</v>
      </c>
      <c r="CR66">
        <v>10</v>
      </c>
      <c r="CS66">
        <v>11903.999999999998</v>
      </c>
      <c r="CT66">
        <v>5</v>
      </c>
      <c r="CU66">
        <v>5951.9999999999991</v>
      </c>
    </row>
    <row r="67" spans="2:99">
      <c r="C67" s="99" t="s">
        <v>233</v>
      </c>
      <c r="D67">
        <v>5.7953765658482119</v>
      </c>
      <c r="E67">
        <v>6509.3669587607119</v>
      </c>
      <c r="F67">
        <v>8.5617744705312333</v>
      </c>
      <c r="G67">
        <v>9616.5850853006814</v>
      </c>
      <c r="H67">
        <v>7.2480302983030542</v>
      </c>
      <c r="I67">
        <v>8140.9876310539912</v>
      </c>
      <c r="J67">
        <v>5</v>
      </c>
      <c r="K67">
        <v>5616</v>
      </c>
      <c r="L67">
        <v>7.6422670720043628</v>
      </c>
      <c r="M67">
        <v>8583.7943752752999</v>
      </c>
      <c r="N67">
        <v>4.9262289486556021</v>
      </c>
      <c r="O67">
        <v>5533.1403551299727</v>
      </c>
      <c r="P67">
        <v>10</v>
      </c>
      <c r="Q67">
        <v>11232</v>
      </c>
      <c r="R67">
        <v>6</v>
      </c>
      <c r="S67">
        <v>6739.2000000000007</v>
      </c>
      <c r="T67">
        <v>9</v>
      </c>
      <c r="U67">
        <v>10108.800000000001</v>
      </c>
      <c r="V67">
        <v>6.9763236079725752</v>
      </c>
      <c r="W67">
        <v>7835.8066764747964</v>
      </c>
      <c r="X67">
        <v>6</v>
      </c>
      <c r="Y67">
        <v>6739.2000000000007</v>
      </c>
      <c r="Z67">
        <v>6</v>
      </c>
      <c r="AA67">
        <v>6739.2000000000007</v>
      </c>
      <c r="AB67">
        <v>11</v>
      </c>
      <c r="AC67">
        <v>12355.2</v>
      </c>
      <c r="AD67">
        <v>7</v>
      </c>
      <c r="AE67">
        <v>7862.4000000000005</v>
      </c>
      <c r="AF67">
        <v>7</v>
      </c>
      <c r="AG67">
        <v>7862.4000000000005</v>
      </c>
      <c r="AH67">
        <v>7</v>
      </c>
      <c r="AI67">
        <v>7862.4000000000005</v>
      </c>
      <c r="AJ67">
        <v>6.3715071680435749</v>
      </c>
      <c r="AK67">
        <v>7156.4768511465436</v>
      </c>
      <c r="AL67">
        <v>5.3110059072414639</v>
      </c>
      <c r="AM67">
        <v>5965.3218350136121</v>
      </c>
      <c r="AN67">
        <v>10</v>
      </c>
      <c r="AO67">
        <v>11232</v>
      </c>
      <c r="AP67">
        <v>9</v>
      </c>
      <c r="AQ67">
        <v>10108.800000000001</v>
      </c>
      <c r="AR67">
        <v>7.6797706029831057</v>
      </c>
      <c r="AS67">
        <v>8625.9183412706243</v>
      </c>
      <c r="AT67">
        <v>6.5114210675151307</v>
      </c>
      <c r="AU67">
        <v>7313.6281430329955</v>
      </c>
      <c r="AV67">
        <v>1.8598363681600505</v>
      </c>
      <c r="AW67">
        <v>2088.9682087173687</v>
      </c>
      <c r="AX67">
        <v>10</v>
      </c>
      <c r="AY67">
        <v>11232</v>
      </c>
      <c r="AZ67">
        <v>6</v>
      </c>
      <c r="BA67">
        <v>6739.2000000000007</v>
      </c>
      <c r="BB67">
        <v>8</v>
      </c>
      <c r="BC67">
        <v>8985.6</v>
      </c>
      <c r="BD67">
        <v>4.5130585862387171</v>
      </c>
      <c r="BE67">
        <v>5069.0674040633276</v>
      </c>
      <c r="BF67">
        <v>8</v>
      </c>
      <c r="BG67">
        <v>8985.6</v>
      </c>
      <c r="BH67">
        <v>6</v>
      </c>
      <c r="BI67">
        <v>6739.2000000000007</v>
      </c>
      <c r="BJ67">
        <v>4.9821592086290156</v>
      </c>
      <c r="BK67">
        <v>5595.9612231321107</v>
      </c>
      <c r="BL67">
        <v>7</v>
      </c>
      <c r="BM67">
        <v>7862.4000000000005</v>
      </c>
      <c r="BN67">
        <v>6</v>
      </c>
      <c r="BO67">
        <v>6739.2000000000007</v>
      </c>
      <c r="BP67">
        <v>5</v>
      </c>
      <c r="BQ67">
        <v>5616</v>
      </c>
      <c r="BR67">
        <v>6</v>
      </c>
      <c r="BS67">
        <v>6739.2000000000007</v>
      </c>
      <c r="BT67">
        <v>2.7066503201769372</v>
      </c>
      <c r="BU67">
        <v>3040.1096396227358</v>
      </c>
      <c r="BV67">
        <v>8</v>
      </c>
      <c r="BW67">
        <v>8985.6</v>
      </c>
      <c r="BX67">
        <v>10</v>
      </c>
      <c r="BY67">
        <v>11232</v>
      </c>
      <c r="BZ67">
        <v>10</v>
      </c>
      <c r="CA67">
        <v>11232</v>
      </c>
      <c r="CB67">
        <v>9</v>
      </c>
      <c r="CC67">
        <v>10108.800000000001</v>
      </c>
      <c r="CD67">
        <v>1.048261260186971</v>
      </c>
      <c r="CE67">
        <v>1177.4070474420059</v>
      </c>
      <c r="CF67">
        <v>6</v>
      </c>
      <c r="CG67">
        <v>6739.2000000000007</v>
      </c>
      <c r="CH67">
        <v>8</v>
      </c>
      <c r="CI67">
        <v>8985.6</v>
      </c>
      <c r="CJ67">
        <v>7</v>
      </c>
      <c r="CK67">
        <v>7862.4000000000005</v>
      </c>
      <c r="CL67">
        <v>10</v>
      </c>
      <c r="CM67">
        <v>11232</v>
      </c>
      <c r="CN67">
        <v>7.2556612969723142</v>
      </c>
      <c r="CO67">
        <v>8149.5587687593033</v>
      </c>
      <c r="CP67">
        <v>3.604538568503187</v>
      </c>
      <c r="CQ67">
        <v>4048.6177201427799</v>
      </c>
      <c r="CR67">
        <v>10</v>
      </c>
      <c r="CS67">
        <v>11232</v>
      </c>
      <c r="CT67">
        <v>6</v>
      </c>
      <c r="CU67">
        <v>6739.2000000000007</v>
      </c>
    </row>
    <row r="68" spans="2:99">
      <c r="C68" s="99" t="s">
        <v>234</v>
      </c>
      <c r="D68">
        <v>5.7953765658482119</v>
      </c>
      <c r="E68">
        <v>5987.7830678343726</v>
      </c>
      <c r="F68">
        <v>9.4179519175843573</v>
      </c>
      <c r="G68">
        <v>9730.6279212481586</v>
      </c>
      <c r="H68">
        <v>7.2480302983030542</v>
      </c>
      <c r="I68">
        <v>7488.6649042067156</v>
      </c>
      <c r="J68">
        <v>5</v>
      </c>
      <c r="K68">
        <v>5166</v>
      </c>
      <c r="L68">
        <v>6.7931262862260997</v>
      </c>
      <c r="M68">
        <v>7018.6580789288064</v>
      </c>
      <c r="N68">
        <v>5.4735877207284469</v>
      </c>
      <c r="O68">
        <v>5655.310833056632</v>
      </c>
      <c r="P68">
        <v>10</v>
      </c>
      <c r="Q68">
        <v>10332</v>
      </c>
      <c r="R68">
        <v>5</v>
      </c>
      <c r="S68">
        <v>5166</v>
      </c>
      <c r="T68">
        <v>10</v>
      </c>
      <c r="U68">
        <v>10332</v>
      </c>
      <c r="V68">
        <v>6.9763236079725752</v>
      </c>
      <c r="W68">
        <v>7207.9375517572653</v>
      </c>
      <c r="X68">
        <v>6</v>
      </c>
      <c r="Y68">
        <v>6199.2000000000007</v>
      </c>
      <c r="Z68">
        <v>6</v>
      </c>
      <c r="AA68">
        <v>6199.2000000000007</v>
      </c>
      <c r="AB68">
        <v>10</v>
      </c>
      <c r="AC68">
        <v>10332</v>
      </c>
      <c r="AD68">
        <v>7</v>
      </c>
      <c r="AE68">
        <v>7232.4000000000005</v>
      </c>
      <c r="AF68">
        <v>8</v>
      </c>
      <c r="AG68">
        <v>8265.6</v>
      </c>
      <c r="AH68">
        <v>8</v>
      </c>
      <c r="AI68">
        <v>8265.6</v>
      </c>
      <c r="AJ68">
        <v>5.5750687720381285</v>
      </c>
      <c r="AK68">
        <v>5760.1610552697948</v>
      </c>
      <c r="AL68">
        <v>5.3110059072414639</v>
      </c>
      <c r="AM68">
        <v>5487.3313033618806</v>
      </c>
      <c r="AN68">
        <v>11</v>
      </c>
      <c r="AO68">
        <v>11365.2</v>
      </c>
      <c r="AP68">
        <v>10</v>
      </c>
      <c r="AQ68">
        <v>10332</v>
      </c>
      <c r="AR68">
        <v>6.8264627582072048</v>
      </c>
      <c r="AS68">
        <v>7053.1013217796844</v>
      </c>
      <c r="AT68">
        <v>5.6974934340757395</v>
      </c>
      <c r="AU68">
        <v>5886.6502160870541</v>
      </c>
      <c r="AV68">
        <v>1.8598363681600505</v>
      </c>
      <c r="AW68">
        <v>1921.5829355829642</v>
      </c>
      <c r="AX68">
        <v>10</v>
      </c>
      <c r="AY68">
        <v>10332</v>
      </c>
      <c r="AZ68">
        <v>7</v>
      </c>
      <c r="BA68">
        <v>7232.4000000000005</v>
      </c>
      <c r="BB68">
        <v>7</v>
      </c>
      <c r="BC68">
        <v>7232.4000000000005</v>
      </c>
      <c r="BD68">
        <v>3.9489262629588766</v>
      </c>
      <c r="BE68">
        <v>4080.0306148891113</v>
      </c>
      <c r="BF68">
        <v>8</v>
      </c>
      <c r="BG68">
        <v>8265.6</v>
      </c>
      <c r="BH68">
        <v>7</v>
      </c>
      <c r="BI68">
        <v>7232.4000000000005</v>
      </c>
      <c r="BJ68">
        <v>4.1517993405241791</v>
      </c>
      <c r="BK68">
        <v>4289.6390786295824</v>
      </c>
      <c r="BL68">
        <v>8</v>
      </c>
      <c r="BM68">
        <v>8265.6</v>
      </c>
      <c r="BN68">
        <v>7</v>
      </c>
      <c r="BO68">
        <v>7232.4000000000005</v>
      </c>
      <c r="BP68">
        <v>6</v>
      </c>
      <c r="BQ68">
        <v>6199.2000000000007</v>
      </c>
      <c r="BR68">
        <v>6</v>
      </c>
      <c r="BS68">
        <v>6199.2000000000007</v>
      </c>
      <c r="BT68">
        <v>3.1577587068730932</v>
      </c>
      <c r="BU68">
        <v>3262.59629594128</v>
      </c>
      <c r="BV68">
        <v>8</v>
      </c>
      <c r="BW68">
        <v>8265.6</v>
      </c>
      <c r="BX68">
        <v>10</v>
      </c>
      <c r="BY68">
        <v>10332</v>
      </c>
      <c r="BZ68">
        <v>8</v>
      </c>
      <c r="CA68">
        <v>8265.6</v>
      </c>
      <c r="CB68">
        <v>10</v>
      </c>
      <c r="CC68">
        <v>10332</v>
      </c>
      <c r="CD68">
        <v>1.1792939177103421</v>
      </c>
      <c r="CE68">
        <v>1218.4464757783255</v>
      </c>
      <c r="CF68">
        <v>6</v>
      </c>
      <c r="CG68">
        <v>6199.2000000000007</v>
      </c>
      <c r="CH68">
        <v>9</v>
      </c>
      <c r="CI68">
        <v>9298.8000000000011</v>
      </c>
      <c r="CJ68">
        <v>7</v>
      </c>
      <c r="CK68">
        <v>7232.4000000000005</v>
      </c>
      <c r="CL68">
        <v>11</v>
      </c>
      <c r="CM68">
        <v>11365.2</v>
      </c>
      <c r="CN68">
        <v>7.2556612969723142</v>
      </c>
      <c r="CO68">
        <v>7496.5492520317957</v>
      </c>
      <c r="CP68">
        <v>3.604538568503187</v>
      </c>
      <c r="CQ68">
        <v>3724.2092489774932</v>
      </c>
      <c r="CR68">
        <v>11</v>
      </c>
      <c r="CS68">
        <v>11365.2</v>
      </c>
      <c r="CT68">
        <v>6</v>
      </c>
      <c r="CU68">
        <v>6199.2000000000007</v>
      </c>
    </row>
    <row r="69" spans="2:99">
      <c r="C69" s="99" t="s">
        <v>235</v>
      </c>
      <c r="D69">
        <v>6.6232875038265284</v>
      </c>
      <c r="E69">
        <v>5023.1012429020393</v>
      </c>
      <c r="F69">
        <v>9.4179519175843573</v>
      </c>
      <c r="G69">
        <v>7142.5747342959767</v>
      </c>
      <c r="H69">
        <v>7.2480302983030542</v>
      </c>
      <c r="I69">
        <v>5496.9061782330364</v>
      </c>
      <c r="J69">
        <v>6</v>
      </c>
      <c r="K69">
        <v>4550.3999999999996</v>
      </c>
      <c r="L69">
        <v>7.6422670720043628</v>
      </c>
      <c r="M69">
        <v>5795.895347408109</v>
      </c>
      <c r="N69">
        <v>5.4735877207284469</v>
      </c>
      <c r="O69">
        <v>4151.1689274004539</v>
      </c>
      <c r="P69">
        <v>11</v>
      </c>
      <c r="Q69">
        <v>8342.4</v>
      </c>
      <c r="R69">
        <v>5</v>
      </c>
      <c r="S69">
        <v>3792</v>
      </c>
      <c r="T69">
        <v>10</v>
      </c>
      <c r="U69">
        <v>7584</v>
      </c>
      <c r="V69">
        <v>6.1042831569760025</v>
      </c>
      <c r="W69">
        <v>4629.4883462506004</v>
      </c>
      <c r="X69">
        <v>7</v>
      </c>
      <c r="Y69">
        <v>5308.8</v>
      </c>
      <c r="Z69">
        <v>7</v>
      </c>
      <c r="AA69">
        <v>5308.8</v>
      </c>
      <c r="AB69">
        <v>12</v>
      </c>
      <c r="AC69">
        <v>9100.7999999999993</v>
      </c>
      <c r="AD69">
        <v>7</v>
      </c>
      <c r="AE69">
        <v>5308.8</v>
      </c>
      <c r="AF69">
        <v>7</v>
      </c>
      <c r="AG69">
        <v>5308.8</v>
      </c>
      <c r="AH69">
        <v>8</v>
      </c>
      <c r="AI69">
        <v>6067.2</v>
      </c>
      <c r="AJ69">
        <v>7.1679455640490213</v>
      </c>
      <c r="AK69">
        <v>5436.169915774778</v>
      </c>
      <c r="AL69">
        <v>5.3110059072414639</v>
      </c>
      <c r="AM69">
        <v>4027.8668800519263</v>
      </c>
      <c r="AN69">
        <v>11</v>
      </c>
      <c r="AO69">
        <v>8342.4</v>
      </c>
      <c r="AP69">
        <v>10</v>
      </c>
      <c r="AQ69">
        <v>7584</v>
      </c>
      <c r="AR69">
        <v>7.6797706029831057</v>
      </c>
      <c r="AS69">
        <v>5824.338025302387</v>
      </c>
      <c r="AT69">
        <v>5.6974934340757395</v>
      </c>
      <c r="AU69">
        <v>4320.9790204030405</v>
      </c>
      <c r="AV69">
        <v>2.1698090961867251</v>
      </c>
      <c r="AW69">
        <v>1645.5832185480124</v>
      </c>
      <c r="AX69">
        <v>9</v>
      </c>
      <c r="AY69">
        <v>6825.5999999999995</v>
      </c>
      <c r="AZ69">
        <v>7</v>
      </c>
      <c r="BA69">
        <v>5308.8</v>
      </c>
      <c r="BB69">
        <v>9</v>
      </c>
      <c r="BC69">
        <v>6825.5999999999995</v>
      </c>
      <c r="BD69">
        <v>3.9489262629588766</v>
      </c>
      <c r="BE69">
        <v>2994.8656778280119</v>
      </c>
      <c r="BF69">
        <v>8</v>
      </c>
      <c r="BG69">
        <v>6067.2</v>
      </c>
      <c r="BH69">
        <v>7</v>
      </c>
      <c r="BI69">
        <v>5308.8</v>
      </c>
      <c r="BJ69">
        <v>4.1517993405241791</v>
      </c>
      <c r="BK69">
        <v>3148.7246198535372</v>
      </c>
      <c r="BL69">
        <v>7</v>
      </c>
      <c r="BM69">
        <v>5308.8</v>
      </c>
      <c r="BN69">
        <v>6</v>
      </c>
      <c r="BO69">
        <v>4550.3999999999996</v>
      </c>
      <c r="BP69">
        <v>6</v>
      </c>
      <c r="BQ69">
        <v>4550.3999999999996</v>
      </c>
      <c r="BR69">
        <v>6</v>
      </c>
      <c r="BS69">
        <v>4550.3999999999996</v>
      </c>
      <c r="BT69">
        <v>3.1577587068730932</v>
      </c>
      <c r="BU69">
        <v>2394.8442032925536</v>
      </c>
      <c r="BV69">
        <v>9</v>
      </c>
      <c r="BW69">
        <v>6825.5999999999995</v>
      </c>
      <c r="BX69">
        <v>10</v>
      </c>
      <c r="BY69">
        <v>7584</v>
      </c>
      <c r="BZ69">
        <v>9</v>
      </c>
      <c r="CA69">
        <v>6825.5999999999995</v>
      </c>
      <c r="CB69">
        <v>10</v>
      </c>
      <c r="CC69">
        <v>7584</v>
      </c>
      <c r="CD69">
        <v>1.1792939177103421</v>
      </c>
      <c r="CE69">
        <v>894.37650719152339</v>
      </c>
      <c r="CF69">
        <v>6</v>
      </c>
      <c r="CG69">
        <v>4550.3999999999996</v>
      </c>
      <c r="CH69">
        <v>10</v>
      </c>
      <c r="CI69">
        <v>7584</v>
      </c>
      <c r="CJ69">
        <v>8</v>
      </c>
      <c r="CK69">
        <v>6067.2</v>
      </c>
      <c r="CL69">
        <v>11</v>
      </c>
      <c r="CM69">
        <v>8342.4</v>
      </c>
      <c r="CN69">
        <v>7.9812274266695464</v>
      </c>
      <c r="CO69">
        <v>6052.9628803861842</v>
      </c>
      <c r="CP69">
        <v>3.604538568503187</v>
      </c>
      <c r="CQ69">
        <v>2733.682050352817</v>
      </c>
      <c r="CR69">
        <v>10</v>
      </c>
      <c r="CS69">
        <v>7584</v>
      </c>
      <c r="CT69">
        <v>6</v>
      </c>
      <c r="CU69">
        <v>4550.3999999999996</v>
      </c>
    </row>
    <row r="70" spans="2:99">
      <c r="C70" s="99" t="s">
        <v>236</v>
      </c>
      <c r="D70">
        <v>6.6232875038265284</v>
      </c>
      <c r="E70">
        <v>3544.7834720479577</v>
      </c>
      <c r="F70">
        <v>8.5617744705312333</v>
      </c>
      <c r="G70">
        <v>4582.2616966283158</v>
      </c>
      <c r="H70">
        <v>7.2480302983030542</v>
      </c>
      <c r="I70">
        <v>3879.1458156517942</v>
      </c>
      <c r="J70">
        <v>5</v>
      </c>
      <c r="K70">
        <v>2675.9999999999995</v>
      </c>
      <c r="L70">
        <v>6.7931262862260997</v>
      </c>
      <c r="M70">
        <v>3635.6811883882083</v>
      </c>
      <c r="N70">
        <v>5.4735877207284469</v>
      </c>
      <c r="O70">
        <v>2929.4641481338645</v>
      </c>
      <c r="P70">
        <v>12</v>
      </c>
      <c r="Q70">
        <v>6422.4</v>
      </c>
      <c r="R70">
        <v>6</v>
      </c>
      <c r="S70">
        <v>3211.2</v>
      </c>
      <c r="T70">
        <v>9</v>
      </c>
      <c r="U70">
        <v>4816.7999999999993</v>
      </c>
      <c r="V70">
        <v>6.1042831569760025</v>
      </c>
      <c r="W70">
        <v>3267.0123456135561</v>
      </c>
      <c r="X70">
        <v>6</v>
      </c>
      <c r="Y70">
        <v>3211.2</v>
      </c>
      <c r="Z70">
        <v>6</v>
      </c>
      <c r="AA70">
        <v>3211.2</v>
      </c>
      <c r="AB70">
        <v>11</v>
      </c>
      <c r="AC70">
        <v>5887.1999999999989</v>
      </c>
      <c r="AD70">
        <v>7</v>
      </c>
      <c r="AE70">
        <v>3746.3999999999996</v>
      </c>
      <c r="AF70">
        <v>8</v>
      </c>
      <c r="AG70">
        <v>4281.5999999999995</v>
      </c>
      <c r="AH70">
        <v>8</v>
      </c>
      <c r="AI70">
        <v>4281.5999999999995</v>
      </c>
      <c r="AJ70">
        <v>6.3715071680435749</v>
      </c>
      <c r="AK70">
        <v>3410.0306363369209</v>
      </c>
      <c r="AL70">
        <v>5.3110059072414639</v>
      </c>
      <c r="AM70">
        <v>2842.4503615556309</v>
      </c>
      <c r="AN70">
        <v>10</v>
      </c>
      <c r="AO70">
        <v>5351.9999999999991</v>
      </c>
      <c r="AP70">
        <v>11</v>
      </c>
      <c r="AQ70">
        <v>5887.1999999999989</v>
      </c>
      <c r="AR70">
        <v>6.8264627582072048</v>
      </c>
      <c r="AS70">
        <v>3653.5228681924955</v>
      </c>
      <c r="AT70">
        <v>5.6974934340757395</v>
      </c>
      <c r="AU70">
        <v>3049.2984859173353</v>
      </c>
      <c r="AV70">
        <v>2.1698090961867251</v>
      </c>
      <c r="AW70">
        <v>1161.2818282791352</v>
      </c>
      <c r="AX70">
        <v>9</v>
      </c>
      <c r="AY70">
        <v>4816.7999999999993</v>
      </c>
      <c r="AZ70">
        <v>6</v>
      </c>
      <c r="BA70">
        <v>3211.2</v>
      </c>
      <c r="BB70">
        <v>8</v>
      </c>
      <c r="BC70">
        <v>4281.5999999999995</v>
      </c>
      <c r="BD70">
        <v>3.9489262629588766</v>
      </c>
      <c r="BE70">
        <v>2113.4653359355907</v>
      </c>
      <c r="BF70">
        <v>9</v>
      </c>
      <c r="BG70">
        <v>4816.7999999999993</v>
      </c>
      <c r="BH70">
        <v>8</v>
      </c>
      <c r="BI70">
        <v>4281.5999999999995</v>
      </c>
      <c r="BJ70">
        <v>4.9821592086290156</v>
      </c>
      <c r="BK70">
        <v>2666.4516084582488</v>
      </c>
      <c r="BL70">
        <v>8</v>
      </c>
      <c r="BM70">
        <v>4281.5999999999995</v>
      </c>
      <c r="BN70">
        <v>6</v>
      </c>
      <c r="BO70">
        <v>3211.2</v>
      </c>
      <c r="BP70">
        <v>6</v>
      </c>
      <c r="BQ70">
        <v>3211.2</v>
      </c>
      <c r="BR70">
        <v>6</v>
      </c>
      <c r="BS70">
        <v>3211.2</v>
      </c>
      <c r="BT70">
        <v>2.7066503201769372</v>
      </c>
      <c r="BU70">
        <v>1448.5992513586966</v>
      </c>
      <c r="BV70">
        <v>9</v>
      </c>
      <c r="BW70">
        <v>4816.7999999999993</v>
      </c>
      <c r="BX70">
        <v>10</v>
      </c>
      <c r="BY70">
        <v>5351.9999999999991</v>
      </c>
      <c r="BZ70">
        <v>9</v>
      </c>
      <c r="CA70">
        <v>4816.7999999999993</v>
      </c>
      <c r="CB70">
        <v>11</v>
      </c>
      <c r="CC70">
        <v>5887.1999999999989</v>
      </c>
      <c r="CD70">
        <v>1.1792939177103421</v>
      </c>
      <c r="CE70">
        <v>631.15810475857495</v>
      </c>
      <c r="CF70">
        <v>6</v>
      </c>
      <c r="CG70">
        <v>3211.2</v>
      </c>
      <c r="CH70">
        <v>8</v>
      </c>
      <c r="CI70">
        <v>4281.5999999999995</v>
      </c>
      <c r="CJ70">
        <v>9</v>
      </c>
      <c r="CK70">
        <v>4816.7999999999993</v>
      </c>
      <c r="CL70">
        <v>10</v>
      </c>
      <c r="CM70">
        <v>5351.9999999999991</v>
      </c>
      <c r="CN70">
        <v>7.9812274266695464</v>
      </c>
      <c r="CO70">
        <v>4271.5529187535403</v>
      </c>
      <c r="CP70">
        <v>3.604538568503187</v>
      </c>
      <c r="CQ70">
        <v>1929.1490418629055</v>
      </c>
      <c r="CR70">
        <v>11</v>
      </c>
      <c r="CS70">
        <v>5887.1999999999989</v>
      </c>
      <c r="CT70">
        <v>6</v>
      </c>
      <c r="CU70">
        <v>3211.2</v>
      </c>
    </row>
    <row r="71" spans="2:99">
      <c r="B71" s="99" t="s">
        <v>130</v>
      </c>
      <c r="C71" s="99" t="s">
        <v>237</v>
      </c>
      <c r="D71">
        <v>10</v>
      </c>
      <c r="E71">
        <v>5640</v>
      </c>
      <c r="F71">
        <v>9</v>
      </c>
      <c r="G71">
        <v>5076</v>
      </c>
      <c r="H71">
        <v>12</v>
      </c>
      <c r="I71">
        <v>6768</v>
      </c>
      <c r="J71">
        <v>12</v>
      </c>
      <c r="K71">
        <v>6768</v>
      </c>
      <c r="L71">
        <v>12</v>
      </c>
      <c r="M71">
        <v>6768</v>
      </c>
      <c r="N71">
        <v>10</v>
      </c>
      <c r="O71">
        <v>5640</v>
      </c>
      <c r="P71">
        <v>12</v>
      </c>
      <c r="Q71">
        <v>6768</v>
      </c>
      <c r="R71">
        <v>14.279740032608123</v>
      </c>
      <c r="S71">
        <v>8053.7733783909816</v>
      </c>
      <c r="T71">
        <v>1.8863319247629349</v>
      </c>
      <c r="U71">
        <v>1063.8912055662952</v>
      </c>
      <c r="V71">
        <v>7</v>
      </c>
      <c r="W71">
        <v>3948</v>
      </c>
      <c r="X71">
        <v>11.095450019279037</v>
      </c>
      <c r="Y71">
        <v>6257.8338108733769</v>
      </c>
      <c r="Z71">
        <v>12</v>
      </c>
      <c r="AA71">
        <v>6768</v>
      </c>
      <c r="AB71">
        <v>6.4629927060717556</v>
      </c>
      <c r="AC71">
        <v>3645.1278862244703</v>
      </c>
      <c r="AD71">
        <v>13</v>
      </c>
      <c r="AE71">
        <v>7332</v>
      </c>
      <c r="AF71">
        <v>12</v>
      </c>
      <c r="AG71">
        <v>6768</v>
      </c>
      <c r="AH71">
        <v>11</v>
      </c>
      <c r="AI71">
        <v>6204</v>
      </c>
      <c r="AJ71">
        <v>9</v>
      </c>
      <c r="AK71">
        <v>5076</v>
      </c>
      <c r="AL71">
        <v>10</v>
      </c>
      <c r="AM71">
        <v>5640</v>
      </c>
      <c r="AN71">
        <v>9</v>
      </c>
      <c r="AO71">
        <v>5076</v>
      </c>
      <c r="AP71">
        <v>12.576617950102452</v>
      </c>
      <c r="AQ71">
        <v>7093.2125238577828</v>
      </c>
      <c r="AR71">
        <v>8</v>
      </c>
      <c r="AS71">
        <v>4512</v>
      </c>
      <c r="AT71">
        <v>9.6064563448240516</v>
      </c>
      <c r="AU71">
        <v>5418.0413784807652</v>
      </c>
      <c r="AV71">
        <v>8.6644766744080499</v>
      </c>
      <c r="AW71">
        <v>4886.7648443661401</v>
      </c>
      <c r="AX71">
        <v>0</v>
      </c>
      <c r="AY71">
        <v>0</v>
      </c>
      <c r="AZ71">
        <v>10</v>
      </c>
      <c r="BA71">
        <v>5640</v>
      </c>
      <c r="BB71">
        <v>7.2692215971894329</v>
      </c>
      <c r="BC71">
        <v>4099.8409808148399</v>
      </c>
      <c r="BD71">
        <v>9.7356098404818141</v>
      </c>
      <c r="BE71">
        <v>5490.8839500317436</v>
      </c>
      <c r="BF71">
        <v>8</v>
      </c>
      <c r="BG71">
        <v>4512</v>
      </c>
      <c r="BH71">
        <v>9</v>
      </c>
      <c r="BI71">
        <v>5076</v>
      </c>
      <c r="BJ71">
        <v>4.2813759601145582</v>
      </c>
      <c r="BK71">
        <v>2414.696041504611</v>
      </c>
      <c r="BL71">
        <v>8</v>
      </c>
      <c r="BM71">
        <v>4512</v>
      </c>
      <c r="BN71">
        <v>14</v>
      </c>
      <c r="BO71">
        <v>7896</v>
      </c>
      <c r="BP71">
        <v>11</v>
      </c>
      <c r="BQ71">
        <v>6204</v>
      </c>
      <c r="BR71">
        <v>11</v>
      </c>
      <c r="BS71">
        <v>6204</v>
      </c>
      <c r="BT71">
        <v>14</v>
      </c>
      <c r="BU71">
        <v>7896</v>
      </c>
      <c r="BV71">
        <v>11.270091117472839</v>
      </c>
      <c r="BW71">
        <v>6356.3313902546815</v>
      </c>
      <c r="BX71">
        <v>10.374716200758343</v>
      </c>
      <c r="BY71">
        <v>5851.3399372277054</v>
      </c>
      <c r="BZ71">
        <v>1.6993582618392191</v>
      </c>
      <c r="CA71">
        <v>958.43805967731953</v>
      </c>
      <c r="CB71">
        <v>8.7147616086370068</v>
      </c>
      <c r="CC71">
        <v>4915.1255472712719</v>
      </c>
      <c r="CD71">
        <v>11</v>
      </c>
      <c r="CE71">
        <v>6204</v>
      </c>
      <c r="CF71">
        <v>8</v>
      </c>
      <c r="CG71">
        <v>4512</v>
      </c>
      <c r="CH71">
        <v>10</v>
      </c>
      <c r="CI71">
        <v>5640</v>
      </c>
      <c r="CJ71">
        <v>0.2193542201817085</v>
      </c>
      <c r="CK71">
        <v>123.7157801824836</v>
      </c>
      <c r="CL71">
        <v>12</v>
      </c>
      <c r="CM71">
        <v>6768</v>
      </c>
      <c r="CN71">
        <v>11</v>
      </c>
      <c r="CO71">
        <v>6204</v>
      </c>
      <c r="CP71">
        <v>8</v>
      </c>
      <c r="CQ71">
        <v>4512</v>
      </c>
      <c r="CR71">
        <v>7.9482245470704829</v>
      </c>
      <c r="CS71">
        <v>4482.7986445477527</v>
      </c>
      <c r="CT71">
        <v>9</v>
      </c>
      <c r="CU71">
        <v>5076</v>
      </c>
    </row>
    <row r="72" spans="2:99">
      <c r="C72" s="99" t="s">
        <v>238</v>
      </c>
      <c r="D72">
        <v>9</v>
      </c>
      <c r="E72">
        <v>669.59999999999991</v>
      </c>
      <c r="F72">
        <v>8</v>
      </c>
      <c r="G72">
        <v>595.19999999999993</v>
      </c>
      <c r="H72">
        <v>13</v>
      </c>
      <c r="I72">
        <v>967.19999999999993</v>
      </c>
      <c r="J72">
        <v>12</v>
      </c>
      <c r="K72">
        <v>892.8</v>
      </c>
      <c r="L72">
        <v>10</v>
      </c>
      <c r="M72">
        <v>743.99999999999989</v>
      </c>
      <c r="N72">
        <v>10</v>
      </c>
      <c r="O72">
        <v>743.99999999999989</v>
      </c>
      <c r="P72">
        <v>13</v>
      </c>
      <c r="Q72">
        <v>967.19999999999993</v>
      </c>
      <c r="R72">
        <v>14.279740032608123</v>
      </c>
      <c r="S72">
        <v>1062.4126584260441</v>
      </c>
      <c r="T72">
        <v>2.057816645195929</v>
      </c>
      <c r="U72">
        <v>153.1015584025771</v>
      </c>
      <c r="V72">
        <v>9</v>
      </c>
      <c r="W72">
        <v>669.59999999999991</v>
      </c>
      <c r="X72">
        <v>11.948946174608192</v>
      </c>
      <c r="Y72">
        <v>889.00159539084939</v>
      </c>
      <c r="Z72">
        <v>13</v>
      </c>
      <c r="AA72">
        <v>967.19999999999993</v>
      </c>
      <c r="AB72">
        <v>6.4629927060717556</v>
      </c>
      <c r="AC72">
        <v>480.84665733173858</v>
      </c>
      <c r="AD72">
        <v>14</v>
      </c>
      <c r="AE72">
        <v>1041.5999999999999</v>
      </c>
      <c r="AF72">
        <v>11</v>
      </c>
      <c r="AG72">
        <v>818.39999999999986</v>
      </c>
      <c r="AH72">
        <v>11</v>
      </c>
      <c r="AI72">
        <v>818.39999999999986</v>
      </c>
      <c r="AJ72">
        <v>8</v>
      </c>
      <c r="AK72">
        <v>595.19999999999993</v>
      </c>
      <c r="AL72">
        <v>10</v>
      </c>
      <c r="AM72">
        <v>743.99999999999989</v>
      </c>
      <c r="AN72">
        <v>9</v>
      </c>
      <c r="AO72">
        <v>669.59999999999991</v>
      </c>
      <c r="AP72">
        <v>12.576617950102452</v>
      </c>
      <c r="AQ72">
        <v>935.70037548762241</v>
      </c>
      <c r="AR72">
        <v>9</v>
      </c>
      <c r="AS72">
        <v>669.59999999999991</v>
      </c>
      <c r="AT72">
        <v>9.6064563448240516</v>
      </c>
      <c r="AU72">
        <v>714.72035205490931</v>
      </c>
      <c r="AV72">
        <v>8.6644766744080499</v>
      </c>
      <c r="AW72">
        <v>644.63706457595879</v>
      </c>
      <c r="AX72">
        <v>0</v>
      </c>
      <c r="AY72">
        <v>0</v>
      </c>
      <c r="AZ72">
        <v>10</v>
      </c>
      <c r="BA72">
        <v>743.99999999999989</v>
      </c>
      <c r="BB72">
        <v>7.2692215971894329</v>
      </c>
      <c r="BC72">
        <v>540.83008683089372</v>
      </c>
      <c r="BD72">
        <v>9.7356098404818141</v>
      </c>
      <c r="BE72">
        <v>724.32937213184687</v>
      </c>
      <c r="BF72">
        <v>9</v>
      </c>
      <c r="BG72">
        <v>669.59999999999991</v>
      </c>
      <c r="BH72">
        <v>9</v>
      </c>
      <c r="BI72">
        <v>669.59999999999991</v>
      </c>
      <c r="BJ72">
        <v>4.2813759601145582</v>
      </c>
      <c r="BK72">
        <v>318.53437143252307</v>
      </c>
      <c r="BL72">
        <v>9</v>
      </c>
      <c r="BM72">
        <v>669.59999999999991</v>
      </c>
      <c r="BN72">
        <v>14</v>
      </c>
      <c r="BO72">
        <v>1041.5999999999999</v>
      </c>
      <c r="BP72">
        <v>13</v>
      </c>
      <c r="BQ72">
        <v>967.19999999999993</v>
      </c>
      <c r="BR72">
        <v>11</v>
      </c>
      <c r="BS72">
        <v>818.39999999999986</v>
      </c>
      <c r="BT72">
        <v>14</v>
      </c>
      <c r="BU72">
        <v>1041.5999999999999</v>
      </c>
      <c r="BV72">
        <v>10.465084609081922</v>
      </c>
      <c r="BW72">
        <v>778.60229491569487</v>
      </c>
      <c r="BX72">
        <v>9.576661108392317</v>
      </c>
      <c r="BY72">
        <v>712.50358646438826</v>
      </c>
      <c r="BZ72">
        <v>1.9117780445691217</v>
      </c>
      <c r="CA72">
        <v>142.23628651594265</v>
      </c>
      <c r="CB72">
        <v>10.055494163811932</v>
      </c>
      <c r="CC72">
        <v>748.12876578760768</v>
      </c>
      <c r="CD72">
        <v>12</v>
      </c>
      <c r="CE72">
        <v>892.8</v>
      </c>
      <c r="CF72">
        <v>8</v>
      </c>
      <c r="CG72">
        <v>595.19999999999993</v>
      </c>
      <c r="CH72">
        <v>11</v>
      </c>
      <c r="CI72">
        <v>818.39999999999986</v>
      </c>
      <c r="CJ72">
        <v>0.20473060550292796</v>
      </c>
      <c r="CK72">
        <v>15.231957049417838</v>
      </c>
      <c r="CL72">
        <v>11</v>
      </c>
      <c r="CM72">
        <v>818.39999999999986</v>
      </c>
      <c r="CN72">
        <v>12</v>
      </c>
      <c r="CO72">
        <v>892.8</v>
      </c>
      <c r="CP72">
        <v>8</v>
      </c>
      <c r="CQ72">
        <v>595.19999999999993</v>
      </c>
      <c r="CR72">
        <v>7.9482245470704829</v>
      </c>
      <c r="CS72">
        <v>591.34790630204384</v>
      </c>
      <c r="CT72">
        <v>9</v>
      </c>
      <c r="CU72">
        <v>669.59999999999991</v>
      </c>
    </row>
    <row r="73" spans="2:99">
      <c r="C73" s="99" t="s">
        <v>239</v>
      </c>
      <c r="D73">
        <v>8</v>
      </c>
      <c r="E73">
        <v>4473.5999999999995</v>
      </c>
      <c r="F73">
        <v>8</v>
      </c>
      <c r="G73">
        <v>4473.5999999999995</v>
      </c>
      <c r="H73">
        <v>12</v>
      </c>
      <c r="I73">
        <v>6710.4</v>
      </c>
      <c r="J73">
        <v>11</v>
      </c>
      <c r="K73">
        <v>6151.1999999999989</v>
      </c>
      <c r="L73">
        <v>12</v>
      </c>
      <c r="M73">
        <v>6710.4</v>
      </c>
      <c r="N73">
        <v>10</v>
      </c>
      <c r="O73">
        <v>5591.9999999999991</v>
      </c>
      <c r="P73">
        <v>13</v>
      </c>
      <c r="Q73">
        <v>7269.5999999999995</v>
      </c>
      <c r="R73">
        <v>13.327757363767581</v>
      </c>
      <c r="S73">
        <v>7452.8819178188305</v>
      </c>
      <c r="T73">
        <v>1.8863319247629349</v>
      </c>
      <c r="U73">
        <v>1054.8368123274331</v>
      </c>
      <c r="V73">
        <v>8</v>
      </c>
      <c r="W73">
        <v>4473.5999999999995</v>
      </c>
      <c r="X73">
        <v>11.095450019279037</v>
      </c>
      <c r="Y73">
        <v>6204.5756507808364</v>
      </c>
      <c r="Z73">
        <v>11</v>
      </c>
      <c r="AA73">
        <v>6151.1999999999989</v>
      </c>
      <c r="AB73">
        <v>6.4629927060717556</v>
      </c>
      <c r="AC73">
        <v>3614.1055212353253</v>
      </c>
      <c r="AD73">
        <v>15</v>
      </c>
      <c r="AE73">
        <v>8387.9999999999982</v>
      </c>
      <c r="AF73">
        <v>11</v>
      </c>
      <c r="AG73">
        <v>6151.1999999999989</v>
      </c>
      <c r="AH73">
        <v>10</v>
      </c>
      <c r="AI73">
        <v>5591.9999999999991</v>
      </c>
      <c r="AJ73">
        <v>8</v>
      </c>
      <c r="AK73">
        <v>4473.5999999999995</v>
      </c>
      <c r="AL73">
        <v>11</v>
      </c>
      <c r="AM73">
        <v>6151.1999999999989</v>
      </c>
      <c r="AN73">
        <v>9</v>
      </c>
      <c r="AO73">
        <v>5032.7999999999993</v>
      </c>
      <c r="AP73">
        <v>12.576617950102452</v>
      </c>
      <c r="AQ73">
        <v>7032.8447576972903</v>
      </c>
      <c r="AR73">
        <v>8</v>
      </c>
      <c r="AS73">
        <v>4473.5999999999995</v>
      </c>
      <c r="AT73">
        <v>10.479770557989875</v>
      </c>
      <c r="AU73">
        <v>5860.2876960279373</v>
      </c>
      <c r="AV73">
        <v>10.589915935387618</v>
      </c>
      <c r="AW73">
        <v>5921.8809910687551</v>
      </c>
      <c r="AX73">
        <v>0</v>
      </c>
      <c r="AY73">
        <v>0</v>
      </c>
      <c r="AZ73">
        <v>11</v>
      </c>
      <c r="BA73">
        <v>6151.1999999999989</v>
      </c>
      <c r="BB73">
        <v>7.7884517112743916</v>
      </c>
      <c r="BC73">
        <v>4355.302196944639</v>
      </c>
      <c r="BD73">
        <v>9.7356098404818141</v>
      </c>
      <c r="BE73">
        <v>5444.1530227974299</v>
      </c>
      <c r="BF73">
        <v>9</v>
      </c>
      <c r="BG73">
        <v>5032.7999999999993</v>
      </c>
      <c r="BH73">
        <v>9</v>
      </c>
      <c r="BI73">
        <v>5032.7999999999993</v>
      </c>
      <c r="BJ73">
        <v>4.2813759601145582</v>
      </c>
      <c r="BK73">
        <v>2394.1454368960608</v>
      </c>
      <c r="BL73">
        <v>9</v>
      </c>
      <c r="BM73">
        <v>5032.7999999999993</v>
      </c>
      <c r="BN73">
        <v>14</v>
      </c>
      <c r="BO73">
        <v>7828.7999999999993</v>
      </c>
      <c r="BP73">
        <v>12</v>
      </c>
      <c r="BQ73">
        <v>6710.4</v>
      </c>
      <c r="BR73">
        <v>12</v>
      </c>
      <c r="BS73">
        <v>6710.4</v>
      </c>
      <c r="BT73">
        <v>13</v>
      </c>
      <c r="BU73">
        <v>7269.5999999999995</v>
      </c>
      <c r="BV73">
        <v>11.270091117472839</v>
      </c>
      <c r="BW73">
        <v>6302.2349528908107</v>
      </c>
      <c r="BX73">
        <v>10.374716200758343</v>
      </c>
      <c r="BY73">
        <v>5801.5412994640647</v>
      </c>
      <c r="BZ73">
        <v>1.6993582618392191</v>
      </c>
      <c r="CA73">
        <v>950.28114002049119</v>
      </c>
      <c r="CB73">
        <v>9.3851278862244705</v>
      </c>
      <c r="CC73">
        <v>5248.1635139767232</v>
      </c>
      <c r="CD73">
        <v>12</v>
      </c>
      <c r="CE73">
        <v>6710.4</v>
      </c>
      <c r="CF73">
        <v>9</v>
      </c>
      <c r="CG73">
        <v>5032.7999999999993</v>
      </c>
      <c r="CH73">
        <v>12</v>
      </c>
      <c r="CI73">
        <v>6710.4</v>
      </c>
      <c r="CJ73">
        <v>0.2193542201817085</v>
      </c>
      <c r="CK73">
        <v>122.66287992561138</v>
      </c>
      <c r="CL73">
        <v>12</v>
      </c>
      <c r="CM73">
        <v>6710.4</v>
      </c>
      <c r="CN73">
        <v>11</v>
      </c>
      <c r="CO73">
        <v>6151.1999999999989</v>
      </c>
      <c r="CP73">
        <v>8</v>
      </c>
      <c r="CQ73">
        <v>4473.5999999999995</v>
      </c>
      <c r="CR73">
        <v>7.9482245470704829</v>
      </c>
      <c r="CS73">
        <v>4444.6471667218138</v>
      </c>
      <c r="CT73">
        <v>8</v>
      </c>
      <c r="CU73">
        <v>4473.5999999999995</v>
      </c>
    </row>
    <row r="74" spans="2:99">
      <c r="C74" s="99" t="s">
        <v>240</v>
      </c>
      <c r="D74">
        <v>9</v>
      </c>
      <c r="E74">
        <v>3628.7999999999997</v>
      </c>
      <c r="F74">
        <v>8</v>
      </c>
      <c r="G74">
        <v>3225.6</v>
      </c>
      <c r="H74">
        <v>12</v>
      </c>
      <c r="I74">
        <v>4838.3999999999996</v>
      </c>
      <c r="J74">
        <v>12</v>
      </c>
      <c r="K74">
        <v>4838.3999999999996</v>
      </c>
      <c r="L74">
        <v>11</v>
      </c>
      <c r="M74">
        <v>4435.2</v>
      </c>
      <c r="N74">
        <v>9</v>
      </c>
      <c r="O74">
        <v>3628.7999999999997</v>
      </c>
      <c r="P74">
        <v>11</v>
      </c>
      <c r="Q74">
        <v>4435.2</v>
      </c>
      <c r="R74">
        <v>13.327757363767581</v>
      </c>
      <c r="S74">
        <v>5373.7517690710883</v>
      </c>
      <c r="T74">
        <v>1.714847204329941</v>
      </c>
      <c r="U74">
        <v>691.42639278583215</v>
      </c>
      <c r="V74">
        <v>8</v>
      </c>
      <c r="W74">
        <v>3225.6</v>
      </c>
      <c r="X74">
        <v>11.948946174608192</v>
      </c>
      <c r="Y74">
        <v>4817.8150976020233</v>
      </c>
      <c r="Z74">
        <v>12</v>
      </c>
      <c r="AA74">
        <v>4838.3999999999996</v>
      </c>
      <c r="AB74">
        <v>7.38627737836772</v>
      </c>
      <c r="AC74">
        <v>2978.1470389578644</v>
      </c>
      <c r="AD74">
        <v>13</v>
      </c>
      <c r="AE74">
        <v>5241.5999999999995</v>
      </c>
      <c r="AF74">
        <v>10</v>
      </c>
      <c r="AG74">
        <v>4032</v>
      </c>
      <c r="AH74">
        <v>10</v>
      </c>
      <c r="AI74">
        <v>4032</v>
      </c>
      <c r="AJ74">
        <v>9</v>
      </c>
      <c r="AK74">
        <v>3628.7999999999997</v>
      </c>
      <c r="AL74">
        <v>11</v>
      </c>
      <c r="AM74">
        <v>4435.2</v>
      </c>
      <c r="AN74">
        <v>9</v>
      </c>
      <c r="AO74">
        <v>3628.7999999999997</v>
      </c>
      <c r="AP74">
        <v>12.576617950102452</v>
      </c>
      <c r="AQ74">
        <v>5070.8923574813089</v>
      </c>
      <c r="AR74">
        <v>8</v>
      </c>
      <c r="AS74">
        <v>3225.6</v>
      </c>
      <c r="AT74">
        <v>9.6064563448240516</v>
      </c>
      <c r="AU74">
        <v>3873.3231982330576</v>
      </c>
      <c r="AV74">
        <v>9.6271963048978328</v>
      </c>
      <c r="AW74">
        <v>3881.6855501348059</v>
      </c>
      <c r="AX74">
        <v>0</v>
      </c>
      <c r="AY74">
        <v>0</v>
      </c>
      <c r="AZ74">
        <v>11</v>
      </c>
      <c r="BA74">
        <v>4435.2</v>
      </c>
      <c r="BB74">
        <v>6.7499914831044725</v>
      </c>
      <c r="BC74">
        <v>2721.5965659877234</v>
      </c>
      <c r="BD74">
        <v>9.7356098404818141</v>
      </c>
      <c r="BE74">
        <v>3925.3978876822675</v>
      </c>
      <c r="BF74">
        <v>8</v>
      </c>
      <c r="BG74">
        <v>3225.6</v>
      </c>
      <c r="BH74">
        <v>9</v>
      </c>
      <c r="BI74">
        <v>3628.7999999999997</v>
      </c>
      <c r="BJ74">
        <v>4.2813759601145582</v>
      </c>
      <c r="BK74">
        <v>1726.2507871181899</v>
      </c>
      <c r="BL74">
        <v>8</v>
      </c>
      <c r="BM74">
        <v>3225.6</v>
      </c>
      <c r="BN74">
        <v>13</v>
      </c>
      <c r="BO74">
        <v>5241.5999999999995</v>
      </c>
      <c r="BP74">
        <v>12</v>
      </c>
      <c r="BQ74">
        <v>4838.3999999999996</v>
      </c>
      <c r="BR74">
        <v>12</v>
      </c>
      <c r="BS74">
        <v>4838.3999999999996</v>
      </c>
      <c r="BT74">
        <v>14</v>
      </c>
      <c r="BU74">
        <v>5644.8</v>
      </c>
      <c r="BV74">
        <v>12.075097625863755</v>
      </c>
      <c r="BW74">
        <v>4868.6793627482657</v>
      </c>
      <c r="BX74">
        <v>10.374716200758343</v>
      </c>
      <c r="BY74">
        <v>4183.0855721457638</v>
      </c>
      <c r="BZ74">
        <v>1.9117780445691217</v>
      </c>
      <c r="CA74">
        <v>770.82890757026985</v>
      </c>
      <c r="CB74">
        <v>10.055494163811932</v>
      </c>
      <c r="CC74">
        <v>4054.3752468489711</v>
      </c>
      <c r="CD74">
        <v>12</v>
      </c>
      <c r="CE74">
        <v>4838.3999999999996</v>
      </c>
      <c r="CF74">
        <v>9</v>
      </c>
      <c r="CG74">
        <v>3628.7999999999997</v>
      </c>
      <c r="CH74">
        <v>12</v>
      </c>
      <c r="CI74">
        <v>4838.3999999999996</v>
      </c>
      <c r="CJ74">
        <v>0.20473060550292796</v>
      </c>
      <c r="CK74">
        <v>82.547380138780554</v>
      </c>
      <c r="CL74">
        <v>10</v>
      </c>
      <c r="CM74">
        <v>4032</v>
      </c>
      <c r="CN74">
        <v>10</v>
      </c>
      <c r="CO74">
        <v>4032</v>
      </c>
      <c r="CP74">
        <v>9</v>
      </c>
      <c r="CQ74">
        <v>3628.7999999999997</v>
      </c>
      <c r="CR74">
        <v>7.9482245470704829</v>
      </c>
      <c r="CS74">
        <v>3204.7241373788188</v>
      </c>
      <c r="CT74">
        <v>9</v>
      </c>
      <c r="CU74">
        <v>3628.7999999999997</v>
      </c>
    </row>
    <row r="75" spans="2:99">
      <c r="C75" s="99" t="s">
        <v>241</v>
      </c>
      <c r="D75">
        <v>9</v>
      </c>
      <c r="E75">
        <v>5788.7999999999993</v>
      </c>
      <c r="F75">
        <v>8</v>
      </c>
      <c r="G75">
        <v>5145.5999999999995</v>
      </c>
      <c r="H75">
        <v>13</v>
      </c>
      <c r="I75">
        <v>8361.5999999999985</v>
      </c>
      <c r="J75">
        <v>11</v>
      </c>
      <c r="K75">
        <v>7075.1999999999989</v>
      </c>
      <c r="L75">
        <v>12</v>
      </c>
      <c r="M75">
        <v>7718.4</v>
      </c>
      <c r="N75">
        <v>9</v>
      </c>
      <c r="O75">
        <v>5788.7999999999993</v>
      </c>
      <c r="P75">
        <v>13</v>
      </c>
      <c r="Q75">
        <v>8361.5999999999985</v>
      </c>
      <c r="R75">
        <v>13.327757363767581</v>
      </c>
      <c r="S75">
        <v>8572.4135363753066</v>
      </c>
      <c r="T75">
        <v>1.8863319247629349</v>
      </c>
      <c r="U75">
        <v>1213.2886940075196</v>
      </c>
      <c r="V75">
        <v>9</v>
      </c>
      <c r="W75">
        <v>5788.7999999999993</v>
      </c>
      <c r="X75">
        <v>11.948946174608192</v>
      </c>
      <c r="Y75">
        <v>7685.5621795079887</v>
      </c>
      <c r="Z75">
        <v>12</v>
      </c>
      <c r="AA75">
        <v>7718.4</v>
      </c>
      <c r="AB75">
        <v>6.4629927060717556</v>
      </c>
      <c r="AC75">
        <v>4156.9969085453531</v>
      </c>
      <c r="AD75">
        <v>14</v>
      </c>
      <c r="AE75">
        <v>9004.7999999999993</v>
      </c>
      <c r="AF75">
        <v>11</v>
      </c>
      <c r="AG75">
        <v>7075.1999999999989</v>
      </c>
      <c r="AH75">
        <v>10</v>
      </c>
      <c r="AI75">
        <v>6431.9999999999991</v>
      </c>
      <c r="AJ75">
        <v>9</v>
      </c>
      <c r="AK75">
        <v>5788.7999999999993</v>
      </c>
      <c r="AL75">
        <v>10</v>
      </c>
      <c r="AM75">
        <v>6431.9999999999991</v>
      </c>
      <c r="AN75">
        <v>9</v>
      </c>
      <c r="AO75">
        <v>5788.7999999999993</v>
      </c>
      <c r="AP75">
        <v>13.544050100110333</v>
      </c>
      <c r="AQ75">
        <v>8711.5330243909648</v>
      </c>
      <c r="AR75">
        <v>8</v>
      </c>
      <c r="AS75">
        <v>5145.5999999999995</v>
      </c>
      <c r="AT75">
        <v>9.6064563448240516</v>
      </c>
      <c r="AU75">
        <v>6178.8727209908293</v>
      </c>
      <c r="AV75">
        <v>10.589915935387618</v>
      </c>
      <c r="AW75">
        <v>6811.4339296413145</v>
      </c>
      <c r="AX75">
        <v>0</v>
      </c>
      <c r="AY75">
        <v>0</v>
      </c>
      <c r="AZ75">
        <v>10</v>
      </c>
      <c r="BA75">
        <v>6431.9999999999991</v>
      </c>
      <c r="BB75">
        <v>7.2692215971894329</v>
      </c>
      <c r="BC75">
        <v>4675.5633313122426</v>
      </c>
      <c r="BD75">
        <v>10.431010543373372</v>
      </c>
      <c r="BE75">
        <v>6709.2259814977524</v>
      </c>
      <c r="BF75">
        <v>9</v>
      </c>
      <c r="BG75">
        <v>5788.7999999999993</v>
      </c>
      <c r="BH75">
        <v>9</v>
      </c>
      <c r="BI75">
        <v>5788.7999999999993</v>
      </c>
      <c r="BJ75">
        <v>3.7462039651002388</v>
      </c>
      <c r="BK75">
        <v>2409.5583903524735</v>
      </c>
      <c r="BL75">
        <v>8</v>
      </c>
      <c r="BM75">
        <v>5145.5999999999995</v>
      </c>
      <c r="BN75">
        <v>13</v>
      </c>
      <c r="BO75">
        <v>8361.5999999999985</v>
      </c>
      <c r="BP75">
        <v>11</v>
      </c>
      <c r="BQ75">
        <v>7075.1999999999989</v>
      </c>
      <c r="BR75">
        <v>10</v>
      </c>
      <c r="BS75">
        <v>6431.9999999999991</v>
      </c>
      <c r="BT75">
        <v>12</v>
      </c>
      <c r="BU75">
        <v>7718.4</v>
      </c>
      <c r="BV75">
        <v>10.465084609081922</v>
      </c>
      <c r="BW75">
        <v>6731.1424205614912</v>
      </c>
      <c r="BX75">
        <v>9.576661108392317</v>
      </c>
      <c r="BY75">
        <v>6159.7084249179379</v>
      </c>
      <c r="BZ75">
        <v>1.9117780445691217</v>
      </c>
      <c r="CA75">
        <v>1229.6556382668589</v>
      </c>
      <c r="CB75">
        <v>10.055494163811932</v>
      </c>
      <c r="CC75">
        <v>6467.6938461638347</v>
      </c>
      <c r="CD75">
        <v>12</v>
      </c>
      <c r="CE75">
        <v>7718.4</v>
      </c>
      <c r="CF75">
        <v>8</v>
      </c>
      <c r="CG75">
        <v>5145.5999999999995</v>
      </c>
      <c r="CH75">
        <v>11</v>
      </c>
      <c r="CI75">
        <v>7075.1999999999989</v>
      </c>
      <c r="CJ75">
        <v>0.2193542201817085</v>
      </c>
      <c r="CK75">
        <v>141.08863442087488</v>
      </c>
      <c r="CL75">
        <v>12</v>
      </c>
      <c r="CM75">
        <v>7718.4</v>
      </c>
      <c r="CN75">
        <v>10</v>
      </c>
      <c r="CO75">
        <v>6431.9999999999991</v>
      </c>
      <c r="CP75">
        <v>8</v>
      </c>
      <c r="CQ75">
        <v>5145.5999999999995</v>
      </c>
      <c r="CR75">
        <v>6.9546964786866718</v>
      </c>
      <c r="CS75">
        <v>4473.2607750912666</v>
      </c>
      <c r="CT75">
        <v>9</v>
      </c>
      <c r="CU75">
        <v>5788.7999999999993</v>
      </c>
    </row>
    <row r="76" spans="2:99">
      <c r="C76" s="99" t="s">
        <v>242</v>
      </c>
      <c r="D76">
        <v>9</v>
      </c>
      <c r="E76">
        <v>7009.2</v>
      </c>
      <c r="F76">
        <v>8</v>
      </c>
      <c r="G76">
        <v>6230.4</v>
      </c>
      <c r="H76">
        <v>12</v>
      </c>
      <c r="I76">
        <v>9345.5999999999985</v>
      </c>
      <c r="J76">
        <v>11</v>
      </c>
      <c r="K76">
        <v>8566.7999999999993</v>
      </c>
      <c r="L76">
        <v>11</v>
      </c>
      <c r="M76">
        <v>8566.7999999999993</v>
      </c>
      <c r="N76">
        <v>8</v>
      </c>
      <c r="O76">
        <v>6230.4</v>
      </c>
      <c r="P76">
        <v>11</v>
      </c>
      <c r="Q76">
        <v>8566.7999999999993</v>
      </c>
      <c r="R76">
        <v>14.279740032608123</v>
      </c>
      <c r="S76">
        <v>11121.061537395206</v>
      </c>
      <c r="T76">
        <v>1.714847204329941</v>
      </c>
      <c r="U76">
        <v>1335.5230027321579</v>
      </c>
      <c r="V76">
        <v>8</v>
      </c>
      <c r="W76">
        <v>6230.4</v>
      </c>
      <c r="X76">
        <v>11.095450019279037</v>
      </c>
      <c r="Y76">
        <v>8641.1364750145131</v>
      </c>
      <c r="Z76">
        <v>12</v>
      </c>
      <c r="AA76">
        <v>9345.5999999999985</v>
      </c>
      <c r="AB76">
        <v>6.4629927060717556</v>
      </c>
      <c r="AC76">
        <v>5033.3787194886827</v>
      </c>
      <c r="AD76">
        <v>15</v>
      </c>
      <c r="AE76">
        <v>11682</v>
      </c>
      <c r="AF76">
        <v>10</v>
      </c>
      <c r="AG76">
        <v>7788</v>
      </c>
      <c r="AH76">
        <v>10</v>
      </c>
      <c r="AI76">
        <v>7788</v>
      </c>
      <c r="AJ76">
        <v>9</v>
      </c>
      <c r="AK76">
        <v>7009.2</v>
      </c>
      <c r="AL76">
        <v>11</v>
      </c>
      <c r="AM76">
        <v>8566.7999999999993</v>
      </c>
      <c r="AN76">
        <v>9</v>
      </c>
      <c r="AO76">
        <v>7009.2</v>
      </c>
      <c r="AP76">
        <v>11.609185800094572</v>
      </c>
      <c r="AQ76">
        <v>9041.2339011136519</v>
      </c>
      <c r="AR76">
        <v>9</v>
      </c>
      <c r="AS76">
        <v>7009.2</v>
      </c>
      <c r="AT76">
        <v>10.479770557989875</v>
      </c>
      <c r="AU76">
        <v>8161.6453105625142</v>
      </c>
      <c r="AV76">
        <v>9.6271963048978328</v>
      </c>
      <c r="AW76">
        <v>7497.6604822544314</v>
      </c>
      <c r="AX76">
        <v>0</v>
      </c>
      <c r="AY76">
        <v>0</v>
      </c>
      <c r="AZ76">
        <v>11</v>
      </c>
      <c r="BA76">
        <v>8566.7999999999993</v>
      </c>
      <c r="BB76">
        <v>7.7884517112743916</v>
      </c>
      <c r="BC76">
        <v>6065.6461927404962</v>
      </c>
      <c r="BD76">
        <v>9.0402091375902565</v>
      </c>
      <c r="BE76">
        <v>7040.5148763552916</v>
      </c>
      <c r="BF76">
        <v>9</v>
      </c>
      <c r="BG76">
        <v>7009.2</v>
      </c>
      <c r="BH76">
        <v>9</v>
      </c>
      <c r="BI76">
        <v>7009.2</v>
      </c>
      <c r="BJ76">
        <v>4.2813759601145582</v>
      </c>
      <c r="BK76">
        <v>3334.3355977372175</v>
      </c>
      <c r="BL76">
        <v>8</v>
      </c>
      <c r="BM76">
        <v>6230.4</v>
      </c>
      <c r="BN76">
        <v>13</v>
      </c>
      <c r="BO76">
        <v>10124.4</v>
      </c>
      <c r="BP76">
        <v>11</v>
      </c>
      <c r="BQ76">
        <v>8566.7999999999993</v>
      </c>
      <c r="BR76">
        <v>11</v>
      </c>
      <c r="BS76">
        <v>8566.7999999999993</v>
      </c>
      <c r="BT76">
        <v>14</v>
      </c>
      <c r="BU76">
        <v>10903.199999999999</v>
      </c>
      <c r="BV76">
        <v>9.6600781006910044</v>
      </c>
      <c r="BW76">
        <v>7523.2688248181539</v>
      </c>
      <c r="BX76">
        <v>9.576661108392317</v>
      </c>
      <c r="BY76">
        <v>7458.3036712159364</v>
      </c>
      <c r="BZ76">
        <v>1.9117780445691217</v>
      </c>
      <c r="CA76">
        <v>1488.8927411104319</v>
      </c>
      <c r="CB76">
        <v>9.3851278862244705</v>
      </c>
      <c r="CC76">
        <v>7309.1375977916168</v>
      </c>
      <c r="CD76">
        <v>10</v>
      </c>
      <c r="CE76">
        <v>7788</v>
      </c>
      <c r="CF76">
        <v>7</v>
      </c>
      <c r="CG76">
        <v>5451.5999999999995</v>
      </c>
      <c r="CH76">
        <v>11</v>
      </c>
      <c r="CI76">
        <v>8566.7999999999993</v>
      </c>
      <c r="CJ76">
        <v>0.19010699082414739</v>
      </c>
      <c r="CK76">
        <v>148.05532445384597</v>
      </c>
      <c r="CL76">
        <v>11</v>
      </c>
      <c r="CM76">
        <v>8566.7999999999993</v>
      </c>
      <c r="CN76">
        <v>10</v>
      </c>
      <c r="CO76">
        <v>7788</v>
      </c>
      <c r="CP76">
        <v>8</v>
      </c>
      <c r="CQ76">
        <v>6230.4</v>
      </c>
      <c r="CR76">
        <v>7.9482245470704829</v>
      </c>
      <c r="CS76">
        <v>6190.0772772584914</v>
      </c>
      <c r="CT76">
        <v>10</v>
      </c>
      <c r="CU76">
        <v>7788</v>
      </c>
    </row>
    <row r="77" spans="2:99">
      <c r="C77" s="99" t="s">
        <v>243</v>
      </c>
      <c r="D77">
        <v>10</v>
      </c>
      <c r="E77">
        <v>2784</v>
      </c>
      <c r="F77">
        <v>9</v>
      </c>
      <c r="G77">
        <v>2505.6</v>
      </c>
      <c r="H77">
        <v>12</v>
      </c>
      <c r="I77">
        <v>3340.7999999999997</v>
      </c>
      <c r="J77">
        <v>12</v>
      </c>
      <c r="K77">
        <v>3340.7999999999997</v>
      </c>
      <c r="L77">
        <v>11</v>
      </c>
      <c r="M77">
        <v>3062.3999999999996</v>
      </c>
      <c r="N77">
        <v>9</v>
      </c>
      <c r="O77">
        <v>2505.6</v>
      </c>
      <c r="P77">
        <v>12</v>
      </c>
      <c r="Q77">
        <v>3340.7999999999997</v>
      </c>
      <c r="R77">
        <v>12.37577469492704</v>
      </c>
      <c r="S77">
        <v>3445.4156750676875</v>
      </c>
      <c r="T77">
        <v>1.8863319247629349</v>
      </c>
      <c r="U77">
        <v>525.15480785400098</v>
      </c>
      <c r="V77">
        <v>9</v>
      </c>
      <c r="W77">
        <v>2505.6</v>
      </c>
      <c r="X77">
        <v>10.241953863949879</v>
      </c>
      <c r="Y77">
        <v>2851.3599557236462</v>
      </c>
      <c r="Z77">
        <v>12</v>
      </c>
      <c r="AA77">
        <v>3340.7999999999997</v>
      </c>
      <c r="AB77">
        <v>7.38627737836772</v>
      </c>
      <c r="AC77">
        <v>2056.3396221375729</v>
      </c>
      <c r="AD77">
        <v>13</v>
      </c>
      <c r="AE77">
        <v>3619.2</v>
      </c>
      <c r="AF77">
        <v>10</v>
      </c>
      <c r="AG77">
        <v>2784</v>
      </c>
      <c r="AH77">
        <v>9</v>
      </c>
      <c r="AI77">
        <v>2505.6</v>
      </c>
      <c r="AJ77">
        <v>8</v>
      </c>
      <c r="AK77">
        <v>2227.1999999999998</v>
      </c>
      <c r="AL77">
        <v>11</v>
      </c>
      <c r="AM77">
        <v>3062.3999999999996</v>
      </c>
      <c r="AN77">
        <v>10</v>
      </c>
      <c r="AO77">
        <v>2784</v>
      </c>
      <c r="AP77">
        <v>12.576617950102452</v>
      </c>
      <c r="AQ77">
        <v>3501.3304373085225</v>
      </c>
      <c r="AR77">
        <v>9</v>
      </c>
      <c r="AS77">
        <v>2505.6</v>
      </c>
      <c r="AT77">
        <v>9.6064563448240516</v>
      </c>
      <c r="AU77">
        <v>2674.4374463990157</v>
      </c>
      <c r="AV77">
        <v>9.6271963048978328</v>
      </c>
      <c r="AW77">
        <v>2680.2114512835565</v>
      </c>
      <c r="AX77">
        <v>0</v>
      </c>
      <c r="AY77">
        <v>0</v>
      </c>
      <c r="AZ77">
        <v>10</v>
      </c>
      <c r="BA77">
        <v>2784</v>
      </c>
      <c r="BB77">
        <v>7.7884517112743916</v>
      </c>
      <c r="BC77">
        <v>2168.3049564187904</v>
      </c>
      <c r="BD77">
        <v>11.126411246264929</v>
      </c>
      <c r="BE77">
        <v>3097.5928909601562</v>
      </c>
      <c r="BF77">
        <v>9</v>
      </c>
      <c r="BG77">
        <v>2505.6</v>
      </c>
      <c r="BH77">
        <v>10</v>
      </c>
      <c r="BI77">
        <v>2784</v>
      </c>
      <c r="BJ77">
        <v>3.7462039651002388</v>
      </c>
      <c r="BK77">
        <v>1042.9431838839064</v>
      </c>
      <c r="BL77">
        <v>9</v>
      </c>
      <c r="BM77">
        <v>2505.6</v>
      </c>
      <c r="BN77">
        <v>14</v>
      </c>
      <c r="BO77">
        <v>3897.5999999999995</v>
      </c>
      <c r="BP77">
        <v>12</v>
      </c>
      <c r="BQ77">
        <v>3340.7999999999997</v>
      </c>
      <c r="BR77">
        <v>10</v>
      </c>
      <c r="BS77">
        <v>2784</v>
      </c>
      <c r="BT77">
        <v>14</v>
      </c>
      <c r="BU77">
        <v>3897.5999999999995</v>
      </c>
      <c r="BV77">
        <v>12.075097625863755</v>
      </c>
      <c r="BW77">
        <v>3361.7071790404693</v>
      </c>
      <c r="BX77">
        <v>9.576661108392317</v>
      </c>
      <c r="BY77">
        <v>2666.142452576421</v>
      </c>
      <c r="BZ77">
        <v>1.9117780445691217</v>
      </c>
      <c r="CA77">
        <v>532.23900760804349</v>
      </c>
      <c r="CB77">
        <v>9.3851278862244705</v>
      </c>
      <c r="CC77">
        <v>2612.8196035248925</v>
      </c>
      <c r="CD77">
        <v>11</v>
      </c>
      <c r="CE77">
        <v>3062.3999999999996</v>
      </c>
      <c r="CF77">
        <v>8</v>
      </c>
      <c r="CG77">
        <v>2227.1999999999998</v>
      </c>
      <c r="CH77">
        <v>12</v>
      </c>
      <c r="CI77">
        <v>3340.7999999999997</v>
      </c>
      <c r="CJ77">
        <v>0.23397783486048906</v>
      </c>
      <c r="CK77">
        <v>65.139429225160157</v>
      </c>
      <c r="CL77">
        <v>12</v>
      </c>
      <c r="CM77">
        <v>3340.7999999999997</v>
      </c>
      <c r="CN77">
        <v>10</v>
      </c>
      <c r="CO77">
        <v>2784</v>
      </c>
      <c r="CP77">
        <v>9</v>
      </c>
      <c r="CQ77">
        <v>2505.6</v>
      </c>
      <c r="CR77">
        <v>7.9482245470704829</v>
      </c>
      <c r="CS77">
        <v>2212.7857139044222</v>
      </c>
      <c r="CT77">
        <v>9</v>
      </c>
      <c r="CU77">
        <v>2505.6</v>
      </c>
    </row>
    <row r="78" spans="2:99">
      <c r="C78" s="99" t="s">
        <v>244</v>
      </c>
      <c r="D78">
        <v>9</v>
      </c>
      <c r="E78">
        <v>4968</v>
      </c>
      <c r="F78">
        <v>8</v>
      </c>
      <c r="G78">
        <v>4416</v>
      </c>
      <c r="H78">
        <v>11</v>
      </c>
      <c r="I78">
        <v>6072</v>
      </c>
      <c r="J78">
        <v>12</v>
      </c>
      <c r="K78">
        <v>6624</v>
      </c>
      <c r="L78">
        <v>11</v>
      </c>
      <c r="M78">
        <v>6072</v>
      </c>
      <c r="N78">
        <v>10</v>
      </c>
      <c r="O78">
        <v>5520</v>
      </c>
      <c r="P78">
        <v>11</v>
      </c>
      <c r="Q78">
        <v>6072</v>
      </c>
      <c r="R78">
        <v>13.327757363767581</v>
      </c>
      <c r="S78">
        <v>7356.9220647997054</v>
      </c>
      <c r="T78">
        <v>1.714847204329941</v>
      </c>
      <c r="U78">
        <v>946.59565679012746</v>
      </c>
      <c r="V78">
        <v>8</v>
      </c>
      <c r="W78">
        <v>4416</v>
      </c>
      <c r="X78">
        <v>11.095450019279037</v>
      </c>
      <c r="Y78">
        <v>6124.6884106420284</v>
      </c>
      <c r="Z78">
        <v>12</v>
      </c>
      <c r="AA78">
        <v>6624</v>
      </c>
      <c r="AB78">
        <v>7.38627737836772</v>
      </c>
      <c r="AC78">
        <v>4077.2251128589814</v>
      </c>
      <c r="AD78">
        <v>14</v>
      </c>
      <c r="AE78">
        <v>7728</v>
      </c>
      <c r="AF78">
        <v>10</v>
      </c>
      <c r="AG78">
        <v>5520</v>
      </c>
      <c r="AH78">
        <v>10</v>
      </c>
      <c r="AI78">
        <v>5520</v>
      </c>
      <c r="AJ78">
        <v>8</v>
      </c>
      <c r="AK78">
        <v>4416</v>
      </c>
      <c r="AL78">
        <v>10</v>
      </c>
      <c r="AM78">
        <v>5520</v>
      </c>
      <c r="AN78">
        <v>9</v>
      </c>
      <c r="AO78">
        <v>4968</v>
      </c>
      <c r="AP78">
        <v>12.576617950102452</v>
      </c>
      <c r="AQ78">
        <v>6942.2931084565535</v>
      </c>
      <c r="AR78">
        <v>8</v>
      </c>
      <c r="AS78">
        <v>4416</v>
      </c>
      <c r="AT78">
        <v>10.479770557989875</v>
      </c>
      <c r="AU78">
        <v>5784.8333480104111</v>
      </c>
      <c r="AV78">
        <v>8.6644766744080499</v>
      </c>
      <c r="AW78">
        <v>4782.7911242732434</v>
      </c>
      <c r="AX78">
        <v>0</v>
      </c>
      <c r="AY78">
        <v>0</v>
      </c>
      <c r="AZ78">
        <v>11</v>
      </c>
      <c r="BA78">
        <v>6072</v>
      </c>
      <c r="BB78">
        <v>7.7884517112743916</v>
      </c>
      <c r="BC78">
        <v>4299.2253446234645</v>
      </c>
      <c r="BD78">
        <v>9.7356098404818141</v>
      </c>
      <c r="BE78">
        <v>5374.0566319459613</v>
      </c>
      <c r="BF78">
        <v>9</v>
      </c>
      <c r="BG78">
        <v>4968</v>
      </c>
      <c r="BH78">
        <v>9</v>
      </c>
      <c r="BI78">
        <v>4968</v>
      </c>
      <c r="BJ78">
        <v>4.2813759601145582</v>
      </c>
      <c r="BK78">
        <v>2363.319529983236</v>
      </c>
      <c r="BL78">
        <v>8</v>
      </c>
      <c r="BM78">
        <v>4416</v>
      </c>
      <c r="BN78">
        <v>13</v>
      </c>
      <c r="BO78">
        <v>7176</v>
      </c>
      <c r="BP78">
        <v>12</v>
      </c>
      <c r="BQ78">
        <v>6624</v>
      </c>
      <c r="BR78">
        <v>11</v>
      </c>
      <c r="BS78">
        <v>6072</v>
      </c>
      <c r="BT78">
        <v>12</v>
      </c>
      <c r="BU78">
        <v>6624</v>
      </c>
      <c r="BV78">
        <v>10.465084609081922</v>
      </c>
      <c r="BW78">
        <v>5776.7267042132207</v>
      </c>
      <c r="BX78">
        <v>8.7786060160262895</v>
      </c>
      <c r="BY78">
        <v>4845.7905208465118</v>
      </c>
      <c r="BZ78">
        <v>1.6993582618392191</v>
      </c>
      <c r="CA78">
        <v>938.04576053524897</v>
      </c>
      <c r="CB78">
        <v>9.3851278862244705</v>
      </c>
      <c r="CC78">
        <v>5180.5905931959078</v>
      </c>
      <c r="CD78">
        <v>10</v>
      </c>
      <c r="CE78">
        <v>5520</v>
      </c>
      <c r="CF78">
        <v>8</v>
      </c>
      <c r="CG78">
        <v>4416</v>
      </c>
      <c r="CH78">
        <v>11</v>
      </c>
      <c r="CI78">
        <v>6072</v>
      </c>
      <c r="CJ78">
        <v>0.2193542201817085</v>
      </c>
      <c r="CK78">
        <v>121.08352954030309</v>
      </c>
      <c r="CL78">
        <v>10</v>
      </c>
      <c r="CM78">
        <v>5520</v>
      </c>
      <c r="CN78">
        <v>11</v>
      </c>
      <c r="CO78">
        <v>6072</v>
      </c>
      <c r="CP78">
        <v>9</v>
      </c>
      <c r="CQ78">
        <v>4968</v>
      </c>
      <c r="CR78">
        <v>7.9482245470704829</v>
      </c>
      <c r="CS78">
        <v>4387.4199499829065</v>
      </c>
      <c r="CT78">
        <v>9</v>
      </c>
      <c r="CU78">
        <v>4968</v>
      </c>
    </row>
    <row r="79" spans="2:99">
      <c r="C79" s="99" t="s">
        <v>245</v>
      </c>
      <c r="D79">
        <v>9</v>
      </c>
      <c r="E79">
        <v>6814.7999999999993</v>
      </c>
      <c r="F79">
        <v>9</v>
      </c>
      <c r="G79">
        <v>6814.7999999999993</v>
      </c>
      <c r="H79">
        <v>12</v>
      </c>
      <c r="I79">
        <v>9086.4</v>
      </c>
      <c r="J79">
        <v>10</v>
      </c>
      <c r="K79">
        <v>7571.9999999999991</v>
      </c>
      <c r="L79">
        <v>11</v>
      </c>
      <c r="M79">
        <v>8329.1999999999989</v>
      </c>
      <c r="N79">
        <v>9</v>
      </c>
      <c r="O79">
        <v>6814.7999999999993</v>
      </c>
      <c r="P79">
        <v>12</v>
      </c>
      <c r="Q79">
        <v>9086.4</v>
      </c>
      <c r="R79">
        <v>12.37577469492704</v>
      </c>
      <c r="S79">
        <v>9370.9365989987546</v>
      </c>
      <c r="T79">
        <v>1.8863319247629349</v>
      </c>
      <c r="U79">
        <v>1428.3305334304941</v>
      </c>
      <c r="V79">
        <v>7</v>
      </c>
      <c r="W79">
        <v>5300.4</v>
      </c>
      <c r="X79">
        <v>11.948946174608192</v>
      </c>
      <c r="Y79">
        <v>9047.7420434133219</v>
      </c>
      <c r="Z79">
        <v>12</v>
      </c>
      <c r="AA79">
        <v>9086.4</v>
      </c>
      <c r="AB79">
        <v>7.38627737836772</v>
      </c>
      <c r="AC79">
        <v>5592.8892309000375</v>
      </c>
      <c r="AD79">
        <v>14</v>
      </c>
      <c r="AE79">
        <v>10600.8</v>
      </c>
      <c r="AF79">
        <v>11</v>
      </c>
      <c r="AG79">
        <v>8329.1999999999989</v>
      </c>
      <c r="AH79">
        <v>9</v>
      </c>
      <c r="AI79">
        <v>6814.7999999999993</v>
      </c>
      <c r="AJ79">
        <v>7</v>
      </c>
      <c r="AK79">
        <v>5300.4</v>
      </c>
      <c r="AL79">
        <v>10</v>
      </c>
      <c r="AM79">
        <v>7571.9999999999991</v>
      </c>
      <c r="AN79">
        <v>9</v>
      </c>
      <c r="AO79">
        <v>6814.7999999999993</v>
      </c>
      <c r="AP79">
        <v>11.609185800094572</v>
      </c>
      <c r="AQ79">
        <v>8790.4754878316089</v>
      </c>
      <c r="AR79">
        <v>9</v>
      </c>
      <c r="AS79">
        <v>6814.7999999999993</v>
      </c>
      <c r="AT79">
        <v>10.479770557989875</v>
      </c>
      <c r="AU79">
        <v>7935.2822665099329</v>
      </c>
      <c r="AV79">
        <v>9.6271963048978328</v>
      </c>
      <c r="AW79">
        <v>7289.7130420686381</v>
      </c>
      <c r="AX79">
        <v>0</v>
      </c>
      <c r="AY79">
        <v>0</v>
      </c>
      <c r="AZ79">
        <v>10</v>
      </c>
      <c r="BA79">
        <v>7571.9999999999991</v>
      </c>
      <c r="BB79">
        <v>7.7884517112743916</v>
      </c>
      <c r="BC79">
        <v>5897.4156357769689</v>
      </c>
      <c r="BD79">
        <v>10.431010543373372</v>
      </c>
      <c r="BE79">
        <v>7898.3611834423164</v>
      </c>
      <c r="BF79">
        <v>8</v>
      </c>
      <c r="BG79">
        <v>6057.5999999999995</v>
      </c>
      <c r="BH79">
        <v>9</v>
      </c>
      <c r="BI79">
        <v>6814.7999999999993</v>
      </c>
      <c r="BJ79">
        <v>4.2813759601145582</v>
      </c>
      <c r="BK79">
        <v>3241.857876998743</v>
      </c>
      <c r="BL79">
        <v>8</v>
      </c>
      <c r="BM79">
        <v>6057.5999999999995</v>
      </c>
      <c r="BN79">
        <v>13</v>
      </c>
      <c r="BO79">
        <v>9843.5999999999985</v>
      </c>
      <c r="BP79">
        <v>12</v>
      </c>
      <c r="BQ79">
        <v>9086.4</v>
      </c>
      <c r="BR79">
        <v>10</v>
      </c>
      <c r="BS79">
        <v>7571.9999999999991</v>
      </c>
      <c r="BT79">
        <v>14</v>
      </c>
      <c r="BU79">
        <v>10600.8</v>
      </c>
      <c r="BV79">
        <v>11.270091117472839</v>
      </c>
      <c r="BW79">
        <v>8533.7129941504336</v>
      </c>
      <c r="BX79">
        <v>8.7786060160262895</v>
      </c>
      <c r="BY79">
        <v>6647.1604753351057</v>
      </c>
      <c r="BZ79">
        <v>1.6993582618392191</v>
      </c>
      <c r="CA79">
        <v>1286.7540758646567</v>
      </c>
      <c r="CB79">
        <v>10.055494163811932</v>
      </c>
      <c r="CC79">
        <v>7614.0201808383945</v>
      </c>
      <c r="CD79">
        <v>11</v>
      </c>
      <c r="CE79">
        <v>8329.1999999999989</v>
      </c>
      <c r="CF79">
        <v>8</v>
      </c>
      <c r="CG79">
        <v>6057.5999999999995</v>
      </c>
      <c r="CH79">
        <v>12</v>
      </c>
      <c r="CI79">
        <v>9086.4</v>
      </c>
      <c r="CJ79">
        <v>0.2193542201817085</v>
      </c>
      <c r="CK79">
        <v>166.09501552158966</v>
      </c>
      <c r="CL79">
        <v>12</v>
      </c>
      <c r="CM79">
        <v>9086.4</v>
      </c>
      <c r="CN79">
        <v>11</v>
      </c>
      <c r="CO79">
        <v>8329.1999999999989</v>
      </c>
      <c r="CP79">
        <v>8</v>
      </c>
      <c r="CQ79">
        <v>6057.5999999999995</v>
      </c>
      <c r="CR79">
        <v>6.9546964786866718</v>
      </c>
      <c r="CS79">
        <v>5266.0961736615473</v>
      </c>
      <c r="CT79">
        <v>9</v>
      </c>
      <c r="CU79">
        <v>6814.7999999999993</v>
      </c>
    </row>
    <row r="80" spans="2:99">
      <c r="C80" s="99" t="s">
        <v>246</v>
      </c>
      <c r="D80">
        <v>9</v>
      </c>
      <c r="E80">
        <v>7246.7999999999993</v>
      </c>
      <c r="F80">
        <v>8</v>
      </c>
      <c r="G80">
        <v>6441.5999999999995</v>
      </c>
      <c r="H80">
        <v>12</v>
      </c>
      <c r="I80">
        <v>9662.4</v>
      </c>
      <c r="J80">
        <v>12</v>
      </c>
      <c r="K80">
        <v>9662.4</v>
      </c>
      <c r="L80">
        <v>11</v>
      </c>
      <c r="M80">
        <v>8857.1999999999989</v>
      </c>
      <c r="N80">
        <v>8</v>
      </c>
      <c r="O80">
        <v>6441.5999999999995</v>
      </c>
      <c r="P80">
        <v>11</v>
      </c>
      <c r="Q80">
        <v>8857.1999999999989</v>
      </c>
      <c r="R80">
        <v>13.327757363767581</v>
      </c>
      <c r="S80">
        <v>10731.510229305655</v>
      </c>
      <c r="T80">
        <v>1.714847204329941</v>
      </c>
      <c r="U80">
        <v>1380.7949689264683</v>
      </c>
      <c r="V80">
        <v>8</v>
      </c>
      <c r="W80">
        <v>6441.5999999999995</v>
      </c>
      <c r="X80">
        <v>11.095450019279037</v>
      </c>
      <c r="Y80">
        <v>8934.0563555234803</v>
      </c>
      <c r="Z80">
        <v>11</v>
      </c>
      <c r="AA80">
        <v>8857.1999999999989</v>
      </c>
      <c r="AB80">
        <v>6.4629927060717556</v>
      </c>
      <c r="AC80">
        <v>5204.0017269289774</v>
      </c>
      <c r="AD80">
        <v>13</v>
      </c>
      <c r="AE80">
        <v>10467.599999999999</v>
      </c>
      <c r="AF80">
        <v>10</v>
      </c>
      <c r="AG80">
        <v>8051.9999999999991</v>
      </c>
      <c r="AH80">
        <v>9</v>
      </c>
      <c r="AI80">
        <v>7246.7999999999993</v>
      </c>
      <c r="AJ80">
        <v>8</v>
      </c>
      <c r="AK80">
        <v>6441.5999999999995</v>
      </c>
      <c r="AL80">
        <v>10</v>
      </c>
      <c r="AM80">
        <v>8051.9999999999991</v>
      </c>
      <c r="AN80">
        <v>8</v>
      </c>
      <c r="AO80">
        <v>6441.5999999999995</v>
      </c>
      <c r="AP80">
        <v>12.576617950102452</v>
      </c>
      <c r="AQ80">
        <v>10126.692773422494</v>
      </c>
      <c r="AR80">
        <v>8</v>
      </c>
      <c r="AS80">
        <v>6441.5999999999995</v>
      </c>
      <c r="AT80">
        <v>10.479770557989875</v>
      </c>
      <c r="AU80">
        <v>8438.3112532934465</v>
      </c>
      <c r="AV80">
        <v>9.6271963048978328</v>
      </c>
      <c r="AW80">
        <v>7751.8184647037342</v>
      </c>
      <c r="AX80">
        <v>0</v>
      </c>
      <c r="AY80">
        <v>0</v>
      </c>
      <c r="AZ80">
        <v>11</v>
      </c>
      <c r="BA80">
        <v>8857.1999999999989</v>
      </c>
      <c r="BB80">
        <v>7.7884517112743916</v>
      </c>
      <c r="BC80">
        <v>6271.2613179181399</v>
      </c>
      <c r="BD80">
        <v>9.0402091375902565</v>
      </c>
      <c r="BE80">
        <v>7279.1763975876738</v>
      </c>
      <c r="BF80">
        <v>8</v>
      </c>
      <c r="BG80">
        <v>6441.5999999999995</v>
      </c>
      <c r="BH80">
        <v>8</v>
      </c>
      <c r="BI80">
        <v>6441.5999999999995</v>
      </c>
      <c r="BJ80">
        <v>4.2813759601145582</v>
      </c>
      <c r="BK80">
        <v>3447.3639230842418</v>
      </c>
      <c r="BL80">
        <v>9</v>
      </c>
      <c r="BM80">
        <v>7246.7999999999993</v>
      </c>
      <c r="BN80">
        <v>14</v>
      </c>
      <c r="BO80">
        <v>11272.8</v>
      </c>
      <c r="BP80">
        <v>13</v>
      </c>
      <c r="BQ80">
        <v>10467.599999999999</v>
      </c>
      <c r="BR80">
        <v>10</v>
      </c>
      <c r="BS80">
        <v>8051.9999999999991</v>
      </c>
      <c r="BT80">
        <v>13</v>
      </c>
      <c r="BU80">
        <v>10467.599999999999</v>
      </c>
      <c r="BV80">
        <v>10.465084609081922</v>
      </c>
      <c r="BW80">
        <v>8426.4861272327635</v>
      </c>
      <c r="BX80">
        <v>8.7786060160262895</v>
      </c>
      <c r="BY80">
        <v>7068.5335641043675</v>
      </c>
      <c r="BZ80">
        <v>1.9117780445691217</v>
      </c>
      <c r="CA80">
        <v>1539.3636814870567</v>
      </c>
      <c r="CB80">
        <v>9.3851278862244705</v>
      </c>
      <c r="CC80">
        <v>7556.9049739879429</v>
      </c>
      <c r="CD80">
        <v>11</v>
      </c>
      <c r="CE80">
        <v>8857.1999999999989</v>
      </c>
      <c r="CF80">
        <v>8</v>
      </c>
      <c r="CG80">
        <v>6441.5999999999995</v>
      </c>
      <c r="CH80">
        <v>11</v>
      </c>
      <c r="CI80">
        <v>8857.1999999999989</v>
      </c>
      <c r="CJ80">
        <v>0.2193542201817085</v>
      </c>
      <c r="CK80">
        <v>176.62401809031167</v>
      </c>
      <c r="CL80">
        <v>11</v>
      </c>
      <c r="CM80">
        <v>8857.1999999999989</v>
      </c>
      <c r="CN80">
        <v>11</v>
      </c>
      <c r="CO80">
        <v>8857.1999999999989</v>
      </c>
      <c r="CP80">
        <v>8</v>
      </c>
      <c r="CQ80">
        <v>6441.5999999999995</v>
      </c>
      <c r="CR80">
        <v>7.9482245470704829</v>
      </c>
      <c r="CS80">
        <v>6399.9104053011524</v>
      </c>
      <c r="CT80">
        <v>9</v>
      </c>
      <c r="CU80">
        <v>7246.7999999999993</v>
      </c>
    </row>
    <row r="81" spans="2:99">
      <c r="C81" s="99" t="s">
        <v>247</v>
      </c>
      <c r="D81">
        <v>9</v>
      </c>
      <c r="E81">
        <v>6782.4000000000005</v>
      </c>
      <c r="F81">
        <v>8</v>
      </c>
      <c r="G81">
        <v>6028.8</v>
      </c>
      <c r="H81">
        <v>13</v>
      </c>
      <c r="I81">
        <v>9796.8000000000011</v>
      </c>
      <c r="J81">
        <v>10</v>
      </c>
      <c r="K81">
        <v>7536</v>
      </c>
      <c r="L81">
        <v>11</v>
      </c>
      <c r="M81">
        <v>8289.6</v>
      </c>
      <c r="N81">
        <v>8</v>
      </c>
      <c r="O81">
        <v>6028.8</v>
      </c>
      <c r="P81">
        <v>11</v>
      </c>
      <c r="Q81">
        <v>8289.6</v>
      </c>
      <c r="R81">
        <v>13.327757363767581</v>
      </c>
      <c r="S81">
        <v>10043.79794933525</v>
      </c>
      <c r="T81">
        <v>1.714847204329941</v>
      </c>
      <c r="U81">
        <v>1292.3088531830435</v>
      </c>
      <c r="V81">
        <v>8</v>
      </c>
      <c r="W81">
        <v>6028.8</v>
      </c>
      <c r="X81">
        <v>11.095450019279037</v>
      </c>
      <c r="Y81">
        <v>8361.5311345286827</v>
      </c>
      <c r="Z81">
        <v>12</v>
      </c>
      <c r="AA81">
        <v>9043.2000000000007</v>
      </c>
      <c r="AB81">
        <v>7.38627737836772</v>
      </c>
      <c r="AC81">
        <v>5566.2986323379137</v>
      </c>
      <c r="AD81">
        <v>14</v>
      </c>
      <c r="AE81">
        <v>10550.4</v>
      </c>
      <c r="AF81">
        <v>11</v>
      </c>
      <c r="AG81">
        <v>8289.6</v>
      </c>
      <c r="AH81">
        <v>10</v>
      </c>
      <c r="AI81">
        <v>7536</v>
      </c>
      <c r="AJ81">
        <v>8</v>
      </c>
      <c r="AK81">
        <v>6028.8</v>
      </c>
      <c r="AL81">
        <v>11</v>
      </c>
      <c r="AM81">
        <v>8289.6</v>
      </c>
      <c r="AN81">
        <v>9</v>
      </c>
      <c r="AO81">
        <v>6782.4000000000005</v>
      </c>
      <c r="AP81">
        <v>13.544050100110333</v>
      </c>
      <c r="AQ81">
        <v>10206.796155443148</v>
      </c>
      <c r="AR81">
        <v>9</v>
      </c>
      <c r="AS81">
        <v>6782.4000000000005</v>
      </c>
      <c r="AT81">
        <v>9.6064563448240516</v>
      </c>
      <c r="AU81">
        <v>7239.4255014594055</v>
      </c>
      <c r="AV81">
        <v>10.589915935387618</v>
      </c>
      <c r="AW81">
        <v>7980.5606489081092</v>
      </c>
      <c r="AX81">
        <v>0</v>
      </c>
      <c r="AY81">
        <v>0</v>
      </c>
      <c r="AZ81">
        <v>10</v>
      </c>
      <c r="BA81">
        <v>7536</v>
      </c>
      <c r="BB81">
        <v>7.7884517112743916</v>
      </c>
      <c r="BC81">
        <v>5869.3772096163821</v>
      </c>
      <c r="BD81">
        <v>9.7356098404818141</v>
      </c>
      <c r="BE81">
        <v>7336.755575787095</v>
      </c>
      <c r="BF81">
        <v>9</v>
      </c>
      <c r="BG81">
        <v>6782.4000000000005</v>
      </c>
      <c r="BH81">
        <v>9</v>
      </c>
      <c r="BI81">
        <v>6782.4000000000005</v>
      </c>
      <c r="BJ81">
        <v>4.2813759601145582</v>
      </c>
      <c r="BK81">
        <v>3226.4449235423313</v>
      </c>
      <c r="BL81">
        <v>9</v>
      </c>
      <c r="BM81">
        <v>6782.4000000000005</v>
      </c>
      <c r="BN81">
        <v>14</v>
      </c>
      <c r="BO81">
        <v>10550.4</v>
      </c>
      <c r="BP81">
        <v>12</v>
      </c>
      <c r="BQ81">
        <v>9043.2000000000007</v>
      </c>
      <c r="BR81">
        <v>11</v>
      </c>
      <c r="BS81">
        <v>8289.6</v>
      </c>
      <c r="BT81">
        <v>12</v>
      </c>
      <c r="BU81">
        <v>9043.2000000000007</v>
      </c>
      <c r="BV81">
        <v>9.6600781006910044</v>
      </c>
      <c r="BW81">
        <v>7279.8348566807408</v>
      </c>
      <c r="BX81">
        <v>8.7786060160262895</v>
      </c>
      <c r="BY81">
        <v>6615.5574936774119</v>
      </c>
      <c r="BZ81">
        <v>1.6993582618392191</v>
      </c>
      <c r="CA81">
        <v>1280.6363861220357</v>
      </c>
      <c r="CB81">
        <v>9.3851278862244705</v>
      </c>
      <c r="CC81">
        <v>7072.6323750587608</v>
      </c>
      <c r="CD81">
        <v>10</v>
      </c>
      <c r="CE81">
        <v>7536</v>
      </c>
      <c r="CF81">
        <v>8</v>
      </c>
      <c r="CG81">
        <v>6028.8</v>
      </c>
      <c r="CH81">
        <v>11</v>
      </c>
      <c r="CI81">
        <v>8289.6</v>
      </c>
      <c r="CJ81">
        <v>0.20473060550292796</v>
      </c>
      <c r="CK81">
        <v>154.28498430700651</v>
      </c>
      <c r="CL81">
        <v>11</v>
      </c>
      <c r="CM81">
        <v>8289.6</v>
      </c>
      <c r="CN81">
        <v>10</v>
      </c>
      <c r="CO81">
        <v>7536</v>
      </c>
      <c r="CP81">
        <v>9</v>
      </c>
      <c r="CQ81">
        <v>6782.4000000000005</v>
      </c>
      <c r="CR81">
        <v>6.9546964786866718</v>
      </c>
      <c r="CS81">
        <v>5241.0592663382758</v>
      </c>
      <c r="CT81">
        <v>10</v>
      </c>
      <c r="CU81">
        <v>7536</v>
      </c>
    </row>
    <row r="82" spans="2:99">
      <c r="C82" s="99" t="s">
        <v>248</v>
      </c>
      <c r="D82">
        <v>9</v>
      </c>
      <c r="E82">
        <v>4579.1999999999989</v>
      </c>
      <c r="F82">
        <v>8</v>
      </c>
      <c r="G82">
        <v>4070.3999999999992</v>
      </c>
      <c r="H82">
        <v>12</v>
      </c>
      <c r="I82">
        <v>6105.5999999999985</v>
      </c>
      <c r="J82">
        <v>10</v>
      </c>
      <c r="K82">
        <v>5087.9999999999991</v>
      </c>
      <c r="L82">
        <v>10</v>
      </c>
      <c r="M82">
        <v>5087.9999999999991</v>
      </c>
      <c r="N82">
        <v>10</v>
      </c>
      <c r="O82">
        <v>5087.9999999999991</v>
      </c>
      <c r="P82">
        <v>13</v>
      </c>
      <c r="Q82">
        <v>6614.3999999999987</v>
      </c>
      <c r="R82">
        <v>14.279740032608123</v>
      </c>
      <c r="S82">
        <v>7265.5317285910114</v>
      </c>
      <c r="T82">
        <v>1.8863319247629349</v>
      </c>
      <c r="U82">
        <v>959.76568331938108</v>
      </c>
      <c r="V82">
        <v>8</v>
      </c>
      <c r="W82">
        <v>4070.3999999999992</v>
      </c>
      <c r="X82">
        <v>11.948946174608192</v>
      </c>
      <c r="Y82">
        <v>6079.6238136406473</v>
      </c>
      <c r="Z82">
        <v>12</v>
      </c>
      <c r="AA82">
        <v>6105.5999999999985</v>
      </c>
      <c r="AB82">
        <v>6.4629927060717556</v>
      </c>
      <c r="AC82">
        <v>3288.3706888493084</v>
      </c>
      <c r="AD82">
        <v>14</v>
      </c>
      <c r="AE82">
        <v>7123.1999999999989</v>
      </c>
      <c r="AF82">
        <v>11</v>
      </c>
      <c r="AG82">
        <v>5596.7999999999993</v>
      </c>
      <c r="AH82">
        <v>11</v>
      </c>
      <c r="AI82">
        <v>5596.7999999999993</v>
      </c>
      <c r="AJ82">
        <v>8</v>
      </c>
      <c r="AK82">
        <v>4070.3999999999992</v>
      </c>
      <c r="AL82">
        <v>11</v>
      </c>
      <c r="AM82">
        <v>5596.7999999999993</v>
      </c>
      <c r="AN82">
        <v>9</v>
      </c>
      <c r="AO82">
        <v>4579.1999999999989</v>
      </c>
      <c r="AP82">
        <v>11.609185800094572</v>
      </c>
      <c r="AQ82">
        <v>5906.7537350881166</v>
      </c>
      <c r="AR82">
        <v>9</v>
      </c>
      <c r="AS82">
        <v>4579.1999999999989</v>
      </c>
      <c r="AT82">
        <v>9.6064563448240516</v>
      </c>
      <c r="AU82">
        <v>4887.7649882464766</v>
      </c>
      <c r="AV82">
        <v>9.6271963048978328</v>
      </c>
      <c r="AW82">
        <v>4898.3174799320168</v>
      </c>
      <c r="AX82">
        <v>0</v>
      </c>
      <c r="AY82">
        <v>0</v>
      </c>
      <c r="AZ82">
        <v>10</v>
      </c>
      <c r="BA82">
        <v>5087.9999999999991</v>
      </c>
      <c r="BB82">
        <v>7.7884517112743916</v>
      </c>
      <c r="BC82">
        <v>3962.7642306964099</v>
      </c>
      <c r="BD82">
        <v>9.7356098404818141</v>
      </c>
      <c r="BE82">
        <v>4953.4782868371458</v>
      </c>
      <c r="BF82">
        <v>9</v>
      </c>
      <c r="BG82">
        <v>4579.1999999999989</v>
      </c>
      <c r="BH82">
        <v>9</v>
      </c>
      <c r="BI82">
        <v>4579.1999999999989</v>
      </c>
      <c r="BJ82">
        <v>4.2813759601145582</v>
      </c>
      <c r="BK82">
        <v>2178.3640885062869</v>
      </c>
      <c r="BL82">
        <v>8</v>
      </c>
      <c r="BM82">
        <v>4070.3999999999992</v>
      </c>
      <c r="BN82">
        <v>13</v>
      </c>
      <c r="BO82">
        <v>6614.3999999999987</v>
      </c>
      <c r="BP82">
        <v>13</v>
      </c>
      <c r="BQ82">
        <v>6614.3999999999987</v>
      </c>
      <c r="BR82">
        <v>10</v>
      </c>
      <c r="BS82">
        <v>5087.9999999999991</v>
      </c>
      <c r="BT82">
        <v>13</v>
      </c>
      <c r="BU82">
        <v>6614.3999999999987</v>
      </c>
      <c r="BV82">
        <v>9.6600781006910044</v>
      </c>
      <c r="BW82">
        <v>4915.0477376315821</v>
      </c>
      <c r="BX82">
        <v>9.576661108392317</v>
      </c>
      <c r="BY82">
        <v>4872.6051719500101</v>
      </c>
      <c r="BZ82">
        <v>1.9117780445691217</v>
      </c>
      <c r="CA82">
        <v>972.71266907676898</v>
      </c>
      <c r="CB82">
        <v>10.055494163811932</v>
      </c>
      <c r="CC82">
        <v>5116.2354305475101</v>
      </c>
      <c r="CD82">
        <v>11</v>
      </c>
      <c r="CE82">
        <v>5596.7999999999993</v>
      </c>
      <c r="CF82">
        <v>9</v>
      </c>
      <c r="CG82">
        <v>4579.1999999999989</v>
      </c>
      <c r="CH82">
        <v>11</v>
      </c>
      <c r="CI82">
        <v>5596.7999999999993</v>
      </c>
      <c r="CJ82">
        <v>0.23397783486048906</v>
      </c>
      <c r="CK82">
        <v>119.04792237701682</v>
      </c>
      <c r="CL82">
        <v>10</v>
      </c>
      <c r="CM82">
        <v>5087.9999999999991</v>
      </c>
      <c r="CN82">
        <v>11</v>
      </c>
      <c r="CO82">
        <v>5596.7999999999993</v>
      </c>
      <c r="CP82">
        <v>9</v>
      </c>
      <c r="CQ82">
        <v>4579.1999999999989</v>
      </c>
      <c r="CR82">
        <v>6.9546964786866718</v>
      </c>
      <c r="CS82">
        <v>3538.5495683557779</v>
      </c>
      <c r="CT82">
        <v>8</v>
      </c>
      <c r="CU82">
        <v>4070.3999999999992</v>
      </c>
    </row>
    <row r="83" spans="2:99">
      <c r="C83" s="99" t="s">
        <v>249</v>
      </c>
      <c r="D83">
        <v>9</v>
      </c>
      <c r="E83">
        <v>7743.5999999999995</v>
      </c>
      <c r="F83">
        <v>8</v>
      </c>
      <c r="G83">
        <v>6883.2</v>
      </c>
      <c r="H83">
        <v>12</v>
      </c>
      <c r="I83">
        <v>10324.799999999999</v>
      </c>
      <c r="J83">
        <v>12</v>
      </c>
      <c r="K83">
        <v>10324.799999999999</v>
      </c>
      <c r="L83">
        <v>10</v>
      </c>
      <c r="M83">
        <v>8604</v>
      </c>
      <c r="N83">
        <v>9</v>
      </c>
      <c r="O83">
        <v>7743.5999999999995</v>
      </c>
      <c r="P83">
        <v>12</v>
      </c>
      <c r="Q83">
        <v>10324.799999999999</v>
      </c>
      <c r="R83">
        <v>13.327757363767581</v>
      </c>
      <c r="S83">
        <v>11467.202435785626</v>
      </c>
      <c r="T83">
        <v>1.8863319247629349</v>
      </c>
      <c r="U83">
        <v>1622.9999880660291</v>
      </c>
      <c r="V83">
        <v>8</v>
      </c>
      <c r="W83">
        <v>6883.2</v>
      </c>
      <c r="X83">
        <v>11.095450019279037</v>
      </c>
      <c r="Y83">
        <v>9546.5251965876832</v>
      </c>
      <c r="Z83">
        <v>12</v>
      </c>
      <c r="AA83">
        <v>10324.799999999999</v>
      </c>
      <c r="AB83">
        <v>7.38627737836772</v>
      </c>
      <c r="AC83">
        <v>6355.1530563475862</v>
      </c>
      <c r="AD83">
        <v>13</v>
      </c>
      <c r="AE83">
        <v>11185.199999999999</v>
      </c>
      <c r="AF83">
        <v>11</v>
      </c>
      <c r="AG83">
        <v>9464.4</v>
      </c>
      <c r="AH83">
        <v>9</v>
      </c>
      <c r="AI83">
        <v>7743.5999999999995</v>
      </c>
      <c r="AJ83">
        <v>7</v>
      </c>
      <c r="AK83">
        <v>6022.8</v>
      </c>
      <c r="AL83">
        <v>11</v>
      </c>
      <c r="AM83">
        <v>9464.4</v>
      </c>
      <c r="AN83">
        <v>9</v>
      </c>
      <c r="AO83">
        <v>7743.5999999999995</v>
      </c>
      <c r="AP83">
        <v>11.609185800094572</v>
      </c>
      <c r="AQ83">
        <v>9988.5434624013687</v>
      </c>
      <c r="AR83">
        <v>8</v>
      </c>
      <c r="AS83">
        <v>6883.2</v>
      </c>
      <c r="AT83">
        <v>10.479770557989875</v>
      </c>
      <c r="AU83">
        <v>9016.7945880944881</v>
      </c>
      <c r="AV83">
        <v>8.6644766744080499</v>
      </c>
      <c r="AW83">
        <v>7454.9157306606858</v>
      </c>
      <c r="AX83">
        <v>0</v>
      </c>
      <c r="AY83">
        <v>0</v>
      </c>
      <c r="AZ83">
        <v>11</v>
      </c>
      <c r="BA83">
        <v>9464.4</v>
      </c>
      <c r="BB83">
        <v>7.2692215971894329</v>
      </c>
      <c r="BC83">
        <v>6254.4382622217881</v>
      </c>
      <c r="BD83">
        <v>10.431010543373372</v>
      </c>
      <c r="BE83">
        <v>8974.8414715184481</v>
      </c>
      <c r="BF83">
        <v>8</v>
      </c>
      <c r="BG83">
        <v>6883.2</v>
      </c>
      <c r="BH83">
        <v>9</v>
      </c>
      <c r="BI83">
        <v>7743.5999999999995</v>
      </c>
      <c r="BJ83">
        <v>4.2813759601145582</v>
      </c>
      <c r="BK83">
        <v>3683.695876082566</v>
      </c>
      <c r="BL83">
        <v>7</v>
      </c>
      <c r="BM83">
        <v>6022.8</v>
      </c>
      <c r="BN83">
        <v>13</v>
      </c>
      <c r="BO83">
        <v>11185.199999999999</v>
      </c>
      <c r="BP83">
        <v>11</v>
      </c>
      <c r="BQ83">
        <v>9464.4</v>
      </c>
      <c r="BR83">
        <v>10</v>
      </c>
      <c r="BS83">
        <v>8604</v>
      </c>
      <c r="BT83">
        <v>13</v>
      </c>
      <c r="BU83">
        <v>11185.199999999999</v>
      </c>
      <c r="BV83">
        <v>9.6600781006910044</v>
      </c>
      <c r="BW83">
        <v>8311.5311978345399</v>
      </c>
      <c r="BX83">
        <v>8.7786060160262895</v>
      </c>
      <c r="BY83">
        <v>7553.1126161890197</v>
      </c>
      <c r="BZ83">
        <v>1.9117780445691217</v>
      </c>
      <c r="CA83">
        <v>1644.8938295472722</v>
      </c>
      <c r="CB83">
        <v>8.7147616086370068</v>
      </c>
      <c r="CC83">
        <v>7498.1808880712806</v>
      </c>
      <c r="CD83">
        <v>10</v>
      </c>
      <c r="CE83">
        <v>8604</v>
      </c>
      <c r="CF83">
        <v>8</v>
      </c>
      <c r="CG83">
        <v>6883.2</v>
      </c>
      <c r="CH83">
        <v>12</v>
      </c>
      <c r="CI83">
        <v>10324.799999999999</v>
      </c>
      <c r="CJ83">
        <v>0.2193542201817085</v>
      </c>
      <c r="CK83">
        <v>188.73237104434199</v>
      </c>
      <c r="CL83">
        <v>10</v>
      </c>
      <c r="CM83">
        <v>8604</v>
      </c>
      <c r="CN83">
        <v>11</v>
      </c>
      <c r="CO83">
        <v>9464.4</v>
      </c>
      <c r="CP83">
        <v>8</v>
      </c>
      <c r="CQ83">
        <v>6883.2</v>
      </c>
      <c r="CR83">
        <v>6.9546964786866718</v>
      </c>
      <c r="CS83">
        <v>5983.8208502620118</v>
      </c>
      <c r="CT83">
        <v>9</v>
      </c>
      <c r="CU83">
        <v>7743.5999999999995</v>
      </c>
    </row>
    <row r="84" spans="2:99">
      <c r="C84" s="99" t="s">
        <v>250</v>
      </c>
      <c r="D84">
        <v>9</v>
      </c>
      <c r="E84">
        <v>7030.7999999999993</v>
      </c>
      <c r="F84">
        <v>8</v>
      </c>
      <c r="G84">
        <v>6249.5999999999995</v>
      </c>
      <c r="H84">
        <v>13</v>
      </c>
      <c r="I84">
        <v>10155.599999999999</v>
      </c>
      <c r="J84">
        <v>10</v>
      </c>
      <c r="K84">
        <v>7811.9999999999991</v>
      </c>
      <c r="L84">
        <v>11</v>
      </c>
      <c r="M84">
        <v>8593.1999999999989</v>
      </c>
      <c r="N84">
        <v>9</v>
      </c>
      <c r="O84">
        <v>7030.7999999999993</v>
      </c>
      <c r="P84">
        <v>11</v>
      </c>
      <c r="Q84">
        <v>8593.1999999999989</v>
      </c>
      <c r="R84">
        <v>12.37577469492704</v>
      </c>
      <c r="S84">
        <v>9667.9551916770033</v>
      </c>
      <c r="T84">
        <v>2.057816645195929</v>
      </c>
      <c r="U84">
        <v>1607.5663632270596</v>
      </c>
      <c r="V84">
        <v>9</v>
      </c>
      <c r="W84">
        <v>7030.7999999999993</v>
      </c>
      <c r="X84">
        <v>10.241953863949879</v>
      </c>
      <c r="Y84">
        <v>8001.0143585176447</v>
      </c>
      <c r="Z84">
        <v>13</v>
      </c>
      <c r="AA84">
        <v>10155.599999999999</v>
      </c>
      <c r="AB84">
        <v>7.38627737836772</v>
      </c>
      <c r="AC84">
        <v>5770.1598879808625</v>
      </c>
      <c r="AD84">
        <v>14</v>
      </c>
      <c r="AE84">
        <v>10936.8</v>
      </c>
      <c r="AF84">
        <v>12</v>
      </c>
      <c r="AG84">
        <v>9374.4</v>
      </c>
      <c r="AH84">
        <v>10</v>
      </c>
      <c r="AI84">
        <v>7811.9999999999991</v>
      </c>
      <c r="AJ84">
        <v>9</v>
      </c>
      <c r="AK84">
        <v>7030.7999999999993</v>
      </c>
      <c r="AL84">
        <v>11</v>
      </c>
      <c r="AM84">
        <v>8593.1999999999989</v>
      </c>
      <c r="AN84">
        <v>9</v>
      </c>
      <c r="AO84">
        <v>7030.7999999999993</v>
      </c>
      <c r="AP84">
        <v>11.609185800094572</v>
      </c>
      <c r="AQ84">
        <v>9069.0959470338785</v>
      </c>
      <c r="AR84">
        <v>7</v>
      </c>
      <c r="AS84">
        <v>5468.4</v>
      </c>
      <c r="AT84">
        <v>9.6064563448240516</v>
      </c>
      <c r="AU84">
        <v>7504.5636965765489</v>
      </c>
      <c r="AV84">
        <v>9.6271963048978328</v>
      </c>
      <c r="AW84">
        <v>7520.7657533861866</v>
      </c>
      <c r="AX84">
        <v>0</v>
      </c>
      <c r="AY84">
        <v>0</v>
      </c>
      <c r="AZ84">
        <v>10</v>
      </c>
      <c r="BA84">
        <v>7811.9999999999991</v>
      </c>
      <c r="BB84">
        <v>7.2692215971894329</v>
      </c>
      <c r="BC84">
        <v>5678.7159117243846</v>
      </c>
      <c r="BD84">
        <v>9.0402091375902565</v>
      </c>
      <c r="BE84">
        <v>7062.2113782855076</v>
      </c>
      <c r="BF84">
        <v>9</v>
      </c>
      <c r="BG84">
        <v>7030.7999999999993</v>
      </c>
      <c r="BH84">
        <v>10</v>
      </c>
      <c r="BI84">
        <v>7811.9999999999991</v>
      </c>
      <c r="BJ84">
        <v>3.7462039651002388</v>
      </c>
      <c r="BK84">
        <v>2926.5345375363063</v>
      </c>
      <c r="BL84">
        <v>9</v>
      </c>
      <c r="BM84">
        <v>7030.7999999999993</v>
      </c>
      <c r="BN84">
        <v>13</v>
      </c>
      <c r="BO84">
        <v>10155.599999999999</v>
      </c>
      <c r="BP84">
        <v>12</v>
      </c>
      <c r="BQ84">
        <v>9374.4</v>
      </c>
      <c r="BR84">
        <v>10</v>
      </c>
      <c r="BS84">
        <v>7811.9999999999991</v>
      </c>
      <c r="BT84">
        <v>12</v>
      </c>
      <c r="BU84">
        <v>9374.4</v>
      </c>
      <c r="BV84">
        <v>11.270091117472839</v>
      </c>
      <c r="BW84">
        <v>8804.1951809697821</v>
      </c>
      <c r="BX84">
        <v>9.576661108392317</v>
      </c>
      <c r="BY84">
        <v>7481.287657876077</v>
      </c>
      <c r="BZ84">
        <v>1.9117780445691217</v>
      </c>
      <c r="CA84">
        <v>1493.4810084173978</v>
      </c>
      <c r="CB84">
        <v>9.3851278862244705</v>
      </c>
      <c r="CC84">
        <v>7331.6619047185559</v>
      </c>
      <c r="CD84">
        <v>10</v>
      </c>
      <c r="CE84">
        <v>7811.9999999999991</v>
      </c>
      <c r="CF84">
        <v>8</v>
      </c>
      <c r="CG84">
        <v>6249.5999999999995</v>
      </c>
      <c r="CH84">
        <v>12</v>
      </c>
      <c r="CI84">
        <v>9374.4</v>
      </c>
      <c r="CJ84">
        <v>0.20473060550292796</v>
      </c>
      <c r="CK84">
        <v>159.93554901888731</v>
      </c>
      <c r="CL84">
        <v>12</v>
      </c>
      <c r="CM84">
        <v>9374.4</v>
      </c>
      <c r="CN84">
        <v>11</v>
      </c>
      <c r="CO84">
        <v>8593.1999999999989</v>
      </c>
      <c r="CP84">
        <v>7</v>
      </c>
      <c r="CQ84">
        <v>5468.4</v>
      </c>
      <c r="CR84">
        <v>7.9482245470704829</v>
      </c>
      <c r="CS84">
        <v>6209.1530161714609</v>
      </c>
      <c r="CT84">
        <v>9</v>
      </c>
      <c r="CU84">
        <v>7030.7999999999993</v>
      </c>
    </row>
    <row r="85" spans="2:99">
      <c r="C85" s="99" t="s">
        <v>251</v>
      </c>
      <c r="D85">
        <v>8</v>
      </c>
      <c r="E85">
        <v>1200</v>
      </c>
      <c r="F85">
        <v>8</v>
      </c>
      <c r="G85">
        <v>1200</v>
      </c>
      <c r="H85">
        <v>13</v>
      </c>
      <c r="I85">
        <v>1950</v>
      </c>
      <c r="J85">
        <v>12</v>
      </c>
      <c r="K85">
        <v>1800</v>
      </c>
      <c r="L85">
        <v>12</v>
      </c>
      <c r="M85">
        <v>1800</v>
      </c>
      <c r="N85">
        <v>9</v>
      </c>
      <c r="O85">
        <v>1350</v>
      </c>
      <c r="P85">
        <v>11</v>
      </c>
      <c r="Q85">
        <v>1650</v>
      </c>
      <c r="R85">
        <v>13.327757363767581</v>
      </c>
      <c r="S85">
        <v>1999.1636045651371</v>
      </c>
      <c r="T85">
        <v>1.8863319247629349</v>
      </c>
      <c r="U85">
        <v>282.94978871444022</v>
      </c>
      <c r="V85">
        <v>8</v>
      </c>
      <c r="W85">
        <v>1200</v>
      </c>
      <c r="X85">
        <v>11.095450019279037</v>
      </c>
      <c r="Y85">
        <v>1664.3175028918554</v>
      </c>
      <c r="Z85">
        <v>13</v>
      </c>
      <c r="AA85">
        <v>1950</v>
      </c>
      <c r="AB85">
        <v>7.38627737836772</v>
      </c>
      <c r="AC85">
        <v>1107.9416067551581</v>
      </c>
      <c r="AD85">
        <v>13</v>
      </c>
      <c r="AE85">
        <v>1950</v>
      </c>
      <c r="AF85">
        <v>10</v>
      </c>
      <c r="AG85">
        <v>1500</v>
      </c>
      <c r="AH85">
        <v>10</v>
      </c>
      <c r="AI85">
        <v>1500</v>
      </c>
      <c r="AJ85">
        <v>8</v>
      </c>
      <c r="AK85">
        <v>1200</v>
      </c>
      <c r="AL85">
        <v>10</v>
      </c>
      <c r="AM85">
        <v>1500</v>
      </c>
      <c r="AN85">
        <v>9</v>
      </c>
      <c r="AO85">
        <v>1350</v>
      </c>
      <c r="AP85">
        <v>11.609185800094572</v>
      </c>
      <c r="AQ85">
        <v>1741.3778700141859</v>
      </c>
      <c r="AR85">
        <v>9</v>
      </c>
      <c r="AS85">
        <v>1350</v>
      </c>
      <c r="AT85">
        <v>10.479770557989875</v>
      </c>
      <c r="AU85">
        <v>1571.9655836984812</v>
      </c>
      <c r="AV85">
        <v>10.589915935387618</v>
      </c>
      <c r="AW85">
        <v>1588.4873903081427</v>
      </c>
      <c r="AX85">
        <v>0</v>
      </c>
      <c r="AY85">
        <v>0</v>
      </c>
      <c r="AZ85">
        <v>10</v>
      </c>
      <c r="BA85">
        <v>1500</v>
      </c>
      <c r="BB85">
        <v>7.7884517112743916</v>
      </c>
      <c r="BC85">
        <v>1168.2677566911586</v>
      </c>
      <c r="BD85">
        <v>9.7356098404818141</v>
      </c>
      <c r="BE85">
        <v>1460.3414760722721</v>
      </c>
      <c r="BF85">
        <v>9</v>
      </c>
      <c r="BG85">
        <v>1350</v>
      </c>
      <c r="BH85">
        <v>9</v>
      </c>
      <c r="BI85">
        <v>1350</v>
      </c>
      <c r="BJ85">
        <v>4.2813759601145582</v>
      </c>
      <c r="BK85">
        <v>642.2063940171837</v>
      </c>
      <c r="BL85">
        <v>8</v>
      </c>
      <c r="BM85">
        <v>1200</v>
      </c>
      <c r="BN85">
        <v>13</v>
      </c>
      <c r="BO85">
        <v>1950</v>
      </c>
      <c r="BP85">
        <v>12</v>
      </c>
      <c r="BQ85">
        <v>1800</v>
      </c>
      <c r="BR85">
        <v>10</v>
      </c>
      <c r="BS85">
        <v>1500</v>
      </c>
      <c r="BT85">
        <v>14</v>
      </c>
      <c r="BU85">
        <v>2100</v>
      </c>
      <c r="BV85">
        <v>12.075097625863755</v>
      </c>
      <c r="BW85">
        <v>1811.2646438795632</v>
      </c>
      <c r="BX85">
        <v>10.374716200758343</v>
      </c>
      <c r="BY85">
        <v>1556.2074301137513</v>
      </c>
      <c r="BZ85">
        <v>1.6993582618392191</v>
      </c>
      <c r="CA85">
        <v>254.90373927588286</v>
      </c>
      <c r="CB85">
        <v>10.725860441399394</v>
      </c>
      <c r="CC85">
        <v>1608.8790662099091</v>
      </c>
      <c r="CD85">
        <v>11</v>
      </c>
      <c r="CE85">
        <v>1650</v>
      </c>
      <c r="CF85">
        <v>8</v>
      </c>
      <c r="CG85">
        <v>1200</v>
      </c>
      <c r="CH85">
        <v>11</v>
      </c>
      <c r="CI85">
        <v>1650</v>
      </c>
      <c r="CJ85">
        <v>0.2193542201817085</v>
      </c>
      <c r="CK85">
        <v>32.903133027256274</v>
      </c>
      <c r="CL85">
        <v>12</v>
      </c>
      <c r="CM85">
        <v>1800</v>
      </c>
      <c r="CN85">
        <v>10</v>
      </c>
      <c r="CO85">
        <v>1500</v>
      </c>
      <c r="CP85">
        <v>9</v>
      </c>
      <c r="CQ85">
        <v>1350</v>
      </c>
      <c r="CR85">
        <v>7.9482245470704829</v>
      </c>
      <c r="CS85">
        <v>1192.2336820605724</v>
      </c>
      <c r="CT85">
        <v>10</v>
      </c>
      <c r="CU85">
        <v>1500</v>
      </c>
    </row>
    <row r="86" spans="2:99">
      <c r="C86" s="99" t="s">
        <v>252</v>
      </c>
      <c r="D86">
        <v>10</v>
      </c>
      <c r="E86">
        <v>5400</v>
      </c>
      <c r="F86">
        <v>8</v>
      </c>
      <c r="G86">
        <v>4320</v>
      </c>
      <c r="H86">
        <v>12</v>
      </c>
      <c r="I86">
        <v>6480</v>
      </c>
      <c r="J86">
        <v>10</v>
      </c>
      <c r="K86">
        <v>5400</v>
      </c>
      <c r="L86">
        <v>10</v>
      </c>
      <c r="M86">
        <v>5400</v>
      </c>
      <c r="N86">
        <v>9</v>
      </c>
      <c r="O86">
        <v>4860</v>
      </c>
      <c r="P86">
        <v>12</v>
      </c>
      <c r="Q86">
        <v>6480</v>
      </c>
      <c r="R86">
        <v>14.279740032608123</v>
      </c>
      <c r="S86">
        <v>7711.0596176083864</v>
      </c>
      <c r="T86">
        <v>1.714847204329941</v>
      </c>
      <c r="U86">
        <v>926.01749033816816</v>
      </c>
      <c r="V86">
        <v>8</v>
      </c>
      <c r="W86">
        <v>4320</v>
      </c>
      <c r="X86">
        <v>11.948946174608192</v>
      </c>
      <c r="Y86">
        <v>6452.4309342884235</v>
      </c>
      <c r="Z86">
        <v>11</v>
      </c>
      <c r="AA86">
        <v>5940</v>
      </c>
      <c r="AB86">
        <v>6.4629927060717556</v>
      </c>
      <c r="AC86">
        <v>3490.0160612787481</v>
      </c>
      <c r="AD86">
        <v>13</v>
      </c>
      <c r="AE86">
        <v>7020</v>
      </c>
      <c r="AF86">
        <v>11</v>
      </c>
      <c r="AG86">
        <v>5940</v>
      </c>
      <c r="AH86">
        <v>9</v>
      </c>
      <c r="AI86">
        <v>4860</v>
      </c>
      <c r="AJ86">
        <v>8</v>
      </c>
      <c r="AK86">
        <v>4320</v>
      </c>
      <c r="AL86">
        <v>11</v>
      </c>
      <c r="AM86">
        <v>5940</v>
      </c>
      <c r="AN86">
        <v>9</v>
      </c>
      <c r="AO86">
        <v>4860</v>
      </c>
      <c r="AP86">
        <v>12.576617950102452</v>
      </c>
      <c r="AQ86">
        <v>6791.3736930553241</v>
      </c>
      <c r="AR86">
        <v>9</v>
      </c>
      <c r="AS86">
        <v>4860</v>
      </c>
      <c r="AT86">
        <v>8.7331421316582283</v>
      </c>
      <c r="AU86">
        <v>4715.8967510954435</v>
      </c>
      <c r="AV86">
        <v>10.589915935387618</v>
      </c>
      <c r="AW86">
        <v>5718.5546051093133</v>
      </c>
      <c r="AX86">
        <v>0</v>
      </c>
      <c r="AY86">
        <v>0</v>
      </c>
      <c r="AZ86">
        <v>10</v>
      </c>
      <c r="BA86">
        <v>5400</v>
      </c>
      <c r="BB86">
        <v>6.7499914831044725</v>
      </c>
      <c r="BC86">
        <v>3644.9954008764153</v>
      </c>
      <c r="BD86">
        <v>9.7356098404818141</v>
      </c>
      <c r="BE86">
        <v>5257.2293138601799</v>
      </c>
      <c r="BF86">
        <v>8</v>
      </c>
      <c r="BG86">
        <v>4320</v>
      </c>
      <c r="BH86">
        <v>9</v>
      </c>
      <c r="BI86">
        <v>4860</v>
      </c>
      <c r="BJ86">
        <v>4.2813759601145582</v>
      </c>
      <c r="BK86">
        <v>2311.9430184618614</v>
      </c>
      <c r="BL86">
        <v>8</v>
      </c>
      <c r="BM86">
        <v>4320</v>
      </c>
      <c r="BN86">
        <v>14</v>
      </c>
      <c r="BO86">
        <v>7560</v>
      </c>
      <c r="BP86">
        <v>11</v>
      </c>
      <c r="BQ86">
        <v>5940</v>
      </c>
      <c r="BR86">
        <v>11</v>
      </c>
      <c r="BS86">
        <v>5940</v>
      </c>
      <c r="BT86">
        <v>14</v>
      </c>
      <c r="BU86">
        <v>7560</v>
      </c>
      <c r="BV86">
        <v>11.270091117472839</v>
      </c>
      <c r="BW86">
        <v>6085.849203435333</v>
      </c>
      <c r="BX86">
        <v>9.576661108392317</v>
      </c>
      <c r="BY86">
        <v>5171.3969985318508</v>
      </c>
      <c r="BZ86">
        <v>1.9117780445691217</v>
      </c>
      <c r="CA86">
        <v>1032.3601440673258</v>
      </c>
      <c r="CB86">
        <v>10.055494163811932</v>
      </c>
      <c r="CC86">
        <v>5429.9668484584436</v>
      </c>
      <c r="CD86">
        <v>11</v>
      </c>
      <c r="CE86">
        <v>5940</v>
      </c>
      <c r="CF86">
        <v>7</v>
      </c>
      <c r="CG86">
        <v>3780</v>
      </c>
      <c r="CH86">
        <v>12</v>
      </c>
      <c r="CI86">
        <v>6480</v>
      </c>
      <c r="CJ86">
        <v>0.23397783486048906</v>
      </c>
      <c r="CK86">
        <v>126.34803082466409</v>
      </c>
      <c r="CL86">
        <v>12</v>
      </c>
      <c r="CM86">
        <v>6480</v>
      </c>
      <c r="CN86">
        <v>10</v>
      </c>
      <c r="CO86">
        <v>5400</v>
      </c>
      <c r="CP86">
        <v>9</v>
      </c>
      <c r="CQ86">
        <v>4860</v>
      </c>
      <c r="CR86">
        <v>7.9482245470704829</v>
      </c>
      <c r="CS86">
        <v>4292.0412554180612</v>
      </c>
      <c r="CT86">
        <v>9</v>
      </c>
      <c r="CU86">
        <v>4860</v>
      </c>
    </row>
    <row r="87" spans="2:99">
      <c r="B87" s="99" t="s">
        <v>131</v>
      </c>
      <c r="C87" s="99" t="s">
        <v>253</v>
      </c>
      <c r="D87">
        <v>10</v>
      </c>
      <c r="E87">
        <v>10740</v>
      </c>
      <c r="F87">
        <v>7.0911819613243647</v>
      </c>
      <c r="G87">
        <v>7615.9294264623677</v>
      </c>
      <c r="H87">
        <v>5.4701010743867631</v>
      </c>
      <c r="I87">
        <v>5874.8885538913837</v>
      </c>
      <c r="J87">
        <v>4.5094979588846984</v>
      </c>
      <c r="K87">
        <v>4843.2008078421659</v>
      </c>
      <c r="L87">
        <v>4.553926510203758</v>
      </c>
      <c r="M87">
        <v>4890.9170719588365</v>
      </c>
      <c r="N87">
        <v>6.4971180431722306</v>
      </c>
      <c r="O87">
        <v>6977.9047783669757</v>
      </c>
      <c r="P87">
        <v>5.7674951613186636</v>
      </c>
      <c r="Q87">
        <v>6194.2898032562443</v>
      </c>
      <c r="R87">
        <v>5.2525402362009261</v>
      </c>
      <c r="S87">
        <v>5641.2282136797949</v>
      </c>
      <c r="T87">
        <v>5.1935229301761963</v>
      </c>
      <c r="U87">
        <v>5577.8436270092352</v>
      </c>
      <c r="V87">
        <v>4.716566742711036</v>
      </c>
      <c r="W87">
        <v>5065.5926816716528</v>
      </c>
      <c r="X87">
        <v>0.57510819585801087</v>
      </c>
      <c r="Y87">
        <v>617.66620235150367</v>
      </c>
      <c r="Z87">
        <v>7</v>
      </c>
      <c r="AA87">
        <v>7518</v>
      </c>
      <c r="AB87">
        <v>5.6106420214276778</v>
      </c>
      <c r="AC87">
        <v>6025.8295310133262</v>
      </c>
      <c r="AD87">
        <v>5</v>
      </c>
      <c r="AE87">
        <v>5370</v>
      </c>
      <c r="AF87">
        <v>6.8206725938766146</v>
      </c>
      <c r="AG87">
        <v>7325.4023658234837</v>
      </c>
      <c r="AH87">
        <v>8</v>
      </c>
      <c r="AI87">
        <v>8592</v>
      </c>
      <c r="AJ87">
        <v>7</v>
      </c>
      <c r="AK87">
        <v>7518</v>
      </c>
      <c r="AL87">
        <v>7</v>
      </c>
      <c r="AM87">
        <v>7518</v>
      </c>
      <c r="AN87">
        <v>1.6322575676916022</v>
      </c>
      <c r="AO87">
        <v>1753.0446277007809</v>
      </c>
      <c r="AP87">
        <v>10</v>
      </c>
      <c r="AQ87">
        <v>10740</v>
      </c>
      <c r="AR87">
        <v>9</v>
      </c>
      <c r="AS87">
        <v>9666</v>
      </c>
      <c r="AT87">
        <v>10</v>
      </c>
      <c r="AU87">
        <v>10740</v>
      </c>
      <c r="AV87">
        <v>2.5806787379349543</v>
      </c>
      <c r="AW87">
        <v>2771.6489645421407</v>
      </c>
      <c r="AX87">
        <v>4.4735016826348559</v>
      </c>
      <c r="AY87">
        <v>4804.540807149835</v>
      </c>
      <c r="AZ87">
        <v>6.3318293258312544</v>
      </c>
      <c r="BA87">
        <v>6800.3846959427674</v>
      </c>
      <c r="BB87">
        <v>0.63826260054335304</v>
      </c>
      <c r="BC87">
        <v>685.49403298356117</v>
      </c>
      <c r="BD87">
        <v>10</v>
      </c>
      <c r="BE87">
        <v>10740</v>
      </c>
      <c r="BF87">
        <v>7.4591762618370749</v>
      </c>
      <c r="BG87">
        <v>8011.1553052130184</v>
      </c>
      <c r="BH87">
        <v>5.261080952032148</v>
      </c>
      <c r="BI87">
        <v>5650.4009424825272</v>
      </c>
      <c r="BJ87">
        <v>0.48046099277082566</v>
      </c>
      <c r="BK87">
        <v>516.01510623586671</v>
      </c>
      <c r="BL87">
        <v>6</v>
      </c>
      <c r="BM87">
        <v>6444</v>
      </c>
      <c r="BN87">
        <v>4.5542752158560136</v>
      </c>
      <c r="BO87">
        <v>4891.2915818293586</v>
      </c>
      <c r="BP87">
        <v>11</v>
      </c>
      <c r="BQ87">
        <v>11814</v>
      </c>
      <c r="BR87">
        <v>10</v>
      </c>
      <c r="BS87">
        <v>10740</v>
      </c>
      <c r="BT87">
        <v>6.2401681704124599</v>
      </c>
      <c r="BU87">
        <v>6701.9406150229815</v>
      </c>
      <c r="BV87">
        <v>0.79077376930476484</v>
      </c>
      <c r="BW87">
        <v>849.29102823331743</v>
      </c>
      <c r="BX87">
        <v>6.1939502952855152</v>
      </c>
      <c r="BY87">
        <v>6652.3026171366437</v>
      </c>
      <c r="BZ87">
        <v>10</v>
      </c>
      <c r="CA87">
        <v>10740</v>
      </c>
      <c r="CB87">
        <v>10</v>
      </c>
      <c r="CC87">
        <v>10740</v>
      </c>
      <c r="CD87">
        <v>2.8094835484834575</v>
      </c>
      <c r="CE87">
        <v>3017.3853310712334</v>
      </c>
      <c r="CF87">
        <v>1.9378438248002731E-16</v>
      </c>
      <c r="CG87">
        <v>2.0812442678354933E-13</v>
      </c>
      <c r="CH87">
        <v>9</v>
      </c>
      <c r="CI87">
        <v>9666</v>
      </c>
      <c r="CJ87">
        <v>7</v>
      </c>
      <c r="CK87">
        <v>7518</v>
      </c>
      <c r="CL87">
        <v>9</v>
      </c>
      <c r="CM87">
        <v>9666</v>
      </c>
      <c r="CN87">
        <v>9.0259468850761664</v>
      </c>
      <c r="CO87">
        <v>9693.8669545718021</v>
      </c>
      <c r="CP87">
        <v>7.1248329986232219</v>
      </c>
      <c r="CQ87">
        <v>7652.0706405213405</v>
      </c>
      <c r="CR87">
        <v>7.846387266423605</v>
      </c>
      <c r="CS87">
        <v>8427.019924138951</v>
      </c>
      <c r="CT87">
        <v>3.0330039793855414</v>
      </c>
      <c r="CU87">
        <v>3257.4462738600714</v>
      </c>
    </row>
    <row r="88" spans="2:99">
      <c r="C88" s="99" t="s">
        <v>254</v>
      </c>
      <c r="D88">
        <v>9</v>
      </c>
      <c r="E88">
        <v>8931.6</v>
      </c>
      <c r="F88">
        <v>6.2047842161588198</v>
      </c>
      <c r="G88">
        <v>6157.6278561160125</v>
      </c>
      <c r="H88">
        <v>5.4701010743867631</v>
      </c>
      <c r="I88">
        <v>5428.5283062214239</v>
      </c>
      <c r="J88">
        <v>4.5094979588846984</v>
      </c>
      <c r="K88">
        <v>4475.225774397175</v>
      </c>
      <c r="L88">
        <v>4.553926510203758</v>
      </c>
      <c r="M88">
        <v>4519.3166687262092</v>
      </c>
      <c r="N88">
        <v>6.4971180431722306</v>
      </c>
      <c r="O88">
        <v>6447.7399460441211</v>
      </c>
      <c r="P88">
        <v>6.5914230415070438</v>
      </c>
      <c r="Q88">
        <v>6541.3282263915899</v>
      </c>
      <c r="R88">
        <v>5.2525402362009261</v>
      </c>
      <c r="S88">
        <v>5212.6209304057993</v>
      </c>
      <c r="T88">
        <v>4.3279357751468304</v>
      </c>
      <c r="U88">
        <v>4295.0434632557144</v>
      </c>
      <c r="V88">
        <v>4.716566742711036</v>
      </c>
      <c r="W88">
        <v>4680.7208354664317</v>
      </c>
      <c r="X88">
        <v>0.57510819585801087</v>
      </c>
      <c r="Y88">
        <v>570.73737356948993</v>
      </c>
      <c r="Z88">
        <v>8</v>
      </c>
      <c r="AA88">
        <v>7939.2</v>
      </c>
      <c r="AB88">
        <v>5.6106420214276778</v>
      </c>
      <c r="AC88">
        <v>5568.001142064827</v>
      </c>
      <c r="AD88">
        <v>6</v>
      </c>
      <c r="AE88">
        <v>5954.4</v>
      </c>
      <c r="AF88">
        <v>6.0628200834458807</v>
      </c>
      <c r="AG88">
        <v>6016.7426508116923</v>
      </c>
      <c r="AH88">
        <v>9</v>
      </c>
      <c r="AI88">
        <v>8931.6</v>
      </c>
      <c r="AJ88">
        <v>7</v>
      </c>
      <c r="AK88">
        <v>6946.8</v>
      </c>
      <c r="AL88">
        <v>7</v>
      </c>
      <c r="AM88">
        <v>6946.8</v>
      </c>
      <c r="AN88">
        <v>1.4690318109224423</v>
      </c>
      <c r="AO88">
        <v>1457.8671691594318</v>
      </c>
      <c r="AP88">
        <v>11</v>
      </c>
      <c r="AQ88">
        <v>10916.4</v>
      </c>
      <c r="AR88">
        <v>9</v>
      </c>
      <c r="AS88">
        <v>8931.6</v>
      </c>
      <c r="AT88">
        <v>10</v>
      </c>
      <c r="AU88">
        <v>9924</v>
      </c>
      <c r="AV88">
        <v>2.2939366559421819</v>
      </c>
      <c r="AW88">
        <v>2276.502737357021</v>
      </c>
      <c r="AX88">
        <v>3.9143139723054992</v>
      </c>
      <c r="AY88">
        <v>3884.5651861159772</v>
      </c>
      <c r="AZ88">
        <v>7.0353659175902825</v>
      </c>
      <c r="BA88">
        <v>6981.8971366165961</v>
      </c>
      <c r="BB88">
        <v>0.70208886059768838</v>
      </c>
      <c r="BC88">
        <v>696.75298525714595</v>
      </c>
      <c r="BD88">
        <v>10</v>
      </c>
      <c r="BE88">
        <v>9924</v>
      </c>
      <c r="BF88">
        <v>8.205093888020782</v>
      </c>
      <c r="BG88">
        <v>8142.7351744718235</v>
      </c>
      <c r="BH88">
        <v>5.261080952032148</v>
      </c>
      <c r="BI88">
        <v>5221.0967367967032</v>
      </c>
      <c r="BJ88">
        <v>0.48046099277082566</v>
      </c>
      <c r="BK88">
        <v>476.80948922576738</v>
      </c>
      <c r="BL88">
        <v>7</v>
      </c>
      <c r="BM88">
        <v>6946.8</v>
      </c>
      <c r="BN88">
        <v>4.5542752158560136</v>
      </c>
      <c r="BO88">
        <v>4519.6627242155082</v>
      </c>
      <c r="BP88">
        <v>12</v>
      </c>
      <c r="BQ88">
        <v>11908.8</v>
      </c>
      <c r="BR88">
        <v>9</v>
      </c>
      <c r="BS88">
        <v>8931.6</v>
      </c>
      <c r="BT88">
        <v>5.3487155746392512</v>
      </c>
      <c r="BU88">
        <v>5308.0653362719931</v>
      </c>
      <c r="BV88">
        <v>0.71888524482251348</v>
      </c>
      <c r="BW88">
        <v>713.42171696186233</v>
      </c>
      <c r="BX88">
        <v>5.4197065083748255</v>
      </c>
      <c r="BY88">
        <v>5378.5167389111766</v>
      </c>
      <c r="BZ88">
        <v>9</v>
      </c>
      <c r="CA88">
        <v>8931.6</v>
      </c>
      <c r="CB88">
        <v>8</v>
      </c>
      <c r="CC88">
        <v>7939.2</v>
      </c>
      <c r="CD88">
        <v>2.4081287558429634</v>
      </c>
      <c r="CE88">
        <v>2389.8269772985568</v>
      </c>
      <c r="CF88">
        <v>1.9378438248002731E-16</v>
      </c>
      <c r="CG88">
        <v>1.923116211731791E-13</v>
      </c>
      <c r="CH88">
        <v>9</v>
      </c>
      <c r="CI88">
        <v>8931.6</v>
      </c>
      <c r="CJ88">
        <v>8</v>
      </c>
      <c r="CK88">
        <v>7939.2</v>
      </c>
      <c r="CL88">
        <v>8</v>
      </c>
      <c r="CM88">
        <v>7939.2</v>
      </c>
      <c r="CN88">
        <v>9.0259468850761664</v>
      </c>
      <c r="CO88">
        <v>8957.3496887495876</v>
      </c>
      <c r="CP88">
        <v>8.9060412482790277</v>
      </c>
      <c r="CQ88">
        <v>8838.3553347921061</v>
      </c>
      <c r="CR88">
        <v>8.5596951997348416</v>
      </c>
      <c r="CS88">
        <v>8494.641516216856</v>
      </c>
      <c r="CT88">
        <v>3.0330039793855414</v>
      </c>
      <c r="CU88">
        <v>3009.9531491422113</v>
      </c>
    </row>
    <row r="89" spans="2:99">
      <c r="C89" s="99" t="s">
        <v>255</v>
      </c>
      <c r="D89">
        <v>9</v>
      </c>
      <c r="E89">
        <v>9558</v>
      </c>
      <c r="F89">
        <v>6.2047842161588198</v>
      </c>
      <c r="G89">
        <v>6589.4808375606663</v>
      </c>
      <c r="H89">
        <v>5.4701010743867631</v>
      </c>
      <c r="I89">
        <v>5809.2473409987424</v>
      </c>
      <c r="J89">
        <v>4.5094979588846984</v>
      </c>
      <c r="K89">
        <v>4789.0868323355498</v>
      </c>
      <c r="L89">
        <v>3.794938758503132</v>
      </c>
      <c r="M89">
        <v>4030.2249615303263</v>
      </c>
      <c r="N89">
        <v>5.5689583227190544</v>
      </c>
      <c r="O89">
        <v>5914.2337387276357</v>
      </c>
      <c r="P89">
        <v>4.9435672811302833</v>
      </c>
      <c r="Q89">
        <v>5250.068452560361</v>
      </c>
      <c r="R89">
        <v>4.3771168635007722</v>
      </c>
      <c r="S89">
        <v>4648.4981090378205</v>
      </c>
      <c r="T89">
        <v>4.3279357751468304</v>
      </c>
      <c r="U89">
        <v>4596.2677932059341</v>
      </c>
      <c r="V89">
        <v>4.716566742711036</v>
      </c>
      <c r="W89">
        <v>5008.9938807591207</v>
      </c>
      <c r="X89">
        <v>0.64699672034026223</v>
      </c>
      <c r="Y89">
        <v>687.11051700135852</v>
      </c>
      <c r="Z89">
        <v>8</v>
      </c>
      <c r="AA89">
        <v>8496</v>
      </c>
      <c r="AB89">
        <v>5.6106420214276778</v>
      </c>
      <c r="AC89">
        <v>5958.5018267561936</v>
      </c>
      <c r="AD89">
        <v>6</v>
      </c>
      <c r="AE89">
        <v>6372</v>
      </c>
      <c r="AF89">
        <v>7.5785251043073494</v>
      </c>
      <c r="AG89">
        <v>8048.3936607744054</v>
      </c>
      <c r="AH89">
        <v>9</v>
      </c>
      <c r="AI89">
        <v>9558</v>
      </c>
      <c r="AJ89">
        <v>7</v>
      </c>
      <c r="AK89">
        <v>7434</v>
      </c>
      <c r="AL89">
        <v>7</v>
      </c>
      <c r="AM89">
        <v>7434</v>
      </c>
      <c r="AN89">
        <v>1.6322575676916022</v>
      </c>
      <c r="AO89">
        <v>1733.4575368884816</v>
      </c>
      <c r="AP89">
        <v>11</v>
      </c>
      <c r="AQ89">
        <v>11682</v>
      </c>
      <c r="AR89">
        <v>10</v>
      </c>
      <c r="AS89">
        <v>10620</v>
      </c>
      <c r="AT89">
        <v>12</v>
      </c>
      <c r="AU89">
        <v>12744</v>
      </c>
      <c r="AV89">
        <v>2.2939366559421819</v>
      </c>
      <c r="AW89">
        <v>2436.1607286105973</v>
      </c>
      <c r="AX89">
        <v>3.9143139723054992</v>
      </c>
      <c r="AY89">
        <v>4157.0014385884397</v>
      </c>
      <c r="AZ89">
        <v>7.0353659175902825</v>
      </c>
      <c r="BA89">
        <v>7471.5586044808797</v>
      </c>
      <c r="BB89">
        <v>0.70208886059768838</v>
      </c>
      <c r="BC89">
        <v>745.61836995474505</v>
      </c>
      <c r="BD89">
        <v>9</v>
      </c>
      <c r="BE89">
        <v>9558</v>
      </c>
      <c r="BF89">
        <v>8.9510115142044899</v>
      </c>
      <c r="BG89">
        <v>9505.9742280851679</v>
      </c>
      <c r="BH89">
        <v>6.0126639451795976</v>
      </c>
      <c r="BI89">
        <v>6385.4491097807322</v>
      </c>
      <c r="BJ89">
        <v>0.54909827745237216</v>
      </c>
      <c r="BK89">
        <v>583.14237065441921</v>
      </c>
      <c r="BL89">
        <v>6</v>
      </c>
      <c r="BM89">
        <v>6372</v>
      </c>
      <c r="BN89">
        <v>3.984990813874012</v>
      </c>
      <c r="BO89">
        <v>4232.0602443342004</v>
      </c>
      <c r="BP89">
        <v>12</v>
      </c>
      <c r="BQ89">
        <v>12744</v>
      </c>
      <c r="BR89">
        <v>9</v>
      </c>
      <c r="BS89">
        <v>9558</v>
      </c>
      <c r="BT89">
        <v>6.2401681704124599</v>
      </c>
      <c r="BU89">
        <v>6627.0585969780323</v>
      </c>
      <c r="BV89">
        <v>0.71888524482251348</v>
      </c>
      <c r="BW89">
        <v>763.45613000150934</v>
      </c>
      <c r="BX89">
        <v>6.1939502952855152</v>
      </c>
      <c r="BY89">
        <v>6577.9752135932167</v>
      </c>
      <c r="BZ89">
        <v>10</v>
      </c>
      <c r="CA89">
        <v>10620</v>
      </c>
      <c r="CB89">
        <v>9</v>
      </c>
      <c r="CC89">
        <v>9558</v>
      </c>
      <c r="CD89">
        <v>2.4081287558429634</v>
      </c>
      <c r="CE89">
        <v>2557.4327387052272</v>
      </c>
      <c r="CF89">
        <v>1.6956133467002389E-16</v>
      </c>
      <c r="CG89">
        <v>1.8007413741956537E-13</v>
      </c>
      <c r="CH89">
        <v>10</v>
      </c>
      <c r="CI89">
        <v>10620</v>
      </c>
      <c r="CJ89">
        <v>7</v>
      </c>
      <c r="CK89">
        <v>7434</v>
      </c>
      <c r="CL89">
        <v>9</v>
      </c>
      <c r="CM89">
        <v>9558</v>
      </c>
      <c r="CN89">
        <v>10.8311362620914</v>
      </c>
      <c r="CO89">
        <v>11502.666710341067</v>
      </c>
      <c r="CP89">
        <v>8.0154371234511252</v>
      </c>
      <c r="CQ89">
        <v>8512.3942251050958</v>
      </c>
      <c r="CR89">
        <v>7.1330793331123683</v>
      </c>
      <c r="CS89">
        <v>7575.3302517653356</v>
      </c>
      <c r="CT89">
        <v>3.0330039793855414</v>
      </c>
      <c r="CU89">
        <v>3221.0502261074448</v>
      </c>
    </row>
    <row r="90" spans="2:99">
      <c r="C90" s="99" t="s">
        <v>256</v>
      </c>
      <c r="D90">
        <v>10</v>
      </c>
      <c r="E90">
        <v>11088</v>
      </c>
      <c r="F90">
        <v>6.2047842161588198</v>
      </c>
      <c r="G90">
        <v>6879.8647388768995</v>
      </c>
      <c r="H90">
        <v>5.4701010743867631</v>
      </c>
      <c r="I90">
        <v>6065.2480712800425</v>
      </c>
      <c r="J90">
        <v>4.5094979588846984</v>
      </c>
      <c r="K90">
        <v>5000.1313368113533</v>
      </c>
      <c r="L90">
        <v>4.553926510203758</v>
      </c>
      <c r="M90">
        <v>5049.3937145139271</v>
      </c>
      <c r="N90">
        <v>6.4971180431722306</v>
      </c>
      <c r="O90">
        <v>7204.0044862693694</v>
      </c>
      <c r="P90">
        <v>5.7674951613186636</v>
      </c>
      <c r="Q90">
        <v>6394.9986348701341</v>
      </c>
      <c r="R90">
        <v>5.2525402362009261</v>
      </c>
      <c r="S90">
        <v>5824.0166138995864</v>
      </c>
      <c r="T90">
        <v>5.1935229301761963</v>
      </c>
      <c r="U90">
        <v>5758.5782249793665</v>
      </c>
      <c r="V90">
        <v>4.716566742711036</v>
      </c>
      <c r="W90">
        <v>5229.7292043179968</v>
      </c>
      <c r="X90">
        <v>0.64699672034026223</v>
      </c>
      <c r="Y90">
        <v>717.38996351328274</v>
      </c>
      <c r="Z90">
        <v>8</v>
      </c>
      <c r="AA90">
        <v>8870.4</v>
      </c>
      <c r="AB90">
        <v>5.6106420214276778</v>
      </c>
      <c r="AC90">
        <v>6221.0798733590091</v>
      </c>
      <c r="AD90">
        <v>6</v>
      </c>
      <c r="AE90">
        <v>6652.7999999999993</v>
      </c>
      <c r="AF90">
        <v>7.5785251043073494</v>
      </c>
      <c r="AG90">
        <v>8403.0686356559891</v>
      </c>
      <c r="AH90">
        <v>8</v>
      </c>
      <c r="AI90">
        <v>8870.4</v>
      </c>
      <c r="AJ90">
        <v>7</v>
      </c>
      <c r="AK90">
        <v>7761.5999999999995</v>
      </c>
      <c r="AL90">
        <v>7</v>
      </c>
      <c r="AM90">
        <v>7761.5999999999995</v>
      </c>
      <c r="AN90">
        <v>1.4690318109224423</v>
      </c>
      <c r="AO90">
        <v>1628.8624719508039</v>
      </c>
      <c r="AP90">
        <v>11</v>
      </c>
      <c r="AQ90">
        <v>12196.8</v>
      </c>
      <c r="AR90">
        <v>11</v>
      </c>
      <c r="AS90">
        <v>12196.8</v>
      </c>
      <c r="AT90">
        <v>11</v>
      </c>
      <c r="AU90">
        <v>12196.8</v>
      </c>
      <c r="AV90">
        <v>2.2939366559421819</v>
      </c>
      <c r="AW90">
        <v>2543.5169641086914</v>
      </c>
      <c r="AX90">
        <v>4.4735016826348559</v>
      </c>
      <c r="AY90">
        <v>4960.2186657055281</v>
      </c>
      <c r="AZ90">
        <v>7.0353659175902825</v>
      </c>
      <c r="BA90">
        <v>7800.8137294241051</v>
      </c>
      <c r="BB90">
        <v>0.70208886059768838</v>
      </c>
      <c r="BC90">
        <v>778.47612863071686</v>
      </c>
      <c r="BD90">
        <v>9</v>
      </c>
      <c r="BE90">
        <v>9979.1999999999989</v>
      </c>
      <c r="BF90">
        <v>8.205093888020782</v>
      </c>
      <c r="BG90">
        <v>9097.8081030374433</v>
      </c>
      <c r="BH90">
        <v>5.261080952032148</v>
      </c>
      <c r="BI90">
        <v>5833.4865596132458</v>
      </c>
      <c r="BJ90">
        <v>0.54909827745237216</v>
      </c>
      <c r="BK90">
        <v>608.84017003919018</v>
      </c>
      <c r="BL90">
        <v>6</v>
      </c>
      <c r="BM90">
        <v>6652.7999999999993</v>
      </c>
      <c r="BN90">
        <v>4.5542752158560136</v>
      </c>
      <c r="BO90">
        <v>5049.7803593411472</v>
      </c>
      <c r="BP90">
        <v>11</v>
      </c>
      <c r="BQ90">
        <v>12196.8</v>
      </c>
      <c r="BR90">
        <v>9</v>
      </c>
      <c r="BS90">
        <v>9979.1999999999989</v>
      </c>
      <c r="BT90">
        <v>6.2401681704124599</v>
      </c>
      <c r="BU90">
        <v>6919.0984673533349</v>
      </c>
      <c r="BV90">
        <v>0.71888524482251348</v>
      </c>
      <c r="BW90">
        <v>797.09995945920286</v>
      </c>
      <c r="BX90">
        <v>6.968194082196205</v>
      </c>
      <c r="BY90">
        <v>7726.3335983391516</v>
      </c>
      <c r="BZ90">
        <v>9</v>
      </c>
      <c r="CA90">
        <v>9979.1999999999989</v>
      </c>
      <c r="CB90">
        <v>8</v>
      </c>
      <c r="CC90">
        <v>8870.4</v>
      </c>
      <c r="CD90">
        <v>2.8094835484834575</v>
      </c>
      <c r="CE90">
        <v>3115.1553585584575</v>
      </c>
      <c r="CF90">
        <v>1.9378438248002731E-16</v>
      </c>
      <c r="CG90">
        <v>2.1486812329385429E-13</v>
      </c>
      <c r="CH90">
        <v>9</v>
      </c>
      <c r="CI90">
        <v>9979.1999999999989</v>
      </c>
      <c r="CJ90">
        <v>7</v>
      </c>
      <c r="CK90">
        <v>7761.5999999999995</v>
      </c>
      <c r="CL90">
        <v>9</v>
      </c>
      <c r="CM90">
        <v>9979.1999999999989</v>
      </c>
      <c r="CN90">
        <v>9.0259468850761664</v>
      </c>
      <c r="CO90">
        <v>10007.969906172453</v>
      </c>
      <c r="CP90">
        <v>8.0154371234511252</v>
      </c>
      <c r="CQ90">
        <v>8887.5166824826065</v>
      </c>
      <c r="CR90">
        <v>7.846387266423605</v>
      </c>
      <c r="CS90">
        <v>8700.0742010104932</v>
      </c>
      <c r="CT90">
        <v>3.0330039793855414</v>
      </c>
      <c r="CU90">
        <v>3362.9948123426884</v>
      </c>
    </row>
    <row r="91" spans="2:99">
      <c r="C91" s="99" t="s">
        <v>257</v>
      </c>
      <c r="D91">
        <v>9</v>
      </c>
      <c r="E91">
        <v>10227.599999999999</v>
      </c>
      <c r="F91">
        <v>5.3183864709932731</v>
      </c>
      <c r="G91">
        <v>6043.8143856367551</v>
      </c>
      <c r="H91">
        <v>5.4701010743867631</v>
      </c>
      <c r="I91">
        <v>6216.2228609331169</v>
      </c>
      <c r="J91">
        <v>5.261080952032148</v>
      </c>
      <c r="K91">
        <v>5978.6923938893324</v>
      </c>
      <c r="L91">
        <v>4.553926510203758</v>
      </c>
      <c r="M91">
        <v>5175.0820861955499</v>
      </c>
      <c r="N91">
        <v>5.5689583227190544</v>
      </c>
      <c r="O91">
        <v>6328.5642379379324</v>
      </c>
      <c r="P91">
        <v>5.7674951613186636</v>
      </c>
      <c r="Q91">
        <v>6554.1815013225287</v>
      </c>
      <c r="R91">
        <v>5.2525402362009261</v>
      </c>
      <c r="S91">
        <v>5968.9867244187317</v>
      </c>
      <c r="T91">
        <v>5.1935229301761963</v>
      </c>
      <c r="U91">
        <v>5901.9194578522283</v>
      </c>
      <c r="V91">
        <v>4.716566742711036</v>
      </c>
      <c r="W91">
        <v>5359.9064464168205</v>
      </c>
      <c r="X91">
        <v>0.64699672034026223</v>
      </c>
      <c r="Y91">
        <v>735.24707299467389</v>
      </c>
      <c r="Z91">
        <v>9</v>
      </c>
      <c r="AA91">
        <v>10227.599999999999</v>
      </c>
      <c r="AB91">
        <v>5.6106420214276778</v>
      </c>
      <c r="AC91">
        <v>6375.933593150412</v>
      </c>
      <c r="AD91">
        <v>5</v>
      </c>
      <c r="AE91">
        <v>5681.9999999999991</v>
      </c>
      <c r="AF91">
        <v>6.8206725938766146</v>
      </c>
      <c r="AG91">
        <v>7751.0123356813838</v>
      </c>
      <c r="AH91">
        <v>9</v>
      </c>
      <c r="AI91">
        <v>10227.599999999999</v>
      </c>
      <c r="AJ91">
        <v>7</v>
      </c>
      <c r="AK91">
        <v>7954.7999999999993</v>
      </c>
      <c r="AL91">
        <v>7</v>
      </c>
      <c r="AM91">
        <v>7954.7999999999993</v>
      </c>
      <c r="AN91">
        <v>1.4690318109224423</v>
      </c>
      <c r="AO91">
        <v>1669.4077499322632</v>
      </c>
      <c r="AP91">
        <v>10</v>
      </c>
      <c r="AQ91">
        <v>11363.999999999998</v>
      </c>
      <c r="AR91">
        <v>9</v>
      </c>
      <c r="AS91">
        <v>10227.599999999999</v>
      </c>
      <c r="AT91">
        <v>12</v>
      </c>
      <c r="AU91">
        <v>13636.8</v>
      </c>
      <c r="AV91">
        <v>2.2939366559421819</v>
      </c>
      <c r="AW91">
        <v>2606.829615812695</v>
      </c>
      <c r="AX91">
        <v>3.9143139723054992</v>
      </c>
      <c r="AY91">
        <v>4448.2263981279684</v>
      </c>
      <c r="AZ91">
        <v>6.3318293258312544</v>
      </c>
      <c r="BA91">
        <v>7195.4908458746368</v>
      </c>
      <c r="BB91">
        <v>0.70208886059768838</v>
      </c>
      <c r="BC91">
        <v>797.85378118321296</v>
      </c>
      <c r="BD91">
        <v>9</v>
      </c>
      <c r="BE91">
        <v>10227.599999999999</v>
      </c>
      <c r="BF91">
        <v>8.205093888020782</v>
      </c>
      <c r="BG91">
        <v>9324.2686943468161</v>
      </c>
      <c r="BH91">
        <v>5.261080952032148</v>
      </c>
      <c r="BI91">
        <v>5978.6923938893324</v>
      </c>
      <c r="BJ91">
        <v>0.54909827745237216</v>
      </c>
      <c r="BK91">
        <v>623.99528249687569</v>
      </c>
      <c r="BL91">
        <v>7</v>
      </c>
      <c r="BM91">
        <v>7954.7999999999993</v>
      </c>
      <c r="BN91">
        <v>3.984990813874012</v>
      </c>
      <c r="BO91">
        <v>4528.5435608864263</v>
      </c>
      <c r="BP91">
        <v>10</v>
      </c>
      <c r="BQ91">
        <v>11363.999999999998</v>
      </c>
      <c r="BR91">
        <v>9</v>
      </c>
      <c r="BS91">
        <v>10227.599999999999</v>
      </c>
      <c r="BT91">
        <v>6.2401681704124599</v>
      </c>
      <c r="BU91">
        <v>7091.327108856719</v>
      </c>
      <c r="BV91">
        <v>0.79077376930476484</v>
      </c>
      <c r="BW91">
        <v>898.63531143793466</v>
      </c>
      <c r="BX91">
        <v>6.1939502952855152</v>
      </c>
      <c r="BY91">
        <v>7038.8051155624589</v>
      </c>
      <c r="BZ91">
        <v>10</v>
      </c>
      <c r="CA91">
        <v>11363.999999999998</v>
      </c>
      <c r="CB91">
        <v>8</v>
      </c>
      <c r="CC91">
        <v>9091.1999999999989</v>
      </c>
      <c r="CD91">
        <v>2.4081287558429634</v>
      </c>
      <c r="CE91">
        <v>2736.5975181399431</v>
      </c>
      <c r="CF91">
        <v>1.9378438248002731E-16</v>
      </c>
      <c r="CG91">
        <v>2.2021657225030302E-13</v>
      </c>
      <c r="CH91">
        <v>9</v>
      </c>
      <c r="CI91">
        <v>10227.599999999999</v>
      </c>
      <c r="CJ91">
        <v>8</v>
      </c>
      <c r="CK91">
        <v>9091.1999999999989</v>
      </c>
      <c r="CL91">
        <v>9</v>
      </c>
      <c r="CM91">
        <v>10227.599999999999</v>
      </c>
      <c r="CN91">
        <v>10.8311362620914</v>
      </c>
      <c r="CO91">
        <v>12308.503248240666</v>
      </c>
      <c r="CP91">
        <v>8.0154371234511252</v>
      </c>
      <c r="CQ91">
        <v>9108.7427470898583</v>
      </c>
      <c r="CR91">
        <v>7.1330793331123683</v>
      </c>
      <c r="CS91">
        <v>8106.031354148894</v>
      </c>
      <c r="CT91">
        <v>3.0330039793855414</v>
      </c>
      <c r="CU91">
        <v>3446.7057221737291</v>
      </c>
    </row>
    <row r="92" spans="2:99">
      <c r="C92" s="99" t="s">
        <v>258</v>
      </c>
      <c r="D92">
        <v>9</v>
      </c>
      <c r="E92">
        <v>7063.2</v>
      </c>
      <c r="F92">
        <v>6.2047842161588198</v>
      </c>
      <c r="G92">
        <v>4869.5146528414416</v>
      </c>
      <c r="H92">
        <v>5.4701010743867631</v>
      </c>
      <c r="I92">
        <v>4292.9353231787318</v>
      </c>
      <c r="J92">
        <v>4.5094979588846984</v>
      </c>
      <c r="K92">
        <v>3539.0539981327111</v>
      </c>
      <c r="L92">
        <v>4.553926510203758</v>
      </c>
      <c r="M92">
        <v>3573.9215252079093</v>
      </c>
      <c r="N92">
        <v>6.4971180431722306</v>
      </c>
      <c r="O92">
        <v>5098.9382402815663</v>
      </c>
      <c r="P92">
        <v>5.7674951613186636</v>
      </c>
      <c r="Q92">
        <v>4526.3302026028869</v>
      </c>
      <c r="R92">
        <v>5.2525402362009261</v>
      </c>
      <c r="S92">
        <v>4122.1935773704863</v>
      </c>
      <c r="T92">
        <v>5.1935229301761963</v>
      </c>
      <c r="U92">
        <v>4075.8767956022784</v>
      </c>
      <c r="V92">
        <v>4.716566742711036</v>
      </c>
      <c r="W92">
        <v>3701.561579679621</v>
      </c>
      <c r="X92">
        <v>0.64699672034026223</v>
      </c>
      <c r="Y92">
        <v>507.76302612303778</v>
      </c>
      <c r="Z92">
        <v>9</v>
      </c>
      <c r="AA92">
        <v>7063.2</v>
      </c>
      <c r="AB92">
        <v>6.2340466904751981</v>
      </c>
      <c r="AC92">
        <v>4892.4798426849347</v>
      </c>
      <c r="AD92">
        <v>5</v>
      </c>
      <c r="AE92">
        <v>3924</v>
      </c>
      <c r="AF92">
        <v>7.5785251043073494</v>
      </c>
      <c r="AG92">
        <v>5947.6265018604072</v>
      </c>
      <c r="AH92">
        <v>9</v>
      </c>
      <c r="AI92">
        <v>7063.2</v>
      </c>
      <c r="AJ92">
        <v>8</v>
      </c>
      <c r="AK92">
        <v>6278.4</v>
      </c>
      <c r="AL92">
        <v>7</v>
      </c>
      <c r="AM92">
        <v>5493.5999999999995</v>
      </c>
      <c r="AN92">
        <v>1.4690318109224423</v>
      </c>
      <c r="AO92">
        <v>1152.8961652119326</v>
      </c>
      <c r="AP92">
        <v>11</v>
      </c>
      <c r="AQ92">
        <v>8632.7999999999993</v>
      </c>
      <c r="AR92">
        <v>10</v>
      </c>
      <c r="AS92">
        <v>7848</v>
      </c>
      <c r="AT92">
        <v>12</v>
      </c>
      <c r="AU92">
        <v>9417.5999999999985</v>
      </c>
      <c r="AV92">
        <v>2.5806787379349543</v>
      </c>
      <c r="AW92">
        <v>2025.3166735313521</v>
      </c>
      <c r="AX92">
        <v>3.9143139723054992</v>
      </c>
      <c r="AY92">
        <v>3071.9536054653554</v>
      </c>
      <c r="AZ92">
        <v>7.7389025093493107</v>
      </c>
      <c r="BA92">
        <v>6073.4906893373391</v>
      </c>
      <c r="BB92">
        <v>0.70208886059768838</v>
      </c>
      <c r="BC92">
        <v>550.99933779706578</v>
      </c>
      <c r="BD92">
        <v>9</v>
      </c>
      <c r="BE92">
        <v>7063.2</v>
      </c>
      <c r="BF92">
        <v>8.205093888020782</v>
      </c>
      <c r="BG92">
        <v>6439.357683318709</v>
      </c>
      <c r="BH92">
        <v>5.261080952032148</v>
      </c>
      <c r="BI92">
        <v>4128.8963311548296</v>
      </c>
      <c r="BJ92">
        <v>0.48046099277082566</v>
      </c>
      <c r="BK92">
        <v>377.06578712654397</v>
      </c>
      <c r="BL92">
        <v>7</v>
      </c>
      <c r="BM92">
        <v>5493.5999999999995</v>
      </c>
      <c r="BN92">
        <v>4.5542752158560136</v>
      </c>
      <c r="BO92">
        <v>3574.1951894037993</v>
      </c>
      <c r="BP92">
        <v>12</v>
      </c>
      <c r="BQ92">
        <v>9417.5999999999985</v>
      </c>
      <c r="BR92">
        <v>9</v>
      </c>
      <c r="BS92">
        <v>7063.2</v>
      </c>
      <c r="BT92">
        <v>6.2401681704124599</v>
      </c>
      <c r="BU92">
        <v>4897.2839801396985</v>
      </c>
      <c r="BV92">
        <v>0.71888524482251348</v>
      </c>
      <c r="BW92">
        <v>564.18114013670856</v>
      </c>
      <c r="BX92">
        <v>5.4197065083748255</v>
      </c>
      <c r="BY92">
        <v>4253.3856677725626</v>
      </c>
      <c r="BZ92">
        <v>9</v>
      </c>
      <c r="CA92">
        <v>7063.2</v>
      </c>
      <c r="CB92">
        <v>9</v>
      </c>
      <c r="CC92">
        <v>7063.2</v>
      </c>
      <c r="CD92">
        <v>2.8094835484834575</v>
      </c>
      <c r="CE92">
        <v>2204.8826888498174</v>
      </c>
      <c r="CF92">
        <v>1.6956133467002389E-16</v>
      </c>
      <c r="CG92">
        <v>1.3307173544903475E-13</v>
      </c>
      <c r="CH92">
        <v>9</v>
      </c>
      <c r="CI92">
        <v>7063.2</v>
      </c>
      <c r="CJ92">
        <v>7</v>
      </c>
      <c r="CK92">
        <v>5493.5999999999995</v>
      </c>
      <c r="CL92">
        <v>9</v>
      </c>
      <c r="CM92">
        <v>7063.2</v>
      </c>
      <c r="CN92">
        <v>9.9285415735837823</v>
      </c>
      <c r="CO92">
        <v>7791.9194269485515</v>
      </c>
      <c r="CP92">
        <v>8.0154371234511252</v>
      </c>
      <c r="CQ92">
        <v>6290.5150544844428</v>
      </c>
      <c r="CR92">
        <v>7.846387266423605</v>
      </c>
      <c r="CS92">
        <v>6157.8447266892445</v>
      </c>
      <c r="CT92">
        <v>3.0330039793855414</v>
      </c>
      <c r="CU92">
        <v>2380.3015230217729</v>
      </c>
    </row>
    <row r="93" spans="2:99">
      <c r="C93" s="99" t="s">
        <v>259</v>
      </c>
      <c r="D93">
        <v>9</v>
      </c>
      <c r="E93">
        <v>6242.4000000000005</v>
      </c>
      <c r="F93">
        <v>6.2047842161588198</v>
      </c>
      <c r="G93">
        <v>4303.6383323277578</v>
      </c>
      <c r="H93">
        <v>5.4701010743867631</v>
      </c>
      <c r="I93">
        <v>3794.0621051946591</v>
      </c>
      <c r="J93">
        <v>4.5094979588846984</v>
      </c>
      <c r="K93">
        <v>3127.7877842824269</v>
      </c>
      <c r="L93">
        <v>4.553926510203758</v>
      </c>
      <c r="M93">
        <v>3158.6034274773265</v>
      </c>
      <c r="N93">
        <v>6.4971180431722306</v>
      </c>
      <c r="O93">
        <v>4506.4010747442589</v>
      </c>
      <c r="P93">
        <v>4.9435672811302833</v>
      </c>
      <c r="Q93">
        <v>3428.8582661919645</v>
      </c>
      <c r="R93">
        <v>5.2525402362009261</v>
      </c>
      <c r="S93">
        <v>3643.1619078289623</v>
      </c>
      <c r="T93">
        <v>5.1935229301761963</v>
      </c>
      <c r="U93">
        <v>3602.2275043702098</v>
      </c>
      <c r="V93">
        <v>5.502661199829542</v>
      </c>
      <c r="W93">
        <v>3816.6458082017707</v>
      </c>
      <c r="X93">
        <v>0.57510819585801087</v>
      </c>
      <c r="Y93">
        <v>398.89504464711638</v>
      </c>
      <c r="Z93">
        <v>9</v>
      </c>
      <c r="AA93">
        <v>6242.4000000000005</v>
      </c>
      <c r="AB93">
        <v>6.2340466904751981</v>
      </c>
      <c r="AC93">
        <v>4323.9347845135972</v>
      </c>
      <c r="AD93">
        <v>6</v>
      </c>
      <c r="AE93">
        <v>4161.6000000000004</v>
      </c>
      <c r="AF93">
        <v>7.5785251043073494</v>
      </c>
      <c r="AG93">
        <v>5256.4650123475776</v>
      </c>
      <c r="AH93">
        <v>9</v>
      </c>
      <c r="AI93">
        <v>6242.4000000000005</v>
      </c>
      <c r="AJ93">
        <v>7</v>
      </c>
      <c r="AK93">
        <v>4855.2</v>
      </c>
      <c r="AL93">
        <v>7</v>
      </c>
      <c r="AM93">
        <v>4855.2</v>
      </c>
      <c r="AN93">
        <v>1.4690318109224423</v>
      </c>
      <c r="AO93">
        <v>1018.920464055806</v>
      </c>
      <c r="AP93">
        <v>10</v>
      </c>
      <c r="AQ93">
        <v>6936</v>
      </c>
      <c r="AR93">
        <v>9</v>
      </c>
      <c r="AS93">
        <v>6242.4000000000005</v>
      </c>
      <c r="AT93">
        <v>11</v>
      </c>
      <c r="AU93">
        <v>7629.6</v>
      </c>
      <c r="AV93">
        <v>2.2939366559421819</v>
      </c>
      <c r="AW93">
        <v>1591.0744645614975</v>
      </c>
      <c r="AX93">
        <v>4.4735016826348559</v>
      </c>
      <c r="AY93">
        <v>3102.820767075536</v>
      </c>
      <c r="AZ93">
        <v>6.3318293258312544</v>
      </c>
      <c r="BA93">
        <v>4391.7568203965584</v>
      </c>
      <c r="BB93">
        <v>0.70208886059768838</v>
      </c>
      <c r="BC93">
        <v>486.96883371055668</v>
      </c>
      <c r="BD93">
        <v>11</v>
      </c>
      <c r="BE93">
        <v>7629.6</v>
      </c>
      <c r="BF93">
        <v>8.205093888020782</v>
      </c>
      <c r="BG93">
        <v>5691.0531207312142</v>
      </c>
      <c r="BH93">
        <v>6.0126639451795976</v>
      </c>
      <c r="BI93">
        <v>4170.3837123765688</v>
      </c>
      <c r="BJ93">
        <v>0.54909827745237216</v>
      </c>
      <c r="BK93">
        <v>380.85456524096537</v>
      </c>
      <c r="BL93">
        <v>7</v>
      </c>
      <c r="BM93">
        <v>4855.2</v>
      </c>
      <c r="BN93">
        <v>4.5542752158560136</v>
      </c>
      <c r="BO93">
        <v>3158.8452897177312</v>
      </c>
      <c r="BP93">
        <v>12</v>
      </c>
      <c r="BQ93">
        <v>8323.2000000000007</v>
      </c>
      <c r="BR93">
        <v>10</v>
      </c>
      <c r="BS93">
        <v>6936</v>
      </c>
      <c r="BT93">
        <v>5.3487155746392512</v>
      </c>
      <c r="BU93">
        <v>3709.8691225697848</v>
      </c>
      <c r="BV93">
        <v>0.71888524482251348</v>
      </c>
      <c r="BW93">
        <v>498.61880580889539</v>
      </c>
      <c r="BX93">
        <v>6.1939502952855152</v>
      </c>
      <c r="BY93">
        <v>4296.1239248100337</v>
      </c>
      <c r="BZ93">
        <v>11</v>
      </c>
      <c r="CA93">
        <v>7629.6</v>
      </c>
      <c r="CB93">
        <v>9</v>
      </c>
      <c r="CC93">
        <v>6242.4000000000005</v>
      </c>
      <c r="CD93">
        <v>2.4081287558429634</v>
      </c>
      <c r="CE93">
        <v>1670.2781050526794</v>
      </c>
      <c r="CF93">
        <v>1.6956133467002389E-16</v>
      </c>
      <c r="CG93">
        <v>1.1760774172712858E-13</v>
      </c>
      <c r="CH93">
        <v>9</v>
      </c>
      <c r="CI93">
        <v>6242.4000000000005</v>
      </c>
      <c r="CJ93">
        <v>7</v>
      </c>
      <c r="CK93">
        <v>4855.2</v>
      </c>
      <c r="CL93">
        <v>9</v>
      </c>
      <c r="CM93">
        <v>6242.4000000000005</v>
      </c>
      <c r="CN93">
        <v>10.8311362620914</v>
      </c>
      <c r="CO93">
        <v>7512.4761113865952</v>
      </c>
      <c r="CP93">
        <v>8.9060412482790277</v>
      </c>
      <c r="CQ93">
        <v>6177.2302098063337</v>
      </c>
      <c r="CR93">
        <v>7.846387266423605</v>
      </c>
      <c r="CS93">
        <v>5442.2542079914128</v>
      </c>
      <c r="CT93">
        <v>3.0330039793855414</v>
      </c>
      <c r="CU93">
        <v>2103.6915601018118</v>
      </c>
    </row>
    <row r="94" spans="2:99">
      <c r="C94" s="99" t="s">
        <v>260</v>
      </c>
      <c r="D94">
        <v>9</v>
      </c>
      <c r="E94">
        <v>10735.199999999999</v>
      </c>
      <c r="F94">
        <v>6.2047842161588198</v>
      </c>
      <c r="G94">
        <v>7401.0666130342397</v>
      </c>
      <c r="H94">
        <v>5.4701010743867631</v>
      </c>
      <c r="I94">
        <v>6524.7365615285307</v>
      </c>
      <c r="J94">
        <v>4.5094979588846984</v>
      </c>
      <c r="K94">
        <v>5378.9291653576684</v>
      </c>
      <c r="L94">
        <v>4.553926510203758</v>
      </c>
      <c r="M94">
        <v>5431.9235413710421</v>
      </c>
      <c r="N94">
        <v>6.4971180431722306</v>
      </c>
      <c r="O94">
        <v>7749.7624018958368</v>
      </c>
      <c r="P94">
        <v>5.7674951613186636</v>
      </c>
      <c r="Q94">
        <v>6879.4682284209021</v>
      </c>
      <c r="R94">
        <v>5.2525402362009261</v>
      </c>
      <c r="S94">
        <v>6265.2299937404641</v>
      </c>
      <c r="T94">
        <v>5.1935229301761963</v>
      </c>
      <c r="U94">
        <v>6194.8341511141671</v>
      </c>
      <c r="V94">
        <v>5.502661199829542</v>
      </c>
      <c r="W94">
        <v>6563.5742791566772</v>
      </c>
      <c r="X94">
        <v>0.57510819585801087</v>
      </c>
      <c r="Y94">
        <v>685.98905601943534</v>
      </c>
      <c r="Z94">
        <v>9</v>
      </c>
      <c r="AA94">
        <v>10735.199999999999</v>
      </c>
      <c r="AB94">
        <v>6.2340466904751981</v>
      </c>
      <c r="AC94">
        <v>7435.9708923988164</v>
      </c>
      <c r="AD94">
        <v>5</v>
      </c>
      <c r="AE94">
        <v>5964</v>
      </c>
      <c r="AF94">
        <v>7.5785251043073494</v>
      </c>
      <c r="AG94">
        <v>9039.6647444178052</v>
      </c>
      <c r="AH94">
        <v>10</v>
      </c>
      <c r="AI94">
        <v>11928</v>
      </c>
      <c r="AJ94">
        <v>7</v>
      </c>
      <c r="AK94">
        <v>8349.6</v>
      </c>
      <c r="AL94">
        <v>7</v>
      </c>
      <c r="AM94">
        <v>8349.6</v>
      </c>
      <c r="AN94">
        <v>1.6322575676916022</v>
      </c>
      <c r="AO94">
        <v>1946.9568267425432</v>
      </c>
      <c r="AP94">
        <v>11</v>
      </c>
      <c r="AQ94">
        <v>13120.8</v>
      </c>
      <c r="AR94">
        <v>10</v>
      </c>
      <c r="AS94">
        <v>11928</v>
      </c>
      <c r="AT94">
        <v>10</v>
      </c>
      <c r="AU94">
        <v>11928</v>
      </c>
      <c r="AV94">
        <v>2.2939366559421819</v>
      </c>
      <c r="AW94">
        <v>2736.2076432078343</v>
      </c>
      <c r="AX94">
        <v>3.9143139723054992</v>
      </c>
      <c r="AY94">
        <v>4668.9937061659994</v>
      </c>
      <c r="AZ94">
        <v>7.0353659175902825</v>
      </c>
      <c r="BA94">
        <v>8391.7844665016892</v>
      </c>
      <c r="BB94">
        <v>0.70208886059768838</v>
      </c>
      <c r="BC94">
        <v>837.45159292092262</v>
      </c>
      <c r="BD94">
        <v>9</v>
      </c>
      <c r="BE94">
        <v>10735.199999999999</v>
      </c>
      <c r="BF94">
        <v>8.205093888020782</v>
      </c>
      <c r="BG94">
        <v>9787.0359896311875</v>
      </c>
      <c r="BH94">
        <v>6.0126639451795976</v>
      </c>
      <c r="BI94">
        <v>7171.9055538102239</v>
      </c>
      <c r="BJ94">
        <v>0.48046099277082566</v>
      </c>
      <c r="BK94">
        <v>573.09387217704079</v>
      </c>
      <c r="BL94">
        <v>7</v>
      </c>
      <c r="BM94">
        <v>8349.6</v>
      </c>
      <c r="BN94">
        <v>4.5542752158560136</v>
      </c>
      <c r="BO94">
        <v>5432.3394774730532</v>
      </c>
      <c r="BP94">
        <v>10</v>
      </c>
      <c r="BQ94">
        <v>11928</v>
      </c>
      <c r="BR94">
        <v>9</v>
      </c>
      <c r="BS94">
        <v>10735.199999999999</v>
      </c>
      <c r="BT94">
        <v>5.3487155746392512</v>
      </c>
      <c r="BU94">
        <v>6379.9479374296989</v>
      </c>
      <c r="BV94">
        <v>0.71888524482251348</v>
      </c>
      <c r="BW94">
        <v>857.48632002429406</v>
      </c>
      <c r="BX94">
        <v>6.1939502952855152</v>
      </c>
      <c r="BY94">
        <v>7388.1439122165621</v>
      </c>
      <c r="BZ94">
        <v>9</v>
      </c>
      <c r="CA94">
        <v>10735.199999999999</v>
      </c>
      <c r="CB94">
        <v>8</v>
      </c>
      <c r="CC94">
        <v>9542.4</v>
      </c>
      <c r="CD94">
        <v>2.8094835484834575</v>
      </c>
      <c r="CE94">
        <v>3351.151976631068</v>
      </c>
      <c r="CF94">
        <v>1.9378438248002731E-16</v>
      </c>
      <c r="CG94">
        <v>2.3114601142217659E-13</v>
      </c>
      <c r="CH94">
        <v>8</v>
      </c>
      <c r="CI94">
        <v>9542.4</v>
      </c>
      <c r="CJ94">
        <v>7</v>
      </c>
      <c r="CK94">
        <v>8349.6</v>
      </c>
      <c r="CL94">
        <v>8</v>
      </c>
      <c r="CM94">
        <v>9542.4</v>
      </c>
      <c r="CN94">
        <v>9.9285415735837823</v>
      </c>
      <c r="CO94">
        <v>11842.764388970734</v>
      </c>
      <c r="CP94">
        <v>8.0154371234511252</v>
      </c>
      <c r="CQ94">
        <v>9560.8134008525012</v>
      </c>
      <c r="CR94">
        <v>8.5596951997348416</v>
      </c>
      <c r="CS94">
        <v>10210.00443424372</v>
      </c>
      <c r="CT94">
        <v>3.3363043773240952</v>
      </c>
      <c r="CU94">
        <v>3979.5438612721805</v>
      </c>
    </row>
    <row r="95" spans="2:99">
      <c r="B95" s="99" t="s">
        <v>132</v>
      </c>
      <c r="C95" s="99" t="s">
        <v>261</v>
      </c>
      <c r="D95">
        <v>8</v>
      </c>
      <c r="E95">
        <v>2630.4</v>
      </c>
      <c r="F95">
        <v>9.7503751968210022</v>
      </c>
      <c r="G95">
        <v>3205.9233647147457</v>
      </c>
      <c r="H95">
        <v>9.1168351239779373</v>
      </c>
      <c r="I95">
        <v>2997.6153887639457</v>
      </c>
      <c r="J95">
        <v>10.522161904064296</v>
      </c>
      <c r="K95">
        <v>3459.6868340563406</v>
      </c>
      <c r="L95">
        <v>10.625828523808769</v>
      </c>
      <c r="M95">
        <v>3493.7724186283235</v>
      </c>
      <c r="N95">
        <v>8.353437484078583</v>
      </c>
      <c r="O95">
        <v>2746.6102447650383</v>
      </c>
      <c r="P95">
        <v>8.2392788018838043</v>
      </c>
      <c r="Q95">
        <v>2709.0748700593949</v>
      </c>
      <c r="R95">
        <v>9.6296570997016993</v>
      </c>
      <c r="S95">
        <v>3166.2312543819189</v>
      </c>
      <c r="T95">
        <v>8.6558715502936607</v>
      </c>
      <c r="U95">
        <v>2846.0505657365557</v>
      </c>
      <c r="V95">
        <v>9.4331334854220721</v>
      </c>
      <c r="W95">
        <v>3101.6142900067775</v>
      </c>
      <c r="X95">
        <v>0.79077376930476484</v>
      </c>
      <c r="Y95">
        <v>260.00641534740669</v>
      </c>
      <c r="Z95">
        <v>9</v>
      </c>
      <c r="AA95">
        <v>2959.2000000000003</v>
      </c>
      <c r="AB95">
        <v>6.8574513595227176</v>
      </c>
      <c r="AC95">
        <v>2254.7300070110696</v>
      </c>
      <c r="AD95">
        <v>10</v>
      </c>
      <c r="AE95">
        <v>3288</v>
      </c>
      <c r="AF95">
        <v>9.0942301251688189</v>
      </c>
      <c r="AG95">
        <v>2990.1828651555079</v>
      </c>
      <c r="AH95">
        <v>12</v>
      </c>
      <c r="AI95">
        <v>3945.6000000000004</v>
      </c>
      <c r="AJ95">
        <v>9</v>
      </c>
      <c r="AK95">
        <v>2959.2000000000003</v>
      </c>
      <c r="AL95">
        <v>11</v>
      </c>
      <c r="AM95">
        <v>3616.8</v>
      </c>
      <c r="AN95">
        <v>1.6322575676916022</v>
      </c>
      <c r="AO95">
        <v>536.68628825699886</v>
      </c>
      <c r="AP95">
        <v>7</v>
      </c>
      <c r="AQ95">
        <v>2301.6</v>
      </c>
      <c r="AR95">
        <v>12</v>
      </c>
      <c r="AS95">
        <v>3945.6000000000004</v>
      </c>
      <c r="AT95">
        <v>7</v>
      </c>
      <c r="AU95">
        <v>2301.6</v>
      </c>
      <c r="AV95">
        <v>2.007194573949409</v>
      </c>
      <c r="AW95">
        <v>659.96557591456576</v>
      </c>
      <c r="AX95">
        <v>5.5918771032935712</v>
      </c>
      <c r="AY95">
        <v>1838.6091915629263</v>
      </c>
      <c r="AZ95">
        <v>7.7389025093493107</v>
      </c>
      <c r="BA95">
        <v>2544.5511450740532</v>
      </c>
      <c r="BB95">
        <v>0.70208886059768838</v>
      </c>
      <c r="BC95">
        <v>230.84681736451995</v>
      </c>
      <c r="BD95">
        <v>14</v>
      </c>
      <c r="BE95">
        <v>4603.2</v>
      </c>
      <c r="BF95">
        <v>10.442846766571906</v>
      </c>
      <c r="BG95">
        <v>3433.6080168488429</v>
      </c>
      <c r="BH95">
        <v>8.2674129246219472</v>
      </c>
      <c r="BI95">
        <v>2718.3253696156962</v>
      </c>
      <c r="BJ95">
        <v>0.89228470086010481</v>
      </c>
      <c r="BK95">
        <v>293.38320964280246</v>
      </c>
      <c r="BL95">
        <v>11</v>
      </c>
      <c r="BM95">
        <v>3616.8</v>
      </c>
      <c r="BN95">
        <v>6.2621284218020188</v>
      </c>
      <c r="BO95">
        <v>2058.987825088504</v>
      </c>
      <c r="BP95">
        <v>12</v>
      </c>
      <c r="BQ95">
        <v>3945.6000000000004</v>
      </c>
      <c r="BR95">
        <v>10</v>
      </c>
      <c r="BS95">
        <v>3288</v>
      </c>
      <c r="BT95">
        <v>12.48033634082492</v>
      </c>
      <c r="BU95">
        <v>4103.5345888632337</v>
      </c>
      <c r="BV95">
        <v>0.64699672034026223</v>
      </c>
      <c r="BW95">
        <v>212.73252164787823</v>
      </c>
      <c r="BX95">
        <v>8.5166816560175835</v>
      </c>
      <c r="BY95">
        <v>2800.2849284985814</v>
      </c>
      <c r="BZ95">
        <v>8</v>
      </c>
      <c r="CA95">
        <v>2630.4</v>
      </c>
      <c r="CB95">
        <v>13</v>
      </c>
      <c r="CC95">
        <v>4274.4000000000005</v>
      </c>
      <c r="CD95">
        <v>3.2108383411239512</v>
      </c>
      <c r="CE95">
        <v>1055.7236465615551</v>
      </c>
      <c r="CF95">
        <v>3.3912266934004778E-16</v>
      </c>
      <c r="CG95">
        <v>1.1150353367900771E-13</v>
      </c>
      <c r="CH95">
        <v>12</v>
      </c>
      <c r="CI95">
        <v>3945.6000000000004</v>
      </c>
      <c r="CJ95">
        <v>8</v>
      </c>
      <c r="CK95">
        <v>2630.4</v>
      </c>
      <c r="CL95">
        <v>11</v>
      </c>
      <c r="CM95">
        <v>3616.8</v>
      </c>
      <c r="CN95">
        <v>7.2207575080609336</v>
      </c>
      <c r="CO95">
        <v>2374.1850686504349</v>
      </c>
      <c r="CP95">
        <v>6.2342288737953195</v>
      </c>
      <c r="CQ95">
        <v>2049.8144537039011</v>
      </c>
      <c r="CR95">
        <v>6.4197713998011317</v>
      </c>
      <c r="CS95">
        <v>2110.820836254612</v>
      </c>
      <c r="CT95">
        <v>3.3363043773240952</v>
      </c>
      <c r="CU95">
        <v>1096.9768792641626</v>
      </c>
    </row>
    <row r="96" spans="2:99">
      <c r="C96" s="99" t="s">
        <v>262</v>
      </c>
      <c r="D96">
        <v>9</v>
      </c>
      <c r="E96">
        <v>6253.2</v>
      </c>
      <c r="F96">
        <v>9.7503751968210022</v>
      </c>
      <c r="G96">
        <v>6774.5606867512315</v>
      </c>
      <c r="H96">
        <v>8.2051516115801455</v>
      </c>
      <c r="I96">
        <v>5700.9393397258846</v>
      </c>
      <c r="J96">
        <v>9.0189959177693968</v>
      </c>
      <c r="K96">
        <v>6266.3983636661769</v>
      </c>
      <c r="L96">
        <v>9.8668407721081444</v>
      </c>
      <c r="M96">
        <v>6855.480968460738</v>
      </c>
      <c r="N96">
        <v>8.353437484078583</v>
      </c>
      <c r="O96">
        <v>5803.968363937799</v>
      </c>
      <c r="P96">
        <v>9.0632066820721864</v>
      </c>
      <c r="Q96">
        <v>6297.1160027037549</v>
      </c>
      <c r="R96">
        <v>8.7542337270015445</v>
      </c>
      <c r="S96">
        <v>6082.4415935206725</v>
      </c>
      <c r="T96">
        <v>8.6558715502936607</v>
      </c>
      <c r="U96">
        <v>6014.0995531440349</v>
      </c>
      <c r="V96">
        <v>9.4331334854220721</v>
      </c>
      <c r="W96">
        <v>6554.1411456712549</v>
      </c>
      <c r="X96">
        <v>0.64699672034026223</v>
      </c>
      <c r="Y96">
        <v>449.53332129241414</v>
      </c>
      <c r="Z96">
        <v>8</v>
      </c>
      <c r="AA96">
        <v>5558.4</v>
      </c>
      <c r="AB96">
        <v>7.480856028570237</v>
      </c>
      <c r="AC96">
        <v>5197.6987686506</v>
      </c>
      <c r="AD96">
        <v>8</v>
      </c>
      <c r="AE96">
        <v>5558.4</v>
      </c>
      <c r="AF96">
        <v>8.336377614738085</v>
      </c>
      <c r="AG96">
        <v>5792.1151667200211</v>
      </c>
      <c r="AH96">
        <v>11</v>
      </c>
      <c r="AI96">
        <v>7642.7999999999993</v>
      </c>
      <c r="AJ96">
        <v>9</v>
      </c>
      <c r="AK96">
        <v>6253.2</v>
      </c>
      <c r="AL96">
        <v>11</v>
      </c>
      <c r="AM96">
        <v>7642.7999999999993</v>
      </c>
      <c r="AN96">
        <v>1.6322575676916022</v>
      </c>
      <c r="AO96">
        <v>1134.0925580321252</v>
      </c>
      <c r="AP96">
        <v>7</v>
      </c>
      <c r="AQ96">
        <v>4863.5999999999995</v>
      </c>
      <c r="AR96">
        <v>11</v>
      </c>
      <c r="AS96">
        <v>7642.7999999999993</v>
      </c>
      <c r="AT96">
        <v>8</v>
      </c>
      <c r="AU96">
        <v>5558.4</v>
      </c>
      <c r="AV96">
        <v>2.007194573949409</v>
      </c>
      <c r="AW96">
        <v>1394.5987899800493</v>
      </c>
      <c r="AX96">
        <v>6.151064813622928</v>
      </c>
      <c r="AY96">
        <v>4273.7598325052104</v>
      </c>
      <c r="AZ96">
        <v>8.442439101108338</v>
      </c>
      <c r="BA96">
        <v>5865.8066874500728</v>
      </c>
      <c r="BB96">
        <v>0.5744363404890177</v>
      </c>
      <c r="BC96">
        <v>399.11836937176946</v>
      </c>
      <c r="BD96">
        <v>14</v>
      </c>
      <c r="BE96">
        <v>9727.1999999999989</v>
      </c>
      <c r="BF96">
        <v>9.6969291403881979</v>
      </c>
      <c r="BG96">
        <v>6737.426366741719</v>
      </c>
      <c r="BH96">
        <v>9.0189959177693968</v>
      </c>
      <c r="BI96">
        <v>6266.3983636661769</v>
      </c>
      <c r="BJ96">
        <v>0.82364741617855819</v>
      </c>
      <c r="BK96">
        <v>572.27022476086222</v>
      </c>
      <c r="BL96">
        <v>11</v>
      </c>
      <c r="BM96">
        <v>7642.7999999999993</v>
      </c>
      <c r="BN96">
        <v>5.6928440198200168</v>
      </c>
      <c r="BO96">
        <v>3955.3880249709473</v>
      </c>
      <c r="BP96">
        <v>12</v>
      </c>
      <c r="BQ96">
        <v>8337.5999999999985</v>
      </c>
      <c r="BR96">
        <v>10</v>
      </c>
      <c r="BS96">
        <v>6948</v>
      </c>
      <c r="BT96">
        <v>10.697431149278502</v>
      </c>
      <c r="BU96">
        <v>7432.5751625187031</v>
      </c>
      <c r="BV96">
        <v>0.57510819585801087</v>
      </c>
      <c r="BW96">
        <v>399.58517448214593</v>
      </c>
      <c r="BX96">
        <v>7.7424378691068947</v>
      </c>
      <c r="BY96">
        <v>5379.4458314554704</v>
      </c>
      <c r="BZ96">
        <v>8</v>
      </c>
      <c r="CA96">
        <v>5558.4</v>
      </c>
      <c r="CB96">
        <v>11</v>
      </c>
      <c r="CC96">
        <v>7642.7999999999993</v>
      </c>
      <c r="CD96">
        <v>3.6121931337644448</v>
      </c>
      <c r="CE96">
        <v>2509.7517893395361</v>
      </c>
      <c r="CF96">
        <v>3.1489962153004441E-16</v>
      </c>
      <c r="CG96">
        <v>2.1879225703907483E-13</v>
      </c>
      <c r="CH96">
        <v>12</v>
      </c>
      <c r="CI96">
        <v>8337.5999999999985</v>
      </c>
      <c r="CJ96">
        <v>7</v>
      </c>
      <c r="CK96">
        <v>4863.5999999999995</v>
      </c>
      <c r="CL96">
        <v>11</v>
      </c>
      <c r="CM96">
        <v>7642.7999999999993</v>
      </c>
      <c r="CN96">
        <v>7.2207575080609336</v>
      </c>
      <c r="CO96">
        <v>5016.9823166007363</v>
      </c>
      <c r="CP96">
        <v>7.1248329986232219</v>
      </c>
      <c r="CQ96">
        <v>4950.3339674434146</v>
      </c>
      <c r="CR96">
        <v>6.4197713998011317</v>
      </c>
      <c r="CS96">
        <v>4460.4571685818264</v>
      </c>
      <c r="CT96">
        <v>3.0330039793855414</v>
      </c>
      <c r="CU96">
        <v>2107.3311648770741</v>
      </c>
    </row>
    <row r="97" spans="2:99">
      <c r="C97" s="99" t="s">
        <v>263</v>
      </c>
      <c r="D97">
        <v>8</v>
      </c>
      <c r="E97">
        <v>3139.2</v>
      </c>
      <c r="F97">
        <v>10.636772941986546</v>
      </c>
      <c r="G97">
        <v>4173.8697024355206</v>
      </c>
      <c r="H97">
        <v>9.1168351239779373</v>
      </c>
      <c r="I97">
        <v>3577.4461026489425</v>
      </c>
      <c r="J97">
        <v>10.522161904064296</v>
      </c>
      <c r="K97">
        <v>4128.8963311548296</v>
      </c>
      <c r="L97">
        <v>9.1078530204075161</v>
      </c>
      <c r="M97">
        <v>3573.9215252079093</v>
      </c>
      <c r="N97">
        <v>8.353437484078583</v>
      </c>
      <c r="O97">
        <v>3277.8888687524359</v>
      </c>
      <c r="P97">
        <v>8.2392788018838043</v>
      </c>
      <c r="Q97">
        <v>3233.0930018592048</v>
      </c>
      <c r="R97">
        <v>9.6296570997016993</v>
      </c>
      <c r="S97">
        <v>3778.6774459229464</v>
      </c>
      <c r="T97">
        <v>9.5214587053230257</v>
      </c>
      <c r="U97">
        <v>3736.2203959687549</v>
      </c>
      <c r="V97">
        <v>10.219227942540579</v>
      </c>
      <c r="W97">
        <v>4010.025044652923</v>
      </c>
      <c r="X97">
        <v>0.71888524482251348</v>
      </c>
      <c r="Y97">
        <v>282.09057006835428</v>
      </c>
      <c r="Z97">
        <v>8</v>
      </c>
      <c r="AA97">
        <v>3139.2</v>
      </c>
      <c r="AB97">
        <v>7.480856028570237</v>
      </c>
      <c r="AC97">
        <v>2935.4879056109608</v>
      </c>
      <c r="AD97">
        <v>8</v>
      </c>
      <c r="AE97">
        <v>3139.2</v>
      </c>
      <c r="AF97">
        <v>8.336377614738085</v>
      </c>
      <c r="AG97">
        <v>3271.1945760232243</v>
      </c>
      <c r="AH97">
        <v>12</v>
      </c>
      <c r="AI97">
        <v>4708.7999999999993</v>
      </c>
      <c r="AJ97">
        <v>10</v>
      </c>
      <c r="AK97">
        <v>3924</v>
      </c>
      <c r="AL97">
        <v>10</v>
      </c>
      <c r="AM97">
        <v>3924</v>
      </c>
      <c r="AN97">
        <v>1.6322575676916022</v>
      </c>
      <c r="AO97">
        <v>640.49786956218463</v>
      </c>
      <c r="AP97">
        <v>7</v>
      </c>
      <c r="AQ97">
        <v>2746.7999999999997</v>
      </c>
      <c r="AR97">
        <v>12</v>
      </c>
      <c r="AS97">
        <v>4708.7999999999993</v>
      </c>
      <c r="AT97">
        <v>7</v>
      </c>
      <c r="AU97">
        <v>2746.7999999999997</v>
      </c>
      <c r="AV97">
        <v>2.007194573949409</v>
      </c>
      <c r="AW97">
        <v>787.62315081774807</v>
      </c>
      <c r="AX97">
        <v>6.151064813622928</v>
      </c>
      <c r="AY97">
        <v>2413.6778328656369</v>
      </c>
      <c r="AZ97">
        <v>8.442439101108338</v>
      </c>
      <c r="BA97">
        <v>3312.8131032749116</v>
      </c>
      <c r="BB97">
        <v>0.5744363404890177</v>
      </c>
      <c r="BC97">
        <v>225.40882000789054</v>
      </c>
      <c r="BD97">
        <v>14</v>
      </c>
      <c r="BE97">
        <v>5493.5999999999995</v>
      </c>
      <c r="BF97">
        <v>8.9510115142044899</v>
      </c>
      <c r="BG97">
        <v>3512.3769181738417</v>
      </c>
      <c r="BH97">
        <v>9.7705789109168464</v>
      </c>
      <c r="BI97">
        <v>3833.9751646437703</v>
      </c>
      <c r="BJ97">
        <v>0.82364741617855819</v>
      </c>
      <c r="BK97">
        <v>323.19924610846624</v>
      </c>
      <c r="BL97">
        <v>11</v>
      </c>
      <c r="BM97">
        <v>4316.3999999999996</v>
      </c>
      <c r="BN97">
        <v>6.2621284218020188</v>
      </c>
      <c r="BO97">
        <v>2457.259192715112</v>
      </c>
      <c r="BP97">
        <v>12</v>
      </c>
      <c r="BQ97">
        <v>4708.7999999999993</v>
      </c>
      <c r="BR97">
        <v>10</v>
      </c>
      <c r="BS97">
        <v>3924</v>
      </c>
      <c r="BT97">
        <v>12.48033634082492</v>
      </c>
      <c r="BU97">
        <v>4897.2839801396985</v>
      </c>
      <c r="BV97">
        <v>0.64699672034026223</v>
      </c>
      <c r="BW97">
        <v>253.88151306151889</v>
      </c>
      <c r="BX97">
        <v>7.7424378691068947</v>
      </c>
      <c r="BY97">
        <v>3038.1326198375455</v>
      </c>
      <c r="BZ97">
        <v>9</v>
      </c>
      <c r="CA97">
        <v>3531.6</v>
      </c>
      <c r="CB97">
        <v>12</v>
      </c>
      <c r="CC97">
        <v>4708.7999999999993</v>
      </c>
      <c r="CD97">
        <v>4.0135479264049394</v>
      </c>
      <c r="CE97">
        <v>1574.9162063212982</v>
      </c>
      <c r="CF97">
        <v>3.1489962153004441E-16</v>
      </c>
      <c r="CG97">
        <v>1.2356661148838942E-13</v>
      </c>
      <c r="CH97">
        <v>13</v>
      </c>
      <c r="CI97">
        <v>5101.2</v>
      </c>
      <c r="CJ97">
        <v>7</v>
      </c>
      <c r="CK97">
        <v>2746.7999999999997</v>
      </c>
      <c r="CL97">
        <v>11</v>
      </c>
      <c r="CM97">
        <v>4316.3999999999996</v>
      </c>
      <c r="CN97">
        <v>6.3181628195533159</v>
      </c>
      <c r="CO97">
        <v>2479.247090392721</v>
      </c>
      <c r="CP97">
        <v>6.2342288737953195</v>
      </c>
      <c r="CQ97">
        <v>2446.3114100772832</v>
      </c>
      <c r="CR97">
        <v>7.1330793331123683</v>
      </c>
      <c r="CS97">
        <v>2799.020330313293</v>
      </c>
      <c r="CT97">
        <v>3.3363043773240952</v>
      </c>
      <c r="CU97">
        <v>1309.1658376619748</v>
      </c>
    </row>
    <row r="98" spans="2:99">
      <c r="C98" s="99" t="s">
        <v>264</v>
      </c>
      <c r="D98">
        <v>9</v>
      </c>
      <c r="E98">
        <v>4730.4000000000005</v>
      </c>
      <c r="F98">
        <v>9.7503751968210022</v>
      </c>
      <c r="G98">
        <v>5124.7972034491186</v>
      </c>
      <c r="H98">
        <v>8.2051516115801455</v>
      </c>
      <c r="I98">
        <v>4312.6276870465244</v>
      </c>
      <c r="J98">
        <v>10.522161904064296</v>
      </c>
      <c r="K98">
        <v>5530.4482967761942</v>
      </c>
      <c r="L98">
        <v>9.1078530204075161</v>
      </c>
      <c r="M98">
        <v>4787.087547526191</v>
      </c>
      <c r="N98">
        <v>8.353437484078583</v>
      </c>
      <c r="O98">
        <v>4390.5667416317037</v>
      </c>
      <c r="P98">
        <v>8.2392788018838043</v>
      </c>
      <c r="Q98">
        <v>4330.5649382701276</v>
      </c>
      <c r="R98">
        <v>9.6296570997016993</v>
      </c>
      <c r="S98">
        <v>5061.347771603213</v>
      </c>
      <c r="T98">
        <v>8.6558715502936607</v>
      </c>
      <c r="U98">
        <v>4549.5260868343485</v>
      </c>
      <c r="V98">
        <v>8.647039028303567</v>
      </c>
      <c r="W98">
        <v>4544.8837132763547</v>
      </c>
      <c r="X98">
        <v>0.71888524482251348</v>
      </c>
      <c r="Y98">
        <v>377.84608467871311</v>
      </c>
      <c r="Z98">
        <v>9</v>
      </c>
      <c r="AA98">
        <v>4730.4000000000005</v>
      </c>
      <c r="AB98">
        <v>7.480856028570237</v>
      </c>
      <c r="AC98">
        <v>3931.9379286165167</v>
      </c>
      <c r="AD98">
        <v>8</v>
      </c>
      <c r="AE98">
        <v>4204.8</v>
      </c>
      <c r="AF98">
        <v>8.336377614738085</v>
      </c>
      <c r="AG98">
        <v>4381.6000743063378</v>
      </c>
      <c r="AH98">
        <v>13</v>
      </c>
      <c r="AI98">
        <v>6832.8</v>
      </c>
      <c r="AJ98">
        <v>9</v>
      </c>
      <c r="AK98">
        <v>4730.4000000000005</v>
      </c>
      <c r="AL98">
        <v>11</v>
      </c>
      <c r="AM98">
        <v>5781.6</v>
      </c>
      <c r="AN98">
        <v>1.6322575676916022</v>
      </c>
      <c r="AO98">
        <v>857.91457757870614</v>
      </c>
      <c r="AP98">
        <v>7</v>
      </c>
      <c r="AQ98">
        <v>3679.2000000000003</v>
      </c>
      <c r="AR98">
        <v>10</v>
      </c>
      <c r="AS98">
        <v>5256</v>
      </c>
      <c r="AT98">
        <v>7</v>
      </c>
      <c r="AU98">
        <v>3679.2000000000003</v>
      </c>
      <c r="AV98">
        <v>1.7204524919566364</v>
      </c>
      <c r="AW98">
        <v>904.26982977240812</v>
      </c>
      <c r="AX98">
        <v>6.7102525239522848</v>
      </c>
      <c r="AY98">
        <v>3526.9087265893208</v>
      </c>
      <c r="AZ98">
        <v>8.442439101108338</v>
      </c>
      <c r="BA98">
        <v>4437.3459915425428</v>
      </c>
      <c r="BB98">
        <v>0.70208886059768838</v>
      </c>
      <c r="BC98">
        <v>369.01790513014504</v>
      </c>
      <c r="BD98">
        <v>14</v>
      </c>
      <c r="BE98">
        <v>7358.4000000000005</v>
      </c>
      <c r="BF98">
        <v>9.6969291403881979</v>
      </c>
      <c r="BG98">
        <v>5096.7059561880369</v>
      </c>
      <c r="BH98">
        <v>9.7705789109168464</v>
      </c>
      <c r="BI98">
        <v>5135.4162755778943</v>
      </c>
      <c r="BJ98">
        <v>0.75501013149701179</v>
      </c>
      <c r="BK98">
        <v>396.83332511482939</v>
      </c>
      <c r="BL98">
        <v>12</v>
      </c>
      <c r="BM98">
        <v>6307.2000000000007</v>
      </c>
      <c r="BN98">
        <v>6.2621284218020188</v>
      </c>
      <c r="BO98">
        <v>3291.3746984991412</v>
      </c>
      <c r="BP98">
        <v>12</v>
      </c>
      <c r="BQ98">
        <v>6307.2000000000007</v>
      </c>
      <c r="BR98">
        <v>9</v>
      </c>
      <c r="BS98">
        <v>4730.4000000000005</v>
      </c>
      <c r="BT98">
        <v>12.48033634082492</v>
      </c>
      <c r="BU98">
        <v>6559.6647807375784</v>
      </c>
      <c r="BV98">
        <v>0.57510819585801087</v>
      </c>
      <c r="BW98">
        <v>302.27686774297052</v>
      </c>
      <c r="BX98">
        <v>8.5166816560175835</v>
      </c>
      <c r="BY98">
        <v>4476.3678784028425</v>
      </c>
      <c r="BZ98">
        <v>8</v>
      </c>
      <c r="CA98">
        <v>4204.8</v>
      </c>
      <c r="CB98">
        <v>12</v>
      </c>
      <c r="CC98">
        <v>6307.2000000000007</v>
      </c>
      <c r="CD98">
        <v>3.2108383411239512</v>
      </c>
      <c r="CE98">
        <v>1687.6166320947489</v>
      </c>
      <c r="CF98">
        <v>3.633457171500512E-16</v>
      </c>
      <c r="CG98">
        <v>1.9097450893406691E-13</v>
      </c>
      <c r="CH98">
        <v>13</v>
      </c>
      <c r="CI98">
        <v>6832.8</v>
      </c>
      <c r="CJ98">
        <v>8</v>
      </c>
      <c r="CK98">
        <v>4204.8</v>
      </c>
      <c r="CL98">
        <v>10</v>
      </c>
      <c r="CM98">
        <v>5256</v>
      </c>
      <c r="CN98">
        <v>7.2207575080609336</v>
      </c>
      <c r="CO98">
        <v>3795.2301462368268</v>
      </c>
      <c r="CP98">
        <v>7.1248329986232219</v>
      </c>
      <c r="CQ98">
        <v>3744.8122240763655</v>
      </c>
      <c r="CR98">
        <v>7.846387266423605</v>
      </c>
      <c r="CS98">
        <v>4124.0611472322471</v>
      </c>
      <c r="CT98">
        <v>3.0330039793855414</v>
      </c>
      <c r="CU98">
        <v>1594.1468915650407</v>
      </c>
    </row>
    <row r="99" spans="2:99">
      <c r="C99" s="99" t="s">
        <v>265</v>
      </c>
      <c r="D99">
        <v>7</v>
      </c>
      <c r="E99">
        <v>29458.799999999996</v>
      </c>
      <c r="F99">
        <v>7.9775797064899097</v>
      </c>
      <c r="G99">
        <v>33572.846436792133</v>
      </c>
      <c r="H99">
        <v>8.2051516115801455</v>
      </c>
      <c r="I99">
        <v>34530.560042173878</v>
      </c>
      <c r="J99">
        <v>7.5158299314744976</v>
      </c>
      <c r="K99">
        <v>31629.618683617275</v>
      </c>
      <c r="L99">
        <v>7.589877517006264</v>
      </c>
      <c r="M99">
        <v>31941.240542569158</v>
      </c>
      <c r="N99">
        <v>6.4971180431722306</v>
      </c>
      <c r="O99">
        <v>27342.471572886014</v>
      </c>
      <c r="P99">
        <v>7.4153509216954241</v>
      </c>
      <c r="Q99">
        <v>31206.762818863019</v>
      </c>
      <c r="R99">
        <v>7.8788103543013905</v>
      </c>
      <c r="S99">
        <v>33157.185495041966</v>
      </c>
      <c r="T99">
        <v>7.7902843952642939</v>
      </c>
      <c r="U99">
        <v>32784.632849030255</v>
      </c>
      <c r="V99">
        <v>8.647039028303567</v>
      </c>
      <c r="W99">
        <v>36390.199046712725</v>
      </c>
      <c r="X99">
        <v>0.57510819585801087</v>
      </c>
      <c r="Y99">
        <v>2420.285331448853</v>
      </c>
      <c r="Z99">
        <v>7</v>
      </c>
      <c r="AA99">
        <v>29458.799999999996</v>
      </c>
      <c r="AB99">
        <v>5.6106420214276778</v>
      </c>
      <c r="AC99">
        <v>23611.825882976238</v>
      </c>
      <c r="AD99">
        <v>7</v>
      </c>
      <c r="AE99">
        <v>29458.799999999996</v>
      </c>
      <c r="AF99">
        <v>6.8206725938766146</v>
      </c>
      <c r="AG99">
        <v>28704.118544070341</v>
      </c>
      <c r="AH99">
        <v>10</v>
      </c>
      <c r="AI99">
        <v>42084</v>
      </c>
      <c r="AJ99">
        <v>8</v>
      </c>
      <c r="AK99">
        <v>33667.199999999997</v>
      </c>
      <c r="AL99">
        <v>10</v>
      </c>
      <c r="AM99">
        <v>42084</v>
      </c>
      <c r="AN99">
        <v>1.3058060541532819</v>
      </c>
      <c r="AO99">
        <v>5495.3541982986708</v>
      </c>
      <c r="AP99">
        <v>6</v>
      </c>
      <c r="AQ99">
        <v>25250.399999999998</v>
      </c>
      <c r="AR99">
        <v>9</v>
      </c>
      <c r="AS99">
        <v>37875.599999999999</v>
      </c>
      <c r="AT99">
        <v>6</v>
      </c>
      <c r="AU99">
        <v>25250.399999999998</v>
      </c>
      <c r="AV99">
        <v>1.4337104099638638</v>
      </c>
      <c r="AW99">
        <v>6033.6268892919243</v>
      </c>
      <c r="AX99">
        <v>5.0326893929642136</v>
      </c>
      <c r="AY99">
        <v>21179.570041350595</v>
      </c>
      <c r="AZ99">
        <v>7.0353659175902825</v>
      </c>
      <c r="BA99">
        <v>29607.633927586943</v>
      </c>
      <c r="BB99">
        <v>0.51061008043468237</v>
      </c>
      <c r="BC99">
        <v>2148.8514625013172</v>
      </c>
      <c r="BD99">
        <v>10</v>
      </c>
      <c r="BE99">
        <v>42084</v>
      </c>
      <c r="BF99">
        <v>8.9510115142044899</v>
      </c>
      <c r="BG99">
        <v>37669.436856378175</v>
      </c>
      <c r="BH99">
        <v>7.5158299314744976</v>
      </c>
      <c r="BI99">
        <v>31629.618683617275</v>
      </c>
      <c r="BJ99">
        <v>0.68637284681546518</v>
      </c>
      <c r="BK99">
        <v>2888.5314885382036</v>
      </c>
      <c r="BL99">
        <v>11</v>
      </c>
      <c r="BM99">
        <v>46292.399999999994</v>
      </c>
      <c r="BN99">
        <v>5.6928440198200168</v>
      </c>
      <c r="BO99">
        <v>23957.764773010556</v>
      </c>
      <c r="BP99">
        <v>9</v>
      </c>
      <c r="BQ99">
        <v>37875.599999999999</v>
      </c>
      <c r="BR99">
        <v>8</v>
      </c>
      <c r="BS99">
        <v>33667.199999999997</v>
      </c>
      <c r="BT99">
        <v>8.914525957732085</v>
      </c>
      <c r="BU99">
        <v>37515.891040519702</v>
      </c>
      <c r="BV99">
        <v>0.5032196713757594</v>
      </c>
      <c r="BW99">
        <v>2117.7496650177459</v>
      </c>
      <c r="BX99">
        <v>6.968194082196205</v>
      </c>
      <c r="BY99">
        <v>29324.947975514508</v>
      </c>
      <c r="BZ99">
        <v>7</v>
      </c>
      <c r="CA99">
        <v>29458.799999999996</v>
      </c>
      <c r="CB99">
        <v>10</v>
      </c>
      <c r="CC99">
        <v>42084</v>
      </c>
      <c r="CD99">
        <v>2.8094835484834575</v>
      </c>
      <c r="CE99">
        <v>11823.430565437782</v>
      </c>
      <c r="CF99">
        <v>2.9067657372004098E-16</v>
      </c>
      <c r="CG99">
        <v>1.2232832928434204E-12</v>
      </c>
      <c r="CH99">
        <v>9</v>
      </c>
      <c r="CI99">
        <v>37875.599999999999</v>
      </c>
      <c r="CJ99">
        <v>6</v>
      </c>
      <c r="CK99">
        <v>25250.399999999998</v>
      </c>
      <c r="CL99">
        <v>8</v>
      </c>
      <c r="CM99">
        <v>33667.199999999997</v>
      </c>
      <c r="CN99">
        <v>6.3181628195533159</v>
      </c>
      <c r="CO99">
        <v>26589.356409808173</v>
      </c>
      <c r="CP99">
        <v>5.3436247489674162</v>
      </c>
      <c r="CQ99">
        <v>22488.110393554474</v>
      </c>
      <c r="CR99">
        <v>5.7064634664898941</v>
      </c>
      <c r="CS99">
        <v>24015.080852376068</v>
      </c>
      <c r="CT99">
        <v>2.426403183508433</v>
      </c>
      <c r="CU99">
        <v>10211.275157476888</v>
      </c>
    </row>
    <row r="100" spans="2:99">
      <c r="C100" s="99" t="s">
        <v>266</v>
      </c>
      <c r="D100">
        <v>7</v>
      </c>
      <c r="E100">
        <v>2268</v>
      </c>
      <c r="F100">
        <v>10.636772941986546</v>
      </c>
      <c r="G100">
        <v>3446.3144332036409</v>
      </c>
      <c r="H100">
        <v>8.2051516115801455</v>
      </c>
      <c r="I100">
        <v>2658.469122151967</v>
      </c>
      <c r="J100">
        <v>10.522161904064296</v>
      </c>
      <c r="K100">
        <v>3409.1804569168321</v>
      </c>
      <c r="L100">
        <v>9.8668407721081444</v>
      </c>
      <c r="M100">
        <v>3196.8564101630386</v>
      </c>
      <c r="N100">
        <v>7.4252777636254068</v>
      </c>
      <c r="O100">
        <v>2405.7899954146319</v>
      </c>
      <c r="P100">
        <v>8.2392788018838043</v>
      </c>
      <c r="Q100">
        <v>2669.5263318103525</v>
      </c>
      <c r="R100">
        <v>9.6296570997016993</v>
      </c>
      <c r="S100">
        <v>3120.0089003033504</v>
      </c>
      <c r="T100">
        <v>8.6558715502936607</v>
      </c>
      <c r="U100">
        <v>2804.5023822951462</v>
      </c>
      <c r="V100">
        <v>9.4331334854220721</v>
      </c>
      <c r="W100">
        <v>3056.3352492767513</v>
      </c>
      <c r="X100">
        <v>0.71888524482251348</v>
      </c>
      <c r="Y100">
        <v>232.91881932249436</v>
      </c>
      <c r="Z100">
        <v>9</v>
      </c>
      <c r="AA100">
        <v>2916</v>
      </c>
      <c r="AB100">
        <v>7.480856028570237</v>
      </c>
      <c r="AC100">
        <v>2423.7973532567567</v>
      </c>
      <c r="AD100">
        <v>8</v>
      </c>
      <c r="AE100">
        <v>2592</v>
      </c>
      <c r="AF100">
        <v>8.336377614738085</v>
      </c>
      <c r="AG100">
        <v>2700.9863471751396</v>
      </c>
      <c r="AH100">
        <v>11</v>
      </c>
      <c r="AI100">
        <v>3564</v>
      </c>
      <c r="AJ100">
        <v>10</v>
      </c>
      <c r="AK100">
        <v>3240</v>
      </c>
      <c r="AL100">
        <v>12</v>
      </c>
      <c r="AM100">
        <v>3888</v>
      </c>
      <c r="AN100">
        <v>1.6322575676916022</v>
      </c>
      <c r="AO100">
        <v>528.85145193207916</v>
      </c>
      <c r="AP100">
        <v>7</v>
      </c>
      <c r="AQ100">
        <v>2268</v>
      </c>
      <c r="AR100">
        <v>12</v>
      </c>
      <c r="AS100">
        <v>3888</v>
      </c>
      <c r="AT100">
        <v>8</v>
      </c>
      <c r="AU100">
        <v>2592</v>
      </c>
      <c r="AV100">
        <v>1.7204524919566364</v>
      </c>
      <c r="AW100">
        <v>557.42660739395023</v>
      </c>
      <c r="AX100">
        <v>6.151064813622928</v>
      </c>
      <c r="AY100">
        <v>1992.9449996138287</v>
      </c>
      <c r="AZ100">
        <v>8.442439101108338</v>
      </c>
      <c r="BA100">
        <v>2735.3502687591017</v>
      </c>
      <c r="BB100">
        <v>0.63826260054335304</v>
      </c>
      <c r="BC100">
        <v>206.79708257604639</v>
      </c>
      <c r="BD100">
        <v>14</v>
      </c>
      <c r="BE100">
        <v>4536</v>
      </c>
      <c r="BF100">
        <v>9.6969291403881979</v>
      </c>
      <c r="BG100">
        <v>3141.8050414857762</v>
      </c>
      <c r="BH100">
        <v>9.0189959177693968</v>
      </c>
      <c r="BI100">
        <v>2922.1546773572845</v>
      </c>
      <c r="BJ100">
        <v>0.82364741617855819</v>
      </c>
      <c r="BK100">
        <v>266.86176284185285</v>
      </c>
      <c r="BL100">
        <v>11</v>
      </c>
      <c r="BM100">
        <v>3564</v>
      </c>
      <c r="BN100">
        <v>6.8314128237840208</v>
      </c>
      <c r="BO100">
        <v>2213.3777549060228</v>
      </c>
      <c r="BP100">
        <v>13</v>
      </c>
      <c r="BQ100">
        <v>4212</v>
      </c>
      <c r="BR100">
        <v>10</v>
      </c>
      <c r="BS100">
        <v>3240</v>
      </c>
      <c r="BT100">
        <v>11.58888374505171</v>
      </c>
      <c r="BU100">
        <v>3754.7983333967541</v>
      </c>
      <c r="BV100">
        <v>0.64699672034026223</v>
      </c>
      <c r="BW100">
        <v>209.62693739024496</v>
      </c>
      <c r="BX100">
        <v>8.5166816560175835</v>
      </c>
      <c r="BY100">
        <v>2759.4048565496969</v>
      </c>
      <c r="BZ100">
        <v>8</v>
      </c>
      <c r="CA100">
        <v>2592</v>
      </c>
      <c r="CB100">
        <v>11</v>
      </c>
      <c r="CC100">
        <v>3564</v>
      </c>
      <c r="CD100">
        <v>3.6121931337644448</v>
      </c>
      <c r="CE100">
        <v>1170.3505753396801</v>
      </c>
      <c r="CF100">
        <v>3.1489962153004441E-16</v>
      </c>
      <c r="CG100">
        <v>1.0202747737573439E-13</v>
      </c>
      <c r="CH100">
        <v>11</v>
      </c>
      <c r="CI100">
        <v>3564</v>
      </c>
      <c r="CJ100">
        <v>8</v>
      </c>
      <c r="CK100">
        <v>2592</v>
      </c>
      <c r="CL100">
        <v>12</v>
      </c>
      <c r="CM100">
        <v>3888</v>
      </c>
      <c r="CN100">
        <v>7.2207575080609336</v>
      </c>
      <c r="CO100">
        <v>2339.5254326117424</v>
      </c>
      <c r="CP100">
        <v>7.1248329986232219</v>
      </c>
      <c r="CQ100">
        <v>2308.445891553924</v>
      </c>
      <c r="CR100">
        <v>6.4197713998011317</v>
      </c>
      <c r="CS100">
        <v>2080.0059335355668</v>
      </c>
      <c r="CT100">
        <v>3.3363043773240952</v>
      </c>
      <c r="CU100">
        <v>1080.9626182530069</v>
      </c>
    </row>
    <row r="101" spans="2:99">
      <c r="C101" s="99" t="s">
        <v>267</v>
      </c>
      <c r="D101">
        <v>8</v>
      </c>
      <c r="E101">
        <v>5788.8</v>
      </c>
      <c r="F101">
        <v>10.636772941986546</v>
      </c>
      <c r="G101">
        <v>7696.7689008214647</v>
      </c>
      <c r="H101">
        <v>9.1168351239779373</v>
      </c>
      <c r="I101">
        <v>6596.9418957104353</v>
      </c>
      <c r="J101">
        <v>9.0189959177693968</v>
      </c>
      <c r="K101">
        <v>6526.1454460979357</v>
      </c>
      <c r="L101">
        <v>9.8668407721081444</v>
      </c>
      <c r="M101">
        <v>7139.6459826974533</v>
      </c>
      <c r="N101">
        <v>8.353437484078583</v>
      </c>
      <c r="O101">
        <v>6044.5473634792625</v>
      </c>
      <c r="P101">
        <v>7.4153509216954241</v>
      </c>
      <c r="Q101">
        <v>5365.7479269388086</v>
      </c>
      <c r="R101">
        <v>9.6296570997016993</v>
      </c>
      <c r="S101">
        <v>6968.0198773441498</v>
      </c>
      <c r="T101">
        <v>9.5214587053230257</v>
      </c>
      <c r="U101">
        <v>6889.7275191717417</v>
      </c>
      <c r="V101">
        <v>10.219227942540579</v>
      </c>
      <c r="W101">
        <v>7394.6333392223632</v>
      </c>
      <c r="X101">
        <v>0.64699672034026223</v>
      </c>
      <c r="Y101">
        <v>468.16682683821375</v>
      </c>
      <c r="Z101">
        <v>9</v>
      </c>
      <c r="AA101">
        <v>6512.4000000000005</v>
      </c>
      <c r="AB101">
        <v>7.480856028570237</v>
      </c>
      <c r="AC101">
        <v>5413.1474222734241</v>
      </c>
      <c r="AD101">
        <v>8</v>
      </c>
      <c r="AE101">
        <v>5788.8</v>
      </c>
      <c r="AF101">
        <v>9.0942301251688189</v>
      </c>
      <c r="AG101">
        <v>6580.5849185721572</v>
      </c>
      <c r="AH101">
        <v>12</v>
      </c>
      <c r="AI101">
        <v>8683.2000000000007</v>
      </c>
      <c r="AJ101">
        <v>9</v>
      </c>
      <c r="AK101">
        <v>6512.4000000000005</v>
      </c>
      <c r="AL101">
        <v>11</v>
      </c>
      <c r="AM101">
        <v>7959.6</v>
      </c>
      <c r="AN101">
        <v>1.6322575676916022</v>
      </c>
      <c r="AO101">
        <v>1181.1015759816435</v>
      </c>
      <c r="AP101">
        <v>6</v>
      </c>
      <c r="AQ101">
        <v>4341.6000000000004</v>
      </c>
      <c r="AR101">
        <v>11</v>
      </c>
      <c r="AS101">
        <v>7959.6</v>
      </c>
      <c r="AT101">
        <v>7</v>
      </c>
      <c r="AU101">
        <v>5065.2</v>
      </c>
      <c r="AV101">
        <v>2.007194573949409</v>
      </c>
      <c r="AW101">
        <v>1452.4059937097925</v>
      </c>
      <c r="AX101">
        <v>5.5918771032935712</v>
      </c>
      <c r="AY101">
        <v>4046.2822719432284</v>
      </c>
      <c r="AZ101">
        <v>8.442439101108338</v>
      </c>
      <c r="BA101">
        <v>6108.9489335619937</v>
      </c>
      <c r="BB101">
        <v>0.70208886059768838</v>
      </c>
      <c r="BC101">
        <v>508.0314995284873</v>
      </c>
      <c r="BD101">
        <v>13</v>
      </c>
      <c r="BE101">
        <v>9406.8000000000011</v>
      </c>
      <c r="BF101">
        <v>8.9510115142044899</v>
      </c>
      <c r="BG101">
        <v>6476.951931678369</v>
      </c>
      <c r="BH101">
        <v>9.7705789109168464</v>
      </c>
      <c r="BI101">
        <v>7069.9908999394302</v>
      </c>
      <c r="BJ101">
        <v>0.75501013149701179</v>
      </c>
      <c r="BK101">
        <v>546.32533115123772</v>
      </c>
      <c r="BL101">
        <v>12</v>
      </c>
      <c r="BM101">
        <v>8683.2000000000007</v>
      </c>
      <c r="BN101">
        <v>6.8314128237840208</v>
      </c>
      <c r="BO101">
        <v>4943.2103192901177</v>
      </c>
      <c r="BP101">
        <v>11</v>
      </c>
      <c r="BQ101">
        <v>7959.6</v>
      </c>
      <c r="BR101">
        <v>10</v>
      </c>
      <c r="BS101">
        <v>7236</v>
      </c>
      <c r="BT101">
        <v>11.58888374505171</v>
      </c>
      <c r="BU101">
        <v>8385.7162779194168</v>
      </c>
      <c r="BV101">
        <v>0.64699672034026223</v>
      </c>
      <c r="BW101">
        <v>468.16682683821375</v>
      </c>
      <c r="BX101">
        <v>8.5166816560175835</v>
      </c>
      <c r="BY101">
        <v>6162.6708462943234</v>
      </c>
      <c r="BZ101">
        <v>8</v>
      </c>
      <c r="CA101">
        <v>5788.8</v>
      </c>
      <c r="CB101">
        <v>11</v>
      </c>
      <c r="CC101">
        <v>7959.6</v>
      </c>
      <c r="CD101">
        <v>3.6121931337644448</v>
      </c>
      <c r="CE101">
        <v>2613.7829515919525</v>
      </c>
      <c r="CF101">
        <v>3.3912266934004778E-16</v>
      </c>
      <c r="CG101">
        <v>2.4538916353445857E-13</v>
      </c>
      <c r="CH101">
        <v>12</v>
      </c>
      <c r="CI101">
        <v>8683.2000000000007</v>
      </c>
      <c r="CJ101">
        <v>8</v>
      </c>
      <c r="CK101">
        <v>5788.8</v>
      </c>
      <c r="CL101">
        <v>11</v>
      </c>
      <c r="CM101">
        <v>7959.6</v>
      </c>
      <c r="CN101">
        <v>8.1233521965685505</v>
      </c>
      <c r="CO101">
        <v>5878.0576494370034</v>
      </c>
      <c r="CP101">
        <v>7.1248329986232219</v>
      </c>
      <c r="CQ101">
        <v>5155.5291578037632</v>
      </c>
      <c r="CR101">
        <v>7.1330793331123683</v>
      </c>
      <c r="CS101">
        <v>5161.4962054401103</v>
      </c>
      <c r="CT101">
        <v>3.0330039793855414</v>
      </c>
      <c r="CU101">
        <v>2194.681679483378</v>
      </c>
    </row>
    <row r="102" spans="2:99">
      <c r="C102" s="99" t="s">
        <v>268</v>
      </c>
      <c r="D102">
        <v>9</v>
      </c>
      <c r="E102">
        <v>4784.4000000000005</v>
      </c>
      <c r="F102">
        <v>10.636772941986546</v>
      </c>
      <c r="G102">
        <v>5654.5084959600481</v>
      </c>
      <c r="H102">
        <v>8.2051516115801455</v>
      </c>
      <c r="I102">
        <v>4361.8585967160052</v>
      </c>
      <c r="J102">
        <v>10.522161904064296</v>
      </c>
      <c r="K102">
        <v>5593.5812682005799</v>
      </c>
      <c r="L102">
        <v>9.8668407721081444</v>
      </c>
      <c r="M102">
        <v>5245.2125544526898</v>
      </c>
      <c r="N102">
        <v>8.353437484078583</v>
      </c>
      <c r="O102">
        <v>4440.6873665361745</v>
      </c>
      <c r="P102">
        <v>9.0632066820721864</v>
      </c>
      <c r="Q102">
        <v>4818.0006721895743</v>
      </c>
      <c r="R102">
        <v>9.6296570997016993</v>
      </c>
      <c r="S102">
        <v>5119.1257142014238</v>
      </c>
      <c r="T102">
        <v>10.387045860352393</v>
      </c>
      <c r="U102">
        <v>5521.7535793633324</v>
      </c>
      <c r="V102">
        <v>9.4331334854220721</v>
      </c>
      <c r="W102">
        <v>5014.6537608503741</v>
      </c>
      <c r="X102">
        <v>0.71888524482251348</v>
      </c>
      <c r="Y102">
        <v>382.15939614764818</v>
      </c>
      <c r="Z102">
        <v>8</v>
      </c>
      <c r="AA102">
        <v>4252.8</v>
      </c>
      <c r="AB102">
        <v>6.8574513595227176</v>
      </c>
      <c r="AC102">
        <v>3645.4211427222767</v>
      </c>
      <c r="AD102">
        <v>8</v>
      </c>
      <c r="AE102">
        <v>4252.8</v>
      </c>
      <c r="AF102">
        <v>7.5785251043073494</v>
      </c>
      <c r="AG102">
        <v>4028.7439454497871</v>
      </c>
      <c r="AH102">
        <v>13</v>
      </c>
      <c r="AI102">
        <v>6910.8</v>
      </c>
      <c r="AJ102">
        <v>10</v>
      </c>
      <c r="AK102">
        <v>5316</v>
      </c>
      <c r="AL102">
        <v>12</v>
      </c>
      <c r="AM102">
        <v>6379.2000000000007</v>
      </c>
      <c r="AN102">
        <v>1.6322575676916022</v>
      </c>
      <c r="AO102">
        <v>867.70812298485578</v>
      </c>
      <c r="AP102">
        <v>6</v>
      </c>
      <c r="AQ102">
        <v>3189.6000000000004</v>
      </c>
      <c r="AR102">
        <v>11</v>
      </c>
      <c r="AS102">
        <v>5847.6</v>
      </c>
      <c r="AT102">
        <v>7</v>
      </c>
      <c r="AU102">
        <v>3721.2000000000003</v>
      </c>
      <c r="AV102">
        <v>2.007194573949409</v>
      </c>
      <c r="AW102">
        <v>1067.0246355115059</v>
      </c>
      <c r="AX102">
        <v>6.7102525239522848</v>
      </c>
      <c r="AY102">
        <v>3567.1702417330348</v>
      </c>
      <c r="AZ102">
        <v>9.145975692867367</v>
      </c>
      <c r="BA102">
        <v>4862.0006783282925</v>
      </c>
      <c r="BB102">
        <v>0.63826260054335304</v>
      </c>
      <c r="BC102">
        <v>339.30039844884647</v>
      </c>
      <c r="BD102">
        <v>13</v>
      </c>
      <c r="BE102">
        <v>6910.8</v>
      </c>
      <c r="BF102">
        <v>8.9510115142044899</v>
      </c>
      <c r="BG102">
        <v>4758.3577209511068</v>
      </c>
      <c r="BH102">
        <v>8.2674129246219472</v>
      </c>
      <c r="BI102">
        <v>4394.9567107290277</v>
      </c>
      <c r="BJ102">
        <v>0.82364741617855819</v>
      </c>
      <c r="BK102">
        <v>437.85096644052157</v>
      </c>
      <c r="BL102">
        <v>13</v>
      </c>
      <c r="BM102">
        <v>6910.8</v>
      </c>
      <c r="BN102">
        <v>6.8314128237840208</v>
      </c>
      <c r="BO102">
        <v>3631.5790571235857</v>
      </c>
      <c r="BP102">
        <v>11</v>
      </c>
      <c r="BQ102">
        <v>5847.6</v>
      </c>
      <c r="BR102">
        <v>10</v>
      </c>
      <c r="BS102">
        <v>5316</v>
      </c>
      <c r="BT102">
        <v>11.58888374505171</v>
      </c>
      <c r="BU102">
        <v>6160.6505988694889</v>
      </c>
      <c r="BV102">
        <v>0.64699672034026223</v>
      </c>
      <c r="BW102">
        <v>343.94345653288343</v>
      </c>
      <c r="BX102">
        <v>9.2909254429282715</v>
      </c>
      <c r="BY102">
        <v>4939.0559654606695</v>
      </c>
      <c r="BZ102">
        <v>8</v>
      </c>
      <c r="CA102">
        <v>4252.8</v>
      </c>
      <c r="CB102">
        <v>12</v>
      </c>
      <c r="CC102">
        <v>6379.2000000000007</v>
      </c>
      <c r="CD102">
        <v>3.2108383411239512</v>
      </c>
      <c r="CE102">
        <v>1706.8816621414926</v>
      </c>
      <c r="CF102">
        <v>3.3912266934004778E-16</v>
      </c>
      <c r="CG102">
        <v>1.8027761102116941E-13</v>
      </c>
      <c r="CH102">
        <v>11</v>
      </c>
      <c r="CI102">
        <v>5847.6</v>
      </c>
      <c r="CJ102">
        <v>8</v>
      </c>
      <c r="CK102">
        <v>4252.8</v>
      </c>
      <c r="CL102">
        <v>10</v>
      </c>
      <c r="CM102">
        <v>5316</v>
      </c>
      <c r="CN102">
        <v>8.1233521965685505</v>
      </c>
      <c r="CO102">
        <v>4318.3740276958415</v>
      </c>
      <c r="CP102">
        <v>7.1248329986232219</v>
      </c>
      <c r="CQ102">
        <v>3787.5612220681051</v>
      </c>
      <c r="CR102">
        <v>7.1330793331123683</v>
      </c>
      <c r="CS102">
        <v>3791.9449734825353</v>
      </c>
      <c r="CT102">
        <v>3.0330039793855414</v>
      </c>
      <c r="CU102">
        <v>1612.3449154413538</v>
      </c>
    </row>
    <row r="103" spans="2:99">
      <c r="C103" s="99" t="s">
        <v>269</v>
      </c>
      <c r="D103">
        <v>8</v>
      </c>
      <c r="E103">
        <v>4713.5999999999995</v>
      </c>
      <c r="F103">
        <v>10.636772941986546</v>
      </c>
      <c r="G103">
        <v>6267.1866174184725</v>
      </c>
      <c r="H103">
        <v>9.1168351239779373</v>
      </c>
      <c r="I103">
        <v>5371.6392550478004</v>
      </c>
      <c r="J103">
        <v>10.522161904064296</v>
      </c>
      <c r="K103">
        <v>6199.6577938746823</v>
      </c>
      <c r="L103">
        <v>10.625828523808769</v>
      </c>
      <c r="M103">
        <v>6260.7381662281259</v>
      </c>
      <c r="N103">
        <v>7.4252777636254068</v>
      </c>
      <c r="O103">
        <v>4374.9736583280892</v>
      </c>
      <c r="P103">
        <v>8.2392788018838043</v>
      </c>
      <c r="Q103">
        <v>4854.5830700699371</v>
      </c>
      <c r="R103">
        <v>9.6296570997016993</v>
      </c>
      <c r="S103">
        <v>5673.7939631442405</v>
      </c>
      <c r="T103">
        <v>10.387045860352393</v>
      </c>
      <c r="U103">
        <v>6120.0474209196291</v>
      </c>
      <c r="V103">
        <v>8.647039028303567</v>
      </c>
      <c r="W103">
        <v>5094.8353954764607</v>
      </c>
      <c r="X103">
        <v>0.79077376930476484</v>
      </c>
      <c r="Y103">
        <v>465.92390487436739</v>
      </c>
      <c r="Z103">
        <v>8</v>
      </c>
      <c r="AA103">
        <v>4713.5999999999995</v>
      </c>
      <c r="AB103">
        <v>7.480856028570237</v>
      </c>
      <c r="AC103">
        <v>4407.7203720335829</v>
      </c>
      <c r="AD103">
        <v>8</v>
      </c>
      <c r="AE103">
        <v>4713.5999999999995</v>
      </c>
      <c r="AF103">
        <v>8.336377614738085</v>
      </c>
      <c r="AG103">
        <v>4911.7936906036794</v>
      </c>
      <c r="AH103">
        <v>13</v>
      </c>
      <c r="AI103">
        <v>7659.5999999999995</v>
      </c>
      <c r="AJ103">
        <v>9</v>
      </c>
      <c r="AK103">
        <v>5302.7999999999993</v>
      </c>
      <c r="AL103">
        <v>11</v>
      </c>
      <c r="AM103">
        <v>6481.1999999999989</v>
      </c>
      <c r="AN103">
        <v>1.6322575676916022</v>
      </c>
      <c r="AO103">
        <v>961.72615888389191</v>
      </c>
      <c r="AP103">
        <v>7</v>
      </c>
      <c r="AQ103">
        <v>4124.3999999999996</v>
      </c>
      <c r="AR103">
        <v>12</v>
      </c>
      <c r="AS103">
        <v>7070.4</v>
      </c>
      <c r="AT103">
        <v>7</v>
      </c>
      <c r="AU103">
        <v>4124.3999999999996</v>
      </c>
      <c r="AV103">
        <v>2.007194573949409</v>
      </c>
      <c r="AW103">
        <v>1182.6390429709916</v>
      </c>
      <c r="AX103">
        <v>6.151064813622928</v>
      </c>
      <c r="AY103">
        <v>3624.2073881866286</v>
      </c>
      <c r="AZ103">
        <v>7.7389025093493107</v>
      </c>
      <c r="BA103">
        <v>4559.7613585086137</v>
      </c>
      <c r="BB103">
        <v>0.70208886059768838</v>
      </c>
      <c r="BC103">
        <v>413.67075666415792</v>
      </c>
      <c r="BD103">
        <v>12</v>
      </c>
      <c r="BE103">
        <v>7070.4</v>
      </c>
      <c r="BF103">
        <v>8.9510115142044899</v>
      </c>
      <c r="BG103">
        <v>5273.9359841692849</v>
      </c>
      <c r="BH103">
        <v>9.0189959177693968</v>
      </c>
      <c r="BI103">
        <v>5313.9923947497282</v>
      </c>
      <c r="BJ103">
        <v>0.82364741617855819</v>
      </c>
      <c r="BK103">
        <v>485.29305761240641</v>
      </c>
      <c r="BL103">
        <v>13</v>
      </c>
      <c r="BM103">
        <v>7659.5999999999995</v>
      </c>
      <c r="BN103">
        <v>6.8314128237840208</v>
      </c>
      <c r="BO103">
        <v>4025.0684357735445</v>
      </c>
      <c r="BP103">
        <v>12</v>
      </c>
      <c r="BQ103">
        <v>7070.4</v>
      </c>
      <c r="BR103">
        <v>9</v>
      </c>
      <c r="BS103">
        <v>5302.7999999999993</v>
      </c>
      <c r="BT103">
        <v>10.697431149278502</v>
      </c>
      <c r="BU103">
        <v>6302.9264331548929</v>
      </c>
      <c r="BV103">
        <v>0.57510819585801087</v>
      </c>
      <c r="BW103">
        <v>338.85374899953996</v>
      </c>
      <c r="BX103">
        <v>7.7424378691068947</v>
      </c>
      <c r="BY103">
        <v>4561.8443924777821</v>
      </c>
      <c r="BZ103">
        <v>8</v>
      </c>
      <c r="CA103">
        <v>4713.5999999999995</v>
      </c>
      <c r="CB103">
        <v>11</v>
      </c>
      <c r="CC103">
        <v>6481.1999999999989</v>
      </c>
      <c r="CD103">
        <v>3.6121931337644448</v>
      </c>
      <c r="CE103">
        <v>2128.3041944140105</v>
      </c>
      <c r="CF103">
        <v>2.9067657372004098E-16</v>
      </c>
      <c r="CG103">
        <v>1.7126663723584814E-13</v>
      </c>
      <c r="CH103">
        <v>12</v>
      </c>
      <c r="CI103">
        <v>7070.4</v>
      </c>
      <c r="CJ103">
        <v>7</v>
      </c>
      <c r="CK103">
        <v>4124.3999999999996</v>
      </c>
      <c r="CL103">
        <v>12</v>
      </c>
      <c r="CM103">
        <v>7070.4</v>
      </c>
      <c r="CN103">
        <v>7.2207575080609336</v>
      </c>
      <c r="CO103">
        <v>4254.4703237495014</v>
      </c>
      <c r="CP103">
        <v>6.2342288737953195</v>
      </c>
      <c r="CQ103">
        <v>3673.2076524402019</v>
      </c>
      <c r="CR103">
        <v>7.1330793331123683</v>
      </c>
      <c r="CS103">
        <v>4202.8103430698065</v>
      </c>
      <c r="CT103">
        <v>3.0330039793855414</v>
      </c>
      <c r="CU103">
        <v>1787.0459446539608</v>
      </c>
    </row>
    <row r="104" spans="2:99">
      <c r="C104" s="99" t="s">
        <v>270</v>
      </c>
      <c r="D104">
        <v>8</v>
      </c>
      <c r="E104">
        <v>5059.2</v>
      </c>
      <c r="F104">
        <v>9.7503751968210022</v>
      </c>
      <c r="G104">
        <v>6166.1372744696018</v>
      </c>
      <c r="H104">
        <v>9.1168351239779373</v>
      </c>
      <c r="I104">
        <v>5765.4865324036473</v>
      </c>
      <c r="J104">
        <v>10.522161904064296</v>
      </c>
      <c r="K104">
        <v>6654.2151881302607</v>
      </c>
      <c r="L104">
        <v>9.8668407721081444</v>
      </c>
      <c r="M104">
        <v>6239.79010428119</v>
      </c>
      <c r="N104">
        <v>8.353437484078583</v>
      </c>
      <c r="O104">
        <v>5282.7138649312956</v>
      </c>
      <c r="P104">
        <v>9.0632066820721864</v>
      </c>
      <c r="Q104">
        <v>5731.5719057424503</v>
      </c>
      <c r="R104">
        <v>8.7542337270015445</v>
      </c>
      <c r="S104">
        <v>5536.1774089557766</v>
      </c>
      <c r="T104">
        <v>8.6558715502936607</v>
      </c>
      <c r="U104">
        <v>5473.9731684057106</v>
      </c>
      <c r="V104">
        <v>9.4331334854220721</v>
      </c>
      <c r="W104">
        <v>5965.5136161809178</v>
      </c>
      <c r="X104">
        <v>0.79077376930476484</v>
      </c>
      <c r="Y104">
        <v>500.08533170833329</v>
      </c>
      <c r="Z104">
        <v>9</v>
      </c>
      <c r="AA104">
        <v>5691.5999999999995</v>
      </c>
      <c r="AB104">
        <v>6.8574513595227176</v>
      </c>
      <c r="AC104">
        <v>4336.6522397621666</v>
      </c>
      <c r="AD104">
        <v>9</v>
      </c>
      <c r="AE104">
        <v>5691.5999999999995</v>
      </c>
      <c r="AF104">
        <v>8.336377614738085</v>
      </c>
      <c r="AG104">
        <v>5271.9252035603649</v>
      </c>
      <c r="AH104">
        <v>13</v>
      </c>
      <c r="AI104">
        <v>8221.1999999999989</v>
      </c>
      <c r="AJ104">
        <v>9</v>
      </c>
      <c r="AK104">
        <v>5691.5999999999995</v>
      </c>
      <c r="AL104">
        <v>10</v>
      </c>
      <c r="AM104">
        <v>6324</v>
      </c>
      <c r="AN104">
        <v>1.6322575676916022</v>
      </c>
      <c r="AO104">
        <v>1032.2396858081693</v>
      </c>
      <c r="AP104">
        <v>7</v>
      </c>
      <c r="AQ104">
        <v>4426.8</v>
      </c>
      <c r="AR104">
        <v>11</v>
      </c>
      <c r="AS104">
        <v>6956.4</v>
      </c>
      <c r="AT104">
        <v>7</v>
      </c>
      <c r="AU104">
        <v>4426.8</v>
      </c>
      <c r="AV104">
        <v>2.007194573949409</v>
      </c>
      <c r="AW104">
        <v>1269.3498485656062</v>
      </c>
      <c r="AX104">
        <v>5.5918771032935712</v>
      </c>
      <c r="AY104">
        <v>3536.3030801228542</v>
      </c>
      <c r="AZ104">
        <v>8.442439101108338</v>
      </c>
      <c r="BA104">
        <v>5338.9984875409127</v>
      </c>
      <c r="BB104">
        <v>0.70208886059768838</v>
      </c>
      <c r="BC104">
        <v>444.00099544197809</v>
      </c>
      <c r="BD104">
        <v>13</v>
      </c>
      <c r="BE104">
        <v>8221.1999999999989</v>
      </c>
      <c r="BF104">
        <v>10.442846766571906</v>
      </c>
      <c r="BG104">
        <v>6604.056295180073</v>
      </c>
      <c r="BH104">
        <v>9.0189959177693968</v>
      </c>
      <c r="BI104">
        <v>5703.6130183973664</v>
      </c>
      <c r="BJ104">
        <v>0.75501013149701179</v>
      </c>
      <c r="BK104">
        <v>477.46840715871025</v>
      </c>
      <c r="BL104">
        <v>12</v>
      </c>
      <c r="BM104">
        <v>7588.7999999999993</v>
      </c>
      <c r="BN104">
        <v>5.6928440198200168</v>
      </c>
      <c r="BO104">
        <v>3600.1545581341784</v>
      </c>
      <c r="BP104">
        <v>12</v>
      </c>
      <c r="BQ104">
        <v>7588.7999999999993</v>
      </c>
      <c r="BR104">
        <v>9</v>
      </c>
      <c r="BS104">
        <v>5691.5999999999995</v>
      </c>
      <c r="BT104">
        <v>10.697431149278502</v>
      </c>
      <c r="BU104">
        <v>6765.0554588037248</v>
      </c>
      <c r="BV104">
        <v>0.57510819585801087</v>
      </c>
      <c r="BW104">
        <v>363.69842306060605</v>
      </c>
      <c r="BX104">
        <v>9.2909254429282715</v>
      </c>
      <c r="BY104">
        <v>5875.581250107839</v>
      </c>
      <c r="BZ104">
        <v>8</v>
      </c>
      <c r="CA104">
        <v>5059.2</v>
      </c>
      <c r="CB104">
        <v>10</v>
      </c>
      <c r="CC104">
        <v>6324</v>
      </c>
      <c r="CD104">
        <v>3.6121931337644448</v>
      </c>
      <c r="CE104">
        <v>2284.3509377926348</v>
      </c>
      <c r="CF104">
        <v>3.3912266934004778E-16</v>
      </c>
      <c r="CG104">
        <v>2.1446117609064622E-13</v>
      </c>
      <c r="CH104">
        <v>11</v>
      </c>
      <c r="CI104">
        <v>6956.4</v>
      </c>
      <c r="CJ104">
        <v>7</v>
      </c>
      <c r="CK104">
        <v>4426.8</v>
      </c>
      <c r="CL104">
        <v>10</v>
      </c>
      <c r="CM104">
        <v>6324</v>
      </c>
      <c r="CN104">
        <v>8.1233521965685505</v>
      </c>
      <c r="CO104">
        <v>5137.2079291099508</v>
      </c>
      <c r="CP104">
        <v>7.1248329986232219</v>
      </c>
      <c r="CQ104">
        <v>4505.7443883293254</v>
      </c>
      <c r="CR104">
        <v>7.846387266423605</v>
      </c>
      <c r="CS104">
        <v>4962.0553072862876</v>
      </c>
      <c r="CT104">
        <v>3.3363043773240952</v>
      </c>
      <c r="CU104">
        <v>2109.8788882197578</v>
      </c>
    </row>
    <row r="105" spans="2:99">
      <c r="C105" s="99" t="s">
        <v>271</v>
      </c>
      <c r="D105">
        <v>7</v>
      </c>
      <c r="E105">
        <v>3897.5999999999995</v>
      </c>
      <c r="F105">
        <v>10.636772941986546</v>
      </c>
      <c r="G105">
        <v>5922.5551740981082</v>
      </c>
      <c r="H105">
        <v>9.1168351239779373</v>
      </c>
      <c r="I105">
        <v>5076.2537970309149</v>
      </c>
      <c r="J105">
        <v>9.7705789109168464</v>
      </c>
      <c r="K105">
        <v>5440.2583375984996</v>
      </c>
      <c r="L105">
        <v>10.625828523808769</v>
      </c>
      <c r="M105">
        <v>5916.4613220567226</v>
      </c>
      <c r="N105">
        <v>7.4252777636254068</v>
      </c>
      <c r="O105">
        <v>4134.3946587866258</v>
      </c>
      <c r="P105">
        <v>8.2392788018838043</v>
      </c>
      <c r="Q105">
        <v>4587.6304368889023</v>
      </c>
      <c r="R105">
        <v>9.6296570997016993</v>
      </c>
      <c r="S105">
        <v>5361.7930731139058</v>
      </c>
      <c r="T105">
        <v>8.6558715502936607</v>
      </c>
      <c r="U105">
        <v>4819.5892792035102</v>
      </c>
      <c r="V105">
        <v>9.4331334854220721</v>
      </c>
      <c r="W105">
        <v>5252.3687246830095</v>
      </c>
      <c r="X105">
        <v>0.71888524482251348</v>
      </c>
      <c r="Y105">
        <v>400.27530431717548</v>
      </c>
      <c r="Z105">
        <v>8</v>
      </c>
      <c r="AA105">
        <v>4454.3999999999996</v>
      </c>
      <c r="AB105">
        <v>6.2340466904751981</v>
      </c>
      <c r="AC105">
        <v>3471.1171972565899</v>
      </c>
      <c r="AD105">
        <v>9</v>
      </c>
      <c r="AE105">
        <v>5011.2</v>
      </c>
      <c r="AF105">
        <v>9.0942301251688189</v>
      </c>
      <c r="AG105">
        <v>5063.6673336939975</v>
      </c>
      <c r="AH105">
        <v>11</v>
      </c>
      <c r="AI105">
        <v>6124.7999999999993</v>
      </c>
      <c r="AJ105">
        <v>10</v>
      </c>
      <c r="AK105">
        <v>5568</v>
      </c>
      <c r="AL105">
        <v>10</v>
      </c>
      <c r="AM105">
        <v>5568</v>
      </c>
      <c r="AN105">
        <v>1.6322575676916022</v>
      </c>
      <c r="AO105">
        <v>908.84101369068401</v>
      </c>
      <c r="AP105">
        <v>6</v>
      </c>
      <c r="AQ105">
        <v>3340.7999999999997</v>
      </c>
      <c r="AR105">
        <v>11</v>
      </c>
      <c r="AS105">
        <v>6124.7999999999993</v>
      </c>
      <c r="AT105">
        <v>7</v>
      </c>
      <c r="AU105">
        <v>3897.5999999999995</v>
      </c>
      <c r="AV105">
        <v>2.007194573949409</v>
      </c>
      <c r="AW105">
        <v>1117.6059387750308</v>
      </c>
      <c r="AX105">
        <v>6.7102525239522848</v>
      </c>
      <c r="AY105">
        <v>3736.2686053366319</v>
      </c>
      <c r="AZ105">
        <v>7.7389025093493107</v>
      </c>
      <c r="BA105">
        <v>4309.0209172056957</v>
      </c>
      <c r="BB105">
        <v>0.63826260054335304</v>
      </c>
      <c r="BC105">
        <v>355.38461598253895</v>
      </c>
      <c r="BD105">
        <v>14</v>
      </c>
      <c r="BE105">
        <v>7795.1999999999989</v>
      </c>
      <c r="BF105">
        <v>9.6969291403881979</v>
      </c>
      <c r="BG105">
        <v>5399.250145368148</v>
      </c>
      <c r="BH105">
        <v>9.7705789109168464</v>
      </c>
      <c r="BI105">
        <v>5440.2583375984996</v>
      </c>
      <c r="BJ105">
        <v>0.75501013149701179</v>
      </c>
      <c r="BK105">
        <v>420.38964121753611</v>
      </c>
      <c r="BL105">
        <v>12</v>
      </c>
      <c r="BM105">
        <v>6681.5999999999995</v>
      </c>
      <c r="BN105">
        <v>6.8314128237840208</v>
      </c>
      <c r="BO105">
        <v>3803.7306602829426</v>
      </c>
      <c r="BP105">
        <v>12</v>
      </c>
      <c r="BQ105">
        <v>6681.5999999999995</v>
      </c>
      <c r="BR105">
        <v>9</v>
      </c>
      <c r="BS105">
        <v>5011.2</v>
      </c>
      <c r="BT105">
        <v>11.58888374505171</v>
      </c>
      <c r="BU105">
        <v>6452.6904692447915</v>
      </c>
      <c r="BV105">
        <v>0.57510819585801087</v>
      </c>
      <c r="BW105">
        <v>320.22024345374041</v>
      </c>
      <c r="BX105">
        <v>8.5166816560175835</v>
      </c>
      <c r="BY105">
        <v>4742.08834607059</v>
      </c>
      <c r="BZ105">
        <v>8</v>
      </c>
      <c r="CA105">
        <v>4454.3999999999996</v>
      </c>
      <c r="CB105">
        <v>12</v>
      </c>
      <c r="CC105">
        <v>6681.5999999999995</v>
      </c>
      <c r="CD105">
        <v>3.6121931337644448</v>
      </c>
      <c r="CE105">
        <v>2011.2691368800427</v>
      </c>
      <c r="CF105">
        <v>3.1489962153004441E-16</v>
      </c>
      <c r="CG105">
        <v>1.7533610926792872E-13</v>
      </c>
      <c r="CH105">
        <v>11</v>
      </c>
      <c r="CI105">
        <v>6124.7999999999993</v>
      </c>
      <c r="CJ105">
        <v>8</v>
      </c>
      <c r="CK105">
        <v>4454.3999999999996</v>
      </c>
      <c r="CL105">
        <v>10</v>
      </c>
      <c r="CM105">
        <v>5568</v>
      </c>
      <c r="CN105">
        <v>6.3181628195533159</v>
      </c>
      <c r="CO105">
        <v>3517.953057927286</v>
      </c>
      <c r="CP105">
        <v>7.1248329986232219</v>
      </c>
      <c r="CQ105">
        <v>3967.1070136334097</v>
      </c>
      <c r="CR105">
        <v>7.846387266423605</v>
      </c>
      <c r="CS105">
        <v>4368.8684299446631</v>
      </c>
      <c r="CT105">
        <v>3.3363043773240952</v>
      </c>
      <c r="CU105">
        <v>1857.6542772940561</v>
      </c>
    </row>
    <row r="107" spans="2:99">
      <c r="B107" s="102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>
        <f>SUM(D$6:D$19)+SUM(F$6:F$19)+SUM(H$6:H$19)+SUM(J$6:J$19)</f>
        <v>396.40022051914161</v>
      </c>
      <c r="E109">
        <f>SUM(L$6:L$19)+SUM(N$6:N$19)+SUM(P$6:P$19)+SUM(R$6:R$19)</f>
        <v>394.18357455480566</v>
      </c>
      <c r="F109">
        <f>SUM(T$6:T$19)+SUM(V$6:V$19)+SUM(X$6:X$19)+SUM(Z$6:Z$19)</f>
        <v>337.56424735464003</v>
      </c>
      <c r="G109">
        <f>SUM(AB$6:AB$19)+SUM(AD$6:AD$19)+SUM(AF$6:AF$19)+SUM(AH$6:AH$19)</f>
        <v>417</v>
      </c>
      <c r="H109">
        <f>SUM(AJ$6:AJ$19)+SUM(AL$6:AL$19)+SUM(AN$6:AN$19)+SUM(AP$6:AP$19)</f>
        <v>457.91077396937226</v>
      </c>
      <c r="I109">
        <f>SUM(AR$6:AR$19)+SUM(AT$6:AT$19)+SUM(AV$6:AV$19)+SUM(AX$6:AX$19)</f>
        <v>322.77702383080305</v>
      </c>
      <c r="J109">
        <f>SUM(AZ$6:AZ$19)+SUM(BB$6:BB$19)+SUM(BD$6:BD$19)+SUM(BF$6:BF$19)</f>
        <v>500.6459656644534</v>
      </c>
      <c r="K109">
        <f>SUM(BH$6:BH$19)+SUM(BJ$6:BJ$19)+SUM(BL$6:BL$19)+SUM(BN$6:BN$19)</f>
        <v>446.20562694237873</v>
      </c>
      <c r="L109">
        <f>SUM(BP$6:BP$19)+SUM(BR$6:BR$19)+SUM(BT$6:BT$19)+SUM(BV$6:BV$19)</f>
        <v>533.72623348468881</v>
      </c>
      <c r="M109">
        <f>SUM(BX$6:BX$19)+SUM(BZ$6:BZ$19)+SUM(CB$6:CB$19)+SUM(CD$6:CD$19)</f>
        <v>369.35832317630951</v>
      </c>
      <c r="N109">
        <f>SUM(CF$6:CF$19)+SUM(CH$6:CH$19)+SUM(CJ$6:CJ$19)+SUM(CL$6:CL$19)</f>
        <v>587</v>
      </c>
      <c r="O109">
        <f>SUM(CN$6:CN$19)+SUM(CP$6:CP$19)+SUM(CR$6:CR$19)+SUM(CT$6:CT$19)</f>
        <v>432.67150426014251</v>
      </c>
    </row>
    <row r="110" spans="2:99">
      <c r="C110" s="99" t="s">
        <v>127</v>
      </c>
      <c r="D110">
        <f>SUM(D$20:D$36)+SUM(F$20:F$36)+SUM(H$20:H$36)+SUM(J$20:J$36)</f>
        <v>1051.0411868856597</v>
      </c>
      <c r="E110">
        <f>SUM(L$20:L$36)+SUM(N$20:N$36)+SUM(P$20:P$36)+SUM(R$20:R$36)</f>
        <v>955.23114797306994</v>
      </c>
      <c r="F110">
        <f>SUM(T$20:T$36)+SUM(V$20:V$36)+SUM(X$20:X$36)+SUM(Z$20:Z$36)</f>
        <v>1009.592980121239</v>
      </c>
      <c r="G110">
        <f>SUM(AB$20:AB$36)+SUM(AD$20:AD$36)+SUM(AF$20:AF$36)+SUM(AH$20:AH$36)</f>
        <v>1177</v>
      </c>
      <c r="H110">
        <f>SUM(AJ$20:AJ$36)+SUM(AL$20:AL$36)+SUM(AN$20:AN$36)+SUM(AP$20:AP$36)</f>
        <v>950.43436074950637</v>
      </c>
      <c r="I110">
        <f>SUM(AR$20:AR$36)+SUM(AT$20:AT$36)+SUM(AV$20:AV$36)+SUM(AX$20:AX$36)</f>
        <v>845.51391140228156</v>
      </c>
      <c r="J110">
        <f>SUM(AZ$20:AZ$36)+SUM(BB$20:BB$36)+SUM(BD$20:BD$36)+SUM(BF$20:BF$36)</f>
        <v>1078.1363889019558</v>
      </c>
      <c r="K110">
        <f>SUM(BH$20:BH$36)+SUM(BJ$20:BJ$36)+SUM(BL$20:BL$36)+SUM(BN$20:BN$36)</f>
        <v>1077.4206321220554</v>
      </c>
      <c r="L110">
        <f>SUM(BP$20:BP$36)+SUM(BR$20:BR$36)+SUM(BT$20:BT$36)+SUM(BV$20:BV$36)</f>
        <v>1118.1213095432122</v>
      </c>
      <c r="M110">
        <f>SUM(BX$20:BX$36)+SUM(BZ$20:BZ$36)+SUM(CB$20:CB$36)+SUM(CD$20:CD$36)</f>
        <v>959.39931188631101</v>
      </c>
      <c r="N110">
        <f>SUM(CF$20:CF$36)+SUM(CH$20:CH$36)+SUM(CJ$20:CJ$36)+SUM(CL$20:CL$36)</f>
        <v>1313</v>
      </c>
      <c r="O110">
        <f>SUM(CN$20:CN$36)+SUM(CP$20:CP$36)+SUM(CR$20:CR$36)+SUM(CT$20:CT$36)</f>
        <v>858.02345547368429</v>
      </c>
    </row>
    <row r="111" spans="2:99">
      <c r="C111" s="99" t="s">
        <v>128</v>
      </c>
      <c r="D111">
        <f>SUM(D$37:D$48)+SUM(F$37:F$48)+SUM(H$37:H$48)+SUM(J$37:J$48)</f>
        <v>461.27228179630839</v>
      </c>
      <c r="E111">
        <f>SUM(L$37:L$48)+SUM(N$37:N$48)+SUM(P$37:P$48)+SUM(R$37:R$48)</f>
        <v>448.60790916957171</v>
      </c>
      <c r="F111">
        <f>SUM(T$37:T$48)+SUM(V$37:V$48)+SUM(X$37:X$48)+SUM(Z$37:Z$48)</f>
        <v>474.57382494350634</v>
      </c>
      <c r="G111">
        <f>SUM(AB$37:AB$48)+SUM(AD$37:AD$48)+SUM(AF$37:AF$48)+SUM(AH$37:AH$48)</f>
        <v>510</v>
      </c>
      <c r="H111">
        <f>SUM(AJ$37:AJ$48)+SUM(AL$37:AL$48)+SUM(AN$37:AN$48)+SUM(AP$37:AP$48)</f>
        <v>487.86466024383458</v>
      </c>
      <c r="I111">
        <f>SUM(AR$37:AR$48)+SUM(AT$37:AT$48)+SUM(AV$37:AV$48)+SUM(AX$37:AX$48)</f>
        <v>411.69557768979774</v>
      </c>
      <c r="J111">
        <f>SUM(AZ$37:AZ$48)+SUM(BB$37:BB$48)+SUM(BD$37:BD$48)+SUM(BF$37:BF$48)</f>
        <v>445.15670303486462</v>
      </c>
      <c r="K111">
        <f>SUM(BH$37:BH$48)+SUM(BJ$37:BJ$48)+SUM(BL$37:BL$48)+SUM(BN$37:BN$48)</f>
        <v>620.17901836919305</v>
      </c>
      <c r="L111">
        <f>SUM(BP$37:BP$48)+SUM(BR$37:BR$48)+SUM(BT$37:BT$48)+SUM(BV$37:BV$48)</f>
        <v>522.83965672371573</v>
      </c>
      <c r="M111">
        <f>SUM(BX$37:BX$48)+SUM(BZ$37:BZ$48)+SUM(CB$37:CB$48)+SUM(CD$37:CD$48)</f>
        <v>467.49636372490727</v>
      </c>
      <c r="N111">
        <f>SUM(CF$37:CF$48)+SUM(CH$37:CH$48)+SUM(CJ$37:CJ$48)+SUM(CL$37:CL$48)</f>
        <v>478</v>
      </c>
      <c r="O111">
        <f>SUM(CN$37:CN$48)+SUM(CP$37:CP$48)+SUM(CR$37:CR$48)+SUM(CT$37:CT$48)</f>
        <v>383.47745062676159</v>
      </c>
    </row>
    <row r="112" spans="2:99">
      <c r="C112" s="99" t="s">
        <v>129</v>
      </c>
      <c r="D112">
        <f>SUM(D$49:D$70)+SUM(F$49:F$70)+SUM(H$49:H$70)+SUM(J$49:J$70)</f>
        <v>621.03325059161386</v>
      </c>
      <c r="E112">
        <f>SUM(L$49:L$70)+SUM(N$49:N$70)+SUM(P$49:P$70)+SUM(R$49:R$70)</f>
        <v>637.07732830883049</v>
      </c>
      <c r="F112">
        <f>SUM(T$49:T$70)+SUM(V$49:V$70)+SUM(X$49:X$70)+SUM(Z$49:Z$70)</f>
        <v>597.22193711470334</v>
      </c>
      <c r="G112">
        <f>SUM(AB$49:AB$70)+SUM(AD$49:AD$70)+SUM(AF$49:AF$70)+SUM(AH$49:AH$70)</f>
        <v>712.33255880381273</v>
      </c>
      <c r="H112">
        <f>SUM(AJ$49:AJ$70)+SUM(AL$49:AL$70)+SUM(AN$49:AN$70)+SUM(AP$49:AP$70)</f>
        <v>702.2799406814546</v>
      </c>
      <c r="I112">
        <f>SUM(AR$49:AR$70)+SUM(AT$49:AT$70)+SUM(AV$49:AV$70)+SUM(AX$49:AX$70)</f>
        <v>535.50831600364154</v>
      </c>
      <c r="J112">
        <f>SUM(AZ$49:AZ$70)+SUM(BB$49:BB$70)+SUM(BD$49:BD$70)+SUM(BF$49:BF$70)</f>
        <v>582.48782221725151</v>
      </c>
      <c r="K112">
        <f>SUM(BH$49:BH$70)+SUM(BJ$49:BJ$70)+SUM(BL$49:BL$70)+SUM(BN$49:BN$70)</f>
        <v>546.95671236710166</v>
      </c>
      <c r="L112">
        <f>SUM(BP$49:BP$70)+SUM(BR$49:BR$70)+SUM(BT$49:BT$70)+SUM(BV$49:BV$70)</f>
        <v>523.36222369134293</v>
      </c>
      <c r="M112">
        <f>SUM(BX$49:BX$70)+SUM(BZ$49:BZ$70)+SUM(CB$49:CB$70)+SUM(CD$49:CD$70)</f>
        <v>646.78337761867931</v>
      </c>
      <c r="N112">
        <f>SUM(CF$49:CF$70)+SUM(CH$49:CH$70)+SUM(CJ$49:CJ$70)+SUM(CL$49:CL$70)</f>
        <v>706.23397783486053</v>
      </c>
      <c r="O112">
        <f>SUM(CN$49:CN$70)+SUM(CP$49:CP$70)+SUM(CR$49:CR$70)+SUM(CT$49:CT$70)</f>
        <v>617.43991438391197</v>
      </c>
    </row>
    <row r="113" spans="2:15">
      <c r="C113" s="99" t="s">
        <v>130</v>
      </c>
      <c r="D113">
        <f>SUM(D$71:D$86)+SUM(F$71:F$86)+SUM(H$71:H$86)+SUM(J$71:J$86)</f>
        <v>651</v>
      </c>
      <c r="E113">
        <f>SUM(L$71:L$86)+SUM(N$71:N$86)+SUM(P$71:P$86)+SUM(R$71:R$86)</f>
        <v>726.14808315796233</v>
      </c>
      <c r="F113">
        <f>SUM(T$71:T$86)+SUM(V$71:V$86)+SUM(X$71:X$86)+SUM(Z$71:Z$86)</f>
        <v>532.43655684425619</v>
      </c>
      <c r="G113">
        <f>SUM(AB$71:AB$86)+SUM(AD$71:AD$86)+SUM(AF$71:AF$86)+SUM(AH$71:AH$86)</f>
        <v>659.79416067551585</v>
      </c>
      <c r="H113">
        <f>SUM(AJ$71:AJ$86)+SUM(AL$71:AL$86)+SUM(AN$71:AN$86)+SUM(AP$71:AP$86)</f>
        <v>641.3561586016076</v>
      </c>
      <c r="I113">
        <f>SUM(AR$71:AR$86)+SUM(AT$71:AT$86)+SUM(AV$71:AV$86)+SUM(AX$71:AX$86)</f>
        <v>448.94104730503489</v>
      </c>
      <c r="J113">
        <f>SUM(AZ$71:AZ$86)+SUM(BB$71:BB$86)+SUM(BD$71:BD$86)+SUM(BF$71:BF$86)</f>
        <v>581.10271520711774</v>
      </c>
      <c r="K113">
        <f>SUM(BH$71:BH$86)+SUM(BJ$71:BJ$86)+SUM(BL$71:BL$86)+SUM(BN$71:BN$86)</f>
        <v>559.89649937678996</v>
      </c>
      <c r="L113">
        <f>SUM(BP$71:BP$86)+SUM(BR$71:BR$86)+SUM(BT$71:BT$86)+SUM(BV$71:BV$86)</f>
        <v>745.07639930404719</v>
      </c>
      <c r="M113">
        <f>SUM(BX$71:BX$86)+SUM(BZ$71:BZ$86)+SUM(CB$71:CB$86)+SUM(CD$71:CD$86)</f>
        <v>510.92669650375382</v>
      </c>
      <c r="N113">
        <f>SUM(CF$71:CF$86)+SUM(CH$71:CH$86)+SUM(CJ$71:CJ$86)+SUM(CL$71:CL$86)</f>
        <v>494.46579667887102</v>
      </c>
      <c r="O113">
        <f>SUM(CN$71:CN$86)+SUM(CP$71:CP$86)+SUM(CR$71:CR$86)+SUM(CT$71:CT$86)</f>
        <v>571.20395241120866</v>
      </c>
    </row>
    <row r="114" spans="2:15">
      <c r="C114" s="99" t="s">
        <v>131</v>
      </c>
      <c r="D114">
        <f>SUM(D$87:D$94)+SUM(F$87:F$94)+SUM(H$87:H$94)+SUM(J$87:J$94)</f>
        <v>204.22664898858969</v>
      </c>
      <c r="E114">
        <f>SUM(L$87:L$94)+SUM(N$87:N$94)+SUM(P$87:P$94)+SUM(R$87:R$94)</f>
        <v>172.25398116166915</v>
      </c>
      <c r="F114">
        <f>SUM(T$87:T$94)+SUM(V$87:V$94)+SUM(X$87:X$94)+SUM(Z$87:Z$94)</f>
        <v>151.01015165206923</v>
      </c>
      <c r="G114">
        <f>SUM(AB$87:AB$94)+SUM(AD$87:AD$94)+SUM(AF$87:AF$94)+SUM(AH$87:AH$94)</f>
        <v>219.35214097129983</v>
      </c>
      <c r="H114">
        <f>SUM(AJ$87:AJ$94)+SUM(AL$87:AL$94)+SUM(AN$87:AN$94)+SUM(AP$87:AP$94)</f>
        <v>210.24193175768701</v>
      </c>
      <c r="I114">
        <f>SUM(AR$87:AR$94)+SUM(AT$87:AT$94)+SUM(AV$87:AV$94)+SUM(AX$87:AX$94)</f>
        <v>216.91705232095507</v>
      </c>
      <c r="J114">
        <f>SUM(AZ$87:AZ$94)+SUM(BB$87:BB$94)+SUM(BD$87:BD$94)+SUM(BF$87:BF$94)</f>
        <v>202.06948988609764</v>
      </c>
      <c r="K114">
        <f>SUM(BH$87:BH$94)+SUM(BJ$87:BJ$94)+SUM(BL$87:BL$94)+SUM(BN$87:BN$94)</f>
        <v>136.75726659947642</v>
      </c>
      <c r="L114">
        <f>SUM(BP$87:BP$94)+SUM(BR$87:BR$94)+SUM(BT$87:BT$94)+SUM(BV$87:BV$94)</f>
        <v>217.14184658352468</v>
      </c>
      <c r="M114">
        <f>SUM(BX$87:BX$94)+SUM(BZ$87:BZ$94)+SUM(CB$87:CB$94)+SUM(CD$87:CD$94)</f>
        <v>215.64780779267912</v>
      </c>
      <c r="N114">
        <f>SUM(CF$87:CF$94)+SUM(CH$87:CH$94)+SUM(CJ$87:CJ$94)+SUM(CL$87:CL$94)</f>
        <v>200</v>
      </c>
      <c r="O114">
        <f>SUM(CN$87:CN$94)+SUM(CP$87:CP$94)+SUM(CR$87:CR$94)+SUM(CT$87:CT$94)</f>
        <v>231.7808640655189</v>
      </c>
    </row>
    <row r="115" spans="2:15">
      <c r="C115" s="99" t="s">
        <v>132</v>
      </c>
      <c r="D115">
        <f>SUM(D$95:D$105)+SUM(F$95:F$105)+SUM(H$95:H$105)+SUM(J$95:J$105)</f>
        <v>403.5060209538417</v>
      </c>
      <c r="E115">
        <f>SUM(L$95:L$105)+SUM(N$95:N$105)+SUM(P$95:P$105)+SUM(R$95:R$105)</f>
        <v>388.14481601921517</v>
      </c>
      <c r="F115">
        <f>SUM(T$95:T$105)+SUM(V$95:V$105)+SUM(X$95:X$105)+SUM(Z$95:Z$105)</f>
        <v>302.35674587946681</v>
      </c>
      <c r="G115">
        <f>SUM(AB$95:AB$105)+SUM(AD$95:AD$105)+SUM(AF$95:AF$105)+SUM(AH$95:AH$105)</f>
        <v>391.00233272401135</v>
      </c>
      <c r="H115">
        <f>SUM(AJ$95:AJ$105)+SUM(AL$95:AL$105)+SUM(AN$95:AN$105)+SUM(AP$95:AP$105)</f>
        <v>311.62838173106934</v>
      </c>
      <c r="I115">
        <f>SUM(AR$95:AR$105)+SUM(AT$95:AT$105)+SUM(AV$95:AV$105)+SUM(AX$95:AX$105)</f>
        <v>287.47550951466587</v>
      </c>
      <c r="J115">
        <f>SUM(AZ$95:AZ$105)+SUM(BB$95:BB$105)+SUM(BD$95:BD$105)+SUM(BF$95:BF$105)</f>
        <v>346.56586627690587</v>
      </c>
      <c r="K115">
        <f>SUM(BH$95:BH$105)+SUM(BJ$95:BJ$105)+SUM(BL$95:BL$105)+SUM(BN$95:BN$105)</f>
        <v>306.94787169380601</v>
      </c>
      <c r="L115">
        <f>SUM(BP$95:BP$105)+SUM(BR$95:BR$105)+SUM(BT$95:BT$105)+SUM(BV$95:BV$105)</f>
        <v>363.4171076606163</v>
      </c>
      <c r="M115">
        <f>SUM(BX$95:BX$105)+SUM(BZ$95:BZ$105)+SUM(CB$95:CB$105)+SUM(CD$95:CD$105)</f>
        <v>342.4894721563083</v>
      </c>
      <c r="N115">
        <f>SUM(CF$95:CF$105)+SUM(CH$95:CH$105)+SUM(CJ$95:CJ$105)+SUM(CL$95:CL$105)</f>
        <v>325</v>
      </c>
      <c r="O115">
        <f>SUM(CN$95:CN$105)+SUM(CP$95:CP$105)+SUM(CR$95:CR$105)+SUM(CT$95:CT$105)</f>
        <v>264.65867671405636</v>
      </c>
    </row>
    <row r="116" spans="2:15">
      <c r="C116" s="99" t="s">
        <v>278</v>
      </c>
      <c r="D116">
        <f t="shared" ref="D116:O116" si="0">SUM(D$109:D$115)</f>
        <v>3788.4796097351546</v>
      </c>
      <c r="E116">
        <f t="shared" si="0"/>
        <v>3721.6468403451249</v>
      </c>
      <c r="F116">
        <f t="shared" si="0"/>
        <v>3404.7564439098815</v>
      </c>
      <c r="G116">
        <f t="shared" si="0"/>
        <v>4086.4811931746399</v>
      </c>
      <c r="H116">
        <f t="shared" si="0"/>
        <v>3761.716207734532</v>
      </c>
      <c r="I116">
        <f t="shared" si="0"/>
        <v>3068.8284380671794</v>
      </c>
      <c r="J116">
        <f t="shared" si="0"/>
        <v>3736.1649511886467</v>
      </c>
      <c r="K116">
        <f t="shared" si="0"/>
        <v>3694.3636274708015</v>
      </c>
      <c r="L116">
        <f t="shared" si="0"/>
        <v>4023.6847769911474</v>
      </c>
      <c r="M116">
        <f t="shared" si="0"/>
        <v>3512.1013528589478</v>
      </c>
      <c r="N116">
        <f t="shared" si="0"/>
        <v>4103.6997745137314</v>
      </c>
      <c r="O116">
        <f t="shared" si="0"/>
        <v>3359.2558179352845</v>
      </c>
    </row>
    <row r="118" spans="2:15">
      <c r="B118" s="101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>
        <f>D109*pricing!D15*2000</f>
        <v>2774801.5436339909</v>
      </c>
      <c r="E120">
        <f>E109*pricing!E15*2000</f>
        <v>2759285.0218836395</v>
      </c>
      <c r="F120">
        <f>F109*pricing!F15*2000</f>
        <v>2362949.7314824802</v>
      </c>
      <c r="G120">
        <f>G109*pricing!G15*2000</f>
        <v>2919000</v>
      </c>
      <c r="H120">
        <f>H109*pricing!H15*2000</f>
        <v>3205375.4177856059</v>
      </c>
      <c r="I120">
        <f>I109*pricing!I15*2000</f>
        <v>2259439.1668156213</v>
      </c>
      <c r="J120">
        <f>J109*pricing!J15*2000</f>
        <v>3504521.7596511738</v>
      </c>
      <c r="K120">
        <f>K109*pricing!K15*2000</f>
        <v>3123439.3885966511</v>
      </c>
      <c r="L120">
        <f>L109*pricing!L15*2000</f>
        <v>3736083.6343928217</v>
      </c>
      <c r="M120">
        <f>M109*pricing!M15*2000</f>
        <v>2585508.2622341667</v>
      </c>
      <c r="N120">
        <f>N109*pricing!N15*2000</f>
        <v>4109000</v>
      </c>
      <c r="O120">
        <f>O109*pricing!O15*2000</f>
        <v>3028700.5298209973</v>
      </c>
    </row>
    <row r="121" spans="2:15">
      <c r="C121" s="99" t="s">
        <v>127</v>
      </c>
      <c r="D121">
        <f>D110*pricing!D16*2000</f>
        <v>7357288.308199618</v>
      </c>
      <c r="E121">
        <f>E110*pricing!E16*2000</f>
        <v>6686618.0358114894</v>
      </c>
      <c r="F121">
        <f>F110*pricing!F16*2000</f>
        <v>7067150.8608486727</v>
      </c>
      <c r="G121">
        <f>G110*pricing!G16*2000</f>
        <v>8239000</v>
      </c>
      <c r="H121">
        <f>H110*pricing!H16*2000</f>
        <v>6653040.5252465447</v>
      </c>
      <c r="I121">
        <f>I110*pricing!I16*2000</f>
        <v>5918597.3798159715</v>
      </c>
      <c r="J121">
        <f>J110*pricing!J16*2000</f>
        <v>7546954.7223136909</v>
      </c>
      <c r="K121">
        <f>K110*pricing!K16*2000</f>
        <v>7541944.4248543875</v>
      </c>
      <c r="L121">
        <f>L110*pricing!L16*2000</f>
        <v>7826849.1668024855</v>
      </c>
      <c r="M121">
        <f>M110*pricing!M16*2000</f>
        <v>6715795.1832041768</v>
      </c>
      <c r="N121">
        <f>N110*pricing!N16*2000</f>
        <v>9191000</v>
      </c>
      <c r="O121">
        <f>O110*pricing!O16*2000</f>
        <v>6006164.1883157901</v>
      </c>
    </row>
    <row r="122" spans="2:15">
      <c r="C122" s="99" t="s">
        <v>128</v>
      </c>
      <c r="D122">
        <f>D111*pricing!D17*2000</f>
        <v>3228905.9725741586</v>
      </c>
      <c r="E122">
        <f>E111*pricing!E17*2000</f>
        <v>3140255.3641870017</v>
      </c>
      <c r="F122">
        <f>F111*pricing!F17*2000</f>
        <v>3322016.7746045445</v>
      </c>
      <c r="G122">
        <f>G111*pricing!G17*2000</f>
        <v>3570000</v>
      </c>
      <c r="H122">
        <f>H111*pricing!H17*2000</f>
        <v>3415052.621706842</v>
      </c>
      <c r="I122">
        <f>I111*pricing!I17*2000</f>
        <v>2881869.0438285843</v>
      </c>
      <c r="J122">
        <f>J111*pricing!J17*2000</f>
        <v>3116096.9212440522</v>
      </c>
      <c r="K122">
        <f>K111*pricing!K17*2000</f>
        <v>4341253.1285843514</v>
      </c>
      <c r="L122">
        <f>L111*pricing!L17*2000</f>
        <v>3659877.5970660099</v>
      </c>
      <c r="M122">
        <f>M111*pricing!M17*2000</f>
        <v>3272474.5460743508</v>
      </c>
      <c r="N122">
        <f>N111*pricing!N17*2000</f>
        <v>3346000</v>
      </c>
      <c r="O122">
        <f>O111*pricing!O17*2000</f>
        <v>2684342.1543873311</v>
      </c>
    </row>
    <row r="123" spans="2:15">
      <c r="C123" s="99" t="s">
        <v>129</v>
      </c>
      <c r="D123">
        <f>D112*pricing!D18*2000</f>
        <v>4347232.7541412972</v>
      </c>
      <c r="E123">
        <f>E112*pricing!E18*2000</f>
        <v>4459541.298161814</v>
      </c>
      <c r="F123">
        <f>F112*pricing!F18*2000</f>
        <v>4180553.5598029238</v>
      </c>
      <c r="G123">
        <f>G112*pricing!G18*2000</f>
        <v>4986327.9116266891</v>
      </c>
      <c r="H123">
        <f>H112*pricing!H18*2000</f>
        <v>4915959.5847701821</v>
      </c>
      <c r="I123">
        <f>I112*pricing!I18*2000</f>
        <v>3748558.2120254906</v>
      </c>
      <c r="J123">
        <f>J112*pricing!J18*2000</f>
        <v>4077414.7555207605</v>
      </c>
      <c r="K123">
        <f>K112*pricing!K18*2000</f>
        <v>3828696.9865697115</v>
      </c>
      <c r="L123">
        <f>L112*pricing!L18*2000</f>
        <v>3663535.5658394005</v>
      </c>
      <c r="M123">
        <f>M112*pricing!M18*2000</f>
        <v>4527483.6433307556</v>
      </c>
      <c r="N123">
        <f>N112*pricing!N18*2000</f>
        <v>4943637.8448440237</v>
      </c>
      <c r="O123">
        <f>O112*pricing!O18*2000</f>
        <v>4322079.4006873835</v>
      </c>
    </row>
    <row r="124" spans="2:15">
      <c r="C124" s="99" t="s">
        <v>130</v>
      </c>
      <c r="D124">
        <f>D113*pricing!D19*2000</f>
        <v>4557000</v>
      </c>
      <c r="E124">
        <f>E113*pricing!E19*2000</f>
        <v>5083036.5821057362</v>
      </c>
      <c r="F124">
        <f>F113*pricing!F19*2000</f>
        <v>3727055.8979097931</v>
      </c>
      <c r="G124">
        <f>G113*pricing!G19*2000</f>
        <v>4618559.1247286107</v>
      </c>
      <c r="H124">
        <f>H113*pricing!H19*2000</f>
        <v>4489493.1102112532</v>
      </c>
      <c r="I124">
        <f>I113*pricing!I19*2000</f>
        <v>3142587.3311352441</v>
      </c>
      <c r="J124">
        <f>J113*pricing!J19*2000</f>
        <v>4067719.0064498242</v>
      </c>
      <c r="K124">
        <f>K113*pricing!K19*2000</f>
        <v>3919275.4956375295</v>
      </c>
      <c r="L124">
        <f>L113*pricing!L19*2000</f>
        <v>5215534.7951283306</v>
      </c>
      <c r="M124">
        <f>M113*pricing!M19*2000</f>
        <v>3576486.8755262769</v>
      </c>
      <c r="N124">
        <f>N113*pricing!N19*2000</f>
        <v>3461260.5767520973</v>
      </c>
      <c r="O124">
        <f>O113*pricing!O19*2000</f>
        <v>3998427.6668784604</v>
      </c>
    </row>
    <row r="125" spans="2:15">
      <c r="C125" s="99" t="s">
        <v>131</v>
      </c>
      <c r="D125">
        <f>D114*pricing!D20*2000</f>
        <v>1429586.5429201277</v>
      </c>
      <c r="E125">
        <f>E114*pricing!E20*2000</f>
        <v>1205777.8681316841</v>
      </c>
      <c r="F125">
        <f>F114*pricing!F20*2000</f>
        <v>1057071.0615644846</v>
      </c>
      <c r="G125">
        <f>G114*pricing!G20*2000</f>
        <v>1535464.9867990988</v>
      </c>
      <c r="H125">
        <f>H114*pricing!H20*2000</f>
        <v>1471693.5223038089</v>
      </c>
      <c r="I125">
        <f>I114*pricing!I20*2000</f>
        <v>1518419.3662466856</v>
      </c>
      <c r="J125">
        <f>J114*pricing!J20*2000</f>
        <v>1414486.4292026835</v>
      </c>
      <c r="K125">
        <f>K114*pricing!K20*2000</f>
        <v>957300.86619633494</v>
      </c>
      <c r="L125">
        <f>L114*pricing!L20*2000</f>
        <v>1519992.9260846728</v>
      </c>
      <c r="M125">
        <f>M114*pricing!M20*2000</f>
        <v>1509534.654548754</v>
      </c>
      <c r="N125">
        <f>N114*pricing!N20*2000</f>
        <v>1400000</v>
      </c>
      <c r="O125">
        <f>O114*pricing!O20*2000</f>
        <v>1622466.0484586323</v>
      </c>
    </row>
    <row r="126" spans="2:15">
      <c r="C126" s="99" t="s">
        <v>132</v>
      </c>
      <c r="D126">
        <f>D115*pricing!D21*2000</f>
        <v>2824542.1466768919</v>
      </c>
      <c r="E126">
        <f>E115*pricing!E21*2000</f>
        <v>2717013.7121345061</v>
      </c>
      <c r="F126">
        <f>F115*pricing!F21*2000</f>
        <v>2116497.2211562674</v>
      </c>
      <c r="G126">
        <f>G115*pricing!G21*2000</f>
        <v>2737016.3290680796</v>
      </c>
      <c r="H126">
        <f>H115*pricing!H21*2000</f>
        <v>2181398.6721174852</v>
      </c>
      <c r="I126">
        <f>I115*pricing!I21*2000</f>
        <v>2012328.566602661</v>
      </c>
      <c r="J126">
        <f>J115*pricing!J21*2000</f>
        <v>2425961.0639383411</v>
      </c>
      <c r="K126">
        <f>K115*pricing!K21*2000</f>
        <v>2148635.1018566419</v>
      </c>
      <c r="L126">
        <f>L115*pricing!L21*2000</f>
        <v>2543919.753624314</v>
      </c>
      <c r="M126">
        <f>M115*pricing!M21*2000</f>
        <v>2397426.3050941583</v>
      </c>
      <c r="N126">
        <f>N115*pricing!N21*2000</f>
        <v>2275000</v>
      </c>
      <c r="O126">
        <f>O115*pricing!O21*2000</f>
        <v>1852610.7369983946</v>
      </c>
    </row>
    <row r="127" spans="2:15">
      <c r="C127" s="99" t="s">
        <v>278</v>
      </c>
      <c r="D127">
        <f t="shared" ref="D127:O127" si="1">SUM(D$120:D$126)</f>
        <v>26519357.268146083</v>
      </c>
      <c r="E127">
        <f t="shared" si="1"/>
        <v>26051527.882415872</v>
      </c>
      <c r="F127">
        <f t="shared" si="1"/>
        <v>23833295.10736917</v>
      </c>
      <c r="G127">
        <f t="shared" si="1"/>
        <v>28605368.35222248</v>
      </c>
      <c r="H127">
        <f t="shared" si="1"/>
        <v>26332013.454141725</v>
      </c>
      <c r="I127">
        <f t="shared" si="1"/>
        <v>21481799.066470258</v>
      </c>
      <c r="J127">
        <f t="shared" si="1"/>
        <v>26153154.658320524</v>
      </c>
      <c r="K127">
        <f t="shared" si="1"/>
        <v>25860545.392295606</v>
      </c>
      <c r="L127">
        <f t="shared" si="1"/>
        <v>28165793.438938033</v>
      </c>
      <c r="M127">
        <f t="shared" si="1"/>
        <v>24584709.470012635</v>
      </c>
      <c r="N127">
        <f t="shared" si="1"/>
        <v>28725898.421596121</v>
      </c>
      <c r="O127">
        <f t="shared" si="1"/>
        <v>23514790.72554699</v>
      </c>
    </row>
    <row r="129" spans="2:15">
      <c r="B129" s="101" t="s">
        <v>280</v>
      </c>
    </row>
    <row r="130" spans="2:15">
      <c r="C130" s="103" t="s">
        <v>277</v>
      </c>
      <c r="D130" s="103" t="s">
        <v>92</v>
      </c>
      <c r="E130" s="103" t="s">
        <v>93</v>
      </c>
      <c r="F130" s="103" t="s">
        <v>94</v>
      </c>
      <c r="G130" s="103" t="s">
        <v>95</v>
      </c>
      <c r="H130" s="103" t="s">
        <v>96</v>
      </c>
      <c r="I130" s="103" t="s">
        <v>97</v>
      </c>
      <c r="J130" s="103" t="s">
        <v>98</v>
      </c>
      <c r="K130" s="103" t="s">
        <v>99</v>
      </c>
      <c r="L130" s="103" t="s">
        <v>100</v>
      </c>
      <c r="M130" s="103" t="s">
        <v>101</v>
      </c>
      <c r="N130" s="103" t="s">
        <v>102</v>
      </c>
      <c r="O130" s="103" t="s">
        <v>103</v>
      </c>
    </row>
    <row r="131" spans="2:15">
      <c r="C131" s="103" t="s">
        <v>126</v>
      </c>
      <c r="D131" s="104">
        <f>SUM(E$6:E$19)+SUM(G$6:G$19)+SUM(I$6:I$19)+SUM(K$6:K$19)</f>
        <v>199107.3224256894</v>
      </c>
      <c r="E131" s="104">
        <f>SUM(M$6:M$19)+SUM(O$6:O$19)+SUM(Q$6:Q$19)+SUM(S$6:S$19)</f>
        <v>199905.12024311128</v>
      </c>
      <c r="F131" s="104">
        <f>SUM(U$6:U$19)+SUM(W$6:W$19)+SUM(Y$6:Y$19)+SUM(AA$6:AA$19)</f>
        <v>170142.00365295185</v>
      </c>
      <c r="G131" s="104">
        <f>SUM(AC$6:AC$19)+SUM(AE$6:AE$19)+SUM(AG$6:AG$19)+SUM(AI$6:AI$19)</f>
        <v>211125.59999999998</v>
      </c>
      <c r="H131" s="104">
        <f>SUM(AK$6:AK$19)+SUM(AM$6:AM$19)+SUM(AO$6:AO$19)+SUM(AQ$6:AQ$19)</f>
        <v>230270.801537867</v>
      </c>
      <c r="I131" s="104">
        <f>SUM(AS$6:AS$19)+SUM(AU$6:AU$19)+SUM(AW$6:AW$19)+SUM(AY$6:AY$19)</f>
        <v>163486.90301783706</v>
      </c>
      <c r="J131" s="104">
        <f>SUM(BA$6:BA$19)+SUM(BC$6:BC$19)+SUM(BE$6:BE$19)+SUM(BG$6:BG$19)</f>
        <v>252997.45317485064</v>
      </c>
      <c r="K131" s="104">
        <f>SUM(BI$6:BI$19)+SUM(BK$6:BK$19)+SUM(BM$6:BM$19)+SUM(BO$6:BO$19)</f>
        <v>224610.93890613888</v>
      </c>
      <c r="L131" s="104">
        <f>SUM(BQ$6:BQ$19)+SUM(BS$6:BS$19)+SUM(BU$6:BU$19)+SUM(BW$6:BW$19)</f>
        <v>269531.86206859886</v>
      </c>
      <c r="M131" s="104">
        <f>SUM(BY$6:BY$19)+SUM(CA$6:CA$19)+SUM(CC$6:CC$19)+SUM(CE$6:CE$19)</f>
        <v>187268.4901605976</v>
      </c>
      <c r="N131" s="104">
        <f>SUM(CG$6:CG$19)+SUM(CI$6:CI$19)+SUM(CK$6:CK$19)+SUM(CM$6:CM$19)</f>
        <v>296554.8</v>
      </c>
      <c r="O131" s="104">
        <f>SUM(CO$6:CO$19)+SUM(CQ$6:CQ$19)+SUM(CS$6:CS$19)+SUM(CU$6:CU$19)</f>
        <v>217926.3617679759</v>
      </c>
    </row>
    <row r="132" spans="2:15">
      <c r="C132" s="103" t="s">
        <v>127</v>
      </c>
      <c r="D132" s="104">
        <f>SUM(E$20:E$36)+SUM(G$20:G$36)+SUM(I$20:I$36)+SUM(K$20:K$36)</f>
        <v>446961.48487056844</v>
      </c>
      <c r="E132" s="104">
        <f>SUM(M$20:M$36)+SUM(O$20:O$36)+SUM(Q$20:Q$36)+SUM(S$20:S$36)</f>
        <v>405427.66958124144</v>
      </c>
      <c r="F132" s="104">
        <f>SUM(U$20:U$36)+SUM(W$20:W$36)+SUM(Y$20:Y$36)+SUM(AA$20:AA$36)</f>
        <v>433322.55301834387</v>
      </c>
      <c r="G132" s="104">
        <f>SUM(AC$20:AC$36)+SUM(AE$20:AE$36)+SUM(AG$20:AG$36)+SUM(AI$20:AI$36)</f>
        <v>506342.39999999997</v>
      </c>
      <c r="H132" s="104">
        <f>SUM(AK$20:AK$36)+SUM(AM$20:AM$36)+SUM(AO$20:AO$36)+SUM(AQ$20:AQ$36)</f>
        <v>404649.15136148519</v>
      </c>
      <c r="I132" s="104">
        <f>SUM(AS$20:AS$36)+SUM(AU$20:AU$36)+SUM(AW$20:AW$36)+SUM(AY$20:AY$36)</f>
        <v>361893.91823856754</v>
      </c>
      <c r="J132" s="104">
        <f>SUM(BA$20:BA$36)+SUM(BC$20:BC$36)+SUM(BE$20:BE$36)+SUM(BG$20:BG$36)</f>
        <v>462039.98327345279</v>
      </c>
      <c r="K132" s="104">
        <f>SUM(BI$20:BI$36)+SUM(BK$20:BK$36)+SUM(BM$20:BM$36)+SUM(BO$20:BO$36)</f>
        <v>462159.12716622441</v>
      </c>
      <c r="L132" s="104">
        <f>SUM(BQ$20:BQ$36)+SUM(BS$20:BS$36)+SUM(BU$20:BU$36)+SUM(BW$20:BW$36)</f>
        <v>479768.70029833424</v>
      </c>
      <c r="M132" s="104">
        <f>SUM(BY$20:BY$36)+SUM(CA$20:CA$36)+SUM(CC$20:CC$36)+SUM(CE$20:CE$36)</f>
        <v>413355.61816603714</v>
      </c>
      <c r="N132" s="104">
        <f>SUM(CG$20:CG$36)+SUM(CI$20:CI$36)+SUM(CK$20:CK$36)+SUM(CM$20:CM$36)</f>
        <v>560688</v>
      </c>
      <c r="O132" s="104">
        <f>SUM(CO$20:CO$36)+SUM(CQ$20:CQ$36)+SUM(CS$20:CS$36)+SUM(CU$20:CU$36)</f>
        <v>367029.58352888451</v>
      </c>
    </row>
    <row r="133" spans="2:15">
      <c r="C133" s="103" t="s">
        <v>128</v>
      </c>
      <c r="D133" s="104">
        <f>SUM(E$37:E$48)+SUM(G$37:G$48)+SUM(I$37:I$48)+SUM(K$37:K$48)</f>
        <v>484890.74746028334</v>
      </c>
      <c r="E133" s="104">
        <f>SUM(M$37:M$48)+SUM(O$37:O$48)+SUM(Q$37:Q$48)+SUM(S$37:S$48)</f>
        <v>472550.26973222429</v>
      </c>
      <c r="F133" s="104">
        <f>SUM(U$37:U$48)+SUM(W$37:W$48)+SUM(Y$37:Y$48)+SUM(AA$37:AA$48)</f>
        <v>497750.97206179332</v>
      </c>
      <c r="G133" s="104">
        <f>SUM(AC$37:AC$48)+SUM(AE$37:AE$48)+SUM(AG$37:AG$48)+SUM(AI$37:AI$48)</f>
        <v>536540.4</v>
      </c>
      <c r="H133" s="104">
        <f>SUM(AK$37:AK$48)+SUM(AM$37:AM$48)+SUM(AO$37:AO$48)+SUM(AQ$37:AQ$48)</f>
        <v>512612.77381269849</v>
      </c>
      <c r="I133" s="104">
        <f>SUM(AS$37:AS$48)+SUM(AU$37:AU$48)+SUM(AW$37:AW$48)+SUM(AY$37:AY$48)</f>
        <v>432309.5447797972</v>
      </c>
      <c r="J133" s="104">
        <f>SUM(BA$37:BA$48)+SUM(BC$37:BC$48)+SUM(BE$37:BE$48)+SUM(BG$37:BG$48)</f>
        <v>465815.36302781047</v>
      </c>
      <c r="K133" s="104">
        <f>SUM(BI$37:BI$48)+SUM(BK$37:BK$48)+SUM(BM$37:BM$48)+SUM(BO$37:BO$48)</f>
        <v>651866.96791713417</v>
      </c>
      <c r="L133" s="104">
        <f>SUM(BQ$37:BQ$48)+SUM(BS$37:BS$48)+SUM(BU$37:BU$48)+SUM(BW$37:BW$48)</f>
        <v>550058.18986313581</v>
      </c>
      <c r="M133" s="104">
        <f>SUM(BY$37:BY$48)+SUM(CA$37:CA$48)+SUM(CC$37:CC$48)+SUM(CE$37:CE$48)</f>
        <v>491053.13446922065</v>
      </c>
      <c r="N133" s="104">
        <f>SUM(CG$37:CG$48)+SUM(CI$37:CI$48)+SUM(CK$37:CK$48)+SUM(CM$37:CM$48)</f>
        <v>503298.00000000006</v>
      </c>
      <c r="O133" s="104">
        <f>SUM(CO$37:CO$48)+SUM(CQ$37:CQ$48)+SUM(CS$37:CS$48)+SUM(CU$37:CU$48)</f>
        <v>401923.08758546127</v>
      </c>
    </row>
    <row r="134" spans="2:15">
      <c r="C134" s="103" t="s">
        <v>129</v>
      </c>
      <c r="D134" s="104">
        <f>SUM(E$49:E$70)+SUM(G$49:G$70)+SUM(I$49:I$70)+SUM(K$49:K$70)</f>
        <v>524315.9360596569</v>
      </c>
      <c r="E134" s="104">
        <f>SUM(M$49:M$70)+SUM(O$49:O$70)+SUM(Q$49:Q$70)+SUM(S$49:S$70)</f>
        <v>537285.2401752728</v>
      </c>
      <c r="F134" s="104">
        <f>SUM(U$49:U$70)+SUM(W$49:W$70)+SUM(Y$49:Y$70)+SUM(AA$49:AA$70)</f>
        <v>490967.3074866354</v>
      </c>
      <c r="G134" s="104">
        <f>SUM(AC$49:AC$70)+SUM(AE$49:AE$70)+SUM(AG$49:AG$70)+SUM(AI$49:AI$70)</f>
        <v>593504.47343526024</v>
      </c>
      <c r="H134" s="104">
        <f>SUM(AK$49:AK$70)+SUM(AM$49:AM$70)+SUM(AO$49:AO$70)+SUM(AQ$49:AQ$70)</f>
        <v>586754.35907563521</v>
      </c>
      <c r="I134" s="104">
        <f>SUM(AS$49:AS$70)+SUM(AU$49:AU$70)+SUM(AW$49:AW$70)+SUM(AY$49:AY$70)</f>
        <v>450564.9942404225</v>
      </c>
      <c r="J134" s="104">
        <f>SUM(BA$49:BA$70)+SUM(BC$49:BC$70)+SUM(BE$49:BE$70)+SUM(BG$49:BG$70)</f>
        <v>478833.40507522592</v>
      </c>
      <c r="K134" s="104">
        <f>SUM(BI$49:BI$70)+SUM(BK$49:BK$70)+SUM(BM$49:BM$70)+SUM(BO$49:BO$70)</f>
        <v>453020.13856959471</v>
      </c>
      <c r="L134" s="104">
        <f>SUM(BQ$49:BQ$70)+SUM(BS$49:BS$70)+SUM(BU$49:BU$70)+SUM(BW$49:BW$70)</f>
        <v>433772.81292341836</v>
      </c>
      <c r="M134" s="104">
        <f>SUM(BY$49:BY$70)+SUM(CA$49:CA$70)+SUM(CC$49:CC$70)+SUM(CE$49:CE$70)</f>
        <v>541666.00598701544</v>
      </c>
      <c r="N134" s="104">
        <f>SUM(CG$49:CG$70)+SUM(CI$49:CI$70)+SUM(CK$49:CK$70)+SUM(CM$49:CM$70)</f>
        <v>586360.57683505118</v>
      </c>
      <c r="O134" s="104">
        <f>SUM(CO$49:CO$70)+SUM(CQ$49:CQ$70)+SUM(CS$49:CS$70)+SUM(CU$49:CU$70)</f>
        <v>520736.65199707</v>
      </c>
    </row>
    <row r="135" spans="2:15">
      <c r="C135" s="103" t="s">
        <v>130</v>
      </c>
      <c r="D135" s="104">
        <f>SUM(E$71:E$86)+SUM(G$71:G$86)+SUM(I$71:I$86)+SUM(K$71:K$86)</f>
        <v>364854</v>
      </c>
      <c r="E135" s="104">
        <f>SUM(M$71:M$86)+SUM(O$71:O$86)+SUM(Q$71:Q$86)+SUM(S$71:S$86)</f>
        <v>406418.18989321165</v>
      </c>
      <c r="F135" s="104">
        <f>SUM(U$71:U$86)+SUM(W$71:W$86)+SUM(Y$71:Y$86)+SUM(AA$71:AA$86)</f>
        <v>297792.96631459799</v>
      </c>
      <c r="G135" s="104">
        <f>SUM(AC$71:AC$86)+SUM(AE$71:AE$86)+SUM(AG$71:AG$86)+SUM(AI$71:AI$86)</f>
        <v>371773.39835815853</v>
      </c>
      <c r="H135" s="104">
        <f>SUM(AK$71:AK$86)+SUM(AM$71:AM$86)+SUM(AO$71:AO$86)+SUM(AQ$71:AQ$86)</f>
        <v>360698.94961008383</v>
      </c>
      <c r="I135" s="104">
        <f>SUM(AS$71:AS$86)+SUM(AU$71:AU$86)+SUM(AW$71:AW$86)+SUM(AY$71:AY$86)</f>
        <v>252423.16463240865</v>
      </c>
      <c r="J135" s="104">
        <f>SUM(BA$71:BA$86)+SUM(BC$71:BC$86)+SUM(BE$71:BE$86)+SUM(BG$71:BG$86)</f>
        <v>326913.29507798783</v>
      </c>
      <c r="K135" s="104">
        <f>SUM(BI$71:BI$86)+SUM(BK$71:BK$86)+SUM(BM$71:BM$86)+SUM(BO$71:BO$86)</f>
        <v>314170.99397713772</v>
      </c>
      <c r="L135" s="104">
        <f>SUM(BQ$71:BQ$86)+SUM(BS$71:BS$86)+SUM(BU$71:BU$86)+SUM(BW$71:BW$86)</f>
        <v>415208.21507125749</v>
      </c>
      <c r="M135" s="104">
        <f>SUM(BY$71:BY$86)+SUM(CA$71:CA$86)+SUM(CC$71:CC$86)+SUM(CE$71:CE$86)</f>
        <v>283984.11633025092</v>
      </c>
      <c r="N135" s="104">
        <f>SUM(CG$71:CG$86)+SUM(CI$71:CI$86)+SUM(CK$71:CK$86)+SUM(CM$71:CM$86)</f>
        <v>277948.29593914753</v>
      </c>
      <c r="O135" s="104">
        <f>SUM(CO$71:CO$86)+SUM(CQ$71:CQ$86)+SUM(CS$71:CS$86)+SUM(CU$71:CU$86)</f>
        <v>319925.12578875636</v>
      </c>
    </row>
    <row r="136" spans="2:15">
      <c r="C136" s="103" t="s">
        <v>131</v>
      </c>
      <c r="D136" s="104">
        <f>SUM(E$87:E$94)+SUM(G$87:G$94)+SUM(I$87:I$94)+SUM(K$87:K$94)</f>
        <v>205584.91405913117</v>
      </c>
      <c r="E136" s="104">
        <f>SUM(M$87:M$94)+SUM(O$87:O$94)+SUM(Q$87:Q$94)+SUM(S$87:S$94)</f>
        <v>173152.39128724707</v>
      </c>
      <c r="F136" s="104">
        <f>SUM(U$87:U$94)+SUM(W$87:W$94)+SUM(Y$87:Y$94)+SUM(AA$87:AA$94)</f>
        <v>151442.11398927914</v>
      </c>
      <c r="G136" s="104">
        <f>SUM(AC$87:AC$94)+SUM(AE$87:AE$94)+SUM(AG$87:AG$94)+SUM(AI$87:AI$94)</f>
        <v>220084.1073933139</v>
      </c>
      <c r="H136" s="104">
        <f>SUM(AK$87:AK$94)+SUM(AM$87:AM$94)+SUM(AO$87:AO$94)+SUM(AQ$87:AQ$94)</f>
        <v>211362.21301164204</v>
      </c>
      <c r="I136" s="104">
        <f>SUM(AS$87:AS$94)+SUM(AU$87:AU$94)+SUM(AW$87:AW$94)+SUM(AY$87:AY$94)</f>
        <v>217962.77836612647</v>
      </c>
      <c r="J136" s="104">
        <f>SUM(BA$87:BA$94)+SUM(BC$87:BC$94)+SUM(BE$87:BE$94)+SUM(BG$87:BG$94)</f>
        <v>202542.98034984787</v>
      </c>
      <c r="K136" s="104">
        <f>SUM(BI$87:BI$94)+SUM(BK$87:BK$94)+SUM(BM$87:BM$94)+SUM(BO$87:BO$94)</f>
        <v>137135.64641030203</v>
      </c>
      <c r="L136" s="104">
        <f>SUM(BQ$87:BQ$94)+SUM(BS$87:BS$94)+SUM(BU$87:BU$94)+SUM(BW$87:BW$94)</f>
        <v>217443.981576686</v>
      </c>
      <c r="M136" s="104">
        <f>SUM(BY$87:BY$94)+SUM(CA$87:CA$94)+SUM(CC$87:CC$94)+SUM(CE$87:CE$94)</f>
        <v>216463.89748264878</v>
      </c>
      <c r="N136" s="104">
        <f>SUM(CG$87:CG$94)+SUM(CI$87:CI$94)+SUM(CK$87:CK$94)+SUM(CM$87:CM$94)</f>
        <v>200932.8</v>
      </c>
      <c r="O136" s="104">
        <f>SUM(CO$87:CO$94)+SUM(CQ$87:CQ$94)+SUM(CS$87:CS$94)+SUM(CU$87:CU$94)</f>
        <v>232520.04247474257</v>
      </c>
    </row>
    <row r="137" spans="2:15">
      <c r="C137" s="103" t="s">
        <v>132</v>
      </c>
      <c r="D137" s="104">
        <f>SUM(E$95:E$105)+SUM(G$95:G$105)+SUM(I$95:I$105)+SUM(K$95:K$105)</f>
        <v>326516.99304962362</v>
      </c>
      <c r="E137" s="104">
        <f>SUM(M$95:M$105)+SUM(O$95:O$105)+SUM(Q$95:Q$105)+SUM(S$95:S$105)</f>
        <v>313723.29471464967</v>
      </c>
      <c r="F137" s="104">
        <f>SUM(U$95:U$105)+SUM(W$95:W$105)+SUM(Y$95:Y$105)+SUM(AA$95:AA$105)</f>
        <v>248565.41743212688</v>
      </c>
      <c r="G137" s="104">
        <f>SUM(AC$95:AC$105)+SUM(AE$95:AE$105)+SUM(AG$95:AG$105)+SUM(AI$95:AI$105)</f>
        <v>315403.24888550071</v>
      </c>
      <c r="H137" s="104">
        <f>SUM(AK$95:AK$105)+SUM(AM$95:AM$105)+SUM(AO$95:AO$105)+SUM(AQ$95:AQ$105)</f>
        <v>257491.81350101001</v>
      </c>
      <c r="I137" s="104">
        <f>SUM(AS$95:AS$105)+SUM(AU$95:AU$105)+SUM(AW$95:AW$105)+SUM(AY$95:AY$105)</f>
        <v>230801.43851451346</v>
      </c>
      <c r="J137" s="104">
        <f>SUM(BA$95:BA$105)+SUM(BC$95:BC$105)+SUM(BE$95:BE$105)+SUM(BG$95:BG$105)</f>
        <v>280633.37145501422</v>
      </c>
      <c r="K137" s="104">
        <f>SUM(BI$95:BI$105)+SUM(BK$95:BK$105)+SUM(BM$95:BM$105)+SUM(BO$95:BO$105)</f>
        <v>254738.60185627421</v>
      </c>
      <c r="L137" s="104">
        <f>SUM(BQ$95:BQ$105)+SUM(BS$95:BS$105)+SUM(BU$95:BU$105)+SUM(BW$95:BW$105)</f>
        <v>288551.5225023955</v>
      </c>
      <c r="M137" s="104">
        <f>SUM(BY$95:BY$105)+SUM(CA$95:CA$105)+SUM(CC$95:CC$105)+SUM(CE$95:CE$105)</f>
        <v>279277.80318858457</v>
      </c>
      <c r="N137" s="104">
        <f>SUM(CG$95:CG$105)+SUM(CI$95:CI$105)+SUM(CK$95:CK$105)+SUM(CM$95:CM$105)</f>
        <v>256299.59999999998</v>
      </c>
      <c r="O137" s="104">
        <f>SUM(CO$95:CO$105)+SUM(CQ$95:CQ$105)+SUM(CS$95:CS$105)+SUM(CU$95:CU$105)</f>
        <v>213815.65300861205</v>
      </c>
    </row>
    <row r="138" spans="2:15">
      <c r="C138" s="103" t="s">
        <v>278</v>
      </c>
      <c r="D138">
        <f t="shared" ref="D138:O138" si="2">SUM(D$131:D$137)</f>
        <v>2552231.3979249531</v>
      </c>
      <c r="E138">
        <f t="shared" si="2"/>
        <v>2508462.1756269583</v>
      </c>
      <c r="F138">
        <f t="shared" si="2"/>
        <v>2289983.3339557284</v>
      </c>
      <c r="G138">
        <f t="shared" si="2"/>
        <v>2754773.6280722334</v>
      </c>
      <c r="H138">
        <f t="shared" si="2"/>
        <v>2563840.0619104221</v>
      </c>
      <c r="I138">
        <f t="shared" si="2"/>
        <v>2109442.741789673</v>
      </c>
      <c r="J138">
        <f t="shared" si="2"/>
        <v>2469775.8514341898</v>
      </c>
      <c r="K138">
        <f t="shared" si="2"/>
        <v>2497702.414802806</v>
      </c>
      <c r="L138">
        <f t="shared" si="2"/>
        <v>2654335.2843038258</v>
      </c>
      <c r="M138">
        <f t="shared" si="2"/>
        <v>2413069.0657843552</v>
      </c>
      <c r="N138">
        <f t="shared" si="2"/>
        <v>2682082.0727741988</v>
      </c>
      <c r="O138">
        <f t="shared" si="2"/>
        <v>2273876.5061515025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sheetData>
    <row r="2" spans="1:99">
      <c r="B2" s="1" t="s">
        <v>272</v>
      </c>
    </row>
    <row r="3" spans="1:99">
      <c r="B3" s="101" t="s">
        <v>281</v>
      </c>
    </row>
    <row r="4" spans="1:99">
      <c r="A4" s="100"/>
      <c r="B4" s="100"/>
      <c r="C4" s="99" t="s">
        <v>274</v>
      </c>
      <c r="D4" s="99" t="s">
        <v>92</v>
      </c>
      <c r="E4" s="100"/>
      <c r="F4" s="100"/>
      <c r="G4" s="100"/>
      <c r="H4" s="100"/>
      <c r="I4" s="100"/>
      <c r="J4" s="100"/>
      <c r="K4" s="100"/>
      <c r="L4" s="99" t="s">
        <v>93</v>
      </c>
      <c r="M4" s="100"/>
      <c r="N4" s="100"/>
      <c r="O4" s="100"/>
      <c r="P4" s="100"/>
      <c r="Q4" s="100"/>
      <c r="R4" s="100"/>
      <c r="S4" s="100"/>
      <c r="T4" s="99" t="s">
        <v>94</v>
      </c>
      <c r="U4" s="100"/>
      <c r="V4" s="100"/>
      <c r="W4" s="100"/>
      <c r="X4" s="100"/>
      <c r="Y4" s="100"/>
      <c r="Z4" s="100"/>
      <c r="AA4" s="100"/>
      <c r="AB4" s="99" t="s">
        <v>95</v>
      </c>
      <c r="AC4" s="100"/>
      <c r="AD4" s="100"/>
      <c r="AE4" s="100"/>
      <c r="AF4" s="100"/>
      <c r="AG4" s="100"/>
      <c r="AH4" s="100"/>
      <c r="AI4" s="100"/>
      <c r="AJ4" s="99" t="s">
        <v>96</v>
      </c>
      <c r="AK4" s="100"/>
      <c r="AL4" s="100"/>
      <c r="AM4" s="100"/>
      <c r="AN4" s="100"/>
      <c r="AO4" s="100"/>
      <c r="AP4" s="100"/>
      <c r="AQ4" s="100"/>
      <c r="AR4" s="99" t="s">
        <v>97</v>
      </c>
      <c r="AS4" s="100"/>
      <c r="AT4" s="100"/>
      <c r="AU4" s="100"/>
      <c r="AV4" s="100"/>
      <c r="AW4" s="100"/>
      <c r="AX4" s="100"/>
      <c r="AY4" s="100"/>
      <c r="AZ4" s="99" t="s">
        <v>98</v>
      </c>
      <c r="BA4" s="100"/>
      <c r="BB4" s="100"/>
      <c r="BC4" s="100"/>
      <c r="BD4" s="100"/>
      <c r="BE4" s="100"/>
      <c r="BF4" s="100"/>
      <c r="BG4" s="100"/>
      <c r="BH4" s="99" t="s">
        <v>99</v>
      </c>
      <c r="BI4" s="100"/>
      <c r="BJ4" s="100"/>
      <c r="BK4" s="100"/>
      <c r="BL4" s="100"/>
      <c r="BM4" s="100"/>
      <c r="BN4" s="100"/>
      <c r="BO4" s="100"/>
      <c r="BP4" s="99" t="s">
        <v>100</v>
      </c>
      <c r="BQ4" s="100"/>
      <c r="BR4" s="100"/>
      <c r="BS4" s="100"/>
      <c r="BT4" s="100"/>
      <c r="BU4" s="100"/>
      <c r="BV4" s="100"/>
      <c r="BW4" s="100"/>
      <c r="BX4" s="99" t="s">
        <v>101</v>
      </c>
      <c r="BY4" s="100"/>
      <c r="BZ4" s="100"/>
      <c r="CA4" s="100"/>
      <c r="CB4" s="100"/>
      <c r="CC4" s="100"/>
      <c r="CD4" s="100"/>
      <c r="CE4" s="100"/>
      <c r="CF4" s="99" t="s">
        <v>102</v>
      </c>
      <c r="CG4" s="100"/>
      <c r="CH4" s="100"/>
      <c r="CI4" s="100"/>
      <c r="CJ4" s="100"/>
      <c r="CK4" s="100"/>
      <c r="CL4" s="100"/>
      <c r="CM4" s="100"/>
      <c r="CN4" s="99" t="s">
        <v>103</v>
      </c>
      <c r="CO4" s="100"/>
      <c r="CP4" s="100"/>
      <c r="CQ4" s="100"/>
      <c r="CR4" s="100"/>
      <c r="CS4" s="100"/>
      <c r="CT4" s="100"/>
      <c r="CU4" s="100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>
        <v>7.199464183455853</v>
      </c>
      <c r="E6">
        <v>4164.1700837108656</v>
      </c>
      <c r="F6">
        <v>3.6633061363157111</v>
      </c>
      <c r="G6">
        <v>2118.8562692450073</v>
      </c>
      <c r="H6">
        <v>5.0342992074962529</v>
      </c>
      <c r="I6">
        <v>2911.8386616158327</v>
      </c>
      <c r="J6">
        <v>4.8421366783149189</v>
      </c>
      <c r="K6">
        <v>2800.6918547373489</v>
      </c>
      <c r="L6">
        <v>4.5288495965071833</v>
      </c>
      <c r="M6">
        <v>2619.4866066197546</v>
      </c>
      <c r="N6">
        <v>4.2740500714035994</v>
      </c>
      <c r="O6">
        <v>2472.1105612998417</v>
      </c>
      <c r="P6">
        <v>3.5202284598513094</v>
      </c>
      <c r="Q6">
        <v>2036.1001411779973</v>
      </c>
      <c r="R6">
        <v>6</v>
      </c>
      <c r="S6">
        <v>3470.3999999999996</v>
      </c>
      <c r="T6">
        <v>9</v>
      </c>
      <c r="U6">
        <v>5205.5999999999995</v>
      </c>
      <c r="V6">
        <v>6.1562202639511741</v>
      </c>
      <c r="W6">
        <v>3560.7578006693589</v>
      </c>
      <c r="X6">
        <v>2.9273718431715854</v>
      </c>
      <c r="Y6">
        <v>1693.191874090445</v>
      </c>
      <c r="Z6">
        <v>7.5401816975246794</v>
      </c>
      <c r="AA6">
        <v>4361.2410938482744</v>
      </c>
      <c r="AB6">
        <v>7</v>
      </c>
      <c r="AC6">
        <v>4048.7999999999997</v>
      </c>
      <c r="AD6">
        <v>8</v>
      </c>
      <c r="AE6">
        <v>4627.2</v>
      </c>
      <c r="AF6">
        <v>7.2310636793046701</v>
      </c>
      <c r="AG6">
        <v>4182.447232109821</v>
      </c>
      <c r="AH6">
        <v>6.7175036063363454</v>
      </c>
      <c r="AI6">
        <v>3885.4040859049419</v>
      </c>
      <c r="AJ6">
        <v>6.9291620942468803</v>
      </c>
      <c r="AK6">
        <v>4007.8273553123954</v>
      </c>
      <c r="AL6">
        <v>3.6216251941740167</v>
      </c>
      <c r="AM6">
        <v>2094.7480123102514</v>
      </c>
      <c r="AN6">
        <v>5.1902728784374856</v>
      </c>
      <c r="AO6">
        <v>3002.0538328882417</v>
      </c>
      <c r="AP6">
        <v>7</v>
      </c>
      <c r="AQ6">
        <v>4048.7999999999997</v>
      </c>
      <c r="AR6">
        <v>8.175242993547732</v>
      </c>
      <c r="AS6">
        <v>4728.5605474680078</v>
      </c>
      <c r="AT6">
        <v>4.6315789394367686</v>
      </c>
      <c r="AU6">
        <v>2678.905258570227</v>
      </c>
      <c r="AV6">
        <v>3.9529512643933131</v>
      </c>
      <c r="AW6">
        <v>2286.3870113250923</v>
      </c>
      <c r="AX6">
        <v>2.139064631263369</v>
      </c>
      <c r="AY6">
        <v>1237.2349827227326</v>
      </c>
      <c r="AZ6">
        <v>10</v>
      </c>
      <c r="BA6">
        <v>5784</v>
      </c>
      <c r="BB6">
        <v>9</v>
      </c>
      <c r="BC6">
        <v>5205.5999999999995</v>
      </c>
      <c r="BD6">
        <v>6.6393063172878986</v>
      </c>
      <c r="BE6">
        <v>3840.1747739193202</v>
      </c>
      <c r="BF6">
        <v>3.0422793003657231</v>
      </c>
      <c r="BG6">
        <v>1759.6543473315342</v>
      </c>
      <c r="BH6">
        <v>9</v>
      </c>
      <c r="BI6">
        <v>5205.5999999999995</v>
      </c>
      <c r="BJ6">
        <v>7.1972073005640578</v>
      </c>
      <c r="BK6">
        <v>4162.8647026462504</v>
      </c>
      <c r="BL6">
        <v>3.197589507613539</v>
      </c>
      <c r="BM6">
        <v>1849.485771203671</v>
      </c>
      <c r="BN6">
        <v>6</v>
      </c>
      <c r="BO6">
        <v>3470.3999999999996</v>
      </c>
      <c r="BP6">
        <v>8</v>
      </c>
      <c r="BQ6">
        <v>4627.2</v>
      </c>
      <c r="BR6">
        <v>9</v>
      </c>
      <c r="BS6">
        <v>5205.5999999999995</v>
      </c>
      <c r="BT6">
        <v>7.5447411423268047</v>
      </c>
      <c r="BU6">
        <v>4363.8782767218236</v>
      </c>
      <c r="BV6">
        <v>3.7768963516781016</v>
      </c>
      <c r="BW6">
        <v>2184.556849810614</v>
      </c>
      <c r="BX6">
        <v>10</v>
      </c>
      <c r="BY6">
        <v>5784</v>
      </c>
      <c r="BZ6">
        <v>5</v>
      </c>
      <c r="CA6">
        <v>2892</v>
      </c>
      <c r="CB6">
        <v>11</v>
      </c>
      <c r="CC6">
        <v>6362.4</v>
      </c>
      <c r="CD6">
        <v>5.2732714404457619</v>
      </c>
      <c r="CE6">
        <v>3050.0602011538285</v>
      </c>
      <c r="CF6">
        <v>5.7561543349199518</v>
      </c>
      <c r="CG6">
        <v>3329.3596673176999</v>
      </c>
      <c r="CH6">
        <v>8</v>
      </c>
      <c r="CI6">
        <v>4627.2</v>
      </c>
      <c r="CJ6">
        <v>9</v>
      </c>
      <c r="CK6">
        <v>5205.5999999999995</v>
      </c>
      <c r="CL6">
        <v>6</v>
      </c>
      <c r="CM6">
        <v>3470.3999999999996</v>
      </c>
      <c r="CN6">
        <v>8.5177117949468713</v>
      </c>
      <c r="CO6">
        <v>4926.6445021972704</v>
      </c>
      <c r="CP6">
        <v>3.6889542774363004</v>
      </c>
      <c r="CQ6">
        <v>2133.6911540691563</v>
      </c>
      <c r="CR6">
        <v>4.3516712752823477</v>
      </c>
      <c r="CS6">
        <v>2517.0066656233098</v>
      </c>
      <c r="CT6">
        <v>6</v>
      </c>
      <c r="CU6">
        <v>3470.3999999999996</v>
      </c>
    </row>
    <row r="7" spans="1:99">
      <c r="C7" s="99" t="s">
        <v>173</v>
      </c>
      <c r="D7">
        <v>8.1994641834558539</v>
      </c>
      <c r="E7">
        <v>6464.4575622365946</v>
      </c>
      <c r="F7">
        <v>3.6459465416179286</v>
      </c>
      <c r="G7">
        <v>2874.4642534115746</v>
      </c>
      <c r="H7">
        <v>5.0482727272579835</v>
      </c>
      <c r="I7">
        <v>3980.0582181701939</v>
      </c>
      <c r="J7">
        <v>4.8421366783149189</v>
      </c>
      <c r="K7">
        <v>3817.5405571834817</v>
      </c>
      <c r="L7">
        <v>4.5288495965071833</v>
      </c>
      <c r="M7">
        <v>3570.5450218862634</v>
      </c>
      <c r="N7">
        <v>4.2740500714035994</v>
      </c>
      <c r="O7">
        <v>3369.6610762945975</v>
      </c>
      <c r="P7">
        <v>3.5202284598513094</v>
      </c>
      <c r="Q7">
        <v>2775.3481177467725</v>
      </c>
      <c r="R7">
        <v>6</v>
      </c>
      <c r="S7">
        <v>4730.3999999999996</v>
      </c>
      <c r="T7">
        <v>8</v>
      </c>
      <c r="U7">
        <v>6307.2</v>
      </c>
      <c r="V7">
        <v>6.1562202639511741</v>
      </c>
      <c r="W7">
        <v>4853.5640560991051</v>
      </c>
      <c r="X7">
        <v>2.9273718431715854</v>
      </c>
      <c r="Y7">
        <v>2307.9399611564777</v>
      </c>
      <c r="Z7">
        <v>7.5401816975246794</v>
      </c>
      <c r="AA7">
        <v>5944.6792503284569</v>
      </c>
      <c r="AB7">
        <v>6</v>
      </c>
      <c r="AC7">
        <v>4730.3999999999996</v>
      </c>
      <c r="AD7">
        <v>9</v>
      </c>
      <c r="AE7">
        <v>7095.5999999999995</v>
      </c>
      <c r="AF7">
        <v>8.1349466392177536</v>
      </c>
      <c r="AG7">
        <v>6413.5919303592764</v>
      </c>
      <c r="AH7">
        <v>6.0457532457027101</v>
      </c>
      <c r="AI7">
        <v>4766.4718589120166</v>
      </c>
      <c r="AJ7">
        <v>6.1834352790911806</v>
      </c>
      <c r="AK7">
        <v>4875.0203740354864</v>
      </c>
      <c r="AL7">
        <v>3.6216251941740167</v>
      </c>
      <c r="AM7">
        <v>2855.2893030867949</v>
      </c>
      <c r="AN7">
        <v>5.1902728784374856</v>
      </c>
      <c r="AO7">
        <v>4092.0111373601135</v>
      </c>
      <c r="AP7">
        <v>6</v>
      </c>
      <c r="AQ7">
        <v>4730.3999999999996</v>
      </c>
      <c r="AR7">
        <v>8.175242993547732</v>
      </c>
      <c r="AS7">
        <v>6445.3615761130313</v>
      </c>
      <c r="AT7">
        <v>4.6315789394367686</v>
      </c>
      <c r="AU7">
        <v>3651.5368358519481</v>
      </c>
      <c r="AV7">
        <v>3.9266437242322989</v>
      </c>
      <c r="AW7">
        <v>3095.7659121847446</v>
      </c>
      <c r="AX7">
        <v>1.7825538593861407</v>
      </c>
      <c r="AY7">
        <v>1405.3654627400333</v>
      </c>
      <c r="AZ7">
        <v>9</v>
      </c>
      <c r="BA7">
        <v>7095.5999999999995</v>
      </c>
      <c r="BB7">
        <v>8</v>
      </c>
      <c r="BC7">
        <v>6307.2</v>
      </c>
      <c r="BD7">
        <v>7.5901289082657524</v>
      </c>
      <c r="BE7">
        <v>5984.0576312767189</v>
      </c>
      <c r="BF7">
        <v>2.6619943878200081</v>
      </c>
      <c r="BG7">
        <v>2098.7163753572945</v>
      </c>
      <c r="BH7">
        <v>8</v>
      </c>
      <c r="BI7">
        <v>6307.2</v>
      </c>
      <c r="BJ7">
        <v>7.1972073005640578</v>
      </c>
      <c r="BK7">
        <v>5674.2782357647029</v>
      </c>
      <c r="BL7">
        <v>3.197589507613539</v>
      </c>
      <c r="BM7">
        <v>2520.9795678025139</v>
      </c>
      <c r="BN7">
        <v>6</v>
      </c>
      <c r="BO7">
        <v>4730.3999999999996</v>
      </c>
      <c r="BP7">
        <v>8</v>
      </c>
      <c r="BQ7">
        <v>6307.2</v>
      </c>
      <c r="BR7">
        <v>8</v>
      </c>
      <c r="BS7">
        <v>6307.2</v>
      </c>
      <c r="BT7">
        <v>6.5447411423268047</v>
      </c>
      <c r="BU7">
        <v>5159.8739166104524</v>
      </c>
      <c r="BV7">
        <v>3.399206716510291</v>
      </c>
      <c r="BW7">
        <v>2679.9345752967133</v>
      </c>
      <c r="BX7">
        <v>10</v>
      </c>
      <c r="BY7">
        <v>7884</v>
      </c>
      <c r="BZ7">
        <v>6</v>
      </c>
      <c r="CA7">
        <v>4730.3999999999996</v>
      </c>
      <c r="CB7">
        <v>9</v>
      </c>
      <c r="CC7">
        <v>7095.5999999999995</v>
      </c>
      <c r="CD7">
        <v>5.2732714404457619</v>
      </c>
      <c r="CE7">
        <v>4157.447203647439</v>
      </c>
      <c r="CF7">
        <v>6.3957270387999454</v>
      </c>
      <c r="CG7">
        <v>5042.3911973898767</v>
      </c>
      <c r="CH7">
        <v>7</v>
      </c>
      <c r="CI7">
        <v>5518.8</v>
      </c>
      <c r="CJ7">
        <v>8</v>
      </c>
      <c r="CK7">
        <v>6307.2</v>
      </c>
      <c r="CL7">
        <v>6</v>
      </c>
      <c r="CM7">
        <v>4730.3999999999996</v>
      </c>
      <c r="CN7">
        <v>8.4778878107201887</v>
      </c>
      <c r="CO7">
        <v>6683.9667499717962</v>
      </c>
      <c r="CP7">
        <v>3.2539464058043404</v>
      </c>
      <c r="CQ7">
        <v>2565.4113463361418</v>
      </c>
      <c r="CR7">
        <v>4.3516712752823477</v>
      </c>
      <c r="CS7">
        <v>3430.8576334326026</v>
      </c>
      <c r="CT7">
        <v>6</v>
      </c>
      <c r="CU7">
        <v>4730.3999999999996</v>
      </c>
    </row>
    <row r="8" spans="1:99">
      <c r="C8" s="99" t="s">
        <v>174</v>
      </c>
      <c r="D8">
        <v>7.2279590668066893</v>
      </c>
      <c r="E8">
        <v>2237.7761270833507</v>
      </c>
      <c r="F8">
        <v>3.6633061363157111</v>
      </c>
      <c r="G8">
        <v>1134.1595798033441</v>
      </c>
      <c r="H8">
        <v>5.8826647552534483</v>
      </c>
      <c r="I8">
        <v>1821.2730082264675</v>
      </c>
      <c r="J8">
        <v>4.8421366783149189</v>
      </c>
      <c r="K8">
        <v>1499.1255156062987</v>
      </c>
      <c r="L8">
        <v>5.3946901891955408</v>
      </c>
      <c r="M8">
        <v>1670.1960825749393</v>
      </c>
      <c r="N8">
        <v>4.2740500714035994</v>
      </c>
      <c r="O8">
        <v>1323.2459021065542</v>
      </c>
      <c r="P8">
        <v>4.1069332031598611</v>
      </c>
      <c r="Q8">
        <v>1271.5065196982928</v>
      </c>
      <c r="R8">
        <v>6</v>
      </c>
      <c r="S8">
        <v>1857.6</v>
      </c>
      <c r="T8">
        <v>9</v>
      </c>
      <c r="U8">
        <v>2786.3999999999996</v>
      </c>
      <c r="V8">
        <v>6.1785374445156283</v>
      </c>
      <c r="W8">
        <v>1912.8751928220383</v>
      </c>
      <c r="X8">
        <v>2.9273718431715854</v>
      </c>
      <c r="Y8">
        <v>906.31432264592274</v>
      </c>
      <c r="Z8">
        <v>8.4827044097152644</v>
      </c>
      <c r="AA8">
        <v>2626.2452852478455</v>
      </c>
      <c r="AB8">
        <v>7</v>
      </c>
      <c r="AC8">
        <v>2167.1999999999998</v>
      </c>
      <c r="AD8">
        <v>8</v>
      </c>
      <c r="AE8">
        <v>2476.7999999999997</v>
      </c>
      <c r="AF8">
        <v>8.1349466392177536</v>
      </c>
      <c r="AG8">
        <v>2518.5794795018164</v>
      </c>
      <c r="AH8">
        <v>6.7175036063363454</v>
      </c>
      <c r="AI8">
        <v>2079.7391165217323</v>
      </c>
      <c r="AJ8">
        <v>7.6990689936076455</v>
      </c>
      <c r="AK8">
        <v>2383.6317604209266</v>
      </c>
      <c r="AL8">
        <v>4.0068364215108669</v>
      </c>
      <c r="AM8">
        <v>1240.5165560997643</v>
      </c>
      <c r="AN8">
        <v>5.7669698649305392</v>
      </c>
      <c r="AO8">
        <v>1785.4538701824947</v>
      </c>
      <c r="AP8">
        <v>6</v>
      </c>
      <c r="AQ8">
        <v>1857.6</v>
      </c>
      <c r="AR8">
        <v>7.1752429935477311</v>
      </c>
      <c r="AS8">
        <v>2221.4552308023772</v>
      </c>
      <c r="AT8">
        <v>4.6089953353804507</v>
      </c>
      <c r="AU8">
        <v>1426.9449558337874</v>
      </c>
      <c r="AV8">
        <v>3.9529512643933131</v>
      </c>
      <c r="AW8">
        <v>1223.8337114561696</v>
      </c>
      <c r="AX8">
        <v>2.139064631263369</v>
      </c>
      <c r="AY8">
        <v>662.25440983913893</v>
      </c>
      <c r="AZ8">
        <v>9</v>
      </c>
      <c r="BA8">
        <v>2786.3999999999996</v>
      </c>
      <c r="BB8">
        <v>9</v>
      </c>
      <c r="BC8">
        <v>2786.3999999999996</v>
      </c>
      <c r="BD8">
        <v>7.5901289082657524</v>
      </c>
      <c r="BE8">
        <v>2349.9039099990769</v>
      </c>
      <c r="BF8">
        <v>2.6619943878200081</v>
      </c>
      <c r="BG8">
        <v>824.15346246907438</v>
      </c>
      <c r="BH8">
        <v>10</v>
      </c>
      <c r="BI8">
        <v>3095.9999999999995</v>
      </c>
      <c r="BJ8">
        <v>7.2253797720732083</v>
      </c>
      <c r="BK8">
        <v>2236.977577433865</v>
      </c>
      <c r="BL8">
        <v>3.197589507613539</v>
      </c>
      <c r="BM8">
        <v>989.97371155715155</v>
      </c>
      <c r="BN8">
        <v>6</v>
      </c>
      <c r="BO8">
        <v>1857.6</v>
      </c>
      <c r="BP8">
        <v>8</v>
      </c>
      <c r="BQ8">
        <v>2476.7999999999997</v>
      </c>
      <c r="BR8">
        <v>8</v>
      </c>
      <c r="BS8">
        <v>2476.7999999999997</v>
      </c>
      <c r="BT8">
        <v>6.5942630643565137</v>
      </c>
      <c r="BU8">
        <v>2041.5838447247763</v>
      </c>
      <c r="BV8">
        <v>3.7768963516781016</v>
      </c>
      <c r="BW8">
        <v>1169.3271104795401</v>
      </c>
      <c r="BX8">
        <v>10</v>
      </c>
      <c r="BY8">
        <v>3095.9999999999995</v>
      </c>
      <c r="BZ8">
        <v>6</v>
      </c>
      <c r="CA8">
        <v>1857.6</v>
      </c>
      <c r="CB8">
        <v>11</v>
      </c>
      <c r="CC8">
        <v>3405.5999999999995</v>
      </c>
      <c r="CD8">
        <v>5.2732714404457619</v>
      </c>
      <c r="CE8">
        <v>1632.6048379620077</v>
      </c>
      <c r="CF8">
        <v>6.3957270387999454</v>
      </c>
      <c r="CG8">
        <v>1980.1170912124628</v>
      </c>
      <c r="CH8">
        <v>8</v>
      </c>
      <c r="CI8">
        <v>2476.7999999999997</v>
      </c>
      <c r="CJ8">
        <v>8</v>
      </c>
      <c r="CK8">
        <v>2476.7999999999997</v>
      </c>
      <c r="CL8">
        <v>6</v>
      </c>
      <c r="CM8">
        <v>1857.6</v>
      </c>
      <c r="CN8">
        <v>8.4778878107201887</v>
      </c>
      <c r="CO8">
        <v>2624.7540661989701</v>
      </c>
      <c r="CP8">
        <v>3.7098434078743625</v>
      </c>
      <c r="CQ8">
        <v>1148.5675190779025</v>
      </c>
      <c r="CR8">
        <v>4.7868384028105817</v>
      </c>
      <c r="CS8">
        <v>1482.0051695101558</v>
      </c>
      <c r="CT8">
        <v>7</v>
      </c>
      <c r="CU8">
        <v>2167.1999999999998</v>
      </c>
    </row>
    <row r="9" spans="1:99">
      <c r="C9" s="99" t="s">
        <v>175</v>
      </c>
      <c r="D9">
        <v>8.2279590668066902</v>
      </c>
      <c r="E9">
        <v>5776.0272648982964</v>
      </c>
      <c r="F9">
        <v>3.6633061363157111</v>
      </c>
      <c r="G9">
        <v>2571.6409076936293</v>
      </c>
      <c r="H9">
        <v>5.8547177157299863</v>
      </c>
      <c r="I9">
        <v>4110.0118364424507</v>
      </c>
      <c r="J9">
        <v>3.8737093426519351</v>
      </c>
      <c r="K9">
        <v>2719.3439585416586</v>
      </c>
      <c r="L9">
        <v>5.4168731484250294</v>
      </c>
      <c r="M9">
        <v>3802.6449501943707</v>
      </c>
      <c r="N9">
        <v>4.2740500714035994</v>
      </c>
      <c r="O9">
        <v>3000.3831501253267</v>
      </c>
      <c r="P9">
        <v>4.1069332031598611</v>
      </c>
      <c r="Q9">
        <v>2883.0671086182224</v>
      </c>
      <c r="R9">
        <v>6</v>
      </c>
      <c r="S9">
        <v>4212</v>
      </c>
      <c r="T9">
        <v>9</v>
      </c>
      <c r="U9">
        <v>6318</v>
      </c>
      <c r="V9">
        <v>6.1785374445156283</v>
      </c>
      <c r="W9">
        <v>4337.3332860499713</v>
      </c>
      <c r="X9">
        <v>2.9273718431715854</v>
      </c>
      <c r="Y9">
        <v>2055.015033906453</v>
      </c>
      <c r="Z9">
        <v>6.5976589853340935</v>
      </c>
      <c r="AA9">
        <v>4631.5566077045332</v>
      </c>
      <c r="AB9">
        <v>7</v>
      </c>
      <c r="AC9">
        <v>4914</v>
      </c>
      <c r="AD9">
        <v>9</v>
      </c>
      <c r="AE9">
        <v>6318</v>
      </c>
      <c r="AF9">
        <v>7.2310636793046701</v>
      </c>
      <c r="AG9">
        <v>5076.2067028718784</v>
      </c>
      <c r="AH9">
        <v>6.7175036063363454</v>
      </c>
      <c r="AI9">
        <v>4715.6875316481146</v>
      </c>
      <c r="AJ9">
        <v>6.1834352790911806</v>
      </c>
      <c r="AK9">
        <v>4340.7715659220084</v>
      </c>
      <c r="AL9">
        <v>3.6216251941740167</v>
      </c>
      <c r="AM9">
        <v>2542.3808863101599</v>
      </c>
      <c r="AN9">
        <v>5.1902728784374856</v>
      </c>
      <c r="AO9">
        <v>3643.5715606631147</v>
      </c>
      <c r="AP9">
        <v>7</v>
      </c>
      <c r="AQ9">
        <v>4914</v>
      </c>
      <c r="AR9">
        <v>7.1502082801837696</v>
      </c>
      <c r="AS9">
        <v>5019.4462126890066</v>
      </c>
      <c r="AT9">
        <v>4.6315789394367686</v>
      </c>
      <c r="AU9">
        <v>3251.3684154846114</v>
      </c>
      <c r="AV9">
        <v>3.9266437242322989</v>
      </c>
      <c r="AW9">
        <v>2756.5038944110738</v>
      </c>
      <c r="AX9">
        <v>2.139064631263369</v>
      </c>
      <c r="AY9">
        <v>1501.6233711468851</v>
      </c>
      <c r="AZ9">
        <v>9</v>
      </c>
      <c r="BA9">
        <v>6318</v>
      </c>
      <c r="BB9">
        <v>9</v>
      </c>
      <c r="BC9">
        <v>6318</v>
      </c>
      <c r="BD9">
        <v>6.5409514992436062</v>
      </c>
      <c r="BE9">
        <v>4591.7479524690116</v>
      </c>
      <c r="BF9">
        <v>2.6619943878200081</v>
      </c>
      <c r="BG9">
        <v>1868.7200602496457</v>
      </c>
      <c r="BH9">
        <v>10</v>
      </c>
      <c r="BI9">
        <v>7020</v>
      </c>
      <c r="BJ9">
        <v>7.1690348290549064</v>
      </c>
      <c r="BK9">
        <v>5032.6624499965446</v>
      </c>
      <c r="BL9">
        <v>3.197589507613539</v>
      </c>
      <c r="BM9">
        <v>2244.7078343447042</v>
      </c>
      <c r="BN9">
        <v>6</v>
      </c>
      <c r="BO9">
        <v>4212</v>
      </c>
      <c r="BP9">
        <v>9</v>
      </c>
      <c r="BQ9">
        <v>6318</v>
      </c>
      <c r="BR9">
        <v>8</v>
      </c>
      <c r="BS9">
        <v>5616</v>
      </c>
      <c r="BT9">
        <v>6.5447411423268047</v>
      </c>
      <c r="BU9">
        <v>4594.4082819134173</v>
      </c>
      <c r="BV9">
        <v>3.399206716510291</v>
      </c>
      <c r="BW9">
        <v>2386.2431149902245</v>
      </c>
      <c r="BX9">
        <v>11</v>
      </c>
      <c r="BY9">
        <v>7722</v>
      </c>
      <c r="BZ9">
        <v>6</v>
      </c>
      <c r="CA9">
        <v>4212</v>
      </c>
      <c r="CB9">
        <v>10</v>
      </c>
      <c r="CC9">
        <v>7020</v>
      </c>
      <c r="CD9">
        <v>5.2732714404457619</v>
      </c>
      <c r="CE9">
        <v>3701.8365511929251</v>
      </c>
      <c r="CF9">
        <v>6.3957270387999454</v>
      </c>
      <c r="CG9">
        <v>4489.8003812375619</v>
      </c>
      <c r="CH9">
        <v>7</v>
      </c>
      <c r="CI9">
        <v>4914</v>
      </c>
      <c r="CJ9">
        <v>8</v>
      </c>
      <c r="CK9">
        <v>5616</v>
      </c>
      <c r="CL9">
        <v>5</v>
      </c>
      <c r="CM9">
        <v>3510</v>
      </c>
      <c r="CN9">
        <v>8.4778878107201887</v>
      </c>
      <c r="CO9">
        <v>5951.4772431255724</v>
      </c>
      <c r="CP9">
        <v>3.6680651469982388</v>
      </c>
      <c r="CQ9">
        <v>2574.9817331927638</v>
      </c>
      <c r="CR9">
        <v>4.7868384028105817</v>
      </c>
      <c r="CS9">
        <v>3360.3605587730285</v>
      </c>
      <c r="CT9">
        <v>6</v>
      </c>
      <c r="CU9">
        <v>4212</v>
      </c>
    </row>
    <row r="10" spans="1:99">
      <c r="C10" s="99" t="s">
        <v>176</v>
      </c>
      <c r="D10">
        <v>8.1994641834558539</v>
      </c>
      <c r="E10">
        <v>4467.0680871467484</v>
      </c>
      <c r="F10">
        <v>3.6633061363157111</v>
      </c>
      <c r="G10">
        <v>1995.7691830647993</v>
      </c>
      <c r="H10">
        <v>5.0622462470197149</v>
      </c>
      <c r="I10">
        <v>2757.9117553763404</v>
      </c>
      <c r="J10">
        <v>4.8421366783149189</v>
      </c>
      <c r="K10">
        <v>2637.9960623459674</v>
      </c>
      <c r="L10">
        <v>5.3946901891955408</v>
      </c>
      <c r="M10">
        <v>2939.0272150737305</v>
      </c>
      <c r="N10">
        <v>4.3132956501881061</v>
      </c>
      <c r="O10">
        <v>2349.8834702224799</v>
      </c>
      <c r="P10">
        <v>3.5202284598513094</v>
      </c>
      <c r="Q10">
        <v>1917.8204649269933</v>
      </c>
      <c r="R10">
        <v>5</v>
      </c>
      <c r="S10">
        <v>2724</v>
      </c>
      <c r="T10">
        <v>9</v>
      </c>
      <c r="U10">
        <v>4903.2</v>
      </c>
      <c r="V10">
        <v>6.1785374445156283</v>
      </c>
      <c r="W10">
        <v>3366.0671997721138</v>
      </c>
      <c r="X10">
        <v>2.9273718431715854</v>
      </c>
      <c r="Y10">
        <v>1594.8321801598795</v>
      </c>
      <c r="Z10">
        <v>7.5401816975246794</v>
      </c>
      <c r="AA10">
        <v>4107.8909888114449</v>
      </c>
      <c r="AB10">
        <v>7</v>
      </c>
      <c r="AC10">
        <v>3813.5999999999995</v>
      </c>
      <c r="AD10">
        <v>8</v>
      </c>
      <c r="AE10">
        <v>4358.3999999999996</v>
      </c>
      <c r="AF10">
        <v>8.1349466392177536</v>
      </c>
      <c r="AG10">
        <v>4431.9189290458316</v>
      </c>
      <c r="AH10">
        <v>6.0457532457027101</v>
      </c>
      <c r="AI10">
        <v>3293.7263682588364</v>
      </c>
      <c r="AJ10">
        <v>6.9291620942468803</v>
      </c>
      <c r="AK10">
        <v>3775.0075089457</v>
      </c>
      <c r="AL10">
        <v>3.6044336221581976</v>
      </c>
      <c r="AM10">
        <v>1963.6954373517858</v>
      </c>
      <c r="AN10">
        <v>5.1902728784374856</v>
      </c>
      <c r="AO10">
        <v>2827.6606641727421</v>
      </c>
      <c r="AP10">
        <v>6</v>
      </c>
      <c r="AQ10">
        <v>3268.7999999999997</v>
      </c>
      <c r="AR10">
        <v>7.1752429935477311</v>
      </c>
      <c r="AS10">
        <v>3909.0723828848036</v>
      </c>
      <c r="AT10">
        <v>5.3771612246105267</v>
      </c>
      <c r="AU10">
        <v>2929.4774351678147</v>
      </c>
      <c r="AV10">
        <v>3.9266437242322989</v>
      </c>
      <c r="AW10">
        <v>2139.2355009617563</v>
      </c>
      <c r="AX10">
        <v>2.139064631263369</v>
      </c>
      <c r="AY10">
        <v>1165.3624111122833</v>
      </c>
      <c r="AZ10">
        <v>11</v>
      </c>
      <c r="BA10">
        <v>5992.7999999999993</v>
      </c>
      <c r="BB10">
        <v>8</v>
      </c>
      <c r="BC10">
        <v>4358.3999999999996</v>
      </c>
      <c r="BD10">
        <v>6.5409514992436062</v>
      </c>
      <c r="BE10">
        <v>3563.5103767879164</v>
      </c>
      <c r="BF10">
        <v>3.0422793003657231</v>
      </c>
      <c r="BG10">
        <v>1657.4337628392459</v>
      </c>
      <c r="BH10">
        <v>9</v>
      </c>
      <c r="BI10">
        <v>4903.2</v>
      </c>
      <c r="BJ10">
        <v>8.1972073005640578</v>
      </c>
      <c r="BK10">
        <v>4465.8385373472984</v>
      </c>
      <c r="BL10">
        <v>3.197589507613539</v>
      </c>
      <c r="BM10">
        <v>1742.0467637478559</v>
      </c>
      <c r="BN10">
        <v>7</v>
      </c>
      <c r="BO10">
        <v>3813.5999999999995</v>
      </c>
      <c r="BP10">
        <v>8</v>
      </c>
      <c r="BQ10">
        <v>4358.3999999999996</v>
      </c>
      <c r="BR10">
        <v>8</v>
      </c>
      <c r="BS10">
        <v>4358.3999999999996</v>
      </c>
      <c r="BT10">
        <v>5.4952192202970949</v>
      </c>
      <c r="BU10">
        <v>2993.7954312178572</v>
      </c>
      <c r="BV10">
        <v>4.1545859868459116</v>
      </c>
      <c r="BW10">
        <v>2263.4184456336525</v>
      </c>
      <c r="BX10">
        <v>10</v>
      </c>
      <c r="BY10">
        <v>5448</v>
      </c>
      <c r="BZ10">
        <v>6</v>
      </c>
      <c r="CA10">
        <v>3268.7999999999997</v>
      </c>
      <c r="CB10">
        <v>10</v>
      </c>
      <c r="CC10">
        <v>5448</v>
      </c>
      <c r="CD10">
        <v>5.2504988204086152</v>
      </c>
      <c r="CE10">
        <v>2860.4717573586131</v>
      </c>
      <c r="CF10">
        <v>6.3957270387999454</v>
      </c>
      <c r="CG10">
        <v>3484.3920907382098</v>
      </c>
      <c r="CH10">
        <v>7</v>
      </c>
      <c r="CI10">
        <v>3813.5999999999995</v>
      </c>
      <c r="CJ10">
        <v>8</v>
      </c>
      <c r="CK10">
        <v>4358.3999999999996</v>
      </c>
      <c r="CL10">
        <v>5</v>
      </c>
      <c r="CM10">
        <v>2724</v>
      </c>
      <c r="CN10">
        <v>7.5177117949468704</v>
      </c>
      <c r="CO10">
        <v>4095.6493858870544</v>
      </c>
      <c r="CP10">
        <v>3.2748355362424029</v>
      </c>
      <c r="CQ10">
        <v>1784.1304001448609</v>
      </c>
      <c r="CR10">
        <v>4.3516712752823477</v>
      </c>
      <c r="CS10">
        <v>2370.7905107738229</v>
      </c>
      <c r="CT10">
        <v>6</v>
      </c>
      <c r="CU10">
        <v>3268.7999999999997</v>
      </c>
    </row>
    <row r="11" spans="1:99">
      <c r="C11" s="99" t="s">
        <v>177</v>
      </c>
      <c r="D11">
        <v>8.1994641834558539</v>
      </c>
      <c r="E11">
        <v>4368.6745169452788</v>
      </c>
      <c r="F11">
        <v>3.6459465416179286</v>
      </c>
      <c r="G11">
        <v>1942.5603173740321</v>
      </c>
      <c r="H11">
        <v>5.0482727272579835</v>
      </c>
      <c r="I11">
        <v>2689.7197090830532</v>
      </c>
      <c r="J11">
        <v>4.8421366783149189</v>
      </c>
      <c r="K11">
        <v>2579.8904222061888</v>
      </c>
      <c r="L11">
        <v>5.3725072299660512</v>
      </c>
      <c r="M11">
        <v>2862.4718521259119</v>
      </c>
      <c r="N11">
        <v>4.3132956501881061</v>
      </c>
      <c r="O11">
        <v>2298.1239224202227</v>
      </c>
      <c r="P11">
        <v>4.1069332031598611</v>
      </c>
      <c r="Q11">
        <v>2188.1740106435736</v>
      </c>
      <c r="R11">
        <v>5</v>
      </c>
      <c r="S11">
        <v>2664</v>
      </c>
      <c r="T11">
        <v>9</v>
      </c>
      <c r="U11">
        <v>4795.2</v>
      </c>
      <c r="V11">
        <v>6.1562202639511741</v>
      </c>
      <c r="W11">
        <v>3280.0341566331854</v>
      </c>
      <c r="X11">
        <v>2.9273718431715854</v>
      </c>
      <c r="Y11">
        <v>1559.7037180418206</v>
      </c>
      <c r="Z11">
        <v>8.4827044097152644</v>
      </c>
      <c r="AA11">
        <v>4519.5849094962923</v>
      </c>
      <c r="AB11">
        <v>6</v>
      </c>
      <c r="AC11">
        <v>3196.7999999999997</v>
      </c>
      <c r="AD11">
        <v>8</v>
      </c>
      <c r="AE11">
        <v>4262.3999999999996</v>
      </c>
      <c r="AF11">
        <v>8.1349466392177536</v>
      </c>
      <c r="AG11">
        <v>4334.2995693752191</v>
      </c>
      <c r="AH11">
        <v>6.0457532457027101</v>
      </c>
      <c r="AI11">
        <v>3221.1773293104038</v>
      </c>
      <c r="AJ11">
        <v>6.9291620942468803</v>
      </c>
      <c r="AK11">
        <v>3691.8575638147377</v>
      </c>
      <c r="AL11">
        <v>3.638816766189835</v>
      </c>
      <c r="AM11">
        <v>1938.7615730259438</v>
      </c>
      <c r="AN11">
        <v>5.1902728784374856</v>
      </c>
      <c r="AO11">
        <v>2765.377389631492</v>
      </c>
      <c r="AP11">
        <v>6</v>
      </c>
      <c r="AQ11">
        <v>3196.7999999999997</v>
      </c>
      <c r="AR11">
        <v>8.175242993547732</v>
      </c>
      <c r="AS11">
        <v>4355.7694669622315</v>
      </c>
      <c r="AT11">
        <v>5.3771612246105267</v>
      </c>
      <c r="AU11">
        <v>2864.9515004724885</v>
      </c>
      <c r="AV11">
        <v>4.5679305748571748</v>
      </c>
      <c r="AW11">
        <v>2433.7934102839026</v>
      </c>
      <c r="AX11">
        <v>1.7825538593861407</v>
      </c>
      <c r="AY11">
        <v>949.74469628093573</v>
      </c>
      <c r="AZ11">
        <v>10</v>
      </c>
      <c r="BA11">
        <v>5328</v>
      </c>
      <c r="BB11">
        <v>9</v>
      </c>
      <c r="BC11">
        <v>4795.2</v>
      </c>
      <c r="BD11">
        <v>6.5409514992436062</v>
      </c>
      <c r="BE11">
        <v>3485.018958796993</v>
      </c>
      <c r="BF11">
        <v>3.0422793003657231</v>
      </c>
      <c r="BG11">
        <v>1620.9264112348571</v>
      </c>
      <c r="BH11">
        <v>9</v>
      </c>
      <c r="BI11">
        <v>4795.2</v>
      </c>
      <c r="BJ11">
        <v>8.1972073005640578</v>
      </c>
      <c r="BK11">
        <v>4367.4720497405297</v>
      </c>
      <c r="BL11">
        <v>2.8423017845453682</v>
      </c>
      <c r="BM11">
        <v>1514.3783908057721</v>
      </c>
      <c r="BN11">
        <v>6</v>
      </c>
      <c r="BO11">
        <v>3196.7999999999997</v>
      </c>
      <c r="BP11">
        <v>8</v>
      </c>
      <c r="BQ11">
        <v>4262.3999999999996</v>
      </c>
      <c r="BR11">
        <v>8</v>
      </c>
      <c r="BS11">
        <v>4262.3999999999996</v>
      </c>
      <c r="BT11">
        <v>6.5942630643565137</v>
      </c>
      <c r="BU11">
        <v>3513.4233606891503</v>
      </c>
      <c r="BV11">
        <v>4.1545859868459116</v>
      </c>
      <c r="BW11">
        <v>2213.5634137915017</v>
      </c>
      <c r="BX11">
        <v>11</v>
      </c>
      <c r="BY11">
        <v>5860.7999999999993</v>
      </c>
      <c r="BZ11">
        <v>5</v>
      </c>
      <c r="CA11">
        <v>2664</v>
      </c>
      <c r="CB11">
        <v>11</v>
      </c>
      <c r="CC11">
        <v>5860.7999999999993</v>
      </c>
      <c r="CD11">
        <v>5.2277262003714684</v>
      </c>
      <c r="CE11">
        <v>2785.3325195579182</v>
      </c>
      <c r="CF11">
        <v>5.7561543349199518</v>
      </c>
      <c r="CG11">
        <v>3066.8790296453499</v>
      </c>
      <c r="CH11">
        <v>7</v>
      </c>
      <c r="CI11">
        <v>3729.5999999999995</v>
      </c>
      <c r="CJ11">
        <v>9</v>
      </c>
      <c r="CK11">
        <v>4795.2</v>
      </c>
      <c r="CL11">
        <v>6</v>
      </c>
      <c r="CM11">
        <v>3196.7999999999997</v>
      </c>
      <c r="CN11">
        <v>8.4778878107201887</v>
      </c>
      <c r="CO11">
        <v>4517.0186255517165</v>
      </c>
      <c r="CP11">
        <v>3.2748355362424029</v>
      </c>
      <c r="CQ11">
        <v>1744.8323737099522</v>
      </c>
      <c r="CR11">
        <v>4.3516712752823477</v>
      </c>
      <c r="CS11">
        <v>2318.5704554704348</v>
      </c>
      <c r="CT11">
        <v>6</v>
      </c>
      <c r="CU11">
        <v>3196.7999999999997</v>
      </c>
    </row>
    <row r="12" spans="1:99">
      <c r="C12" s="99" t="s">
        <v>178</v>
      </c>
      <c r="D12">
        <v>7.2279590668066893</v>
      </c>
      <c r="E12">
        <v>4067.8953627988044</v>
      </c>
      <c r="F12">
        <v>3.6633061363157111</v>
      </c>
      <c r="G12">
        <v>2061.7086935184821</v>
      </c>
      <c r="H12">
        <v>5.8686912354917169</v>
      </c>
      <c r="I12">
        <v>3302.899427334738</v>
      </c>
      <c r="J12">
        <v>4.8421366783149189</v>
      </c>
      <c r="K12">
        <v>2725.154522555636</v>
      </c>
      <c r="L12">
        <v>5.3725072299660512</v>
      </c>
      <c r="M12">
        <v>3023.6470690248934</v>
      </c>
      <c r="N12">
        <v>4.2740500714035994</v>
      </c>
      <c r="O12">
        <v>2405.4353801859456</v>
      </c>
      <c r="P12">
        <v>3.5202284598513094</v>
      </c>
      <c r="Q12">
        <v>1981.1845772043168</v>
      </c>
      <c r="R12">
        <v>6</v>
      </c>
      <c r="S12">
        <v>3376.7999999999997</v>
      </c>
      <c r="T12">
        <v>8</v>
      </c>
      <c r="U12">
        <v>4502.3999999999996</v>
      </c>
      <c r="V12">
        <v>6.1562202639511741</v>
      </c>
      <c r="W12">
        <v>3464.7207645517205</v>
      </c>
      <c r="X12">
        <v>2.9273718431715854</v>
      </c>
      <c r="Y12">
        <v>1647.5248733369681</v>
      </c>
      <c r="Z12">
        <v>7.5401816975246794</v>
      </c>
      <c r="AA12">
        <v>4243.6142593668892</v>
      </c>
      <c r="AB12">
        <v>6</v>
      </c>
      <c r="AC12">
        <v>3376.7999999999997</v>
      </c>
      <c r="AD12">
        <v>8</v>
      </c>
      <c r="AE12">
        <v>4502.3999999999996</v>
      </c>
      <c r="AF12">
        <v>7.2310636793046701</v>
      </c>
      <c r="AG12">
        <v>4069.642638712668</v>
      </c>
      <c r="AH12">
        <v>6.0457532457027101</v>
      </c>
      <c r="AI12">
        <v>3402.549926681485</v>
      </c>
      <c r="AJ12">
        <v>6.9291620942468803</v>
      </c>
      <c r="AK12">
        <v>3899.7324266421438</v>
      </c>
      <c r="AL12">
        <v>3.9896448494950483</v>
      </c>
      <c r="AM12">
        <v>2245.372121295813</v>
      </c>
      <c r="AN12">
        <v>4.6135758919444312</v>
      </c>
      <c r="AO12">
        <v>2596.5205119863258</v>
      </c>
      <c r="AP12">
        <v>6</v>
      </c>
      <c r="AQ12">
        <v>3376.7999999999997</v>
      </c>
      <c r="AR12">
        <v>7.1752429935477311</v>
      </c>
      <c r="AS12">
        <v>4038.2267567686627</v>
      </c>
      <c r="AT12">
        <v>4.6315789394367686</v>
      </c>
      <c r="AU12">
        <v>2606.6526271150133</v>
      </c>
      <c r="AV12">
        <v>4.5679305748571748</v>
      </c>
      <c r="AW12">
        <v>2570.8313275296177</v>
      </c>
      <c r="AX12">
        <v>1.7825538593861407</v>
      </c>
      <c r="AY12">
        <v>1003.2213120625199</v>
      </c>
      <c r="AZ12">
        <v>10</v>
      </c>
      <c r="BA12">
        <v>5628</v>
      </c>
      <c r="BB12">
        <v>8</v>
      </c>
      <c r="BC12">
        <v>4502.3999999999996</v>
      </c>
      <c r="BD12">
        <v>6.5901289082657524</v>
      </c>
      <c r="BE12">
        <v>3708.9245495719651</v>
      </c>
      <c r="BF12">
        <v>3.0422793003657231</v>
      </c>
      <c r="BG12">
        <v>1712.1947902458289</v>
      </c>
      <c r="BH12">
        <v>10</v>
      </c>
      <c r="BI12">
        <v>5628</v>
      </c>
      <c r="BJ12">
        <v>7.1972073005640578</v>
      </c>
      <c r="BK12">
        <v>4050.5882687574513</v>
      </c>
      <c r="BL12">
        <v>2.8423017845453682</v>
      </c>
      <c r="BM12">
        <v>1599.647444342133</v>
      </c>
      <c r="BN12">
        <v>6</v>
      </c>
      <c r="BO12">
        <v>3376.7999999999997</v>
      </c>
      <c r="BP12">
        <v>9</v>
      </c>
      <c r="BQ12">
        <v>5065.2</v>
      </c>
      <c r="BR12">
        <v>8</v>
      </c>
      <c r="BS12">
        <v>4502.3999999999996</v>
      </c>
      <c r="BT12">
        <v>6.5942630643565137</v>
      </c>
      <c r="BU12">
        <v>3711.2512526198457</v>
      </c>
      <c r="BV12">
        <v>4.1545859868459116</v>
      </c>
      <c r="BW12">
        <v>2338.2009933968789</v>
      </c>
      <c r="BX12">
        <v>11</v>
      </c>
      <c r="BY12">
        <v>6190.7999999999993</v>
      </c>
      <c r="BZ12">
        <v>6</v>
      </c>
      <c r="CA12">
        <v>3376.7999999999997</v>
      </c>
      <c r="CB12">
        <v>9</v>
      </c>
      <c r="CC12">
        <v>5065.2</v>
      </c>
      <c r="CD12">
        <v>6.2732714404457619</v>
      </c>
      <c r="CE12">
        <v>3530.5971666828746</v>
      </c>
      <c r="CF12">
        <v>7.03529974267994</v>
      </c>
      <c r="CG12">
        <v>3959.4666951802701</v>
      </c>
      <c r="CH12">
        <v>7</v>
      </c>
      <c r="CI12">
        <v>3939.5999999999995</v>
      </c>
      <c r="CJ12">
        <v>8</v>
      </c>
      <c r="CK12">
        <v>4502.3999999999996</v>
      </c>
      <c r="CL12">
        <v>5</v>
      </c>
      <c r="CM12">
        <v>2814</v>
      </c>
      <c r="CN12">
        <v>8.4778878107201887</v>
      </c>
      <c r="CO12">
        <v>4771.3552598733222</v>
      </c>
      <c r="CP12">
        <v>3.6889542774363004</v>
      </c>
      <c r="CQ12">
        <v>2076.1434673411495</v>
      </c>
      <c r="CR12">
        <v>4.7868384028105817</v>
      </c>
      <c r="CS12">
        <v>2694.0326531017949</v>
      </c>
      <c r="CT12">
        <v>6</v>
      </c>
      <c r="CU12">
        <v>3376.7999999999997</v>
      </c>
    </row>
    <row r="13" spans="1:99">
      <c r="C13" s="99" t="s">
        <v>179</v>
      </c>
      <c r="D13">
        <v>7.2279590668066893</v>
      </c>
      <c r="E13">
        <v>615.82211249192994</v>
      </c>
      <c r="F13">
        <v>4.3681920120624014</v>
      </c>
      <c r="G13">
        <v>372.16995942771661</v>
      </c>
      <c r="H13">
        <v>5.8826647552534483</v>
      </c>
      <c r="I13">
        <v>501.20303714759382</v>
      </c>
      <c r="J13">
        <v>3.8737093426519351</v>
      </c>
      <c r="K13">
        <v>330.04003599394485</v>
      </c>
      <c r="L13">
        <v>5.3946901891955408</v>
      </c>
      <c r="M13">
        <v>459.6276041194601</v>
      </c>
      <c r="N13">
        <v>4.352541228972612</v>
      </c>
      <c r="O13">
        <v>370.83651270846656</v>
      </c>
      <c r="P13">
        <v>3.5202284598513094</v>
      </c>
      <c r="Q13">
        <v>299.9234647793316</v>
      </c>
      <c r="R13">
        <v>5</v>
      </c>
      <c r="S13">
        <v>426</v>
      </c>
      <c r="T13">
        <v>8</v>
      </c>
      <c r="U13">
        <v>681.6</v>
      </c>
      <c r="V13">
        <v>6.1562202639511741</v>
      </c>
      <c r="W13">
        <v>524.50996648864009</v>
      </c>
      <c r="X13">
        <v>2.9273718431715854</v>
      </c>
      <c r="Y13">
        <v>249.41208103821907</v>
      </c>
      <c r="Z13">
        <v>7.5401816975246794</v>
      </c>
      <c r="AA13">
        <v>642.42348062910276</v>
      </c>
      <c r="AB13">
        <v>7</v>
      </c>
      <c r="AC13">
        <v>596.4</v>
      </c>
      <c r="AD13">
        <v>8</v>
      </c>
      <c r="AE13">
        <v>681.6</v>
      </c>
      <c r="AF13">
        <v>7.2310636793046701</v>
      </c>
      <c r="AG13">
        <v>616.08662547675794</v>
      </c>
      <c r="AH13">
        <v>6.7175036063363454</v>
      </c>
      <c r="AI13">
        <v>572.33130725985666</v>
      </c>
      <c r="AJ13">
        <v>6.9291620942468803</v>
      </c>
      <c r="AK13">
        <v>590.36461042983422</v>
      </c>
      <c r="AL13">
        <v>4.0068364215108669</v>
      </c>
      <c r="AM13">
        <v>341.38246311272587</v>
      </c>
      <c r="AN13">
        <v>4.6135758919444312</v>
      </c>
      <c r="AO13">
        <v>393.07666599366553</v>
      </c>
      <c r="AP13">
        <v>6</v>
      </c>
      <c r="AQ13">
        <v>511.20000000000005</v>
      </c>
      <c r="AR13">
        <v>7.1752429935477311</v>
      </c>
      <c r="AS13">
        <v>611.33070305026672</v>
      </c>
      <c r="AT13">
        <v>5.3771612246105267</v>
      </c>
      <c r="AU13">
        <v>458.13413633681688</v>
      </c>
      <c r="AV13">
        <v>3.9529512643933131</v>
      </c>
      <c r="AW13">
        <v>336.79144772631031</v>
      </c>
      <c r="AX13">
        <v>2.139064631263369</v>
      </c>
      <c r="AY13">
        <v>182.24830658363905</v>
      </c>
      <c r="AZ13">
        <v>9</v>
      </c>
      <c r="BA13">
        <v>766.80000000000007</v>
      </c>
      <c r="BB13">
        <v>10</v>
      </c>
      <c r="BC13">
        <v>852</v>
      </c>
      <c r="BD13">
        <v>6.6393063172878986</v>
      </c>
      <c r="BE13">
        <v>565.668898232929</v>
      </c>
      <c r="BF13">
        <v>2.6619943878200081</v>
      </c>
      <c r="BG13">
        <v>226.8019218422647</v>
      </c>
      <c r="BH13">
        <v>10</v>
      </c>
      <c r="BI13">
        <v>852</v>
      </c>
      <c r="BJ13">
        <v>8.1972073005640578</v>
      </c>
      <c r="BK13">
        <v>698.40206200805778</v>
      </c>
      <c r="BL13">
        <v>3.197589507613539</v>
      </c>
      <c r="BM13">
        <v>272.43462604867352</v>
      </c>
      <c r="BN13">
        <v>7</v>
      </c>
      <c r="BO13">
        <v>596.4</v>
      </c>
      <c r="BP13">
        <v>8</v>
      </c>
      <c r="BQ13">
        <v>681.6</v>
      </c>
      <c r="BR13">
        <v>8</v>
      </c>
      <c r="BS13">
        <v>681.6</v>
      </c>
      <c r="BT13">
        <v>6.5942630643565137</v>
      </c>
      <c r="BU13">
        <v>561.83121308317493</v>
      </c>
      <c r="BV13">
        <v>3.399206716510291</v>
      </c>
      <c r="BW13">
        <v>289.6124122466768</v>
      </c>
      <c r="BX13">
        <v>9</v>
      </c>
      <c r="BY13">
        <v>766.80000000000007</v>
      </c>
      <c r="BZ13">
        <v>6</v>
      </c>
      <c r="CA13">
        <v>511.20000000000005</v>
      </c>
      <c r="CB13">
        <v>10</v>
      </c>
      <c r="CC13">
        <v>852</v>
      </c>
      <c r="CD13">
        <v>5.2732714404457619</v>
      </c>
      <c r="CE13">
        <v>449.28272672597893</v>
      </c>
      <c r="CF13">
        <v>6.3957270387999454</v>
      </c>
      <c r="CG13">
        <v>544.91594370575535</v>
      </c>
      <c r="CH13">
        <v>8</v>
      </c>
      <c r="CI13">
        <v>681.6</v>
      </c>
      <c r="CJ13">
        <v>8</v>
      </c>
      <c r="CK13">
        <v>681.6</v>
      </c>
      <c r="CL13">
        <v>5</v>
      </c>
      <c r="CM13">
        <v>426</v>
      </c>
      <c r="CN13">
        <v>7.4778878107201878</v>
      </c>
      <c r="CO13">
        <v>637.11604147336004</v>
      </c>
      <c r="CP13">
        <v>3.2957246666804645</v>
      </c>
      <c r="CQ13">
        <v>280.79574160117556</v>
      </c>
      <c r="CR13">
        <v>4.7868384028105817</v>
      </c>
      <c r="CS13">
        <v>407.83863191946159</v>
      </c>
      <c r="CT13">
        <v>6</v>
      </c>
      <c r="CU13">
        <v>511.20000000000005</v>
      </c>
    </row>
    <row r="14" spans="1:99">
      <c r="C14" s="99" t="s">
        <v>180</v>
      </c>
      <c r="D14">
        <v>8.1994641834558539</v>
      </c>
      <c r="E14">
        <v>4004.6183071998389</v>
      </c>
      <c r="F14">
        <v>3.6459465416179286</v>
      </c>
      <c r="G14">
        <v>1780.6802909261962</v>
      </c>
      <c r="H14">
        <v>5.8826647552534483</v>
      </c>
      <c r="I14">
        <v>2873.0934664657839</v>
      </c>
      <c r="J14">
        <v>4.8421366783149189</v>
      </c>
      <c r="K14">
        <v>2364.8995536890061</v>
      </c>
      <c r="L14">
        <v>5.3946901891955408</v>
      </c>
      <c r="M14">
        <v>2634.7666884031019</v>
      </c>
      <c r="N14">
        <v>3.521278561962597</v>
      </c>
      <c r="O14">
        <v>1719.7924496625324</v>
      </c>
      <c r="P14">
        <v>4.1069332031598611</v>
      </c>
      <c r="Q14">
        <v>2005.8261764232761</v>
      </c>
      <c r="R14">
        <v>5</v>
      </c>
      <c r="S14">
        <v>2442</v>
      </c>
      <c r="T14">
        <v>9</v>
      </c>
      <c r="U14">
        <v>4395.5999999999995</v>
      </c>
      <c r="V14">
        <v>6.1562202639511741</v>
      </c>
      <c r="W14">
        <v>3006.6979769137533</v>
      </c>
      <c r="X14">
        <v>2.9273718431715854</v>
      </c>
      <c r="Y14">
        <v>1429.7284082050023</v>
      </c>
      <c r="Z14">
        <v>8.4827044097152644</v>
      </c>
      <c r="AA14">
        <v>4142.9528337049351</v>
      </c>
      <c r="AB14">
        <v>6</v>
      </c>
      <c r="AC14">
        <v>2930.3999999999996</v>
      </c>
      <c r="AD14">
        <v>8</v>
      </c>
      <c r="AE14">
        <v>3907.2</v>
      </c>
      <c r="AF14">
        <v>7.2310636793046701</v>
      </c>
      <c r="AG14">
        <v>3531.6515009724008</v>
      </c>
      <c r="AH14">
        <v>6.7175036063363454</v>
      </c>
      <c r="AI14">
        <v>3280.8287613346711</v>
      </c>
      <c r="AJ14">
        <v>6.9533421784519458</v>
      </c>
      <c r="AK14">
        <v>3396.0123199559303</v>
      </c>
      <c r="AL14">
        <v>4.0240279935266852</v>
      </c>
      <c r="AM14">
        <v>1965.335272038433</v>
      </c>
      <c r="AN14">
        <v>5.1902728784374856</v>
      </c>
      <c r="AO14">
        <v>2534.9292738288677</v>
      </c>
      <c r="AP14">
        <v>6</v>
      </c>
      <c r="AQ14">
        <v>2930.3999999999996</v>
      </c>
      <c r="AR14">
        <v>8.175242993547732</v>
      </c>
      <c r="AS14">
        <v>3992.788678048712</v>
      </c>
      <c r="AT14">
        <v>4.6315789394367686</v>
      </c>
      <c r="AU14">
        <v>2262.0631540209179</v>
      </c>
      <c r="AV14">
        <v>3.9529512643933131</v>
      </c>
      <c r="AW14">
        <v>1930.6213975296941</v>
      </c>
      <c r="AX14">
        <v>2.139064631263369</v>
      </c>
      <c r="AY14">
        <v>1044.7191659090295</v>
      </c>
      <c r="AZ14">
        <v>9</v>
      </c>
      <c r="BA14">
        <v>4395.5999999999995</v>
      </c>
      <c r="BB14">
        <v>9</v>
      </c>
      <c r="BC14">
        <v>4395.5999999999995</v>
      </c>
      <c r="BD14">
        <v>6.5409514992436062</v>
      </c>
      <c r="BE14">
        <v>3194.6007122305773</v>
      </c>
      <c r="BF14">
        <v>3.0422793003657231</v>
      </c>
      <c r="BG14">
        <v>1485.849210298619</v>
      </c>
      <c r="BH14">
        <v>9</v>
      </c>
      <c r="BI14">
        <v>4395.5999999999995</v>
      </c>
      <c r="BJ14">
        <v>7.1972073005640578</v>
      </c>
      <c r="BK14">
        <v>3515.1160455954855</v>
      </c>
      <c r="BL14">
        <v>3.197589507613539</v>
      </c>
      <c r="BM14">
        <v>1561.7027155184524</v>
      </c>
      <c r="BN14">
        <v>6</v>
      </c>
      <c r="BO14">
        <v>2930.3999999999996</v>
      </c>
      <c r="BP14">
        <v>8</v>
      </c>
      <c r="BQ14">
        <v>3907.2</v>
      </c>
      <c r="BR14">
        <v>8</v>
      </c>
      <c r="BS14">
        <v>3907.2</v>
      </c>
      <c r="BT14">
        <v>6.5942630643565137</v>
      </c>
      <c r="BU14">
        <v>3220.6380806317211</v>
      </c>
      <c r="BV14">
        <v>3.7768963516781016</v>
      </c>
      <c r="BW14">
        <v>1844.6361781595847</v>
      </c>
      <c r="BX14">
        <v>11</v>
      </c>
      <c r="BY14">
        <v>5372.4</v>
      </c>
      <c r="BZ14">
        <v>5</v>
      </c>
      <c r="CA14">
        <v>2442</v>
      </c>
      <c r="CB14">
        <v>10</v>
      </c>
      <c r="CC14">
        <v>4884</v>
      </c>
      <c r="CD14">
        <v>5.2732714404457619</v>
      </c>
      <c r="CE14">
        <v>2575.46577151371</v>
      </c>
      <c r="CF14">
        <v>6.3957270387999454</v>
      </c>
      <c r="CG14">
        <v>3123.6730857498933</v>
      </c>
      <c r="CH14">
        <v>8</v>
      </c>
      <c r="CI14">
        <v>3907.2</v>
      </c>
      <c r="CJ14">
        <v>9</v>
      </c>
      <c r="CK14">
        <v>4395.5999999999995</v>
      </c>
      <c r="CL14">
        <v>6</v>
      </c>
      <c r="CM14">
        <v>2930.3999999999996</v>
      </c>
      <c r="CN14">
        <v>8.4380638264935062</v>
      </c>
      <c r="CO14">
        <v>4121.150372859428</v>
      </c>
      <c r="CP14">
        <v>3.2748355362424029</v>
      </c>
      <c r="CQ14">
        <v>1599.4296759007896</v>
      </c>
      <c r="CR14">
        <v>4.7868384028105817</v>
      </c>
      <c r="CS14">
        <v>2337.891875932688</v>
      </c>
      <c r="CT14">
        <v>7</v>
      </c>
      <c r="CU14">
        <v>3418.7999999999997</v>
      </c>
    </row>
    <row r="15" spans="1:99">
      <c r="C15" s="99" t="s">
        <v>181</v>
      </c>
      <c r="D15">
        <v>7.2279590668066893</v>
      </c>
      <c r="E15">
        <v>5516.3783597868651</v>
      </c>
      <c r="F15">
        <v>3.6459465416179286</v>
      </c>
      <c r="G15">
        <v>2782.5864005628027</v>
      </c>
      <c r="H15">
        <v>5.0482727272579835</v>
      </c>
      <c r="I15">
        <v>3852.8417454432924</v>
      </c>
      <c r="J15">
        <v>3.8737093426519351</v>
      </c>
      <c r="K15">
        <v>2956.4149703119565</v>
      </c>
      <c r="L15">
        <v>4.5288495965071833</v>
      </c>
      <c r="M15">
        <v>3456.4180120542819</v>
      </c>
      <c r="N15">
        <v>4.2740500714035994</v>
      </c>
      <c r="O15">
        <v>3261.9550144952268</v>
      </c>
      <c r="P15">
        <v>3.5202284598513094</v>
      </c>
      <c r="Q15">
        <v>2686.6383605585193</v>
      </c>
      <c r="R15">
        <v>5</v>
      </c>
      <c r="S15">
        <v>3815.9999999999995</v>
      </c>
      <c r="T15">
        <v>8</v>
      </c>
      <c r="U15">
        <v>6105.5999999999995</v>
      </c>
      <c r="V15">
        <v>6.1562202639511741</v>
      </c>
      <c r="W15">
        <v>4698.4273054475352</v>
      </c>
      <c r="X15">
        <v>2.9273718431715854</v>
      </c>
      <c r="Y15">
        <v>2234.1701907085539</v>
      </c>
      <c r="Z15">
        <v>7.5401816975246794</v>
      </c>
      <c r="AA15">
        <v>5754.6666715508345</v>
      </c>
      <c r="AB15">
        <v>7</v>
      </c>
      <c r="AC15">
        <v>5342.4</v>
      </c>
      <c r="AD15">
        <v>7</v>
      </c>
      <c r="AE15">
        <v>5342.4</v>
      </c>
      <c r="AF15">
        <v>8.1349466392177536</v>
      </c>
      <c r="AG15">
        <v>6208.5912750509888</v>
      </c>
      <c r="AH15">
        <v>6.0457532457027101</v>
      </c>
      <c r="AI15">
        <v>4614.1188771203078</v>
      </c>
      <c r="AJ15">
        <v>6.9291620942468803</v>
      </c>
      <c r="AK15">
        <v>5288.336510329219</v>
      </c>
      <c r="AL15">
        <v>3.2192223948213479</v>
      </c>
      <c r="AM15">
        <v>2456.9105317276526</v>
      </c>
      <c r="AN15">
        <v>4.6135758919444312</v>
      </c>
      <c r="AO15">
        <v>3521.0811207319894</v>
      </c>
      <c r="AP15">
        <v>6</v>
      </c>
      <c r="AQ15">
        <v>4579.2</v>
      </c>
      <c r="AR15">
        <v>7.1752429935477311</v>
      </c>
      <c r="AS15">
        <v>5476.1454526756279</v>
      </c>
      <c r="AT15">
        <v>5.3545776205542088</v>
      </c>
      <c r="AU15">
        <v>4086.6136400069718</v>
      </c>
      <c r="AV15">
        <v>3.9266437242322989</v>
      </c>
      <c r="AW15">
        <v>2996.8144903340904</v>
      </c>
      <c r="AX15">
        <v>1.7825538593861407</v>
      </c>
      <c r="AY15">
        <v>1360.4451054835024</v>
      </c>
      <c r="AZ15">
        <v>9</v>
      </c>
      <c r="BA15">
        <v>6868.7999999999993</v>
      </c>
      <c r="BB15">
        <v>8</v>
      </c>
      <c r="BC15">
        <v>6105.5999999999995</v>
      </c>
      <c r="BD15">
        <v>6.5409514992436062</v>
      </c>
      <c r="BE15">
        <v>4992.0541842227194</v>
      </c>
      <c r="BF15">
        <v>3.0422793003657231</v>
      </c>
      <c r="BG15">
        <v>2321.8675620391195</v>
      </c>
      <c r="BH15">
        <v>9</v>
      </c>
      <c r="BI15">
        <v>6868.7999999999993</v>
      </c>
      <c r="BJ15">
        <v>6.1972073005640578</v>
      </c>
      <c r="BK15">
        <v>4729.7086117904882</v>
      </c>
      <c r="BL15">
        <v>2.8423017845453682</v>
      </c>
      <c r="BM15">
        <v>2169.2447219650248</v>
      </c>
      <c r="BN15">
        <v>6</v>
      </c>
      <c r="BO15">
        <v>4579.2</v>
      </c>
      <c r="BP15">
        <v>8</v>
      </c>
      <c r="BQ15">
        <v>6105.5999999999995</v>
      </c>
      <c r="BR15">
        <v>9</v>
      </c>
      <c r="BS15">
        <v>6868.7999999999993</v>
      </c>
      <c r="BT15">
        <v>6.5942630643565137</v>
      </c>
      <c r="BU15">
        <v>5032.7415707168911</v>
      </c>
      <c r="BV15">
        <v>3.7768963516781016</v>
      </c>
      <c r="BW15">
        <v>2882.527295600727</v>
      </c>
      <c r="BX15">
        <v>9</v>
      </c>
      <c r="BY15">
        <v>6868.7999999999993</v>
      </c>
      <c r="BZ15">
        <v>5</v>
      </c>
      <c r="CA15">
        <v>3815.9999999999995</v>
      </c>
      <c r="CB15">
        <v>11</v>
      </c>
      <c r="CC15">
        <v>8395.1999999999989</v>
      </c>
      <c r="CD15">
        <v>5.2277262003714684</v>
      </c>
      <c r="CE15">
        <v>3989.8006361235043</v>
      </c>
      <c r="CF15">
        <v>5.7561543349199518</v>
      </c>
      <c r="CG15">
        <v>4393.0969884109072</v>
      </c>
      <c r="CH15">
        <v>7</v>
      </c>
      <c r="CI15">
        <v>5342.4</v>
      </c>
      <c r="CJ15">
        <v>9</v>
      </c>
      <c r="CK15">
        <v>6868.7999999999993</v>
      </c>
      <c r="CL15">
        <v>5</v>
      </c>
      <c r="CM15">
        <v>3815.9999999999995</v>
      </c>
      <c r="CN15">
        <v>7.5177117949468704</v>
      </c>
      <c r="CO15">
        <v>5737.5176419034506</v>
      </c>
      <c r="CP15">
        <v>3.6680651469982388</v>
      </c>
      <c r="CQ15">
        <v>2799.4673201890555</v>
      </c>
      <c r="CR15">
        <v>4.3516712752823477</v>
      </c>
      <c r="CS15">
        <v>3321.1955172954872</v>
      </c>
      <c r="CT15">
        <v>7</v>
      </c>
      <c r="CU15">
        <v>5342.4</v>
      </c>
    </row>
    <row r="16" spans="1:99">
      <c r="C16" s="99" t="s">
        <v>182</v>
      </c>
      <c r="D16">
        <v>7.199464183455853</v>
      </c>
      <c r="E16">
        <v>2453.577393721755</v>
      </c>
      <c r="F16">
        <v>3.6633061363157111</v>
      </c>
      <c r="G16">
        <v>1248.4547312563943</v>
      </c>
      <c r="H16">
        <v>5.8826647552534483</v>
      </c>
      <c r="I16">
        <v>2004.8121485903753</v>
      </c>
      <c r="J16">
        <v>4.8421366783149189</v>
      </c>
      <c r="K16">
        <v>1650.2001799697243</v>
      </c>
      <c r="L16">
        <v>4.5288495965071833</v>
      </c>
      <c r="M16">
        <v>1543.4319424896482</v>
      </c>
      <c r="N16">
        <v>4.2740500714035994</v>
      </c>
      <c r="O16">
        <v>1456.5962643343466</v>
      </c>
      <c r="P16">
        <v>4.1069332031598611</v>
      </c>
      <c r="Q16">
        <v>1399.6428356368808</v>
      </c>
      <c r="R16">
        <v>5</v>
      </c>
      <c r="S16">
        <v>1704</v>
      </c>
      <c r="T16">
        <v>9</v>
      </c>
      <c r="U16">
        <v>3067.2000000000003</v>
      </c>
      <c r="V16">
        <v>7.1785374445156283</v>
      </c>
      <c r="W16">
        <v>2446.4455610909263</v>
      </c>
      <c r="X16">
        <v>2.9273718431715854</v>
      </c>
      <c r="Y16">
        <v>997.64832415287628</v>
      </c>
      <c r="Z16">
        <v>8.4827044097152644</v>
      </c>
      <c r="AA16">
        <v>2890.9056628309622</v>
      </c>
      <c r="AB16">
        <v>7</v>
      </c>
      <c r="AC16">
        <v>2385.6</v>
      </c>
      <c r="AD16">
        <v>9</v>
      </c>
      <c r="AE16">
        <v>3067.2000000000003</v>
      </c>
      <c r="AF16">
        <v>7.2310636793046701</v>
      </c>
      <c r="AG16">
        <v>2464.3465019070318</v>
      </c>
      <c r="AH16">
        <v>6.0457532457027101</v>
      </c>
      <c r="AI16">
        <v>2060.3927061354839</v>
      </c>
      <c r="AJ16">
        <v>6.9775222626570095</v>
      </c>
      <c r="AK16">
        <v>2377.9395871135089</v>
      </c>
      <c r="AL16">
        <v>3.2192223948213479</v>
      </c>
      <c r="AM16">
        <v>1097.1109921551154</v>
      </c>
      <c r="AN16">
        <v>5.7669698649305392</v>
      </c>
      <c r="AO16">
        <v>1965.3833299683279</v>
      </c>
      <c r="AP16">
        <v>6</v>
      </c>
      <c r="AQ16">
        <v>2044.8000000000002</v>
      </c>
      <c r="AR16">
        <v>8.175242993547732</v>
      </c>
      <c r="AS16">
        <v>2786.1228122010671</v>
      </c>
      <c r="AT16">
        <v>5.3771612246105267</v>
      </c>
      <c r="AU16">
        <v>1832.5365453472675</v>
      </c>
      <c r="AV16">
        <v>4.541623034696161</v>
      </c>
      <c r="AW16">
        <v>1547.7851302244517</v>
      </c>
      <c r="AX16">
        <v>1.7825538593861407</v>
      </c>
      <c r="AY16">
        <v>607.49435527879677</v>
      </c>
      <c r="AZ16">
        <v>10</v>
      </c>
      <c r="BA16">
        <v>3408</v>
      </c>
      <c r="BB16">
        <v>9</v>
      </c>
      <c r="BC16">
        <v>3067.2000000000003</v>
      </c>
      <c r="BD16">
        <v>6.5901289082657524</v>
      </c>
      <c r="BE16">
        <v>2245.9159319369683</v>
      </c>
      <c r="BF16">
        <v>2.6619943878200081</v>
      </c>
      <c r="BG16">
        <v>907.20768736905882</v>
      </c>
      <c r="BH16">
        <v>10</v>
      </c>
      <c r="BI16">
        <v>3408</v>
      </c>
      <c r="BJ16">
        <v>7.2253797720732083</v>
      </c>
      <c r="BK16">
        <v>2462.4094263225493</v>
      </c>
      <c r="BL16">
        <v>3.197589507613539</v>
      </c>
      <c r="BM16">
        <v>1089.7385041946941</v>
      </c>
      <c r="BN16">
        <v>7</v>
      </c>
      <c r="BO16">
        <v>2385.6</v>
      </c>
      <c r="BP16">
        <v>8</v>
      </c>
      <c r="BQ16">
        <v>2726.4</v>
      </c>
      <c r="BR16">
        <v>9</v>
      </c>
      <c r="BS16">
        <v>3067.2000000000003</v>
      </c>
      <c r="BT16">
        <v>6.5447411423268047</v>
      </c>
      <c r="BU16">
        <v>2230.4477813049753</v>
      </c>
      <c r="BV16">
        <v>3.399206716510291</v>
      </c>
      <c r="BW16">
        <v>1158.4496489867072</v>
      </c>
      <c r="BX16">
        <v>11</v>
      </c>
      <c r="BY16">
        <v>3748.8</v>
      </c>
      <c r="BZ16">
        <v>6</v>
      </c>
      <c r="CA16">
        <v>2044.8000000000002</v>
      </c>
      <c r="CB16">
        <v>11</v>
      </c>
      <c r="CC16">
        <v>3748.8</v>
      </c>
      <c r="CD16">
        <v>5.2960440604829087</v>
      </c>
      <c r="CE16">
        <v>1804.8918158125753</v>
      </c>
      <c r="CF16">
        <v>6.3957270387999454</v>
      </c>
      <c r="CG16">
        <v>2179.6637748230214</v>
      </c>
      <c r="CH16">
        <v>7</v>
      </c>
      <c r="CI16">
        <v>2385.6</v>
      </c>
      <c r="CJ16">
        <v>9</v>
      </c>
      <c r="CK16">
        <v>3067.2000000000003</v>
      </c>
      <c r="CL16">
        <v>6</v>
      </c>
      <c r="CM16">
        <v>2044.8000000000002</v>
      </c>
      <c r="CN16">
        <v>7.5177117949468704</v>
      </c>
      <c r="CO16">
        <v>2562.0361797178934</v>
      </c>
      <c r="CP16">
        <v>3.7098434078743625</v>
      </c>
      <c r="CQ16">
        <v>1264.3146334035828</v>
      </c>
      <c r="CR16">
        <v>4.7868384028105817</v>
      </c>
      <c r="CS16">
        <v>1631.3545276778464</v>
      </c>
      <c r="CT16">
        <v>6</v>
      </c>
      <c r="CU16">
        <v>2044.8000000000002</v>
      </c>
    </row>
    <row r="17" spans="2:99">
      <c r="C17" s="99" t="s">
        <v>183</v>
      </c>
      <c r="D17">
        <v>8.1994641834558539</v>
      </c>
      <c r="E17">
        <v>3463.4536710917523</v>
      </c>
      <c r="F17">
        <v>3.6633061363157111</v>
      </c>
      <c r="G17">
        <v>1547.3805119797562</v>
      </c>
      <c r="H17">
        <v>5.8686912354917169</v>
      </c>
      <c r="I17">
        <v>2478.9351778717009</v>
      </c>
      <c r="J17">
        <v>4.8421366783149189</v>
      </c>
      <c r="K17">
        <v>2045.3185329202217</v>
      </c>
      <c r="L17">
        <v>5.3946901891955408</v>
      </c>
      <c r="M17">
        <v>2278.7171359161962</v>
      </c>
      <c r="N17">
        <v>3.4820329831780903</v>
      </c>
      <c r="O17">
        <v>1470.8107320944252</v>
      </c>
      <c r="P17">
        <v>3.5202284598513094</v>
      </c>
      <c r="Q17">
        <v>1486.9445014411931</v>
      </c>
      <c r="R17">
        <v>6</v>
      </c>
      <c r="S17">
        <v>2534.3999999999996</v>
      </c>
      <c r="T17">
        <v>9</v>
      </c>
      <c r="U17">
        <v>3801.6</v>
      </c>
      <c r="V17">
        <v>6.1785374445156283</v>
      </c>
      <c r="W17">
        <v>2609.8142165634013</v>
      </c>
      <c r="X17">
        <v>2.9273718431715854</v>
      </c>
      <c r="Y17">
        <v>1236.5218665556777</v>
      </c>
      <c r="Z17">
        <v>7.5401816975246794</v>
      </c>
      <c r="AA17">
        <v>3184.9727490344244</v>
      </c>
      <c r="AB17">
        <v>6</v>
      </c>
      <c r="AC17">
        <v>2534.3999999999996</v>
      </c>
      <c r="AD17">
        <v>8</v>
      </c>
      <c r="AE17">
        <v>3379.2</v>
      </c>
      <c r="AF17">
        <v>7.2310636793046701</v>
      </c>
      <c r="AG17">
        <v>3054.4012981382925</v>
      </c>
      <c r="AH17">
        <v>6.0457532457027101</v>
      </c>
      <c r="AI17">
        <v>2553.7261709848244</v>
      </c>
      <c r="AJ17">
        <v>6.9775222626570095</v>
      </c>
      <c r="AK17">
        <v>2947.3054037463207</v>
      </c>
      <c r="AL17">
        <v>3.2536055388529843</v>
      </c>
      <c r="AM17">
        <v>1374.3229796115004</v>
      </c>
      <c r="AN17">
        <v>5.7669698649305392</v>
      </c>
      <c r="AO17">
        <v>2435.9680709466597</v>
      </c>
      <c r="AP17">
        <v>6</v>
      </c>
      <c r="AQ17">
        <v>2534.3999999999996</v>
      </c>
      <c r="AR17">
        <v>7.1752429935477311</v>
      </c>
      <c r="AS17">
        <v>3030.8226404745615</v>
      </c>
      <c r="AT17">
        <v>4.6315789394367686</v>
      </c>
      <c r="AU17">
        <v>1956.378944018091</v>
      </c>
      <c r="AV17">
        <v>3.9529512643933131</v>
      </c>
      <c r="AW17">
        <v>1669.7266140797353</v>
      </c>
      <c r="AX17">
        <v>2.139064631263369</v>
      </c>
      <c r="AY17">
        <v>903.54090024564698</v>
      </c>
      <c r="AZ17">
        <v>9</v>
      </c>
      <c r="BA17">
        <v>3801.6</v>
      </c>
      <c r="BB17">
        <v>9</v>
      </c>
      <c r="BC17">
        <v>3801.6</v>
      </c>
      <c r="BD17">
        <v>7.6393063172878986</v>
      </c>
      <c r="BE17">
        <v>3226.8429884224083</v>
      </c>
      <c r="BF17">
        <v>3.0422793003657231</v>
      </c>
      <c r="BG17">
        <v>1285.0587764744814</v>
      </c>
      <c r="BH17">
        <v>10</v>
      </c>
      <c r="BI17">
        <v>4224</v>
      </c>
      <c r="BJ17">
        <v>7.1972073005640578</v>
      </c>
      <c r="BK17">
        <v>3040.100363758258</v>
      </c>
      <c r="BL17">
        <v>3.197589507613539</v>
      </c>
      <c r="BM17">
        <v>1350.6618080159587</v>
      </c>
      <c r="BN17">
        <v>6</v>
      </c>
      <c r="BO17">
        <v>2534.3999999999996</v>
      </c>
      <c r="BP17">
        <v>8</v>
      </c>
      <c r="BQ17">
        <v>3379.2</v>
      </c>
      <c r="BR17">
        <v>9</v>
      </c>
      <c r="BS17">
        <v>3801.6</v>
      </c>
      <c r="BT17">
        <v>5.5447411423268047</v>
      </c>
      <c r="BU17">
        <v>2342.0986585188421</v>
      </c>
      <c r="BV17">
        <v>3.399206716510291</v>
      </c>
      <c r="BW17">
        <v>1435.8249170539468</v>
      </c>
      <c r="BX17">
        <v>9</v>
      </c>
      <c r="BY17">
        <v>3801.6</v>
      </c>
      <c r="BZ17">
        <v>5</v>
      </c>
      <c r="CA17">
        <v>2112</v>
      </c>
      <c r="CB17">
        <v>10</v>
      </c>
      <c r="CC17">
        <v>4224</v>
      </c>
      <c r="CD17">
        <v>5.2732714404457619</v>
      </c>
      <c r="CE17">
        <v>2227.4298564442897</v>
      </c>
      <c r="CF17">
        <v>5.7561543349199518</v>
      </c>
      <c r="CG17">
        <v>2431.3995910701874</v>
      </c>
      <c r="CH17">
        <v>8</v>
      </c>
      <c r="CI17">
        <v>3379.2</v>
      </c>
      <c r="CJ17">
        <v>8</v>
      </c>
      <c r="CK17">
        <v>3379.2</v>
      </c>
      <c r="CL17">
        <v>5</v>
      </c>
      <c r="CM17">
        <v>2112</v>
      </c>
      <c r="CN17">
        <v>8.4778878107201887</v>
      </c>
      <c r="CO17">
        <v>3581.0598112482076</v>
      </c>
      <c r="CP17">
        <v>3.2539464058043404</v>
      </c>
      <c r="CQ17">
        <v>1374.4669618117532</v>
      </c>
      <c r="CR17">
        <v>4.7868384028105817</v>
      </c>
      <c r="CS17">
        <v>2021.9605413471895</v>
      </c>
      <c r="CT17">
        <v>6</v>
      </c>
      <c r="CU17">
        <v>2534.3999999999996</v>
      </c>
    </row>
    <row r="18" spans="2:99">
      <c r="C18" s="99" t="s">
        <v>184</v>
      </c>
      <c r="D18">
        <v>7.2279590668066893</v>
      </c>
      <c r="E18">
        <v>4718.4116788114061</v>
      </c>
      <c r="F18">
        <v>3.6459465416179286</v>
      </c>
      <c r="G18">
        <v>2380.0739023681836</v>
      </c>
      <c r="H18">
        <v>5.8826647552534483</v>
      </c>
      <c r="I18">
        <v>3840.2035522294509</v>
      </c>
      <c r="J18">
        <v>4.8421366783149189</v>
      </c>
      <c r="K18">
        <v>3160.9468236039788</v>
      </c>
      <c r="L18">
        <v>5.3946901891955408</v>
      </c>
      <c r="M18">
        <v>3521.6537555068489</v>
      </c>
      <c r="N18">
        <v>3.4820329831780903</v>
      </c>
      <c r="O18">
        <v>2273.0711314186574</v>
      </c>
      <c r="P18">
        <v>3.5202284598513094</v>
      </c>
      <c r="Q18">
        <v>2298.0051385909346</v>
      </c>
      <c r="R18">
        <v>5</v>
      </c>
      <c r="S18">
        <v>3264</v>
      </c>
      <c r="T18">
        <v>9</v>
      </c>
      <c r="U18">
        <v>5875.2</v>
      </c>
      <c r="V18">
        <v>6.1785374445156283</v>
      </c>
      <c r="W18">
        <v>4033.3492437798018</v>
      </c>
      <c r="X18">
        <v>2.9273718431715854</v>
      </c>
      <c r="Y18">
        <v>1910.9883392224108</v>
      </c>
      <c r="Z18">
        <v>7.5401816975246794</v>
      </c>
      <c r="AA18">
        <v>4922.2306121441106</v>
      </c>
      <c r="AB18">
        <v>6</v>
      </c>
      <c r="AC18">
        <v>3916.7999999999997</v>
      </c>
      <c r="AD18">
        <v>9</v>
      </c>
      <c r="AE18">
        <v>5875.2</v>
      </c>
      <c r="AF18">
        <v>7.2310636793046701</v>
      </c>
      <c r="AG18">
        <v>4720.4383698500887</v>
      </c>
      <c r="AH18">
        <v>6.7175036063363454</v>
      </c>
      <c r="AI18">
        <v>4385.1863542163655</v>
      </c>
      <c r="AJ18">
        <v>6.2076153632962452</v>
      </c>
      <c r="AK18">
        <v>4052.3313091597884</v>
      </c>
      <c r="AL18">
        <v>4.0068364215108669</v>
      </c>
      <c r="AM18">
        <v>2615.6628159622937</v>
      </c>
      <c r="AN18">
        <v>4.6135758919444312</v>
      </c>
      <c r="AO18">
        <v>3011.7423422613247</v>
      </c>
      <c r="AP18">
        <v>6</v>
      </c>
      <c r="AQ18">
        <v>3916.7999999999997</v>
      </c>
      <c r="AR18">
        <v>7.1502082801837696</v>
      </c>
      <c r="AS18">
        <v>4667.6559653039649</v>
      </c>
      <c r="AT18">
        <v>5.3771612246105267</v>
      </c>
      <c r="AU18">
        <v>3510.2108474257516</v>
      </c>
      <c r="AV18">
        <v>4.5679305748571748</v>
      </c>
      <c r="AW18">
        <v>2981.9450792667635</v>
      </c>
      <c r="AX18">
        <v>1.7825538593861407</v>
      </c>
      <c r="AY18">
        <v>1163.6511594072726</v>
      </c>
      <c r="AZ18">
        <v>10</v>
      </c>
      <c r="BA18">
        <v>6528</v>
      </c>
      <c r="BB18">
        <v>9</v>
      </c>
      <c r="BC18">
        <v>5875.2</v>
      </c>
      <c r="BD18">
        <v>6.5409514992436062</v>
      </c>
      <c r="BE18">
        <v>4269.9331387062257</v>
      </c>
      <c r="BF18">
        <v>2.6619943878200081</v>
      </c>
      <c r="BG18">
        <v>1737.7499363689012</v>
      </c>
      <c r="BH18">
        <v>10</v>
      </c>
      <c r="BI18">
        <v>6528</v>
      </c>
      <c r="BJ18">
        <v>7.1972073005640578</v>
      </c>
      <c r="BK18">
        <v>4698.3369258082166</v>
      </c>
      <c r="BL18">
        <v>3.197589507613539</v>
      </c>
      <c r="BM18">
        <v>2087.3864305701181</v>
      </c>
      <c r="BN18">
        <v>7</v>
      </c>
      <c r="BO18">
        <v>4569.5999999999995</v>
      </c>
      <c r="BP18">
        <v>8</v>
      </c>
      <c r="BQ18">
        <v>5222.3999999999996</v>
      </c>
      <c r="BR18">
        <v>8</v>
      </c>
      <c r="BS18">
        <v>5222.3999999999996</v>
      </c>
      <c r="BT18">
        <v>6.4952192202970949</v>
      </c>
      <c r="BU18">
        <v>4240.0791070099431</v>
      </c>
      <c r="BV18">
        <v>3.399206716510291</v>
      </c>
      <c r="BW18">
        <v>2219.002144537918</v>
      </c>
      <c r="BX18">
        <v>11</v>
      </c>
      <c r="BY18">
        <v>7180.7999999999993</v>
      </c>
      <c r="BZ18">
        <v>5</v>
      </c>
      <c r="CA18">
        <v>3264</v>
      </c>
      <c r="CB18">
        <v>10</v>
      </c>
      <c r="CC18">
        <v>6528</v>
      </c>
      <c r="CD18">
        <v>5.2732714404457619</v>
      </c>
      <c r="CE18">
        <v>3442.3915963229933</v>
      </c>
      <c r="CF18">
        <v>6.3957270387999454</v>
      </c>
      <c r="CG18">
        <v>4175.1306109286043</v>
      </c>
      <c r="CH18">
        <v>7</v>
      </c>
      <c r="CI18">
        <v>4569.5999999999995</v>
      </c>
      <c r="CJ18">
        <v>8</v>
      </c>
      <c r="CK18">
        <v>5222.3999999999996</v>
      </c>
      <c r="CL18">
        <v>5</v>
      </c>
      <c r="CM18">
        <v>3264</v>
      </c>
      <c r="CN18">
        <v>8.5177117949468713</v>
      </c>
      <c r="CO18">
        <v>5560.3622597413168</v>
      </c>
      <c r="CP18">
        <v>3.2748355362424029</v>
      </c>
      <c r="CQ18">
        <v>2137.8126380590406</v>
      </c>
      <c r="CR18">
        <v>4.3516712752823477</v>
      </c>
      <c r="CS18">
        <v>2840.7710085043163</v>
      </c>
      <c r="CT18">
        <v>7</v>
      </c>
      <c r="CU18">
        <v>4569.5999999999995</v>
      </c>
    </row>
    <row r="19" spans="2:99">
      <c r="C19" s="99" t="s">
        <v>185</v>
      </c>
      <c r="D19">
        <v>8.1994641834558539</v>
      </c>
      <c r="E19">
        <v>2705.8231805404316</v>
      </c>
      <c r="F19">
        <v>3.6633061363157111</v>
      </c>
      <c r="G19">
        <v>1208.8910249841847</v>
      </c>
      <c r="H19">
        <v>5.8826647552534483</v>
      </c>
      <c r="I19">
        <v>1941.2793692336379</v>
      </c>
      <c r="J19">
        <v>3.8737093426519351</v>
      </c>
      <c r="K19">
        <v>1278.3240830751386</v>
      </c>
      <c r="L19">
        <v>5.3946901891955408</v>
      </c>
      <c r="M19">
        <v>1780.2477624345286</v>
      </c>
      <c r="N19">
        <v>4.2740500714035994</v>
      </c>
      <c r="O19">
        <v>1410.4365235631878</v>
      </c>
      <c r="P19">
        <v>4.1069332031598611</v>
      </c>
      <c r="Q19">
        <v>1355.2879570427542</v>
      </c>
      <c r="R19">
        <v>6</v>
      </c>
      <c r="S19">
        <v>1980</v>
      </c>
      <c r="T19">
        <v>9</v>
      </c>
      <c r="U19">
        <v>2970</v>
      </c>
      <c r="V19">
        <v>7.1785374445156283</v>
      </c>
      <c r="W19">
        <v>2368.9173566901572</v>
      </c>
      <c r="X19">
        <v>2.9273718431715854</v>
      </c>
      <c r="Y19">
        <v>966.0327082466232</v>
      </c>
      <c r="Z19">
        <v>8.4827044097152644</v>
      </c>
      <c r="AA19">
        <v>2799.2924552060372</v>
      </c>
      <c r="AB19">
        <v>6</v>
      </c>
      <c r="AC19">
        <v>1980</v>
      </c>
      <c r="AD19">
        <v>8</v>
      </c>
      <c r="AE19">
        <v>2640</v>
      </c>
      <c r="AF19">
        <v>8.1349466392177536</v>
      </c>
      <c r="AG19">
        <v>2684.5323909418589</v>
      </c>
      <c r="AH19">
        <v>6.0457532457027101</v>
      </c>
      <c r="AI19">
        <v>1995.0985710818943</v>
      </c>
      <c r="AJ19">
        <v>6.9291620942468803</v>
      </c>
      <c r="AK19">
        <v>2286.6234911014703</v>
      </c>
      <c r="AL19">
        <v>3.6216251941740167</v>
      </c>
      <c r="AM19">
        <v>1195.1363140774256</v>
      </c>
      <c r="AN19">
        <v>4.6135758919444312</v>
      </c>
      <c r="AO19">
        <v>1522.4800443416623</v>
      </c>
      <c r="AP19">
        <v>6</v>
      </c>
      <c r="AQ19">
        <v>1980</v>
      </c>
      <c r="AR19">
        <v>8.175242993547732</v>
      </c>
      <c r="AS19">
        <v>2697.8301878707516</v>
      </c>
      <c r="AT19">
        <v>5.3545776205542088</v>
      </c>
      <c r="AU19">
        <v>1767.010614782889</v>
      </c>
      <c r="AV19">
        <v>4.541623034696161</v>
      </c>
      <c r="AW19">
        <v>1498.7356014497332</v>
      </c>
      <c r="AX19">
        <v>2.139064631263369</v>
      </c>
      <c r="AY19">
        <v>705.89132831691177</v>
      </c>
      <c r="AZ19">
        <v>10</v>
      </c>
      <c r="BA19">
        <v>3300</v>
      </c>
      <c r="BB19">
        <v>8</v>
      </c>
      <c r="BC19">
        <v>2640</v>
      </c>
      <c r="BD19">
        <v>7.6393063172878986</v>
      </c>
      <c r="BE19">
        <v>2520.9710847050064</v>
      </c>
      <c r="BF19">
        <v>2.6619943878200081</v>
      </c>
      <c r="BG19">
        <v>878.45814798060269</v>
      </c>
      <c r="BH19">
        <v>9</v>
      </c>
      <c r="BI19">
        <v>2970</v>
      </c>
      <c r="BJ19">
        <v>7.1972073005640578</v>
      </c>
      <c r="BK19">
        <v>2375.0784091861392</v>
      </c>
      <c r="BL19">
        <v>2.8423017845453682</v>
      </c>
      <c r="BM19">
        <v>937.95958889997155</v>
      </c>
      <c r="BN19">
        <v>6</v>
      </c>
      <c r="BO19">
        <v>1980</v>
      </c>
      <c r="BP19">
        <v>9</v>
      </c>
      <c r="BQ19">
        <v>2970</v>
      </c>
      <c r="BR19">
        <v>8</v>
      </c>
      <c r="BS19">
        <v>2640</v>
      </c>
      <c r="BT19">
        <v>7.5942630643565137</v>
      </c>
      <c r="BU19">
        <v>2506.1068112376497</v>
      </c>
      <c r="BV19">
        <v>3.399206716510291</v>
      </c>
      <c r="BW19">
        <v>1121.7382164483961</v>
      </c>
      <c r="BX19">
        <v>11</v>
      </c>
      <c r="BY19">
        <v>3630</v>
      </c>
      <c r="BZ19">
        <v>5</v>
      </c>
      <c r="CA19">
        <v>1650</v>
      </c>
      <c r="CB19">
        <v>11</v>
      </c>
      <c r="CC19">
        <v>3630</v>
      </c>
      <c r="CD19">
        <v>5.2504988204086152</v>
      </c>
      <c r="CE19">
        <v>1732.6646107348431</v>
      </c>
      <c r="CF19">
        <v>6.3957270387999454</v>
      </c>
      <c r="CG19">
        <v>2110.5899228039821</v>
      </c>
      <c r="CH19">
        <v>7</v>
      </c>
      <c r="CI19">
        <v>2310</v>
      </c>
      <c r="CJ19">
        <v>9</v>
      </c>
      <c r="CK19">
        <v>2970</v>
      </c>
      <c r="CL19">
        <v>5</v>
      </c>
      <c r="CM19">
        <v>1650</v>
      </c>
      <c r="CN19">
        <v>8.4778878107201887</v>
      </c>
      <c r="CO19">
        <v>2797.7029775376623</v>
      </c>
      <c r="CP19">
        <v>3.2748355362424029</v>
      </c>
      <c r="CQ19">
        <v>1080.695726959993</v>
      </c>
      <c r="CR19">
        <v>4.7868384028105817</v>
      </c>
      <c r="CS19">
        <v>1579.6566729274919</v>
      </c>
      <c r="CT19">
        <v>7</v>
      </c>
      <c r="CU19">
        <v>2310</v>
      </c>
    </row>
    <row r="20" spans="2:99">
      <c r="B20" s="99" t="s">
        <v>127</v>
      </c>
      <c r="C20" s="99" t="s">
        <v>186</v>
      </c>
      <c r="D20">
        <v>13.541402783665887</v>
      </c>
      <c r="E20">
        <v>3883.6743183553767</v>
      </c>
      <c r="F20">
        <v>9.8684022604536672</v>
      </c>
      <c r="G20">
        <v>2830.2577682981118</v>
      </c>
      <c r="H20">
        <v>10.861069883702775</v>
      </c>
      <c r="I20">
        <v>3114.954842645956</v>
      </c>
      <c r="J20">
        <v>8.715846020966854</v>
      </c>
      <c r="K20">
        <v>2499.704638813294</v>
      </c>
      <c r="L20">
        <v>8.2362245187849865</v>
      </c>
      <c r="M20">
        <v>2362.1491919875343</v>
      </c>
      <c r="N20">
        <v>10.21062547682723</v>
      </c>
      <c r="O20">
        <v>2928.4073867540496</v>
      </c>
      <c r="P20">
        <v>8.2138664063197222</v>
      </c>
      <c r="Q20">
        <v>2355.7368853324965</v>
      </c>
      <c r="R20">
        <v>11</v>
      </c>
      <c r="S20">
        <v>3154.8</v>
      </c>
      <c r="T20">
        <v>11</v>
      </c>
      <c r="U20">
        <v>3154.8</v>
      </c>
      <c r="V20">
        <v>10.290123347337895</v>
      </c>
      <c r="W20">
        <v>2951.2073760165085</v>
      </c>
      <c r="X20">
        <v>8.1966411608804393</v>
      </c>
      <c r="Y20">
        <v>2350.7966849405102</v>
      </c>
      <c r="Z20">
        <v>12.252795258477603</v>
      </c>
      <c r="AA20">
        <v>3514.1016801313767</v>
      </c>
      <c r="AB20">
        <v>10</v>
      </c>
      <c r="AC20">
        <v>2868</v>
      </c>
      <c r="AD20">
        <v>13</v>
      </c>
      <c r="AE20">
        <v>3728.4</v>
      </c>
      <c r="AF20">
        <v>12.654361438783173</v>
      </c>
      <c r="AG20">
        <v>3629.2708606430142</v>
      </c>
      <c r="AH20">
        <v>9.4045050488708828</v>
      </c>
      <c r="AI20">
        <v>2697.2120480161693</v>
      </c>
      <c r="AJ20">
        <v>7.9408698356582894</v>
      </c>
      <c r="AK20">
        <v>2277.4414688667975</v>
      </c>
      <c r="AL20">
        <v>4.0927942815899581</v>
      </c>
      <c r="AM20">
        <v>1173.81339996</v>
      </c>
      <c r="AN20">
        <v>6.3436668514235937</v>
      </c>
      <c r="AO20">
        <v>1819.3636529882867</v>
      </c>
      <c r="AP20">
        <v>10</v>
      </c>
      <c r="AQ20">
        <v>2868</v>
      </c>
      <c r="AR20">
        <v>9.5257289806431942</v>
      </c>
      <c r="AS20">
        <v>2731.9790716484681</v>
      </c>
      <c r="AT20">
        <v>10.731738845164735</v>
      </c>
      <c r="AU20">
        <v>3077.8627007932459</v>
      </c>
      <c r="AV20">
        <v>8.494574299089475</v>
      </c>
      <c r="AW20">
        <v>2436.2439089788613</v>
      </c>
      <c r="AX20">
        <v>4.634640034403966</v>
      </c>
      <c r="AY20">
        <v>1329.2147618670574</v>
      </c>
      <c r="AZ20">
        <v>8</v>
      </c>
      <c r="BA20">
        <v>2294.4</v>
      </c>
      <c r="BB20">
        <v>10</v>
      </c>
      <c r="BC20">
        <v>2868</v>
      </c>
      <c r="BD20">
        <v>10.836015953376481</v>
      </c>
      <c r="BE20">
        <v>3107.769375428375</v>
      </c>
      <c r="BF20">
        <v>5.7042736881857312</v>
      </c>
      <c r="BG20">
        <v>1635.9856937716677</v>
      </c>
      <c r="BH20">
        <v>13</v>
      </c>
      <c r="BI20">
        <v>3728.4</v>
      </c>
      <c r="BJ20">
        <v>15.591621901692173</v>
      </c>
      <c r="BK20">
        <v>4471.6771614053159</v>
      </c>
      <c r="BL20">
        <v>5.3293158460225651</v>
      </c>
      <c r="BM20">
        <v>1528.4477846392717</v>
      </c>
      <c r="BN20">
        <v>13</v>
      </c>
      <c r="BO20">
        <v>3728.4</v>
      </c>
      <c r="BP20">
        <v>9</v>
      </c>
      <c r="BQ20">
        <v>2581.2000000000003</v>
      </c>
      <c r="BR20">
        <v>10</v>
      </c>
      <c r="BS20">
        <v>2868</v>
      </c>
      <c r="BT20">
        <v>17.940916518564482</v>
      </c>
      <c r="BU20">
        <v>5145.4548575242934</v>
      </c>
      <c r="BV20">
        <v>4.5322756220137217</v>
      </c>
      <c r="BW20">
        <v>1299.8566483935354</v>
      </c>
      <c r="BX20">
        <v>13</v>
      </c>
      <c r="BY20">
        <v>3728.4</v>
      </c>
      <c r="BZ20">
        <v>11</v>
      </c>
      <c r="CA20">
        <v>3154.8</v>
      </c>
      <c r="CB20">
        <v>9</v>
      </c>
      <c r="CC20">
        <v>2581.2000000000003</v>
      </c>
      <c r="CD20">
        <v>12.455452400742937</v>
      </c>
      <c r="CE20">
        <v>3572.2237485330743</v>
      </c>
      <c r="CF20">
        <v>7.03529974267994</v>
      </c>
      <c r="CG20">
        <v>2017.7239662006068</v>
      </c>
      <c r="CH20">
        <v>14</v>
      </c>
      <c r="CI20">
        <v>4015.2000000000003</v>
      </c>
      <c r="CJ20">
        <v>10</v>
      </c>
      <c r="CK20">
        <v>2868</v>
      </c>
      <c r="CL20">
        <v>18</v>
      </c>
      <c r="CM20">
        <v>5162.4000000000005</v>
      </c>
      <c r="CN20">
        <v>10.517711794946871</v>
      </c>
      <c r="CO20">
        <v>3016.4797427907629</v>
      </c>
      <c r="CP20">
        <v>4.3119643230108178</v>
      </c>
      <c r="CQ20">
        <v>1236.6713678395026</v>
      </c>
      <c r="CR20">
        <v>3.4813370202258778</v>
      </c>
      <c r="CS20">
        <v>998.44745740078179</v>
      </c>
      <c r="CT20">
        <v>9</v>
      </c>
      <c r="CU20">
        <v>2581.2000000000003</v>
      </c>
    </row>
    <row r="21" spans="2:99">
      <c r="C21" s="99" t="s">
        <v>187</v>
      </c>
      <c r="D21">
        <v>13.541402783665887</v>
      </c>
      <c r="E21">
        <v>844.98353370075131</v>
      </c>
      <c r="F21">
        <v>9.1635163847069752</v>
      </c>
      <c r="G21">
        <v>571.8034224057152</v>
      </c>
      <c r="H21">
        <v>11.709435431459973</v>
      </c>
      <c r="I21">
        <v>730.66877092310233</v>
      </c>
      <c r="J21">
        <v>7.7474186853038702</v>
      </c>
      <c r="K21">
        <v>483.43892596296149</v>
      </c>
      <c r="L21">
        <v>9.0798821522438544</v>
      </c>
      <c r="M21">
        <v>566.58464630001652</v>
      </c>
      <c r="N21">
        <v>10.924151407483725</v>
      </c>
      <c r="O21">
        <v>681.66704782698446</v>
      </c>
      <c r="P21">
        <v>7.0404569197026188</v>
      </c>
      <c r="Q21">
        <v>439.32451178944342</v>
      </c>
      <c r="R21">
        <v>11</v>
      </c>
      <c r="S21">
        <v>686.4</v>
      </c>
      <c r="T21">
        <v>13</v>
      </c>
      <c r="U21">
        <v>811.19999999999993</v>
      </c>
      <c r="V21">
        <v>10.334757708466803</v>
      </c>
      <c r="W21">
        <v>644.88888100832855</v>
      </c>
      <c r="X21">
        <v>8.1966411608804393</v>
      </c>
      <c r="Y21">
        <v>511.47040843893939</v>
      </c>
      <c r="Z21">
        <v>13.195317970668187</v>
      </c>
      <c r="AA21">
        <v>823.3878413696948</v>
      </c>
      <c r="AB21">
        <v>10</v>
      </c>
      <c r="AC21">
        <v>624</v>
      </c>
      <c r="AD21">
        <v>13</v>
      </c>
      <c r="AE21">
        <v>811.19999999999993</v>
      </c>
      <c r="AF21">
        <v>13.558244398696257</v>
      </c>
      <c r="AG21">
        <v>846.03445047864636</v>
      </c>
      <c r="AH21">
        <v>9.4045050488708828</v>
      </c>
      <c r="AI21">
        <v>586.84111504954308</v>
      </c>
      <c r="AJ21">
        <v>7.2676832731177816</v>
      </c>
      <c r="AK21">
        <v>453.50343624254958</v>
      </c>
      <c r="AL21">
        <v>4.4780055089268078</v>
      </c>
      <c r="AM21">
        <v>279.42754375703282</v>
      </c>
      <c r="AN21">
        <v>5.7669698649305392</v>
      </c>
      <c r="AO21">
        <v>359.85891957166564</v>
      </c>
      <c r="AP21">
        <v>12</v>
      </c>
      <c r="AQ21">
        <v>748.8</v>
      </c>
      <c r="AR21">
        <v>9.5757984073711171</v>
      </c>
      <c r="AS21">
        <v>597.52982061995772</v>
      </c>
      <c r="AT21">
        <v>12.222903415512251</v>
      </c>
      <c r="AU21">
        <v>762.70917312796439</v>
      </c>
      <c r="AV21">
        <v>8.4682667589284595</v>
      </c>
      <c r="AW21">
        <v>528.41984575713582</v>
      </c>
      <c r="AX21">
        <v>4.991150806281194</v>
      </c>
      <c r="AY21">
        <v>311.44781031194651</v>
      </c>
      <c r="AZ21">
        <v>9</v>
      </c>
      <c r="BA21">
        <v>561.6</v>
      </c>
      <c r="BB21">
        <v>10</v>
      </c>
      <c r="BC21">
        <v>624</v>
      </c>
      <c r="BD21">
        <v>9.8360159533764815</v>
      </c>
      <c r="BE21">
        <v>613.76739549069248</v>
      </c>
      <c r="BF21">
        <v>5.7042736881857312</v>
      </c>
      <c r="BG21">
        <v>355.94667814278961</v>
      </c>
      <c r="BH21">
        <v>12</v>
      </c>
      <c r="BI21">
        <v>748.8</v>
      </c>
      <c r="BJ21">
        <v>14.535276958673871</v>
      </c>
      <c r="BK21">
        <v>907.00128222124954</v>
      </c>
      <c r="BL21">
        <v>4.9740281229543939</v>
      </c>
      <c r="BM21">
        <v>310.37935487235416</v>
      </c>
      <c r="BN21">
        <v>15</v>
      </c>
      <c r="BO21">
        <v>936</v>
      </c>
      <c r="BP21">
        <v>10</v>
      </c>
      <c r="BQ21">
        <v>624</v>
      </c>
      <c r="BR21">
        <v>9</v>
      </c>
      <c r="BS21">
        <v>561.6</v>
      </c>
      <c r="BT21">
        <v>18.039960362623898</v>
      </c>
      <c r="BU21">
        <v>1125.6935266277312</v>
      </c>
      <c r="BV21">
        <v>4.9099652571815318</v>
      </c>
      <c r="BW21">
        <v>306.38183204812759</v>
      </c>
      <c r="BX21">
        <v>14</v>
      </c>
      <c r="BY21">
        <v>873.6</v>
      </c>
      <c r="BZ21">
        <v>11</v>
      </c>
      <c r="CA21">
        <v>686.4</v>
      </c>
      <c r="CB21">
        <v>9</v>
      </c>
      <c r="CC21">
        <v>561.6</v>
      </c>
      <c r="CD21">
        <v>11.523770260854377</v>
      </c>
      <c r="CE21">
        <v>719.08326427731311</v>
      </c>
      <c r="CF21">
        <v>7.03529974267994</v>
      </c>
      <c r="CG21">
        <v>439.00270394322825</v>
      </c>
      <c r="CH21">
        <v>15</v>
      </c>
      <c r="CI21">
        <v>936</v>
      </c>
      <c r="CJ21">
        <v>10</v>
      </c>
      <c r="CK21">
        <v>624</v>
      </c>
      <c r="CL21">
        <v>18</v>
      </c>
      <c r="CM21">
        <v>1123.2</v>
      </c>
      <c r="CN21">
        <v>10.477887810720189</v>
      </c>
      <c r="CO21">
        <v>653.82019938893973</v>
      </c>
      <c r="CP21">
        <v>4.7469721946427779</v>
      </c>
      <c r="CQ21">
        <v>296.21106494570932</v>
      </c>
      <c r="CR21">
        <v>3.9165041477541123</v>
      </c>
      <c r="CS21">
        <v>244.38985881985661</v>
      </c>
      <c r="CT21">
        <v>9</v>
      </c>
      <c r="CU21">
        <v>561.6</v>
      </c>
    </row>
    <row r="22" spans="2:99">
      <c r="C22" s="99" t="s">
        <v>188</v>
      </c>
      <c r="D22">
        <v>13.512907900315051</v>
      </c>
      <c r="E22">
        <v>2529.6163589389776</v>
      </c>
      <c r="F22">
        <v>9.8684022604536672</v>
      </c>
      <c r="G22">
        <v>1847.3649031569264</v>
      </c>
      <c r="H22">
        <v>10.889016923226238</v>
      </c>
      <c r="I22">
        <v>2038.4239680279518</v>
      </c>
      <c r="J22">
        <v>7.7474186853038702</v>
      </c>
      <c r="K22">
        <v>1450.3167778888844</v>
      </c>
      <c r="L22">
        <v>9.102065111473344</v>
      </c>
      <c r="M22">
        <v>1703.9065888678099</v>
      </c>
      <c r="N22">
        <v>10.171379898042725</v>
      </c>
      <c r="O22">
        <v>1904.0823169135979</v>
      </c>
      <c r="P22">
        <v>8.2138664063197222</v>
      </c>
      <c r="Q22">
        <v>1537.6357912630519</v>
      </c>
      <c r="R22">
        <v>10</v>
      </c>
      <c r="S22">
        <v>1872</v>
      </c>
      <c r="T22">
        <v>11</v>
      </c>
      <c r="U22">
        <v>2059.1999999999998</v>
      </c>
      <c r="V22">
        <v>11.290123347337895</v>
      </c>
      <c r="W22">
        <v>2113.5110906216537</v>
      </c>
      <c r="X22">
        <v>8.7821155295147548</v>
      </c>
      <c r="Y22">
        <v>1644.0120271251619</v>
      </c>
      <c r="Z22">
        <v>13.195317970668187</v>
      </c>
      <c r="AA22">
        <v>2470.1635241090844</v>
      </c>
      <c r="AB22">
        <v>11</v>
      </c>
      <c r="AC22">
        <v>2059.1999999999998</v>
      </c>
      <c r="AD22">
        <v>11</v>
      </c>
      <c r="AE22">
        <v>2059.1999999999998</v>
      </c>
      <c r="AF22">
        <v>12.654361438783173</v>
      </c>
      <c r="AG22">
        <v>2368.89646134021</v>
      </c>
      <c r="AH22">
        <v>8.7327546882372484</v>
      </c>
      <c r="AI22">
        <v>1634.7716776380128</v>
      </c>
      <c r="AJ22">
        <v>7.9892300040684177</v>
      </c>
      <c r="AK22">
        <v>1495.5838567616076</v>
      </c>
      <c r="AL22">
        <v>4.4436223648951714</v>
      </c>
      <c r="AM22">
        <v>831.84610670837606</v>
      </c>
      <c r="AN22">
        <v>5.7669698649305392</v>
      </c>
      <c r="AO22">
        <v>1079.5767587149969</v>
      </c>
      <c r="AP22">
        <v>11</v>
      </c>
      <c r="AQ22">
        <v>2059.1999999999998</v>
      </c>
      <c r="AR22">
        <v>9.5507636940071556</v>
      </c>
      <c r="AS22">
        <v>1787.9029635181394</v>
      </c>
      <c r="AT22">
        <v>10.731738845164735</v>
      </c>
      <c r="AU22">
        <v>2008.9815118148383</v>
      </c>
      <c r="AV22">
        <v>9.1621686898753634</v>
      </c>
      <c r="AW22">
        <v>1715.1579787446678</v>
      </c>
      <c r="AX22">
        <v>4.991150806281194</v>
      </c>
      <c r="AY22">
        <v>934.34343093583948</v>
      </c>
      <c r="AZ22">
        <v>9</v>
      </c>
      <c r="BA22">
        <v>1684.8</v>
      </c>
      <c r="BB22">
        <v>11</v>
      </c>
      <c r="BC22">
        <v>2059.1999999999998</v>
      </c>
      <c r="BD22">
        <v>9.8851933623986277</v>
      </c>
      <c r="BE22">
        <v>1850.508197441023</v>
      </c>
      <c r="BF22">
        <v>5.3239887756400162</v>
      </c>
      <c r="BG22">
        <v>996.65069879981093</v>
      </c>
      <c r="BH22">
        <v>14</v>
      </c>
      <c r="BI22">
        <v>2620.7999999999997</v>
      </c>
      <c r="BJ22">
        <v>13.619794373201323</v>
      </c>
      <c r="BK22">
        <v>2549.6255066632875</v>
      </c>
      <c r="BL22">
        <v>5.3293158460225651</v>
      </c>
      <c r="BM22">
        <v>997.64792637542416</v>
      </c>
      <c r="BN22">
        <v>13</v>
      </c>
      <c r="BO22">
        <v>2433.6</v>
      </c>
      <c r="BP22">
        <v>9</v>
      </c>
      <c r="BQ22">
        <v>1684.8</v>
      </c>
      <c r="BR22">
        <v>9</v>
      </c>
      <c r="BS22">
        <v>1684.8</v>
      </c>
      <c r="BT22">
        <v>17.99043844059419</v>
      </c>
      <c r="BU22">
        <v>3367.8100760792322</v>
      </c>
      <c r="BV22">
        <v>4.5322756220137217</v>
      </c>
      <c r="BW22">
        <v>848.44199644096864</v>
      </c>
      <c r="BX22">
        <v>14</v>
      </c>
      <c r="BY22">
        <v>2620.7999999999997</v>
      </c>
      <c r="BZ22">
        <v>11</v>
      </c>
      <c r="CA22">
        <v>2059.1999999999998</v>
      </c>
      <c r="CB22">
        <v>10</v>
      </c>
      <c r="CC22">
        <v>1872</v>
      </c>
      <c r="CD22">
        <v>12.523770260854377</v>
      </c>
      <c r="CE22">
        <v>2344.4497928319392</v>
      </c>
      <c r="CF22">
        <v>7.03529974267994</v>
      </c>
      <c r="CG22">
        <v>1317.0081118296846</v>
      </c>
      <c r="CH22">
        <v>15</v>
      </c>
      <c r="CI22">
        <v>2808</v>
      </c>
      <c r="CJ22">
        <v>12</v>
      </c>
      <c r="CK22">
        <v>2246.3999999999996</v>
      </c>
      <c r="CL22">
        <v>16</v>
      </c>
      <c r="CM22">
        <v>2995.2</v>
      </c>
      <c r="CN22">
        <v>9.5177117949468713</v>
      </c>
      <c r="CO22">
        <v>1781.7156480140543</v>
      </c>
      <c r="CP22">
        <v>4.3119643230108178</v>
      </c>
      <c r="CQ22">
        <v>807.19972126762502</v>
      </c>
      <c r="CR22">
        <v>3.4813370202258778</v>
      </c>
      <c r="CS22">
        <v>651.70629018628426</v>
      </c>
      <c r="CT22">
        <v>9</v>
      </c>
      <c r="CU22">
        <v>1684.8</v>
      </c>
    </row>
    <row r="23" spans="2:99">
      <c r="C23" s="99" t="s">
        <v>189</v>
      </c>
      <c r="D23">
        <v>13.541402783665887</v>
      </c>
      <c r="E23">
        <v>3981.1724183977708</v>
      </c>
      <c r="F23">
        <v>9.1635163847069752</v>
      </c>
      <c r="G23">
        <v>2694.0738171038506</v>
      </c>
      <c r="H23">
        <v>10.054624895230774</v>
      </c>
      <c r="I23">
        <v>2956.0597191978472</v>
      </c>
      <c r="J23">
        <v>7.7474186853038702</v>
      </c>
      <c r="K23">
        <v>2277.7410934793379</v>
      </c>
      <c r="L23">
        <v>8.214041559555497</v>
      </c>
      <c r="M23">
        <v>2414.9282185093161</v>
      </c>
      <c r="N23">
        <v>11.00264256505274</v>
      </c>
      <c r="O23">
        <v>3234.7769141255058</v>
      </c>
      <c r="P23">
        <v>7.0404569197026188</v>
      </c>
      <c r="Q23">
        <v>2069.8943343925698</v>
      </c>
      <c r="R23">
        <v>11</v>
      </c>
      <c r="S23">
        <v>3234</v>
      </c>
      <c r="T23">
        <v>12</v>
      </c>
      <c r="U23">
        <v>3528</v>
      </c>
      <c r="V23">
        <v>12.290123347337895</v>
      </c>
      <c r="W23">
        <v>3613.2962641173413</v>
      </c>
      <c r="X23">
        <v>8.7821155295147548</v>
      </c>
      <c r="Y23">
        <v>2581.941965677338</v>
      </c>
      <c r="Z23">
        <v>12.252795258477603</v>
      </c>
      <c r="AA23">
        <v>3602.3218059924152</v>
      </c>
      <c r="AB23">
        <v>10</v>
      </c>
      <c r="AC23">
        <v>2940</v>
      </c>
      <c r="AD23">
        <v>12</v>
      </c>
      <c r="AE23">
        <v>3528</v>
      </c>
      <c r="AF23">
        <v>12.654361438783173</v>
      </c>
      <c r="AG23">
        <v>3720.3822630022528</v>
      </c>
      <c r="AH23">
        <v>10.076255409504517</v>
      </c>
      <c r="AI23">
        <v>2962.4190903943281</v>
      </c>
      <c r="AJ23">
        <v>7.2435031889127179</v>
      </c>
      <c r="AK23">
        <v>2129.5899375403392</v>
      </c>
      <c r="AL23">
        <v>4.4780055089268078</v>
      </c>
      <c r="AM23">
        <v>1316.5336196244814</v>
      </c>
      <c r="AN23">
        <v>6.3436668514235937</v>
      </c>
      <c r="AO23">
        <v>1865.0380543185365</v>
      </c>
      <c r="AP23">
        <v>11</v>
      </c>
      <c r="AQ23">
        <v>3234</v>
      </c>
      <c r="AR23">
        <v>9.5507636940071556</v>
      </c>
      <c r="AS23">
        <v>2807.924526038104</v>
      </c>
      <c r="AT23">
        <v>11.454737526282175</v>
      </c>
      <c r="AU23">
        <v>3367.6928327269593</v>
      </c>
      <c r="AV23">
        <v>9.7508404601782122</v>
      </c>
      <c r="AW23">
        <v>2866.7470952923945</v>
      </c>
      <c r="AX23">
        <v>4.634640034403966</v>
      </c>
      <c r="AY23">
        <v>1362.584170114766</v>
      </c>
      <c r="AZ23">
        <v>8</v>
      </c>
      <c r="BA23">
        <v>2352</v>
      </c>
      <c r="BB23">
        <v>11</v>
      </c>
      <c r="BC23">
        <v>3234</v>
      </c>
      <c r="BD23">
        <v>9.7376611353321909</v>
      </c>
      <c r="BE23">
        <v>2862.8723737876639</v>
      </c>
      <c r="BF23">
        <v>5.7042736881857312</v>
      </c>
      <c r="BG23">
        <v>1677.056464326605</v>
      </c>
      <c r="BH23">
        <v>14</v>
      </c>
      <c r="BI23">
        <v>4116</v>
      </c>
      <c r="BJ23">
        <v>14.619794373201323</v>
      </c>
      <c r="BK23">
        <v>4298.2195457211892</v>
      </c>
      <c r="BL23">
        <v>4.9740281229543939</v>
      </c>
      <c r="BM23">
        <v>1462.3642681485917</v>
      </c>
      <c r="BN23">
        <v>14</v>
      </c>
      <c r="BO23">
        <v>4116</v>
      </c>
      <c r="BP23">
        <v>9</v>
      </c>
      <c r="BQ23">
        <v>2646</v>
      </c>
      <c r="BR23">
        <v>9</v>
      </c>
      <c r="BS23">
        <v>2646</v>
      </c>
      <c r="BT23">
        <v>16.99043844059419</v>
      </c>
      <c r="BU23">
        <v>4995.1889015346915</v>
      </c>
      <c r="BV23">
        <v>4.9099652571815318</v>
      </c>
      <c r="BW23">
        <v>1443.5297856113702</v>
      </c>
      <c r="BX23">
        <v>14</v>
      </c>
      <c r="BY23">
        <v>4116</v>
      </c>
      <c r="BZ23">
        <v>11</v>
      </c>
      <c r="CA23">
        <v>3234</v>
      </c>
      <c r="CB23">
        <v>9</v>
      </c>
      <c r="CC23">
        <v>2646</v>
      </c>
      <c r="CD23">
        <v>13.523770260854377</v>
      </c>
      <c r="CE23">
        <v>3975.9884566911869</v>
      </c>
      <c r="CF23">
        <v>6.3957270387999454</v>
      </c>
      <c r="CG23">
        <v>1880.3437494071839</v>
      </c>
      <c r="CH23">
        <v>15</v>
      </c>
      <c r="CI23">
        <v>4410</v>
      </c>
      <c r="CJ23">
        <v>12</v>
      </c>
      <c r="CK23">
        <v>3528</v>
      </c>
      <c r="CL23">
        <v>17</v>
      </c>
      <c r="CM23">
        <v>4998</v>
      </c>
      <c r="CN23">
        <v>10.477887810720189</v>
      </c>
      <c r="CO23">
        <v>3080.4990163517355</v>
      </c>
      <c r="CP23">
        <v>4.2910751925727562</v>
      </c>
      <c r="CQ23">
        <v>1261.5761066163902</v>
      </c>
      <c r="CR23">
        <v>3.9165041477541123</v>
      </c>
      <c r="CS23">
        <v>1151.4522194397091</v>
      </c>
      <c r="CT23">
        <v>10</v>
      </c>
      <c r="CU23">
        <v>2940</v>
      </c>
    </row>
    <row r="24" spans="2:99">
      <c r="C24" s="99" t="s">
        <v>190</v>
      </c>
      <c r="D24">
        <v>13.512907900315051</v>
      </c>
      <c r="E24">
        <v>4961.9397809956863</v>
      </c>
      <c r="F24">
        <v>9.8684022604536672</v>
      </c>
      <c r="G24">
        <v>3623.6773100385863</v>
      </c>
      <c r="H24">
        <v>11.709435431459973</v>
      </c>
      <c r="I24">
        <v>4299.7046904321014</v>
      </c>
      <c r="J24">
        <v>7.7474186853038702</v>
      </c>
      <c r="K24">
        <v>2844.8521412435812</v>
      </c>
      <c r="L24">
        <v>8.214041559555497</v>
      </c>
      <c r="M24">
        <v>3016.1960606687785</v>
      </c>
      <c r="N24">
        <v>10.924151407483725</v>
      </c>
      <c r="O24">
        <v>4011.3483968280239</v>
      </c>
      <c r="P24">
        <v>7.0404569197026188</v>
      </c>
      <c r="Q24">
        <v>2585.2557809148016</v>
      </c>
      <c r="R24">
        <v>11</v>
      </c>
      <c r="S24">
        <v>4039.2</v>
      </c>
      <c r="T24">
        <v>12</v>
      </c>
      <c r="U24">
        <v>4406.3999999999996</v>
      </c>
      <c r="V24">
        <v>11.267806166773441</v>
      </c>
      <c r="W24">
        <v>4137.538424439208</v>
      </c>
      <c r="X24">
        <v>8.7821155295147548</v>
      </c>
      <c r="Y24">
        <v>3224.7928224378179</v>
      </c>
      <c r="Z24">
        <v>11.310272546287019</v>
      </c>
      <c r="AA24">
        <v>4153.132078996593</v>
      </c>
      <c r="AB24">
        <v>10</v>
      </c>
      <c r="AC24">
        <v>3672</v>
      </c>
      <c r="AD24">
        <v>12</v>
      </c>
      <c r="AE24">
        <v>4406.3999999999996</v>
      </c>
      <c r="AF24">
        <v>10.846595518957004</v>
      </c>
      <c r="AG24">
        <v>3982.8698745610118</v>
      </c>
      <c r="AH24">
        <v>10.748005770138152</v>
      </c>
      <c r="AI24">
        <v>3946.6677187947289</v>
      </c>
      <c r="AJ24">
        <v>7.2676832731177816</v>
      </c>
      <c r="AK24">
        <v>2668.6932978888494</v>
      </c>
      <c r="AL24">
        <v>4.4436223648951714</v>
      </c>
      <c r="AM24">
        <v>1631.6981323895068</v>
      </c>
      <c r="AN24">
        <v>5.1902728784374856</v>
      </c>
      <c r="AO24">
        <v>1905.8682009622446</v>
      </c>
      <c r="AP24">
        <v>10</v>
      </c>
      <c r="AQ24">
        <v>3672</v>
      </c>
      <c r="AR24">
        <v>9.5757984073711171</v>
      </c>
      <c r="AS24">
        <v>3516.2331751866741</v>
      </c>
      <c r="AT24">
        <v>12.222903415512251</v>
      </c>
      <c r="AU24">
        <v>4488.2501341760981</v>
      </c>
      <c r="AV24">
        <v>8.494574299089475</v>
      </c>
      <c r="AW24">
        <v>3119.2076826256553</v>
      </c>
      <c r="AX24">
        <v>4.278129262526738</v>
      </c>
      <c r="AY24">
        <v>1570.9290651998181</v>
      </c>
      <c r="AZ24">
        <v>9</v>
      </c>
      <c r="BA24">
        <v>3304.7999999999997</v>
      </c>
      <c r="BB24">
        <v>10</v>
      </c>
      <c r="BC24">
        <v>3672</v>
      </c>
      <c r="BD24">
        <v>10.786838544354337</v>
      </c>
      <c r="BE24">
        <v>3960.9271134869123</v>
      </c>
      <c r="BF24">
        <v>4.9437038630943002</v>
      </c>
      <c r="BG24">
        <v>1815.3280585282271</v>
      </c>
      <c r="BH24">
        <v>12</v>
      </c>
      <c r="BI24">
        <v>4406.3999999999996</v>
      </c>
      <c r="BJ24">
        <v>13.619794373201323</v>
      </c>
      <c r="BK24">
        <v>5001.188493839526</v>
      </c>
      <c r="BL24">
        <v>5.3293158460225651</v>
      </c>
      <c r="BM24">
        <v>1956.9247786594858</v>
      </c>
      <c r="BN24">
        <v>14</v>
      </c>
      <c r="BO24">
        <v>5140.8</v>
      </c>
      <c r="BP24">
        <v>9</v>
      </c>
      <c r="BQ24">
        <v>3304.7999999999997</v>
      </c>
      <c r="BR24">
        <v>9</v>
      </c>
      <c r="BS24">
        <v>3304.7999999999997</v>
      </c>
      <c r="BT24">
        <v>17.940916518564482</v>
      </c>
      <c r="BU24">
        <v>6587.9045456168778</v>
      </c>
      <c r="BV24">
        <v>4.1545859868459116</v>
      </c>
      <c r="BW24">
        <v>1525.5639743698187</v>
      </c>
      <c r="BX24">
        <v>13</v>
      </c>
      <c r="BY24">
        <v>4773.5999999999995</v>
      </c>
      <c r="BZ24">
        <v>11</v>
      </c>
      <c r="CA24">
        <v>4039.2</v>
      </c>
      <c r="CB24">
        <v>8</v>
      </c>
      <c r="CC24">
        <v>2937.6</v>
      </c>
      <c r="CD24">
        <v>13.523770260854377</v>
      </c>
      <c r="CE24">
        <v>4965.9284397857273</v>
      </c>
      <c r="CF24">
        <v>7.03529974267994</v>
      </c>
      <c r="CG24">
        <v>2583.362065512074</v>
      </c>
      <c r="CH24">
        <v>15</v>
      </c>
      <c r="CI24">
        <v>5508</v>
      </c>
      <c r="CJ24">
        <v>12</v>
      </c>
      <c r="CK24">
        <v>4406.3999999999996</v>
      </c>
      <c r="CL24">
        <v>16</v>
      </c>
      <c r="CM24">
        <v>5875.2</v>
      </c>
      <c r="CN24">
        <v>9.4778878107201887</v>
      </c>
      <c r="CO24">
        <v>3480.2804040964534</v>
      </c>
      <c r="CP24">
        <v>4.7469721946427779</v>
      </c>
      <c r="CQ24">
        <v>1743.088189872828</v>
      </c>
      <c r="CR24">
        <v>3.9165041477541123</v>
      </c>
      <c r="CS24">
        <v>1438.1403230553101</v>
      </c>
      <c r="CT24">
        <v>9</v>
      </c>
      <c r="CU24">
        <v>3304.7999999999997</v>
      </c>
    </row>
    <row r="25" spans="2:99">
      <c r="C25" s="99" t="s">
        <v>191</v>
      </c>
      <c r="D25">
        <v>11.569897667016724</v>
      </c>
      <c r="E25">
        <v>6136.6737225856696</v>
      </c>
      <c r="F25">
        <v>9.8684022604536672</v>
      </c>
      <c r="G25">
        <v>5234.2005589446253</v>
      </c>
      <c r="H25">
        <v>10.875043403464508</v>
      </c>
      <c r="I25">
        <v>5768.1230211975744</v>
      </c>
      <c r="J25">
        <v>7.7474186853038702</v>
      </c>
      <c r="K25">
        <v>4109.2308706851727</v>
      </c>
      <c r="L25">
        <v>8.1696756410965214</v>
      </c>
      <c r="M25">
        <v>4333.1959600375949</v>
      </c>
      <c r="N25">
        <v>10.171379898042725</v>
      </c>
      <c r="O25">
        <v>5394.8998979218613</v>
      </c>
      <c r="P25">
        <v>8.2138664063197222</v>
      </c>
      <c r="Q25">
        <v>4356.6347419119802</v>
      </c>
      <c r="R25">
        <v>11</v>
      </c>
      <c r="S25">
        <v>5834.4</v>
      </c>
      <c r="T25">
        <v>12</v>
      </c>
      <c r="U25">
        <v>6364.7999999999993</v>
      </c>
      <c r="V25">
        <v>10.312440527902348</v>
      </c>
      <c r="W25">
        <v>5469.7184559994048</v>
      </c>
      <c r="X25">
        <v>8.7821155295147548</v>
      </c>
      <c r="Y25">
        <v>4658.0340768546257</v>
      </c>
      <c r="Z25">
        <v>11.310272546287019</v>
      </c>
      <c r="AA25">
        <v>5998.968558550634</v>
      </c>
      <c r="AB25">
        <v>11</v>
      </c>
      <c r="AC25">
        <v>5834.4</v>
      </c>
      <c r="AD25">
        <v>12</v>
      </c>
      <c r="AE25">
        <v>6364.7999999999993</v>
      </c>
      <c r="AF25">
        <v>12.654361438783173</v>
      </c>
      <c r="AG25">
        <v>6711.8733071305951</v>
      </c>
      <c r="AH25">
        <v>9.4045050488708828</v>
      </c>
      <c r="AI25">
        <v>4988.1494779211162</v>
      </c>
      <c r="AJ25">
        <v>7.9166897514532248</v>
      </c>
      <c r="AK25">
        <v>4199.0122441707899</v>
      </c>
      <c r="AL25">
        <v>3.6903914822372896</v>
      </c>
      <c r="AM25">
        <v>1957.3836421786584</v>
      </c>
      <c r="AN25">
        <v>5.1902728784374856</v>
      </c>
      <c r="AO25">
        <v>2752.9207347232423</v>
      </c>
      <c r="AP25">
        <v>11</v>
      </c>
      <c r="AQ25">
        <v>5834.4</v>
      </c>
      <c r="AR25">
        <v>8.5006942672792327</v>
      </c>
      <c r="AS25">
        <v>4508.7682393649047</v>
      </c>
      <c r="AT25">
        <v>10.754322449221053</v>
      </c>
      <c r="AU25">
        <v>5704.092627066846</v>
      </c>
      <c r="AV25">
        <v>9.0569385292313083</v>
      </c>
      <c r="AW25">
        <v>4803.8001959042858</v>
      </c>
      <c r="AX25">
        <v>4.634640034403966</v>
      </c>
      <c r="AY25">
        <v>2458.2130742478635</v>
      </c>
      <c r="AZ25">
        <v>9</v>
      </c>
      <c r="BA25">
        <v>4773.5999999999995</v>
      </c>
      <c r="BB25">
        <v>11</v>
      </c>
      <c r="BC25">
        <v>5834.4</v>
      </c>
      <c r="BD25">
        <v>10.786838544354337</v>
      </c>
      <c r="BE25">
        <v>5721.3391639255406</v>
      </c>
      <c r="BF25">
        <v>4.5634189505485843</v>
      </c>
      <c r="BG25">
        <v>2420.4374113709691</v>
      </c>
      <c r="BH25">
        <v>13</v>
      </c>
      <c r="BI25">
        <v>6895.2</v>
      </c>
      <c r="BJ25">
        <v>13.619794373201323</v>
      </c>
      <c r="BK25">
        <v>7223.9389355459816</v>
      </c>
      <c r="BL25">
        <v>5.6846035690907364</v>
      </c>
      <c r="BM25">
        <v>3015.1137330457263</v>
      </c>
      <c r="BN25">
        <v>16</v>
      </c>
      <c r="BO25">
        <v>8486.4</v>
      </c>
      <c r="BP25">
        <v>9</v>
      </c>
      <c r="BQ25">
        <v>4773.5999999999995</v>
      </c>
      <c r="BR25">
        <v>10</v>
      </c>
      <c r="BS25">
        <v>5304</v>
      </c>
      <c r="BT25">
        <v>16.89139459653477</v>
      </c>
      <c r="BU25">
        <v>8959.1956940020409</v>
      </c>
      <c r="BV25">
        <v>4.1545859868459116</v>
      </c>
      <c r="BW25">
        <v>2203.5924074230716</v>
      </c>
      <c r="BX25">
        <v>14</v>
      </c>
      <c r="BY25">
        <v>7425.5999999999995</v>
      </c>
      <c r="BZ25">
        <v>12</v>
      </c>
      <c r="CA25">
        <v>6364.7999999999993</v>
      </c>
      <c r="CB25">
        <v>9</v>
      </c>
      <c r="CC25">
        <v>4773.5999999999995</v>
      </c>
      <c r="CD25">
        <v>13.478225020780084</v>
      </c>
      <c r="CE25">
        <v>7148.8505510217556</v>
      </c>
      <c r="CF25">
        <v>6.3957270387999454</v>
      </c>
      <c r="CG25">
        <v>3392.293621379491</v>
      </c>
      <c r="CH25">
        <v>15</v>
      </c>
      <c r="CI25">
        <v>7956</v>
      </c>
      <c r="CJ25">
        <v>10</v>
      </c>
      <c r="CK25">
        <v>5304</v>
      </c>
      <c r="CL25">
        <v>15</v>
      </c>
      <c r="CM25">
        <v>7956</v>
      </c>
      <c r="CN25">
        <v>10.438063826493506</v>
      </c>
      <c r="CO25">
        <v>5536.3490535721558</v>
      </c>
      <c r="CP25">
        <v>4.7260830642047162</v>
      </c>
      <c r="CQ25">
        <v>2506.7144572541815</v>
      </c>
      <c r="CR25">
        <v>3.4813370202258778</v>
      </c>
      <c r="CS25">
        <v>1846.5011555278054</v>
      </c>
      <c r="CT25">
        <v>8</v>
      </c>
      <c r="CU25">
        <v>4243.2</v>
      </c>
    </row>
    <row r="26" spans="2:99">
      <c r="C26" s="99" t="s">
        <v>192</v>
      </c>
      <c r="D26">
        <v>11.541402783665887</v>
      </c>
      <c r="E26">
        <v>5609.1217528616216</v>
      </c>
      <c r="F26">
        <v>9.1635163847069752</v>
      </c>
      <c r="G26">
        <v>4453.4689629675895</v>
      </c>
      <c r="H26">
        <v>10.040651375469041</v>
      </c>
      <c r="I26">
        <v>4879.7565684779538</v>
      </c>
      <c r="J26">
        <v>8.715846020966854</v>
      </c>
      <c r="K26">
        <v>4235.9011661898912</v>
      </c>
      <c r="L26">
        <v>8.1918586003260092</v>
      </c>
      <c r="M26">
        <v>3981.2432797584406</v>
      </c>
      <c r="N26">
        <v>9.3793628098172146</v>
      </c>
      <c r="O26">
        <v>4558.3703255711662</v>
      </c>
      <c r="P26">
        <v>7.0404569197026188</v>
      </c>
      <c r="Q26">
        <v>3421.6620629754725</v>
      </c>
      <c r="R26">
        <v>10</v>
      </c>
      <c r="S26">
        <v>4860</v>
      </c>
      <c r="T26">
        <v>10</v>
      </c>
      <c r="U26">
        <v>4860</v>
      </c>
      <c r="V26">
        <v>11.290123347337895</v>
      </c>
      <c r="W26">
        <v>5486.9999468062169</v>
      </c>
      <c r="X26">
        <v>9.3675898981490722</v>
      </c>
      <c r="Y26">
        <v>4552.6486905004494</v>
      </c>
      <c r="Z26">
        <v>13.195317970668187</v>
      </c>
      <c r="AA26">
        <v>6412.9245337447392</v>
      </c>
      <c r="AB26">
        <v>11</v>
      </c>
      <c r="AC26">
        <v>5346</v>
      </c>
      <c r="AD26">
        <v>12</v>
      </c>
      <c r="AE26">
        <v>5832</v>
      </c>
      <c r="AF26">
        <v>10.846595518957004</v>
      </c>
      <c r="AG26">
        <v>5271.4454222131044</v>
      </c>
      <c r="AH26">
        <v>10.748005770138152</v>
      </c>
      <c r="AI26">
        <v>5223.530804287142</v>
      </c>
      <c r="AJ26">
        <v>8.6624165666089255</v>
      </c>
      <c r="AK26">
        <v>4209.9344513719379</v>
      </c>
      <c r="AL26">
        <v>3.6731999102214705</v>
      </c>
      <c r="AM26">
        <v>1785.1751563676346</v>
      </c>
      <c r="AN26">
        <v>5.1902728784374856</v>
      </c>
      <c r="AO26">
        <v>2522.4726189206181</v>
      </c>
      <c r="AP26">
        <v>11</v>
      </c>
      <c r="AQ26">
        <v>5346</v>
      </c>
      <c r="AR26">
        <v>9.5507636940071556</v>
      </c>
      <c r="AS26">
        <v>4641.6711552874776</v>
      </c>
      <c r="AT26">
        <v>10.731738845164735</v>
      </c>
      <c r="AU26">
        <v>5215.6250787500612</v>
      </c>
      <c r="AV26">
        <v>8.520881839250487</v>
      </c>
      <c r="AW26">
        <v>4141.1485738757365</v>
      </c>
      <c r="AX26">
        <v>4.278129262526738</v>
      </c>
      <c r="AY26">
        <v>2079.1708215879949</v>
      </c>
      <c r="AZ26">
        <v>8</v>
      </c>
      <c r="BA26">
        <v>3888</v>
      </c>
      <c r="BB26">
        <v>10</v>
      </c>
      <c r="BC26">
        <v>4860</v>
      </c>
      <c r="BD26">
        <v>9.8851933623986277</v>
      </c>
      <c r="BE26">
        <v>4804.2039741257331</v>
      </c>
      <c r="BF26">
        <v>4.9437038630943002</v>
      </c>
      <c r="BG26">
        <v>2402.64007746383</v>
      </c>
      <c r="BH26">
        <v>12</v>
      </c>
      <c r="BI26">
        <v>5832</v>
      </c>
      <c r="BJ26">
        <v>13.591621901692173</v>
      </c>
      <c r="BK26">
        <v>6605.5282442223961</v>
      </c>
      <c r="BL26">
        <v>4.9740281229543939</v>
      </c>
      <c r="BM26">
        <v>2417.3776677558353</v>
      </c>
      <c r="BN26">
        <v>13</v>
      </c>
      <c r="BO26">
        <v>6318</v>
      </c>
      <c r="BP26">
        <v>9</v>
      </c>
      <c r="BQ26">
        <v>4374</v>
      </c>
      <c r="BR26">
        <v>9</v>
      </c>
      <c r="BS26">
        <v>4374</v>
      </c>
      <c r="BT26">
        <v>15.99043844059419</v>
      </c>
      <c r="BU26">
        <v>7771.3530821287759</v>
      </c>
      <c r="BV26">
        <v>4.1545859868459116</v>
      </c>
      <c r="BW26">
        <v>2019.128789607113</v>
      </c>
      <c r="BX26">
        <v>13</v>
      </c>
      <c r="BY26">
        <v>6318</v>
      </c>
      <c r="BZ26">
        <v>10</v>
      </c>
      <c r="CA26">
        <v>4860</v>
      </c>
      <c r="CB26">
        <v>9</v>
      </c>
      <c r="CC26">
        <v>4374</v>
      </c>
      <c r="CD26">
        <v>12.478225020780084</v>
      </c>
      <c r="CE26">
        <v>6064.4173600991207</v>
      </c>
      <c r="CF26">
        <v>5.7561543349199518</v>
      </c>
      <c r="CG26">
        <v>2797.4910067710966</v>
      </c>
      <c r="CH26">
        <v>16</v>
      </c>
      <c r="CI26">
        <v>7776</v>
      </c>
      <c r="CJ26">
        <v>11</v>
      </c>
      <c r="CK26">
        <v>5346</v>
      </c>
      <c r="CL26">
        <v>17</v>
      </c>
      <c r="CM26">
        <v>8262</v>
      </c>
      <c r="CN26">
        <v>9.4380638264935062</v>
      </c>
      <c r="CO26">
        <v>4586.8990196758441</v>
      </c>
      <c r="CP26">
        <v>4.2701860621346945</v>
      </c>
      <c r="CQ26">
        <v>2075.3104261974618</v>
      </c>
      <c r="CR26">
        <v>3.4813370202258778</v>
      </c>
      <c r="CS26">
        <v>1691.9297918297766</v>
      </c>
      <c r="CT26">
        <v>9</v>
      </c>
      <c r="CU26">
        <v>4374</v>
      </c>
    </row>
    <row r="27" spans="2:99">
      <c r="C27" s="99" t="s">
        <v>193</v>
      </c>
      <c r="D27">
        <v>12.484413016964215</v>
      </c>
      <c r="E27">
        <v>5333.3412408471122</v>
      </c>
      <c r="F27">
        <v>9.8684022604536672</v>
      </c>
      <c r="G27">
        <v>4215.7814456658061</v>
      </c>
      <c r="H27">
        <v>9.234206386997041</v>
      </c>
      <c r="I27">
        <v>3944.852968525136</v>
      </c>
      <c r="J27">
        <v>7.7474186853038702</v>
      </c>
      <c r="K27">
        <v>3309.6972623618135</v>
      </c>
      <c r="L27">
        <v>9.102065111473344</v>
      </c>
      <c r="M27">
        <v>3888.4022156214123</v>
      </c>
      <c r="N27">
        <v>10.132134319258217</v>
      </c>
      <c r="O27">
        <v>4328.4477811871102</v>
      </c>
      <c r="P27">
        <v>7.6271616630111705</v>
      </c>
      <c r="Q27">
        <v>3258.3234624383717</v>
      </c>
      <c r="R27">
        <v>10</v>
      </c>
      <c r="S27">
        <v>4272</v>
      </c>
      <c r="T27">
        <v>11</v>
      </c>
      <c r="U27">
        <v>4699.2</v>
      </c>
      <c r="V27">
        <v>11.290123347337895</v>
      </c>
      <c r="W27">
        <v>4823.1406939827484</v>
      </c>
      <c r="X27">
        <v>8.1966411608804393</v>
      </c>
      <c r="Y27">
        <v>3501.6051039281238</v>
      </c>
      <c r="Z27">
        <v>11.310272546287019</v>
      </c>
      <c r="AA27">
        <v>4831.7484317738144</v>
      </c>
      <c r="AB27">
        <v>11</v>
      </c>
      <c r="AC27">
        <v>4699.2</v>
      </c>
      <c r="AD27">
        <v>13</v>
      </c>
      <c r="AE27">
        <v>5553.5999999999995</v>
      </c>
      <c r="AF27">
        <v>12.654361438783173</v>
      </c>
      <c r="AG27">
        <v>5405.9432066481713</v>
      </c>
      <c r="AH27">
        <v>10.748005770138152</v>
      </c>
      <c r="AI27">
        <v>4591.5480650030186</v>
      </c>
      <c r="AJ27">
        <v>8.0134100882734813</v>
      </c>
      <c r="AK27">
        <v>3423.328789710431</v>
      </c>
      <c r="AL27">
        <v>4.0756027095741398</v>
      </c>
      <c r="AM27">
        <v>1741.0974775300724</v>
      </c>
      <c r="AN27">
        <v>6.3436668514235937</v>
      </c>
      <c r="AO27">
        <v>2710.014478928159</v>
      </c>
      <c r="AP27">
        <v>11</v>
      </c>
      <c r="AQ27">
        <v>4699.2</v>
      </c>
      <c r="AR27">
        <v>10.500694267279233</v>
      </c>
      <c r="AS27">
        <v>4485.896590981688</v>
      </c>
      <c r="AT27">
        <v>10.754322449221053</v>
      </c>
      <c r="AU27">
        <v>4594.2465503072335</v>
      </c>
      <c r="AV27">
        <v>8.494574299089475</v>
      </c>
      <c r="AW27">
        <v>3628.8821405710237</v>
      </c>
      <c r="AX27">
        <v>4.278129262526738</v>
      </c>
      <c r="AY27">
        <v>1827.6168209514224</v>
      </c>
      <c r="AZ27">
        <v>8</v>
      </c>
      <c r="BA27">
        <v>3417.6</v>
      </c>
      <c r="BB27">
        <v>10</v>
      </c>
      <c r="BC27">
        <v>4272</v>
      </c>
      <c r="BD27">
        <v>9.7868385443543371</v>
      </c>
      <c r="BE27">
        <v>4180.9374261481726</v>
      </c>
      <c r="BF27">
        <v>5.7042736881857312</v>
      </c>
      <c r="BG27">
        <v>2436.8657195929445</v>
      </c>
      <c r="BH27">
        <v>12</v>
      </c>
      <c r="BI27">
        <v>5126.3999999999996</v>
      </c>
      <c r="BJ27">
        <v>12.563449430183022</v>
      </c>
      <c r="BK27">
        <v>5367.1055965741871</v>
      </c>
      <c r="BL27">
        <v>5.3293158460225651</v>
      </c>
      <c r="BM27">
        <v>2276.6837294208399</v>
      </c>
      <c r="BN27">
        <v>15</v>
      </c>
      <c r="BO27">
        <v>6408</v>
      </c>
      <c r="BP27">
        <v>9</v>
      </c>
      <c r="BQ27">
        <v>3844.7999999999997</v>
      </c>
      <c r="BR27">
        <v>9</v>
      </c>
      <c r="BS27">
        <v>3844.7999999999997</v>
      </c>
      <c r="BT27">
        <v>16.940916518564482</v>
      </c>
      <c r="BU27">
        <v>7237.1595367307464</v>
      </c>
      <c r="BV27">
        <v>4.5322756220137217</v>
      </c>
      <c r="BW27">
        <v>1936.1881457242619</v>
      </c>
      <c r="BX27">
        <v>13</v>
      </c>
      <c r="BY27">
        <v>5553.5999999999995</v>
      </c>
      <c r="BZ27">
        <v>11</v>
      </c>
      <c r="CA27">
        <v>4699.2</v>
      </c>
      <c r="CB27">
        <v>9</v>
      </c>
      <c r="CC27">
        <v>3844.7999999999997</v>
      </c>
      <c r="CD27">
        <v>12.50099764081723</v>
      </c>
      <c r="CE27">
        <v>5340.4261921571206</v>
      </c>
      <c r="CF27">
        <v>6.3957270387999454</v>
      </c>
      <c r="CG27">
        <v>2732.2545909753367</v>
      </c>
      <c r="CH27">
        <v>16</v>
      </c>
      <c r="CI27">
        <v>6835.2</v>
      </c>
      <c r="CJ27">
        <v>10</v>
      </c>
      <c r="CK27">
        <v>4272</v>
      </c>
      <c r="CL27">
        <v>18</v>
      </c>
      <c r="CM27">
        <v>7689.5999999999995</v>
      </c>
      <c r="CN27">
        <v>9.5177117949468713</v>
      </c>
      <c r="CO27">
        <v>4065.9664788013033</v>
      </c>
      <c r="CP27">
        <v>4.2701860621346945</v>
      </c>
      <c r="CQ27">
        <v>1824.2234857439414</v>
      </c>
      <c r="CR27">
        <v>3.9165041477541123</v>
      </c>
      <c r="CS27">
        <v>1673.1305719205568</v>
      </c>
      <c r="CT27">
        <v>8</v>
      </c>
      <c r="CU27">
        <v>3417.6</v>
      </c>
    </row>
    <row r="28" spans="2:99">
      <c r="C28" s="99" t="s">
        <v>194</v>
      </c>
      <c r="D28">
        <v>11.484413016964215</v>
      </c>
      <c r="E28">
        <v>8475.4968065195899</v>
      </c>
      <c r="F28">
        <v>9.8684022604536672</v>
      </c>
      <c r="G28">
        <v>7282.8808682148065</v>
      </c>
      <c r="H28">
        <v>10.847096363941043</v>
      </c>
      <c r="I28">
        <v>8005.1571165884898</v>
      </c>
      <c r="J28">
        <v>7.7474186853038702</v>
      </c>
      <c r="K28">
        <v>5717.5949897542559</v>
      </c>
      <c r="L28">
        <v>8.214041559555497</v>
      </c>
      <c r="M28">
        <v>6061.9626709519571</v>
      </c>
      <c r="N28">
        <v>10.132134319258217</v>
      </c>
      <c r="O28">
        <v>7477.5151276125644</v>
      </c>
      <c r="P28">
        <v>7.6271616630111705</v>
      </c>
      <c r="Q28">
        <v>5628.8453073022438</v>
      </c>
      <c r="R28">
        <v>11</v>
      </c>
      <c r="S28">
        <v>8118</v>
      </c>
      <c r="T28">
        <v>11</v>
      </c>
      <c r="U28">
        <v>8118</v>
      </c>
      <c r="V28">
        <v>12.267806166773441</v>
      </c>
      <c r="W28">
        <v>9053.6409510787998</v>
      </c>
      <c r="X28">
        <v>8.1966411608804393</v>
      </c>
      <c r="Y28">
        <v>6049.1211767297646</v>
      </c>
      <c r="Z28">
        <v>10.367749834096433</v>
      </c>
      <c r="AA28">
        <v>7651.399377563167</v>
      </c>
      <c r="AB28">
        <v>11</v>
      </c>
      <c r="AC28">
        <v>8118</v>
      </c>
      <c r="AD28">
        <v>12</v>
      </c>
      <c r="AE28">
        <v>8856</v>
      </c>
      <c r="AF28">
        <v>10.846595518957004</v>
      </c>
      <c r="AG28">
        <v>8004.7874929902691</v>
      </c>
      <c r="AH28">
        <v>9.4045050488708828</v>
      </c>
      <c r="AI28">
        <v>6940.5247260667111</v>
      </c>
      <c r="AJ28">
        <v>7.9408698356582894</v>
      </c>
      <c r="AK28">
        <v>5860.3619387158178</v>
      </c>
      <c r="AL28">
        <v>4.0584111375583207</v>
      </c>
      <c r="AM28">
        <v>2995.1074195180408</v>
      </c>
      <c r="AN28">
        <v>6.3436668514235937</v>
      </c>
      <c r="AO28">
        <v>4681.6261363506119</v>
      </c>
      <c r="AP28">
        <v>9</v>
      </c>
      <c r="AQ28">
        <v>6642</v>
      </c>
      <c r="AR28">
        <v>8</v>
      </c>
      <c r="AS28">
        <v>5904</v>
      </c>
      <c r="AT28">
        <v>10.731738845164735</v>
      </c>
      <c r="AU28">
        <v>7920.0232677315744</v>
      </c>
      <c r="AV28">
        <v>7.9059025287866262</v>
      </c>
      <c r="AW28">
        <v>5834.5560662445305</v>
      </c>
      <c r="AX28">
        <v>4.278129262526738</v>
      </c>
      <c r="AY28">
        <v>3157.2593957447325</v>
      </c>
      <c r="AZ28">
        <v>8</v>
      </c>
      <c r="BA28">
        <v>5904</v>
      </c>
      <c r="BB28">
        <v>10</v>
      </c>
      <c r="BC28">
        <v>7380</v>
      </c>
      <c r="BD28">
        <v>9.7376611353321909</v>
      </c>
      <c r="BE28">
        <v>7186.3939178751571</v>
      </c>
      <c r="BF28">
        <v>5.3239887756400162</v>
      </c>
      <c r="BG28">
        <v>3929.1037164223321</v>
      </c>
      <c r="BH28">
        <v>13</v>
      </c>
      <c r="BI28">
        <v>9594</v>
      </c>
      <c r="BJ28">
        <v>14.647966844710474</v>
      </c>
      <c r="BK28">
        <v>10810.199531396331</v>
      </c>
      <c r="BL28">
        <v>5.3293158460225651</v>
      </c>
      <c r="BM28">
        <v>3933.0350943646531</v>
      </c>
      <c r="BN28">
        <v>14</v>
      </c>
      <c r="BO28">
        <v>10332</v>
      </c>
      <c r="BP28">
        <v>8</v>
      </c>
      <c r="BQ28">
        <v>5904</v>
      </c>
      <c r="BR28">
        <v>9</v>
      </c>
      <c r="BS28">
        <v>6642</v>
      </c>
      <c r="BT28">
        <v>17.99043844059419</v>
      </c>
      <c r="BU28">
        <v>13276.943569158511</v>
      </c>
      <c r="BV28">
        <v>4.5322756220137217</v>
      </c>
      <c r="BW28">
        <v>3344.8194090461266</v>
      </c>
      <c r="BX28">
        <v>12</v>
      </c>
      <c r="BY28">
        <v>8856</v>
      </c>
      <c r="BZ28">
        <v>11</v>
      </c>
      <c r="CA28">
        <v>8118</v>
      </c>
      <c r="CB28">
        <v>9</v>
      </c>
      <c r="CC28">
        <v>6642</v>
      </c>
      <c r="CD28">
        <v>12.50099764081723</v>
      </c>
      <c r="CE28">
        <v>9225.7362589231161</v>
      </c>
      <c r="CF28">
        <v>6.3957270387999454</v>
      </c>
      <c r="CG28">
        <v>4720.0465546343594</v>
      </c>
      <c r="CH28">
        <v>14</v>
      </c>
      <c r="CI28">
        <v>10332</v>
      </c>
      <c r="CJ28">
        <v>10</v>
      </c>
      <c r="CK28">
        <v>7380</v>
      </c>
      <c r="CL28">
        <v>16</v>
      </c>
      <c r="CM28">
        <v>11808</v>
      </c>
      <c r="CN28">
        <v>10.438063826493506</v>
      </c>
      <c r="CO28">
        <v>7703.2911039522078</v>
      </c>
      <c r="CP28">
        <v>4.3328534534488803</v>
      </c>
      <c r="CQ28">
        <v>3197.6458486452739</v>
      </c>
      <c r="CR28">
        <v>3.9165041477541123</v>
      </c>
      <c r="CS28">
        <v>2890.3800610425346</v>
      </c>
      <c r="CT28">
        <v>9</v>
      </c>
      <c r="CU28">
        <v>6642</v>
      </c>
    </row>
    <row r="29" spans="2:99">
      <c r="C29" s="99" t="s">
        <v>195</v>
      </c>
      <c r="D29">
        <v>12.512907900315051</v>
      </c>
      <c r="E29">
        <v>4234.3680334666133</v>
      </c>
      <c r="F29">
        <v>9.8684022604536672</v>
      </c>
      <c r="G29">
        <v>3339.467324937521</v>
      </c>
      <c r="H29">
        <v>10.889016923226238</v>
      </c>
      <c r="I29">
        <v>3684.8433268197587</v>
      </c>
      <c r="J29">
        <v>7.7474186853038702</v>
      </c>
      <c r="K29">
        <v>2621.7264831068296</v>
      </c>
      <c r="L29">
        <v>9.0798821522438544</v>
      </c>
      <c r="M29">
        <v>3072.6321203193202</v>
      </c>
      <c r="N29">
        <v>11.755414074493741</v>
      </c>
      <c r="O29">
        <v>3978.0321228086818</v>
      </c>
      <c r="P29">
        <v>7.6271616630111705</v>
      </c>
      <c r="Q29">
        <v>2581.0315067629799</v>
      </c>
      <c r="R29">
        <v>10</v>
      </c>
      <c r="S29">
        <v>3384</v>
      </c>
      <c r="T29">
        <v>12</v>
      </c>
      <c r="U29">
        <v>4060.7999999999997</v>
      </c>
      <c r="V29">
        <v>10.312440527902348</v>
      </c>
      <c r="W29">
        <v>3489.7298746421543</v>
      </c>
      <c r="X29">
        <v>8.1966411608804393</v>
      </c>
      <c r="Y29">
        <v>2773.7433688419405</v>
      </c>
      <c r="Z29">
        <v>11.310272546287019</v>
      </c>
      <c r="AA29">
        <v>3827.3962296635268</v>
      </c>
      <c r="AB29">
        <v>10</v>
      </c>
      <c r="AC29">
        <v>3384</v>
      </c>
      <c r="AD29">
        <v>12</v>
      </c>
      <c r="AE29">
        <v>4060.7999999999997</v>
      </c>
      <c r="AF29">
        <v>10.846595518957004</v>
      </c>
      <c r="AG29">
        <v>3670.48792361505</v>
      </c>
      <c r="AH29">
        <v>10.076255409504517</v>
      </c>
      <c r="AI29">
        <v>3409.8048305763282</v>
      </c>
      <c r="AJ29">
        <v>7.9408698356582894</v>
      </c>
      <c r="AK29">
        <v>2687.190352386765</v>
      </c>
      <c r="AL29">
        <v>4.4608139369109905</v>
      </c>
      <c r="AM29">
        <v>1509.539436250679</v>
      </c>
      <c r="AN29">
        <v>6.3436668514235937</v>
      </c>
      <c r="AO29">
        <v>2146.6968625217442</v>
      </c>
      <c r="AP29">
        <v>10</v>
      </c>
      <c r="AQ29">
        <v>3384</v>
      </c>
      <c r="AR29">
        <v>9.5257289806431942</v>
      </c>
      <c r="AS29">
        <v>3223.5066870496566</v>
      </c>
      <c r="AT29">
        <v>11.499904734394811</v>
      </c>
      <c r="AU29">
        <v>3891.5677621192035</v>
      </c>
      <c r="AV29">
        <v>8.4682667589284595</v>
      </c>
      <c r="AW29">
        <v>2865.6614712213905</v>
      </c>
      <c r="AX29">
        <v>4.278129262526738</v>
      </c>
      <c r="AY29">
        <v>1447.7189424390481</v>
      </c>
      <c r="AZ29">
        <v>8</v>
      </c>
      <c r="BA29">
        <v>2707.2</v>
      </c>
      <c r="BB29">
        <v>11</v>
      </c>
      <c r="BC29">
        <v>3722.3999999999996</v>
      </c>
      <c r="BD29">
        <v>10.786838544354337</v>
      </c>
      <c r="BE29">
        <v>3650.2661634095075</v>
      </c>
      <c r="BF29">
        <v>5.3239887756400162</v>
      </c>
      <c r="BG29">
        <v>1801.6378016765814</v>
      </c>
      <c r="BH29">
        <v>14</v>
      </c>
      <c r="BI29">
        <v>4737.5999999999995</v>
      </c>
      <c r="BJ29">
        <v>14.647966844710474</v>
      </c>
      <c r="BK29">
        <v>4956.8719802500245</v>
      </c>
      <c r="BL29">
        <v>5.6846035690907364</v>
      </c>
      <c r="BM29">
        <v>1923.669847780305</v>
      </c>
      <c r="BN29">
        <v>13</v>
      </c>
      <c r="BO29">
        <v>4399.2</v>
      </c>
      <c r="BP29">
        <v>9</v>
      </c>
      <c r="BQ29">
        <v>3045.6</v>
      </c>
      <c r="BR29">
        <v>10</v>
      </c>
      <c r="BS29">
        <v>3384</v>
      </c>
      <c r="BT29">
        <v>16.99043844059419</v>
      </c>
      <c r="BU29">
        <v>5749.5643682970731</v>
      </c>
      <c r="BV29">
        <v>4.1545859868459116</v>
      </c>
      <c r="BW29">
        <v>1405.9118979486564</v>
      </c>
      <c r="BX29">
        <v>13</v>
      </c>
      <c r="BY29">
        <v>4399.2</v>
      </c>
      <c r="BZ29">
        <v>11</v>
      </c>
      <c r="CA29">
        <v>3722.3999999999996</v>
      </c>
      <c r="CB29">
        <v>9</v>
      </c>
      <c r="CC29">
        <v>3045.6</v>
      </c>
      <c r="CD29">
        <v>12.478225020780084</v>
      </c>
      <c r="CE29">
        <v>4222.6313470319801</v>
      </c>
      <c r="CF29">
        <v>6.3957270387999454</v>
      </c>
      <c r="CG29">
        <v>2164.3140299299016</v>
      </c>
      <c r="CH29">
        <v>15</v>
      </c>
      <c r="CI29">
        <v>5076</v>
      </c>
      <c r="CJ29">
        <v>12</v>
      </c>
      <c r="CK29">
        <v>4060.7999999999997</v>
      </c>
      <c r="CL29">
        <v>16</v>
      </c>
      <c r="CM29">
        <v>5414.4</v>
      </c>
      <c r="CN29">
        <v>8.5177117949468713</v>
      </c>
      <c r="CO29">
        <v>2882.3936714100209</v>
      </c>
      <c r="CP29">
        <v>4.3119643230108178</v>
      </c>
      <c r="CQ29">
        <v>1459.1687269068607</v>
      </c>
      <c r="CR29">
        <v>3.4813370202258778</v>
      </c>
      <c r="CS29">
        <v>1178.084447644437</v>
      </c>
      <c r="CT29">
        <v>9</v>
      </c>
      <c r="CU29">
        <v>3045.6</v>
      </c>
    </row>
    <row r="30" spans="2:99">
      <c r="C30" s="99" t="s">
        <v>196</v>
      </c>
      <c r="D30">
        <v>12.59839255036756</v>
      </c>
      <c r="E30">
        <v>1753.6962430111641</v>
      </c>
      <c r="F30">
        <v>8.4586305089602849</v>
      </c>
      <c r="G30">
        <v>1177.4413668472716</v>
      </c>
      <c r="H30">
        <v>10.040651375469041</v>
      </c>
      <c r="I30">
        <v>1397.6586714652904</v>
      </c>
      <c r="J30">
        <v>7.7474186853038702</v>
      </c>
      <c r="K30">
        <v>1078.4406809942986</v>
      </c>
      <c r="L30">
        <v>8.2362245187849865</v>
      </c>
      <c r="M30">
        <v>1146.4824530148701</v>
      </c>
      <c r="N30">
        <v>10.21062547682723</v>
      </c>
      <c r="O30">
        <v>1421.3190663743503</v>
      </c>
      <c r="P30">
        <v>7.6271616630111705</v>
      </c>
      <c r="Q30">
        <v>1061.7009034911548</v>
      </c>
      <c r="R30">
        <v>11</v>
      </c>
      <c r="S30">
        <v>1531.1999999999998</v>
      </c>
      <c r="T30">
        <v>12</v>
      </c>
      <c r="U30">
        <v>1670.3999999999999</v>
      </c>
      <c r="V30">
        <v>10.312440527902348</v>
      </c>
      <c r="W30">
        <v>1435.4917214840068</v>
      </c>
      <c r="X30">
        <v>9.3675898981490722</v>
      </c>
      <c r="Y30">
        <v>1303.9685138223508</v>
      </c>
      <c r="Z30">
        <v>11.310272546287019</v>
      </c>
      <c r="AA30">
        <v>1574.3899384431529</v>
      </c>
      <c r="AB30">
        <v>11</v>
      </c>
      <c r="AC30">
        <v>1531.1999999999998</v>
      </c>
      <c r="AD30">
        <v>11</v>
      </c>
      <c r="AE30">
        <v>1531.1999999999998</v>
      </c>
      <c r="AF30">
        <v>13.558244398696257</v>
      </c>
      <c r="AG30">
        <v>1887.3076202985187</v>
      </c>
      <c r="AH30">
        <v>10.748005770138152</v>
      </c>
      <c r="AI30">
        <v>1496.1224032032305</v>
      </c>
      <c r="AJ30">
        <v>8.7107767350190546</v>
      </c>
      <c r="AK30">
        <v>1212.5401215146524</v>
      </c>
      <c r="AL30">
        <v>4.495197080942626</v>
      </c>
      <c r="AM30">
        <v>625.73143366721354</v>
      </c>
      <c r="AN30">
        <v>6.3436668514235937</v>
      </c>
      <c r="AO30">
        <v>883.03842571816415</v>
      </c>
      <c r="AP30">
        <v>10</v>
      </c>
      <c r="AQ30">
        <v>1392</v>
      </c>
      <c r="AR30">
        <v>10.525728980643194</v>
      </c>
      <c r="AS30">
        <v>1465.1814741055325</v>
      </c>
      <c r="AT30">
        <v>12.245487019568568</v>
      </c>
      <c r="AU30">
        <v>1704.5717931239444</v>
      </c>
      <c r="AV30">
        <v>9.7508404601782122</v>
      </c>
      <c r="AW30">
        <v>1357.3169920568071</v>
      </c>
      <c r="AX30">
        <v>4.991150806281194</v>
      </c>
      <c r="AY30">
        <v>694.76819223434211</v>
      </c>
      <c r="AZ30">
        <v>8</v>
      </c>
      <c r="BA30">
        <v>1113.5999999999999</v>
      </c>
      <c r="BB30">
        <v>10</v>
      </c>
      <c r="BC30">
        <v>1392</v>
      </c>
      <c r="BD30">
        <v>10.737661135332191</v>
      </c>
      <c r="BE30">
        <v>1494.6824300382409</v>
      </c>
      <c r="BF30">
        <v>4.9437038630943002</v>
      </c>
      <c r="BG30">
        <v>688.16357774272649</v>
      </c>
      <c r="BH30">
        <v>14</v>
      </c>
      <c r="BI30">
        <v>1948.7999999999997</v>
      </c>
      <c r="BJ30">
        <v>15.619794373201323</v>
      </c>
      <c r="BK30">
        <v>2174.2753767496238</v>
      </c>
      <c r="BL30">
        <v>5.6846035690907364</v>
      </c>
      <c r="BM30">
        <v>791.29681681743045</v>
      </c>
      <c r="BN30">
        <v>14</v>
      </c>
      <c r="BO30">
        <v>1948.7999999999997</v>
      </c>
      <c r="BP30">
        <v>10</v>
      </c>
      <c r="BQ30">
        <v>1392</v>
      </c>
      <c r="BR30">
        <v>9</v>
      </c>
      <c r="BS30">
        <v>1252.8</v>
      </c>
      <c r="BT30">
        <v>17.99043844059419</v>
      </c>
      <c r="BU30">
        <v>2504.2690309307109</v>
      </c>
      <c r="BV30">
        <v>4.5322756220137217</v>
      </c>
      <c r="BW30">
        <v>630.89276658431004</v>
      </c>
      <c r="BX30">
        <v>14</v>
      </c>
      <c r="BY30">
        <v>1948.7999999999997</v>
      </c>
      <c r="BZ30">
        <v>10</v>
      </c>
      <c r="CA30">
        <v>1392</v>
      </c>
      <c r="CB30">
        <v>8</v>
      </c>
      <c r="CC30">
        <v>1113.5999999999999</v>
      </c>
      <c r="CD30">
        <v>12.523770260854377</v>
      </c>
      <c r="CE30">
        <v>1743.3088203109291</v>
      </c>
      <c r="CF30">
        <v>7.03529974267994</v>
      </c>
      <c r="CG30">
        <v>979.31372418104752</v>
      </c>
      <c r="CH30">
        <v>14</v>
      </c>
      <c r="CI30">
        <v>1948.7999999999997</v>
      </c>
      <c r="CJ30">
        <v>12</v>
      </c>
      <c r="CK30">
        <v>1670.3999999999999</v>
      </c>
      <c r="CL30">
        <v>17</v>
      </c>
      <c r="CM30">
        <v>2366.3999999999996</v>
      </c>
      <c r="CN30">
        <v>10.557535779173554</v>
      </c>
      <c r="CO30">
        <v>1469.6089804609585</v>
      </c>
      <c r="CP30">
        <v>4.7469721946427779</v>
      </c>
      <c r="CQ30">
        <v>660.77852949427461</v>
      </c>
      <c r="CR30">
        <v>3.4813370202258778</v>
      </c>
      <c r="CS30">
        <v>484.60211321544216</v>
      </c>
      <c r="CT30">
        <v>9</v>
      </c>
      <c r="CU30">
        <v>1252.8</v>
      </c>
    </row>
    <row r="31" spans="2:99">
      <c r="C31" s="99" t="s">
        <v>197</v>
      </c>
      <c r="D31">
        <v>13.541402783665887</v>
      </c>
      <c r="E31">
        <v>4614.9100686733345</v>
      </c>
      <c r="F31">
        <v>8.4586305089602849</v>
      </c>
      <c r="G31">
        <v>2882.7012774536652</v>
      </c>
      <c r="H31">
        <v>10.068598414992506</v>
      </c>
      <c r="I31">
        <v>3431.3783398294463</v>
      </c>
      <c r="J31">
        <v>7.7474186853038702</v>
      </c>
      <c r="K31">
        <v>2640.3202879515588</v>
      </c>
      <c r="L31">
        <v>8.214041559555497</v>
      </c>
      <c r="M31">
        <v>2799.3453634965135</v>
      </c>
      <c r="N31">
        <v>10.092888740473709</v>
      </c>
      <c r="O31">
        <v>3439.6564827534403</v>
      </c>
      <c r="P31">
        <v>7.6271616630111705</v>
      </c>
      <c r="Q31">
        <v>2599.3366947542072</v>
      </c>
      <c r="R31">
        <v>11</v>
      </c>
      <c r="S31">
        <v>3748.8</v>
      </c>
      <c r="T31">
        <v>11</v>
      </c>
      <c r="U31">
        <v>3748.8</v>
      </c>
      <c r="V31">
        <v>11.290123347337895</v>
      </c>
      <c r="W31">
        <v>3847.6740367727548</v>
      </c>
      <c r="X31">
        <v>9.3675898981490722</v>
      </c>
      <c r="Y31">
        <v>3192.4746372892041</v>
      </c>
      <c r="Z31">
        <v>12.252795258477603</v>
      </c>
      <c r="AA31">
        <v>4175.7526240891675</v>
      </c>
      <c r="AB31">
        <v>10</v>
      </c>
      <c r="AC31">
        <v>3408</v>
      </c>
      <c r="AD31">
        <v>11</v>
      </c>
      <c r="AE31">
        <v>3748.8</v>
      </c>
      <c r="AF31">
        <v>12.654361438783173</v>
      </c>
      <c r="AG31">
        <v>4312.6063783373056</v>
      </c>
      <c r="AH31">
        <v>10.076255409504517</v>
      </c>
      <c r="AI31">
        <v>3433.9878435591395</v>
      </c>
      <c r="AJ31">
        <v>7.2676832731177816</v>
      </c>
      <c r="AK31">
        <v>2476.8264594785401</v>
      </c>
      <c r="AL31">
        <v>4.0927942815899581</v>
      </c>
      <c r="AM31">
        <v>1394.8242911658579</v>
      </c>
      <c r="AN31">
        <v>5.7669698649305392</v>
      </c>
      <c r="AO31">
        <v>1965.3833299683279</v>
      </c>
      <c r="AP31">
        <v>11</v>
      </c>
      <c r="AQ31">
        <v>3748.8</v>
      </c>
      <c r="AR31">
        <v>9.5757984073711171</v>
      </c>
      <c r="AS31">
        <v>3263.432097232077</v>
      </c>
      <c r="AT31">
        <v>11.454737526282175</v>
      </c>
      <c r="AU31">
        <v>3903.7745489569652</v>
      </c>
      <c r="AV31">
        <v>8.4419592187674457</v>
      </c>
      <c r="AW31">
        <v>2877.0197017559458</v>
      </c>
      <c r="AX31">
        <v>4.278129262526738</v>
      </c>
      <c r="AY31">
        <v>1457.9864526691124</v>
      </c>
      <c r="AZ31">
        <v>8</v>
      </c>
      <c r="BA31">
        <v>2726.4</v>
      </c>
      <c r="BB31">
        <v>11</v>
      </c>
      <c r="BC31">
        <v>3748.8</v>
      </c>
      <c r="BD31">
        <v>9.7868385443543371</v>
      </c>
      <c r="BE31">
        <v>3335.3545759159583</v>
      </c>
      <c r="BF31">
        <v>4.9437038630943002</v>
      </c>
      <c r="BG31">
        <v>1684.8142765425375</v>
      </c>
      <c r="BH31">
        <v>12</v>
      </c>
      <c r="BI31">
        <v>4089.6000000000004</v>
      </c>
      <c r="BJ31">
        <v>12.563449430183022</v>
      </c>
      <c r="BK31">
        <v>4281.6235658063742</v>
      </c>
      <c r="BL31">
        <v>5.6846035690907364</v>
      </c>
      <c r="BM31">
        <v>1937.3128963461231</v>
      </c>
      <c r="BN31">
        <v>14</v>
      </c>
      <c r="BO31">
        <v>4771.2</v>
      </c>
      <c r="BP31">
        <v>10</v>
      </c>
      <c r="BQ31">
        <v>3408</v>
      </c>
      <c r="BR31">
        <v>9</v>
      </c>
      <c r="BS31">
        <v>3067.2000000000003</v>
      </c>
      <c r="BT31">
        <v>15.94091651856448</v>
      </c>
      <c r="BU31">
        <v>5432.6643495267754</v>
      </c>
      <c r="BV31">
        <v>4.1545859868459116</v>
      </c>
      <c r="BW31">
        <v>1415.8829043170867</v>
      </c>
      <c r="BX31">
        <v>14</v>
      </c>
      <c r="BY31">
        <v>4771.2</v>
      </c>
      <c r="BZ31">
        <v>10</v>
      </c>
      <c r="CA31">
        <v>3408</v>
      </c>
      <c r="CB31">
        <v>8</v>
      </c>
      <c r="CC31">
        <v>2726.4</v>
      </c>
      <c r="CD31">
        <v>11.50099764081723</v>
      </c>
      <c r="CE31">
        <v>3919.5399959905121</v>
      </c>
      <c r="CF31">
        <v>7.03529974267994</v>
      </c>
      <c r="CG31">
        <v>2397.6301523053235</v>
      </c>
      <c r="CH31">
        <v>15</v>
      </c>
      <c r="CI31">
        <v>5112</v>
      </c>
      <c r="CJ31">
        <v>10</v>
      </c>
      <c r="CK31">
        <v>3408</v>
      </c>
      <c r="CL31">
        <v>17</v>
      </c>
      <c r="CM31">
        <v>5793.6</v>
      </c>
      <c r="CN31">
        <v>10.477887810720189</v>
      </c>
      <c r="CO31">
        <v>3570.8641658934403</v>
      </c>
      <c r="CP31">
        <v>4.7260830642047162</v>
      </c>
      <c r="CQ31">
        <v>1610.6491082809673</v>
      </c>
      <c r="CR31">
        <v>3.9165041477541123</v>
      </c>
      <c r="CS31">
        <v>1334.7446135546015</v>
      </c>
      <c r="CT31">
        <v>9</v>
      </c>
      <c r="CU31">
        <v>3067.2000000000003</v>
      </c>
    </row>
    <row r="32" spans="2:99">
      <c r="C32" s="99" t="s">
        <v>198</v>
      </c>
      <c r="D32">
        <v>11.541402783665887</v>
      </c>
      <c r="E32">
        <v>9694.7783382793459</v>
      </c>
      <c r="F32">
        <v>9.1635163847069752</v>
      </c>
      <c r="G32">
        <v>7697.3537631538593</v>
      </c>
      <c r="H32">
        <v>10.040651375469041</v>
      </c>
      <c r="I32">
        <v>8434.1471553939955</v>
      </c>
      <c r="J32">
        <v>7.7474186853038702</v>
      </c>
      <c r="K32">
        <v>6507.8316956552508</v>
      </c>
      <c r="L32">
        <v>8.1696756410965214</v>
      </c>
      <c r="M32">
        <v>6862.527538521078</v>
      </c>
      <c r="N32">
        <v>10.884905828699218</v>
      </c>
      <c r="O32">
        <v>9143.3208961073433</v>
      </c>
      <c r="P32">
        <v>6.4537521763940671</v>
      </c>
      <c r="Q32">
        <v>5421.1518281710159</v>
      </c>
      <c r="R32">
        <v>10</v>
      </c>
      <c r="S32">
        <v>8400</v>
      </c>
      <c r="T32">
        <v>11</v>
      </c>
      <c r="U32">
        <v>9240</v>
      </c>
      <c r="V32">
        <v>10.267806166773441</v>
      </c>
      <c r="W32">
        <v>8624.9571800896902</v>
      </c>
      <c r="X32">
        <v>8.1966411608804393</v>
      </c>
      <c r="Y32">
        <v>6885.1785751395691</v>
      </c>
      <c r="Z32">
        <v>11.310272546287019</v>
      </c>
      <c r="AA32">
        <v>9500.6289388810965</v>
      </c>
      <c r="AB32">
        <v>11</v>
      </c>
      <c r="AC32">
        <v>9240</v>
      </c>
      <c r="AD32">
        <v>11</v>
      </c>
      <c r="AE32">
        <v>9240</v>
      </c>
      <c r="AF32">
        <v>12.654361438783173</v>
      </c>
      <c r="AG32">
        <v>10629.663608577865</v>
      </c>
      <c r="AH32">
        <v>10.076255409504517</v>
      </c>
      <c r="AI32">
        <v>8464.0545439837952</v>
      </c>
      <c r="AJ32">
        <v>7.9166897514532248</v>
      </c>
      <c r="AK32">
        <v>6650.0193912207087</v>
      </c>
      <c r="AL32">
        <v>4.4436223648951714</v>
      </c>
      <c r="AM32">
        <v>3732.642786511944</v>
      </c>
      <c r="AN32">
        <v>5.7669698649305392</v>
      </c>
      <c r="AO32">
        <v>4844.2546865416525</v>
      </c>
      <c r="AP32">
        <v>10</v>
      </c>
      <c r="AQ32">
        <v>8400</v>
      </c>
      <c r="AR32">
        <v>9.5507636940071556</v>
      </c>
      <c r="AS32">
        <v>8022.6415029660111</v>
      </c>
      <c r="AT32">
        <v>9.9861565599909774</v>
      </c>
      <c r="AU32">
        <v>8388.3715103924205</v>
      </c>
      <c r="AV32">
        <v>9.6719178396951708</v>
      </c>
      <c r="AW32">
        <v>8124.4109853439431</v>
      </c>
      <c r="AX32">
        <v>4.634640034403966</v>
      </c>
      <c r="AY32">
        <v>3893.0976288993315</v>
      </c>
      <c r="AZ32">
        <v>8</v>
      </c>
      <c r="BA32">
        <v>6720</v>
      </c>
      <c r="BB32">
        <v>10</v>
      </c>
      <c r="BC32">
        <v>8400</v>
      </c>
      <c r="BD32">
        <v>8.7376611353321909</v>
      </c>
      <c r="BE32">
        <v>7339.6353536790402</v>
      </c>
      <c r="BF32">
        <v>4.5634189505485843</v>
      </c>
      <c r="BG32">
        <v>3833.2719184608109</v>
      </c>
      <c r="BH32">
        <v>13</v>
      </c>
      <c r="BI32">
        <v>10920</v>
      </c>
      <c r="BJ32">
        <v>13.591621901692173</v>
      </c>
      <c r="BK32">
        <v>11416.962397421426</v>
      </c>
      <c r="BL32">
        <v>4.9740281229543939</v>
      </c>
      <c r="BM32">
        <v>4178.1836232816913</v>
      </c>
      <c r="BN32">
        <v>13</v>
      </c>
      <c r="BO32">
        <v>10920</v>
      </c>
      <c r="BP32">
        <v>9</v>
      </c>
      <c r="BQ32">
        <v>7560</v>
      </c>
      <c r="BR32">
        <v>9</v>
      </c>
      <c r="BS32">
        <v>7560</v>
      </c>
      <c r="BT32">
        <v>15.99043844059419</v>
      </c>
      <c r="BU32">
        <v>13431.968290099119</v>
      </c>
      <c r="BV32">
        <v>4.5322756220137217</v>
      </c>
      <c r="BW32">
        <v>3807.1115224915261</v>
      </c>
      <c r="BX32">
        <v>13</v>
      </c>
      <c r="BY32">
        <v>10920</v>
      </c>
      <c r="BZ32">
        <v>11</v>
      </c>
      <c r="CA32">
        <v>9240</v>
      </c>
      <c r="CB32">
        <v>8</v>
      </c>
      <c r="CC32">
        <v>6720</v>
      </c>
      <c r="CD32">
        <v>13.523770260854377</v>
      </c>
      <c r="CE32">
        <v>11359.967019117677</v>
      </c>
      <c r="CF32">
        <v>5.7561543349199518</v>
      </c>
      <c r="CG32">
        <v>4835.1696413327591</v>
      </c>
      <c r="CH32">
        <v>13</v>
      </c>
      <c r="CI32">
        <v>10920</v>
      </c>
      <c r="CJ32">
        <v>12</v>
      </c>
      <c r="CK32">
        <v>10080</v>
      </c>
      <c r="CL32">
        <v>16</v>
      </c>
      <c r="CM32">
        <v>13440</v>
      </c>
      <c r="CN32">
        <v>9.4778878107201887</v>
      </c>
      <c r="CO32">
        <v>7961.4257610049581</v>
      </c>
      <c r="CP32">
        <v>4.7051939337666546</v>
      </c>
      <c r="CQ32">
        <v>3952.3629043639899</v>
      </c>
      <c r="CR32">
        <v>3.9165041477541123</v>
      </c>
      <c r="CS32">
        <v>3289.8634841134544</v>
      </c>
      <c r="CT32">
        <v>9</v>
      </c>
      <c r="CU32">
        <v>7560</v>
      </c>
    </row>
    <row r="33" spans="2:99">
      <c r="C33" s="99" t="s">
        <v>199</v>
      </c>
      <c r="D33">
        <v>13.512907900315051</v>
      </c>
      <c r="E33">
        <v>6405.118344749334</v>
      </c>
      <c r="F33">
        <v>8.4586305089602849</v>
      </c>
      <c r="G33">
        <v>4009.3908612471751</v>
      </c>
      <c r="H33">
        <v>11.69546191169824</v>
      </c>
      <c r="I33">
        <v>5543.6489461449655</v>
      </c>
      <c r="J33">
        <v>7.7474186853038702</v>
      </c>
      <c r="K33">
        <v>3672.2764568340344</v>
      </c>
      <c r="L33">
        <v>9.102065111473344</v>
      </c>
      <c r="M33">
        <v>4314.3788628383654</v>
      </c>
      <c r="N33">
        <v>9.3008716522482011</v>
      </c>
      <c r="O33">
        <v>4408.6131631656472</v>
      </c>
      <c r="P33">
        <v>7.0404569197026188</v>
      </c>
      <c r="Q33">
        <v>3337.1765799390414</v>
      </c>
      <c r="R33">
        <v>10</v>
      </c>
      <c r="S33">
        <v>4740</v>
      </c>
      <c r="T33">
        <v>11</v>
      </c>
      <c r="U33">
        <v>5214</v>
      </c>
      <c r="V33">
        <v>10.267806166773441</v>
      </c>
      <c r="W33">
        <v>4866.940123050611</v>
      </c>
      <c r="X33">
        <v>8.7821155295147548</v>
      </c>
      <c r="Y33">
        <v>4162.7227609899937</v>
      </c>
      <c r="Z33">
        <v>10.367749834096433</v>
      </c>
      <c r="AA33">
        <v>4914.3134213617095</v>
      </c>
      <c r="AB33">
        <v>10</v>
      </c>
      <c r="AC33">
        <v>4740</v>
      </c>
      <c r="AD33">
        <v>12</v>
      </c>
      <c r="AE33">
        <v>5688</v>
      </c>
      <c r="AF33">
        <v>12.654361438783173</v>
      </c>
      <c r="AG33">
        <v>5998.1673219832237</v>
      </c>
      <c r="AH33">
        <v>8.7327546882372484</v>
      </c>
      <c r="AI33">
        <v>4139.3257222244556</v>
      </c>
      <c r="AJ33">
        <v>7.2435031889127179</v>
      </c>
      <c r="AK33">
        <v>3433.4205115446284</v>
      </c>
      <c r="AL33">
        <v>3.7075830542531079</v>
      </c>
      <c r="AM33">
        <v>1757.3943677159732</v>
      </c>
      <c r="AN33">
        <v>5.7669698649305392</v>
      </c>
      <c r="AO33">
        <v>2733.5437159770754</v>
      </c>
      <c r="AP33">
        <v>11</v>
      </c>
      <c r="AQ33">
        <v>5214</v>
      </c>
      <c r="AR33">
        <v>8.5757984073711171</v>
      </c>
      <c r="AS33">
        <v>4064.9284450939094</v>
      </c>
      <c r="AT33">
        <v>9.9861565599909774</v>
      </c>
      <c r="AU33">
        <v>4733.4382094357234</v>
      </c>
      <c r="AV33">
        <v>9.0569385292313083</v>
      </c>
      <c r="AW33">
        <v>4292.98886285564</v>
      </c>
      <c r="AX33">
        <v>4.634640034403966</v>
      </c>
      <c r="AY33">
        <v>2196.8193763074801</v>
      </c>
      <c r="AZ33">
        <v>8</v>
      </c>
      <c r="BA33">
        <v>3792</v>
      </c>
      <c r="BB33">
        <v>10</v>
      </c>
      <c r="BC33">
        <v>4740</v>
      </c>
      <c r="BD33">
        <v>9.8851933623986277</v>
      </c>
      <c r="BE33">
        <v>4685.5816537769497</v>
      </c>
      <c r="BF33">
        <v>5.7042736881857312</v>
      </c>
      <c r="BG33">
        <v>2703.8257282000368</v>
      </c>
      <c r="BH33">
        <v>14</v>
      </c>
      <c r="BI33">
        <v>6636</v>
      </c>
      <c r="BJ33">
        <v>14.619794373201323</v>
      </c>
      <c r="BK33">
        <v>6929.7825328974268</v>
      </c>
      <c r="BL33">
        <v>4.9740281229543939</v>
      </c>
      <c r="BM33">
        <v>2357.6893302803828</v>
      </c>
      <c r="BN33">
        <v>15</v>
      </c>
      <c r="BO33">
        <v>7110</v>
      </c>
      <c r="BP33">
        <v>10</v>
      </c>
      <c r="BQ33">
        <v>4740</v>
      </c>
      <c r="BR33">
        <v>9</v>
      </c>
      <c r="BS33">
        <v>4266</v>
      </c>
      <c r="BT33">
        <v>16.99043844059419</v>
      </c>
      <c r="BU33">
        <v>8053.4678208416462</v>
      </c>
      <c r="BV33">
        <v>4.5322756220137217</v>
      </c>
      <c r="BW33">
        <v>2148.2986448345041</v>
      </c>
      <c r="BX33">
        <v>14</v>
      </c>
      <c r="BY33">
        <v>6636</v>
      </c>
      <c r="BZ33">
        <v>10</v>
      </c>
      <c r="CA33">
        <v>4740</v>
      </c>
      <c r="CB33">
        <v>9</v>
      </c>
      <c r="CC33">
        <v>4266</v>
      </c>
      <c r="CD33">
        <v>12.50099764081723</v>
      </c>
      <c r="CE33">
        <v>5925.472881747367</v>
      </c>
      <c r="CF33">
        <v>6.3957270387999454</v>
      </c>
      <c r="CG33">
        <v>3031.574616391174</v>
      </c>
      <c r="CH33">
        <v>16</v>
      </c>
      <c r="CI33">
        <v>7584</v>
      </c>
      <c r="CJ33">
        <v>10</v>
      </c>
      <c r="CK33">
        <v>4740</v>
      </c>
      <c r="CL33">
        <v>17</v>
      </c>
      <c r="CM33">
        <v>8058</v>
      </c>
      <c r="CN33">
        <v>8.4380638264935062</v>
      </c>
      <c r="CO33">
        <v>3999.6422537579219</v>
      </c>
      <c r="CP33">
        <v>4.7469721946427779</v>
      </c>
      <c r="CQ33">
        <v>2250.0648202606767</v>
      </c>
      <c r="CR33">
        <v>3.9165041477541123</v>
      </c>
      <c r="CS33">
        <v>1856.4229660354492</v>
      </c>
      <c r="CT33">
        <v>9</v>
      </c>
      <c r="CU33">
        <v>4266</v>
      </c>
    </row>
    <row r="34" spans="2:99">
      <c r="C34" s="99" t="s">
        <v>200</v>
      </c>
      <c r="D34">
        <v>12.484413016964215</v>
      </c>
      <c r="E34">
        <v>6846.452098503175</v>
      </c>
      <c r="F34">
        <v>8.4586305089602849</v>
      </c>
      <c r="G34">
        <v>4638.7129711138205</v>
      </c>
      <c r="H34">
        <v>10.054624895230774</v>
      </c>
      <c r="I34">
        <v>5513.9562925445562</v>
      </c>
      <c r="J34">
        <v>7.7474186853038702</v>
      </c>
      <c r="K34">
        <v>4248.6844070206425</v>
      </c>
      <c r="L34">
        <v>9.0576991930143667</v>
      </c>
      <c r="M34">
        <v>4967.2422374490789</v>
      </c>
      <c r="N34">
        <v>10.171379898042725</v>
      </c>
      <c r="O34">
        <v>5577.9847360866297</v>
      </c>
      <c r="P34">
        <v>7.0404569197026188</v>
      </c>
      <c r="Q34">
        <v>3860.986574764916</v>
      </c>
      <c r="R34">
        <v>10</v>
      </c>
      <c r="S34">
        <v>5484</v>
      </c>
      <c r="T34">
        <v>12</v>
      </c>
      <c r="U34">
        <v>6580.7999999999993</v>
      </c>
      <c r="V34">
        <v>11.312440527902348</v>
      </c>
      <c r="W34">
        <v>6203.7423855016477</v>
      </c>
      <c r="X34">
        <v>8.7821155295147548</v>
      </c>
      <c r="Y34">
        <v>4816.1121563858915</v>
      </c>
      <c r="Z34">
        <v>11.310272546287019</v>
      </c>
      <c r="AA34">
        <v>6202.5534643838009</v>
      </c>
      <c r="AB34">
        <v>11</v>
      </c>
      <c r="AC34">
        <v>6032.4</v>
      </c>
      <c r="AD34">
        <v>11</v>
      </c>
      <c r="AE34">
        <v>6032.4</v>
      </c>
      <c r="AF34">
        <v>12.654361438783173</v>
      </c>
      <c r="AG34">
        <v>6939.6518130286922</v>
      </c>
      <c r="AH34">
        <v>10.076255409504517</v>
      </c>
      <c r="AI34">
        <v>5525.8184665722765</v>
      </c>
      <c r="AJ34">
        <v>7.2676832731177816</v>
      </c>
      <c r="AK34">
        <v>3985.5975069777915</v>
      </c>
      <c r="AL34">
        <v>4.0584111375583207</v>
      </c>
      <c r="AM34">
        <v>2225.6326678369828</v>
      </c>
      <c r="AN34">
        <v>5.7669698649305392</v>
      </c>
      <c r="AO34">
        <v>3162.6062739279078</v>
      </c>
      <c r="AP34">
        <v>10</v>
      </c>
      <c r="AQ34">
        <v>5484</v>
      </c>
      <c r="AR34">
        <v>10.525728980643194</v>
      </c>
      <c r="AS34">
        <v>5772.3097729847277</v>
      </c>
      <c r="AT34">
        <v>10.731738845164735</v>
      </c>
      <c r="AU34">
        <v>5885.2855826883406</v>
      </c>
      <c r="AV34">
        <v>8.4682667589284595</v>
      </c>
      <c r="AW34">
        <v>4643.9974905963672</v>
      </c>
      <c r="AX34">
        <v>4.991150806281194</v>
      </c>
      <c r="AY34">
        <v>2737.1471021646066</v>
      </c>
      <c r="AZ34">
        <v>9</v>
      </c>
      <c r="BA34">
        <v>4935.5999999999995</v>
      </c>
      <c r="BB34">
        <v>11</v>
      </c>
      <c r="BC34">
        <v>6032.4</v>
      </c>
      <c r="BD34">
        <v>10.786838544354337</v>
      </c>
      <c r="BE34">
        <v>5915.5022577239179</v>
      </c>
      <c r="BF34">
        <v>4.9437038630943002</v>
      </c>
      <c r="BG34">
        <v>2711.1271985209141</v>
      </c>
      <c r="BH34">
        <v>12</v>
      </c>
      <c r="BI34">
        <v>6580.7999999999993</v>
      </c>
      <c r="BJ34">
        <v>13.563449430183022</v>
      </c>
      <c r="BK34">
        <v>7438.1956675123693</v>
      </c>
      <c r="BL34">
        <v>5.6846035690907364</v>
      </c>
      <c r="BM34">
        <v>3117.4365972893597</v>
      </c>
      <c r="BN34">
        <v>13</v>
      </c>
      <c r="BO34">
        <v>7129.2</v>
      </c>
      <c r="BP34">
        <v>9</v>
      </c>
      <c r="BQ34">
        <v>4935.5999999999995</v>
      </c>
      <c r="BR34">
        <v>8</v>
      </c>
      <c r="BS34">
        <v>4387.2</v>
      </c>
      <c r="BT34">
        <v>17.940916518564482</v>
      </c>
      <c r="BU34">
        <v>9838.7986187807619</v>
      </c>
      <c r="BV34">
        <v>4.9099652571815318</v>
      </c>
      <c r="BW34">
        <v>2692.6249470383518</v>
      </c>
      <c r="BX34">
        <v>13</v>
      </c>
      <c r="BY34">
        <v>7129.2</v>
      </c>
      <c r="BZ34">
        <v>10</v>
      </c>
      <c r="CA34">
        <v>5484</v>
      </c>
      <c r="CB34">
        <v>8</v>
      </c>
      <c r="CC34">
        <v>4387.2</v>
      </c>
      <c r="CD34">
        <v>11.50099764081723</v>
      </c>
      <c r="CE34">
        <v>6307.147106224169</v>
      </c>
      <c r="CF34">
        <v>6.3957270387999454</v>
      </c>
      <c r="CG34">
        <v>3507.4167080778898</v>
      </c>
      <c r="CH34">
        <v>14</v>
      </c>
      <c r="CI34">
        <v>7677.5999999999995</v>
      </c>
      <c r="CJ34">
        <v>10</v>
      </c>
      <c r="CK34">
        <v>5484</v>
      </c>
      <c r="CL34">
        <v>15</v>
      </c>
      <c r="CM34">
        <v>8226</v>
      </c>
      <c r="CN34">
        <v>8.4778878107201887</v>
      </c>
      <c r="CO34">
        <v>4649.2736753989511</v>
      </c>
      <c r="CP34">
        <v>4.3119643230108178</v>
      </c>
      <c r="CQ34">
        <v>2364.6812347391324</v>
      </c>
      <c r="CR34">
        <v>3.9165041477541123</v>
      </c>
      <c r="CS34">
        <v>2147.8108746283551</v>
      </c>
      <c r="CT34">
        <v>10</v>
      </c>
      <c r="CU34">
        <v>5484</v>
      </c>
    </row>
    <row r="35" spans="2:99">
      <c r="C35" s="99" t="s">
        <v>201</v>
      </c>
      <c r="D35">
        <v>12.541402783665887</v>
      </c>
      <c r="E35">
        <v>6305.8173196272073</v>
      </c>
      <c r="F35">
        <v>9.1635163847069752</v>
      </c>
      <c r="G35">
        <v>4607.4160382306663</v>
      </c>
      <c r="H35">
        <v>10.040651375469041</v>
      </c>
      <c r="I35">
        <v>5048.4395115858333</v>
      </c>
      <c r="J35">
        <v>8.715846020966854</v>
      </c>
      <c r="K35">
        <v>4382.3273793421331</v>
      </c>
      <c r="L35">
        <v>8.214041559555497</v>
      </c>
      <c r="M35">
        <v>4130.0200961445034</v>
      </c>
      <c r="N35">
        <v>11.755414074493741</v>
      </c>
      <c r="O35">
        <v>5910.6221966554522</v>
      </c>
      <c r="P35">
        <v>7.0404569197026188</v>
      </c>
      <c r="Q35">
        <v>3539.9417392264759</v>
      </c>
      <c r="R35">
        <v>11</v>
      </c>
      <c r="S35">
        <v>5530.7999999999993</v>
      </c>
      <c r="T35">
        <v>12</v>
      </c>
      <c r="U35">
        <v>6033.5999999999985</v>
      </c>
      <c r="V35">
        <v>11.267806166773441</v>
      </c>
      <c r="W35">
        <v>5665.4529406536849</v>
      </c>
      <c r="X35">
        <v>8.7821155295147548</v>
      </c>
      <c r="Y35">
        <v>4415.6476882400175</v>
      </c>
      <c r="Z35">
        <v>10.367749834096433</v>
      </c>
      <c r="AA35">
        <v>5212.9046165836853</v>
      </c>
      <c r="AB35">
        <v>10</v>
      </c>
      <c r="AC35">
        <v>5027.9999999999991</v>
      </c>
      <c r="AD35">
        <v>12</v>
      </c>
      <c r="AE35">
        <v>6033.5999999999985</v>
      </c>
      <c r="AF35">
        <v>12.654361438783173</v>
      </c>
      <c r="AG35">
        <v>6362.612931420178</v>
      </c>
      <c r="AH35">
        <v>10.748005770138152</v>
      </c>
      <c r="AI35">
        <v>5404.0973012254617</v>
      </c>
      <c r="AJ35">
        <v>7.1951430205025888</v>
      </c>
      <c r="AK35">
        <v>3617.7179107087009</v>
      </c>
      <c r="AL35">
        <v>4.0584111375583207</v>
      </c>
      <c r="AM35">
        <v>2040.5691199643231</v>
      </c>
      <c r="AN35">
        <v>5.7669698649305392</v>
      </c>
      <c r="AO35">
        <v>2899.6324480870744</v>
      </c>
      <c r="AP35">
        <v>10</v>
      </c>
      <c r="AQ35">
        <v>5027.9999999999991</v>
      </c>
      <c r="AR35">
        <v>8.5006942672792327</v>
      </c>
      <c r="AS35">
        <v>4274.1490775879975</v>
      </c>
      <c r="AT35">
        <v>10.709155241108418</v>
      </c>
      <c r="AU35">
        <v>5384.5632552293109</v>
      </c>
      <c r="AV35">
        <v>9.6982253798561846</v>
      </c>
      <c r="AW35">
        <v>4876.2677209916883</v>
      </c>
      <c r="AX35">
        <v>4.278129262526738</v>
      </c>
      <c r="AY35">
        <v>2151.0433931984435</v>
      </c>
      <c r="AZ35">
        <v>8</v>
      </c>
      <c r="BA35">
        <v>4022.3999999999992</v>
      </c>
      <c r="BB35">
        <v>10</v>
      </c>
      <c r="BC35">
        <v>5027.9999999999991</v>
      </c>
      <c r="BD35">
        <v>9.7376611353321909</v>
      </c>
      <c r="BE35">
        <v>4896.0960188450244</v>
      </c>
      <c r="BF35">
        <v>5.3239887756400162</v>
      </c>
      <c r="BG35">
        <v>2676.9015563917997</v>
      </c>
      <c r="BH35">
        <v>13</v>
      </c>
      <c r="BI35">
        <v>6536.3999999999987</v>
      </c>
      <c r="BJ35">
        <v>14.647966844710474</v>
      </c>
      <c r="BK35">
        <v>7364.9977295204253</v>
      </c>
      <c r="BL35">
        <v>4.9740281229543939</v>
      </c>
      <c r="BM35">
        <v>2500.9413402214686</v>
      </c>
      <c r="BN35">
        <v>16</v>
      </c>
      <c r="BO35">
        <v>8044.7999999999984</v>
      </c>
      <c r="BP35">
        <v>10</v>
      </c>
      <c r="BQ35">
        <v>5027.9999999999991</v>
      </c>
      <c r="BR35">
        <v>10</v>
      </c>
      <c r="BS35">
        <v>5027.9999999999991</v>
      </c>
      <c r="BT35">
        <v>16.99043844059419</v>
      </c>
      <c r="BU35">
        <v>8542.7924479307567</v>
      </c>
      <c r="BV35">
        <v>4.5322756220137217</v>
      </c>
      <c r="BW35">
        <v>2278.8281827484989</v>
      </c>
      <c r="BX35">
        <v>12</v>
      </c>
      <c r="BY35">
        <v>6033.5999999999985</v>
      </c>
      <c r="BZ35">
        <v>11</v>
      </c>
      <c r="CA35">
        <v>5530.7999999999993</v>
      </c>
      <c r="CB35">
        <v>9</v>
      </c>
      <c r="CC35">
        <v>4525.1999999999989</v>
      </c>
      <c r="CD35">
        <v>12.523770260854377</v>
      </c>
      <c r="CE35">
        <v>6296.9516871575797</v>
      </c>
      <c r="CF35">
        <v>6.3957270387999454</v>
      </c>
      <c r="CG35">
        <v>3215.7715551086121</v>
      </c>
      <c r="CH35">
        <v>14</v>
      </c>
      <c r="CI35">
        <v>7039.1999999999989</v>
      </c>
      <c r="CJ35">
        <v>10</v>
      </c>
      <c r="CK35">
        <v>5027.9999999999991</v>
      </c>
      <c r="CL35">
        <v>15</v>
      </c>
      <c r="CM35">
        <v>7541.9999999999982</v>
      </c>
      <c r="CN35">
        <v>8.4778878107201887</v>
      </c>
      <c r="CO35">
        <v>4262.6819912301098</v>
      </c>
      <c r="CP35">
        <v>4.2701860621346945</v>
      </c>
      <c r="CQ35">
        <v>2147.0495520413238</v>
      </c>
      <c r="CR35">
        <v>3.4813370202258778</v>
      </c>
      <c r="CS35">
        <v>1750.4162537695711</v>
      </c>
      <c r="CT35">
        <v>9</v>
      </c>
      <c r="CU35">
        <v>4525.1999999999989</v>
      </c>
    </row>
    <row r="36" spans="2:99">
      <c r="C36" s="99" t="s">
        <v>202</v>
      </c>
      <c r="D36">
        <v>13.569897667016724</v>
      </c>
      <c r="E36">
        <v>10323.978145066323</v>
      </c>
      <c r="F36">
        <v>9.1635163847069752</v>
      </c>
      <c r="G36">
        <v>6971.603265485066</v>
      </c>
      <c r="H36">
        <v>10.665440607038533</v>
      </c>
      <c r="I36">
        <v>8114.2672138349162</v>
      </c>
      <c r="J36">
        <v>7.7474186853038702</v>
      </c>
      <c r="K36">
        <v>5894.2361357791842</v>
      </c>
      <c r="L36">
        <v>9.0798821522438544</v>
      </c>
      <c r="M36">
        <v>6907.9743414271243</v>
      </c>
      <c r="N36">
        <v>9.340117231032707</v>
      </c>
      <c r="O36">
        <v>7105.9611893696829</v>
      </c>
      <c r="P36">
        <v>7.6271616630111705</v>
      </c>
      <c r="Q36">
        <v>5802.7445932188984</v>
      </c>
      <c r="R36">
        <v>10</v>
      </c>
      <c r="S36">
        <v>7608</v>
      </c>
      <c r="T36">
        <v>10</v>
      </c>
      <c r="U36">
        <v>7608</v>
      </c>
      <c r="V36">
        <v>10.290123347337895</v>
      </c>
      <c r="W36">
        <v>7828.7258426546696</v>
      </c>
      <c r="X36">
        <v>8.7821155295147548</v>
      </c>
      <c r="Y36">
        <v>6681.4334948548249</v>
      </c>
      <c r="Z36">
        <v>11.310272546287019</v>
      </c>
      <c r="AA36">
        <v>8604.8553532151636</v>
      </c>
      <c r="AB36">
        <v>11</v>
      </c>
      <c r="AC36">
        <v>8368.7999999999993</v>
      </c>
      <c r="AD36">
        <v>12</v>
      </c>
      <c r="AE36">
        <v>9129.5999999999985</v>
      </c>
      <c r="AF36">
        <v>11.75047847887009</v>
      </c>
      <c r="AG36">
        <v>8939.7640267243642</v>
      </c>
      <c r="AH36">
        <v>10.076255409504517</v>
      </c>
      <c r="AI36">
        <v>7666.0151155510366</v>
      </c>
      <c r="AJ36">
        <v>7.2193231047076543</v>
      </c>
      <c r="AK36">
        <v>5492.4610180615828</v>
      </c>
      <c r="AL36">
        <v>4.4608139369109905</v>
      </c>
      <c r="AM36">
        <v>3393.7872432018812</v>
      </c>
      <c r="AN36">
        <v>5.1902728784374856</v>
      </c>
      <c r="AO36">
        <v>3948.7596059152388</v>
      </c>
      <c r="AP36">
        <v>11</v>
      </c>
      <c r="AQ36">
        <v>8368.7999999999993</v>
      </c>
      <c r="AR36">
        <v>8.5507636940071556</v>
      </c>
      <c r="AS36">
        <v>6505.4210184006433</v>
      </c>
      <c r="AT36">
        <v>12.222903415512251</v>
      </c>
      <c r="AU36">
        <v>9299.1849185217197</v>
      </c>
      <c r="AV36">
        <v>9.083246069392322</v>
      </c>
      <c r="AW36">
        <v>6910.5336095936782</v>
      </c>
      <c r="AX36">
        <v>4.634640034403966</v>
      </c>
      <c r="AY36">
        <v>3526.034138174537</v>
      </c>
      <c r="AZ36">
        <v>8</v>
      </c>
      <c r="BA36">
        <v>6086.4</v>
      </c>
      <c r="BB36">
        <v>10</v>
      </c>
      <c r="BC36">
        <v>7608</v>
      </c>
      <c r="BD36">
        <v>9.7868385443543371</v>
      </c>
      <c r="BE36">
        <v>7445.8267645447795</v>
      </c>
      <c r="BF36">
        <v>4.9437038630943002</v>
      </c>
      <c r="BG36">
        <v>3761.1698990421432</v>
      </c>
      <c r="BH36">
        <v>14</v>
      </c>
      <c r="BI36">
        <v>10651.199999999999</v>
      </c>
      <c r="BJ36">
        <v>12.563449430183022</v>
      </c>
      <c r="BK36">
        <v>9558.2723264832421</v>
      </c>
      <c r="BL36">
        <v>4.9740281229543939</v>
      </c>
      <c r="BM36">
        <v>3784.2405959437028</v>
      </c>
      <c r="BN36">
        <v>13</v>
      </c>
      <c r="BO36">
        <v>9890.4</v>
      </c>
      <c r="BP36">
        <v>9</v>
      </c>
      <c r="BQ36">
        <v>6847.2</v>
      </c>
      <c r="BR36">
        <v>9</v>
      </c>
      <c r="BS36">
        <v>6847.2</v>
      </c>
      <c r="BT36">
        <v>17.039960362623898</v>
      </c>
      <c r="BU36">
        <v>12964.00184388426</v>
      </c>
      <c r="BV36">
        <v>4.5322756220137217</v>
      </c>
      <c r="BW36">
        <v>3448.1552932280392</v>
      </c>
      <c r="BX36">
        <v>14</v>
      </c>
      <c r="BY36">
        <v>10651.199999999999</v>
      </c>
      <c r="BZ36">
        <v>11</v>
      </c>
      <c r="CA36">
        <v>8368.7999999999993</v>
      </c>
      <c r="CB36">
        <v>9</v>
      </c>
      <c r="CC36">
        <v>6847.2</v>
      </c>
      <c r="CD36">
        <v>11.523770260854377</v>
      </c>
      <c r="CE36">
        <v>8767.2844144580104</v>
      </c>
      <c r="CF36">
        <v>6.3957270387999454</v>
      </c>
      <c r="CG36">
        <v>4865.8691311189978</v>
      </c>
      <c r="CH36">
        <v>16</v>
      </c>
      <c r="CI36">
        <v>12172.8</v>
      </c>
      <c r="CJ36">
        <v>11</v>
      </c>
      <c r="CK36">
        <v>8368.7999999999993</v>
      </c>
      <c r="CL36">
        <v>17</v>
      </c>
      <c r="CM36">
        <v>12933.599999999999</v>
      </c>
      <c r="CN36">
        <v>9.4778878107201887</v>
      </c>
      <c r="CO36">
        <v>7210.7770463959196</v>
      </c>
      <c r="CP36">
        <v>4.2701860621346945</v>
      </c>
      <c r="CQ36">
        <v>3248.7575560720752</v>
      </c>
      <c r="CR36">
        <v>3.4813370202258778</v>
      </c>
      <c r="CS36">
        <v>2648.6012049878477</v>
      </c>
      <c r="CT36">
        <v>8</v>
      </c>
      <c r="CU36">
        <v>6086.4</v>
      </c>
    </row>
    <row r="37" spans="2:99">
      <c r="B37" s="99" t="s">
        <v>128</v>
      </c>
      <c r="C37" s="99" t="s">
        <v>203</v>
      </c>
      <c r="D37">
        <v>7.2564539501575256</v>
      </c>
      <c r="E37">
        <v>6243.4529787155352</v>
      </c>
      <c r="F37">
        <v>3.6633061363157111</v>
      </c>
      <c r="G37">
        <v>3151.9085996860376</v>
      </c>
      <c r="H37">
        <v>5.9245853145386436</v>
      </c>
      <c r="I37">
        <v>5097.5132046290491</v>
      </c>
      <c r="J37">
        <v>5.8105640139779018</v>
      </c>
      <c r="K37">
        <v>4999.4092776265861</v>
      </c>
      <c r="L37">
        <v>6.3048967003428746</v>
      </c>
      <c r="M37">
        <v>5424.7331209750091</v>
      </c>
      <c r="N37">
        <v>6.0543121417771513</v>
      </c>
      <c r="O37">
        <v>5209.1301667850612</v>
      </c>
      <c r="P37">
        <v>2.9335237165427581</v>
      </c>
      <c r="Q37">
        <v>2524.0038057133888</v>
      </c>
      <c r="R37">
        <v>5</v>
      </c>
      <c r="S37">
        <v>4302</v>
      </c>
      <c r="T37">
        <v>7</v>
      </c>
      <c r="U37">
        <v>6022.8</v>
      </c>
      <c r="V37">
        <v>5</v>
      </c>
      <c r="W37">
        <v>4302</v>
      </c>
      <c r="X37">
        <v>4.6837949490745361</v>
      </c>
      <c r="Y37">
        <v>4029.9371741837308</v>
      </c>
      <c r="Z37">
        <v>8.4827044097152644</v>
      </c>
      <c r="AA37">
        <v>7298.5188741190132</v>
      </c>
      <c r="AB37">
        <v>6</v>
      </c>
      <c r="AC37">
        <v>5162.3999999999996</v>
      </c>
      <c r="AD37">
        <v>8</v>
      </c>
      <c r="AE37">
        <v>6883.2</v>
      </c>
      <c r="AF37">
        <v>6.3271807193915865</v>
      </c>
      <c r="AG37">
        <v>5443.9062909645208</v>
      </c>
      <c r="AH37">
        <v>4.7022525244354414</v>
      </c>
      <c r="AI37">
        <v>4045.8180720242535</v>
      </c>
      <c r="AJ37">
        <v>5.5344288007557374</v>
      </c>
      <c r="AK37">
        <v>4761.8225401702366</v>
      </c>
      <c r="AL37">
        <v>2.4659915121634657</v>
      </c>
      <c r="AM37">
        <v>2121.739097065446</v>
      </c>
      <c r="AN37">
        <v>3.4601819189583236</v>
      </c>
      <c r="AO37">
        <v>2977.1405230717414</v>
      </c>
      <c r="AP37">
        <v>9</v>
      </c>
      <c r="AQ37">
        <v>7743.5999999999995</v>
      </c>
      <c r="AR37">
        <v>6</v>
      </c>
      <c r="AS37">
        <v>5162.3999999999996</v>
      </c>
      <c r="AT37">
        <v>6.2582451341221903</v>
      </c>
      <c r="AU37">
        <v>5384.5941133987326</v>
      </c>
      <c r="AV37">
        <v>4.5679305748571748</v>
      </c>
      <c r="AW37">
        <v>3930.247466607113</v>
      </c>
      <c r="AX37">
        <v>2.495575403140597</v>
      </c>
      <c r="AY37">
        <v>2147.1930768621696</v>
      </c>
      <c r="AZ37">
        <v>6</v>
      </c>
      <c r="BA37">
        <v>5162.3999999999996</v>
      </c>
      <c r="BB37">
        <v>7</v>
      </c>
      <c r="BC37">
        <v>6022.8</v>
      </c>
      <c r="BD37">
        <v>7.3934192721771685</v>
      </c>
      <c r="BE37">
        <v>6361.2979417812357</v>
      </c>
      <c r="BF37">
        <v>2.6619943878200081</v>
      </c>
      <c r="BG37">
        <v>2290.3799712803348</v>
      </c>
      <c r="BH37">
        <v>9</v>
      </c>
      <c r="BI37">
        <v>7743.5999999999995</v>
      </c>
      <c r="BJ37">
        <v>5.3662421296189642</v>
      </c>
      <c r="BK37">
        <v>4617.1147283241571</v>
      </c>
      <c r="BL37">
        <v>1.7764386153408551</v>
      </c>
      <c r="BM37">
        <v>1528.4477846392717</v>
      </c>
      <c r="BN37">
        <v>8</v>
      </c>
      <c r="BO37">
        <v>6883.2</v>
      </c>
      <c r="BP37">
        <v>10</v>
      </c>
      <c r="BQ37">
        <v>8604</v>
      </c>
      <c r="BR37">
        <v>7</v>
      </c>
      <c r="BS37">
        <v>6022.8</v>
      </c>
      <c r="BT37">
        <v>8.4952192202970949</v>
      </c>
      <c r="BU37">
        <v>7309.2866171436199</v>
      </c>
      <c r="BV37">
        <v>3.399206716510291</v>
      </c>
      <c r="BW37">
        <v>2924.6774588854541</v>
      </c>
      <c r="BX37">
        <v>5</v>
      </c>
      <c r="BY37">
        <v>4302</v>
      </c>
      <c r="BZ37">
        <v>6</v>
      </c>
      <c r="CA37">
        <v>5162.3999999999996</v>
      </c>
      <c r="CB37">
        <v>5</v>
      </c>
      <c r="CC37">
        <v>4302</v>
      </c>
      <c r="CD37">
        <v>5.1821809602971749</v>
      </c>
      <c r="CE37">
        <v>4458.7484982396891</v>
      </c>
      <c r="CF37">
        <v>3.1978635193999727</v>
      </c>
      <c r="CG37">
        <v>2751.4417720917363</v>
      </c>
      <c r="CH37">
        <v>7</v>
      </c>
      <c r="CI37">
        <v>6022.8</v>
      </c>
      <c r="CJ37">
        <v>9</v>
      </c>
      <c r="CK37">
        <v>7743.5999999999995</v>
      </c>
      <c r="CL37">
        <v>7</v>
      </c>
      <c r="CM37">
        <v>6022.8</v>
      </c>
      <c r="CN37">
        <v>6.3185918738134585</v>
      </c>
      <c r="CO37">
        <v>5436.5164482290993</v>
      </c>
      <c r="CP37">
        <v>2.3421524016642961</v>
      </c>
      <c r="CQ37">
        <v>2015.1879263919602</v>
      </c>
      <c r="CR37">
        <v>3.0461698926976433</v>
      </c>
      <c r="CS37">
        <v>2620.9245756770524</v>
      </c>
      <c r="CT37">
        <v>10</v>
      </c>
      <c r="CU37">
        <v>8604</v>
      </c>
    </row>
    <row r="38" spans="2:99">
      <c r="C38" s="99" t="s">
        <v>204</v>
      </c>
      <c r="D38">
        <v>8.2279590668066902</v>
      </c>
      <c r="E38">
        <v>10219.125160973908</v>
      </c>
      <c r="F38">
        <v>3.6633061363157111</v>
      </c>
      <c r="G38">
        <v>4549.8262213041135</v>
      </c>
      <c r="H38">
        <v>5.1181403260666416</v>
      </c>
      <c r="I38">
        <v>6356.7302849747684</v>
      </c>
      <c r="J38">
        <v>5.8105640139779018</v>
      </c>
      <c r="K38">
        <v>7216.7205053605539</v>
      </c>
      <c r="L38">
        <v>7.1485543338017443</v>
      </c>
      <c r="M38">
        <v>8878.5044825817658</v>
      </c>
      <c r="N38">
        <v>6.0935577205616589</v>
      </c>
      <c r="O38">
        <v>7568.1986889375803</v>
      </c>
      <c r="P38">
        <v>2.9335237165427581</v>
      </c>
      <c r="Q38">
        <v>3643.4364559461055</v>
      </c>
      <c r="R38">
        <v>4</v>
      </c>
      <c r="S38">
        <v>4968</v>
      </c>
      <c r="T38">
        <v>7</v>
      </c>
      <c r="U38">
        <v>8694</v>
      </c>
      <c r="V38">
        <v>5</v>
      </c>
      <c r="W38">
        <v>6210</v>
      </c>
      <c r="X38">
        <v>5.2692693177088534</v>
      </c>
      <c r="Y38">
        <v>6544.4324925943956</v>
      </c>
      <c r="Z38">
        <v>6.5976589853340935</v>
      </c>
      <c r="AA38">
        <v>8194.2924597849433</v>
      </c>
      <c r="AB38">
        <v>6</v>
      </c>
      <c r="AC38">
        <v>7452</v>
      </c>
      <c r="AD38">
        <v>8</v>
      </c>
      <c r="AE38">
        <v>9936</v>
      </c>
      <c r="AF38">
        <v>5.4232977594785021</v>
      </c>
      <c r="AG38">
        <v>6735.7358172722998</v>
      </c>
      <c r="AH38">
        <v>4.7022525244354414</v>
      </c>
      <c r="AI38">
        <v>5840.197635348818</v>
      </c>
      <c r="AJ38">
        <v>6.280155615911438</v>
      </c>
      <c r="AK38">
        <v>7799.9532749620057</v>
      </c>
      <c r="AL38">
        <v>2.0807802848266155</v>
      </c>
      <c r="AM38">
        <v>2584.3291137546566</v>
      </c>
      <c r="AN38">
        <v>3.4601819189583236</v>
      </c>
      <c r="AO38">
        <v>4297.5459433462383</v>
      </c>
      <c r="AP38">
        <v>8</v>
      </c>
      <c r="AQ38">
        <v>9936</v>
      </c>
      <c r="AR38">
        <v>6.3254512737315007</v>
      </c>
      <c r="AS38">
        <v>7856.2104819745236</v>
      </c>
      <c r="AT38">
        <v>6.2582451341221903</v>
      </c>
      <c r="AU38">
        <v>7772.7404565797606</v>
      </c>
      <c r="AV38">
        <v>3.9266437242322989</v>
      </c>
      <c r="AW38">
        <v>4876.8915054965155</v>
      </c>
      <c r="AX38">
        <v>2.139064631263369</v>
      </c>
      <c r="AY38">
        <v>2656.7182720291044</v>
      </c>
      <c r="AZ38">
        <v>6</v>
      </c>
      <c r="BA38">
        <v>7452</v>
      </c>
      <c r="BB38">
        <v>7</v>
      </c>
      <c r="BC38">
        <v>8694</v>
      </c>
      <c r="BD38">
        <v>7.3934192721771685</v>
      </c>
      <c r="BE38">
        <v>9182.6267360440434</v>
      </c>
      <c r="BF38">
        <v>2.2817094752742921</v>
      </c>
      <c r="BG38">
        <v>2833.8831682906707</v>
      </c>
      <c r="BH38">
        <v>9</v>
      </c>
      <c r="BI38">
        <v>11178</v>
      </c>
      <c r="BJ38">
        <v>5.3662421296189642</v>
      </c>
      <c r="BK38">
        <v>6664.8727249867534</v>
      </c>
      <c r="BL38">
        <v>1.7764386153408551</v>
      </c>
      <c r="BM38">
        <v>2206.3367602533422</v>
      </c>
      <c r="BN38">
        <v>8</v>
      </c>
      <c r="BO38">
        <v>9936</v>
      </c>
      <c r="BP38">
        <v>9</v>
      </c>
      <c r="BQ38">
        <v>11178</v>
      </c>
      <c r="BR38">
        <v>7</v>
      </c>
      <c r="BS38">
        <v>8694</v>
      </c>
      <c r="BT38">
        <v>9.4952192202970949</v>
      </c>
      <c r="BU38">
        <v>11793.062271608991</v>
      </c>
      <c r="BV38">
        <v>3.7768963516781016</v>
      </c>
      <c r="BW38">
        <v>4690.9052687842022</v>
      </c>
      <c r="BX38">
        <v>5</v>
      </c>
      <c r="BY38">
        <v>6210</v>
      </c>
      <c r="BZ38">
        <v>6</v>
      </c>
      <c r="CA38">
        <v>7452</v>
      </c>
      <c r="CB38">
        <v>6</v>
      </c>
      <c r="CC38">
        <v>7452</v>
      </c>
      <c r="CD38">
        <v>5.2049535803343217</v>
      </c>
      <c r="CE38">
        <v>6464.5523467752273</v>
      </c>
      <c r="CF38">
        <v>3.1978635193999727</v>
      </c>
      <c r="CG38">
        <v>3971.746491094766</v>
      </c>
      <c r="CH38">
        <v>7</v>
      </c>
      <c r="CI38">
        <v>8694</v>
      </c>
      <c r="CJ38">
        <v>9</v>
      </c>
      <c r="CK38">
        <v>11178</v>
      </c>
      <c r="CL38">
        <v>6</v>
      </c>
      <c r="CM38">
        <v>7452</v>
      </c>
      <c r="CN38">
        <v>5.2787678895867769</v>
      </c>
      <c r="CO38">
        <v>6556.2297188667771</v>
      </c>
      <c r="CP38">
        <v>2.7980494037343182</v>
      </c>
      <c r="CQ38">
        <v>3475.1773594380234</v>
      </c>
      <c r="CR38">
        <v>3.0461698926976433</v>
      </c>
      <c r="CS38">
        <v>3783.343006730473</v>
      </c>
      <c r="CT38">
        <v>10</v>
      </c>
      <c r="CU38">
        <v>12420</v>
      </c>
    </row>
    <row r="39" spans="2:99">
      <c r="C39" s="99" t="s">
        <v>205</v>
      </c>
      <c r="D39">
        <v>6.2279590668066893</v>
      </c>
      <c r="E39">
        <v>8863.6313438792804</v>
      </c>
      <c r="F39">
        <v>3.6459465416179286</v>
      </c>
      <c r="G39">
        <v>5188.9111180306363</v>
      </c>
      <c r="H39">
        <v>5.0901932865431787</v>
      </c>
      <c r="I39">
        <v>7244.3630854082521</v>
      </c>
      <c r="J39">
        <v>4.8421366783149189</v>
      </c>
      <c r="K39">
        <v>6891.3289205777928</v>
      </c>
      <c r="L39">
        <v>6.0608841488185012</v>
      </c>
      <c r="M39">
        <v>8625.8503205984907</v>
      </c>
      <c r="N39">
        <v>5.2622950535516422</v>
      </c>
      <c r="O39">
        <v>7489.298320214697</v>
      </c>
      <c r="P39">
        <v>2.9335237165427581</v>
      </c>
      <c r="Q39">
        <v>4174.9909533836535</v>
      </c>
      <c r="R39">
        <v>5</v>
      </c>
      <c r="S39">
        <v>7116</v>
      </c>
      <c r="T39">
        <v>7</v>
      </c>
      <c r="U39">
        <v>9962.4</v>
      </c>
      <c r="V39">
        <v>5</v>
      </c>
      <c r="W39">
        <v>7116</v>
      </c>
      <c r="X39">
        <v>4.6837949490745361</v>
      </c>
      <c r="Y39">
        <v>6665.9769715228804</v>
      </c>
      <c r="Z39">
        <v>8.4827044097152644</v>
      </c>
      <c r="AA39">
        <v>12072.584915906764</v>
      </c>
      <c r="AB39">
        <v>6</v>
      </c>
      <c r="AC39">
        <v>8539.2000000000007</v>
      </c>
      <c r="AD39">
        <v>8</v>
      </c>
      <c r="AE39">
        <v>11385.6</v>
      </c>
      <c r="AF39">
        <v>5.4232977594785021</v>
      </c>
      <c r="AG39">
        <v>7718.4373712898041</v>
      </c>
      <c r="AH39">
        <v>4.030502163801807</v>
      </c>
      <c r="AI39">
        <v>5736.2106795227319</v>
      </c>
      <c r="AJ39">
        <v>5.5102487165506737</v>
      </c>
      <c r="AK39">
        <v>7842.1859733949195</v>
      </c>
      <c r="AL39">
        <v>2.0807802848266155</v>
      </c>
      <c r="AM39">
        <v>2961.3665013652394</v>
      </c>
      <c r="AN39">
        <v>3.4601819189583236</v>
      </c>
      <c r="AO39">
        <v>4924.5309070614867</v>
      </c>
      <c r="AP39">
        <v>8</v>
      </c>
      <c r="AQ39">
        <v>11385.6</v>
      </c>
      <c r="AR39">
        <v>6</v>
      </c>
      <c r="AS39">
        <v>8539.2000000000007</v>
      </c>
      <c r="AT39">
        <v>5.5126628489484331</v>
      </c>
      <c r="AU39">
        <v>7845.6217666234106</v>
      </c>
      <c r="AV39">
        <v>4.541623034696161</v>
      </c>
      <c r="AW39">
        <v>6463.6379029795762</v>
      </c>
      <c r="AX39">
        <v>2.495575403140597</v>
      </c>
      <c r="AY39">
        <v>3551.7029137496979</v>
      </c>
      <c r="AZ39">
        <v>7</v>
      </c>
      <c r="BA39">
        <v>9962.4</v>
      </c>
      <c r="BB39">
        <v>7</v>
      </c>
      <c r="BC39">
        <v>9962.4</v>
      </c>
      <c r="BD39">
        <v>6.3934192721771685</v>
      </c>
      <c r="BE39">
        <v>9099.1143081625469</v>
      </c>
      <c r="BF39">
        <v>2.6619943878200081</v>
      </c>
      <c r="BG39">
        <v>3788.5504127454356</v>
      </c>
      <c r="BH39">
        <v>9</v>
      </c>
      <c r="BI39">
        <v>12808.800000000001</v>
      </c>
      <c r="BJ39">
        <v>5.3380696581098128</v>
      </c>
      <c r="BK39">
        <v>7597.1407374218861</v>
      </c>
      <c r="BL39">
        <v>1.7764386153408551</v>
      </c>
      <c r="BM39">
        <v>2528.227437353105</v>
      </c>
      <c r="BN39">
        <v>9</v>
      </c>
      <c r="BO39">
        <v>12808.800000000001</v>
      </c>
      <c r="BP39">
        <v>8</v>
      </c>
      <c r="BQ39">
        <v>11385.6</v>
      </c>
      <c r="BR39">
        <v>7</v>
      </c>
      <c r="BS39">
        <v>9962.4</v>
      </c>
      <c r="BT39">
        <v>8.5447411423268047</v>
      </c>
      <c r="BU39">
        <v>12160.875593759509</v>
      </c>
      <c r="BV39">
        <v>3.399206716510291</v>
      </c>
      <c r="BW39">
        <v>4837.7509989374466</v>
      </c>
      <c r="BX39">
        <v>5</v>
      </c>
      <c r="BY39">
        <v>7116</v>
      </c>
      <c r="BZ39">
        <v>7</v>
      </c>
      <c r="CA39">
        <v>9962.4</v>
      </c>
      <c r="CB39">
        <v>5</v>
      </c>
      <c r="CC39">
        <v>7116</v>
      </c>
      <c r="CD39">
        <v>5.1821809602971749</v>
      </c>
      <c r="CE39">
        <v>7375.2799426949396</v>
      </c>
      <c r="CF39">
        <v>3.1978635193999727</v>
      </c>
      <c r="CG39">
        <v>4551.1993608100411</v>
      </c>
      <c r="CH39">
        <v>7</v>
      </c>
      <c r="CI39">
        <v>9962.4</v>
      </c>
      <c r="CJ39">
        <v>9</v>
      </c>
      <c r="CK39">
        <v>12808.800000000001</v>
      </c>
      <c r="CL39">
        <v>7</v>
      </c>
      <c r="CM39">
        <v>9962.4</v>
      </c>
      <c r="CN39">
        <v>6.3185918738134585</v>
      </c>
      <c r="CO39">
        <v>8992.6199548113145</v>
      </c>
      <c r="CP39">
        <v>2.7771602732962566</v>
      </c>
      <c r="CQ39">
        <v>3952.4545009552326</v>
      </c>
      <c r="CR39">
        <v>3.0461698926976433</v>
      </c>
      <c r="CS39">
        <v>4335.3089912872856</v>
      </c>
      <c r="CT39">
        <v>9</v>
      </c>
      <c r="CU39">
        <v>12808.800000000001</v>
      </c>
    </row>
    <row r="40" spans="2:99">
      <c r="C40" s="99" t="s">
        <v>206</v>
      </c>
      <c r="D40">
        <v>7.2279590668066893</v>
      </c>
      <c r="E40">
        <v>5238.8247316214884</v>
      </c>
      <c r="F40">
        <v>3.6459465416179286</v>
      </c>
      <c r="G40">
        <v>2642.5820533646747</v>
      </c>
      <c r="H40">
        <v>5.9525323540621056</v>
      </c>
      <c r="I40">
        <v>4314.3954502242141</v>
      </c>
      <c r="J40">
        <v>5.8105640139779018</v>
      </c>
      <c r="K40">
        <v>4211.4967973311832</v>
      </c>
      <c r="L40">
        <v>6.0608841488185012</v>
      </c>
      <c r="M40">
        <v>4392.9288310636493</v>
      </c>
      <c r="N40">
        <v>6.0543121417771513</v>
      </c>
      <c r="O40">
        <v>4388.1654403600787</v>
      </c>
      <c r="P40">
        <v>3.5202284598513094</v>
      </c>
      <c r="Q40">
        <v>2551.4615877002288</v>
      </c>
      <c r="R40">
        <v>5</v>
      </c>
      <c r="S40">
        <v>3624</v>
      </c>
      <c r="T40">
        <v>7</v>
      </c>
      <c r="U40">
        <v>5073.5999999999995</v>
      </c>
      <c r="V40">
        <v>5</v>
      </c>
      <c r="W40">
        <v>3624</v>
      </c>
      <c r="X40">
        <v>4.6837949490745361</v>
      </c>
      <c r="Y40">
        <v>3394.8145790892236</v>
      </c>
      <c r="Z40">
        <v>8.4827044097152644</v>
      </c>
      <c r="AA40">
        <v>6148.2641561616229</v>
      </c>
      <c r="AB40">
        <v>6</v>
      </c>
      <c r="AC40">
        <v>4348.7999999999993</v>
      </c>
      <c r="AD40">
        <v>8</v>
      </c>
      <c r="AE40">
        <v>5798.4</v>
      </c>
      <c r="AF40">
        <v>6.3271807193915865</v>
      </c>
      <c r="AG40">
        <v>4585.9405854150218</v>
      </c>
      <c r="AH40">
        <v>4.7022525244354414</v>
      </c>
      <c r="AI40">
        <v>3408.1926297108075</v>
      </c>
      <c r="AJ40">
        <v>5.5344288007557374</v>
      </c>
      <c r="AK40">
        <v>4011.3539947877584</v>
      </c>
      <c r="AL40">
        <v>2.4831830841792844</v>
      </c>
      <c r="AM40">
        <v>1799.8110994131453</v>
      </c>
      <c r="AN40">
        <v>3.4601819189583236</v>
      </c>
      <c r="AO40">
        <v>2507.9398548609929</v>
      </c>
      <c r="AP40">
        <v>10</v>
      </c>
      <c r="AQ40">
        <v>7248</v>
      </c>
      <c r="AR40">
        <v>7</v>
      </c>
      <c r="AS40">
        <v>5073.5999999999995</v>
      </c>
      <c r="AT40">
        <v>6.3034123422348269</v>
      </c>
      <c r="AU40">
        <v>4568.7132656518024</v>
      </c>
      <c r="AV40">
        <v>4.5679305748571748</v>
      </c>
      <c r="AW40">
        <v>3310.8360806564801</v>
      </c>
      <c r="AX40">
        <v>2.495575403140597</v>
      </c>
      <c r="AY40">
        <v>1808.7930521963046</v>
      </c>
      <c r="AZ40">
        <v>6</v>
      </c>
      <c r="BA40">
        <v>4348.7999999999993</v>
      </c>
      <c r="BB40">
        <v>7</v>
      </c>
      <c r="BC40">
        <v>5073.5999999999995</v>
      </c>
      <c r="BD40">
        <v>7.3934192721771685</v>
      </c>
      <c r="BE40">
        <v>5358.7502884740115</v>
      </c>
      <c r="BF40">
        <v>3.0422793003657231</v>
      </c>
      <c r="BG40">
        <v>2205.0440369050762</v>
      </c>
      <c r="BH40">
        <v>8</v>
      </c>
      <c r="BI40">
        <v>5798.4</v>
      </c>
      <c r="BJ40">
        <v>5.3944146011281155</v>
      </c>
      <c r="BK40">
        <v>3909.871702897658</v>
      </c>
      <c r="BL40">
        <v>1.7764386153408551</v>
      </c>
      <c r="BM40">
        <v>1287.5627083990516</v>
      </c>
      <c r="BN40">
        <v>9</v>
      </c>
      <c r="BO40">
        <v>6523.2</v>
      </c>
      <c r="BP40">
        <v>8</v>
      </c>
      <c r="BQ40">
        <v>5798.4</v>
      </c>
      <c r="BR40">
        <v>6</v>
      </c>
      <c r="BS40">
        <v>4348.7999999999993</v>
      </c>
      <c r="BT40">
        <v>9.4952192202970949</v>
      </c>
      <c r="BU40">
        <v>6882.1348908713335</v>
      </c>
      <c r="BV40">
        <v>3.7768963516781016</v>
      </c>
      <c r="BW40">
        <v>2737.4944756962877</v>
      </c>
      <c r="BX40">
        <v>5</v>
      </c>
      <c r="BY40">
        <v>3624</v>
      </c>
      <c r="BZ40">
        <v>7</v>
      </c>
      <c r="CA40">
        <v>5073.5999999999995</v>
      </c>
      <c r="CB40">
        <v>5</v>
      </c>
      <c r="CC40">
        <v>3624</v>
      </c>
      <c r="CD40">
        <v>6.1821809602971749</v>
      </c>
      <c r="CE40">
        <v>4480.8447600233922</v>
      </c>
      <c r="CF40">
        <v>3.8374362232799673</v>
      </c>
      <c r="CG40">
        <v>2781.37377463332</v>
      </c>
      <c r="CH40">
        <v>7</v>
      </c>
      <c r="CI40">
        <v>5073.5999999999995</v>
      </c>
      <c r="CJ40">
        <v>9</v>
      </c>
      <c r="CK40">
        <v>6523.2</v>
      </c>
      <c r="CL40">
        <v>7</v>
      </c>
      <c r="CM40">
        <v>5073.5999999999995</v>
      </c>
      <c r="CN40">
        <v>6.3185918738134585</v>
      </c>
      <c r="CO40">
        <v>4579.7153901399943</v>
      </c>
      <c r="CP40">
        <v>2.7980494037343182</v>
      </c>
      <c r="CQ40">
        <v>2028.0262078266337</v>
      </c>
      <c r="CR40">
        <v>3.0461698926976433</v>
      </c>
      <c r="CS40">
        <v>2207.8639382272518</v>
      </c>
      <c r="CT40">
        <v>9</v>
      </c>
      <c r="CU40">
        <v>6523.2</v>
      </c>
    </row>
    <row r="41" spans="2:99">
      <c r="C41" s="99" t="s">
        <v>207</v>
      </c>
      <c r="D41">
        <v>8.2564539501575265</v>
      </c>
      <c r="E41">
        <v>5449.259607103967</v>
      </c>
      <c r="F41">
        <v>3.6633061363157111</v>
      </c>
      <c r="G41">
        <v>2417.7820499683694</v>
      </c>
      <c r="H41">
        <v>5.0901932865431787</v>
      </c>
      <c r="I41">
        <v>3359.5275691184979</v>
      </c>
      <c r="J41">
        <v>5.8105640139779018</v>
      </c>
      <c r="K41">
        <v>3834.972249225415</v>
      </c>
      <c r="L41">
        <v>6.0608841488185012</v>
      </c>
      <c r="M41">
        <v>4000.1835382202107</v>
      </c>
      <c r="N41">
        <v>6.0935577205616589</v>
      </c>
      <c r="O41">
        <v>4021.7480955706947</v>
      </c>
      <c r="P41">
        <v>3.5202284598513094</v>
      </c>
      <c r="Q41">
        <v>2323.350783501864</v>
      </c>
      <c r="R41">
        <v>4</v>
      </c>
      <c r="S41">
        <v>2640</v>
      </c>
      <c r="T41">
        <v>7</v>
      </c>
      <c r="U41">
        <v>4620</v>
      </c>
      <c r="V41">
        <v>5</v>
      </c>
      <c r="W41">
        <v>3300</v>
      </c>
      <c r="X41">
        <v>4.6837949490745361</v>
      </c>
      <c r="Y41">
        <v>3091.3046663891937</v>
      </c>
      <c r="Z41">
        <v>8.4827044097152644</v>
      </c>
      <c r="AA41">
        <v>5598.5849104120744</v>
      </c>
      <c r="AB41">
        <v>5</v>
      </c>
      <c r="AC41">
        <v>3300</v>
      </c>
      <c r="AD41">
        <v>7</v>
      </c>
      <c r="AE41">
        <v>4620</v>
      </c>
      <c r="AF41">
        <v>6.3271807193915865</v>
      </c>
      <c r="AG41">
        <v>4175.9392747984475</v>
      </c>
      <c r="AH41">
        <v>4.7022525244354414</v>
      </c>
      <c r="AI41">
        <v>3103.4866661273913</v>
      </c>
      <c r="AJ41">
        <v>5.5344288007557374</v>
      </c>
      <c r="AK41">
        <v>3652.7230084987868</v>
      </c>
      <c r="AL41">
        <v>2.4831830841792844</v>
      </c>
      <c r="AM41">
        <v>1638.9008355583276</v>
      </c>
      <c r="AN41">
        <v>4.0368789054513776</v>
      </c>
      <c r="AO41">
        <v>2664.3400775979094</v>
      </c>
      <c r="AP41">
        <v>8</v>
      </c>
      <c r="AQ41">
        <v>5280</v>
      </c>
      <c r="AR41">
        <v>6.3504859870954622</v>
      </c>
      <c r="AS41">
        <v>4191.3207514830046</v>
      </c>
      <c r="AT41">
        <v>6.2808287381785073</v>
      </c>
      <c r="AU41">
        <v>4145.3469671978146</v>
      </c>
      <c r="AV41">
        <v>4.5679305748571748</v>
      </c>
      <c r="AW41">
        <v>3014.8341794057355</v>
      </c>
      <c r="AX41">
        <v>2.495575403140597</v>
      </c>
      <c r="AY41">
        <v>1647.079766072794</v>
      </c>
      <c r="AZ41">
        <v>7</v>
      </c>
      <c r="BA41">
        <v>4620</v>
      </c>
      <c r="BB41">
        <v>7</v>
      </c>
      <c r="BC41">
        <v>4620</v>
      </c>
      <c r="BD41">
        <v>7.3934192721771685</v>
      </c>
      <c r="BE41">
        <v>4879.6567196369315</v>
      </c>
      <c r="BF41">
        <v>2.6619943878200081</v>
      </c>
      <c r="BG41">
        <v>1756.9162959612054</v>
      </c>
      <c r="BH41">
        <v>8</v>
      </c>
      <c r="BI41">
        <v>5280</v>
      </c>
      <c r="BJ41">
        <v>4.3662421296189642</v>
      </c>
      <c r="BK41">
        <v>2881.7198055485164</v>
      </c>
      <c r="BL41">
        <v>1.7764386153408551</v>
      </c>
      <c r="BM41">
        <v>1172.4494861249643</v>
      </c>
      <c r="BN41">
        <v>9</v>
      </c>
      <c r="BO41">
        <v>5940</v>
      </c>
      <c r="BP41">
        <v>8</v>
      </c>
      <c r="BQ41">
        <v>5280</v>
      </c>
      <c r="BR41">
        <v>7</v>
      </c>
      <c r="BS41">
        <v>4620</v>
      </c>
      <c r="BT41">
        <v>8.5447411423268047</v>
      </c>
      <c r="BU41">
        <v>5639.5291539356913</v>
      </c>
      <c r="BV41">
        <v>3.399206716510291</v>
      </c>
      <c r="BW41">
        <v>2243.4764328967922</v>
      </c>
      <c r="BX41">
        <v>5</v>
      </c>
      <c r="BY41">
        <v>3300</v>
      </c>
      <c r="BZ41">
        <v>8</v>
      </c>
      <c r="CA41">
        <v>5280</v>
      </c>
      <c r="CB41">
        <v>6</v>
      </c>
      <c r="CC41">
        <v>3960</v>
      </c>
      <c r="CD41">
        <v>5.2049535803343217</v>
      </c>
      <c r="CE41">
        <v>3435.2693630206522</v>
      </c>
      <c r="CF41">
        <v>3.8374362232799673</v>
      </c>
      <c r="CG41">
        <v>2532.7079073647783</v>
      </c>
      <c r="CH41">
        <v>7</v>
      </c>
      <c r="CI41">
        <v>4620</v>
      </c>
      <c r="CJ41">
        <v>9</v>
      </c>
      <c r="CK41">
        <v>5940</v>
      </c>
      <c r="CL41">
        <v>7</v>
      </c>
      <c r="CM41">
        <v>4620</v>
      </c>
      <c r="CN41">
        <v>6.3185918738134585</v>
      </c>
      <c r="CO41">
        <v>4170.270636716883</v>
      </c>
      <c r="CP41">
        <v>2.7980494037343182</v>
      </c>
      <c r="CQ41">
        <v>1846.71260646465</v>
      </c>
      <c r="CR41">
        <v>3.0461698926976433</v>
      </c>
      <c r="CS41">
        <v>2010.4721291804447</v>
      </c>
      <c r="CT41">
        <v>11</v>
      </c>
      <c r="CU41">
        <v>7260</v>
      </c>
    </row>
    <row r="42" spans="2:99">
      <c r="C42" s="99" t="s">
        <v>208</v>
      </c>
      <c r="D42">
        <v>7.2564539501575256</v>
      </c>
      <c r="E42">
        <v>6138.9600418332666</v>
      </c>
      <c r="F42">
        <v>3.6633061363157111</v>
      </c>
      <c r="G42">
        <v>3099.1569913230915</v>
      </c>
      <c r="H42">
        <v>5.938558834300375</v>
      </c>
      <c r="I42">
        <v>5024.020773818117</v>
      </c>
      <c r="J42">
        <v>5.8105640139779018</v>
      </c>
      <c r="K42">
        <v>4915.7371558253053</v>
      </c>
      <c r="L42">
        <v>6.3270796595723642</v>
      </c>
      <c r="M42">
        <v>5352.7093919982199</v>
      </c>
      <c r="N42">
        <v>5.3015406323361498</v>
      </c>
      <c r="O42">
        <v>4485.103374956383</v>
      </c>
      <c r="P42">
        <v>3.5202284598513094</v>
      </c>
      <c r="Q42">
        <v>2978.1132770342078</v>
      </c>
      <c r="R42">
        <v>4</v>
      </c>
      <c r="S42">
        <v>3384</v>
      </c>
      <c r="T42">
        <v>7</v>
      </c>
      <c r="U42">
        <v>5922</v>
      </c>
      <c r="V42">
        <v>5</v>
      </c>
      <c r="W42">
        <v>4230</v>
      </c>
      <c r="X42">
        <v>5.2692693177088534</v>
      </c>
      <c r="Y42">
        <v>4457.8018427816896</v>
      </c>
      <c r="Z42">
        <v>8.4827044097152644</v>
      </c>
      <c r="AA42">
        <v>7176.3679306191134</v>
      </c>
      <c r="AB42">
        <v>6</v>
      </c>
      <c r="AC42">
        <v>5076</v>
      </c>
      <c r="AD42">
        <v>7</v>
      </c>
      <c r="AE42">
        <v>5922</v>
      </c>
      <c r="AF42">
        <v>6.3271807193915865</v>
      </c>
      <c r="AG42">
        <v>5352.7948886052818</v>
      </c>
      <c r="AH42">
        <v>4.7022525244354414</v>
      </c>
      <c r="AI42">
        <v>3978.1056356723834</v>
      </c>
      <c r="AJ42">
        <v>6.3043357001165026</v>
      </c>
      <c r="AK42">
        <v>5333.4680022985613</v>
      </c>
      <c r="AL42">
        <v>2.0807802848266155</v>
      </c>
      <c r="AM42">
        <v>1760.3401209633166</v>
      </c>
      <c r="AN42">
        <v>3.4601819189583236</v>
      </c>
      <c r="AO42">
        <v>2927.3139034387418</v>
      </c>
      <c r="AP42">
        <v>8</v>
      </c>
      <c r="AQ42">
        <v>6768</v>
      </c>
      <c r="AR42">
        <v>7.3254512737315007</v>
      </c>
      <c r="AS42">
        <v>6197.3317775768501</v>
      </c>
      <c r="AT42">
        <v>6.2582451341221903</v>
      </c>
      <c r="AU42">
        <v>5294.4753834673729</v>
      </c>
      <c r="AV42">
        <v>4.5679305748571748</v>
      </c>
      <c r="AW42">
        <v>3864.4692663291698</v>
      </c>
      <c r="AX42">
        <v>2.139064631263369</v>
      </c>
      <c r="AY42">
        <v>1809.6486780488101</v>
      </c>
      <c r="AZ42">
        <v>7</v>
      </c>
      <c r="BA42">
        <v>5922</v>
      </c>
      <c r="BB42">
        <v>8</v>
      </c>
      <c r="BC42">
        <v>6768</v>
      </c>
      <c r="BD42">
        <v>7.3934192721771685</v>
      </c>
      <c r="BE42">
        <v>6254.8327042618848</v>
      </c>
      <c r="BF42">
        <v>3.0422793003657231</v>
      </c>
      <c r="BG42">
        <v>2573.768288109402</v>
      </c>
      <c r="BH42">
        <v>8</v>
      </c>
      <c r="BI42">
        <v>6768</v>
      </c>
      <c r="BJ42">
        <v>5.3380696581098128</v>
      </c>
      <c r="BK42">
        <v>4516.0069307609019</v>
      </c>
      <c r="BL42">
        <v>1.7764386153408551</v>
      </c>
      <c r="BM42">
        <v>1502.8670685783634</v>
      </c>
      <c r="BN42">
        <v>9</v>
      </c>
      <c r="BO42">
        <v>7614</v>
      </c>
      <c r="BP42">
        <v>9</v>
      </c>
      <c r="BQ42">
        <v>7614</v>
      </c>
      <c r="BR42">
        <v>7</v>
      </c>
      <c r="BS42">
        <v>5922</v>
      </c>
      <c r="BT42">
        <v>9.5447411423268047</v>
      </c>
      <c r="BU42">
        <v>8074.8510064084767</v>
      </c>
      <c r="BV42">
        <v>3.7768963516781016</v>
      </c>
      <c r="BW42">
        <v>3195.2543135196738</v>
      </c>
      <c r="BX42">
        <v>5</v>
      </c>
      <c r="BY42">
        <v>4230</v>
      </c>
      <c r="BZ42">
        <v>7</v>
      </c>
      <c r="CA42">
        <v>5922</v>
      </c>
      <c r="CB42">
        <v>5</v>
      </c>
      <c r="CC42">
        <v>4230</v>
      </c>
      <c r="CD42">
        <v>6.2049535803343217</v>
      </c>
      <c r="CE42">
        <v>5249.390728962836</v>
      </c>
      <c r="CF42">
        <v>3.8374362232799673</v>
      </c>
      <c r="CG42">
        <v>3246.4710448948522</v>
      </c>
      <c r="CH42">
        <v>6</v>
      </c>
      <c r="CI42">
        <v>5076</v>
      </c>
      <c r="CJ42">
        <v>10</v>
      </c>
      <c r="CK42">
        <v>8460</v>
      </c>
      <c r="CL42">
        <v>6</v>
      </c>
      <c r="CM42">
        <v>5076</v>
      </c>
      <c r="CN42">
        <v>6.3185918738134585</v>
      </c>
      <c r="CO42">
        <v>5345.5287252461858</v>
      </c>
      <c r="CP42">
        <v>2.7771602732962566</v>
      </c>
      <c r="CQ42">
        <v>2349.4775912086329</v>
      </c>
      <c r="CR42">
        <v>3.4813370202258778</v>
      </c>
      <c r="CS42">
        <v>2945.2111191110926</v>
      </c>
      <c r="CT42">
        <v>9</v>
      </c>
      <c r="CU42">
        <v>7614</v>
      </c>
    </row>
    <row r="43" spans="2:99">
      <c r="C43" s="99" t="s">
        <v>209</v>
      </c>
      <c r="D43">
        <v>7.2279590668066893</v>
      </c>
      <c r="E43">
        <v>7389.8653499031589</v>
      </c>
      <c r="F43">
        <v>3.6806657310134936</v>
      </c>
      <c r="G43">
        <v>3763.1126433881959</v>
      </c>
      <c r="H43">
        <v>5.938558834300375</v>
      </c>
      <c r="I43">
        <v>6071.5825521887036</v>
      </c>
      <c r="J43">
        <v>5.8105640139779018</v>
      </c>
      <c r="K43">
        <v>5940.7206478910066</v>
      </c>
      <c r="L43">
        <v>6.0608841488185012</v>
      </c>
      <c r="M43">
        <v>6196.6479537520354</v>
      </c>
      <c r="N43">
        <v>6.0543121417771513</v>
      </c>
      <c r="O43">
        <v>6189.9287337529595</v>
      </c>
      <c r="P43">
        <v>3.5202284598513094</v>
      </c>
      <c r="Q43">
        <v>3599.0815773519785</v>
      </c>
      <c r="R43">
        <v>5</v>
      </c>
      <c r="S43">
        <v>5112</v>
      </c>
      <c r="T43">
        <v>7</v>
      </c>
      <c r="U43">
        <v>7156.8</v>
      </c>
      <c r="V43">
        <v>5</v>
      </c>
      <c r="W43">
        <v>5112</v>
      </c>
      <c r="X43">
        <v>4.6837949490745361</v>
      </c>
      <c r="Y43">
        <v>4788.7119559338053</v>
      </c>
      <c r="Z43">
        <v>7.5401816975246794</v>
      </c>
      <c r="AA43">
        <v>7709.0817675492317</v>
      </c>
      <c r="AB43">
        <v>5</v>
      </c>
      <c r="AC43">
        <v>5112</v>
      </c>
      <c r="AD43">
        <v>8</v>
      </c>
      <c r="AE43">
        <v>8179.2</v>
      </c>
      <c r="AF43">
        <v>5.4232977594785021</v>
      </c>
      <c r="AG43">
        <v>5544.7796292908206</v>
      </c>
      <c r="AH43">
        <v>4.7022525244354414</v>
      </c>
      <c r="AI43">
        <v>4807.5829809827956</v>
      </c>
      <c r="AJ43">
        <v>6.2559755317063743</v>
      </c>
      <c r="AK43">
        <v>6396.1093836165974</v>
      </c>
      <c r="AL43">
        <v>2.0979718568424337</v>
      </c>
      <c r="AM43">
        <v>2144.9664264357043</v>
      </c>
      <c r="AN43">
        <v>3.4601819189583236</v>
      </c>
      <c r="AO43">
        <v>3537.68999394299</v>
      </c>
      <c r="AP43">
        <v>9</v>
      </c>
      <c r="AQ43">
        <v>9201.6</v>
      </c>
      <c r="AR43">
        <v>6</v>
      </c>
      <c r="AS43">
        <v>6134.4</v>
      </c>
      <c r="AT43">
        <v>6.2808287381785073</v>
      </c>
      <c r="AU43">
        <v>6421.5193019137059</v>
      </c>
      <c r="AV43">
        <v>4.541623034696161</v>
      </c>
      <c r="AW43">
        <v>4643.355390673355</v>
      </c>
      <c r="AX43">
        <v>2.139064631263369</v>
      </c>
      <c r="AY43">
        <v>2186.9796790036685</v>
      </c>
      <c r="AZ43">
        <v>6</v>
      </c>
      <c r="BA43">
        <v>6134.4</v>
      </c>
      <c r="BB43">
        <v>7</v>
      </c>
      <c r="BC43">
        <v>7156.8</v>
      </c>
      <c r="BD43">
        <v>7.3934192721771685</v>
      </c>
      <c r="BE43">
        <v>7559.0318638739373</v>
      </c>
      <c r="BF43">
        <v>2.2817094752742921</v>
      </c>
      <c r="BG43">
        <v>2332.819767520436</v>
      </c>
      <c r="BH43">
        <v>9</v>
      </c>
      <c r="BI43">
        <v>9201.6</v>
      </c>
      <c r="BJ43">
        <v>5.422587072637266</v>
      </c>
      <c r="BK43">
        <v>5544.0530230643408</v>
      </c>
      <c r="BL43">
        <v>1.7764386153408551</v>
      </c>
      <c r="BM43">
        <v>1816.2308403244901</v>
      </c>
      <c r="BN43">
        <v>9</v>
      </c>
      <c r="BO43">
        <v>9201.6</v>
      </c>
      <c r="BP43">
        <v>10</v>
      </c>
      <c r="BQ43">
        <v>10224</v>
      </c>
      <c r="BR43">
        <v>7</v>
      </c>
      <c r="BS43">
        <v>7156.8</v>
      </c>
      <c r="BT43">
        <v>8.4952192202970949</v>
      </c>
      <c r="BU43">
        <v>8685.5121308317503</v>
      </c>
      <c r="BV43">
        <v>3.7768963516781016</v>
      </c>
      <c r="BW43">
        <v>3861.4988299556908</v>
      </c>
      <c r="BX43">
        <v>5</v>
      </c>
      <c r="BY43">
        <v>5112</v>
      </c>
      <c r="BZ43">
        <v>7</v>
      </c>
      <c r="CA43">
        <v>7156.8</v>
      </c>
      <c r="CB43">
        <v>6</v>
      </c>
      <c r="CC43">
        <v>6134.4</v>
      </c>
      <c r="CD43">
        <v>6.2049535803343217</v>
      </c>
      <c r="CE43">
        <v>6343.9445405338101</v>
      </c>
      <c r="CF43">
        <v>3.1978635193999727</v>
      </c>
      <c r="CG43">
        <v>3269.4956622345321</v>
      </c>
      <c r="CH43">
        <v>7</v>
      </c>
      <c r="CI43">
        <v>7156.8</v>
      </c>
      <c r="CJ43">
        <v>8</v>
      </c>
      <c r="CK43">
        <v>8179.2</v>
      </c>
      <c r="CL43">
        <v>6</v>
      </c>
      <c r="CM43">
        <v>6134.4</v>
      </c>
      <c r="CN43">
        <v>5.2787678895867769</v>
      </c>
      <c r="CO43">
        <v>5397.0122903135207</v>
      </c>
      <c r="CP43">
        <v>2.3421524016642961</v>
      </c>
      <c r="CQ43">
        <v>2394.6166154615762</v>
      </c>
      <c r="CR43">
        <v>3.0461698926976433</v>
      </c>
      <c r="CS43">
        <v>3114.4040982940705</v>
      </c>
      <c r="CT43">
        <v>9</v>
      </c>
      <c r="CU43">
        <v>9201.6</v>
      </c>
    </row>
    <row r="44" spans="2:99">
      <c r="C44" s="99" t="s">
        <v>210</v>
      </c>
      <c r="D44">
        <v>7.2564539501575256</v>
      </c>
      <c r="E44">
        <v>7418.998518641054</v>
      </c>
      <c r="F44">
        <v>3.6806657310134936</v>
      </c>
      <c r="G44">
        <v>3763.1126433881959</v>
      </c>
      <c r="H44">
        <v>5.1041668063049102</v>
      </c>
      <c r="I44">
        <v>5218.50014276614</v>
      </c>
      <c r="J44">
        <v>4.8421366783149189</v>
      </c>
      <c r="K44">
        <v>4950.6005399091728</v>
      </c>
      <c r="L44">
        <v>6.0608841488185012</v>
      </c>
      <c r="M44">
        <v>6196.6479537520354</v>
      </c>
      <c r="N44">
        <v>5.2622950535516422</v>
      </c>
      <c r="O44">
        <v>5380.170462751199</v>
      </c>
      <c r="P44">
        <v>3.5202284598513094</v>
      </c>
      <c r="Q44">
        <v>3599.0815773519785</v>
      </c>
      <c r="R44">
        <v>4</v>
      </c>
      <c r="S44">
        <v>4089.6</v>
      </c>
      <c r="T44">
        <v>7</v>
      </c>
      <c r="U44">
        <v>7156.8</v>
      </c>
      <c r="V44">
        <v>5</v>
      </c>
      <c r="W44">
        <v>5112</v>
      </c>
      <c r="X44">
        <v>4.6837949490745361</v>
      </c>
      <c r="Y44">
        <v>4788.7119559338053</v>
      </c>
      <c r="Z44">
        <v>7.5401816975246794</v>
      </c>
      <c r="AA44">
        <v>7709.0817675492317</v>
      </c>
      <c r="AB44">
        <v>6</v>
      </c>
      <c r="AC44">
        <v>6134.4</v>
      </c>
      <c r="AD44">
        <v>8</v>
      </c>
      <c r="AE44">
        <v>8179.2</v>
      </c>
      <c r="AF44">
        <v>5.4232977594785021</v>
      </c>
      <c r="AG44">
        <v>5544.7796292908206</v>
      </c>
      <c r="AH44">
        <v>4.030502163801807</v>
      </c>
      <c r="AI44">
        <v>4120.7854122709678</v>
      </c>
      <c r="AJ44">
        <v>5.5102487165506737</v>
      </c>
      <c r="AK44">
        <v>5633.6782878014083</v>
      </c>
      <c r="AL44">
        <v>2.4831830841792844</v>
      </c>
      <c r="AM44">
        <v>2538.8063852649002</v>
      </c>
      <c r="AN44">
        <v>3.4601819189583236</v>
      </c>
      <c r="AO44">
        <v>3537.68999394299</v>
      </c>
      <c r="AP44">
        <v>9</v>
      </c>
      <c r="AQ44">
        <v>9201.6</v>
      </c>
      <c r="AR44">
        <v>6</v>
      </c>
      <c r="AS44">
        <v>6134.4</v>
      </c>
      <c r="AT44">
        <v>6.2582451341221903</v>
      </c>
      <c r="AU44">
        <v>6398.4298251265272</v>
      </c>
      <c r="AV44">
        <v>3.9266437242322989</v>
      </c>
      <c r="AW44">
        <v>4014.6005436551022</v>
      </c>
      <c r="AX44">
        <v>2.139064631263369</v>
      </c>
      <c r="AY44">
        <v>2186.9796790036685</v>
      </c>
      <c r="AZ44">
        <v>7</v>
      </c>
      <c r="BA44">
        <v>7156.8</v>
      </c>
      <c r="BB44">
        <v>7</v>
      </c>
      <c r="BC44">
        <v>7156.8</v>
      </c>
      <c r="BD44">
        <v>7.3934192721771685</v>
      </c>
      <c r="BE44">
        <v>7559.0318638739373</v>
      </c>
      <c r="BF44">
        <v>2.6619943878200081</v>
      </c>
      <c r="BG44">
        <v>2721.6230621071763</v>
      </c>
      <c r="BH44">
        <v>8</v>
      </c>
      <c r="BI44">
        <v>8179.2</v>
      </c>
      <c r="BJ44">
        <v>5.3944146011281155</v>
      </c>
      <c r="BK44">
        <v>5515.2494881933853</v>
      </c>
      <c r="BL44">
        <v>1.7764386153408551</v>
      </c>
      <c r="BM44">
        <v>1816.2308403244901</v>
      </c>
      <c r="BN44">
        <v>8</v>
      </c>
      <c r="BO44">
        <v>8179.2</v>
      </c>
      <c r="BP44">
        <v>9</v>
      </c>
      <c r="BQ44">
        <v>9201.6</v>
      </c>
      <c r="BR44">
        <v>7</v>
      </c>
      <c r="BS44">
        <v>7156.8</v>
      </c>
      <c r="BT44">
        <v>8.5447411423268047</v>
      </c>
      <c r="BU44">
        <v>8736.1433439149241</v>
      </c>
      <c r="BV44">
        <v>3.399206716510291</v>
      </c>
      <c r="BW44">
        <v>3475.3489469601213</v>
      </c>
      <c r="BX44">
        <v>5</v>
      </c>
      <c r="BY44">
        <v>5112</v>
      </c>
      <c r="BZ44">
        <v>7</v>
      </c>
      <c r="CA44">
        <v>7156.8</v>
      </c>
      <c r="CB44">
        <v>5</v>
      </c>
      <c r="CC44">
        <v>5112</v>
      </c>
      <c r="CD44">
        <v>5.2049535803343217</v>
      </c>
      <c r="CE44">
        <v>5321.5445405338105</v>
      </c>
      <c r="CF44">
        <v>3.1978635193999727</v>
      </c>
      <c r="CG44">
        <v>3269.4956622345321</v>
      </c>
      <c r="CH44">
        <v>6</v>
      </c>
      <c r="CI44">
        <v>6134.4</v>
      </c>
      <c r="CJ44">
        <v>9</v>
      </c>
      <c r="CK44">
        <v>9201.6</v>
      </c>
      <c r="CL44">
        <v>7</v>
      </c>
      <c r="CM44">
        <v>7156.8</v>
      </c>
      <c r="CN44">
        <v>6.3185918738134585</v>
      </c>
      <c r="CO44">
        <v>6460.1283317868802</v>
      </c>
      <c r="CP44">
        <v>2.3630415321023581</v>
      </c>
      <c r="CQ44">
        <v>2415.9736624214511</v>
      </c>
      <c r="CR44">
        <v>2.6110027651694083</v>
      </c>
      <c r="CS44">
        <v>2669.4892271092031</v>
      </c>
      <c r="CT44">
        <v>9</v>
      </c>
      <c r="CU44">
        <v>9201.6</v>
      </c>
    </row>
    <row r="45" spans="2:99">
      <c r="C45" s="99" t="s">
        <v>211</v>
      </c>
      <c r="D45">
        <v>7.2564539501575256</v>
      </c>
      <c r="E45">
        <v>9064.7622745367808</v>
      </c>
      <c r="F45">
        <v>3.6633061363157111</v>
      </c>
      <c r="G45">
        <v>4576.2020254855861</v>
      </c>
      <c r="H45">
        <v>5.0901932865431787</v>
      </c>
      <c r="I45">
        <v>6358.669453549739</v>
      </c>
      <c r="J45">
        <v>5.8105640139779018</v>
      </c>
      <c r="K45">
        <v>7258.5565662611953</v>
      </c>
      <c r="L45">
        <v>6.0608841488185012</v>
      </c>
      <c r="M45">
        <v>7571.2564787040719</v>
      </c>
      <c r="N45">
        <v>6.0935577205616589</v>
      </c>
      <c r="O45">
        <v>7612.0723045256245</v>
      </c>
      <c r="P45">
        <v>2.9335237165427581</v>
      </c>
      <c r="Q45">
        <v>3664.5578267052138</v>
      </c>
      <c r="R45">
        <v>4</v>
      </c>
      <c r="S45">
        <v>4996.8</v>
      </c>
      <c r="T45">
        <v>7</v>
      </c>
      <c r="U45">
        <v>8744.4</v>
      </c>
      <c r="V45">
        <v>5</v>
      </c>
      <c r="W45">
        <v>6246</v>
      </c>
      <c r="X45">
        <v>4.6837949490745361</v>
      </c>
      <c r="Y45">
        <v>5850.9966503839105</v>
      </c>
      <c r="Z45">
        <v>7.5401816975246794</v>
      </c>
      <c r="AA45">
        <v>9419.1949765478294</v>
      </c>
      <c r="AB45">
        <v>5</v>
      </c>
      <c r="AC45">
        <v>6246</v>
      </c>
      <c r="AD45">
        <v>7</v>
      </c>
      <c r="AE45">
        <v>8744.4</v>
      </c>
      <c r="AF45">
        <v>5.4232977594785021</v>
      </c>
      <c r="AG45">
        <v>6774.7835611405453</v>
      </c>
      <c r="AH45">
        <v>4.7022525244354414</v>
      </c>
      <c r="AI45">
        <v>5874.0538535247533</v>
      </c>
      <c r="AJ45">
        <v>6.280155615911438</v>
      </c>
      <c r="AK45">
        <v>7845.1703953965689</v>
      </c>
      <c r="AL45">
        <v>2.0979718568424337</v>
      </c>
      <c r="AM45">
        <v>2620.7864435675683</v>
      </c>
      <c r="AN45">
        <v>2.8834849324652696</v>
      </c>
      <c r="AO45">
        <v>3602.0493776356147</v>
      </c>
      <c r="AP45">
        <v>8</v>
      </c>
      <c r="AQ45">
        <v>9993.6</v>
      </c>
      <c r="AR45">
        <v>7</v>
      </c>
      <c r="AS45">
        <v>8744.4</v>
      </c>
      <c r="AT45">
        <v>6.2808287381785073</v>
      </c>
      <c r="AU45">
        <v>7846.0112597325915</v>
      </c>
      <c r="AV45">
        <v>3.9529512643933131</v>
      </c>
      <c r="AW45">
        <v>4938.0267194801272</v>
      </c>
      <c r="AX45">
        <v>2.495575403140597</v>
      </c>
      <c r="AY45">
        <v>3117.4727936032341</v>
      </c>
      <c r="AZ45">
        <v>7</v>
      </c>
      <c r="BA45">
        <v>8744.4</v>
      </c>
      <c r="BB45">
        <v>7</v>
      </c>
      <c r="BC45">
        <v>8744.4</v>
      </c>
      <c r="BD45">
        <v>7.3934192721771685</v>
      </c>
      <c r="BE45">
        <v>9235.8593548037188</v>
      </c>
      <c r="BF45">
        <v>2.6619943878200081</v>
      </c>
      <c r="BG45">
        <v>3325.363389264754</v>
      </c>
      <c r="BH45">
        <v>8</v>
      </c>
      <c r="BI45">
        <v>9993.6</v>
      </c>
      <c r="BJ45">
        <v>4.3944146011281155</v>
      </c>
      <c r="BK45">
        <v>5489.502719729242</v>
      </c>
      <c r="BL45">
        <v>1.7764386153408551</v>
      </c>
      <c r="BM45">
        <v>2219.1271182837963</v>
      </c>
      <c r="BN45">
        <v>8</v>
      </c>
      <c r="BO45">
        <v>9993.6</v>
      </c>
      <c r="BP45">
        <v>9</v>
      </c>
      <c r="BQ45">
        <v>11242.800000000001</v>
      </c>
      <c r="BR45">
        <v>7</v>
      </c>
      <c r="BS45">
        <v>8744.4</v>
      </c>
      <c r="BT45">
        <v>8.4952192202970949</v>
      </c>
      <c r="BU45">
        <v>10612.227849995132</v>
      </c>
      <c r="BV45">
        <v>3.7768963516781016</v>
      </c>
      <c r="BW45">
        <v>4718.0989225162848</v>
      </c>
      <c r="BX45">
        <v>5</v>
      </c>
      <c r="BY45">
        <v>6246</v>
      </c>
      <c r="BZ45">
        <v>7</v>
      </c>
      <c r="CA45">
        <v>8744.4</v>
      </c>
      <c r="CB45">
        <v>5</v>
      </c>
      <c r="CC45">
        <v>6246</v>
      </c>
      <c r="CD45">
        <v>5.1821809602971749</v>
      </c>
      <c r="CE45">
        <v>6473.5804556032308</v>
      </c>
      <c r="CF45">
        <v>3.1978635193999727</v>
      </c>
      <c r="CG45">
        <v>3994.771108434446</v>
      </c>
      <c r="CH45">
        <v>7</v>
      </c>
      <c r="CI45">
        <v>8744.4</v>
      </c>
      <c r="CJ45">
        <v>8</v>
      </c>
      <c r="CK45">
        <v>9993.6</v>
      </c>
      <c r="CL45">
        <v>6</v>
      </c>
      <c r="CM45">
        <v>7495.2000000000007</v>
      </c>
      <c r="CN45">
        <v>6.3185918738134585</v>
      </c>
      <c r="CO45">
        <v>7893.1849687677723</v>
      </c>
      <c r="CP45">
        <v>2.7771602732962566</v>
      </c>
      <c r="CQ45">
        <v>3469.228613401684</v>
      </c>
      <c r="CR45">
        <v>2.6110027651694083</v>
      </c>
      <c r="CS45">
        <v>3261.6646542496251</v>
      </c>
      <c r="CT45">
        <v>9</v>
      </c>
      <c r="CU45">
        <v>11242.800000000001</v>
      </c>
    </row>
    <row r="46" spans="2:99">
      <c r="C46" s="99" t="s">
        <v>212</v>
      </c>
      <c r="D46">
        <v>8.2564539501575265</v>
      </c>
      <c r="E46">
        <v>10006.822187590922</v>
      </c>
      <c r="F46">
        <v>3.6633061363157111</v>
      </c>
      <c r="G46">
        <v>4439.927037214642</v>
      </c>
      <c r="H46">
        <v>5.0901932865431787</v>
      </c>
      <c r="I46">
        <v>6169.3142632903327</v>
      </c>
      <c r="J46">
        <v>5.8105640139779018</v>
      </c>
      <c r="K46">
        <v>7042.4035849412166</v>
      </c>
      <c r="L46">
        <v>6.0608841488185012</v>
      </c>
      <c r="M46">
        <v>7345.7915883680234</v>
      </c>
      <c r="N46">
        <v>5.3015406323361498</v>
      </c>
      <c r="O46">
        <v>6425.4672463914139</v>
      </c>
      <c r="P46">
        <v>3.5202284598513094</v>
      </c>
      <c r="Q46">
        <v>4266.5168933397872</v>
      </c>
      <c r="R46">
        <v>5</v>
      </c>
      <c r="S46">
        <v>6060</v>
      </c>
      <c r="T46">
        <v>7</v>
      </c>
      <c r="U46">
        <v>8484</v>
      </c>
      <c r="V46">
        <v>5</v>
      </c>
      <c r="W46">
        <v>6060</v>
      </c>
      <c r="X46">
        <v>4.6837949490745361</v>
      </c>
      <c r="Y46">
        <v>5676.7594782783381</v>
      </c>
      <c r="Z46">
        <v>7.5401816975246794</v>
      </c>
      <c r="AA46">
        <v>9138.7002173999117</v>
      </c>
      <c r="AB46">
        <v>6</v>
      </c>
      <c r="AC46">
        <v>7272</v>
      </c>
      <c r="AD46">
        <v>8</v>
      </c>
      <c r="AE46">
        <v>9696</v>
      </c>
      <c r="AF46">
        <v>5.4232977594785021</v>
      </c>
      <c r="AG46">
        <v>6573.0368844879449</v>
      </c>
      <c r="AH46">
        <v>4.7022525244354414</v>
      </c>
      <c r="AI46">
        <v>5699.1300596157553</v>
      </c>
      <c r="AJ46">
        <v>5.5102487165506737</v>
      </c>
      <c r="AK46">
        <v>6678.4214444594163</v>
      </c>
      <c r="AL46">
        <v>2.4831830841792844</v>
      </c>
      <c r="AM46">
        <v>3009.6178980252926</v>
      </c>
      <c r="AN46">
        <v>3.4601819189583236</v>
      </c>
      <c r="AO46">
        <v>4193.7404857774882</v>
      </c>
      <c r="AP46">
        <v>8</v>
      </c>
      <c r="AQ46">
        <v>9696</v>
      </c>
      <c r="AR46">
        <v>6</v>
      </c>
      <c r="AS46">
        <v>7272</v>
      </c>
      <c r="AT46">
        <v>7.0038274192959475</v>
      </c>
      <c r="AU46">
        <v>8488.6388321866889</v>
      </c>
      <c r="AV46">
        <v>3.9266437242322989</v>
      </c>
      <c r="AW46">
        <v>4759.0921937695466</v>
      </c>
      <c r="AX46">
        <v>2.495575403140597</v>
      </c>
      <c r="AY46">
        <v>3024.6373886064034</v>
      </c>
      <c r="AZ46">
        <v>6</v>
      </c>
      <c r="BA46">
        <v>7272</v>
      </c>
      <c r="BB46">
        <v>7</v>
      </c>
      <c r="BC46">
        <v>8484</v>
      </c>
      <c r="BD46">
        <v>7.3934192721771685</v>
      </c>
      <c r="BE46">
        <v>8960.8241578787274</v>
      </c>
      <c r="BF46">
        <v>2.6619943878200081</v>
      </c>
      <c r="BG46">
        <v>3226.3371980378497</v>
      </c>
      <c r="BH46">
        <v>9</v>
      </c>
      <c r="BI46">
        <v>10908</v>
      </c>
      <c r="BJ46">
        <v>5.422587072637266</v>
      </c>
      <c r="BK46">
        <v>6572.1755320363663</v>
      </c>
      <c r="BL46">
        <v>1.7764386153408551</v>
      </c>
      <c r="BM46">
        <v>2153.0436017931165</v>
      </c>
      <c r="BN46">
        <v>8</v>
      </c>
      <c r="BO46">
        <v>9696</v>
      </c>
      <c r="BP46">
        <v>9</v>
      </c>
      <c r="BQ46">
        <v>10908</v>
      </c>
      <c r="BR46">
        <v>7</v>
      </c>
      <c r="BS46">
        <v>8484</v>
      </c>
      <c r="BT46">
        <v>8.4952192202970949</v>
      </c>
      <c r="BU46">
        <v>10296.205695000079</v>
      </c>
      <c r="BV46">
        <v>3.0215170813424814</v>
      </c>
      <c r="BW46">
        <v>3662.0787025870873</v>
      </c>
      <c r="BX46">
        <v>4</v>
      </c>
      <c r="BY46">
        <v>4848</v>
      </c>
      <c r="BZ46">
        <v>7</v>
      </c>
      <c r="CA46">
        <v>8484</v>
      </c>
      <c r="CB46">
        <v>5</v>
      </c>
      <c r="CC46">
        <v>6060</v>
      </c>
      <c r="CD46">
        <v>5.1821809602971749</v>
      </c>
      <c r="CE46">
        <v>6280.8033238801763</v>
      </c>
      <c r="CF46">
        <v>3.1978635193999727</v>
      </c>
      <c r="CG46">
        <v>3875.8105855127669</v>
      </c>
      <c r="CH46">
        <v>7</v>
      </c>
      <c r="CI46">
        <v>8484</v>
      </c>
      <c r="CJ46">
        <v>9</v>
      </c>
      <c r="CK46">
        <v>10908</v>
      </c>
      <c r="CL46">
        <v>6</v>
      </c>
      <c r="CM46">
        <v>7272</v>
      </c>
      <c r="CN46">
        <v>6.2787678895867769</v>
      </c>
      <c r="CO46">
        <v>7609.8666821791739</v>
      </c>
      <c r="CP46">
        <v>2.7771602732962566</v>
      </c>
      <c r="CQ46">
        <v>3365.9182512350631</v>
      </c>
      <c r="CR46">
        <v>3.0461698926976433</v>
      </c>
      <c r="CS46">
        <v>3691.9579099495436</v>
      </c>
      <c r="CT46">
        <v>9</v>
      </c>
      <c r="CU46">
        <v>10908</v>
      </c>
    </row>
    <row r="47" spans="2:99">
      <c r="C47" s="99" t="s">
        <v>213</v>
      </c>
      <c r="D47">
        <v>8.2564539501575265</v>
      </c>
      <c r="E47">
        <v>12612.559054260637</v>
      </c>
      <c r="F47">
        <v>2.9584202605690204</v>
      </c>
      <c r="G47">
        <v>4519.2827900452357</v>
      </c>
      <c r="H47">
        <v>5.938558834300375</v>
      </c>
      <c r="I47">
        <v>9071.7424752772531</v>
      </c>
      <c r="J47">
        <v>5.8105640139779018</v>
      </c>
      <c r="K47">
        <v>8876.2175877526424</v>
      </c>
      <c r="L47">
        <v>6.0608841488185012</v>
      </c>
      <c r="M47">
        <v>9258.6066257351413</v>
      </c>
      <c r="N47">
        <v>5.2622950535516422</v>
      </c>
      <c r="O47">
        <v>8038.6819238054877</v>
      </c>
      <c r="P47">
        <v>2.9335237165427581</v>
      </c>
      <c r="Q47">
        <v>4481.2508293907167</v>
      </c>
      <c r="R47">
        <v>5</v>
      </c>
      <c r="S47">
        <v>7638</v>
      </c>
      <c r="T47">
        <v>7</v>
      </c>
      <c r="U47">
        <v>10693.199999999999</v>
      </c>
      <c r="V47">
        <v>5</v>
      </c>
      <c r="W47">
        <v>7638</v>
      </c>
      <c r="X47">
        <v>4.0983205804402196</v>
      </c>
      <c r="Y47">
        <v>6260.5945186804793</v>
      </c>
      <c r="Z47">
        <v>7.5401816975246794</v>
      </c>
      <c r="AA47">
        <v>11518.3815611387</v>
      </c>
      <c r="AB47">
        <v>5</v>
      </c>
      <c r="AC47">
        <v>7638</v>
      </c>
      <c r="AD47">
        <v>8</v>
      </c>
      <c r="AE47">
        <v>12220.8</v>
      </c>
      <c r="AF47">
        <v>5.4232977594785021</v>
      </c>
      <c r="AG47">
        <v>8284.6296573793588</v>
      </c>
      <c r="AH47">
        <v>4.7022525244354414</v>
      </c>
      <c r="AI47">
        <v>7183.1609563275797</v>
      </c>
      <c r="AJ47">
        <v>5.5344288007557374</v>
      </c>
      <c r="AK47">
        <v>8454.3934360344647</v>
      </c>
      <c r="AL47">
        <v>2.0979718568424337</v>
      </c>
      <c r="AM47">
        <v>3204.8618085125017</v>
      </c>
      <c r="AN47">
        <v>3.4601819189583236</v>
      </c>
      <c r="AO47">
        <v>5285.773899400735</v>
      </c>
      <c r="AP47">
        <v>9</v>
      </c>
      <c r="AQ47">
        <v>13748.4</v>
      </c>
      <c r="AR47">
        <v>7</v>
      </c>
      <c r="AS47">
        <v>10693.199999999999</v>
      </c>
      <c r="AT47">
        <v>5.5126628489484331</v>
      </c>
      <c r="AU47">
        <v>8421.1437680536255</v>
      </c>
      <c r="AV47">
        <v>4.541623034696161</v>
      </c>
      <c r="AW47">
        <v>6937.7833478018556</v>
      </c>
      <c r="AX47">
        <v>2.495575403140597</v>
      </c>
      <c r="AY47">
        <v>3812.2409858375759</v>
      </c>
      <c r="AZ47">
        <v>6</v>
      </c>
      <c r="BA47">
        <v>9165.5999999999985</v>
      </c>
      <c r="BB47">
        <v>8</v>
      </c>
      <c r="BC47">
        <v>12220.8</v>
      </c>
      <c r="BD47">
        <v>7.3442418631550224</v>
      </c>
      <c r="BE47">
        <v>11219.063870155611</v>
      </c>
      <c r="BF47">
        <v>2.2817094752742921</v>
      </c>
      <c r="BG47">
        <v>3485.5393944290086</v>
      </c>
      <c r="BH47">
        <v>9</v>
      </c>
      <c r="BI47">
        <v>13748.4</v>
      </c>
      <c r="BJ47">
        <v>5.3944146011281155</v>
      </c>
      <c r="BK47">
        <v>8240.5077446833093</v>
      </c>
      <c r="BL47">
        <v>1.7764386153408551</v>
      </c>
      <c r="BM47">
        <v>2713.6876287946902</v>
      </c>
      <c r="BN47">
        <v>8</v>
      </c>
      <c r="BO47">
        <v>12220.8</v>
      </c>
      <c r="BP47">
        <v>9</v>
      </c>
      <c r="BQ47">
        <v>13748.4</v>
      </c>
      <c r="BR47">
        <v>6</v>
      </c>
      <c r="BS47">
        <v>9165.5999999999985</v>
      </c>
      <c r="BT47">
        <v>7.5447411423268047</v>
      </c>
      <c r="BU47">
        <v>11525.346569018426</v>
      </c>
      <c r="BV47">
        <v>3.7768963516781016</v>
      </c>
      <c r="BW47">
        <v>5769.586866823468</v>
      </c>
      <c r="BX47">
        <v>5</v>
      </c>
      <c r="BY47">
        <v>7638</v>
      </c>
      <c r="BZ47">
        <v>7</v>
      </c>
      <c r="CA47">
        <v>10693.199999999999</v>
      </c>
      <c r="CB47">
        <v>6</v>
      </c>
      <c r="CC47">
        <v>9165.5999999999985</v>
      </c>
      <c r="CD47">
        <v>5.2049535803343217</v>
      </c>
      <c r="CE47">
        <v>7951.0870893187093</v>
      </c>
      <c r="CF47">
        <v>3.1978635193999727</v>
      </c>
      <c r="CG47">
        <v>4885.0563122353979</v>
      </c>
      <c r="CH47">
        <v>7</v>
      </c>
      <c r="CI47">
        <v>10693.199999999999</v>
      </c>
      <c r="CJ47">
        <v>9</v>
      </c>
      <c r="CK47">
        <v>13748.4</v>
      </c>
      <c r="CL47">
        <v>7</v>
      </c>
      <c r="CM47">
        <v>10693.199999999999</v>
      </c>
      <c r="CN47">
        <v>5.2787678895867769</v>
      </c>
      <c r="CO47">
        <v>8063.8458281327603</v>
      </c>
      <c r="CP47">
        <v>2.3630415321023581</v>
      </c>
      <c r="CQ47">
        <v>3609.782244439562</v>
      </c>
      <c r="CR47">
        <v>2.6110027651694083</v>
      </c>
      <c r="CS47">
        <v>3988.567824072788</v>
      </c>
      <c r="CT47">
        <v>10</v>
      </c>
      <c r="CU47">
        <v>15276</v>
      </c>
    </row>
    <row r="48" spans="2:99">
      <c r="C48" s="99" t="s">
        <v>214</v>
      </c>
      <c r="D48">
        <v>7.2849488335083619</v>
      </c>
      <c r="E48">
        <v>6320.4216079518546</v>
      </c>
      <c r="F48">
        <v>3.6633061363157111</v>
      </c>
      <c r="G48">
        <v>3178.2844038675112</v>
      </c>
      <c r="H48">
        <v>5.1041668063049102</v>
      </c>
      <c r="I48">
        <v>4428.3751211501403</v>
      </c>
      <c r="J48">
        <v>4.8421366783149189</v>
      </c>
      <c r="K48">
        <v>4201.0377821060238</v>
      </c>
      <c r="L48">
        <v>6.9267247415068596</v>
      </c>
      <c r="M48">
        <v>6009.6263857313515</v>
      </c>
      <c r="N48">
        <v>6.0543121417771513</v>
      </c>
      <c r="O48">
        <v>5252.721214205857</v>
      </c>
      <c r="P48">
        <v>2.9335237165427581</v>
      </c>
      <c r="Q48">
        <v>2545.1251764724971</v>
      </c>
      <c r="R48">
        <v>5</v>
      </c>
      <c r="S48">
        <v>4338</v>
      </c>
      <c r="T48">
        <v>7</v>
      </c>
      <c r="U48">
        <v>6073.2</v>
      </c>
      <c r="V48">
        <v>5</v>
      </c>
      <c r="W48">
        <v>4338</v>
      </c>
      <c r="X48">
        <v>4.6837949490745361</v>
      </c>
      <c r="Y48">
        <v>4063.6604978170676</v>
      </c>
      <c r="Z48">
        <v>8.4827044097152644</v>
      </c>
      <c r="AA48">
        <v>7359.5943458689635</v>
      </c>
      <c r="AB48">
        <v>6</v>
      </c>
      <c r="AC48">
        <v>5205.6000000000004</v>
      </c>
      <c r="AD48">
        <v>8</v>
      </c>
      <c r="AE48">
        <v>6940.8</v>
      </c>
      <c r="AF48">
        <v>5.4232977594785021</v>
      </c>
      <c r="AG48">
        <v>4705.2531361235488</v>
      </c>
      <c r="AH48">
        <v>4.7022525244354414</v>
      </c>
      <c r="AI48">
        <v>4079.6742902001893</v>
      </c>
      <c r="AJ48">
        <v>6.280155615911438</v>
      </c>
      <c r="AK48">
        <v>5448.6630123647637</v>
      </c>
      <c r="AL48">
        <v>2.0979718568424337</v>
      </c>
      <c r="AM48">
        <v>1820.2003829964956</v>
      </c>
      <c r="AN48">
        <v>3.4601819189583236</v>
      </c>
      <c r="AO48">
        <v>3002.0538328882417</v>
      </c>
      <c r="AP48">
        <v>9</v>
      </c>
      <c r="AQ48">
        <v>7808.4000000000005</v>
      </c>
      <c r="AR48">
        <v>6</v>
      </c>
      <c r="AS48">
        <v>5205.6000000000004</v>
      </c>
      <c r="AT48">
        <v>5.5352464530047509</v>
      </c>
      <c r="AU48">
        <v>4802.3798226269219</v>
      </c>
      <c r="AV48">
        <v>4.5679305748571748</v>
      </c>
      <c r="AW48">
        <v>3963.136566746085</v>
      </c>
      <c r="AX48">
        <v>2.139064631263369</v>
      </c>
      <c r="AY48">
        <v>1855.852474084099</v>
      </c>
      <c r="AZ48">
        <v>7</v>
      </c>
      <c r="BA48">
        <v>6073.2</v>
      </c>
      <c r="BB48">
        <v>7</v>
      </c>
      <c r="BC48">
        <v>6073.2</v>
      </c>
      <c r="BD48">
        <v>7.4425966811993138</v>
      </c>
      <c r="BE48">
        <v>6457.1968806085251</v>
      </c>
      <c r="BF48">
        <v>2.6619943878200081</v>
      </c>
      <c r="BG48">
        <v>2309.5463308726389</v>
      </c>
      <c r="BH48">
        <v>8</v>
      </c>
      <c r="BI48">
        <v>6940.8</v>
      </c>
      <c r="BJ48">
        <v>5.422587072637266</v>
      </c>
      <c r="BK48">
        <v>4704.6365442200922</v>
      </c>
      <c r="BL48">
        <v>1.7764386153408551</v>
      </c>
      <c r="BM48">
        <v>1541.2381426697259</v>
      </c>
      <c r="BN48">
        <v>9</v>
      </c>
      <c r="BO48">
        <v>7808.4000000000005</v>
      </c>
      <c r="BP48">
        <v>9</v>
      </c>
      <c r="BQ48">
        <v>7808.4000000000005</v>
      </c>
      <c r="BR48">
        <v>7</v>
      </c>
      <c r="BS48">
        <v>6073.2</v>
      </c>
      <c r="BT48">
        <v>8.5447411423268047</v>
      </c>
      <c r="BU48">
        <v>7413.4174150827357</v>
      </c>
      <c r="BV48">
        <v>3.7768963516781016</v>
      </c>
      <c r="BW48">
        <v>3276.8352747159211</v>
      </c>
      <c r="BX48">
        <v>5</v>
      </c>
      <c r="BY48">
        <v>4338</v>
      </c>
      <c r="BZ48">
        <v>8</v>
      </c>
      <c r="CA48">
        <v>6940.8</v>
      </c>
      <c r="CB48">
        <v>6</v>
      </c>
      <c r="CC48">
        <v>5205.6000000000004</v>
      </c>
      <c r="CD48">
        <v>6.2049535803343217</v>
      </c>
      <c r="CE48">
        <v>5383.4177262980575</v>
      </c>
      <c r="CF48">
        <v>3.8374362232799673</v>
      </c>
      <c r="CG48">
        <v>3329.3596673176999</v>
      </c>
      <c r="CH48">
        <v>7</v>
      </c>
      <c r="CI48">
        <v>6073.2</v>
      </c>
      <c r="CJ48">
        <v>9</v>
      </c>
      <c r="CK48">
        <v>7808.4000000000005</v>
      </c>
      <c r="CL48">
        <v>7</v>
      </c>
      <c r="CM48">
        <v>6073.2</v>
      </c>
      <c r="CN48">
        <v>6.2787678895867769</v>
      </c>
      <c r="CO48">
        <v>5447.4590210054876</v>
      </c>
      <c r="CP48">
        <v>2.3421524016642961</v>
      </c>
      <c r="CQ48">
        <v>2032.0514236839433</v>
      </c>
      <c r="CR48">
        <v>3.0461698926976433</v>
      </c>
      <c r="CS48">
        <v>2642.8569989044754</v>
      </c>
      <c r="CT48">
        <v>10</v>
      </c>
      <c r="CU48">
        <v>8676</v>
      </c>
    </row>
    <row r="49" spans="2:99">
      <c r="B49" s="99" t="s">
        <v>129</v>
      </c>
      <c r="C49" s="99" t="s">
        <v>215</v>
      </c>
      <c r="D49">
        <v>4</v>
      </c>
      <c r="E49">
        <v>3940.7999999999997</v>
      </c>
      <c r="F49">
        <v>4</v>
      </c>
      <c r="G49">
        <v>3940.7999999999997</v>
      </c>
      <c r="H49">
        <v>4</v>
      </c>
      <c r="I49">
        <v>3940.7999999999997</v>
      </c>
      <c r="J49">
        <v>6</v>
      </c>
      <c r="K49">
        <v>5911.2</v>
      </c>
      <c r="L49">
        <v>5</v>
      </c>
      <c r="M49">
        <v>4926</v>
      </c>
      <c r="N49">
        <v>5</v>
      </c>
      <c r="O49">
        <v>4926</v>
      </c>
      <c r="P49">
        <v>5</v>
      </c>
      <c r="Q49">
        <v>4926</v>
      </c>
      <c r="R49">
        <v>5.0548540004813374</v>
      </c>
      <c r="S49">
        <v>4980.042161274213</v>
      </c>
      <c r="T49">
        <v>5.2841554221820237</v>
      </c>
      <c r="U49">
        <v>5205.9499219337295</v>
      </c>
      <c r="V49">
        <v>3.4405869747152376</v>
      </c>
      <c r="W49">
        <v>3389.6662874894519</v>
      </c>
      <c r="X49">
        <v>5.1500485618010057</v>
      </c>
      <c r="Y49">
        <v>5073.8278430863502</v>
      </c>
      <c r="Z49">
        <v>4</v>
      </c>
      <c r="AA49">
        <v>3940.7999999999997</v>
      </c>
      <c r="AB49">
        <v>4.1558261896384545</v>
      </c>
      <c r="AC49">
        <v>4094.3199620318051</v>
      </c>
      <c r="AD49">
        <v>5</v>
      </c>
      <c r="AE49">
        <v>4926</v>
      </c>
      <c r="AF49">
        <v>6</v>
      </c>
      <c r="AG49">
        <v>5911.2</v>
      </c>
      <c r="AH49">
        <v>5</v>
      </c>
      <c r="AI49">
        <v>4926</v>
      </c>
      <c r="AJ49">
        <v>5</v>
      </c>
      <c r="AK49">
        <v>4926</v>
      </c>
      <c r="AL49">
        <v>4</v>
      </c>
      <c r="AM49">
        <v>3940.7999999999997</v>
      </c>
      <c r="AN49">
        <v>6</v>
      </c>
      <c r="AO49">
        <v>5911.2</v>
      </c>
      <c r="AP49">
        <v>5.0630143702780197</v>
      </c>
      <c r="AQ49">
        <v>4988.0817575979045</v>
      </c>
      <c r="AR49">
        <v>5</v>
      </c>
      <c r="AS49">
        <v>4926</v>
      </c>
      <c r="AT49">
        <v>4.1770183971974122</v>
      </c>
      <c r="AU49">
        <v>4115.1985249188901</v>
      </c>
      <c r="AV49">
        <v>5.0502467609831578</v>
      </c>
      <c r="AW49">
        <v>4975.5031089206068</v>
      </c>
      <c r="AX49">
        <v>6</v>
      </c>
      <c r="AY49">
        <v>5911.2</v>
      </c>
      <c r="AZ49">
        <v>5</v>
      </c>
      <c r="BA49">
        <v>4926</v>
      </c>
      <c r="BB49">
        <v>4.3994083243396469</v>
      </c>
      <c r="BC49">
        <v>4334.2970811394198</v>
      </c>
      <c r="BD49">
        <v>4.3389097044951761</v>
      </c>
      <c r="BE49">
        <v>4274.6938408686474</v>
      </c>
      <c r="BF49">
        <v>6</v>
      </c>
      <c r="BG49">
        <v>5911.2</v>
      </c>
      <c r="BH49">
        <v>5</v>
      </c>
      <c r="BI49">
        <v>4926</v>
      </c>
      <c r="BJ49">
        <v>6.2985155169200553</v>
      </c>
      <c r="BK49">
        <v>6205.2974872696377</v>
      </c>
      <c r="BL49">
        <v>4</v>
      </c>
      <c r="BM49">
        <v>3940.7999999999997</v>
      </c>
      <c r="BN49">
        <v>6</v>
      </c>
      <c r="BO49">
        <v>5911.2</v>
      </c>
      <c r="BP49">
        <v>4</v>
      </c>
      <c r="BQ49">
        <v>3940.7999999999997</v>
      </c>
      <c r="BR49">
        <v>6</v>
      </c>
      <c r="BS49">
        <v>5911.2</v>
      </c>
      <c r="BT49">
        <v>3</v>
      </c>
      <c r="BU49">
        <v>2955.6</v>
      </c>
      <c r="BV49">
        <v>3.2825478537105264</v>
      </c>
      <c r="BW49">
        <v>3233.9661454756106</v>
      </c>
      <c r="BX49">
        <v>5.3223263238293592</v>
      </c>
      <c r="BY49">
        <v>5243.5558942366843</v>
      </c>
      <c r="BZ49">
        <v>6.3011357135427906</v>
      </c>
      <c r="CA49">
        <v>6207.8789049823572</v>
      </c>
      <c r="CB49">
        <v>5.1061462647666129</v>
      </c>
      <c r="CC49">
        <v>5030.5753000480663</v>
      </c>
      <c r="CD49">
        <v>4.0286443408869488</v>
      </c>
      <c r="CE49">
        <v>3969.0204046418216</v>
      </c>
      <c r="CF49">
        <v>6</v>
      </c>
      <c r="CG49">
        <v>5911.2</v>
      </c>
      <c r="CH49">
        <v>2.4302454386196337</v>
      </c>
      <c r="CI49">
        <v>2394.2778061280628</v>
      </c>
      <c r="CJ49">
        <v>5.091927131157755</v>
      </c>
      <c r="CK49">
        <v>5016.5666096166196</v>
      </c>
      <c r="CL49">
        <v>0.93466839234864485</v>
      </c>
      <c r="CM49">
        <v>920.83530014188489</v>
      </c>
      <c r="CN49">
        <v>5</v>
      </c>
      <c r="CO49">
        <v>4926</v>
      </c>
      <c r="CP49">
        <v>7</v>
      </c>
      <c r="CQ49">
        <v>6896.4</v>
      </c>
      <c r="CR49">
        <v>6.6560393023683497</v>
      </c>
      <c r="CS49">
        <v>6557.5299206932978</v>
      </c>
      <c r="CT49">
        <v>1.3151380793850684</v>
      </c>
      <c r="CU49">
        <v>1295.6740358101692</v>
      </c>
    </row>
    <row r="50" spans="2:99">
      <c r="C50" s="99" t="s">
        <v>216</v>
      </c>
      <c r="D50">
        <v>4.199464183455853</v>
      </c>
      <c r="E50">
        <v>1184.2488997345506</v>
      </c>
      <c r="F50">
        <v>3.0104990446623674</v>
      </c>
      <c r="G50">
        <v>848.96073059478761</v>
      </c>
      <c r="H50">
        <v>3.4074357107905171</v>
      </c>
      <c r="I50">
        <v>960.89687044292577</v>
      </c>
      <c r="J50">
        <v>7.7474186853038702</v>
      </c>
      <c r="K50">
        <v>2184.7720692556913</v>
      </c>
      <c r="L50">
        <v>4.5288495965071833</v>
      </c>
      <c r="M50">
        <v>1277.1355862150258</v>
      </c>
      <c r="N50">
        <v>3.5605241407471033</v>
      </c>
      <c r="O50">
        <v>1004.0678076906831</v>
      </c>
      <c r="P50">
        <v>2.9335237165427581</v>
      </c>
      <c r="Q50">
        <v>827.25368806505776</v>
      </c>
      <c r="R50">
        <v>5</v>
      </c>
      <c r="S50">
        <v>1410</v>
      </c>
      <c r="T50">
        <v>5</v>
      </c>
      <c r="U50">
        <v>1410</v>
      </c>
      <c r="V50">
        <v>4.1562202639511741</v>
      </c>
      <c r="W50">
        <v>1172.054114434231</v>
      </c>
      <c r="X50">
        <v>2.9273718431715854</v>
      </c>
      <c r="Y50">
        <v>825.51885977438712</v>
      </c>
      <c r="Z50">
        <v>4.7126135609529243</v>
      </c>
      <c r="AA50">
        <v>1328.9570241887247</v>
      </c>
      <c r="AB50">
        <v>5</v>
      </c>
      <c r="AC50">
        <v>1410</v>
      </c>
      <c r="AD50">
        <v>5</v>
      </c>
      <c r="AE50">
        <v>1410</v>
      </c>
      <c r="AF50">
        <v>6.3271807193915865</v>
      </c>
      <c r="AG50">
        <v>1784.2649628684273</v>
      </c>
      <c r="AH50">
        <v>4.030502163801807</v>
      </c>
      <c r="AI50">
        <v>1136.6016101921095</v>
      </c>
      <c r="AJ50">
        <v>4.6678015645747157</v>
      </c>
      <c r="AK50">
        <v>1316.3200412100698</v>
      </c>
      <c r="AL50">
        <v>1.6955690574897653</v>
      </c>
      <c r="AM50">
        <v>478.15047421211381</v>
      </c>
      <c r="AN50">
        <v>3.4601819189583236</v>
      </c>
      <c r="AO50">
        <v>975.77130114624731</v>
      </c>
      <c r="AP50">
        <v>5</v>
      </c>
      <c r="AQ50">
        <v>1410</v>
      </c>
      <c r="AR50">
        <v>5.2253124202756549</v>
      </c>
      <c r="AS50">
        <v>1473.5381025177346</v>
      </c>
      <c r="AT50">
        <v>3.8859966542630109</v>
      </c>
      <c r="AU50">
        <v>1095.8510565021691</v>
      </c>
      <c r="AV50">
        <v>3.232741793285395</v>
      </c>
      <c r="AW50">
        <v>911.63318570648141</v>
      </c>
      <c r="AX50">
        <v>2.852086175017825</v>
      </c>
      <c r="AY50">
        <v>804.28830135502665</v>
      </c>
      <c r="AZ50">
        <v>5</v>
      </c>
      <c r="BA50">
        <v>1410</v>
      </c>
      <c r="BB50">
        <v>3</v>
      </c>
      <c r="BC50">
        <v>846</v>
      </c>
      <c r="BD50">
        <v>4.3442418631550224</v>
      </c>
      <c r="BE50">
        <v>1225.0762054097163</v>
      </c>
      <c r="BF50">
        <v>2.2817094752742921</v>
      </c>
      <c r="BG50">
        <v>643.44207202735038</v>
      </c>
      <c r="BH50">
        <v>6</v>
      </c>
      <c r="BI50">
        <v>1692</v>
      </c>
      <c r="BJ50">
        <v>7.1690348290549064</v>
      </c>
      <c r="BK50">
        <v>2021.6678217934837</v>
      </c>
      <c r="BL50">
        <v>1.4211508922726841</v>
      </c>
      <c r="BM50">
        <v>400.7645516208969</v>
      </c>
      <c r="BN50">
        <v>6</v>
      </c>
      <c r="BO50">
        <v>1692</v>
      </c>
      <c r="BP50">
        <v>4</v>
      </c>
      <c r="BQ50">
        <v>1128</v>
      </c>
      <c r="BR50">
        <v>5</v>
      </c>
      <c r="BS50">
        <v>1410</v>
      </c>
      <c r="BT50">
        <v>3.3466534542079662</v>
      </c>
      <c r="BU50">
        <v>943.7562740866465</v>
      </c>
      <c r="BV50">
        <v>1.5107585406712407</v>
      </c>
      <c r="BW50">
        <v>426.03390846928988</v>
      </c>
      <c r="BX50">
        <v>6</v>
      </c>
      <c r="BY50">
        <v>1692</v>
      </c>
      <c r="BZ50">
        <v>6</v>
      </c>
      <c r="CA50">
        <v>1692</v>
      </c>
      <c r="CB50">
        <v>7</v>
      </c>
      <c r="CC50">
        <v>1974</v>
      </c>
      <c r="CD50">
        <v>6.2049535803343217</v>
      </c>
      <c r="CE50">
        <v>1749.7969096542788</v>
      </c>
      <c r="CF50">
        <v>4.4770089271599618</v>
      </c>
      <c r="CG50">
        <v>1262.5165174591093</v>
      </c>
      <c r="CH50">
        <v>4</v>
      </c>
      <c r="CI50">
        <v>1128</v>
      </c>
      <c r="CJ50">
        <v>5</v>
      </c>
      <c r="CK50">
        <v>1410</v>
      </c>
      <c r="CL50">
        <v>7</v>
      </c>
      <c r="CM50">
        <v>1974</v>
      </c>
      <c r="CN50">
        <v>5.3982398422668236</v>
      </c>
      <c r="CO50">
        <v>1522.3036355192442</v>
      </c>
      <c r="CP50">
        <v>3.2330572753662787</v>
      </c>
      <c r="CQ50">
        <v>911.72215165329055</v>
      </c>
      <c r="CR50">
        <v>3.0461698926976433</v>
      </c>
      <c r="CS50">
        <v>859.01990974073544</v>
      </c>
      <c r="CT50">
        <v>3</v>
      </c>
      <c r="CU50">
        <v>846</v>
      </c>
    </row>
    <row r="51" spans="2:99">
      <c r="C51" s="99" t="s">
        <v>217</v>
      </c>
      <c r="D51">
        <v>4.2279590668066893</v>
      </c>
      <c r="E51">
        <v>3612.3682266796354</v>
      </c>
      <c r="F51">
        <v>3.0104990446623674</v>
      </c>
      <c r="G51">
        <v>2572.1703837595264</v>
      </c>
      <c r="H51">
        <v>3.3794886712670538</v>
      </c>
      <c r="I51">
        <v>2887.4351207305708</v>
      </c>
      <c r="J51">
        <v>6.7789913496408865</v>
      </c>
      <c r="K51">
        <v>5791.9702091331728</v>
      </c>
      <c r="L51">
        <v>4.5066666372776947</v>
      </c>
      <c r="M51">
        <v>3850.4959748900624</v>
      </c>
      <c r="N51">
        <v>4.352541228972612</v>
      </c>
      <c r="O51">
        <v>3718.8112260341995</v>
      </c>
      <c r="P51">
        <v>2.9335237165427581</v>
      </c>
      <c r="Q51">
        <v>2506.4026634141323</v>
      </c>
      <c r="R51">
        <v>5</v>
      </c>
      <c r="S51">
        <v>4272</v>
      </c>
      <c r="T51">
        <v>5</v>
      </c>
      <c r="U51">
        <v>4272</v>
      </c>
      <c r="V51">
        <v>4.1562202639511741</v>
      </c>
      <c r="W51">
        <v>3551.0745935198829</v>
      </c>
      <c r="X51">
        <v>2.9273718431715854</v>
      </c>
      <c r="Y51">
        <v>2501.1465028058024</v>
      </c>
      <c r="Z51">
        <v>3.7700908487623397</v>
      </c>
      <c r="AA51">
        <v>3221.165621182543</v>
      </c>
      <c r="AB51">
        <v>5</v>
      </c>
      <c r="AC51">
        <v>4272</v>
      </c>
      <c r="AD51">
        <v>5</v>
      </c>
      <c r="AE51">
        <v>4272</v>
      </c>
      <c r="AF51">
        <v>5.4232977594785021</v>
      </c>
      <c r="AG51">
        <v>4633.665605698432</v>
      </c>
      <c r="AH51">
        <v>3.3587518031681727</v>
      </c>
      <c r="AI51">
        <v>2869.7175406268866</v>
      </c>
      <c r="AJ51">
        <v>4.6678015645747157</v>
      </c>
      <c r="AK51">
        <v>3988.1696567726372</v>
      </c>
      <c r="AL51">
        <v>1.2931662581370968</v>
      </c>
      <c r="AM51">
        <v>1104.8812509523354</v>
      </c>
      <c r="AN51">
        <v>2.8834849324652696</v>
      </c>
      <c r="AO51">
        <v>2463.6495262983262</v>
      </c>
      <c r="AP51">
        <v>5</v>
      </c>
      <c r="AQ51">
        <v>4272</v>
      </c>
      <c r="AR51">
        <v>5.2253124202756549</v>
      </c>
      <c r="AS51">
        <v>4464.5069318835194</v>
      </c>
      <c r="AT51">
        <v>3.162997973145572</v>
      </c>
      <c r="AU51">
        <v>2702.4654682555765</v>
      </c>
      <c r="AV51">
        <v>3.2590493334464083</v>
      </c>
      <c r="AW51">
        <v>2784.531750496611</v>
      </c>
      <c r="AX51">
        <v>2.139064631263369</v>
      </c>
      <c r="AY51">
        <v>1827.6168209514224</v>
      </c>
      <c r="AZ51">
        <v>5</v>
      </c>
      <c r="BA51">
        <v>4272</v>
      </c>
      <c r="BB51">
        <v>4</v>
      </c>
      <c r="BC51">
        <v>3417.6</v>
      </c>
      <c r="BD51">
        <v>4.3442418631550224</v>
      </c>
      <c r="BE51">
        <v>3711.7202478796512</v>
      </c>
      <c r="BF51">
        <v>2.2817094752742921</v>
      </c>
      <c r="BG51">
        <v>1949.4925756743551</v>
      </c>
      <c r="BH51">
        <v>5</v>
      </c>
      <c r="BI51">
        <v>4272</v>
      </c>
      <c r="BJ51">
        <v>7.1690348290549064</v>
      </c>
      <c r="BK51">
        <v>6125.2233579445119</v>
      </c>
      <c r="BL51">
        <v>1.4211508922726841</v>
      </c>
      <c r="BM51">
        <v>1214.2313223577812</v>
      </c>
      <c r="BN51">
        <v>6</v>
      </c>
      <c r="BO51">
        <v>5126.3999999999996</v>
      </c>
      <c r="BP51">
        <v>4</v>
      </c>
      <c r="BQ51">
        <v>3417.6</v>
      </c>
      <c r="BR51">
        <v>6</v>
      </c>
      <c r="BS51">
        <v>5126.3999999999996</v>
      </c>
      <c r="BT51">
        <v>3.3466534542079662</v>
      </c>
      <c r="BU51">
        <v>2859.3807112752861</v>
      </c>
      <c r="BV51">
        <v>1.5107585406712407</v>
      </c>
      <c r="BW51">
        <v>1290.792097149508</v>
      </c>
      <c r="BX51">
        <v>5</v>
      </c>
      <c r="BY51">
        <v>4272</v>
      </c>
      <c r="BZ51">
        <v>6</v>
      </c>
      <c r="CA51">
        <v>5126.3999999999996</v>
      </c>
      <c r="CB51">
        <v>7</v>
      </c>
      <c r="CC51">
        <v>5980.8</v>
      </c>
      <c r="CD51">
        <v>6.1821809602971749</v>
      </c>
      <c r="CE51">
        <v>5282.0554124779064</v>
      </c>
      <c r="CF51">
        <v>3.8374362232799673</v>
      </c>
      <c r="CG51">
        <v>3278.7055091704037</v>
      </c>
      <c r="CH51">
        <v>3</v>
      </c>
      <c r="CI51">
        <v>2563.1999999999998</v>
      </c>
      <c r="CJ51">
        <v>5</v>
      </c>
      <c r="CK51">
        <v>4272</v>
      </c>
      <c r="CL51">
        <v>7</v>
      </c>
      <c r="CM51">
        <v>5980.8</v>
      </c>
      <c r="CN51">
        <v>4.3982398422668236</v>
      </c>
      <c r="CO51">
        <v>3757.8561212327741</v>
      </c>
      <c r="CP51">
        <v>3.2330572753662787</v>
      </c>
      <c r="CQ51">
        <v>2762.3241360729485</v>
      </c>
      <c r="CR51">
        <v>3.0461698926976433</v>
      </c>
      <c r="CS51">
        <v>2602.6475563208664</v>
      </c>
      <c r="CT51">
        <v>4</v>
      </c>
      <c r="CU51">
        <v>3417.6</v>
      </c>
    </row>
    <row r="52" spans="2:99">
      <c r="C52" s="99" t="s">
        <v>218</v>
      </c>
      <c r="D52">
        <v>4.2279590668066893</v>
      </c>
      <c r="E52">
        <v>2283.0978960756124</v>
      </c>
      <c r="F52">
        <v>2.2882535742178947</v>
      </c>
      <c r="G52">
        <v>1235.6569300776632</v>
      </c>
      <c r="H52">
        <v>3.3794886712670538</v>
      </c>
      <c r="I52">
        <v>1824.9238824842091</v>
      </c>
      <c r="J52">
        <v>5.8105640139779018</v>
      </c>
      <c r="K52">
        <v>3137.7045675480672</v>
      </c>
      <c r="L52">
        <v>4.5066666372776947</v>
      </c>
      <c r="M52">
        <v>2433.5999841299549</v>
      </c>
      <c r="N52">
        <v>4.352541228972612</v>
      </c>
      <c r="O52">
        <v>2350.3722636452103</v>
      </c>
      <c r="P52">
        <v>2.9335237165427581</v>
      </c>
      <c r="Q52">
        <v>1584.1028069330894</v>
      </c>
      <c r="R52">
        <v>4</v>
      </c>
      <c r="S52">
        <v>2160</v>
      </c>
      <c r="T52">
        <v>5</v>
      </c>
      <c r="U52">
        <v>2700</v>
      </c>
      <c r="V52">
        <v>4.1562202639511741</v>
      </c>
      <c r="W52">
        <v>2244.358942533634</v>
      </c>
      <c r="X52">
        <v>2.9273718431715854</v>
      </c>
      <c r="Y52">
        <v>1580.7807953126562</v>
      </c>
      <c r="Z52">
        <v>3.7700908487623397</v>
      </c>
      <c r="AA52">
        <v>2035.8490583316634</v>
      </c>
      <c r="AB52">
        <v>5</v>
      </c>
      <c r="AC52">
        <v>2700</v>
      </c>
      <c r="AD52">
        <v>5</v>
      </c>
      <c r="AE52">
        <v>2700</v>
      </c>
      <c r="AF52">
        <v>6.3271807193915865</v>
      </c>
      <c r="AG52">
        <v>3416.6775884714566</v>
      </c>
      <c r="AH52">
        <v>3.3587518031681727</v>
      </c>
      <c r="AI52">
        <v>1813.7259737108132</v>
      </c>
      <c r="AJ52">
        <v>4.6678015645747157</v>
      </c>
      <c r="AK52">
        <v>2520.6128448703466</v>
      </c>
      <c r="AL52">
        <v>1.6611859134581286</v>
      </c>
      <c r="AM52">
        <v>897.04039326738939</v>
      </c>
      <c r="AN52">
        <v>3.4601819189583236</v>
      </c>
      <c r="AO52">
        <v>1868.4982362374947</v>
      </c>
      <c r="AP52">
        <v>5</v>
      </c>
      <c r="AQ52">
        <v>2700</v>
      </c>
      <c r="AR52">
        <v>5.2002777069116926</v>
      </c>
      <c r="AS52">
        <v>2808.1499617323138</v>
      </c>
      <c r="AT52">
        <v>3.162997973145572</v>
      </c>
      <c r="AU52">
        <v>1708.0189054986088</v>
      </c>
      <c r="AV52">
        <v>3.2590493334464083</v>
      </c>
      <c r="AW52">
        <v>1759.8866400610605</v>
      </c>
      <c r="AX52">
        <v>2.495575403140597</v>
      </c>
      <c r="AY52">
        <v>1347.6107176959224</v>
      </c>
      <c r="AZ52">
        <v>5</v>
      </c>
      <c r="BA52">
        <v>2700</v>
      </c>
      <c r="BB52">
        <v>3</v>
      </c>
      <c r="BC52">
        <v>1620</v>
      </c>
      <c r="BD52">
        <v>5.3934192721771685</v>
      </c>
      <c r="BE52">
        <v>2912.4464069756709</v>
      </c>
      <c r="BF52">
        <v>2.2817094752742921</v>
      </c>
      <c r="BG52">
        <v>1232.1231166481177</v>
      </c>
      <c r="BH52">
        <v>6</v>
      </c>
      <c r="BI52">
        <v>3240</v>
      </c>
      <c r="BJ52">
        <v>7.1690348290549064</v>
      </c>
      <c r="BK52">
        <v>3871.2788076896495</v>
      </c>
      <c r="BL52">
        <v>1.7764386153408551</v>
      </c>
      <c r="BM52">
        <v>959.27685228406176</v>
      </c>
      <c r="BN52">
        <v>6</v>
      </c>
      <c r="BO52">
        <v>3240</v>
      </c>
      <c r="BP52">
        <v>4</v>
      </c>
      <c r="BQ52">
        <v>2160</v>
      </c>
      <c r="BR52">
        <v>6</v>
      </c>
      <c r="BS52">
        <v>3240</v>
      </c>
      <c r="BT52">
        <v>4.3466534542079662</v>
      </c>
      <c r="BU52">
        <v>2347.1928652723018</v>
      </c>
      <c r="BV52">
        <v>1.5107585406712407</v>
      </c>
      <c r="BW52">
        <v>815.80961196246994</v>
      </c>
      <c r="BX52">
        <v>6</v>
      </c>
      <c r="BY52">
        <v>3240</v>
      </c>
      <c r="BZ52">
        <v>7</v>
      </c>
      <c r="CA52">
        <v>3780</v>
      </c>
      <c r="CB52">
        <v>6</v>
      </c>
      <c r="CC52">
        <v>3240</v>
      </c>
      <c r="CD52">
        <v>5.2277262003714684</v>
      </c>
      <c r="CE52">
        <v>2822.972148200593</v>
      </c>
      <c r="CF52">
        <v>4.4770089271599618</v>
      </c>
      <c r="CG52">
        <v>2417.5848206663795</v>
      </c>
      <c r="CH52">
        <v>4</v>
      </c>
      <c r="CI52">
        <v>2160</v>
      </c>
      <c r="CJ52">
        <v>6</v>
      </c>
      <c r="CK52">
        <v>3240</v>
      </c>
      <c r="CL52">
        <v>7</v>
      </c>
      <c r="CM52">
        <v>3780</v>
      </c>
      <c r="CN52">
        <v>5.3982398422668236</v>
      </c>
      <c r="CO52">
        <v>2915.0495148240848</v>
      </c>
      <c r="CP52">
        <v>3.2539464058043404</v>
      </c>
      <c r="CQ52">
        <v>1757.1310591343438</v>
      </c>
      <c r="CR52">
        <v>3.0461698926976433</v>
      </c>
      <c r="CS52">
        <v>1644.9317420567274</v>
      </c>
      <c r="CT52">
        <v>4</v>
      </c>
      <c r="CU52">
        <v>2160</v>
      </c>
    </row>
    <row r="53" spans="2:99">
      <c r="C53" s="99" t="s">
        <v>219</v>
      </c>
      <c r="D53">
        <v>4.2279590668066893</v>
      </c>
      <c r="E53">
        <v>1719.9337483769611</v>
      </c>
      <c r="F53">
        <v>2.2882535742178947</v>
      </c>
      <c r="G53">
        <v>930.86155399183963</v>
      </c>
      <c r="H53">
        <v>3.3934621910287857</v>
      </c>
      <c r="I53">
        <v>1380.4604193105101</v>
      </c>
      <c r="J53">
        <v>6.7789913496408865</v>
      </c>
      <c r="K53">
        <v>2757.6936810339125</v>
      </c>
      <c r="L53">
        <v>4.5288495965071833</v>
      </c>
      <c r="M53">
        <v>1842.3360158591222</v>
      </c>
      <c r="N53">
        <v>3.599769719531611</v>
      </c>
      <c r="O53">
        <v>1464.3863219054595</v>
      </c>
      <c r="P53">
        <v>2.9335237165427581</v>
      </c>
      <c r="Q53">
        <v>1193.3574478895941</v>
      </c>
      <c r="R53">
        <v>4</v>
      </c>
      <c r="S53">
        <v>1627.2</v>
      </c>
      <c r="T53">
        <v>5</v>
      </c>
      <c r="U53">
        <v>2034</v>
      </c>
      <c r="V53">
        <v>4.1562202639511741</v>
      </c>
      <c r="W53">
        <v>1690.7504033753376</v>
      </c>
      <c r="X53">
        <v>2.9273718431715854</v>
      </c>
      <c r="Y53">
        <v>1190.8548658022009</v>
      </c>
      <c r="Z53">
        <v>3.7700908487623397</v>
      </c>
      <c r="AA53">
        <v>1533.6729572765198</v>
      </c>
      <c r="AB53">
        <v>5</v>
      </c>
      <c r="AC53">
        <v>2034</v>
      </c>
      <c r="AD53">
        <v>4</v>
      </c>
      <c r="AE53">
        <v>1627.2</v>
      </c>
      <c r="AF53">
        <v>6.3271807193915865</v>
      </c>
      <c r="AG53">
        <v>2573.8971166484976</v>
      </c>
      <c r="AH53">
        <v>3.3587518031681727</v>
      </c>
      <c r="AI53">
        <v>1366.3402335288126</v>
      </c>
      <c r="AJ53">
        <v>3.922074749419016</v>
      </c>
      <c r="AK53">
        <v>1595.5000080636557</v>
      </c>
      <c r="AL53">
        <v>1.6611859134581286</v>
      </c>
      <c r="AM53">
        <v>675.77042959476671</v>
      </c>
      <c r="AN53">
        <v>3.4601819189583236</v>
      </c>
      <c r="AO53">
        <v>1407.602004632246</v>
      </c>
      <c r="AP53">
        <v>5</v>
      </c>
      <c r="AQ53">
        <v>2034</v>
      </c>
      <c r="AR53">
        <v>5.2253124202756549</v>
      </c>
      <c r="AS53">
        <v>2125.6570925681362</v>
      </c>
      <c r="AT53">
        <v>3.8859966542630109</v>
      </c>
      <c r="AU53">
        <v>1580.8234389541929</v>
      </c>
      <c r="AV53">
        <v>3.232741793285395</v>
      </c>
      <c r="AW53">
        <v>1315.0793615084988</v>
      </c>
      <c r="AX53">
        <v>2.495575403140597</v>
      </c>
      <c r="AY53">
        <v>1015.2000739975949</v>
      </c>
      <c r="AZ53">
        <v>5</v>
      </c>
      <c r="BA53">
        <v>2034</v>
      </c>
      <c r="BB53">
        <v>4</v>
      </c>
      <c r="BC53">
        <v>1627.2</v>
      </c>
      <c r="BD53">
        <v>5.3934192721771685</v>
      </c>
      <c r="BE53">
        <v>2194.0429599216723</v>
      </c>
      <c r="BF53">
        <v>2.6619943878200081</v>
      </c>
      <c r="BG53">
        <v>1082.8993169651794</v>
      </c>
      <c r="BH53">
        <v>5</v>
      </c>
      <c r="BI53">
        <v>2034</v>
      </c>
      <c r="BJ53">
        <v>7.1690348290549064</v>
      </c>
      <c r="BK53">
        <v>2916.3633684595361</v>
      </c>
      <c r="BL53">
        <v>1.7764386153408551</v>
      </c>
      <c r="BM53">
        <v>722.65522872065992</v>
      </c>
      <c r="BN53">
        <v>6</v>
      </c>
      <c r="BO53">
        <v>2440.8000000000002</v>
      </c>
      <c r="BP53">
        <v>3</v>
      </c>
      <c r="BQ53">
        <v>1220.4000000000001</v>
      </c>
      <c r="BR53">
        <v>6</v>
      </c>
      <c r="BS53">
        <v>2440.8000000000002</v>
      </c>
      <c r="BT53">
        <v>3.3466534542079662</v>
      </c>
      <c r="BU53">
        <v>1361.4186251718006</v>
      </c>
      <c r="BV53">
        <v>1.5107585406712407</v>
      </c>
      <c r="BW53">
        <v>614.57657434506075</v>
      </c>
      <c r="BX53">
        <v>5</v>
      </c>
      <c r="BY53">
        <v>2034</v>
      </c>
      <c r="BZ53">
        <v>7</v>
      </c>
      <c r="CA53">
        <v>2847.6</v>
      </c>
      <c r="CB53">
        <v>6</v>
      </c>
      <c r="CC53">
        <v>2440.8000000000002</v>
      </c>
      <c r="CD53">
        <v>5.2049535803343217</v>
      </c>
      <c r="CE53">
        <v>2117.3751164800019</v>
      </c>
      <c r="CF53">
        <v>3.8374362232799673</v>
      </c>
      <c r="CG53">
        <v>1561.0690556302907</v>
      </c>
      <c r="CH53">
        <v>4</v>
      </c>
      <c r="CI53">
        <v>1627.2</v>
      </c>
      <c r="CJ53">
        <v>5</v>
      </c>
      <c r="CK53">
        <v>2034</v>
      </c>
      <c r="CL53">
        <v>6</v>
      </c>
      <c r="CM53">
        <v>2440.8000000000002</v>
      </c>
      <c r="CN53">
        <v>5.3982398422668236</v>
      </c>
      <c r="CO53">
        <v>2196.0039678341441</v>
      </c>
      <c r="CP53">
        <v>3.2539464058043404</v>
      </c>
      <c r="CQ53">
        <v>1323.7053978812057</v>
      </c>
      <c r="CR53">
        <v>2.6110027651694083</v>
      </c>
      <c r="CS53">
        <v>1062.1559248709154</v>
      </c>
      <c r="CT53">
        <v>4</v>
      </c>
      <c r="CU53">
        <v>1627.2</v>
      </c>
    </row>
    <row r="54" spans="2:99">
      <c r="C54" s="99" t="s">
        <v>220</v>
      </c>
      <c r="D54">
        <v>4.2564539501575256</v>
      </c>
      <c r="E54">
        <v>1425.0607825127397</v>
      </c>
      <c r="F54">
        <v>2.3056131689156767</v>
      </c>
      <c r="G54">
        <v>771.9192889529686</v>
      </c>
      <c r="H54">
        <v>3.3934621910287857</v>
      </c>
      <c r="I54">
        <v>1136.1311415564376</v>
      </c>
      <c r="J54">
        <v>7.7474186853038702</v>
      </c>
      <c r="K54">
        <v>2593.835775839736</v>
      </c>
      <c r="L54">
        <v>4.5066666372776947</v>
      </c>
      <c r="M54">
        <v>1508.8319901605723</v>
      </c>
      <c r="N54">
        <v>3.521278561962597</v>
      </c>
      <c r="O54">
        <v>1178.9240625450775</v>
      </c>
      <c r="P54">
        <v>2.9335237165427581</v>
      </c>
      <c r="Q54">
        <v>982.14374029851547</v>
      </c>
      <c r="R54">
        <v>5</v>
      </c>
      <c r="S54">
        <v>1674</v>
      </c>
      <c r="T54">
        <v>5</v>
      </c>
      <c r="U54">
        <v>1674</v>
      </c>
      <c r="V54">
        <v>4.1785374445156283</v>
      </c>
      <c r="W54">
        <v>1398.9743364238325</v>
      </c>
      <c r="X54">
        <v>2.341897474537268</v>
      </c>
      <c r="Y54">
        <v>784.0672744750774</v>
      </c>
      <c r="Z54">
        <v>4.7126135609529243</v>
      </c>
      <c r="AA54">
        <v>1577.783020207039</v>
      </c>
      <c r="AB54">
        <v>5</v>
      </c>
      <c r="AC54">
        <v>1674</v>
      </c>
      <c r="AD54">
        <v>5</v>
      </c>
      <c r="AE54">
        <v>1674</v>
      </c>
      <c r="AF54">
        <v>5.4232977594785021</v>
      </c>
      <c r="AG54">
        <v>1815.7200898734027</v>
      </c>
      <c r="AH54">
        <v>3.3587518031681727</v>
      </c>
      <c r="AI54">
        <v>1124.5101037007043</v>
      </c>
      <c r="AJ54">
        <v>3.922074749419016</v>
      </c>
      <c r="AK54">
        <v>1313.1106261054865</v>
      </c>
      <c r="AL54">
        <v>1.6955690574897653</v>
      </c>
      <c r="AM54">
        <v>567.67652044757347</v>
      </c>
      <c r="AN54">
        <v>2.8834849324652696</v>
      </c>
      <c r="AO54">
        <v>965.39075538937232</v>
      </c>
      <c r="AP54">
        <v>5</v>
      </c>
      <c r="AQ54">
        <v>1674</v>
      </c>
      <c r="AR54">
        <v>5.2002777069116926</v>
      </c>
      <c r="AS54">
        <v>1741.0529762740348</v>
      </c>
      <c r="AT54">
        <v>3.9085802583193292</v>
      </c>
      <c r="AU54">
        <v>1308.5926704853114</v>
      </c>
      <c r="AV54">
        <v>3.2590493334464083</v>
      </c>
      <c r="AW54">
        <v>1091.1297168378576</v>
      </c>
      <c r="AX54">
        <v>2.495575403140597</v>
      </c>
      <c r="AY54">
        <v>835.51864497147187</v>
      </c>
      <c r="AZ54">
        <v>5</v>
      </c>
      <c r="BA54">
        <v>1674</v>
      </c>
      <c r="BB54">
        <v>4</v>
      </c>
      <c r="BC54">
        <v>1339.2</v>
      </c>
      <c r="BD54">
        <v>4.3442418631550224</v>
      </c>
      <c r="BE54">
        <v>1454.4521757843015</v>
      </c>
      <c r="BF54">
        <v>2.2817094752742921</v>
      </c>
      <c r="BG54">
        <v>763.91633232183301</v>
      </c>
      <c r="BH54">
        <v>6</v>
      </c>
      <c r="BI54">
        <v>2008.8000000000002</v>
      </c>
      <c r="BJ54">
        <v>7.1690348290549064</v>
      </c>
      <c r="BK54">
        <v>2400.1928607675827</v>
      </c>
      <c r="BL54">
        <v>1.7764386153408551</v>
      </c>
      <c r="BM54">
        <v>594.75164841611831</v>
      </c>
      <c r="BN54">
        <v>7</v>
      </c>
      <c r="BO54">
        <v>2343.6</v>
      </c>
      <c r="BP54">
        <v>4</v>
      </c>
      <c r="BQ54">
        <v>1339.2</v>
      </c>
      <c r="BR54">
        <v>5</v>
      </c>
      <c r="BS54">
        <v>1674</v>
      </c>
      <c r="BT54">
        <v>3.3961753762376761</v>
      </c>
      <c r="BU54">
        <v>1137.039515964374</v>
      </c>
      <c r="BV54">
        <v>1.5107585406712407</v>
      </c>
      <c r="BW54">
        <v>505.80195941673139</v>
      </c>
      <c r="BX54">
        <v>6</v>
      </c>
      <c r="BY54">
        <v>2008.8000000000002</v>
      </c>
      <c r="BZ54">
        <v>6</v>
      </c>
      <c r="CA54">
        <v>2008.8000000000002</v>
      </c>
      <c r="CB54">
        <v>7</v>
      </c>
      <c r="CC54">
        <v>2343.6</v>
      </c>
      <c r="CD54">
        <v>5.2049535803343217</v>
      </c>
      <c r="CE54">
        <v>1742.6184586959309</v>
      </c>
      <c r="CF54">
        <v>3.8374362232799673</v>
      </c>
      <c r="CG54">
        <v>1284.773647554133</v>
      </c>
      <c r="CH54">
        <v>4</v>
      </c>
      <c r="CI54">
        <v>1339.2</v>
      </c>
      <c r="CJ54">
        <v>5</v>
      </c>
      <c r="CK54">
        <v>1674</v>
      </c>
      <c r="CL54">
        <v>7</v>
      </c>
      <c r="CM54">
        <v>2343.6</v>
      </c>
      <c r="CN54">
        <v>5.4380638264935062</v>
      </c>
      <c r="CO54">
        <v>1820.6637691100259</v>
      </c>
      <c r="CP54">
        <v>3.2539464058043404</v>
      </c>
      <c r="CQ54">
        <v>1089.4212566632932</v>
      </c>
      <c r="CR54">
        <v>3.0461698926976433</v>
      </c>
      <c r="CS54">
        <v>1019.8576800751709</v>
      </c>
      <c r="CT54">
        <v>4</v>
      </c>
      <c r="CU54">
        <v>1339.2</v>
      </c>
    </row>
    <row r="55" spans="2:99">
      <c r="C55" s="99" t="s">
        <v>221</v>
      </c>
      <c r="D55">
        <v>4.2279590668066893</v>
      </c>
      <c r="E55">
        <v>2805.673636732919</v>
      </c>
      <c r="F55">
        <v>2.9757798552668029</v>
      </c>
      <c r="G55">
        <v>1974.7275119550504</v>
      </c>
      <c r="H55">
        <v>3.4074357107905171</v>
      </c>
      <c r="I55">
        <v>2261.1743376805871</v>
      </c>
      <c r="J55">
        <v>6.7789913496408865</v>
      </c>
      <c r="K55">
        <v>4498.5386596216922</v>
      </c>
      <c r="L55">
        <v>4.5288495965071833</v>
      </c>
      <c r="M55">
        <v>3005.344592242167</v>
      </c>
      <c r="N55">
        <v>3.521278561962597</v>
      </c>
      <c r="O55">
        <v>2336.7204537183793</v>
      </c>
      <c r="P55">
        <v>2.9335237165427581</v>
      </c>
      <c r="Q55">
        <v>1946.6863382977745</v>
      </c>
      <c r="R55">
        <v>4</v>
      </c>
      <c r="S55">
        <v>2654.4</v>
      </c>
      <c r="T55">
        <v>5</v>
      </c>
      <c r="U55">
        <v>3318</v>
      </c>
      <c r="V55">
        <v>4.1785374445156283</v>
      </c>
      <c r="W55">
        <v>2772.8774481805708</v>
      </c>
      <c r="X55">
        <v>2.341897474537268</v>
      </c>
      <c r="Y55">
        <v>1554.0831641029311</v>
      </c>
      <c r="Z55">
        <v>4.7126135609529243</v>
      </c>
      <c r="AA55">
        <v>3127.2903590483606</v>
      </c>
      <c r="AB55">
        <v>4</v>
      </c>
      <c r="AC55">
        <v>2654.4</v>
      </c>
      <c r="AD55">
        <v>5</v>
      </c>
      <c r="AE55">
        <v>3318</v>
      </c>
      <c r="AF55">
        <v>6.3271807193915865</v>
      </c>
      <c r="AG55">
        <v>4198.717125388257</v>
      </c>
      <c r="AH55">
        <v>3.3587518031681727</v>
      </c>
      <c r="AI55">
        <v>2228.8676965823993</v>
      </c>
      <c r="AJ55">
        <v>4.6678015645747157</v>
      </c>
      <c r="AK55">
        <v>3097.5531182517816</v>
      </c>
      <c r="AL55">
        <v>1.6783774854739473</v>
      </c>
      <c r="AM55">
        <v>1113.7712993605114</v>
      </c>
      <c r="AN55">
        <v>2.8834849324652696</v>
      </c>
      <c r="AO55">
        <v>1913.480601183953</v>
      </c>
      <c r="AP55">
        <v>5</v>
      </c>
      <c r="AQ55">
        <v>3318</v>
      </c>
      <c r="AR55">
        <v>5.2253124202756549</v>
      </c>
      <c r="AS55">
        <v>3467.5173220949246</v>
      </c>
      <c r="AT55">
        <v>3.162997973145572</v>
      </c>
      <c r="AU55">
        <v>2098.9654549794018</v>
      </c>
      <c r="AV55">
        <v>3.232741793285395</v>
      </c>
      <c r="AW55">
        <v>2145.2474540241883</v>
      </c>
      <c r="AX55">
        <v>2.495575403140597</v>
      </c>
      <c r="AY55">
        <v>1656.0638375241003</v>
      </c>
      <c r="AZ55">
        <v>5</v>
      </c>
      <c r="BA55">
        <v>3318</v>
      </c>
      <c r="BB55">
        <v>4</v>
      </c>
      <c r="BC55">
        <v>2654.4</v>
      </c>
      <c r="BD55">
        <v>5.3442418631550224</v>
      </c>
      <c r="BE55">
        <v>3546.4389003896731</v>
      </c>
      <c r="BF55">
        <v>2.6619943878200081</v>
      </c>
      <c r="BG55">
        <v>1766.4994757573575</v>
      </c>
      <c r="BH55">
        <v>5</v>
      </c>
      <c r="BI55">
        <v>3318</v>
      </c>
      <c r="BJ55">
        <v>6.1690348290549064</v>
      </c>
      <c r="BK55">
        <v>4093.7715125608361</v>
      </c>
      <c r="BL55">
        <v>1.4211508922726841</v>
      </c>
      <c r="BM55">
        <v>943.07573211215322</v>
      </c>
      <c r="BN55">
        <v>7</v>
      </c>
      <c r="BO55">
        <v>4645.2</v>
      </c>
      <c r="BP55">
        <v>3</v>
      </c>
      <c r="BQ55">
        <v>1990.8000000000002</v>
      </c>
      <c r="BR55">
        <v>5</v>
      </c>
      <c r="BS55">
        <v>3318</v>
      </c>
      <c r="BT55">
        <v>3.2971315321782568</v>
      </c>
      <c r="BU55">
        <v>2187.9764847534911</v>
      </c>
      <c r="BV55">
        <v>1.5107585406712407</v>
      </c>
      <c r="BW55">
        <v>1002.5393675894354</v>
      </c>
      <c r="BX55">
        <v>5</v>
      </c>
      <c r="BY55">
        <v>3318</v>
      </c>
      <c r="BZ55">
        <v>6</v>
      </c>
      <c r="CA55">
        <v>3981.6000000000004</v>
      </c>
      <c r="CB55">
        <v>7</v>
      </c>
      <c r="CC55">
        <v>4645.2</v>
      </c>
      <c r="CD55">
        <v>5.1821809602971749</v>
      </c>
      <c r="CE55">
        <v>3438.8952852532052</v>
      </c>
      <c r="CF55">
        <v>3.8374362232799673</v>
      </c>
      <c r="CG55">
        <v>2546.5226777685862</v>
      </c>
      <c r="CH55">
        <v>4</v>
      </c>
      <c r="CI55">
        <v>2654.4</v>
      </c>
      <c r="CJ55">
        <v>5</v>
      </c>
      <c r="CK55">
        <v>3318</v>
      </c>
      <c r="CL55">
        <v>6</v>
      </c>
      <c r="CM55">
        <v>3981.6000000000004</v>
      </c>
      <c r="CN55">
        <v>5.3982398422668236</v>
      </c>
      <c r="CO55">
        <v>3582.2719593282641</v>
      </c>
      <c r="CP55">
        <v>3.2330572753662787</v>
      </c>
      <c r="CQ55">
        <v>2145.4568079330625</v>
      </c>
      <c r="CR55">
        <v>3.0461698926976433</v>
      </c>
      <c r="CS55">
        <v>2021.4383407941561</v>
      </c>
      <c r="CT55">
        <v>4</v>
      </c>
      <c r="CU55">
        <v>2654.4</v>
      </c>
    </row>
    <row r="56" spans="2:99">
      <c r="C56" s="99" t="s">
        <v>222</v>
      </c>
      <c r="D56">
        <v>2.5942803819970353</v>
      </c>
      <c r="E56">
        <v>2546.5456229682895</v>
      </c>
      <c r="F56">
        <v>2.1667913665425163</v>
      </c>
      <c r="G56">
        <v>2126.9224053981338</v>
      </c>
      <c r="H56">
        <v>2.9807243790430569</v>
      </c>
      <c r="I56">
        <v>2925.8790504686644</v>
      </c>
      <c r="J56">
        <v>4.2494721190781757</v>
      </c>
      <c r="K56">
        <v>4171.2818320871365</v>
      </c>
      <c r="L56">
        <v>3.1930139923589751</v>
      </c>
      <c r="M56">
        <v>3134.2625348995698</v>
      </c>
      <c r="N56">
        <v>2.9461354847477765</v>
      </c>
      <c r="O56">
        <v>2891.9265918284173</v>
      </c>
      <c r="P56">
        <v>4.0149390426437046</v>
      </c>
      <c r="Q56">
        <v>3941.0641642590599</v>
      </c>
      <c r="R56">
        <v>2.4918076150119588</v>
      </c>
      <c r="S56">
        <v>2445.9583548957385</v>
      </c>
      <c r="T56">
        <v>3.3299788061678943</v>
      </c>
      <c r="U56">
        <v>3268.707196134405</v>
      </c>
      <c r="V56">
        <v>3.6292080452629492</v>
      </c>
      <c r="W56">
        <v>3562.4306172301108</v>
      </c>
      <c r="X56">
        <v>3.2559213075549978</v>
      </c>
      <c r="Y56">
        <v>3196.0123554959855</v>
      </c>
      <c r="Z56">
        <v>0.77489054379749756</v>
      </c>
      <c r="AA56">
        <v>760.63255779162353</v>
      </c>
      <c r="AB56">
        <v>5.5164968328459985</v>
      </c>
      <c r="AC56">
        <v>5414.993291121632</v>
      </c>
      <c r="AD56">
        <v>1.344914251140793</v>
      </c>
      <c r="AE56">
        <v>1320.1678289198023</v>
      </c>
      <c r="AF56">
        <v>5.703665316220599</v>
      </c>
      <c r="AG56">
        <v>5598.7178744021394</v>
      </c>
      <c r="AH56">
        <v>1.1956479845827148</v>
      </c>
      <c r="AI56">
        <v>1173.6480616663928</v>
      </c>
      <c r="AJ56">
        <v>6</v>
      </c>
      <c r="AK56">
        <v>5889.5999999999995</v>
      </c>
      <c r="AL56">
        <v>4</v>
      </c>
      <c r="AM56">
        <v>3926.3999999999996</v>
      </c>
      <c r="AN56">
        <v>4.6916511660436573</v>
      </c>
      <c r="AO56">
        <v>4605.3247845884534</v>
      </c>
      <c r="AP56">
        <v>0.79082974802118033</v>
      </c>
      <c r="AQ56">
        <v>776.27848065759053</v>
      </c>
      <c r="AR56">
        <v>4</v>
      </c>
      <c r="AS56">
        <v>3926.3999999999996</v>
      </c>
      <c r="AT56">
        <v>3.4363928551547773</v>
      </c>
      <c r="AU56">
        <v>3373.163226619929</v>
      </c>
      <c r="AV56">
        <v>4.8173640957889541</v>
      </c>
      <c r="AW56">
        <v>4728.7245964264366</v>
      </c>
      <c r="AX56">
        <v>1.0333565770023947</v>
      </c>
      <c r="AY56">
        <v>1014.3428159855505</v>
      </c>
      <c r="AZ56">
        <v>2.0529930559847878</v>
      </c>
      <c r="BA56">
        <v>2015.2179837546676</v>
      </c>
      <c r="BB56">
        <v>2.9929130124848795</v>
      </c>
      <c r="BC56">
        <v>2937.8434130551573</v>
      </c>
      <c r="BD56">
        <v>0.72226069472454613</v>
      </c>
      <c r="BE56">
        <v>708.9710979416144</v>
      </c>
      <c r="BF56">
        <v>5.3359241902808527</v>
      </c>
      <c r="BG56">
        <v>5237.7431851796846</v>
      </c>
      <c r="BH56">
        <v>3.1564821754761971</v>
      </c>
      <c r="BI56">
        <v>3098.4029034474347</v>
      </c>
      <c r="BJ56">
        <v>3.5235865258134731</v>
      </c>
      <c r="BK56">
        <v>3458.752533738505</v>
      </c>
      <c r="BL56">
        <v>0.82204671175885835</v>
      </c>
      <c r="BM56">
        <v>806.92105226249532</v>
      </c>
      <c r="BN56">
        <v>7.2942396059703958</v>
      </c>
      <c r="BO56">
        <v>7160.0255972205396</v>
      </c>
      <c r="BP56">
        <v>1.854981346947173</v>
      </c>
      <c r="BQ56">
        <v>1820.8496901633448</v>
      </c>
      <c r="BR56">
        <v>5</v>
      </c>
      <c r="BS56">
        <v>4908</v>
      </c>
      <c r="BT56">
        <v>3.0569873778151773</v>
      </c>
      <c r="BU56">
        <v>3000.7388100633775</v>
      </c>
      <c r="BV56">
        <v>3.100910616731519</v>
      </c>
      <c r="BW56">
        <v>3043.8538613836586</v>
      </c>
      <c r="BX56">
        <v>0.74477383121781815</v>
      </c>
      <c r="BY56">
        <v>731.06999272341022</v>
      </c>
      <c r="BZ56">
        <v>3.9302762635270527</v>
      </c>
      <c r="CA56">
        <v>3857.9591802781547</v>
      </c>
      <c r="CB56">
        <v>5.3522950062852832</v>
      </c>
      <c r="CC56">
        <v>5253.8127781696339</v>
      </c>
      <c r="CD56">
        <v>4.8134406432363086</v>
      </c>
      <c r="CE56">
        <v>4724.87333540076</v>
      </c>
      <c r="CF56">
        <v>0.89250785848104619</v>
      </c>
      <c r="CG56">
        <v>876.0857138849949</v>
      </c>
      <c r="CH56">
        <v>0.46647891840510525</v>
      </c>
      <c r="CI56">
        <v>457.89570630645125</v>
      </c>
      <c r="CJ56">
        <v>5</v>
      </c>
      <c r="CK56">
        <v>4908</v>
      </c>
      <c r="CL56">
        <v>6.7189362019424896</v>
      </c>
      <c r="CM56">
        <v>6595.3077758267473</v>
      </c>
      <c r="CN56">
        <v>2.5786510412817405</v>
      </c>
      <c r="CO56">
        <v>2531.2038621221564</v>
      </c>
      <c r="CP56">
        <v>4.08370337476559</v>
      </c>
      <c r="CQ56">
        <v>4008.5632326699028</v>
      </c>
      <c r="CR56">
        <v>3.9730541018360888</v>
      </c>
      <c r="CS56">
        <v>3899.9499063623043</v>
      </c>
      <c r="CT56">
        <v>1.7650913121588709</v>
      </c>
      <c r="CU56">
        <v>1732.6136320151475</v>
      </c>
    </row>
    <row r="57" spans="2:99">
      <c r="C57" s="99" t="s">
        <v>223</v>
      </c>
      <c r="D57">
        <v>4.2279590668066893</v>
      </c>
      <c r="E57">
        <v>5966.4958350776005</v>
      </c>
      <c r="F57">
        <v>2.9931394499645849</v>
      </c>
      <c r="G57">
        <v>4223.9183917900227</v>
      </c>
      <c r="H57">
        <v>2.5590701630333208</v>
      </c>
      <c r="I57">
        <v>3611.3598140726226</v>
      </c>
      <c r="J57">
        <v>5.8105640139779018</v>
      </c>
      <c r="K57">
        <v>8199.8679365256157</v>
      </c>
      <c r="L57">
        <v>4.5066666372776947</v>
      </c>
      <c r="M57">
        <v>6359.8079585262831</v>
      </c>
      <c r="N57">
        <v>4.3132956501881061</v>
      </c>
      <c r="O57">
        <v>6086.9228215454559</v>
      </c>
      <c r="P57">
        <v>2.9335237165427581</v>
      </c>
      <c r="Q57">
        <v>4139.7886687851405</v>
      </c>
      <c r="R57">
        <v>5</v>
      </c>
      <c r="S57">
        <v>7056</v>
      </c>
      <c r="T57">
        <v>5</v>
      </c>
      <c r="U57">
        <v>7056</v>
      </c>
      <c r="V57">
        <v>4.1339030833867207</v>
      </c>
      <c r="W57">
        <v>5833.7640312753401</v>
      </c>
      <c r="X57">
        <v>2.9273718431715854</v>
      </c>
      <c r="Y57">
        <v>4131.1071450837417</v>
      </c>
      <c r="Z57">
        <v>3.7700908487623397</v>
      </c>
      <c r="AA57">
        <v>5320.3522057734135</v>
      </c>
      <c r="AB57">
        <v>5</v>
      </c>
      <c r="AC57">
        <v>7056</v>
      </c>
      <c r="AD57">
        <v>5</v>
      </c>
      <c r="AE57">
        <v>7056</v>
      </c>
      <c r="AF57">
        <v>5.4232977594785021</v>
      </c>
      <c r="AG57">
        <v>7653.3577981760627</v>
      </c>
      <c r="AH57">
        <v>3.3587518031681727</v>
      </c>
      <c r="AI57">
        <v>4739.870544630925</v>
      </c>
      <c r="AJ57">
        <v>3.922074749419016</v>
      </c>
      <c r="AK57">
        <v>5534.831886380116</v>
      </c>
      <c r="AL57">
        <v>1.6783774854739473</v>
      </c>
      <c r="AM57">
        <v>2368.5263075008343</v>
      </c>
      <c r="AN57">
        <v>3.4601819189583236</v>
      </c>
      <c r="AO57">
        <v>4883.0087240339863</v>
      </c>
      <c r="AP57">
        <v>5</v>
      </c>
      <c r="AQ57">
        <v>7056</v>
      </c>
      <c r="AR57">
        <v>4.2002777069116926</v>
      </c>
      <c r="AS57">
        <v>5927.4318999937805</v>
      </c>
      <c r="AT57">
        <v>3.8634130502066935</v>
      </c>
      <c r="AU57">
        <v>5452.0484964516863</v>
      </c>
      <c r="AV57">
        <v>3.2590493334464083</v>
      </c>
      <c r="AW57">
        <v>4599.1704193595715</v>
      </c>
      <c r="AX57">
        <v>2.495575403140597</v>
      </c>
      <c r="AY57">
        <v>3521.7560089120107</v>
      </c>
      <c r="AZ57">
        <v>5</v>
      </c>
      <c r="BA57">
        <v>7056</v>
      </c>
      <c r="BB57">
        <v>4</v>
      </c>
      <c r="BC57">
        <v>5644.8</v>
      </c>
      <c r="BD57">
        <v>4.3442418631550224</v>
      </c>
      <c r="BE57">
        <v>6130.5941172843677</v>
      </c>
      <c r="BF57">
        <v>2.2817094752742921</v>
      </c>
      <c r="BG57">
        <v>3219.9484115070813</v>
      </c>
      <c r="BH57">
        <v>5</v>
      </c>
      <c r="BI57">
        <v>7056</v>
      </c>
      <c r="BJ57">
        <v>7.1690348290549064</v>
      </c>
      <c r="BK57">
        <v>10116.941950762284</v>
      </c>
      <c r="BL57">
        <v>1.7764386153408551</v>
      </c>
      <c r="BM57">
        <v>2506.910173969015</v>
      </c>
      <c r="BN57">
        <v>7</v>
      </c>
      <c r="BO57">
        <v>9878.4</v>
      </c>
      <c r="BP57">
        <v>4</v>
      </c>
      <c r="BQ57">
        <v>5644.8</v>
      </c>
      <c r="BR57">
        <v>6</v>
      </c>
      <c r="BS57">
        <v>8467.2000000000007</v>
      </c>
      <c r="BT57">
        <v>3.2971315321782568</v>
      </c>
      <c r="BU57">
        <v>4652.9120182099559</v>
      </c>
      <c r="BV57">
        <v>1.1330689055034304</v>
      </c>
      <c r="BW57">
        <v>1598.9868394464411</v>
      </c>
      <c r="BX57">
        <v>5</v>
      </c>
      <c r="BY57">
        <v>7056</v>
      </c>
      <c r="BZ57">
        <v>6</v>
      </c>
      <c r="CA57">
        <v>8467.2000000000007</v>
      </c>
      <c r="CB57">
        <v>6</v>
      </c>
      <c r="CC57">
        <v>8467.2000000000007</v>
      </c>
      <c r="CD57">
        <v>5.1821809602971749</v>
      </c>
      <c r="CE57">
        <v>7313.0937711713732</v>
      </c>
      <c r="CF57">
        <v>3.8374362232799673</v>
      </c>
      <c r="CG57">
        <v>5415.3899982926896</v>
      </c>
      <c r="CH57">
        <v>4</v>
      </c>
      <c r="CI57">
        <v>5644.8</v>
      </c>
      <c r="CJ57">
        <v>5</v>
      </c>
      <c r="CK57">
        <v>7056</v>
      </c>
      <c r="CL57">
        <v>6</v>
      </c>
      <c r="CM57">
        <v>8467.2000000000007</v>
      </c>
      <c r="CN57">
        <v>5.4380638264935062</v>
      </c>
      <c r="CO57">
        <v>7674.1956719476366</v>
      </c>
      <c r="CP57">
        <v>2.7771602732962566</v>
      </c>
      <c r="CQ57">
        <v>3919.1285776756772</v>
      </c>
      <c r="CR57">
        <v>3.0461698926976433</v>
      </c>
      <c r="CS57">
        <v>4298.7549525749146</v>
      </c>
      <c r="CT57">
        <v>3</v>
      </c>
      <c r="CU57">
        <v>4233.6000000000004</v>
      </c>
    </row>
    <row r="58" spans="2:99">
      <c r="C58" s="99" t="s">
        <v>224</v>
      </c>
      <c r="D58">
        <v>4</v>
      </c>
      <c r="E58">
        <v>4708.8</v>
      </c>
      <c r="F58">
        <v>3</v>
      </c>
      <c r="G58">
        <v>3531.6000000000004</v>
      </c>
      <c r="H58">
        <v>3</v>
      </c>
      <c r="I58">
        <v>3531.6000000000004</v>
      </c>
      <c r="J58">
        <v>7</v>
      </c>
      <c r="K58">
        <v>8240.4</v>
      </c>
      <c r="L58">
        <v>5</v>
      </c>
      <c r="M58">
        <v>5886</v>
      </c>
      <c r="N58">
        <v>5</v>
      </c>
      <c r="O58">
        <v>5886</v>
      </c>
      <c r="P58">
        <v>5</v>
      </c>
      <c r="Q58">
        <v>5886</v>
      </c>
      <c r="R58">
        <v>4.0457116670677813</v>
      </c>
      <c r="S58">
        <v>4762.6117744721923</v>
      </c>
      <c r="T58">
        <v>5.2841554221820237</v>
      </c>
      <c r="U58">
        <v>6220.5077629926782</v>
      </c>
      <c r="V58">
        <v>3.4405869747152376</v>
      </c>
      <c r="W58">
        <v>4050.258986634778</v>
      </c>
      <c r="X58">
        <v>4.1500485618010057</v>
      </c>
      <c r="Y58">
        <v>4885.4371669521443</v>
      </c>
      <c r="Z58">
        <v>4</v>
      </c>
      <c r="AA58">
        <v>4708.8</v>
      </c>
      <c r="AB58">
        <v>5.1416601723985949</v>
      </c>
      <c r="AC58">
        <v>6052.7623549476257</v>
      </c>
      <c r="AD58">
        <v>5</v>
      </c>
      <c r="AE58">
        <v>5886</v>
      </c>
      <c r="AF58">
        <v>6</v>
      </c>
      <c r="AG58">
        <v>7063.2000000000007</v>
      </c>
      <c r="AH58">
        <v>5</v>
      </c>
      <c r="AI58">
        <v>5886</v>
      </c>
      <c r="AJ58">
        <v>6</v>
      </c>
      <c r="AK58">
        <v>7063.2000000000007</v>
      </c>
      <c r="AL58">
        <v>3</v>
      </c>
      <c r="AM58">
        <v>3531.6000000000004</v>
      </c>
      <c r="AN58">
        <v>6</v>
      </c>
      <c r="AO58">
        <v>7063.2000000000007</v>
      </c>
      <c r="AP58">
        <v>5.0567129332502176</v>
      </c>
      <c r="AQ58">
        <v>5952.762465022156</v>
      </c>
      <c r="AR58">
        <v>4</v>
      </c>
      <c r="AS58">
        <v>4708.8</v>
      </c>
      <c r="AT58">
        <v>5.1548910975477353</v>
      </c>
      <c r="AU58">
        <v>6068.3378000331941</v>
      </c>
      <c r="AV58">
        <v>4.0430686522712778</v>
      </c>
      <c r="AW58">
        <v>4759.500417453748</v>
      </c>
      <c r="AX58">
        <v>7</v>
      </c>
      <c r="AY58">
        <v>8240.4</v>
      </c>
      <c r="AZ58">
        <v>5</v>
      </c>
      <c r="BA58">
        <v>5886</v>
      </c>
      <c r="BB58">
        <v>3.3994083243396469</v>
      </c>
      <c r="BC58">
        <v>4001.7834794126325</v>
      </c>
      <c r="BD58">
        <v>4.2965459914332786</v>
      </c>
      <c r="BE58">
        <v>5057.893941115256</v>
      </c>
      <c r="BF58">
        <v>6</v>
      </c>
      <c r="BG58">
        <v>7063.2000000000007</v>
      </c>
      <c r="BH58">
        <v>5</v>
      </c>
      <c r="BI58">
        <v>5886</v>
      </c>
      <c r="BJ58">
        <v>6.2985155169200553</v>
      </c>
      <c r="BK58">
        <v>7414.6124665182897</v>
      </c>
      <c r="BL58">
        <v>4</v>
      </c>
      <c r="BM58">
        <v>4708.8</v>
      </c>
      <c r="BN58">
        <v>6</v>
      </c>
      <c r="BO58">
        <v>7063.2000000000007</v>
      </c>
      <c r="BP58">
        <v>3</v>
      </c>
      <c r="BQ58">
        <v>3531.6000000000004</v>
      </c>
      <c r="BR58">
        <v>6</v>
      </c>
      <c r="BS58">
        <v>7063.2000000000007</v>
      </c>
      <c r="BT58">
        <v>3</v>
      </c>
      <c r="BU58">
        <v>3531.6000000000004</v>
      </c>
      <c r="BV58">
        <v>3.2825478537105264</v>
      </c>
      <c r="BW58">
        <v>3864.2153333880319</v>
      </c>
      <c r="BX58">
        <v>5.2900936914464234</v>
      </c>
      <c r="BY58">
        <v>6227.4982935707294</v>
      </c>
      <c r="BZ58">
        <v>6.2676761898158135</v>
      </c>
      <c r="CA58">
        <v>7378.308410651176</v>
      </c>
      <c r="CB58">
        <v>5.0365621135340568</v>
      </c>
      <c r="CC58">
        <v>5929.0409200522918</v>
      </c>
      <c r="CD58">
        <v>4.0286443408869488</v>
      </c>
      <c r="CE58">
        <v>4742.5201180921167</v>
      </c>
      <c r="CF58">
        <v>6</v>
      </c>
      <c r="CG58">
        <v>7063.2000000000007</v>
      </c>
      <c r="CH58">
        <v>2.4302454386196337</v>
      </c>
      <c r="CI58">
        <v>2860.8849303430329</v>
      </c>
      <c r="CJ58">
        <v>4.2465211695315244</v>
      </c>
      <c r="CK58">
        <v>4999.0047207725111</v>
      </c>
      <c r="CL58">
        <v>0.93466839234864485</v>
      </c>
      <c r="CM58">
        <v>1100.2916314728247</v>
      </c>
      <c r="CN58">
        <v>5</v>
      </c>
      <c r="CO58">
        <v>5886</v>
      </c>
      <c r="CP58">
        <v>6</v>
      </c>
      <c r="CQ58">
        <v>7063.2000000000007</v>
      </c>
      <c r="CR58">
        <v>6.6548187265561234</v>
      </c>
      <c r="CS58">
        <v>7834.052604901869</v>
      </c>
      <c r="CT58">
        <v>1.3151380793850684</v>
      </c>
      <c r="CU58">
        <v>1548.1805470521026</v>
      </c>
    </row>
    <row r="59" spans="2:99">
      <c r="C59" s="99" t="s">
        <v>225</v>
      </c>
      <c r="D59">
        <v>4.2564539501575256</v>
      </c>
      <c r="E59">
        <v>1292.2594192678246</v>
      </c>
      <c r="F59">
        <v>3.0104990446623674</v>
      </c>
      <c r="G59">
        <v>913.98750995949467</v>
      </c>
      <c r="H59">
        <v>3.3934621910287857</v>
      </c>
      <c r="I59">
        <v>1030.2551211963391</v>
      </c>
      <c r="J59">
        <v>6.7789913496408865</v>
      </c>
      <c r="K59">
        <v>2058.1017737509728</v>
      </c>
      <c r="L59">
        <v>5.3725072299660512</v>
      </c>
      <c r="M59">
        <v>1631.093195017693</v>
      </c>
      <c r="N59">
        <v>4.3917868077571196</v>
      </c>
      <c r="O59">
        <v>1333.3464748350614</v>
      </c>
      <c r="P59">
        <v>2.9335237165427581</v>
      </c>
      <c r="Q59">
        <v>890.61780034238132</v>
      </c>
      <c r="R59">
        <v>4</v>
      </c>
      <c r="S59">
        <v>1214.3999999999999</v>
      </c>
      <c r="T59">
        <v>5</v>
      </c>
      <c r="U59">
        <v>1517.9999999999998</v>
      </c>
      <c r="V59">
        <v>4.1562202639511741</v>
      </c>
      <c r="W59">
        <v>1261.8284721355762</v>
      </c>
      <c r="X59">
        <v>2.9273718431715854</v>
      </c>
      <c r="Y59">
        <v>888.75009158689318</v>
      </c>
      <c r="Z59">
        <v>4.7126135609529243</v>
      </c>
      <c r="AA59">
        <v>1430.7494771053077</v>
      </c>
      <c r="AB59">
        <v>5</v>
      </c>
      <c r="AC59">
        <v>1517.9999999999998</v>
      </c>
      <c r="AD59">
        <v>5</v>
      </c>
      <c r="AE59">
        <v>1517.9999999999998</v>
      </c>
      <c r="AF59">
        <v>5.4232977594785021</v>
      </c>
      <c r="AG59">
        <v>1646.513199777673</v>
      </c>
      <c r="AH59">
        <v>3.3587518031681727</v>
      </c>
      <c r="AI59">
        <v>1019.7170474418571</v>
      </c>
      <c r="AJ59">
        <v>3.9462548336240801</v>
      </c>
      <c r="AK59">
        <v>1198.0829674882707</v>
      </c>
      <c r="AL59">
        <v>1.2931662581370968</v>
      </c>
      <c r="AM59">
        <v>392.60527597042255</v>
      </c>
      <c r="AN59">
        <v>3.4601819189583236</v>
      </c>
      <c r="AO59">
        <v>1050.5112305957468</v>
      </c>
      <c r="AP59">
        <v>5</v>
      </c>
      <c r="AQ59">
        <v>1517.9999999999998</v>
      </c>
      <c r="AR59">
        <v>5.2002777069116926</v>
      </c>
      <c r="AS59">
        <v>1578.8043118183896</v>
      </c>
      <c r="AT59">
        <v>3.162997973145572</v>
      </c>
      <c r="AU59">
        <v>960.28618464699559</v>
      </c>
      <c r="AV59">
        <v>2.6440700229825462</v>
      </c>
      <c r="AW59">
        <v>802.73965897750099</v>
      </c>
      <c r="AX59">
        <v>2.495575403140597</v>
      </c>
      <c r="AY59">
        <v>757.65669239348517</v>
      </c>
      <c r="AZ59">
        <v>5</v>
      </c>
      <c r="BA59">
        <v>1517.9999999999998</v>
      </c>
      <c r="BB59">
        <v>4</v>
      </c>
      <c r="BC59">
        <v>1214.3999999999999</v>
      </c>
      <c r="BD59">
        <v>5.3442418631550224</v>
      </c>
      <c r="BE59">
        <v>1622.5118296538647</v>
      </c>
      <c r="BF59">
        <v>2.6619943878200081</v>
      </c>
      <c r="BG59">
        <v>808.1814961421544</v>
      </c>
      <c r="BH59">
        <v>5</v>
      </c>
      <c r="BI59">
        <v>1517.9999999999998</v>
      </c>
      <c r="BJ59">
        <v>6.1690348290549064</v>
      </c>
      <c r="BK59">
        <v>1872.9189741010694</v>
      </c>
      <c r="BL59">
        <v>1.7764386153408551</v>
      </c>
      <c r="BM59">
        <v>539.32676361748361</v>
      </c>
      <c r="BN59">
        <v>7</v>
      </c>
      <c r="BO59">
        <v>2125.1999999999998</v>
      </c>
      <c r="BP59">
        <v>4</v>
      </c>
      <c r="BQ59">
        <v>1214.3999999999999</v>
      </c>
      <c r="BR59">
        <v>6</v>
      </c>
      <c r="BS59">
        <v>1821.6</v>
      </c>
      <c r="BT59">
        <v>4.3466534542079662</v>
      </c>
      <c r="BU59">
        <v>1319.6439886975384</v>
      </c>
      <c r="BV59">
        <v>1.5107585406712407</v>
      </c>
      <c r="BW59">
        <v>458.66629294778863</v>
      </c>
      <c r="BX59">
        <v>5</v>
      </c>
      <c r="BY59">
        <v>1517.9999999999998</v>
      </c>
      <c r="BZ59">
        <v>7</v>
      </c>
      <c r="CA59">
        <v>2125.1999999999998</v>
      </c>
      <c r="CB59">
        <v>7</v>
      </c>
      <c r="CC59">
        <v>2125.1999999999998</v>
      </c>
      <c r="CD59">
        <v>5.2277262003714684</v>
      </c>
      <c r="CE59">
        <v>1587.1376744327777</v>
      </c>
      <c r="CF59">
        <v>3.8374362232799673</v>
      </c>
      <c r="CG59">
        <v>1165.045637387798</v>
      </c>
      <c r="CH59">
        <v>4</v>
      </c>
      <c r="CI59">
        <v>1214.3999999999999</v>
      </c>
      <c r="CJ59">
        <v>5</v>
      </c>
      <c r="CK59">
        <v>1517.9999999999998</v>
      </c>
      <c r="CL59">
        <v>7</v>
      </c>
      <c r="CM59">
        <v>2125.1999999999998</v>
      </c>
      <c r="CN59">
        <v>4.4380638264935062</v>
      </c>
      <c r="CO59">
        <v>1347.3961777234283</v>
      </c>
      <c r="CP59">
        <v>3.2539464058043404</v>
      </c>
      <c r="CQ59">
        <v>987.89812880219768</v>
      </c>
      <c r="CR59">
        <v>3.0461698926976433</v>
      </c>
      <c r="CS59">
        <v>924.8171794230044</v>
      </c>
      <c r="CT59">
        <v>4</v>
      </c>
      <c r="CU59">
        <v>1214.3999999999999</v>
      </c>
    </row>
    <row r="60" spans="2:99">
      <c r="C60" s="99" t="s">
        <v>226</v>
      </c>
      <c r="D60">
        <v>4.2564539501575256</v>
      </c>
      <c r="E60">
        <v>2773.5053939226436</v>
      </c>
      <c r="F60">
        <v>2.2882535742178947</v>
      </c>
      <c r="G60">
        <v>1491.0260289603802</v>
      </c>
      <c r="H60">
        <v>3.4074357107905171</v>
      </c>
      <c r="I60">
        <v>2220.2851091511011</v>
      </c>
      <c r="J60">
        <v>6.7789913496408865</v>
      </c>
      <c r="K60">
        <v>4417.1907634260015</v>
      </c>
      <c r="L60">
        <v>4.5066666372776947</v>
      </c>
      <c r="M60">
        <v>2936.543980850146</v>
      </c>
      <c r="N60">
        <v>3.5605241407471033</v>
      </c>
      <c r="O60">
        <v>2320.0375301108124</v>
      </c>
      <c r="P60">
        <v>2.9335237165427581</v>
      </c>
      <c r="Q60">
        <v>1911.4840536992613</v>
      </c>
      <c r="R60">
        <v>5</v>
      </c>
      <c r="S60">
        <v>3258</v>
      </c>
      <c r="T60">
        <v>6</v>
      </c>
      <c r="U60">
        <v>3909.6000000000004</v>
      </c>
      <c r="V60">
        <v>4.1562202639511741</v>
      </c>
      <c r="W60">
        <v>2708.1931239905853</v>
      </c>
      <c r="X60">
        <v>2.9273718431715854</v>
      </c>
      <c r="Y60">
        <v>1907.4754930106051</v>
      </c>
      <c r="Z60">
        <v>4.7126135609529243</v>
      </c>
      <c r="AA60">
        <v>3070.7389963169257</v>
      </c>
      <c r="AB60">
        <v>5</v>
      </c>
      <c r="AC60">
        <v>3258</v>
      </c>
      <c r="AD60">
        <v>5</v>
      </c>
      <c r="AE60">
        <v>3258</v>
      </c>
      <c r="AF60">
        <v>5.4232977594785021</v>
      </c>
      <c r="AG60">
        <v>3533.8208200761919</v>
      </c>
      <c r="AH60">
        <v>3.3587518031681727</v>
      </c>
      <c r="AI60">
        <v>2188.5626749443813</v>
      </c>
      <c r="AJ60">
        <v>4.6919816487797803</v>
      </c>
      <c r="AK60">
        <v>3057.2952423449051</v>
      </c>
      <c r="AL60">
        <v>1.6783774854739473</v>
      </c>
      <c r="AM60">
        <v>1093.6307695348241</v>
      </c>
      <c r="AN60">
        <v>2.8834849324652696</v>
      </c>
      <c r="AO60">
        <v>1878.8787819943698</v>
      </c>
      <c r="AP60">
        <v>5</v>
      </c>
      <c r="AQ60">
        <v>3258</v>
      </c>
      <c r="AR60">
        <v>4.2253124202756549</v>
      </c>
      <c r="AS60">
        <v>2753.213573051617</v>
      </c>
      <c r="AT60">
        <v>3.9085802583193292</v>
      </c>
      <c r="AU60">
        <v>2546.8308963208751</v>
      </c>
      <c r="AV60">
        <v>3.2590493334464083</v>
      </c>
      <c r="AW60">
        <v>2123.5965456736799</v>
      </c>
      <c r="AX60">
        <v>2.495575403140597</v>
      </c>
      <c r="AY60">
        <v>1626.1169326864131</v>
      </c>
      <c r="AZ60">
        <v>5</v>
      </c>
      <c r="BA60">
        <v>3258</v>
      </c>
      <c r="BB60">
        <v>4</v>
      </c>
      <c r="BC60">
        <v>2606.4</v>
      </c>
      <c r="BD60">
        <v>4.3442418631550224</v>
      </c>
      <c r="BE60">
        <v>2830.7079980318126</v>
      </c>
      <c r="BF60">
        <v>2.2817094752742921</v>
      </c>
      <c r="BG60">
        <v>1486.7618940887287</v>
      </c>
      <c r="BH60">
        <v>5</v>
      </c>
      <c r="BI60">
        <v>3258</v>
      </c>
      <c r="BJ60">
        <v>7.1690348290549064</v>
      </c>
      <c r="BK60">
        <v>4671.3430946121771</v>
      </c>
      <c r="BL60">
        <v>1.7764386153408551</v>
      </c>
      <c r="BM60">
        <v>1157.5274017561012</v>
      </c>
      <c r="BN60">
        <v>6</v>
      </c>
      <c r="BO60">
        <v>3909.6000000000004</v>
      </c>
      <c r="BP60">
        <v>4</v>
      </c>
      <c r="BQ60">
        <v>2606.4</v>
      </c>
      <c r="BR60">
        <v>5</v>
      </c>
      <c r="BS60">
        <v>3258</v>
      </c>
      <c r="BT60">
        <v>4.2971315321782573</v>
      </c>
      <c r="BU60">
        <v>2800.0109063673526</v>
      </c>
      <c r="BV60">
        <v>1.5107585406712407</v>
      </c>
      <c r="BW60">
        <v>984.41026510138045</v>
      </c>
      <c r="BX60">
        <v>5</v>
      </c>
      <c r="BY60">
        <v>3258</v>
      </c>
      <c r="BZ60">
        <v>7</v>
      </c>
      <c r="CA60">
        <v>4561.2</v>
      </c>
      <c r="CB60">
        <v>6</v>
      </c>
      <c r="CC60">
        <v>3909.6000000000004</v>
      </c>
      <c r="CD60">
        <v>5.1821809602971749</v>
      </c>
      <c r="CE60">
        <v>3376.7091137296393</v>
      </c>
      <c r="CF60">
        <v>3.8374362232799673</v>
      </c>
      <c r="CG60">
        <v>2500.4734430892267</v>
      </c>
      <c r="CH60">
        <v>4</v>
      </c>
      <c r="CI60">
        <v>2606.4</v>
      </c>
      <c r="CJ60">
        <v>5</v>
      </c>
      <c r="CK60">
        <v>3258</v>
      </c>
      <c r="CL60">
        <v>6</v>
      </c>
      <c r="CM60">
        <v>3909.6000000000004</v>
      </c>
      <c r="CN60">
        <v>5.3982398422668236</v>
      </c>
      <c r="CO60">
        <v>3517.4930812210623</v>
      </c>
      <c r="CP60">
        <v>3.2330572753662787</v>
      </c>
      <c r="CQ60">
        <v>2106.6601206286673</v>
      </c>
      <c r="CR60">
        <v>3.0461698926976433</v>
      </c>
      <c r="CS60">
        <v>1984.8843020817844</v>
      </c>
      <c r="CT60">
        <v>3</v>
      </c>
      <c r="CU60">
        <v>1954.8000000000002</v>
      </c>
    </row>
    <row r="61" spans="2:99">
      <c r="C61" s="99" t="s">
        <v>227</v>
      </c>
      <c r="D61">
        <v>4.199464183455853</v>
      </c>
      <c r="E61">
        <v>3996.2101169765892</v>
      </c>
      <c r="F61">
        <v>3.0104990446623674</v>
      </c>
      <c r="G61">
        <v>2864.7908909007087</v>
      </c>
      <c r="H61">
        <v>3.3934621910287857</v>
      </c>
      <c r="I61">
        <v>3229.218620982992</v>
      </c>
      <c r="J61">
        <v>5.8105640139779018</v>
      </c>
      <c r="K61">
        <v>5529.3327157013709</v>
      </c>
      <c r="L61">
        <v>4.5066666372776947</v>
      </c>
      <c r="M61">
        <v>4288.5439720334534</v>
      </c>
      <c r="N61">
        <v>4.352541228972612</v>
      </c>
      <c r="O61">
        <v>4141.8782334903372</v>
      </c>
      <c r="P61">
        <v>2.9335237165427581</v>
      </c>
      <c r="Q61">
        <v>2791.5411686620882</v>
      </c>
      <c r="R61">
        <v>5</v>
      </c>
      <c r="S61">
        <v>4758</v>
      </c>
      <c r="T61">
        <v>5</v>
      </c>
      <c r="U61">
        <v>4758</v>
      </c>
      <c r="V61">
        <v>4.1785374445156283</v>
      </c>
      <c r="W61">
        <v>3976.2962322010717</v>
      </c>
      <c r="X61">
        <v>2.9273718431715854</v>
      </c>
      <c r="Y61">
        <v>2785.6870459620804</v>
      </c>
      <c r="Z61">
        <v>3.7700908487623397</v>
      </c>
      <c r="AA61">
        <v>3587.6184516822423</v>
      </c>
      <c r="AB61">
        <v>5</v>
      </c>
      <c r="AC61">
        <v>4758</v>
      </c>
      <c r="AD61">
        <v>4</v>
      </c>
      <c r="AE61">
        <v>3806.3999999999996</v>
      </c>
      <c r="AF61">
        <v>6.3271807193915865</v>
      </c>
      <c r="AG61">
        <v>6020.9451725730332</v>
      </c>
      <c r="AH61">
        <v>3.3587518031681727</v>
      </c>
      <c r="AI61">
        <v>3196.1882158948329</v>
      </c>
      <c r="AJ61">
        <v>3.9462548336240801</v>
      </c>
      <c r="AK61">
        <v>3755.2560996766742</v>
      </c>
      <c r="AL61">
        <v>1.2931662581370968</v>
      </c>
      <c r="AM61">
        <v>1230.5770112432613</v>
      </c>
      <c r="AN61">
        <v>3.4601819189583236</v>
      </c>
      <c r="AO61">
        <v>3292.7091140807406</v>
      </c>
      <c r="AP61">
        <v>5</v>
      </c>
      <c r="AQ61">
        <v>4758</v>
      </c>
      <c r="AR61">
        <v>4.2253124202756549</v>
      </c>
      <c r="AS61">
        <v>4020.8072991343129</v>
      </c>
      <c r="AT61">
        <v>3.9085802583193292</v>
      </c>
      <c r="AU61">
        <v>3719.4049738166732</v>
      </c>
      <c r="AV61">
        <v>3.2590493334464083</v>
      </c>
      <c r="AW61">
        <v>3101.311345707602</v>
      </c>
      <c r="AX61">
        <v>2.139064631263369</v>
      </c>
      <c r="AY61">
        <v>2035.5339031102217</v>
      </c>
      <c r="AZ61">
        <v>5</v>
      </c>
      <c r="BA61">
        <v>4758</v>
      </c>
      <c r="BB61">
        <v>3</v>
      </c>
      <c r="BC61">
        <v>2854.7999999999997</v>
      </c>
      <c r="BD61">
        <v>4.3442418631550224</v>
      </c>
      <c r="BE61">
        <v>4133.9805569783193</v>
      </c>
      <c r="BF61">
        <v>1.9014245627285769</v>
      </c>
      <c r="BG61">
        <v>1809.3956138925137</v>
      </c>
      <c r="BH61">
        <v>5</v>
      </c>
      <c r="BI61">
        <v>4758</v>
      </c>
      <c r="BJ61">
        <v>7.1690348290549064</v>
      </c>
      <c r="BK61">
        <v>6822.0535433286486</v>
      </c>
      <c r="BL61">
        <v>1.4211508922726841</v>
      </c>
      <c r="BM61">
        <v>1352.367189086686</v>
      </c>
      <c r="BN61">
        <v>6</v>
      </c>
      <c r="BO61">
        <v>5709.5999999999995</v>
      </c>
      <c r="BP61">
        <v>4</v>
      </c>
      <c r="BQ61">
        <v>3806.3999999999996</v>
      </c>
      <c r="BR61">
        <v>5</v>
      </c>
      <c r="BS61">
        <v>4758</v>
      </c>
      <c r="BT61">
        <v>4.2971315321782573</v>
      </c>
      <c r="BU61">
        <v>4089.1503660208291</v>
      </c>
      <c r="BV61">
        <v>1.5107585406712407</v>
      </c>
      <c r="BW61">
        <v>1437.6378273027526</v>
      </c>
      <c r="BX61">
        <v>5</v>
      </c>
      <c r="BY61">
        <v>4758</v>
      </c>
      <c r="BZ61">
        <v>6</v>
      </c>
      <c r="CA61">
        <v>5709.5999999999995</v>
      </c>
      <c r="CB61">
        <v>6</v>
      </c>
      <c r="CC61">
        <v>5709.5999999999995</v>
      </c>
      <c r="CD61">
        <v>6.2049535803343217</v>
      </c>
      <c r="CE61">
        <v>5904.6338270461401</v>
      </c>
      <c r="CF61">
        <v>3.8374362232799673</v>
      </c>
      <c r="CG61">
        <v>3651.7043100732167</v>
      </c>
      <c r="CH61">
        <v>3</v>
      </c>
      <c r="CI61">
        <v>2854.7999999999997</v>
      </c>
      <c r="CJ61">
        <v>5</v>
      </c>
      <c r="CK61">
        <v>4758</v>
      </c>
      <c r="CL61">
        <v>6</v>
      </c>
      <c r="CM61">
        <v>5709.5999999999995</v>
      </c>
      <c r="CN61">
        <v>5.4380638264935062</v>
      </c>
      <c r="CO61">
        <v>5174.86153729122</v>
      </c>
      <c r="CP61">
        <v>2.7980494037343182</v>
      </c>
      <c r="CQ61">
        <v>2662.623812593577</v>
      </c>
      <c r="CR61">
        <v>2.6110027651694083</v>
      </c>
      <c r="CS61">
        <v>2484.6302313352089</v>
      </c>
      <c r="CT61">
        <v>4</v>
      </c>
      <c r="CU61">
        <v>3806.3999999999996</v>
      </c>
    </row>
    <row r="62" spans="2:99">
      <c r="C62" s="99" t="s">
        <v>228</v>
      </c>
      <c r="D62">
        <v>2.5942803819970353</v>
      </c>
      <c r="E62">
        <v>4330.3728136294512</v>
      </c>
      <c r="F62">
        <v>2.1532457083519101</v>
      </c>
      <c r="G62">
        <v>3594.1977363810083</v>
      </c>
      <c r="H62">
        <v>2.2384383638828091</v>
      </c>
      <c r="I62">
        <v>3736.401316993185</v>
      </c>
      <c r="J62">
        <v>3.6392667335037405</v>
      </c>
      <c r="K62">
        <v>6074.6640315644436</v>
      </c>
      <c r="L62">
        <v>2.5676540075155931</v>
      </c>
      <c r="M62">
        <v>4285.9280693450282</v>
      </c>
      <c r="N62">
        <v>2.3569083877982209</v>
      </c>
      <c r="O62">
        <v>3934.1514809127902</v>
      </c>
      <c r="P62">
        <v>4.2479190952617518</v>
      </c>
      <c r="Q62">
        <v>7090.6265538109164</v>
      </c>
      <c r="R62">
        <v>3.0950239760565275</v>
      </c>
      <c r="S62">
        <v>5166.2140208335559</v>
      </c>
      <c r="T62">
        <v>3.3449197372334831</v>
      </c>
      <c r="U62">
        <v>5583.34002539013</v>
      </c>
      <c r="V62">
        <v>3.600618423134661</v>
      </c>
      <c r="W62">
        <v>6010.1522718963761</v>
      </c>
      <c r="X62">
        <v>2.6081490935217864</v>
      </c>
      <c r="Y62">
        <v>4353.5224669065656</v>
      </c>
      <c r="Z62">
        <v>0.77489054379749756</v>
      </c>
      <c r="AA62">
        <v>1293.4472957067831</v>
      </c>
      <c r="AB62">
        <v>5.4695425753145441</v>
      </c>
      <c r="AC62">
        <v>9129.7604667150372</v>
      </c>
      <c r="AD62">
        <v>1.0759314009126344</v>
      </c>
      <c r="AE62">
        <v>1795.9446944033693</v>
      </c>
      <c r="AF62">
        <v>5.6702082153451272</v>
      </c>
      <c r="AG62">
        <v>9464.7115530540868</v>
      </c>
      <c r="AH62">
        <v>0.95651838766617192</v>
      </c>
      <c r="AI62">
        <v>1596.6204926923742</v>
      </c>
      <c r="AJ62">
        <v>5</v>
      </c>
      <c r="AK62">
        <v>8346</v>
      </c>
      <c r="AL62">
        <v>3</v>
      </c>
      <c r="AM62">
        <v>5007.6000000000004</v>
      </c>
      <c r="AN62">
        <v>3.9266603948529699</v>
      </c>
      <c r="AO62">
        <v>6554.3815310885775</v>
      </c>
      <c r="AP62">
        <v>0.79082974802118033</v>
      </c>
      <c r="AQ62">
        <v>1320.0530153969542</v>
      </c>
      <c r="AR62">
        <v>5</v>
      </c>
      <c r="AS62">
        <v>8346</v>
      </c>
      <c r="AT62">
        <v>3.4363928551547773</v>
      </c>
      <c r="AU62">
        <v>5736.0269538243547</v>
      </c>
      <c r="AV62">
        <v>4.8173640957889541</v>
      </c>
      <c r="AW62">
        <v>8041.1441486909225</v>
      </c>
      <c r="AX62">
        <v>1.0333565770023947</v>
      </c>
      <c r="AY62">
        <v>1724.8787983323973</v>
      </c>
      <c r="AZ62">
        <v>2.0693044915246817</v>
      </c>
      <c r="BA62">
        <v>3454.0830572529985</v>
      </c>
      <c r="BB62">
        <v>2.9754978869439981</v>
      </c>
      <c r="BC62">
        <v>4966.7010728869218</v>
      </c>
      <c r="BD62">
        <v>0.57780855577963686</v>
      </c>
      <c r="BE62">
        <v>964.47804130736984</v>
      </c>
      <c r="BF62">
        <v>5.3680120879299169</v>
      </c>
      <c r="BG62">
        <v>8960.2857771726176</v>
      </c>
      <c r="BH62">
        <v>3.1564821754761971</v>
      </c>
      <c r="BI62">
        <v>5268.8000473048687</v>
      </c>
      <c r="BJ62">
        <v>3.5235865258134731</v>
      </c>
      <c r="BK62">
        <v>5881.5706288878491</v>
      </c>
      <c r="BL62">
        <v>0.65763736940708672</v>
      </c>
      <c r="BM62">
        <v>1097.7282970143092</v>
      </c>
      <c r="BN62">
        <v>6.2942396059703958</v>
      </c>
      <c r="BO62">
        <v>10506.344750285785</v>
      </c>
      <c r="BP62">
        <v>1.3912360102103798</v>
      </c>
      <c r="BQ62">
        <v>2322.251148243166</v>
      </c>
      <c r="BR62">
        <v>5</v>
      </c>
      <c r="BS62">
        <v>8346</v>
      </c>
      <c r="BT62">
        <v>3.0381188257208147</v>
      </c>
      <c r="BU62">
        <v>5071.2279438931837</v>
      </c>
      <c r="BV62">
        <v>2.3458346017419118</v>
      </c>
      <c r="BW62">
        <v>3915.6671172275992</v>
      </c>
      <c r="BX62">
        <v>0.74477383121781815</v>
      </c>
      <c r="BY62">
        <v>1243.1764790687821</v>
      </c>
      <c r="BZ62">
        <v>3.9302762635270527</v>
      </c>
      <c r="CA62">
        <v>6560.4171390793563</v>
      </c>
      <c r="CB62">
        <v>5.3522950062852832</v>
      </c>
      <c r="CC62">
        <v>8934.0508244913945</v>
      </c>
      <c r="CD62">
        <v>4.8134406432363086</v>
      </c>
      <c r="CE62">
        <v>8034.5951216900467</v>
      </c>
      <c r="CF62">
        <v>0.74375654873420516</v>
      </c>
      <c r="CG62">
        <v>1241.4784311471353</v>
      </c>
      <c r="CH62">
        <v>0.34985918880382888</v>
      </c>
      <c r="CI62">
        <v>583.98495795135113</v>
      </c>
      <c r="CJ62">
        <v>5</v>
      </c>
      <c r="CK62">
        <v>8346</v>
      </c>
      <c r="CL62">
        <v>5.7590881730935628</v>
      </c>
      <c r="CM62">
        <v>9613.0699785277757</v>
      </c>
      <c r="CN62">
        <v>3.1935791765426678</v>
      </c>
      <c r="CO62">
        <v>5330.7223614850209</v>
      </c>
      <c r="CP62">
        <v>4.7321064463756688</v>
      </c>
      <c r="CQ62">
        <v>7898.8320802902663</v>
      </c>
      <c r="CR62">
        <v>3.3961269162954846</v>
      </c>
      <c r="CS62">
        <v>5668.8150486804234</v>
      </c>
      <c r="CT62">
        <v>1.7421638803109833</v>
      </c>
      <c r="CU62">
        <v>2908.0199490150935</v>
      </c>
    </row>
    <row r="63" spans="2:99">
      <c r="C63" s="99" t="s">
        <v>229</v>
      </c>
      <c r="D63">
        <v>4.2279590668066893</v>
      </c>
      <c r="E63">
        <v>3363.764233551402</v>
      </c>
      <c r="F63">
        <v>2.2882535742178947</v>
      </c>
      <c r="G63">
        <v>1820.5345436477571</v>
      </c>
      <c r="H63">
        <v>3.3934621910287857</v>
      </c>
      <c r="I63">
        <v>2699.8385191825018</v>
      </c>
      <c r="J63">
        <v>6.7789913496408865</v>
      </c>
      <c r="K63">
        <v>5393.3655177742894</v>
      </c>
      <c r="L63">
        <v>3.6408260445893372</v>
      </c>
      <c r="M63">
        <v>2896.641201075277</v>
      </c>
      <c r="N63">
        <v>4.352541228972612</v>
      </c>
      <c r="O63">
        <v>3462.8818017706103</v>
      </c>
      <c r="P63">
        <v>2.9335237165427581</v>
      </c>
      <c r="Q63">
        <v>2333.9114688814184</v>
      </c>
      <c r="R63">
        <v>4</v>
      </c>
      <c r="S63">
        <v>3182.4</v>
      </c>
      <c r="T63">
        <v>5</v>
      </c>
      <c r="U63">
        <v>3978</v>
      </c>
      <c r="V63">
        <v>4.1785374445156283</v>
      </c>
      <c r="W63">
        <v>3324.4443908566341</v>
      </c>
      <c r="X63">
        <v>2.341897474537268</v>
      </c>
      <c r="Y63">
        <v>1863.2136307418505</v>
      </c>
      <c r="Z63">
        <v>3.7700908487623397</v>
      </c>
      <c r="AA63">
        <v>2999.4842792753175</v>
      </c>
      <c r="AB63">
        <v>5</v>
      </c>
      <c r="AC63">
        <v>3978</v>
      </c>
      <c r="AD63">
        <v>5</v>
      </c>
      <c r="AE63">
        <v>3978</v>
      </c>
      <c r="AF63">
        <v>5.4232977594785021</v>
      </c>
      <c r="AG63">
        <v>4314.7756974410968</v>
      </c>
      <c r="AH63">
        <v>3.3587518031681727</v>
      </c>
      <c r="AI63">
        <v>2672.2229346005984</v>
      </c>
      <c r="AJ63">
        <v>3.922074749419016</v>
      </c>
      <c r="AK63">
        <v>3120.402670637769</v>
      </c>
      <c r="AL63">
        <v>1.2931662581370968</v>
      </c>
      <c r="AM63">
        <v>1028.8430749738743</v>
      </c>
      <c r="AN63">
        <v>3.4601819189583236</v>
      </c>
      <c r="AO63">
        <v>2752.9207347232423</v>
      </c>
      <c r="AP63">
        <v>5</v>
      </c>
      <c r="AQ63">
        <v>3978</v>
      </c>
      <c r="AR63">
        <v>5.2253124202756549</v>
      </c>
      <c r="AS63">
        <v>4157.2585615713115</v>
      </c>
      <c r="AT63">
        <v>3.162997973145572</v>
      </c>
      <c r="AU63">
        <v>2516.4811874346169</v>
      </c>
      <c r="AV63">
        <v>3.232741793285395</v>
      </c>
      <c r="AW63">
        <v>2571.9693707378606</v>
      </c>
      <c r="AX63">
        <v>2.495575403140597</v>
      </c>
      <c r="AY63">
        <v>1985.4797907386589</v>
      </c>
      <c r="AZ63">
        <v>6</v>
      </c>
      <c r="BA63">
        <v>4773.6000000000004</v>
      </c>
      <c r="BB63">
        <v>4</v>
      </c>
      <c r="BC63">
        <v>3182.4</v>
      </c>
      <c r="BD63">
        <v>4.3442418631550224</v>
      </c>
      <c r="BE63">
        <v>3456.2788263261359</v>
      </c>
      <c r="BF63">
        <v>2.2817094752742921</v>
      </c>
      <c r="BG63">
        <v>1815.3280585282268</v>
      </c>
      <c r="BH63">
        <v>5</v>
      </c>
      <c r="BI63">
        <v>3978</v>
      </c>
      <c r="BJ63">
        <v>7.1690348290549064</v>
      </c>
      <c r="BK63">
        <v>5703.6841099960839</v>
      </c>
      <c r="BL63">
        <v>1.7764386153408551</v>
      </c>
      <c r="BM63">
        <v>1413.3345623651844</v>
      </c>
      <c r="BN63">
        <v>6</v>
      </c>
      <c r="BO63">
        <v>4773.6000000000004</v>
      </c>
      <c r="BP63">
        <v>3</v>
      </c>
      <c r="BQ63">
        <v>2386.8000000000002</v>
      </c>
      <c r="BR63">
        <v>5</v>
      </c>
      <c r="BS63">
        <v>3978</v>
      </c>
      <c r="BT63">
        <v>3.3466534542079662</v>
      </c>
      <c r="BU63">
        <v>2662.597488167858</v>
      </c>
      <c r="BV63">
        <v>1.1330689055034304</v>
      </c>
      <c r="BW63">
        <v>901.46962121852926</v>
      </c>
      <c r="BX63">
        <v>5</v>
      </c>
      <c r="BY63">
        <v>3978</v>
      </c>
      <c r="BZ63">
        <v>6</v>
      </c>
      <c r="CA63">
        <v>4773.6000000000004</v>
      </c>
      <c r="CB63">
        <v>7</v>
      </c>
      <c r="CC63">
        <v>5569.2</v>
      </c>
      <c r="CD63">
        <v>5.1821809602971749</v>
      </c>
      <c r="CE63">
        <v>4122.9431720124321</v>
      </c>
      <c r="CF63">
        <v>3.8374362232799673</v>
      </c>
      <c r="CG63">
        <v>3053.064259241542</v>
      </c>
      <c r="CH63">
        <v>4</v>
      </c>
      <c r="CI63">
        <v>3182.4</v>
      </c>
      <c r="CJ63">
        <v>5</v>
      </c>
      <c r="CK63">
        <v>3978</v>
      </c>
      <c r="CL63">
        <v>6</v>
      </c>
      <c r="CM63">
        <v>4773.6000000000004</v>
      </c>
      <c r="CN63">
        <v>5.3982398422668236</v>
      </c>
      <c r="CO63">
        <v>4294.8396185074853</v>
      </c>
      <c r="CP63">
        <v>3.2121681449282167</v>
      </c>
      <c r="CQ63">
        <v>2555.6009761048895</v>
      </c>
      <c r="CR63">
        <v>3.0461698926976433</v>
      </c>
      <c r="CS63">
        <v>2423.5327666302451</v>
      </c>
      <c r="CT63">
        <v>4</v>
      </c>
      <c r="CU63">
        <v>3182.4</v>
      </c>
    </row>
    <row r="64" spans="2:99">
      <c r="C64" s="99" t="s">
        <v>230</v>
      </c>
      <c r="D64">
        <v>4.199464183455853</v>
      </c>
      <c r="E64">
        <v>4238.0992539436465</v>
      </c>
      <c r="F64">
        <v>2.2708939795201126</v>
      </c>
      <c r="G64">
        <v>2291.7862041316971</v>
      </c>
      <c r="H64">
        <v>3.3934621910287857</v>
      </c>
      <c r="I64">
        <v>3424.6820431862498</v>
      </c>
      <c r="J64">
        <v>5.8105640139779018</v>
      </c>
      <c r="K64">
        <v>5864.0212029064978</v>
      </c>
      <c r="L64">
        <v>4.5066666372776947</v>
      </c>
      <c r="M64">
        <v>4548.127970340649</v>
      </c>
      <c r="N64">
        <v>3.5605241407471033</v>
      </c>
      <c r="O64">
        <v>3593.2809628419759</v>
      </c>
      <c r="P64">
        <v>2.9335237165427581</v>
      </c>
      <c r="Q64">
        <v>2960.5121347349509</v>
      </c>
      <c r="R64">
        <v>5</v>
      </c>
      <c r="S64">
        <v>5045.9999999999991</v>
      </c>
      <c r="T64">
        <v>5</v>
      </c>
      <c r="U64">
        <v>5045.9999999999991</v>
      </c>
      <c r="V64">
        <v>4.1785374445156283</v>
      </c>
      <c r="W64">
        <v>4216.9799890051709</v>
      </c>
      <c r="X64">
        <v>2.341897474537268</v>
      </c>
      <c r="Y64">
        <v>2363.4429313030105</v>
      </c>
      <c r="Z64">
        <v>4.7126135609529243</v>
      </c>
      <c r="AA64">
        <v>4755.9696057136907</v>
      </c>
      <c r="AB64">
        <v>4</v>
      </c>
      <c r="AC64">
        <v>4036.7999999999993</v>
      </c>
      <c r="AD64">
        <v>5</v>
      </c>
      <c r="AE64">
        <v>5045.9999999999991</v>
      </c>
      <c r="AF64">
        <v>5.4232977594785021</v>
      </c>
      <c r="AG64">
        <v>5473.192098865703</v>
      </c>
      <c r="AH64">
        <v>3.3587518031681727</v>
      </c>
      <c r="AI64">
        <v>3389.6523197573192</v>
      </c>
      <c r="AJ64">
        <v>3.922074749419016</v>
      </c>
      <c r="AK64">
        <v>3958.1578371136702</v>
      </c>
      <c r="AL64">
        <v>1.2931662581370968</v>
      </c>
      <c r="AM64">
        <v>1305.0633877119578</v>
      </c>
      <c r="AN64">
        <v>2.8834849324652696</v>
      </c>
      <c r="AO64">
        <v>2910.0129938439495</v>
      </c>
      <c r="AP64">
        <v>5</v>
      </c>
      <c r="AQ64">
        <v>5045.9999999999991</v>
      </c>
      <c r="AR64">
        <v>5.2253124202756549</v>
      </c>
      <c r="AS64">
        <v>5273.3852945421904</v>
      </c>
      <c r="AT64">
        <v>3.162997973145572</v>
      </c>
      <c r="AU64">
        <v>3192.0975544985108</v>
      </c>
      <c r="AV64">
        <v>3.232741793285395</v>
      </c>
      <c r="AW64">
        <v>3262.4830177836202</v>
      </c>
      <c r="AX64">
        <v>2.495575403140597</v>
      </c>
      <c r="AY64">
        <v>2518.53469684949</v>
      </c>
      <c r="AZ64">
        <v>5</v>
      </c>
      <c r="BA64">
        <v>5045.9999999999991</v>
      </c>
      <c r="BB64">
        <v>4</v>
      </c>
      <c r="BC64">
        <v>4036.7999999999993</v>
      </c>
      <c r="BD64">
        <v>5.3934192721771685</v>
      </c>
      <c r="BE64">
        <v>5443.0387294811972</v>
      </c>
      <c r="BF64">
        <v>2.2817094752742921</v>
      </c>
      <c r="BG64">
        <v>2302.7012024468154</v>
      </c>
      <c r="BH64">
        <v>5</v>
      </c>
      <c r="BI64">
        <v>5045.9999999999991</v>
      </c>
      <c r="BJ64">
        <v>6.140862357545755</v>
      </c>
      <c r="BK64">
        <v>6197.3582912351749</v>
      </c>
      <c r="BL64">
        <v>1.7764386153408551</v>
      </c>
      <c r="BM64">
        <v>1792.7818506019908</v>
      </c>
      <c r="BN64">
        <v>6</v>
      </c>
      <c r="BO64">
        <v>6055.1999999999989</v>
      </c>
      <c r="BP64">
        <v>4</v>
      </c>
      <c r="BQ64">
        <v>4036.7999999999993</v>
      </c>
      <c r="BR64">
        <v>6</v>
      </c>
      <c r="BS64">
        <v>6055.1999999999989</v>
      </c>
      <c r="BT64">
        <v>4.3466534542079662</v>
      </c>
      <c r="BU64">
        <v>4386.6426659866784</v>
      </c>
      <c r="BV64">
        <v>1.5107585406712407</v>
      </c>
      <c r="BW64">
        <v>1524.6575192454159</v>
      </c>
      <c r="BX64">
        <v>5</v>
      </c>
      <c r="BY64">
        <v>5045.9999999999991</v>
      </c>
      <c r="BZ64">
        <v>6</v>
      </c>
      <c r="CA64">
        <v>6055.1999999999989</v>
      </c>
      <c r="CB64">
        <v>7</v>
      </c>
      <c r="CC64">
        <v>7064.3999999999987</v>
      </c>
      <c r="CD64">
        <v>5.1821809602971749</v>
      </c>
      <c r="CE64">
        <v>5229.8570251319079</v>
      </c>
      <c r="CF64">
        <v>3.1978635193999727</v>
      </c>
      <c r="CG64">
        <v>3227.2838637784521</v>
      </c>
      <c r="CH64">
        <v>4</v>
      </c>
      <c r="CI64">
        <v>4036.7999999999993</v>
      </c>
      <c r="CJ64">
        <v>5</v>
      </c>
      <c r="CK64">
        <v>5045.9999999999991</v>
      </c>
      <c r="CL64">
        <v>6</v>
      </c>
      <c r="CM64">
        <v>6055.1999999999989</v>
      </c>
      <c r="CN64">
        <v>4.4380638264935062</v>
      </c>
      <c r="CO64">
        <v>4478.894013697246</v>
      </c>
      <c r="CP64">
        <v>2.7771602732962566</v>
      </c>
      <c r="CQ64">
        <v>2802.7101478105815</v>
      </c>
      <c r="CR64">
        <v>2.6110027651694083</v>
      </c>
      <c r="CS64">
        <v>2635.0239906089664</v>
      </c>
      <c r="CT64">
        <v>4</v>
      </c>
      <c r="CU64">
        <v>4036.7999999999993</v>
      </c>
    </row>
    <row r="65" spans="2:99">
      <c r="C65" s="99" t="s">
        <v>231</v>
      </c>
      <c r="D65">
        <v>4.2279590668066893</v>
      </c>
      <c r="E65">
        <v>4337.8860025436634</v>
      </c>
      <c r="F65">
        <v>2.2882535742178947</v>
      </c>
      <c r="G65">
        <v>2347.7481671475598</v>
      </c>
      <c r="H65">
        <v>3.3794886712670538</v>
      </c>
      <c r="I65">
        <v>3467.3553767199974</v>
      </c>
      <c r="J65">
        <v>5.8105640139779018</v>
      </c>
      <c r="K65">
        <v>5961.6386783413272</v>
      </c>
      <c r="L65">
        <v>4.5066666372776947</v>
      </c>
      <c r="M65">
        <v>4623.8399698469148</v>
      </c>
      <c r="N65">
        <v>4.3132956501881061</v>
      </c>
      <c r="O65">
        <v>4425.4413370929969</v>
      </c>
      <c r="P65">
        <v>2.9335237165427581</v>
      </c>
      <c r="Q65">
        <v>3009.79533317287</v>
      </c>
      <c r="R65">
        <v>5</v>
      </c>
      <c r="S65">
        <v>5130</v>
      </c>
      <c r="T65">
        <v>5</v>
      </c>
      <c r="U65">
        <v>5130</v>
      </c>
      <c r="V65">
        <v>4.1562202639511741</v>
      </c>
      <c r="W65">
        <v>4264.2819908139045</v>
      </c>
      <c r="X65">
        <v>2.9273718431715854</v>
      </c>
      <c r="Y65">
        <v>3003.4835110940467</v>
      </c>
      <c r="Z65">
        <v>4.7126135609529243</v>
      </c>
      <c r="AA65">
        <v>4835.1415135377001</v>
      </c>
      <c r="AB65">
        <v>5</v>
      </c>
      <c r="AC65">
        <v>5130</v>
      </c>
      <c r="AD65">
        <v>5</v>
      </c>
      <c r="AE65">
        <v>5130</v>
      </c>
      <c r="AF65">
        <v>5.4232977594785021</v>
      </c>
      <c r="AG65">
        <v>5564.3035012249429</v>
      </c>
      <c r="AH65">
        <v>3.3587518031681727</v>
      </c>
      <c r="AI65">
        <v>3446.0793500505451</v>
      </c>
      <c r="AJ65">
        <v>4.6919816487797803</v>
      </c>
      <c r="AK65">
        <v>4813.9731716480546</v>
      </c>
      <c r="AL65">
        <v>1.6783774854739473</v>
      </c>
      <c r="AM65">
        <v>1722.0153000962698</v>
      </c>
      <c r="AN65">
        <v>2.8834849324652696</v>
      </c>
      <c r="AO65">
        <v>2958.4555407093667</v>
      </c>
      <c r="AP65">
        <v>5</v>
      </c>
      <c r="AQ65">
        <v>5130</v>
      </c>
      <c r="AR65">
        <v>5.2253124202756549</v>
      </c>
      <c r="AS65">
        <v>5361.170543202822</v>
      </c>
      <c r="AT65">
        <v>3.1404143690892536</v>
      </c>
      <c r="AU65">
        <v>3222.0651426855743</v>
      </c>
      <c r="AV65">
        <v>2.6177624828215329</v>
      </c>
      <c r="AW65">
        <v>2685.8243073748927</v>
      </c>
      <c r="AX65">
        <v>2.495575403140597</v>
      </c>
      <c r="AY65">
        <v>2560.4603636222523</v>
      </c>
      <c r="AZ65">
        <v>5</v>
      </c>
      <c r="BA65">
        <v>5130</v>
      </c>
      <c r="BB65">
        <v>3</v>
      </c>
      <c r="BC65">
        <v>3078</v>
      </c>
      <c r="BD65">
        <v>5.3442418631550224</v>
      </c>
      <c r="BE65">
        <v>5483.1921515970525</v>
      </c>
      <c r="BF65">
        <v>2.2817094752742921</v>
      </c>
      <c r="BG65">
        <v>2341.0339216314237</v>
      </c>
      <c r="BH65">
        <v>5</v>
      </c>
      <c r="BI65">
        <v>5130</v>
      </c>
      <c r="BJ65">
        <v>6.140862357545755</v>
      </c>
      <c r="BK65">
        <v>6300.5247788419447</v>
      </c>
      <c r="BL65">
        <v>1.7764386153408551</v>
      </c>
      <c r="BM65">
        <v>1822.6260193397175</v>
      </c>
      <c r="BN65">
        <v>6</v>
      </c>
      <c r="BO65">
        <v>6156</v>
      </c>
      <c r="BP65">
        <v>4</v>
      </c>
      <c r="BQ65">
        <v>4104</v>
      </c>
      <c r="BR65">
        <v>6</v>
      </c>
      <c r="BS65">
        <v>6156</v>
      </c>
      <c r="BT65">
        <v>4.3466534542079662</v>
      </c>
      <c r="BU65">
        <v>4459.6664440173736</v>
      </c>
      <c r="BV65">
        <v>1.5107585406712407</v>
      </c>
      <c r="BW65">
        <v>1550.0382627286929</v>
      </c>
      <c r="BX65">
        <v>5</v>
      </c>
      <c r="BY65">
        <v>5130</v>
      </c>
      <c r="BZ65">
        <v>6</v>
      </c>
      <c r="CA65">
        <v>6156</v>
      </c>
      <c r="CB65">
        <v>6</v>
      </c>
      <c r="CC65">
        <v>6156</v>
      </c>
      <c r="CD65">
        <v>5.1821809602971749</v>
      </c>
      <c r="CE65">
        <v>5316.9176652649012</v>
      </c>
      <c r="CF65">
        <v>4.4770089271599618</v>
      </c>
      <c r="CG65">
        <v>4593.4111592661211</v>
      </c>
      <c r="CH65">
        <v>3</v>
      </c>
      <c r="CI65">
        <v>3078</v>
      </c>
      <c r="CJ65">
        <v>5</v>
      </c>
      <c r="CK65">
        <v>5130</v>
      </c>
      <c r="CL65">
        <v>6</v>
      </c>
      <c r="CM65">
        <v>6156</v>
      </c>
      <c r="CN65">
        <v>5.3982398422668236</v>
      </c>
      <c r="CO65">
        <v>5538.5940781657609</v>
      </c>
      <c r="CP65">
        <v>3.2330572753662787</v>
      </c>
      <c r="CQ65">
        <v>3317.116764525802</v>
      </c>
      <c r="CR65">
        <v>2.6110027651694083</v>
      </c>
      <c r="CS65">
        <v>2678.8888370638128</v>
      </c>
      <c r="CT65">
        <v>4</v>
      </c>
      <c r="CU65">
        <v>4104</v>
      </c>
    </row>
    <row r="66" spans="2:99">
      <c r="C66" s="99" t="s">
        <v>232</v>
      </c>
      <c r="D66">
        <v>4.2279590668066893</v>
      </c>
      <c r="E66">
        <v>5032.9624731266822</v>
      </c>
      <c r="F66">
        <v>2.9757798552668029</v>
      </c>
      <c r="G66">
        <v>3542.368339709602</v>
      </c>
      <c r="H66">
        <v>3.4074357107905171</v>
      </c>
      <c r="I66">
        <v>4056.2114701250312</v>
      </c>
      <c r="J66">
        <v>5.8105640139779018</v>
      </c>
      <c r="K66">
        <v>6916.8954022392936</v>
      </c>
      <c r="L66">
        <v>4.5288495965071833</v>
      </c>
      <c r="M66">
        <v>5391.14255968215</v>
      </c>
      <c r="N66">
        <v>4.3132956501881061</v>
      </c>
      <c r="O66">
        <v>5134.5471419839214</v>
      </c>
      <c r="P66">
        <v>2.9335237165427581</v>
      </c>
      <c r="Q66">
        <v>3492.0666321724989</v>
      </c>
      <c r="R66">
        <v>5</v>
      </c>
      <c r="S66">
        <v>5951.9999999999991</v>
      </c>
      <c r="T66">
        <v>5</v>
      </c>
      <c r="U66">
        <v>5951.9999999999991</v>
      </c>
      <c r="V66">
        <v>4.1562202639511741</v>
      </c>
      <c r="W66">
        <v>4947.564602207477</v>
      </c>
      <c r="X66">
        <v>2.341897474537268</v>
      </c>
      <c r="Y66">
        <v>2787.7947536891634</v>
      </c>
      <c r="Z66">
        <v>3.7700908487623397</v>
      </c>
      <c r="AA66">
        <v>4487.9161463666887</v>
      </c>
      <c r="AB66">
        <v>5</v>
      </c>
      <c r="AC66">
        <v>5951.9999999999991</v>
      </c>
      <c r="AD66">
        <v>4</v>
      </c>
      <c r="AE66">
        <v>4761.5999999999995</v>
      </c>
      <c r="AF66">
        <v>5.4232977594785021</v>
      </c>
      <c r="AG66">
        <v>6455.8936528832082</v>
      </c>
      <c r="AH66">
        <v>3.3587518031681727</v>
      </c>
      <c r="AI66">
        <v>3998.2581464913924</v>
      </c>
      <c r="AJ66">
        <v>4.6678015645747157</v>
      </c>
      <c r="AK66">
        <v>5556.550982469741</v>
      </c>
      <c r="AL66">
        <v>1.2931662581370968</v>
      </c>
      <c r="AM66">
        <v>1539.3851136864</v>
      </c>
      <c r="AN66">
        <v>2.8834849324652696</v>
      </c>
      <c r="AO66">
        <v>3432.5004636066565</v>
      </c>
      <c r="AP66">
        <v>5</v>
      </c>
      <c r="AQ66">
        <v>5951.9999999999991</v>
      </c>
      <c r="AR66">
        <v>5.2253124202756549</v>
      </c>
      <c r="AS66">
        <v>6220.2119050961392</v>
      </c>
      <c r="AT66">
        <v>3.9085802583193292</v>
      </c>
      <c r="AU66">
        <v>4652.7739395033286</v>
      </c>
      <c r="AV66">
        <v>3.2590493334464083</v>
      </c>
      <c r="AW66">
        <v>3879.5723265346041</v>
      </c>
      <c r="AX66">
        <v>2.139064631263369</v>
      </c>
      <c r="AY66">
        <v>2546.3425370559144</v>
      </c>
      <c r="AZ66">
        <v>5</v>
      </c>
      <c r="BA66">
        <v>5951.9999999999991</v>
      </c>
      <c r="BB66">
        <v>4</v>
      </c>
      <c r="BC66">
        <v>4761.5999999999995</v>
      </c>
      <c r="BD66">
        <v>4.3934192721771685</v>
      </c>
      <c r="BE66">
        <v>5229.9263015997012</v>
      </c>
      <c r="BF66">
        <v>1.9014245627285769</v>
      </c>
      <c r="BG66">
        <v>2263.4557994720976</v>
      </c>
      <c r="BH66">
        <v>6</v>
      </c>
      <c r="BI66">
        <v>7142.4</v>
      </c>
      <c r="BJ66">
        <v>7.1690348290549064</v>
      </c>
      <c r="BK66">
        <v>8534.0190605069602</v>
      </c>
      <c r="BL66">
        <v>1.4211508922726841</v>
      </c>
      <c r="BM66">
        <v>1691.738022161403</v>
      </c>
      <c r="BN66">
        <v>7</v>
      </c>
      <c r="BO66">
        <v>8332.7999999999993</v>
      </c>
      <c r="BP66">
        <v>3</v>
      </c>
      <c r="BQ66">
        <v>3571.2</v>
      </c>
      <c r="BR66">
        <v>5</v>
      </c>
      <c r="BS66">
        <v>5951.9999999999991</v>
      </c>
      <c r="BT66">
        <v>3.2971315321782568</v>
      </c>
      <c r="BU66">
        <v>3924.9053759049966</v>
      </c>
      <c r="BV66">
        <v>1.5107585406712407</v>
      </c>
      <c r="BW66">
        <v>1798.4069668150448</v>
      </c>
      <c r="BX66">
        <v>5</v>
      </c>
      <c r="BY66">
        <v>5951.9999999999991</v>
      </c>
      <c r="BZ66">
        <v>6</v>
      </c>
      <c r="CA66">
        <v>7142.4</v>
      </c>
      <c r="CB66">
        <v>6</v>
      </c>
      <c r="CC66">
        <v>7142.4</v>
      </c>
      <c r="CD66">
        <v>6.2049535803343217</v>
      </c>
      <c r="CE66">
        <v>7386.3767420299755</v>
      </c>
      <c r="CF66">
        <v>3.8374362232799673</v>
      </c>
      <c r="CG66">
        <v>4568.0840801924724</v>
      </c>
      <c r="CH66">
        <v>4</v>
      </c>
      <c r="CI66">
        <v>4761.5999999999995</v>
      </c>
      <c r="CJ66">
        <v>5</v>
      </c>
      <c r="CK66">
        <v>5951.9999999999991</v>
      </c>
      <c r="CL66">
        <v>6</v>
      </c>
      <c r="CM66">
        <v>7142.4</v>
      </c>
      <c r="CN66">
        <v>5.3982398422668236</v>
      </c>
      <c r="CO66">
        <v>6426.0647082344258</v>
      </c>
      <c r="CP66">
        <v>2.7980494037343182</v>
      </c>
      <c r="CQ66">
        <v>3330.798010205332</v>
      </c>
      <c r="CR66">
        <v>2.6110027651694083</v>
      </c>
      <c r="CS66">
        <v>3108.1376916576633</v>
      </c>
      <c r="CT66">
        <v>4</v>
      </c>
      <c r="CU66">
        <v>4761.5999999999995</v>
      </c>
    </row>
    <row r="67" spans="2:99">
      <c r="C67" s="99" t="s">
        <v>233</v>
      </c>
      <c r="D67">
        <v>4.199464183455853</v>
      </c>
      <c r="E67">
        <v>4716.8381708576144</v>
      </c>
      <c r="F67">
        <v>2.2882535742178947</v>
      </c>
      <c r="G67">
        <v>2570.1664145615396</v>
      </c>
      <c r="H67">
        <v>3.3934621910287857</v>
      </c>
      <c r="I67">
        <v>3811.5367329635324</v>
      </c>
      <c r="J67">
        <v>6.7789913496408865</v>
      </c>
      <c r="K67">
        <v>7614.1630839166437</v>
      </c>
      <c r="L67">
        <v>4.5288495965071833</v>
      </c>
      <c r="M67">
        <v>5086.8038667968685</v>
      </c>
      <c r="N67">
        <v>3.521278561962597</v>
      </c>
      <c r="O67">
        <v>3955.1000807963892</v>
      </c>
      <c r="P67">
        <v>2.9335237165427581</v>
      </c>
      <c r="Q67">
        <v>3294.9338384208259</v>
      </c>
      <c r="R67">
        <v>4</v>
      </c>
      <c r="S67">
        <v>4492.8</v>
      </c>
      <c r="T67">
        <v>5</v>
      </c>
      <c r="U67">
        <v>5616</v>
      </c>
      <c r="V67">
        <v>4.1785374445156283</v>
      </c>
      <c r="W67">
        <v>4693.3332576799539</v>
      </c>
      <c r="X67">
        <v>2.9273718431715854</v>
      </c>
      <c r="Y67">
        <v>3288.0240542503248</v>
      </c>
      <c r="Z67">
        <v>3.7700908487623397</v>
      </c>
      <c r="AA67">
        <v>4234.5660413298601</v>
      </c>
      <c r="AB67">
        <v>5</v>
      </c>
      <c r="AC67">
        <v>5616</v>
      </c>
      <c r="AD67">
        <v>5</v>
      </c>
      <c r="AE67">
        <v>5616</v>
      </c>
      <c r="AF67">
        <v>5.4232977594785021</v>
      </c>
      <c r="AG67">
        <v>6091.4480434462539</v>
      </c>
      <c r="AH67">
        <v>3.3587518031681727</v>
      </c>
      <c r="AI67">
        <v>3772.5500253184919</v>
      </c>
      <c r="AJ67">
        <v>4.6678015645747157</v>
      </c>
      <c r="AK67">
        <v>5242.8747173303209</v>
      </c>
      <c r="AL67">
        <v>1.6783774854739473</v>
      </c>
      <c r="AM67">
        <v>1885.1535916843377</v>
      </c>
      <c r="AN67">
        <v>3.4601819189583236</v>
      </c>
      <c r="AO67">
        <v>3886.4763313739891</v>
      </c>
      <c r="AP67">
        <v>5</v>
      </c>
      <c r="AQ67">
        <v>5616</v>
      </c>
      <c r="AR67">
        <v>4.2253124202756549</v>
      </c>
      <c r="AS67">
        <v>4745.8709104536156</v>
      </c>
      <c r="AT67">
        <v>3.162997973145572</v>
      </c>
      <c r="AU67">
        <v>3552.6793234371066</v>
      </c>
      <c r="AV67">
        <v>3.232741793285395</v>
      </c>
      <c r="AW67">
        <v>3631.0155822181559</v>
      </c>
      <c r="AX67">
        <v>2.139064631263369</v>
      </c>
      <c r="AY67">
        <v>2402.5973938350162</v>
      </c>
      <c r="AZ67">
        <v>5</v>
      </c>
      <c r="BA67">
        <v>5616</v>
      </c>
      <c r="BB67">
        <v>3</v>
      </c>
      <c r="BC67">
        <v>3369.6000000000004</v>
      </c>
      <c r="BD67">
        <v>4.3934192721771685</v>
      </c>
      <c r="BE67">
        <v>4934.6885265093961</v>
      </c>
      <c r="BF67">
        <v>2.2817094752742921</v>
      </c>
      <c r="BG67">
        <v>2562.816082628085</v>
      </c>
      <c r="BH67">
        <v>5</v>
      </c>
      <c r="BI67">
        <v>5616</v>
      </c>
      <c r="BJ67">
        <v>7.1690348290549064</v>
      </c>
      <c r="BK67">
        <v>8052.2599199944716</v>
      </c>
      <c r="BL67">
        <v>1.7764386153408551</v>
      </c>
      <c r="BM67">
        <v>1995.2958527508486</v>
      </c>
      <c r="BN67">
        <v>6</v>
      </c>
      <c r="BO67">
        <v>6739.2000000000007</v>
      </c>
      <c r="BP67">
        <v>4</v>
      </c>
      <c r="BQ67">
        <v>4492.8</v>
      </c>
      <c r="BR67">
        <v>6</v>
      </c>
      <c r="BS67">
        <v>6739.2000000000007</v>
      </c>
      <c r="BT67">
        <v>3.2971315321782568</v>
      </c>
      <c r="BU67">
        <v>3703.3381369426183</v>
      </c>
      <c r="BV67">
        <v>1.1330689055034304</v>
      </c>
      <c r="BW67">
        <v>1272.662994661453</v>
      </c>
      <c r="BX67">
        <v>5</v>
      </c>
      <c r="BY67">
        <v>5616</v>
      </c>
      <c r="BZ67">
        <v>6</v>
      </c>
      <c r="CA67">
        <v>6739.2000000000007</v>
      </c>
      <c r="CB67">
        <v>6</v>
      </c>
      <c r="CC67">
        <v>6739.2000000000007</v>
      </c>
      <c r="CD67">
        <v>5.1821809602971749</v>
      </c>
      <c r="CE67">
        <v>5820.6256546057875</v>
      </c>
      <c r="CF67">
        <v>3.1978635193999727</v>
      </c>
      <c r="CG67">
        <v>3591.8403049900494</v>
      </c>
      <c r="CH67">
        <v>3</v>
      </c>
      <c r="CI67">
        <v>3369.6000000000004</v>
      </c>
      <c r="CJ67">
        <v>5</v>
      </c>
      <c r="CK67">
        <v>5616</v>
      </c>
      <c r="CL67">
        <v>6</v>
      </c>
      <c r="CM67">
        <v>6739.2000000000007</v>
      </c>
      <c r="CN67">
        <v>5.3982398422668236</v>
      </c>
      <c r="CO67">
        <v>6063.3029908340968</v>
      </c>
      <c r="CP67">
        <v>3.2330572753662787</v>
      </c>
      <c r="CQ67">
        <v>3631.3699316914044</v>
      </c>
      <c r="CR67">
        <v>2.6110027651694083</v>
      </c>
      <c r="CS67">
        <v>2932.6783058382794</v>
      </c>
      <c r="CT67">
        <v>4</v>
      </c>
      <c r="CU67">
        <v>4492.8</v>
      </c>
    </row>
    <row r="68" spans="2:99">
      <c r="C68" s="99" t="s">
        <v>234</v>
      </c>
      <c r="D68">
        <v>3.1994641834558535</v>
      </c>
      <c r="E68">
        <v>3305.6863943465878</v>
      </c>
      <c r="F68">
        <v>3.0104990446623674</v>
      </c>
      <c r="G68">
        <v>3110.4476129451582</v>
      </c>
      <c r="H68">
        <v>3.3934621910287857</v>
      </c>
      <c r="I68">
        <v>3506.1251357709416</v>
      </c>
      <c r="J68">
        <v>6.7789913496408865</v>
      </c>
      <c r="K68">
        <v>7004.0538624489645</v>
      </c>
      <c r="L68">
        <v>4.5066666372776947</v>
      </c>
      <c r="M68">
        <v>4656.2879696353148</v>
      </c>
      <c r="N68">
        <v>3.5605241407471033</v>
      </c>
      <c r="O68">
        <v>3678.7335422199071</v>
      </c>
      <c r="P68">
        <v>2.9335237165427581</v>
      </c>
      <c r="Q68">
        <v>3030.9167039319777</v>
      </c>
      <c r="R68">
        <v>5</v>
      </c>
      <c r="S68">
        <v>5166</v>
      </c>
      <c r="T68">
        <v>5</v>
      </c>
      <c r="U68">
        <v>5166</v>
      </c>
      <c r="V68">
        <v>4.1785374445156283</v>
      </c>
      <c r="W68">
        <v>4317.2648876735475</v>
      </c>
      <c r="X68">
        <v>2.341897474537268</v>
      </c>
      <c r="Y68">
        <v>2419.6484706919055</v>
      </c>
      <c r="Z68">
        <v>3.7700908487623397</v>
      </c>
      <c r="AA68">
        <v>3895.2578649412494</v>
      </c>
      <c r="AB68">
        <v>4</v>
      </c>
      <c r="AC68">
        <v>4132.8</v>
      </c>
      <c r="AD68">
        <v>5</v>
      </c>
      <c r="AE68">
        <v>5166</v>
      </c>
      <c r="AF68">
        <v>5.4232977594785021</v>
      </c>
      <c r="AG68">
        <v>5603.3512450931885</v>
      </c>
      <c r="AH68">
        <v>3.3587518031681727</v>
      </c>
      <c r="AI68">
        <v>3470.262363033356</v>
      </c>
      <c r="AJ68">
        <v>3.897894665213951</v>
      </c>
      <c r="AK68">
        <v>4027.3047680990544</v>
      </c>
      <c r="AL68">
        <v>1.6783774854739473</v>
      </c>
      <c r="AM68">
        <v>1734.0996179916824</v>
      </c>
      <c r="AN68">
        <v>3.4601819189583236</v>
      </c>
      <c r="AO68">
        <v>3575.0599586677399</v>
      </c>
      <c r="AP68">
        <v>5</v>
      </c>
      <c r="AQ68">
        <v>5166</v>
      </c>
      <c r="AR68">
        <v>5.2002777069116926</v>
      </c>
      <c r="AS68">
        <v>5372.9269267811605</v>
      </c>
      <c r="AT68">
        <v>3.8859966542630109</v>
      </c>
      <c r="AU68">
        <v>4015.0117431845429</v>
      </c>
      <c r="AV68">
        <v>3.232741793285395</v>
      </c>
      <c r="AW68">
        <v>3340.0688208224701</v>
      </c>
      <c r="AX68">
        <v>2.495575403140597</v>
      </c>
      <c r="AY68">
        <v>2578.428506524865</v>
      </c>
      <c r="AZ68">
        <v>5</v>
      </c>
      <c r="BA68">
        <v>5166</v>
      </c>
      <c r="BB68">
        <v>3</v>
      </c>
      <c r="BC68">
        <v>3099.6000000000004</v>
      </c>
      <c r="BD68">
        <v>4.3442418631550224</v>
      </c>
      <c r="BE68">
        <v>4488.4706930117691</v>
      </c>
      <c r="BF68">
        <v>2.2817094752742921</v>
      </c>
      <c r="BG68">
        <v>2357.4622298533986</v>
      </c>
      <c r="BH68">
        <v>5</v>
      </c>
      <c r="BI68">
        <v>5166</v>
      </c>
      <c r="BJ68">
        <v>7.140862357545755</v>
      </c>
      <c r="BK68">
        <v>7377.9389878162747</v>
      </c>
      <c r="BL68">
        <v>1.4211508922726841</v>
      </c>
      <c r="BM68">
        <v>1468.3331018961374</v>
      </c>
      <c r="BN68">
        <v>7</v>
      </c>
      <c r="BO68">
        <v>7232.4000000000005</v>
      </c>
      <c r="BP68">
        <v>4</v>
      </c>
      <c r="BQ68">
        <v>4132.8</v>
      </c>
      <c r="BR68">
        <v>6</v>
      </c>
      <c r="BS68">
        <v>6199.2000000000007</v>
      </c>
      <c r="BT68">
        <v>4.3466534542079662</v>
      </c>
      <c r="BU68">
        <v>4490.9623488876705</v>
      </c>
      <c r="BV68">
        <v>1.1330689055034304</v>
      </c>
      <c r="BW68">
        <v>1170.6867931661443</v>
      </c>
      <c r="BX68">
        <v>6</v>
      </c>
      <c r="BY68">
        <v>6199.2000000000007</v>
      </c>
      <c r="BZ68">
        <v>6</v>
      </c>
      <c r="CA68">
        <v>6199.2000000000007</v>
      </c>
      <c r="CB68">
        <v>7</v>
      </c>
      <c r="CC68">
        <v>7232.4000000000005</v>
      </c>
      <c r="CD68">
        <v>6.2049535803343217</v>
      </c>
      <c r="CE68">
        <v>6410.9580392014213</v>
      </c>
      <c r="CF68">
        <v>3.8374362232799673</v>
      </c>
      <c r="CG68">
        <v>3964.8391058928623</v>
      </c>
      <c r="CH68">
        <v>4</v>
      </c>
      <c r="CI68">
        <v>4132.8</v>
      </c>
      <c r="CJ68">
        <v>5</v>
      </c>
      <c r="CK68">
        <v>5166</v>
      </c>
      <c r="CL68">
        <v>6</v>
      </c>
      <c r="CM68">
        <v>6199.2000000000007</v>
      </c>
      <c r="CN68">
        <v>5.3982398422668236</v>
      </c>
      <c r="CO68">
        <v>5577.4614050300825</v>
      </c>
      <c r="CP68">
        <v>3.2330572753662787</v>
      </c>
      <c r="CQ68">
        <v>3340.3947769084393</v>
      </c>
      <c r="CR68">
        <v>2.6110027651694083</v>
      </c>
      <c r="CS68">
        <v>2697.6880569730329</v>
      </c>
      <c r="CT68">
        <v>3</v>
      </c>
      <c r="CU68">
        <v>3099.6000000000004</v>
      </c>
    </row>
    <row r="69" spans="2:99">
      <c r="C69" s="99" t="s">
        <v>235</v>
      </c>
      <c r="D69">
        <v>4.2279590668066893</v>
      </c>
      <c r="E69">
        <v>3206.4841562661932</v>
      </c>
      <c r="F69">
        <v>3.0104990446623674</v>
      </c>
      <c r="G69">
        <v>2283.1624754719392</v>
      </c>
      <c r="H69">
        <v>3.3934621910287857</v>
      </c>
      <c r="I69">
        <v>2573.6017256762311</v>
      </c>
      <c r="J69">
        <v>5.8105640139779018</v>
      </c>
      <c r="K69">
        <v>4406.7317482008402</v>
      </c>
      <c r="L69">
        <v>4.5288495965071833</v>
      </c>
      <c r="M69">
        <v>3434.6795339910477</v>
      </c>
      <c r="N69">
        <v>3.5605241407471033</v>
      </c>
      <c r="O69">
        <v>2700.301508342603</v>
      </c>
      <c r="P69">
        <v>2.9335237165427581</v>
      </c>
      <c r="Q69">
        <v>2224.7843866260278</v>
      </c>
      <c r="R69">
        <v>4</v>
      </c>
      <c r="S69">
        <v>3033.6</v>
      </c>
      <c r="T69">
        <v>5</v>
      </c>
      <c r="U69">
        <v>3792</v>
      </c>
      <c r="V69">
        <v>4.1562202639511741</v>
      </c>
      <c r="W69">
        <v>3152.0774481805702</v>
      </c>
      <c r="X69">
        <v>2.9273718431715854</v>
      </c>
      <c r="Y69">
        <v>2220.1188058613302</v>
      </c>
      <c r="Z69">
        <v>4.7126135609529243</v>
      </c>
      <c r="AA69">
        <v>3574.0461246266977</v>
      </c>
      <c r="AB69">
        <v>5</v>
      </c>
      <c r="AC69">
        <v>3792</v>
      </c>
      <c r="AD69">
        <v>4</v>
      </c>
      <c r="AE69">
        <v>3033.6</v>
      </c>
      <c r="AF69">
        <v>5.4232977594785021</v>
      </c>
      <c r="AG69">
        <v>4113.0290207884955</v>
      </c>
      <c r="AH69">
        <v>3.3587518031681727</v>
      </c>
      <c r="AI69">
        <v>2547.2773675227422</v>
      </c>
      <c r="AJ69">
        <v>3.9462548336240801</v>
      </c>
      <c r="AK69">
        <v>2992.8396658205024</v>
      </c>
      <c r="AL69">
        <v>1.2931662581370968</v>
      </c>
      <c r="AM69">
        <v>980.73729017117421</v>
      </c>
      <c r="AN69">
        <v>3.4601819189583236</v>
      </c>
      <c r="AO69">
        <v>2624.2019673379928</v>
      </c>
      <c r="AP69">
        <v>6</v>
      </c>
      <c r="AQ69">
        <v>4550.3999999999996</v>
      </c>
      <c r="AR69">
        <v>5.2253124202756549</v>
      </c>
      <c r="AS69">
        <v>3962.8769395370564</v>
      </c>
      <c r="AT69">
        <v>3.8859966542630109</v>
      </c>
      <c r="AU69">
        <v>2947.1398625930674</v>
      </c>
      <c r="AV69">
        <v>3.2590493334464083</v>
      </c>
      <c r="AW69">
        <v>2471.6630144857559</v>
      </c>
      <c r="AX69">
        <v>2.139064631263369</v>
      </c>
      <c r="AY69">
        <v>1622.266616350139</v>
      </c>
      <c r="AZ69">
        <v>5</v>
      </c>
      <c r="BA69">
        <v>3792</v>
      </c>
      <c r="BB69">
        <v>3</v>
      </c>
      <c r="BC69">
        <v>2275.1999999999998</v>
      </c>
      <c r="BD69">
        <v>4.3442418631550224</v>
      </c>
      <c r="BE69">
        <v>3294.6730290167689</v>
      </c>
      <c r="BF69">
        <v>2.2817094752742921</v>
      </c>
      <c r="BG69">
        <v>1730.4484660480232</v>
      </c>
      <c r="BH69">
        <v>5</v>
      </c>
      <c r="BI69">
        <v>3792</v>
      </c>
      <c r="BJ69">
        <v>7.140862357545755</v>
      </c>
      <c r="BK69">
        <v>5415.6300119627003</v>
      </c>
      <c r="BL69">
        <v>1.4211508922726841</v>
      </c>
      <c r="BM69">
        <v>1077.8008366996037</v>
      </c>
      <c r="BN69">
        <v>6</v>
      </c>
      <c r="BO69">
        <v>4550.3999999999996</v>
      </c>
      <c r="BP69">
        <v>3</v>
      </c>
      <c r="BQ69">
        <v>2275.1999999999998</v>
      </c>
      <c r="BR69">
        <v>5</v>
      </c>
      <c r="BS69">
        <v>3792</v>
      </c>
      <c r="BT69">
        <v>3.3466534542079662</v>
      </c>
      <c r="BU69">
        <v>2538.1019796713217</v>
      </c>
      <c r="BV69">
        <v>1.1330689055034304</v>
      </c>
      <c r="BW69">
        <v>859.31945793380157</v>
      </c>
      <c r="BX69">
        <v>5</v>
      </c>
      <c r="BY69">
        <v>3792</v>
      </c>
      <c r="BZ69">
        <v>6</v>
      </c>
      <c r="CA69">
        <v>4550.3999999999996</v>
      </c>
      <c r="CB69">
        <v>7</v>
      </c>
      <c r="CC69">
        <v>5308.8</v>
      </c>
      <c r="CD69">
        <v>6.2049535803343217</v>
      </c>
      <c r="CE69">
        <v>4705.8367953255492</v>
      </c>
      <c r="CF69">
        <v>3.1978635193999727</v>
      </c>
      <c r="CG69">
        <v>2425.2596931129392</v>
      </c>
      <c r="CH69">
        <v>3</v>
      </c>
      <c r="CI69">
        <v>2275.1999999999998</v>
      </c>
      <c r="CJ69">
        <v>5</v>
      </c>
      <c r="CK69">
        <v>3792</v>
      </c>
      <c r="CL69">
        <v>7</v>
      </c>
      <c r="CM69">
        <v>5308.8</v>
      </c>
      <c r="CN69">
        <v>5.4380638264935062</v>
      </c>
      <c r="CO69">
        <v>4124.2276060126751</v>
      </c>
      <c r="CP69">
        <v>3.2330572753662787</v>
      </c>
      <c r="CQ69">
        <v>2451.9506376377858</v>
      </c>
      <c r="CR69">
        <v>3.0461698926976433</v>
      </c>
      <c r="CS69">
        <v>2310.2152466218927</v>
      </c>
      <c r="CT69">
        <v>3</v>
      </c>
      <c r="CU69">
        <v>2275.1999999999998</v>
      </c>
    </row>
    <row r="70" spans="2:99">
      <c r="C70" s="99" t="s">
        <v>236</v>
      </c>
      <c r="D70">
        <v>4.2279590668066893</v>
      </c>
      <c r="E70">
        <v>2262.80369255494</v>
      </c>
      <c r="F70">
        <v>2.9931394499645849</v>
      </c>
      <c r="G70">
        <v>1601.9282336210456</v>
      </c>
      <c r="H70">
        <v>3.3934621910287857</v>
      </c>
      <c r="I70">
        <v>1816.1809646386059</v>
      </c>
      <c r="J70">
        <v>6.7789913496408865</v>
      </c>
      <c r="K70">
        <v>3628.1161703278021</v>
      </c>
      <c r="L70">
        <v>4.5066666372776947</v>
      </c>
      <c r="M70">
        <v>2411.967984271022</v>
      </c>
      <c r="N70">
        <v>4.352541228972612</v>
      </c>
      <c r="O70">
        <v>2329.4800657461415</v>
      </c>
      <c r="P70">
        <v>2.9335237165427581</v>
      </c>
      <c r="Q70">
        <v>1570.021893093684</v>
      </c>
      <c r="R70">
        <v>5</v>
      </c>
      <c r="S70">
        <v>2675.9999999999995</v>
      </c>
      <c r="T70">
        <v>5</v>
      </c>
      <c r="U70">
        <v>2675.9999999999995</v>
      </c>
      <c r="V70">
        <v>5.1562202639511741</v>
      </c>
      <c r="W70">
        <v>2759.609085266668</v>
      </c>
      <c r="X70">
        <v>2.9273718431715854</v>
      </c>
      <c r="Y70">
        <v>1566.7294104654322</v>
      </c>
      <c r="Z70">
        <v>3.7700908487623397</v>
      </c>
      <c r="AA70">
        <v>2017.7526222576039</v>
      </c>
      <c r="AB70">
        <v>5</v>
      </c>
      <c r="AC70">
        <v>2675.9999999999995</v>
      </c>
      <c r="AD70">
        <v>5</v>
      </c>
      <c r="AE70">
        <v>2675.9999999999995</v>
      </c>
      <c r="AF70">
        <v>5.4232977594785021</v>
      </c>
      <c r="AG70">
        <v>2902.548960872894</v>
      </c>
      <c r="AH70">
        <v>3.3587518031681727</v>
      </c>
      <c r="AI70">
        <v>1797.6039650556058</v>
      </c>
      <c r="AJ70">
        <v>4.6678015645747157</v>
      </c>
      <c r="AK70">
        <v>2498.2073973603874</v>
      </c>
      <c r="AL70">
        <v>1.2931662581370968</v>
      </c>
      <c r="AM70">
        <v>692.10258135497418</v>
      </c>
      <c r="AN70">
        <v>3.4601819189583236</v>
      </c>
      <c r="AO70">
        <v>1851.8893630264945</v>
      </c>
      <c r="AP70">
        <v>6</v>
      </c>
      <c r="AQ70">
        <v>3211.2</v>
      </c>
      <c r="AR70">
        <v>5.2002777069116926</v>
      </c>
      <c r="AS70">
        <v>2783.1886287391376</v>
      </c>
      <c r="AT70">
        <v>3.8859966542630109</v>
      </c>
      <c r="AU70">
        <v>2079.7854093615633</v>
      </c>
      <c r="AV70">
        <v>3.2590493334464083</v>
      </c>
      <c r="AW70">
        <v>1744.2432032605175</v>
      </c>
      <c r="AX70">
        <v>2.139064631263369</v>
      </c>
      <c r="AY70">
        <v>1144.8273906521549</v>
      </c>
      <c r="AZ70">
        <v>5</v>
      </c>
      <c r="BA70">
        <v>2675.9999999999995</v>
      </c>
      <c r="BB70">
        <v>3</v>
      </c>
      <c r="BC70">
        <v>1605.6</v>
      </c>
      <c r="BD70">
        <v>5.3442418631550224</v>
      </c>
      <c r="BE70">
        <v>2860.2382451605677</v>
      </c>
      <c r="BF70">
        <v>2.2817094752742921</v>
      </c>
      <c r="BG70">
        <v>1221.170911166801</v>
      </c>
      <c r="BH70">
        <v>5</v>
      </c>
      <c r="BI70">
        <v>2675.9999999999995</v>
      </c>
      <c r="BJ70">
        <v>7.1690348290549064</v>
      </c>
      <c r="BK70">
        <v>3836.8674405101856</v>
      </c>
      <c r="BL70">
        <v>1.4211508922726841</v>
      </c>
      <c r="BM70">
        <v>760.59995754434044</v>
      </c>
      <c r="BN70">
        <v>7</v>
      </c>
      <c r="BO70">
        <v>3746.3999999999996</v>
      </c>
      <c r="BP70">
        <v>4</v>
      </c>
      <c r="BQ70">
        <v>2140.7999999999997</v>
      </c>
      <c r="BR70">
        <v>5</v>
      </c>
      <c r="BS70">
        <v>2675.9999999999995</v>
      </c>
      <c r="BT70">
        <v>4.2971315321782573</v>
      </c>
      <c r="BU70">
        <v>2299.8247960218032</v>
      </c>
      <c r="BV70">
        <v>1.5107585406712407</v>
      </c>
      <c r="BW70">
        <v>808.55797096724791</v>
      </c>
      <c r="BX70">
        <v>6</v>
      </c>
      <c r="BY70">
        <v>3211.2</v>
      </c>
      <c r="BZ70">
        <v>7</v>
      </c>
      <c r="CA70">
        <v>3746.3999999999996</v>
      </c>
      <c r="CB70">
        <v>6</v>
      </c>
      <c r="CC70">
        <v>3211.2</v>
      </c>
      <c r="CD70">
        <v>5.2049535803343217</v>
      </c>
      <c r="CE70">
        <v>2785.6911561949287</v>
      </c>
      <c r="CF70">
        <v>3.8374362232799673</v>
      </c>
      <c r="CG70">
        <v>2053.7958666994382</v>
      </c>
      <c r="CH70">
        <v>3</v>
      </c>
      <c r="CI70">
        <v>1605.6</v>
      </c>
      <c r="CJ70">
        <v>5</v>
      </c>
      <c r="CK70">
        <v>2675.9999999999995</v>
      </c>
      <c r="CL70">
        <v>7</v>
      </c>
      <c r="CM70">
        <v>3746.3999999999996</v>
      </c>
      <c r="CN70">
        <v>5.4380638264935062</v>
      </c>
      <c r="CO70">
        <v>2910.4517599393243</v>
      </c>
      <c r="CP70">
        <v>2.7980494037343182</v>
      </c>
      <c r="CQ70">
        <v>1497.5160408786069</v>
      </c>
      <c r="CR70">
        <v>3.0461698926976433</v>
      </c>
      <c r="CS70">
        <v>1630.3101265717785</v>
      </c>
      <c r="CT70">
        <v>3</v>
      </c>
      <c r="CU70">
        <v>1605.6</v>
      </c>
    </row>
    <row r="71" spans="2:99">
      <c r="B71" s="99" t="s">
        <v>130</v>
      </c>
      <c r="C71" s="99" t="s">
        <v>237</v>
      </c>
      <c r="D71">
        <v>4</v>
      </c>
      <c r="E71">
        <v>2256</v>
      </c>
      <c r="F71">
        <v>6</v>
      </c>
      <c r="G71">
        <v>3384</v>
      </c>
      <c r="H71">
        <v>3</v>
      </c>
      <c r="I71">
        <v>1692</v>
      </c>
      <c r="J71">
        <v>5</v>
      </c>
      <c r="K71">
        <v>2820</v>
      </c>
      <c r="L71">
        <v>4</v>
      </c>
      <c r="M71">
        <v>2256</v>
      </c>
      <c r="N71">
        <v>5</v>
      </c>
      <c r="O71">
        <v>2820</v>
      </c>
      <c r="P71">
        <v>4</v>
      </c>
      <c r="Q71">
        <v>2256</v>
      </c>
      <c r="R71">
        <v>5</v>
      </c>
      <c r="S71">
        <v>2820</v>
      </c>
      <c r="T71">
        <v>5.3125709644002264</v>
      </c>
      <c r="U71">
        <v>2996.2900239217279</v>
      </c>
      <c r="V71">
        <v>5.1608804620728561</v>
      </c>
      <c r="W71">
        <v>2910.7365806090907</v>
      </c>
      <c r="X71">
        <v>4</v>
      </c>
      <c r="Y71">
        <v>2256</v>
      </c>
      <c r="Z71">
        <v>5</v>
      </c>
      <c r="AA71">
        <v>2820</v>
      </c>
      <c r="AB71">
        <v>5</v>
      </c>
      <c r="AC71">
        <v>2820</v>
      </c>
      <c r="AD71">
        <v>3</v>
      </c>
      <c r="AE71">
        <v>1692</v>
      </c>
      <c r="AF71">
        <v>3</v>
      </c>
      <c r="AG71">
        <v>1692</v>
      </c>
      <c r="AH71">
        <v>4</v>
      </c>
      <c r="AI71">
        <v>2256</v>
      </c>
      <c r="AJ71">
        <v>3</v>
      </c>
      <c r="AK71">
        <v>1692</v>
      </c>
      <c r="AL71">
        <v>6</v>
      </c>
      <c r="AM71">
        <v>3384</v>
      </c>
      <c r="AN71">
        <v>3</v>
      </c>
      <c r="AO71">
        <v>1692</v>
      </c>
      <c r="AP71">
        <v>5</v>
      </c>
      <c r="AQ71">
        <v>2820</v>
      </c>
      <c r="AR71">
        <v>4</v>
      </c>
      <c r="AS71">
        <v>2256</v>
      </c>
      <c r="AT71">
        <v>3</v>
      </c>
      <c r="AU71">
        <v>1692</v>
      </c>
      <c r="AV71">
        <v>5</v>
      </c>
      <c r="AW71">
        <v>2820</v>
      </c>
      <c r="AX71">
        <v>4</v>
      </c>
      <c r="AY71">
        <v>2256</v>
      </c>
      <c r="AZ71">
        <v>3</v>
      </c>
      <c r="BA71">
        <v>1692</v>
      </c>
      <c r="BB71">
        <v>3</v>
      </c>
      <c r="BC71">
        <v>1692</v>
      </c>
      <c r="BD71">
        <v>5</v>
      </c>
      <c r="BE71">
        <v>2820</v>
      </c>
      <c r="BF71">
        <v>4</v>
      </c>
      <c r="BG71">
        <v>2256</v>
      </c>
      <c r="BH71">
        <v>3</v>
      </c>
      <c r="BI71">
        <v>1692</v>
      </c>
      <c r="BJ71">
        <v>4.3980206892267404</v>
      </c>
      <c r="BK71">
        <v>2480.4836687238817</v>
      </c>
      <c r="BL71">
        <v>6</v>
      </c>
      <c r="BM71">
        <v>3384</v>
      </c>
      <c r="BN71">
        <v>5</v>
      </c>
      <c r="BO71">
        <v>2820</v>
      </c>
      <c r="BP71">
        <v>4</v>
      </c>
      <c r="BQ71">
        <v>2256</v>
      </c>
      <c r="BR71">
        <v>6</v>
      </c>
      <c r="BS71">
        <v>3384</v>
      </c>
      <c r="BT71">
        <v>3</v>
      </c>
      <c r="BU71">
        <v>1692</v>
      </c>
      <c r="BV71">
        <v>3</v>
      </c>
      <c r="BW71">
        <v>1692</v>
      </c>
      <c r="BX71">
        <v>4</v>
      </c>
      <c r="BY71">
        <v>2256</v>
      </c>
      <c r="BZ71">
        <v>6.2676761898158135</v>
      </c>
      <c r="CA71">
        <v>3534.9693710561187</v>
      </c>
      <c r="CB71">
        <v>4.388491510501245</v>
      </c>
      <c r="CC71">
        <v>2475.1092119227023</v>
      </c>
      <c r="CD71">
        <v>4.0286443408869488</v>
      </c>
      <c r="CE71">
        <v>2272.1554082602393</v>
      </c>
      <c r="CF71">
        <v>6</v>
      </c>
      <c r="CG71">
        <v>3384</v>
      </c>
      <c r="CH71">
        <v>4.2529295175843593</v>
      </c>
      <c r="CI71">
        <v>2398.6522479175787</v>
      </c>
      <c r="CJ71">
        <v>3.4181701491306113</v>
      </c>
      <c r="CK71">
        <v>1927.8479641096649</v>
      </c>
      <c r="CL71">
        <v>0.77889032695720395</v>
      </c>
      <c r="CM71">
        <v>439.29414440386302</v>
      </c>
      <c r="CN71">
        <v>6</v>
      </c>
      <c r="CO71">
        <v>3384</v>
      </c>
      <c r="CP71">
        <v>5</v>
      </c>
      <c r="CQ71">
        <v>2820</v>
      </c>
      <c r="CR71">
        <v>5.7044790729944559</v>
      </c>
      <c r="CS71">
        <v>3217.326197168873</v>
      </c>
      <c r="CT71">
        <v>1.9727071190776029</v>
      </c>
      <c r="CU71">
        <v>1112.6068151597681</v>
      </c>
    </row>
    <row r="72" spans="2:99">
      <c r="C72" s="99" t="s">
        <v>238</v>
      </c>
      <c r="D72">
        <v>4</v>
      </c>
      <c r="E72">
        <v>297.59999999999997</v>
      </c>
      <c r="F72">
        <v>6</v>
      </c>
      <c r="G72">
        <v>446.4</v>
      </c>
      <c r="H72">
        <v>3</v>
      </c>
      <c r="I72">
        <v>223.2</v>
      </c>
      <c r="J72">
        <v>5</v>
      </c>
      <c r="K72">
        <v>371.99999999999994</v>
      </c>
      <c r="L72">
        <v>4</v>
      </c>
      <c r="M72">
        <v>297.59999999999997</v>
      </c>
      <c r="N72">
        <v>6</v>
      </c>
      <c r="O72">
        <v>446.4</v>
      </c>
      <c r="P72">
        <v>4</v>
      </c>
      <c r="Q72">
        <v>297.59999999999997</v>
      </c>
      <c r="R72">
        <v>6</v>
      </c>
      <c r="S72">
        <v>446.4</v>
      </c>
      <c r="T72">
        <v>5.340986506618429</v>
      </c>
      <c r="U72">
        <v>397.36939609241108</v>
      </c>
      <c r="V72">
        <v>4.3007337183940466</v>
      </c>
      <c r="W72">
        <v>319.97458864851706</v>
      </c>
      <c r="X72">
        <v>4</v>
      </c>
      <c r="Y72">
        <v>297.59999999999997</v>
      </c>
      <c r="Z72">
        <v>5</v>
      </c>
      <c r="AA72">
        <v>371.99999999999994</v>
      </c>
      <c r="AB72">
        <v>5</v>
      </c>
      <c r="AC72">
        <v>371.99999999999994</v>
      </c>
      <c r="AD72">
        <v>3</v>
      </c>
      <c r="AE72">
        <v>223.2</v>
      </c>
      <c r="AF72">
        <v>3</v>
      </c>
      <c r="AG72">
        <v>223.2</v>
      </c>
      <c r="AH72">
        <v>3</v>
      </c>
      <c r="AI72">
        <v>223.2</v>
      </c>
      <c r="AJ72">
        <v>4</v>
      </c>
      <c r="AK72">
        <v>297.59999999999997</v>
      </c>
      <c r="AL72">
        <v>6</v>
      </c>
      <c r="AM72">
        <v>446.4</v>
      </c>
      <c r="AN72">
        <v>4</v>
      </c>
      <c r="AO72">
        <v>297.59999999999997</v>
      </c>
      <c r="AP72">
        <v>4</v>
      </c>
      <c r="AQ72">
        <v>297.59999999999997</v>
      </c>
      <c r="AR72">
        <v>4</v>
      </c>
      <c r="AS72">
        <v>297.59999999999997</v>
      </c>
      <c r="AT72">
        <v>3</v>
      </c>
      <c r="AU72">
        <v>223.2</v>
      </c>
      <c r="AV72">
        <v>5.0646029784069171</v>
      </c>
      <c r="AW72">
        <v>376.80646159347458</v>
      </c>
      <c r="AX72">
        <v>4</v>
      </c>
      <c r="AY72">
        <v>297.59999999999997</v>
      </c>
      <c r="AZ72">
        <v>4</v>
      </c>
      <c r="BA72">
        <v>297.59999999999997</v>
      </c>
      <c r="BB72">
        <v>4</v>
      </c>
      <c r="BC72">
        <v>297.59999999999997</v>
      </c>
      <c r="BD72">
        <v>4</v>
      </c>
      <c r="BE72">
        <v>297.59999999999997</v>
      </c>
      <c r="BF72">
        <v>4</v>
      </c>
      <c r="BG72">
        <v>297.59999999999997</v>
      </c>
      <c r="BH72">
        <v>4</v>
      </c>
      <c r="BI72">
        <v>297.59999999999997</v>
      </c>
      <c r="BJ72">
        <v>5.3980206892267404</v>
      </c>
      <c r="BK72">
        <v>401.61273927846946</v>
      </c>
      <c r="BL72">
        <v>7</v>
      </c>
      <c r="BM72">
        <v>520.79999999999995</v>
      </c>
      <c r="BN72">
        <v>5</v>
      </c>
      <c r="BO72">
        <v>371.99999999999994</v>
      </c>
      <c r="BP72">
        <v>4</v>
      </c>
      <c r="BQ72">
        <v>297.59999999999997</v>
      </c>
      <c r="BR72">
        <v>6</v>
      </c>
      <c r="BS72">
        <v>446.4</v>
      </c>
      <c r="BT72">
        <v>3</v>
      </c>
      <c r="BU72">
        <v>223.2</v>
      </c>
      <c r="BV72">
        <v>3</v>
      </c>
      <c r="BW72">
        <v>223.2</v>
      </c>
      <c r="BX72">
        <v>5</v>
      </c>
      <c r="BY72">
        <v>371.99999999999994</v>
      </c>
      <c r="BZ72">
        <v>6.3011357135427906</v>
      </c>
      <c r="CA72">
        <v>468.80449708758357</v>
      </c>
      <c r="CB72">
        <v>4.458075661733802</v>
      </c>
      <c r="CC72">
        <v>331.68082923299482</v>
      </c>
      <c r="CD72">
        <v>4.0286443408869488</v>
      </c>
      <c r="CE72">
        <v>299.73113896198896</v>
      </c>
      <c r="CF72">
        <v>6</v>
      </c>
      <c r="CG72">
        <v>446.4</v>
      </c>
      <c r="CH72">
        <v>3.6453681579294503</v>
      </c>
      <c r="CI72">
        <v>271.21539094995109</v>
      </c>
      <c r="CJ72">
        <v>4.261139690581798</v>
      </c>
      <c r="CK72">
        <v>317.02879297928575</v>
      </c>
      <c r="CL72">
        <v>0.93466839234864485</v>
      </c>
      <c r="CM72">
        <v>69.539328390739172</v>
      </c>
      <c r="CN72">
        <v>6</v>
      </c>
      <c r="CO72">
        <v>446.4</v>
      </c>
      <c r="CP72">
        <v>5</v>
      </c>
      <c r="CQ72">
        <v>371.99999999999994</v>
      </c>
      <c r="CR72">
        <v>5.7044790729944559</v>
      </c>
      <c r="CS72">
        <v>424.41324303078744</v>
      </c>
      <c r="CT72">
        <v>1.9727071190776029</v>
      </c>
      <c r="CU72">
        <v>146.76940965937365</v>
      </c>
    </row>
    <row r="73" spans="2:99">
      <c r="C73" s="99" t="s">
        <v>239</v>
      </c>
      <c r="D73">
        <v>3</v>
      </c>
      <c r="E73">
        <v>1677.6</v>
      </c>
      <c r="F73">
        <v>6</v>
      </c>
      <c r="G73">
        <v>3355.2</v>
      </c>
      <c r="H73">
        <v>3</v>
      </c>
      <c r="I73">
        <v>1677.6</v>
      </c>
      <c r="J73">
        <v>5</v>
      </c>
      <c r="K73">
        <v>2795.9999999999995</v>
      </c>
      <c r="L73">
        <v>4</v>
      </c>
      <c r="M73">
        <v>2236.7999999999997</v>
      </c>
      <c r="N73">
        <v>5</v>
      </c>
      <c r="O73">
        <v>2795.9999999999995</v>
      </c>
      <c r="P73">
        <v>3</v>
      </c>
      <c r="Q73">
        <v>1677.6</v>
      </c>
      <c r="R73">
        <v>5</v>
      </c>
      <c r="S73">
        <v>2795.9999999999995</v>
      </c>
      <c r="T73">
        <v>6.3125709644002264</v>
      </c>
      <c r="U73">
        <v>3529.9896832926061</v>
      </c>
      <c r="V73">
        <v>5.1608804620728561</v>
      </c>
      <c r="W73">
        <v>2885.9643543911407</v>
      </c>
      <c r="X73">
        <v>3</v>
      </c>
      <c r="Y73">
        <v>1677.6</v>
      </c>
      <c r="Z73">
        <v>5</v>
      </c>
      <c r="AA73">
        <v>2795.9999999999995</v>
      </c>
      <c r="AB73">
        <v>5</v>
      </c>
      <c r="AC73">
        <v>2795.9999999999995</v>
      </c>
      <c r="AD73">
        <v>3</v>
      </c>
      <c r="AE73">
        <v>1677.6</v>
      </c>
      <c r="AF73">
        <v>3</v>
      </c>
      <c r="AG73">
        <v>1677.6</v>
      </c>
      <c r="AH73">
        <v>3</v>
      </c>
      <c r="AI73">
        <v>1677.6</v>
      </c>
      <c r="AJ73">
        <v>4</v>
      </c>
      <c r="AK73">
        <v>2236.7999999999997</v>
      </c>
      <c r="AL73">
        <v>6</v>
      </c>
      <c r="AM73">
        <v>3355.2</v>
      </c>
      <c r="AN73">
        <v>3</v>
      </c>
      <c r="AO73">
        <v>1677.6</v>
      </c>
      <c r="AP73">
        <v>5</v>
      </c>
      <c r="AQ73">
        <v>2795.9999999999995</v>
      </c>
      <c r="AR73">
        <v>4</v>
      </c>
      <c r="AS73">
        <v>2236.7999999999997</v>
      </c>
      <c r="AT73">
        <v>3</v>
      </c>
      <c r="AU73">
        <v>1677.6</v>
      </c>
      <c r="AV73">
        <v>5</v>
      </c>
      <c r="AW73">
        <v>2795.9999999999995</v>
      </c>
      <c r="AX73">
        <v>3</v>
      </c>
      <c r="AY73">
        <v>1677.6</v>
      </c>
      <c r="AZ73">
        <v>4</v>
      </c>
      <c r="BA73">
        <v>2236.7999999999997</v>
      </c>
      <c r="BB73">
        <v>4</v>
      </c>
      <c r="BC73">
        <v>2236.7999999999997</v>
      </c>
      <c r="BD73">
        <v>4</v>
      </c>
      <c r="BE73">
        <v>2236.7999999999997</v>
      </c>
      <c r="BF73">
        <v>4</v>
      </c>
      <c r="BG73">
        <v>2236.7999999999997</v>
      </c>
      <c r="BH73">
        <v>4</v>
      </c>
      <c r="BI73">
        <v>2236.7999999999997</v>
      </c>
      <c r="BJ73">
        <v>4.3980206892267404</v>
      </c>
      <c r="BK73">
        <v>2459.3731694155931</v>
      </c>
      <c r="BL73">
        <v>6</v>
      </c>
      <c r="BM73">
        <v>3355.2</v>
      </c>
      <c r="BN73">
        <v>5</v>
      </c>
      <c r="BO73">
        <v>2795.9999999999995</v>
      </c>
      <c r="BP73">
        <v>4</v>
      </c>
      <c r="BQ73">
        <v>2236.7999999999997</v>
      </c>
      <c r="BR73">
        <v>6</v>
      </c>
      <c r="BS73">
        <v>3355.2</v>
      </c>
      <c r="BT73">
        <v>3</v>
      </c>
      <c r="BU73">
        <v>1677.6</v>
      </c>
      <c r="BV73">
        <v>3</v>
      </c>
      <c r="BW73">
        <v>1677.6</v>
      </c>
      <c r="BX73">
        <v>4</v>
      </c>
      <c r="BY73">
        <v>2236.7999999999997</v>
      </c>
      <c r="BZ73">
        <v>6.2676761898158135</v>
      </c>
      <c r="CA73">
        <v>3504.8845253450027</v>
      </c>
      <c r="CB73">
        <v>3.9361945274896253</v>
      </c>
      <c r="CC73">
        <v>2201.1199797721983</v>
      </c>
      <c r="CD73">
        <v>4.0286443408869488</v>
      </c>
      <c r="CE73">
        <v>2252.8179154239815</v>
      </c>
      <c r="CF73">
        <v>6</v>
      </c>
      <c r="CG73">
        <v>3355.2</v>
      </c>
      <c r="CH73">
        <v>3.6453681579294503</v>
      </c>
      <c r="CI73">
        <v>2038.4898739141483</v>
      </c>
      <c r="CJ73">
        <v>4.2635761107568433</v>
      </c>
      <c r="CK73">
        <v>2384.1917611352264</v>
      </c>
      <c r="CL73">
        <v>0.77889032695720395</v>
      </c>
      <c r="CM73">
        <v>435.55547083446839</v>
      </c>
      <c r="CN73">
        <v>5</v>
      </c>
      <c r="CO73">
        <v>2795.9999999999995</v>
      </c>
      <c r="CP73">
        <v>5</v>
      </c>
      <c r="CQ73">
        <v>2795.9999999999995</v>
      </c>
      <c r="CR73">
        <v>5.7044790729944559</v>
      </c>
      <c r="CS73">
        <v>3189.9446976184995</v>
      </c>
      <c r="CT73">
        <v>1.9727071190776029</v>
      </c>
      <c r="CU73">
        <v>1103.1378209881955</v>
      </c>
    </row>
    <row r="74" spans="2:99">
      <c r="C74" s="99" t="s">
        <v>240</v>
      </c>
      <c r="D74">
        <v>3</v>
      </c>
      <c r="E74">
        <v>1209.5999999999999</v>
      </c>
      <c r="F74">
        <v>6</v>
      </c>
      <c r="G74">
        <v>2419.1999999999998</v>
      </c>
      <c r="H74">
        <v>3</v>
      </c>
      <c r="I74">
        <v>1209.5999999999999</v>
      </c>
      <c r="J74">
        <v>5</v>
      </c>
      <c r="K74">
        <v>2016</v>
      </c>
      <c r="L74">
        <v>4</v>
      </c>
      <c r="M74">
        <v>1612.8</v>
      </c>
      <c r="N74">
        <v>6</v>
      </c>
      <c r="O74">
        <v>2419.1999999999998</v>
      </c>
      <c r="P74">
        <v>4</v>
      </c>
      <c r="Q74">
        <v>1612.8</v>
      </c>
      <c r="R74">
        <v>6</v>
      </c>
      <c r="S74">
        <v>2419.1999999999998</v>
      </c>
      <c r="T74">
        <v>5.2841554221820237</v>
      </c>
      <c r="U74">
        <v>2130.571466223792</v>
      </c>
      <c r="V74">
        <v>5.1608804620728561</v>
      </c>
      <c r="W74">
        <v>2080.8670023077757</v>
      </c>
      <c r="X74">
        <v>4</v>
      </c>
      <c r="Y74">
        <v>1612.8</v>
      </c>
      <c r="Z74">
        <v>5</v>
      </c>
      <c r="AA74">
        <v>2016</v>
      </c>
      <c r="AB74">
        <v>5</v>
      </c>
      <c r="AC74">
        <v>2016</v>
      </c>
      <c r="AD74">
        <v>3</v>
      </c>
      <c r="AE74">
        <v>1209.5999999999999</v>
      </c>
      <c r="AF74">
        <v>3</v>
      </c>
      <c r="AG74">
        <v>1209.5999999999999</v>
      </c>
      <c r="AH74">
        <v>3</v>
      </c>
      <c r="AI74">
        <v>1209.5999999999999</v>
      </c>
      <c r="AJ74">
        <v>4</v>
      </c>
      <c r="AK74">
        <v>1612.8</v>
      </c>
      <c r="AL74">
        <v>6</v>
      </c>
      <c r="AM74">
        <v>2419.1999999999998</v>
      </c>
      <c r="AN74">
        <v>3</v>
      </c>
      <c r="AO74">
        <v>1209.5999999999999</v>
      </c>
      <c r="AP74">
        <v>5</v>
      </c>
      <c r="AQ74">
        <v>2016</v>
      </c>
      <c r="AR74">
        <v>4</v>
      </c>
      <c r="AS74">
        <v>1612.8</v>
      </c>
      <c r="AT74">
        <v>3</v>
      </c>
      <c r="AU74">
        <v>1209.5999999999999</v>
      </c>
      <c r="AV74">
        <v>5</v>
      </c>
      <c r="AW74">
        <v>2016</v>
      </c>
      <c r="AX74">
        <v>3</v>
      </c>
      <c r="AY74">
        <v>1209.5999999999999</v>
      </c>
      <c r="AZ74">
        <v>3</v>
      </c>
      <c r="BA74">
        <v>1209.5999999999999</v>
      </c>
      <c r="BB74">
        <v>3</v>
      </c>
      <c r="BC74">
        <v>1209.5999999999999</v>
      </c>
      <c r="BD74">
        <v>5</v>
      </c>
      <c r="BE74">
        <v>2016</v>
      </c>
      <c r="BF74">
        <v>4</v>
      </c>
      <c r="BG74">
        <v>1612.8</v>
      </c>
      <c r="BH74">
        <v>3</v>
      </c>
      <c r="BI74">
        <v>1209.5999999999999</v>
      </c>
      <c r="BJ74">
        <v>4.3980206892267404</v>
      </c>
      <c r="BK74">
        <v>1773.2819418962217</v>
      </c>
      <c r="BL74">
        <v>7</v>
      </c>
      <c r="BM74">
        <v>2822.4</v>
      </c>
      <c r="BN74">
        <v>6</v>
      </c>
      <c r="BO74">
        <v>2419.1999999999998</v>
      </c>
      <c r="BP74">
        <v>4</v>
      </c>
      <c r="BQ74">
        <v>1612.8</v>
      </c>
      <c r="BR74">
        <v>6</v>
      </c>
      <c r="BS74">
        <v>2419.1999999999998</v>
      </c>
      <c r="BT74">
        <v>3</v>
      </c>
      <c r="BU74">
        <v>1209.5999999999999</v>
      </c>
      <c r="BV74">
        <v>3</v>
      </c>
      <c r="BW74">
        <v>1209.5999999999999</v>
      </c>
      <c r="BX74">
        <v>4</v>
      </c>
      <c r="BY74">
        <v>1612.8</v>
      </c>
      <c r="BZ74">
        <v>6.3011357135427906</v>
      </c>
      <c r="CA74">
        <v>2540.6179197004531</v>
      </c>
      <c r="CB74">
        <v>3.9361945274896253</v>
      </c>
      <c r="CC74">
        <v>1587.0736334838168</v>
      </c>
      <c r="CD74">
        <v>4.0286443408869488</v>
      </c>
      <c r="CE74">
        <v>1624.3493982456177</v>
      </c>
      <c r="CF74">
        <v>6</v>
      </c>
      <c r="CG74">
        <v>2419.1999999999998</v>
      </c>
      <c r="CH74">
        <v>3.6453681579294503</v>
      </c>
      <c r="CI74">
        <v>1469.8124412771544</v>
      </c>
      <c r="CJ74">
        <v>4.261139690581798</v>
      </c>
      <c r="CK74">
        <v>1718.0915232425809</v>
      </c>
      <c r="CL74">
        <v>0.77889032695720395</v>
      </c>
      <c r="CM74">
        <v>314.04857982914461</v>
      </c>
      <c r="CN74">
        <v>6</v>
      </c>
      <c r="CO74">
        <v>2419.1999999999998</v>
      </c>
      <c r="CP74">
        <v>5</v>
      </c>
      <c r="CQ74">
        <v>2016</v>
      </c>
      <c r="CR74">
        <v>5.7044790729944559</v>
      </c>
      <c r="CS74">
        <v>2300.0459622313647</v>
      </c>
      <c r="CT74">
        <v>1.6439225992313355</v>
      </c>
      <c r="CU74">
        <v>662.82959201007452</v>
      </c>
    </row>
    <row r="75" spans="2:99">
      <c r="C75" s="99" t="s">
        <v>241</v>
      </c>
      <c r="D75">
        <v>4</v>
      </c>
      <c r="E75">
        <v>2572.7999999999997</v>
      </c>
      <c r="F75">
        <v>6</v>
      </c>
      <c r="G75">
        <v>3859.2</v>
      </c>
      <c r="H75">
        <v>3</v>
      </c>
      <c r="I75">
        <v>1929.6</v>
      </c>
      <c r="J75">
        <v>5</v>
      </c>
      <c r="K75">
        <v>3215.9999999999995</v>
      </c>
      <c r="L75">
        <v>4</v>
      </c>
      <c r="M75">
        <v>2572.7999999999997</v>
      </c>
      <c r="N75">
        <v>6</v>
      </c>
      <c r="O75">
        <v>3859.2</v>
      </c>
      <c r="P75">
        <v>4</v>
      </c>
      <c r="Q75">
        <v>2572.7999999999997</v>
      </c>
      <c r="R75">
        <v>5</v>
      </c>
      <c r="S75">
        <v>3215.9999999999995</v>
      </c>
      <c r="T75">
        <v>5.3125709644002264</v>
      </c>
      <c r="U75">
        <v>3417.0456443022254</v>
      </c>
      <c r="V75">
        <v>5.1608804620728561</v>
      </c>
      <c r="W75">
        <v>3319.4783132052607</v>
      </c>
      <c r="X75">
        <v>4</v>
      </c>
      <c r="Y75">
        <v>2572.7999999999997</v>
      </c>
      <c r="Z75">
        <v>5</v>
      </c>
      <c r="AA75">
        <v>3215.9999999999995</v>
      </c>
      <c r="AB75">
        <v>4</v>
      </c>
      <c r="AC75">
        <v>2572.7999999999997</v>
      </c>
      <c r="AD75">
        <v>3</v>
      </c>
      <c r="AE75">
        <v>1929.6</v>
      </c>
      <c r="AF75">
        <v>3</v>
      </c>
      <c r="AG75">
        <v>1929.6</v>
      </c>
      <c r="AH75">
        <v>3</v>
      </c>
      <c r="AI75">
        <v>1929.6</v>
      </c>
      <c r="AJ75">
        <v>4</v>
      </c>
      <c r="AK75">
        <v>2572.7999999999997</v>
      </c>
      <c r="AL75">
        <v>6</v>
      </c>
      <c r="AM75">
        <v>3859.2</v>
      </c>
      <c r="AN75">
        <v>3</v>
      </c>
      <c r="AO75">
        <v>1929.6</v>
      </c>
      <c r="AP75">
        <v>4</v>
      </c>
      <c r="AQ75">
        <v>2572.7999999999997</v>
      </c>
      <c r="AR75">
        <v>4</v>
      </c>
      <c r="AS75">
        <v>2572.7999999999997</v>
      </c>
      <c r="AT75">
        <v>3</v>
      </c>
      <c r="AU75">
        <v>1929.6</v>
      </c>
      <c r="AV75">
        <v>5</v>
      </c>
      <c r="AW75">
        <v>3215.9999999999995</v>
      </c>
      <c r="AX75">
        <v>3</v>
      </c>
      <c r="AY75">
        <v>1929.6</v>
      </c>
      <c r="AZ75">
        <v>4</v>
      </c>
      <c r="BA75">
        <v>2572.7999999999997</v>
      </c>
      <c r="BB75">
        <v>3</v>
      </c>
      <c r="BC75">
        <v>1929.6</v>
      </c>
      <c r="BD75">
        <v>5</v>
      </c>
      <c r="BE75">
        <v>3215.9999999999995</v>
      </c>
      <c r="BF75">
        <v>4</v>
      </c>
      <c r="BG75">
        <v>2572.7999999999997</v>
      </c>
      <c r="BH75">
        <v>4</v>
      </c>
      <c r="BI75">
        <v>2572.7999999999997</v>
      </c>
      <c r="BJ75">
        <v>4.3482681030733978</v>
      </c>
      <c r="BK75">
        <v>2796.8060438968091</v>
      </c>
      <c r="BL75">
        <v>6</v>
      </c>
      <c r="BM75">
        <v>3859.2</v>
      </c>
      <c r="BN75">
        <v>5</v>
      </c>
      <c r="BO75">
        <v>3215.9999999999995</v>
      </c>
      <c r="BP75">
        <v>4</v>
      </c>
      <c r="BQ75">
        <v>2572.7999999999997</v>
      </c>
      <c r="BR75">
        <v>6</v>
      </c>
      <c r="BS75">
        <v>3859.2</v>
      </c>
      <c r="BT75">
        <v>3</v>
      </c>
      <c r="BU75">
        <v>1929.6</v>
      </c>
      <c r="BV75">
        <v>3</v>
      </c>
      <c r="BW75">
        <v>1929.6</v>
      </c>
      <c r="BX75">
        <v>4</v>
      </c>
      <c r="BY75">
        <v>2572.7999999999997</v>
      </c>
      <c r="BZ75">
        <v>5.3011357135427906</v>
      </c>
      <c r="CA75">
        <v>3409.6904909507225</v>
      </c>
      <c r="CB75">
        <v>3.9361945274896253</v>
      </c>
      <c r="CC75">
        <v>2531.7603200813269</v>
      </c>
      <c r="CD75">
        <v>4.0286443408869488</v>
      </c>
      <c r="CE75">
        <v>2591.2240400584851</v>
      </c>
      <c r="CF75">
        <v>5</v>
      </c>
      <c r="CG75">
        <v>3215.9999999999995</v>
      </c>
      <c r="CH75">
        <v>3.6453681579294503</v>
      </c>
      <c r="CI75">
        <v>2344.700799180222</v>
      </c>
      <c r="CJ75">
        <v>4.2635761107568433</v>
      </c>
      <c r="CK75">
        <v>2742.3321544388014</v>
      </c>
      <c r="CL75">
        <v>0.77889032695720395</v>
      </c>
      <c r="CM75">
        <v>500.98225829887355</v>
      </c>
      <c r="CN75">
        <v>6</v>
      </c>
      <c r="CO75">
        <v>3859.2</v>
      </c>
      <c r="CP75">
        <v>5</v>
      </c>
      <c r="CQ75">
        <v>3215.9999999999995</v>
      </c>
      <c r="CR75">
        <v>5.7032584971822295</v>
      </c>
      <c r="CS75">
        <v>3668.3358653876098</v>
      </c>
      <c r="CT75">
        <v>1.9727071190776029</v>
      </c>
      <c r="CU75">
        <v>1268.8452189907141</v>
      </c>
    </row>
    <row r="76" spans="2:99">
      <c r="C76" s="99" t="s">
        <v>242</v>
      </c>
      <c r="D76">
        <v>4</v>
      </c>
      <c r="E76">
        <v>3115.2</v>
      </c>
      <c r="F76">
        <v>6</v>
      </c>
      <c r="G76">
        <v>4672.7999999999993</v>
      </c>
      <c r="H76">
        <v>3</v>
      </c>
      <c r="I76">
        <v>2336.3999999999996</v>
      </c>
      <c r="J76">
        <v>5</v>
      </c>
      <c r="K76">
        <v>3894</v>
      </c>
      <c r="L76">
        <v>4</v>
      </c>
      <c r="M76">
        <v>3115.2</v>
      </c>
      <c r="N76">
        <v>6</v>
      </c>
      <c r="O76">
        <v>4672.7999999999993</v>
      </c>
      <c r="P76">
        <v>3</v>
      </c>
      <c r="Q76">
        <v>2336.3999999999996</v>
      </c>
      <c r="R76">
        <v>5</v>
      </c>
      <c r="S76">
        <v>3894</v>
      </c>
      <c r="T76">
        <v>5.2841554221820237</v>
      </c>
      <c r="U76">
        <v>4115.3002427953597</v>
      </c>
      <c r="V76">
        <v>5.1608804620728561</v>
      </c>
      <c r="W76">
        <v>4019.29370386234</v>
      </c>
      <c r="X76">
        <v>4</v>
      </c>
      <c r="Y76">
        <v>3115.2</v>
      </c>
      <c r="Z76">
        <v>5</v>
      </c>
      <c r="AA76">
        <v>3894</v>
      </c>
      <c r="AB76">
        <v>4</v>
      </c>
      <c r="AC76">
        <v>3115.2</v>
      </c>
      <c r="AD76">
        <v>3</v>
      </c>
      <c r="AE76">
        <v>2336.3999999999996</v>
      </c>
      <c r="AF76">
        <v>3</v>
      </c>
      <c r="AG76">
        <v>2336.3999999999996</v>
      </c>
      <c r="AH76">
        <v>3</v>
      </c>
      <c r="AI76">
        <v>2336.3999999999996</v>
      </c>
      <c r="AJ76">
        <v>4</v>
      </c>
      <c r="AK76">
        <v>3115.2</v>
      </c>
      <c r="AL76">
        <v>5</v>
      </c>
      <c r="AM76">
        <v>3894</v>
      </c>
      <c r="AN76">
        <v>3</v>
      </c>
      <c r="AO76">
        <v>2336.3999999999996</v>
      </c>
      <c r="AP76">
        <v>5</v>
      </c>
      <c r="AQ76">
        <v>3894</v>
      </c>
      <c r="AR76">
        <v>4</v>
      </c>
      <c r="AS76">
        <v>3115.2</v>
      </c>
      <c r="AT76">
        <v>3</v>
      </c>
      <c r="AU76">
        <v>2336.3999999999996</v>
      </c>
      <c r="AV76">
        <v>5</v>
      </c>
      <c r="AW76">
        <v>3894</v>
      </c>
      <c r="AX76">
        <v>3</v>
      </c>
      <c r="AY76">
        <v>2336.3999999999996</v>
      </c>
      <c r="AZ76">
        <v>3</v>
      </c>
      <c r="BA76">
        <v>2336.3999999999996</v>
      </c>
      <c r="BB76">
        <v>4</v>
      </c>
      <c r="BC76">
        <v>3115.2</v>
      </c>
      <c r="BD76">
        <v>5</v>
      </c>
      <c r="BE76">
        <v>3894</v>
      </c>
      <c r="BF76">
        <v>3</v>
      </c>
      <c r="BG76">
        <v>2336.3999999999996</v>
      </c>
      <c r="BH76">
        <v>4</v>
      </c>
      <c r="BI76">
        <v>3115.2</v>
      </c>
      <c r="BJ76">
        <v>4.3980206892267404</v>
      </c>
      <c r="BK76">
        <v>3425.1785127697854</v>
      </c>
      <c r="BL76">
        <v>6</v>
      </c>
      <c r="BM76">
        <v>4672.7999999999993</v>
      </c>
      <c r="BN76">
        <v>5</v>
      </c>
      <c r="BO76">
        <v>3894</v>
      </c>
      <c r="BP76">
        <v>4</v>
      </c>
      <c r="BQ76">
        <v>3115.2</v>
      </c>
      <c r="BR76">
        <v>5</v>
      </c>
      <c r="BS76">
        <v>3894</v>
      </c>
      <c r="BT76">
        <v>3</v>
      </c>
      <c r="BU76">
        <v>2336.3999999999996</v>
      </c>
      <c r="BV76">
        <v>3</v>
      </c>
      <c r="BW76">
        <v>2336.3999999999996</v>
      </c>
      <c r="BX76">
        <v>4</v>
      </c>
      <c r="BY76">
        <v>3115.2</v>
      </c>
      <c r="BZ76">
        <v>6.3011357135427906</v>
      </c>
      <c r="CA76">
        <v>4907.3244937071249</v>
      </c>
      <c r="CB76">
        <v>3.9361945274896253</v>
      </c>
      <c r="CC76">
        <v>3065.5082980089201</v>
      </c>
      <c r="CD76">
        <v>4.0286443408869488</v>
      </c>
      <c r="CE76">
        <v>3137.5082126827556</v>
      </c>
      <c r="CF76">
        <v>5</v>
      </c>
      <c r="CG76">
        <v>3894</v>
      </c>
      <c r="CH76">
        <v>3.6453681579294503</v>
      </c>
      <c r="CI76">
        <v>2839.0127213954556</v>
      </c>
      <c r="CJ76">
        <v>3.4132973087805203</v>
      </c>
      <c r="CK76">
        <v>2658.2759440782688</v>
      </c>
      <c r="CL76">
        <v>0.77889032695720395</v>
      </c>
      <c r="CM76">
        <v>606.59978663427034</v>
      </c>
      <c r="CN76">
        <v>6</v>
      </c>
      <c r="CO76">
        <v>4672.7999999999993</v>
      </c>
      <c r="CP76">
        <v>5</v>
      </c>
      <c r="CQ76">
        <v>3894</v>
      </c>
      <c r="CR76">
        <v>5.7044790729944559</v>
      </c>
      <c r="CS76">
        <v>4442.6483020480819</v>
      </c>
      <c r="CT76">
        <v>1.9727071190776029</v>
      </c>
      <c r="CU76">
        <v>1536.3443043376371</v>
      </c>
    </row>
    <row r="77" spans="2:99">
      <c r="C77" s="99" t="s">
        <v>243</v>
      </c>
      <c r="D77">
        <v>4</v>
      </c>
      <c r="E77">
        <v>1113.5999999999999</v>
      </c>
      <c r="F77">
        <v>6</v>
      </c>
      <c r="G77">
        <v>1670.3999999999999</v>
      </c>
      <c r="H77">
        <v>3</v>
      </c>
      <c r="I77">
        <v>835.19999999999993</v>
      </c>
      <c r="J77">
        <v>5</v>
      </c>
      <c r="K77">
        <v>1392</v>
      </c>
      <c r="L77">
        <v>4</v>
      </c>
      <c r="M77">
        <v>1113.5999999999999</v>
      </c>
      <c r="N77">
        <v>6</v>
      </c>
      <c r="O77">
        <v>1670.3999999999999</v>
      </c>
      <c r="P77">
        <v>4</v>
      </c>
      <c r="Q77">
        <v>1113.5999999999999</v>
      </c>
      <c r="R77">
        <v>5</v>
      </c>
      <c r="S77">
        <v>1392</v>
      </c>
      <c r="T77">
        <v>5.3125709644002264</v>
      </c>
      <c r="U77">
        <v>1479.0197564890229</v>
      </c>
      <c r="V77">
        <v>5.1608804620728561</v>
      </c>
      <c r="W77">
        <v>1436.7891206410829</v>
      </c>
      <c r="X77">
        <v>4</v>
      </c>
      <c r="Y77">
        <v>1113.5999999999999</v>
      </c>
      <c r="Z77">
        <v>5</v>
      </c>
      <c r="AA77">
        <v>1392</v>
      </c>
      <c r="AB77">
        <v>5</v>
      </c>
      <c r="AC77">
        <v>1392</v>
      </c>
      <c r="AD77">
        <v>3</v>
      </c>
      <c r="AE77">
        <v>835.19999999999993</v>
      </c>
      <c r="AF77">
        <v>3</v>
      </c>
      <c r="AG77">
        <v>835.19999999999993</v>
      </c>
      <c r="AH77">
        <v>4</v>
      </c>
      <c r="AI77">
        <v>1113.5999999999999</v>
      </c>
      <c r="AJ77">
        <v>4</v>
      </c>
      <c r="AK77">
        <v>1113.5999999999999</v>
      </c>
      <c r="AL77">
        <v>6</v>
      </c>
      <c r="AM77">
        <v>1670.3999999999999</v>
      </c>
      <c r="AN77">
        <v>4</v>
      </c>
      <c r="AO77">
        <v>1113.5999999999999</v>
      </c>
      <c r="AP77">
        <v>5</v>
      </c>
      <c r="AQ77">
        <v>1392</v>
      </c>
      <c r="AR77">
        <v>4</v>
      </c>
      <c r="AS77">
        <v>1113.5999999999999</v>
      </c>
      <c r="AT77">
        <v>3</v>
      </c>
      <c r="AU77">
        <v>835.19999999999993</v>
      </c>
      <c r="AV77">
        <v>5</v>
      </c>
      <c r="AW77">
        <v>1392</v>
      </c>
      <c r="AX77">
        <v>4</v>
      </c>
      <c r="AY77">
        <v>1113.5999999999999</v>
      </c>
      <c r="AZ77">
        <v>3</v>
      </c>
      <c r="BA77">
        <v>835.19999999999993</v>
      </c>
      <c r="BB77">
        <v>3</v>
      </c>
      <c r="BC77">
        <v>835.19999999999993</v>
      </c>
      <c r="BD77">
        <v>5</v>
      </c>
      <c r="BE77">
        <v>1392</v>
      </c>
      <c r="BF77">
        <v>4</v>
      </c>
      <c r="BG77">
        <v>1113.5999999999999</v>
      </c>
      <c r="BH77">
        <v>3</v>
      </c>
      <c r="BI77">
        <v>835.19999999999993</v>
      </c>
      <c r="BJ77">
        <v>4.3482681030733978</v>
      </c>
      <c r="BK77">
        <v>1210.5578398956338</v>
      </c>
      <c r="BL77">
        <v>6</v>
      </c>
      <c r="BM77">
        <v>1670.3999999999999</v>
      </c>
      <c r="BN77">
        <v>5</v>
      </c>
      <c r="BO77">
        <v>1392</v>
      </c>
      <c r="BP77">
        <v>4</v>
      </c>
      <c r="BQ77">
        <v>1113.5999999999999</v>
      </c>
      <c r="BR77">
        <v>7</v>
      </c>
      <c r="BS77">
        <v>1948.7999999999997</v>
      </c>
      <c r="BT77">
        <v>3</v>
      </c>
      <c r="BU77">
        <v>835.19999999999993</v>
      </c>
      <c r="BV77">
        <v>3</v>
      </c>
      <c r="BW77">
        <v>835.19999999999993</v>
      </c>
      <c r="BX77">
        <v>4</v>
      </c>
      <c r="BY77">
        <v>1113.5999999999999</v>
      </c>
      <c r="BZ77">
        <v>6.3011357135427906</v>
      </c>
      <c r="CA77">
        <v>1754.2361826503127</v>
      </c>
      <c r="CB77">
        <v>4.4232835861175239</v>
      </c>
      <c r="CC77">
        <v>1231.4421503751187</v>
      </c>
      <c r="CD77">
        <v>4.0286443408869488</v>
      </c>
      <c r="CE77">
        <v>1121.5745845029264</v>
      </c>
      <c r="CF77">
        <v>6</v>
      </c>
      <c r="CG77">
        <v>1670.3999999999999</v>
      </c>
      <c r="CH77">
        <v>4.2529295175843593</v>
      </c>
      <c r="CI77">
        <v>1184.0155776954855</v>
      </c>
      <c r="CJ77">
        <v>3.4206065693056571</v>
      </c>
      <c r="CK77">
        <v>952.29686889469485</v>
      </c>
      <c r="CL77">
        <v>0.77889032695720395</v>
      </c>
      <c r="CM77">
        <v>216.84306702488556</v>
      </c>
      <c r="CN77">
        <v>6</v>
      </c>
      <c r="CO77">
        <v>1670.3999999999999</v>
      </c>
      <c r="CP77">
        <v>5</v>
      </c>
      <c r="CQ77">
        <v>1392</v>
      </c>
      <c r="CR77">
        <v>5.7044790729944559</v>
      </c>
      <c r="CS77">
        <v>1588.1269739216564</v>
      </c>
      <c r="CT77">
        <v>2.3014916389238698</v>
      </c>
      <c r="CU77">
        <v>640.73527227640534</v>
      </c>
    </row>
    <row r="78" spans="2:99">
      <c r="C78" s="99" t="s">
        <v>244</v>
      </c>
      <c r="D78">
        <v>3</v>
      </c>
      <c r="E78">
        <v>1656</v>
      </c>
      <c r="F78">
        <v>5</v>
      </c>
      <c r="G78">
        <v>2760</v>
      </c>
      <c r="H78">
        <v>3</v>
      </c>
      <c r="I78">
        <v>1656</v>
      </c>
      <c r="J78">
        <v>4</v>
      </c>
      <c r="K78">
        <v>2208</v>
      </c>
      <c r="L78">
        <v>4</v>
      </c>
      <c r="M78">
        <v>2208</v>
      </c>
      <c r="N78">
        <v>5</v>
      </c>
      <c r="O78">
        <v>2760</v>
      </c>
      <c r="P78">
        <v>4</v>
      </c>
      <c r="Q78">
        <v>2208</v>
      </c>
      <c r="R78">
        <v>5</v>
      </c>
      <c r="S78">
        <v>2760</v>
      </c>
      <c r="T78">
        <v>5.2841554221820237</v>
      </c>
      <c r="U78">
        <v>2916.8537930444772</v>
      </c>
      <c r="V78">
        <v>5.1608804620728561</v>
      </c>
      <c r="W78">
        <v>2848.8060150642164</v>
      </c>
      <c r="X78">
        <v>4</v>
      </c>
      <c r="Y78">
        <v>2208</v>
      </c>
      <c r="Z78">
        <v>5</v>
      </c>
      <c r="AA78">
        <v>2760</v>
      </c>
      <c r="AB78">
        <v>5</v>
      </c>
      <c r="AC78">
        <v>2760</v>
      </c>
      <c r="AD78">
        <v>3</v>
      </c>
      <c r="AE78">
        <v>1656</v>
      </c>
      <c r="AF78">
        <v>3</v>
      </c>
      <c r="AG78">
        <v>1656</v>
      </c>
      <c r="AH78">
        <v>3</v>
      </c>
      <c r="AI78">
        <v>1656</v>
      </c>
      <c r="AJ78">
        <v>3</v>
      </c>
      <c r="AK78">
        <v>1656</v>
      </c>
      <c r="AL78">
        <v>5</v>
      </c>
      <c r="AM78">
        <v>2760</v>
      </c>
      <c r="AN78">
        <v>3</v>
      </c>
      <c r="AO78">
        <v>1656</v>
      </c>
      <c r="AP78">
        <v>5</v>
      </c>
      <c r="AQ78">
        <v>2760</v>
      </c>
      <c r="AR78">
        <v>4</v>
      </c>
      <c r="AS78">
        <v>2208</v>
      </c>
      <c r="AT78">
        <v>3</v>
      </c>
      <c r="AU78">
        <v>1656</v>
      </c>
      <c r="AV78">
        <v>5</v>
      </c>
      <c r="AW78">
        <v>2760</v>
      </c>
      <c r="AX78">
        <v>4</v>
      </c>
      <c r="AY78">
        <v>2208</v>
      </c>
      <c r="AZ78">
        <v>3</v>
      </c>
      <c r="BA78">
        <v>1656</v>
      </c>
      <c r="BB78">
        <v>4</v>
      </c>
      <c r="BC78">
        <v>2208</v>
      </c>
      <c r="BD78">
        <v>4</v>
      </c>
      <c r="BE78">
        <v>2208</v>
      </c>
      <c r="BF78">
        <v>4</v>
      </c>
      <c r="BG78">
        <v>2208</v>
      </c>
      <c r="BH78">
        <v>4</v>
      </c>
      <c r="BI78">
        <v>2208</v>
      </c>
      <c r="BJ78">
        <v>5.3980206892267404</v>
      </c>
      <c r="BK78">
        <v>2979.7074204531609</v>
      </c>
      <c r="BL78">
        <v>6</v>
      </c>
      <c r="BM78">
        <v>3312</v>
      </c>
      <c r="BN78">
        <v>5</v>
      </c>
      <c r="BO78">
        <v>2760</v>
      </c>
      <c r="BP78">
        <v>4</v>
      </c>
      <c r="BQ78">
        <v>2208</v>
      </c>
      <c r="BR78">
        <v>7</v>
      </c>
      <c r="BS78">
        <v>3864</v>
      </c>
      <c r="BT78">
        <v>3</v>
      </c>
      <c r="BU78">
        <v>1656</v>
      </c>
      <c r="BV78">
        <v>3</v>
      </c>
      <c r="BW78">
        <v>1656</v>
      </c>
      <c r="BX78">
        <v>4</v>
      </c>
      <c r="BY78">
        <v>2208</v>
      </c>
      <c r="BZ78">
        <v>6.2676761898158135</v>
      </c>
      <c r="CA78">
        <v>3459.7572567783291</v>
      </c>
      <c r="CB78">
        <v>3.9361945274896253</v>
      </c>
      <c r="CC78">
        <v>2172.7793791742733</v>
      </c>
      <c r="CD78">
        <v>4.0286443408869488</v>
      </c>
      <c r="CE78">
        <v>2223.8116761695956</v>
      </c>
      <c r="CF78">
        <v>5</v>
      </c>
      <c r="CG78">
        <v>2760</v>
      </c>
      <c r="CH78">
        <v>3.6453681579294503</v>
      </c>
      <c r="CI78">
        <v>2012.2432231770565</v>
      </c>
      <c r="CJ78">
        <v>4.2635761107568433</v>
      </c>
      <c r="CK78">
        <v>2353.4940131377775</v>
      </c>
      <c r="CL78">
        <v>0.77889032695720395</v>
      </c>
      <c r="CM78">
        <v>429.94746048037661</v>
      </c>
      <c r="CN78">
        <v>5</v>
      </c>
      <c r="CO78">
        <v>2760</v>
      </c>
      <c r="CP78">
        <v>4</v>
      </c>
      <c r="CQ78">
        <v>2208</v>
      </c>
      <c r="CR78">
        <v>6.6535981507438962</v>
      </c>
      <c r="CS78">
        <v>3672.7861792106305</v>
      </c>
      <c r="CT78">
        <v>1.9727071190776029</v>
      </c>
      <c r="CU78">
        <v>1088.9343297308367</v>
      </c>
    </row>
    <row r="79" spans="2:99">
      <c r="C79" s="99" t="s">
        <v>245</v>
      </c>
      <c r="D79">
        <v>4</v>
      </c>
      <c r="E79">
        <v>3028.7999999999997</v>
      </c>
      <c r="F79">
        <v>5</v>
      </c>
      <c r="G79">
        <v>3785.9999999999995</v>
      </c>
      <c r="H79">
        <v>3</v>
      </c>
      <c r="I79">
        <v>2271.6</v>
      </c>
      <c r="J79">
        <v>4</v>
      </c>
      <c r="K79">
        <v>3028.7999999999997</v>
      </c>
      <c r="L79">
        <v>4</v>
      </c>
      <c r="M79">
        <v>3028.7999999999997</v>
      </c>
      <c r="N79">
        <v>6</v>
      </c>
      <c r="O79">
        <v>4543.2</v>
      </c>
      <c r="P79">
        <v>3</v>
      </c>
      <c r="Q79">
        <v>2271.6</v>
      </c>
      <c r="R79">
        <v>5</v>
      </c>
      <c r="S79">
        <v>3785.9999999999995</v>
      </c>
      <c r="T79">
        <v>5.3125709644002264</v>
      </c>
      <c r="U79">
        <v>4022.6787342438511</v>
      </c>
      <c r="V79">
        <v>5.1608804620728561</v>
      </c>
      <c r="W79">
        <v>3907.8186858815661</v>
      </c>
      <c r="X79">
        <v>4</v>
      </c>
      <c r="Y79">
        <v>3028.7999999999997</v>
      </c>
      <c r="Z79">
        <v>5</v>
      </c>
      <c r="AA79">
        <v>3785.9999999999995</v>
      </c>
      <c r="AB79">
        <v>5</v>
      </c>
      <c r="AC79">
        <v>3785.9999999999995</v>
      </c>
      <c r="AD79">
        <v>3</v>
      </c>
      <c r="AE79">
        <v>2271.6</v>
      </c>
      <c r="AF79">
        <v>3</v>
      </c>
      <c r="AG79">
        <v>2271.6</v>
      </c>
      <c r="AH79">
        <v>3</v>
      </c>
      <c r="AI79">
        <v>2271.6</v>
      </c>
      <c r="AJ79">
        <v>3</v>
      </c>
      <c r="AK79">
        <v>2271.6</v>
      </c>
      <c r="AL79">
        <v>5</v>
      </c>
      <c r="AM79">
        <v>3785.9999999999995</v>
      </c>
      <c r="AN79">
        <v>3</v>
      </c>
      <c r="AO79">
        <v>2271.6</v>
      </c>
      <c r="AP79">
        <v>5</v>
      </c>
      <c r="AQ79">
        <v>3785.9999999999995</v>
      </c>
      <c r="AR79">
        <v>4</v>
      </c>
      <c r="AS79">
        <v>3028.7999999999997</v>
      </c>
      <c r="AT79">
        <v>3</v>
      </c>
      <c r="AU79">
        <v>2271.6</v>
      </c>
      <c r="AV79">
        <v>4</v>
      </c>
      <c r="AW79">
        <v>3028.7999999999997</v>
      </c>
      <c r="AX79">
        <v>3</v>
      </c>
      <c r="AY79">
        <v>2271.6</v>
      </c>
      <c r="AZ79">
        <v>4</v>
      </c>
      <c r="BA79">
        <v>3028.7999999999997</v>
      </c>
      <c r="BB79">
        <v>3</v>
      </c>
      <c r="BC79">
        <v>2271.6</v>
      </c>
      <c r="BD79">
        <v>4</v>
      </c>
      <c r="BE79">
        <v>3028.7999999999997</v>
      </c>
      <c r="BF79">
        <v>4</v>
      </c>
      <c r="BG79">
        <v>3028.7999999999997</v>
      </c>
      <c r="BH79">
        <v>4</v>
      </c>
      <c r="BI79">
        <v>3028.7999999999997</v>
      </c>
      <c r="BJ79">
        <v>4.3980206892267404</v>
      </c>
      <c r="BK79">
        <v>3330.1812658824874</v>
      </c>
      <c r="BL79">
        <v>6</v>
      </c>
      <c r="BM79">
        <v>4543.2</v>
      </c>
      <c r="BN79">
        <v>6</v>
      </c>
      <c r="BO79">
        <v>4543.2</v>
      </c>
      <c r="BP79">
        <v>4</v>
      </c>
      <c r="BQ79">
        <v>3028.7999999999997</v>
      </c>
      <c r="BR79">
        <v>5</v>
      </c>
      <c r="BS79">
        <v>3785.9999999999995</v>
      </c>
      <c r="BT79">
        <v>3</v>
      </c>
      <c r="BU79">
        <v>2271.6</v>
      </c>
      <c r="BV79">
        <v>3</v>
      </c>
      <c r="BW79">
        <v>2271.6</v>
      </c>
      <c r="BX79">
        <v>4</v>
      </c>
      <c r="BY79">
        <v>3028.7999999999997</v>
      </c>
      <c r="BZ79">
        <v>6.2676761898158135</v>
      </c>
      <c r="CA79">
        <v>4745.8844109285337</v>
      </c>
      <c r="CB79">
        <v>3.9361945274896253</v>
      </c>
      <c r="CC79">
        <v>2980.4864962151441</v>
      </c>
      <c r="CD79">
        <v>4.0286443408869488</v>
      </c>
      <c r="CE79">
        <v>3050.4894949195973</v>
      </c>
      <c r="CF79">
        <v>6</v>
      </c>
      <c r="CG79">
        <v>4543.2</v>
      </c>
      <c r="CH79">
        <v>3.6453681579294503</v>
      </c>
      <c r="CI79">
        <v>2760.2727691841797</v>
      </c>
      <c r="CJ79">
        <v>3.4181701491306113</v>
      </c>
      <c r="CK79">
        <v>2588.2384369216988</v>
      </c>
      <c r="CL79">
        <v>0.77889032695720395</v>
      </c>
      <c r="CM79">
        <v>589.77575557199475</v>
      </c>
      <c r="CN79">
        <v>6</v>
      </c>
      <c r="CO79">
        <v>4543.2</v>
      </c>
      <c r="CP79">
        <v>5</v>
      </c>
      <c r="CQ79">
        <v>3785.9999999999995</v>
      </c>
      <c r="CR79">
        <v>5.7032584971822295</v>
      </c>
      <c r="CS79">
        <v>4318.5073340663839</v>
      </c>
      <c r="CT79">
        <v>1.9727071190776029</v>
      </c>
      <c r="CU79">
        <v>1493.7338305655608</v>
      </c>
    </row>
    <row r="80" spans="2:99">
      <c r="C80" s="99" t="s">
        <v>246</v>
      </c>
      <c r="D80">
        <v>3</v>
      </c>
      <c r="E80">
        <v>2415.6</v>
      </c>
      <c r="F80">
        <v>5</v>
      </c>
      <c r="G80">
        <v>4025.9999999999995</v>
      </c>
      <c r="H80">
        <v>3</v>
      </c>
      <c r="I80">
        <v>2415.6</v>
      </c>
      <c r="J80">
        <v>5</v>
      </c>
      <c r="K80">
        <v>4025.9999999999995</v>
      </c>
      <c r="L80">
        <v>4</v>
      </c>
      <c r="M80">
        <v>3220.7999999999997</v>
      </c>
      <c r="N80">
        <v>6</v>
      </c>
      <c r="O80">
        <v>4831.2</v>
      </c>
      <c r="P80">
        <v>3</v>
      </c>
      <c r="Q80">
        <v>2415.6</v>
      </c>
      <c r="R80">
        <v>5</v>
      </c>
      <c r="S80">
        <v>4025.9999999999995</v>
      </c>
      <c r="T80">
        <v>5.2841554221820237</v>
      </c>
      <c r="U80">
        <v>4254.8019459409652</v>
      </c>
      <c r="V80">
        <v>4.3007337183940466</v>
      </c>
      <c r="W80">
        <v>3462.9507900508861</v>
      </c>
      <c r="X80">
        <v>4</v>
      </c>
      <c r="Y80">
        <v>3220.7999999999997</v>
      </c>
      <c r="Z80">
        <v>5</v>
      </c>
      <c r="AA80">
        <v>4025.9999999999995</v>
      </c>
      <c r="AB80">
        <v>5</v>
      </c>
      <c r="AC80">
        <v>4025.9999999999995</v>
      </c>
      <c r="AD80">
        <v>4</v>
      </c>
      <c r="AE80">
        <v>3220.7999999999997</v>
      </c>
      <c r="AF80">
        <v>3</v>
      </c>
      <c r="AG80">
        <v>2415.6</v>
      </c>
      <c r="AH80">
        <v>3</v>
      </c>
      <c r="AI80">
        <v>2415.6</v>
      </c>
      <c r="AJ80">
        <v>3</v>
      </c>
      <c r="AK80">
        <v>2415.6</v>
      </c>
      <c r="AL80">
        <v>5</v>
      </c>
      <c r="AM80">
        <v>4025.9999999999995</v>
      </c>
      <c r="AN80">
        <v>4</v>
      </c>
      <c r="AO80">
        <v>3220.7999999999997</v>
      </c>
      <c r="AP80">
        <v>4</v>
      </c>
      <c r="AQ80">
        <v>3220.7999999999997</v>
      </c>
      <c r="AR80">
        <v>4</v>
      </c>
      <c r="AS80">
        <v>3220.7999999999997</v>
      </c>
      <c r="AT80">
        <v>3</v>
      </c>
      <c r="AU80">
        <v>2415.6</v>
      </c>
      <c r="AV80">
        <v>5</v>
      </c>
      <c r="AW80">
        <v>4025.9999999999995</v>
      </c>
      <c r="AX80">
        <v>4</v>
      </c>
      <c r="AY80">
        <v>3220.7999999999997</v>
      </c>
      <c r="AZ80">
        <v>3</v>
      </c>
      <c r="BA80">
        <v>2415.6</v>
      </c>
      <c r="BB80">
        <v>3</v>
      </c>
      <c r="BC80">
        <v>2415.6</v>
      </c>
      <c r="BD80">
        <v>5</v>
      </c>
      <c r="BE80">
        <v>4025.9999999999995</v>
      </c>
      <c r="BF80">
        <v>4</v>
      </c>
      <c r="BG80">
        <v>3220.7999999999997</v>
      </c>
      <c r="BH80">
        <v>4</v>
      </c>
      <c r="BI80">
        <v>3220.7999999999997</v>
      </c>
      <c r="BJ80">
        <v>4.3980206892267404</v>
      </c>
      <c r="BK80">
        <v>3541.286258965371</v>
      </c>
      <c r="BL80">
        <v>7</v>
      </c>
      <c r="BM80">
        <v>5636.4</v>
      </c>
      <c r="BN80">
        <v>5</v>
      </c>
      <c r="BO80">
        <v>4025.9999999999995</v>
      </c>
      <c r="BP80">
        <v>4</v>
      </c>
      <c r="BQ80">
        <v>3220.7999999999997</v>
      </c>
      <c r="BR80">
        <v>6</v>
      </c>
      <c r="BS80">
        <v>4831.2</v>
      </c>
      <c r="BT80">
        <v>3</v>
      </c>
      <c r="BU80">
        <v>2415.6</v>
      </c>
      <c r="BV80">
        <v>3</v>
      </c>
      <c r="BW80">
        <v>2415.6</v>
      </c>
      <c r="BX80">
        <v>4</v>
      </c>
      <c r="BY80">
        <v>3220.7999999999997</v>
      </c>
      <c r="BZ80">
        <v>6.3011357135427906</v>
      </c>
      <c r="CA80">
        <v>5073.6744765446547</v>
      </c>
      <c r="CB80">
        <v>4.4232835861175239</v>
      </c>
      <c r="CC80">
        <v>3561.6279435418301</v>
      </c>
      <c r="CD80">
        <v>4.0286443408869488</v>
      </c>
      <c r="CE80">
        <v>3243.8644232821707</v>
      </c>
      <c r="CF80">
        <v>6</v>
      </c>
      <c r="CG80">
        <v>4831.2</v>
      </c>
      <c r="CH80">
        <v>3.6453681579294503</v>
      </c>
      <c r="CI80">
        <v>2935.250440764793</v>
      </c>
      <c r="CJ80">
        <v>4.2635761107568433</v>
      </c>
      <c r="CK80">
        <v>3433.0314843814099</v>
      </c>
      <c r="CL80">
        <v>0.77889032695720395</v>
      </c>
      <c r="CM80">
        <v>627.16249126594062</v>
      </c>
      <c r="CN80">
        <v>6</v>
      </c>
      <c r="CO80">
        <v>4831.2</v>
      </c>
      <c r="CP80">
        <v>5</v>
      </c>
      <c r="CQ80">
        <v>4025.9999999999995</v>
      </c>
      <c r="CR80">
        <v>4.7553599952450156</v>
      </c>
      <c r="CS80">
        <v>3829.0158681712865</v>
      </c>
      <c r="CT80">
        <v>1.9727071190776029</v>
      </c>
      <c r="CU80">
        <v>1588.4237722812857</v>
      </c>
    </row>
    <row r="81" spans="2:99">
      <c r="C81" s="99" t="s">
        <v>247</v>
      </c>
      <c r="D81">
        <v>4</v>
      </c>
      <c r="E81">
        <v>3014.4</v>
      </c>
      <c r="F81">
        <v>5</v>
      </c>
      <c r="G81">
        <v>3768</v>
      </c>
      <c r="H81">
        <v>3</v>
      </c>
      <c r="I81">
        <v>2260.8000000000002</v>
      </c>
      <c r="J81">
        <v>5</v>
      </c>
      <c r="K81">
        <v>3768</v>
      </c>
      <c r="L81">
        <v>4</v>
      </c>
      <c r="M81">
        <v>3014.4</v>
      </c>
      <c r="N81">
        <v>6</v>
      </c>
      <c r="O81">
        <v>4521.6000000000004</v>
      </c>
      <c r="P81">
        <v>4</v>
      </c>
      <c r="Q81">
        <v>3014.4</v>
      </c>
      <c r="R81">
        <v>5</v>
      </c>
      <c r="S81">
        <v>3768</v>
      </c>
      <c r="T81">
        <v>6.2841554221820237</v>
      </c>
      <c r="U81">
        <v>4735.7395261563734</v>
      </c>
      <c r="V81">
        <v>4.3007337183940466</v>
      </c>
      <c r="W81">
        <v>3241.0329301817537</v>
      </c>
      <c r="X81">
        <v>4</v>
      </c>
      <c r="Y81">
        <v>3014.4</v>
      </c>
      <c r="Z81">
        <v>5</v>
      </c>
      <c r="AA81">
        <v>3768</v>
      </c>
      <c r="AB81">
        <v>5</v>
      </c>
      <c r="AC81">
        <v>3768</v>
      </c>
      <c r="AD81">
        <v>3</v>
      </c>
      <c r="AE81">
        <v>2260.8000000000002</v>
      </c>
      <c r="AF81">
        <v>3</v>
      </c>
      <c r="AG81">
        <v>2260.8000000000002</v>
      </c>
      <c r="AH81">
        <v>3</v>
      </c>
      <c r="AI81">
        <v>2260.8000000000002</v>
      </c>
      <c r="AJ81">
        <v>4</v>
      </c>
      <c r="AK81">
        <v>3014.4</v>
      </c>
      <c r="AL81">
        <v>6</v>
      </c>
      <c r="AM81">
        <v>4521.6000000000004</v>
      </c>
      <c r="AN81">
        <v>3</v>
      </c>
      <c r="AO81">
        <v>2260.8000000000002</v>
      </c>
      <c r="AP81">
        <v>5</v>
      </c>
      <c r="AQ81">
        <v>3768</v>
      </c>
      <c r="AR81">
        <v>4</v>
      </c>
      <c r="AS81">
        <v>3014.4</v>
      </c>
      <c r="AT81">
        <v>3</v>
      </c>
      <c r="AU81">
        <v>2260.8000000000002</v>
      </c>
      <c r="AV81">
        <v>5</v>
      </c>
      <c r="AW81">
        <v>3768</v>
      </c>
      <c r="AX81">
        <v>4</v>
      </c>
      <c r="AY81">
        <v>3014.4</v>
      </c>
      <c r="AZ81">
        <v>4</v>
      </c>
      <c r="BA81">
        <v>3014.4</v>
      </c>
      <c r="BB81">
        <v>4</v>
      </c>
      <c r="BC81">
        <v>3014.4</v>
      </c>
      <c r="BD81">
        <v>5</v>
      </c>
      <c r="BE81">
        <v>3768</v>
      </c>
      <c r="BF81">
        <v>3</v>
      </c>
      <c r="BG81">
        <v>2260.8000000000002</v>
      </c>
      <c r="BH81">
        <v>4</v>
      </c>
      <c r="BI81">
        <v>3014.4</v>
      </c>
      <c r="BJ81">
        <v>4.3980206892267404</v>
      </c>
      <c r="BK81">
        <v>3314.3483914012718</v>
      </c>
      <c r="BL81">
        <v>6</v>
      </c>
      <c r="BM81">
        <v>4521.6000000000004</v>
      </c>
      <c r="BN81">
        <v>5</v>
      </c>
      <c r="BO81">
        <v>3768</v>
      </c>
      <c r="BP81">
        <v>4</v>
      </c>
      <c r="BQ81">
        <v>3014.4</v>
      </c>
      <c r="BR81">
        <v>6</v>
      </c>
      <c r="BS81">
        <v>4521.6000000000004</v>
      </c>
      <c r="BT81">
        <v>3</v>
      </c>
      <c r="BU81">
        <v>2260.8000000000002</v>
      </c>
      <c r="BV81">
        <v>3</v>
      </c>
      <c r="BW81">
        <v>2260.8000000000002</v>
      </c>
      <c r="BX81">
        <v>4</v>
      </c>
      <c r="BY81">
        <v>3014.4</v>
      </c>
      <c r="BZ81">
        <v>6.2676761898158135</v>
      </c>
      <c r="CA81">
        <v>4723.3207766451969</v>
      </c>
      <c r="CB81">
        <v>4.4232835861175239</v>
      </c>
      <c r="CC81">
        <v>3333.386510498166</v>
      </c>
      <c r="CD81">
        <v>4.0286443408869488</v>
      </c>
      <c r="CE81">
        <v>3035.9863752924048</v>
      </c>
      <c r="CF81">
        <v>6</v>
      </c>
      <c r="CG81">
        <v>4521.6000000000004</v>
      </c>
      <c r="CH81">
        <v>3.6453681579294503</v>
      </c>
      <c r="CI81">
        <v>2747.1494438156337</v>
      </c>
      <c r="CJ81">
        <v>4.261139690581798</v>
      </c>
      <c r="CK81">
        <v>3211.1948708224431</v>
      </c>
      <c r="CL81">
        <v>0.77889032695720395</v>
      </c>
      <c r="CM81">
        <v>586.97175039494891</v>
      </c>
      <c r="CN81">
        <v>6</v>
      </c>
      <c r="CO81">
        <v>4521.6000000000004</v>
      </c>
      <c r="CP81">
        <v>4</v>
      </c>
      <c r="CQ81">
        <v>3014.4</v>
      </c>
      <c r="CR81">
        <v>5.7032584971822295</v>
      </c>
      <c r="CS81">
        <v>4297.9756034765287</v>
      </c>
      <c r="CT81">
        <v>1.9727071190776029</v>
      </c>
      <c r="CU81">
        <v>1486.6320849368815</v>
      </c>
    </row>
    <row r="82" spans="2:99">
      <c r="C82" s="99" t="s">
        <v>248</v>
      </c>
      <c r="D82">
        <v>4</v>
      </c>
      <c r="E82">
        <v>2035.1999999999996</v>
      </c>
      <c r="F82">
        <v>6</v>
      </c>
      <c r="G82">
        <v>3052.7999999999993</v>
      </c>
      <c r="H82">
        <v>3</v>
      </c>
      <c r="I82">
        <v>1526.3999999999996</v>
      </c>
      <c r="J82">
        <v>5</v>
      </c>
      <c r="K82">
        <v>2543.9999999999995</v>
      </c>
      <c r="L82">
        <v>4</v>
      </c>
      <c r="M82">
        <v>2035.1999999999996</v>
      </c>
      <c r="N82">
        <v>6</v>
      </c>
      <c r="O82">
        <v>3052.7999999999993</v>
      </c>
      <c r="P82">
        <v>3</v>
      </c>
      <c r="Q82">
        <v>1526.3999999999996</v>
      </c>
      <c r="R82">
        <v>5</v>
      </c>
      <c r="S82">
        <v>2543.9999999999995</v>
      </c>
      <c r="T82">
        <v>6.3125709644002264</v>
      </c>
      <c r="U82">
        <v>3211.8361066868347</v>
      </c>
      <c r="V82">
        <v>4.3007337183940466</v>
      </c>
      <c r="W82">
        <v>2188.2133159188907</v>
      </c>
      <c r="X82">
        <v>4</v>
      </c>
      <c r="Y82">
        <v>2035.1999999999996</v>
      </c>
      <c r="Z82">
        <v>5</v>
      </c>
      <c r="AA82">
        <v>2543.9999999999995</v>
      </c>
      <c r="AB82">
        <v>5</v>
      </c>
      <c r="AC82">
        <v>2543.9999999999995</v>
      </c>
      <c r="AD82">
        <v>3</v>
      </c>
      <c r="AE82">
        <v>1526.3999999999996</v>
      </c>
      <c r="AF82">
        <v>3</v>
      </c>
      <c r="AG82">
        <v>1526.3999999999996</v>
      </c>
      <c r="AH82">
        <v>3</v>
      </c>
      <c r="AI82">
        <v>1526.3999999999996</v>
      </c>
      <c r="AJ82">
        <v>4</v>
      </c>
      <c r="AK82">
        <v>2035.1999999999996</v>
      </c>
      <c r="AL82">
        <v>6</v>
      </c>
      <c r="AM82">
        <v>3052.7999999999993</v>
      </c>
      <c r="AN82">
        <v>3</v>
      </c>
      <c r="AO82">
        <v>1526.3999999999996</v>
      </c>
      <c r="AP82">
        <v>4</v>
      </c>
      <c r="AQ82">
        <v>2035.1999999999996</v>
      </c>
      <c r="AR82">
        <v>4</v>
      </c>
      <c r="AS82">
        <v>2035.1999999999996</v>
      </c>
      <c r="AT82">
        <v>3</v>
      </c>
      <c r="AU82">
        <v>1526.3999999999996</v>
      </c>
      <c r="AV82">
        <v>5</v>
      </c>
      <c r="AW82">
        <v>2543.9999999999995</v>
      </c>
      <c r="AX82">
        <v>3</v>
      </c>
      <c r="AY82">
        <v>1526.3999999999996</v>
      </c>
      <c r="AZ82">
        <v>4</v>
      </c>
      <c r="BA82">
        <v>2035.1999999999996</v>
      </c>
      <c r="BB82">
        <v>4</v>
      </c>
      <c r="BC82">
        <v>2035.1999999999996</v>
      </c>
      <c r="BD82">
        <v>5</v>
      </c>
      <c r="BE82">
        <v>2543.9999999999995</v>
      </c>
      <c r="BF82">
        <v>3</v>
      </c>
      <c r="BG82">
        <v>1526.3999999999996</v>
      </c>
      <c r="BH82">
        <v>4</v>
      </c>
      <c r="BI82">
        <v>2035.1999999999996</v>
      </c>
      <c r="BJ82">
        <v>5.3980206892267404</v>
      </c>
      <c r="BK82">
        <v>2746.5129266785648</v>
      </c>
      <c r="BL82">
        <v>7</v>
      </c>
      <c r="BM82">
        <v>3561.5999999999995</v>
      </c>
      <c r="BN82">
        <v>5</v>
      </c>
      <c r="BO82">
        <v>2543.9999999999995</v>
      </c>
      <c r="BP82">
        <v>4</v>
      </c>
      <c r="BQ82">
        <v>2035.1999999999996</v>
      </c>
      <c r="BR82">
        <v>6</v>
      </c>
      <c r="BS82">
        <v>3052.7999999999993</v>
      </c>
      <c r="BT82">
        <v>3</v>
      </c>
      <c r="BU82">
        <v>1526.3999999999996</v>
      </c>
      <c r="BV82">
        <v>3</v>
      </c>
      <c r="BW82">
        <v>1526.3999999999996</v>
      </c>
      <c r="BX82">
        <v>4</v>
      </c>
      <c r="BY82">
        <v>2035.1999999999996</v>
      </c>
      <c r="BZ82">
        <v>6.3011357135427906</v>
      </c>
      <c r="CA82">
        <v>3206.0178510505712</v>
      </c>
      <c r="CB82">
        <v>3.9361945274896253</v>
      </c>
      <c r="CC82">
        <v>2002.735775586721</v>
      </c>
      <c r="CD82">
        <v>4.0286443408869488</v>
      </c>
      <c r="CE82">
        <v>2049.774240643279</v>
      </c>
      <c r="CF82">
        <v>6</v>
      </c>
      <c r="CG82">
        <v>3052.7999999999993</v>
      </c>
      <c r="CH82">
        <v>4.2529295175843593</v>
      </c>
      <c r="CI82">
        <v>2163.8905385469216</v>
      </c>
      <c r="CJ82">
        <v>4.2660125309318895</v>
      </c>
      <c r="CK82">
        <v>2170.5471757381451</v>
      </c>
      <c r="CL82">
        <v>0.77889032695720395</v>
      </c>
      <c r="CM82">
        <v>396.2993983558253</v>
      </c>
      <c r="CN82">
        <v>6</v>
      </c>
      <c r="CO82">
        <v>3052.7999999999993</v>
      </c>
      <c r="CP82">
        <v>5</v>
      </c>
      <c r="CQ82">
        <v>2543.9999999999995</v>
      </c>
      <c r="CR82">
        <v>5.7032584971822295</v>
      </c>
      <c r="CS82">
        <v>2901.8179233663177</v>
      </c>
      <c r="CT82">
        <v>1.9727071190776029</v>
      </c>
      <c r="CU82">
        <v>1003.7133821866842</v>
      </c>
    </row>
    <row r="83" spans="2:99">
      <c r="C83" s="99" t="s">
        <v>249</v>
      </c>
      <c r="D83">
        <v>4</v>
      </c>
      <c r="E83">
        <v>3441.6</v>
      </c>
      <c r="F83">
        <v>6</v>
      </c>
      <c r="G83">
        <v>5162.3999999999996</v>
      </c>
      <c r="H83">
        <v>3</v>
      </c>
      <c r="I83">
        <v>2581.1999999999998</v>
      </c>
      <c r="J83">
        <v>5</v>
      </c>
      <c r="K83">
        <v>4302</v>
      </c>
      <c r="L83">
        <v>4</v>
      </c>
      <c r="M83">
        <v>3441.6</v>
      </c>
      <c r="N83">
        <v>6</v>
      </c>
      <c r="O83">
        <v>5162.3999999999996</v>
      </c>
      <c r="P83">
        <v>3</v>
      </c>
      <c r="Q83">
        <v>2581.1999999999998</v>
      </c>
      <c r="R83">
        <v>6</v>
      </c>
      <c r="S83">
        <v>5162.3999999999996</v>
      </c>
      <c r="T83">
        <v>5.3125709644002264</v>
      </c>
      <c r="U83">
        <v>4570.9360577699545</v>
      </c>
      <c r="V83">
        <v>4.3007337183940466</v>
      </c>
      <c r="W83">
        <v>3700.3512913062377</v>
      </c>
      <c r="X83">
        <v>4</v>
      </c>
      <c r="Y83">
        <v>3441.6</v>
      </c>
      <c r="Z83">
        <v>5</v>
      </c>
      <c r="AA83">
        <v>4302</v>
      </c>
      <c r="AB83">
        <v>5</v>
      </c>
      <c r="AC83">
        <v>4302</v>
      </c>
      <c r="AD83">
        <v>3</v>
      </c>
      <c r="AE83">
        <v>2581.1999999999998</v>
      </c>
      <c r="AF83">
        <v>3</v>
      </c>
      <c r="AG83">
        <v>2581.1999999999998</v>
      </c>
      <c r="AH83">
        <v>3</v>
      </c>
      <c r="AI83">
        <v>2581.1999999999998</v>
      </c>
      <c r="AJ83">
        <v>3</v>
      </c>
      <c r="AK83">
        <v>2581.1999999999998</v>
      </c>
      <c r="AL83">
        <v>6</v>
      </c>
      <c r="AM83">
        <v>5162.3999999999996</v>
      </c>
      <c r="AN83">
        <v>4</v>
      </c>
      <c r="AO83">
        <v>3441.6</v>
      </c>
      <c r="AP83">
        <v>5</v>
      </c>
      <c r="AQ83">
        <v>4302</v>
      </c>
      <c r="AR83">
        <v>4</v>
      </c>
      <c r="AS83">
        <v>3441.6</v>
      </c>
      <c r="AT83">
        <v>3</v>
      </c>
      <c r="AU83">
        <v>2581.1999999999998</v>
      </c>
      <c r="AV83">
        <v>4.0646029784069171</v>
      </c>
      <c r="AW83">
        <v>3497.1844026213112</v>
      </c>
      <c r="AX83">
        <v>3</v>
      </c>
      <c r="AY83">
        <v>2581.1999999999998</v>
      </c>
      <c r="AZ83">
        <v>3</v>
      </c>
      <c r="BA83">
        <v>2581.1999999999998</v>
      </c>
      <c r="BB83">
        <v>4</v>
      </c>
      <c r="BC83">
        <v>3441.6</v>
      </c>
      <c r="BD83">
        <v>4</v>
      </c>
      <c r="BE83">
        <v>3441.6</v>
      </c>
      <c r="BF83">
        <v>4</v>
      </c>
      <c r="BG83">
        <v>3441.6</v>
      </c>
      <c r="BH83">
        <v>4</v>
      </c>
      <c r="BI83">
        <v>3441.6</v>
      </c>
      <c r="BJ83">
        <v>5.3980206892267404</v>
      </c>
      <c r="BK83">
        <v>4644.4570010106872</v>
      </c>
      <c r="BL83">
        <v>6</v>
      </c>
      <c r="BM83">
        <v>5162.3999999999996</v>
      </c>
      <c r="BN83">
        <v>5</v>
      </c>
      <c r="BO83">
        <v>4302</v>
      </c>
      <c r="BP83">
        <v>4</v>
      </c>
      <c r="BQ83">
        <v>3441.6</v>
      </c>
      <c r="BR83">
        <v>6</v>
      </c>
      <c r="BS83">
        <v>5162.3999999999996</v>
      </c>
      <c r="BT83">
        <v>3</v>
      </c>
      <c r="BU83">
        <v>2581.1999999999998</v>
      </c>
      <c r="BV83">
        <v>3</v>
      </c>
      <c r="BW83">
        <v>2581.1999999999998</v>
      </c>
      <c r="BX83">
        <v>4</v>
      </c>
      <c r="BY83">
        <v>3441.6</v>
      </c>
      <c r="BZ83">
        <v>6.3011357135427906</v>
      </c>
      <c r="CA83">
        <v>5421.4971679322171</v>
      </c>
      <c r="CB83">
        <v>3.9361945274896253</v>
      </c>
      <c r="CC83">
        <v>3386.7017714520734</v>
      </c>
      <c r="CD83">
        <v>4.0286443408869488</v>
      </c>
      <c r="CE83">
        <v>3466.2455908991305</v>
      </c>
      <c r="CF83">
        <v>5</v>
      </c>
      <c r="CG83">
        <v>4302</v>
      </c>
      <c r="CH83">
        <v>3.6453681579294503</v>
      </c>
      <c r="CI83">
        <v>3136.4747630824991</v>
      </c>
      <c r="CJ83">
        <v>4.2635761107568433</v>
      </c>
      <c r="CK83">
        <v>3668.3808856951878</v>
      </c>
      <c r="CL83">
        <v>0.62311226156576316</v>
      </c>
      <c r="CM83">
        <v>536.12578985118262</v>
      </c>
      <c r="CN83">
        <v>6</v>
      </c>
      <c r="CO83">
        <v>5162.3999999999996</v>
      </c>
      <c r="CP83">
        <v>5</v>
      </c>
      <c r="CQ83">
        <v>4302</v>
      </c>
      <c r="CR83">
        <v>5.7032584971822295</v>
      </c>
      <c r="CS83">
        <v>4907.0836109755901</v>
      </c>
      <c r="CT83">
        <v>1.9727071190776029</v>
      </c>
      <c r="CU83">
        <v>1697.3172052543696</v>
      </c>
    </row>
    <row r="84" spans="2:99">
      <c r="C84" s="99" t="s">
        <v>250</v>
      </c>
      <c r="D84">
        <v>4</v>
      </c>
      <c r="E84">
        <v>3124.7999999999997</v>
      </c>
      <c r="F84">
        <v>6</v>
      </c>
      <c r="G84">
        <v>4687.2</v>
      </c>
      <c r="H84">
        <v>3</v>
      </c>
      <c r="I84">
        <v>2343.6</v>
      </c>
      <c r="J84">
        <v>4</v>
      </c>
      <c r="K84">
        <v>3124.7999999999997</v>
      </c>
      <c r="L84">
        <v>4</v>
      </c>
      <c r="M84">
        <v>3124.7999999999997</v>
      </c>
      <c r="N84">
        <v>5</v>
      </c>
      <c r="O84">
        <v>3905.9999999999995</v>
      </c>
      <c r="P84">
        <v>4</v>
      </c>
      <c r="Q84">
        <v>3124.7999999999997</v>
      </c>
      <c r="R84">
        <v>5</v>
      </c>
      <c r="S84">
        <v>3905.9999999999995</v>
      </c>
      <c r="T84">
        <v>5.340986506618429</v>
      </c>
      <c r="U84">
        <v>4172.3786589703168</v>
      </c>
      <c r="V84">
        <v>4.3007337183940466</v>
      </c>
      <c r="W84">
        <v>3359.7331808094291</v>
      </c>
      <c r="X84">
        <v>4</v>
      </c>
      <c r="Y84">
        <v>3124.7999999999997</v>
      </c>
      <c r="Z84">
        <v>5</v>
      </c>
      <c r="AA84">
        <v>3905.9999999999995</v>
      </c>
      <c r="AB84">
        <v>4</v>
      </c>
      <c r="AC84">
        <v>3124.7999999999997</v>
      </c>
      <c r="AD84">
        <v>4</v>
      </c>
      <c r="AE84">
        <v>3124.7999999999997</v>
      </c>
      <c r="AF84">
        <v>3</v>
      </c>
      <c r="AG84">
        <v>2343.6</v>
      </c>
      <c r="AH84">
        <v>3</v>
      </c>
      <c r="AI84">
        <v>2343.6</v>
      </c>
      <c r="AJ84">
        <v>3</v>
      </c>
      <c r="AK84">
        <v>2343.6</v>
      </c>
      <c r="AL84">
        <v>6</v>
      </c>
      <c r="AM84">
        <v>4687.2</v>
      </c>
      <c r="AN84">
        <v>3</v>
      </c>
      <c r="AO84">
        <v>2343.6</v>
      </c>
      <c r="AP84">
        <v>5</v>
      </c>
      <c r="AQ84">
        <v>3905.9999999999995</v>
      </c>
      <c r="AR84">
        <v>4</v>
      </c>
      <c r="AS84">
        <v>3124.7999999999997</v>
      </c>
      <c r="AT84">
        <v>3</v>
      </c>
      <c r="AU84">
        <v>2343.6</v>
      </c>
      <c r="AV84">
        <v>5</v>
      </c>
      <c r="AW84">
        <v>3905.9999999999995</v>
      </c>
      <c r="AX84">
        <v>4</v>
      </c>
      <c r="AY84">
        <v>3124.7999999999997</v>
      </c>
      <c r="AZ84">
        <v>3</v>
      </c>
      <c r="BA84">
        <v>2343.6</v>
      </c>
      <c r="BB84">
        <v>4</v>
      </c>
      <c r="BC84">
        <v>3124.7999999999997</v>
      </c>
      <c r="BD84">
        <v>5</v>
      </c>
      <c r="BE84">
        <v>3905.9999999999995</v>
      </c>
      <c r="BF84">
        <v>4</v>
      </c>
      <c r="BG84">
        <v>3124.7999999999997</v>
      </c>
      <c r="BH84">
        <v>4</v>
      </c>
      <c r="BI84">
        <v>3124.7999999999997</v>
      </c>
      <c r="BJ84">
        <v>4.3482681030733978</v>
      </c>
      <c r="BK84">
        <v>3396.8670421209381</v>
      </c>
      <c r="BL84">
        <v>6</v>
      </c>
      <c r="BM84">
        <v>4687.2</v>
      </c>
      <c r="BN84">
        <v>5</v>
      </c>
      <c r="BO84">
        <v>3905.9999999999995</v>
      </c>
      <c r="BP84">
        <v>4</v>
      </c>
      <c r="BQ84">
        <v>3124.7999999999997</v>
      </c>
      <c r="BR84">
        <v>6</v>
      </c>
      <c r="BS84">
        <v>4687.2</v>
      </c>
      <c r="BT84">
        <v>3</v>
      </c>
      <c r="BU84">
        <v>2343.6</v>
      </c>
      <c r="BV84">
        <v>3</v>
      </c>
      <c r="BW84">
        <v>2343.6</v>
      </c>
      <c r="BX84">
        <v>4</v>
      </c>
      <c r="BY84">
        <v>3124.7999999999997</v>
      </c>
      <c r="BZ84">
        <v>6.3011357135427906</v>
      </c>
      <c r="CA84">
        <v>4922.4472194196278</v>
      </c>
      <c r="CB84">
        <v>4.4232835861175239</v>
      </c>
      <c r="CC84">
        <v>3455.4691374750096</v>
      </c>
      <c r="CD84">
        <v>4.0286443408869488</v>
      </c>
      <c r="CE84">
        <v>3147.1769591008842</v>
      </c>
      <c r="CF84">
        <v>5</v>
      </c>
      <c r="CG84">
        <v>3905.9999999999995</v>
      </c>
      <c r="CH84">
        <v>3.6453681579294503</v>
      </c>
      <c r="CI84">
        <v>2847.7616049744865</v>
      </c>
      <c r="CJ84">
        <v>4.261139690581798</v>
      </c>
      <c r="CK84">
        <v>3328.8023262825004</v>
      </c>
      <c r="CL84">
        <v>0.77889032695720395</v>
      </c>
      <c r="CM84">
        <v>608.46912341896768</v>
      </c>
      <c r="CN84">
        <v>6</v>
      </c>
      <c r="CO84">
        <v>4687.2</v>
      </c>
      <c r="CP84">
        <v>5</v>
      </c>
      <c r="CQ84">
        <v>3905.9999999999995</v>
      </c>
      <c r="CR84">
        <v>5.7044790729944559</v>
      </c>
      <c r="CS84">
        <v>4456.3390518232682</v>
      </c>
      <c r="CT84">
        <v>1.6439225992313355</v>
      </c>
      <c r="CU84">
        <v>1284.2323345195193</v>
      </c>
    </row>
    <row r="85" spans="2:99">
      <c r="C85" s="99" t="s">
        <v>251</v>
      </c>
      <c r="D85">
        <v>4</v>
      </c>
      <c r="E85">
        <v>600</v>
      </c>
      <c r="F85">
        <v>5</v>
      </c>
      <c r="G85">
        <v>750</v>
      </c>
      <c r="H85">
        <v>3</v>
      </c>
      <c r="I85">
        <v>450</v>
      </c>
      <c r="J85">
        <v>5</v>
      </c>
      <c r="K85">
        <v>750</v>
      </c>
      <c r="L85">
        <v>4</v>
      </c>
      <c r="M85">
        <v>600</v>
      </c>
      <c r="N85">
        <v>6</v>
      </c>
      <c r="O85">
        <v>900</v>
      </c>
      <c r="P85">
        <v>4</v>
      </c>
      <c r="Q85">
        <v>600</v>
      </c>
      <c r="R85">
        <v>5</v>
      </c>
      <c r="S85">
        <v>750</v>
      </c>
      <c r="T85">
        <v>6.3125709644002264</v>
      </c>
      <c r="U85">
        <v>946.8856446600339</v>
      </c>
      <c r="V85">
        <v>4.3007337183940466</v>
      </c>
      <c r="W85">
        <v>645.11005775910701</v>
      </c>
      <c r="X85">
        <v>4</v>
      </c>
      <c r="Y85">
        <v>600</v>
      </c>
      <c r="Z85">
        <v>5</v>
      </c>
      <c r="AA85">
        <v>750</v>
      </c>
      <c r="AB85">
        <v>5</v>
      </c>
      <c r="AC85">
        <v>750</v>
      </c>
      <c r="AD85">
        <v>3</v>
      </c>
      <c r="AE85">
        <v>450</v>
      </c>
      <c r="AF85">
        <v>3</v>
      </c>
      <c r="AG85">
        <v>450</v>
      </c>
      <c r="AH85">
        <v>4</v>
      </c>
      <c r="AI85">
        <v>600</v>
      </c>
      <c r="AJ85">
        <v>4</v>
      </c>
      <c r="AK85">
        <v>600</v>
      </c>
      <c r="AL85">
        <v>6</v>
      </c>
      <c r="AM85">
        <v>900</v>
      </c>
      <c r="AN85">
        <v>4</v>
      </c>
      <c r="AO85">
        <v>600</v>
      </c>
      <c r="AP85">
        <v>5</v>
      </c>
      <c r="AQ85">
        <v>750</v>
      </c>
      <c r="AR85">
        <v>4</v>
      </c>
      <c r="AS85">
        <v>600</v>
      </c>
      <c r="AT85">
        <v>3</v>
      </c>
      <c r="AU85">
        <v>450</v>
      </c>
      <c r="AV85">
        <v>5</v>
      </c>
      <c r="AW85">
        <v>750</v>
      </c>
      <c r="AX85">
        <v>4</v>
      </c>
      <c r="AY85">
        <v>600</v>
      </c>
      <c r="AZ85">
        <v>3</v>
      </c>
      <c r="BA85">
        <v>450</v>
      </c>
      <c r="BB85">
        <v>4</v>
      </c>
      <c r="BC85">
        <v>600</v>
      </c>
      <c r="BD85">
        <v>5</v>
      </c>
      <c r="BE85">
        <v>750</v>
      </c>
      <c r="BF85">
        <v>4</v>
      </c>
      <c r="BG85">
        <v>600</v>
      </c>
      <c r="BH85">
        <v>4</v>
      </c>
      <c r="BI85">
        <v>600</v>
      </c>
      <c r="BJ85">
        <v>5.3980206892267404</v>
      </c>
      <c r="BK85">
        <v>809.703103384011</v>
      </c>
      <c r="BL85">
        <v>7</v>
      </c>
      <c r="BM85">
        <v>1050</v>
      </c>
      <c r="BN85">
        <v>5</v>
      </c>
      <c r="BO85">
        <v>750</v>
      </c>
      <c r="BP85">
        <v>4</v>
      </c>
      <c r="BQ85">
        <v>600</v>
      </c>
      <c r="BR85">
        <v>7</v>
      </c>
      <c r="BS85">
        <v>1050</v>
      </c>
      <c r="BT85">
        <v>3</v>
      </c>
      <c r="BU85">
        <v>450</v>
      </c>
      <c r="BV85">
        <v>4</v>
      </c>
      <c r="BW85">
        <v>600</v>
      </c>
      <c r="BX85">
        <v>4</v>
      </c>
      <c r="BY85">
        <v>600</v>
      </c>
      <c r="BZ85">
        <v>6.2676761898158135</v>
      </c>
      <c r="CA85">
        <v>940.151428472372</v>
      </c>
      <c r="CB85">
        <v>3.9361945274896253</v>
      </c>
      <c r="CC85">
        <v>590.42917912344376</v>
      </c>
      <c r="CD85">
        <v>4.0286443408869488</v>
      </c>
      <c r="CE85">
        <v>604.29665113304236</v>
      </c>
      <c r="CF85">
        <v>6</v>
      </c>
      <c r="CG85">
        <v>900</v>
      </c>
      <c r="CH85">
        <v>3.6453681579294503</v>
      </c>
      <c r="CI85">
        <v>546.80522368941752</v>
      </c>
      <c r="CJ85">
        <v>3.4181701491306113</v>
      </c>
      <c r="CK85">
        <v>512.72552236959166</v>
      </c>
      <c r="CL85">
        <v>0.77889032695720395</v>
      </c>
      <c r="CM85">
        <v>116.83354904358059</v>
      </c>
      <c r="CN85">
        <v>6</v>
      </c>
      <c r="CO85">
        <v>900</v>
      </c>
      <c r="CP85">
        <v>5</v>
      </c>
      <c r="CQ85">
        <v>750</v>
      </c>
      <c r="CR85">
        <v>5.7044790729944559</v>
      </c>
      <c r="CS85">
        <v>855.67186094916838</v>
      </c>
      <c r="CT85">
        <v>2.3014916389238698</v>
      </c>
      <c r="CU85">
        <v>345.22374583858044</v>
      </c>
    </row>
    <row r="86" spans="2:99">
      <c r="C86" s="99" t="s">
        <v>252</v>
      </c>
      <c r="D86">
        <v>4</v>
      </c>
      <c r="E86">
        <v>2160</v>
      </c>
      <c r="F86">
        <v>6</v>
      </c>
      <c r="G86">
        <v>3240</v>
      </c>
      <c r="H86">
        <v>3</v>
      </c>
      <c r="I86">
        <v>1620</v>
      </c>
      <c r="J86">
        <v>5</v>
      </c>
      <c r="K86">
        <v>2700</v>
      </c>
      <c r="L86">
        <v>4</v>
      </c>
      <c r="M86">
        <v>2160</v>
      </c>
      <c r="N86">
        <v>5</v>
      </c>
      <c r="O86">
        <v>2700</v>
      </c>
      <c r="P86">
        <v>3</v>
      </c>
      <c r="Q86">
        <v>1620</v>
      </c>
      <c r="R86">
        <v>5</v>
      </c>
      <c r="S86">
        <v>2700</v>
      </c>
      <c r="T86">
        <v>6.2841554221820237</v>
      </c>
      <c r="U86">
        <v>3393.4439279782928</v>
      </c>
      <c r="V86">
        <v>5.1608804620728561</v>
      </c>
      <c r="W86">
        <v>2786.8754495193425</v>
      </c>
      <c r="X86">
        <v>4</v>
      </c>
      <c r="Y86">
        <v>2160</v>
      </c>
      <c r="Z86">
        <v>5</v>
      </c>
      <c r="AA86">
        <v>2700</v>
      </c>
      <c r="AB86">
        <v>5</v>
      </c>
      <c r="AC86">
        <v>2700</v>
      </c>
      <c r="AD86">
        <v>3</v>
      </c>
      <c r="AE86">
        <v>1620</v>
      </c>
      <c r="AF86">
        <v>3</v>
      </c>
      <c r="AG86">
        <v>1620</v>
      </c>
      <c r="AH86">
        <v>3</v>
      </c>
      <c r="AI86">
        <v>1620</v>
      </c>
      <c r="AJ86">
        <v>4</v>
      </c>
      <c r="AK86">
        <v>2160</v>
      </c>
      <c r="AL86">
        <v>6</v>
      </c>
      <c r="AM86">
        <v>3240</v>
      </c>
      <c r="AN86">
        <v>3</v>
      </c>
      <c r="AO86">
        <v>1620</v>
      </c>
      <c r="AP86">
        <v>5</v>
      </c>
      <c r="AQ86">
        <v>2700</v>
      </c>
      <c r="AR86">
        <v>4</v>
      </c>
      <c r="AS86">
        <v>2160</v>
      </c>
      <c r="AT86">
        <v>3</v>
      </c>
      <c r="AU86">
        <v>1620</v>
      </c>
      <c r="AV86">
        <v>5</v>
      </c>
      <c r="AW86">
        <v>2700</v>
      </c>
      <c r="AX86">
        <v>3</v>
      </c>
      <c r="AY86">
        <v>1620</v>
      </c>
      <c r="AZ86">
        <v>3</v>
      </c>
      <c r="BA86">
        <v>1620</v>
      </c>
      <c r="BB86">
        <v>3</v>
      </c>
      <c r="BC86">
        <v>1620</v>
      </c>
      <c r="BD86">
        <v>5</v>
      </c>
      <c r="BE86">
        <v>2700</v>
      </c>
      <c r="BF86">
        <v>4</v>
      </c>
      <c r="BG86">
        <v>2160</v>
      </c>
      <c r="BH86">
        <v>4</v>
      </c>
      <c r="BI86">
        <v>2160</v>
      </c>
      <c r="BJ86">
        <v>5.3980206892267404</v>
      </c>
      <c r="BK86">
        <v>2914.9311721824397</v>
      </c>
      <c r="BL86">
        <v>6</v>
      </c>
      <c r="BM86">
        <v>3240</v>
      </c>
      <c r="BN86">
        <v>5</v>
      </c>
      <c r="BO86">
        <v>2700</v>
      </c>
      <c r="BP86">
        <v>4</v>
      </c>
      <c r="BQ86">
        <v>2160</v>
      </c>
      <c r="BR86">
        <v>6</v>
      </c>
      <c r="BS86">
        <v>3240</v>
      </c>
      <c r="BT86">
        <v>4</v>
      </c>
      <c r="BU86">
        <v>2160</v>
      </c>
      <c r="BV86">
        <v>3</v>
      </c>
      <c r="BW86">
        <v>1620</v>
      </c>
      <c r="BX86">
        <v>4</v>
      </c>
      <c r="BY86">
        <v>2160</v>
      </c>
      <c r="BZ86">
        <v>6.3011357135427906</v>
      </c>
      <c r="CA86">
        <v>3402.6132853131071</v>
      </c>
      <c r="CB86">
        <v>3.9361945274896253</v>
      </c>
      <c r="CC86">
        <v>2125.5450448443976</v>
      </c>
      <c r="CD86">
        <v>4.8343732090643394</v>
      </c>
      <c r="CE86">
        <v>2610.5615328947433</v>
      </c>
      <c r="CF86">
        <v>6</v>
      </c>
      <c r="CG86">
        <v>3240</v>
      </c>
      <c r="CH86">
        <v>4.2529295175843593</v>
      </c>
      <c r="CI86">
        <v>2296.5819394955543</v>
      </c>
      <c r="CJ86">
        <v>4.2660125309318895</v>
      </c>
      <c r="CK86">
        <v>2303.6467667032202</v>
      </c>
      <c r="CL86">
        <v>0.77889032695720395</v>
      </c>
      <c r="CM86">
        <v>420.60077655689014</v>
      </c>
      <c r="CN86">
        <v>6</v>
      </c>
      <c r="CO86">
        <v>3240</v>
      </c>
      <c r="CP86">
        <v>4</v>
      </c>
      <c r="CQ86">
        <v>2160</v>
      </c>
      <c r="CR86">
        <v>5.7044790729944559</v>
      </c>
      <c r="CS86">
        <v>3080.4186994170063</v>
      </c>
      <c r="CT86">
        <v>1.6439225992313355</v>
      </c>
      <c r="CU86">
        <v>887.71820358492118</v>
      </c>
    </row>
    <row r="87" spans="2:99">
      <c r="B87" s="99" t="s">
        <v>131</v>
      </c>
      <c r="C87" s="99" t="s">
        <v>253</v>
      </c>
      <c r="D87">
        <v>2.5942803819970353</v>
      </c>
      <c r="E87">
        <v>2786.2571302648157</v>
      </c>
      <c r="F87">
        <v>4.0355782528916899</v>
      </c>
      <c r="G87">
        <v>4334.2110436056746</v>
      </c>
      <c r="H87">
        <v>2.1573761350683465</v>
      </c>
      <c r="I87">
        <v>2317.021969063404</v>
      </c>
      <c r="J87">
        <v>3.0729925078150409</v>
      </c>
      <c r="K87">
        <v>3300.393953393354</v>
      </c>
      <c r="L87">
        <v>1.9422940226722114</v>
      </c>
      <c r="M87">
        <v>2086.0237803499549</v>
      </c>
      <c r="N87">
        <v>3.4970940455386677</v>
      </c>
      <c r="O87">
        <v>3755.8790049085292</v>
      </c>
      <c r="P87">
        <v>2.5720494624188563</v>
      </c>
      <c r="Q87">
        <v>2762.3811226378516</v>
      </c>
      <c r="R87">
        <v>3.0950239760565275</v>
      </c>
      <c r="S87">
        <v>3324.0557502847105</v>
      </c>
      <c r="T87">
        <v>3.3000969440367167</v>
      </c>
      <c r="U87">
        <v>3544.3041178954336</v>
      </c>
      <c r="V87">
        <v>2.7219060339472123</v>
      </c>
      <c r="W87">
        <v>2923.3270804593062</v>
      </c>
      <c r="X87">
        <v>3.9036935215882096</v>
      </c>
      <c r="Y87">
        <v>4192.5668421857372</v>
      </c>
      <c r="Z87">
        <v>0.96861317974687189</v>
      </c>
      <c r="AA87">
        <v>1040.2905550481405</v>
      </c>
      <c r="AB87">
        <v>6</v>
      </c>
      <c r="AC87">
        <v>6444</v>
      </c>
      <c r="AD87">
        <v>1.0759314009126344</v>
      </c>
      <c r="AE87">
        <v>1155.5503245801694</v>
      </c>
      <c r="AF87">
        <v>5.4694656100922954</v>
      </c>
      <c r="AG87">
        <v>5874.2060652391256</v>
      </c>
      <c r="AH87">
        <v>1.1956479845827148</v>
      </c>
      <c r="AI87">
        <v>1284.1259354418357</v>
      </c>
      <c r="AJ87">
        <v>5</v>
      </c>
      <c r="AK87">
        <v>5370</v>
      </c>
      <c r="AL87">
        <v>4</v>
      </c>
      <c r="AM87">
        <v>4296</v>
      </c>
      <c r="AN87">
        <v>3.1820109314421892</v>
      </c>
      <c r="AO87">
        <v>3417.4797403689113</v>
      </c>
      <c r="AP87">
        <v>0.6326637984169442</v>
      </c>
      <c r="AQ87">
        <v>679.48091949979812</v>
      </c>
      <c r="AR87">
        <v>5</v>
      </c>
      <c r="AS87">
        <v>5370</v>
      </c>
      <c r="AT87">
        <v>5.1545892827321653</v>
      </c>
      <c r="AU87">
        <v>5536.0288896543452</v>
      </c>
      <c r="AV87">
        <v>4.0116691467041523</v>
      </c>
      <c r="AW87">
        <v>4308.5326635602596</v>
      </c>
      <c r="AX87">
        <v>1.0254505810198449</v>
      </c>
      <c r="AY87">
        <v>1101.3339240153134</v>
      </c>
      <c r="AZ87">
        <v>2.7371742198435918</v>
      </c>
      <c r="BA87">
        <v>2939.7251121120175</v>
      </c>
      <c r="BB87">
        <v>3.7302568121430482</v>
      </c>
      <c r="BC87">
        <v>4006.2958162416339</v>
      </c>
      <c r="BD87">
        <v>0.86671283366945528</v>
      </c>
      <c r="BE87">
        <v>930.84958336099498</v>
      </c>
      <c r="BF87">
        <v>4.5535631507309242</v>
      </c>
      <c r="BG87">
        <v>4890.5268238850122</v>
      </c>
      <c r="BH87">
        <v>3.7564154891860224</v>
      </c>
      <c r="BI87">
        <v>4034.3902353857879</v>
      </c>
      <c r="BJ87">
        <v>2.9511491721781122</v>
      </c>
      <c r="BK87">
        <v>3169.5342109192925</v>
      </c>
      <c r="BL87">
        <v>0.65763736940708672</v>
      </c>
      <c r="BM87">
        <v>706.30253474321114</v>
      </c>
      <c r="BN87">
        <v>5.3923194746271941</v>
      </c>
      <c r="BO87">
        <v>5791.3511157496068</v>
      </c>
      <c r="BP87">
        <v>2.3187266836839662</v>
      </c>
      <c r="BQ87">
        <v>2490.3124582765795</v>
      </c>
      <c r="BR87">
        <v>6</v>
      </c>
      <c r="BS87">
        <v>6444</v>
      </c>
      <c r="BT87">
        <v>5.0069257199182697</v>
      </c>
      <c r="BU87">
        <v>5377.4382231922218</v>
      </c>
      <c r="BV87">
        <v>5.3963661204902493</v>
      </c>
      <c r="BW87">
        <v>5795.6972134065281</v>
      </c>
      <c r="BX87">
        <v>0.59973819254143124</v>
      </c>
      <c r="BY87">
        <v>644.11881878949714</v>
      </c>
      <c r="BZ87">
        <v>2.6201841756847015</v>
      </c>
      <c r="CA87">
        <v>2814.0778046853693</v>
      </c>
      <c r="CB87">
        <v>5.3522950062852832</v>
      </c>
      <c r="CC87">
        <v>5748.3648367503938</v>
      </c>
      <c r="CD87">
        <v>4.7282846760920645</v>
      </c>
      <c r="CE87">
        <v>5078.1777421228771</v>
      </c>
      <c r="CF87">
        <v>0.74375654873420516</v>
      </c>
      <c r="CG87">
        <v>798.7945333405363</v>
      </c>
      <c r="CH87">
        <v>0.46647891840510525</v>
      </c>
      <c r="CI87">
        <v>500.99835836708303</v>
      </c>
      <c r="CJ87">
        <v>5</v>
      </c>
      <c r="CK87">
        <v>5370</v>
      </c>
      <c r="CL87">
        <v>5.7590881730935628</v>
      </c>
      <c r="CM87">
        <v>6185.2606979024868</v>
      </c>
      <c r="CN87">
        <v>3.7976947208728649</v>
      </c>
      <c r="CO87">
        <v>4078.7241302174571</v>
      </c>
      <c r="CP87">
        <v>4.0708177117585818</v>
      </c>
      <c r="CQ87">
        <v>4372.0582224287164</v>
      </c>
      <c r="CR87">
        <v>2.1332122169673839</v>
      </c>
      <c r="CS87">
        <v>2291.0699210229704</v>
      </c>
      <c r="CT87">
        <v>4.0268366676458154</v>
      </c>
      <c r="CU87">
        <v>4324.822581051606</v>
      </c>
    </row>
    <row r="88" spans="2:99">
      <c r="C88" s="99" t="s">
        <v>254</v>
      </c>
      <c r="D88">
        <v>2.5942803819970353</v>
      </c>
      <c r="E88">
        <v>2574.5638510938579</v>
      </c>
      <c r="F88">
        <v>4.0355782528916899</v>
      </c>
      <c r="G88">
        <v>4004.9078581697131</v>
      </c>
      <c r="H88">
        <v>2.1573761350683465</v>
      </c>
      <c r="I88">
        <v>2140.9800764418269</v>
      </c>
      <c r="J88">
        <v>3.0729925078150409</v>
      </c>
      <c r="K88">
        <v>3049.6377647556465</v>
      </c>
      <c r="L88">
        <v>2.545582651468238</v>
      </c>
      <c r="M88">
        <v>2526.2362233170793</v>
      </c>
      <c r="N88">
        <v>2.9231743630525782</v>
      </c>
      <c r="O88">
        <v>2900.9582378933783</v>
      </c>
      <c r="P88">
        <v>3.2119512341149643</v>
      </c>
      <c r="Q88">
        <v>3187.5404047356906</v>
      </c>
      <c r="R88">
        <v>2.4918076150119588</v>
      </c>
      <c r="S88">
        <v>2472.8698771378677</v>
      </c>
      <c r="T88">
        <v>3.9272462844997653</v>
      </c>
      <c r="U88">
        <v>3897.3992127375668</v>
      </c>
      <c r="V88">
        <v>2.7219060339472123</v>
      </c>
      <c r="W88">
        <v>2701.2195480892133</v>
      </c>
      <c r="X88">
        <v>4.5429356169269512</v>
      </c>
      <c r="Y88">
        <v>4508.4093062383063</v>
      </c>
      <c r="Z88">
        <v>0.96861317974687189</v>
      </c>
      <c r="AA88">
        <v>961.25171958079568</v>
      </c>
      <c r="AB88">
        <v>6.4225883177830898</v>
      </c>
      <c r="AC88">
        <v>6373.7766465679379</v>
      </c>
      <c r="AD88">
        <v>1.0759314009126344</v>
      </c>
      <c r="AE88">
        <v>1067.7543222656984</v>
      </c>
      <c r="AF88">
        <v>5.7371224170960708</v>
      </c>
      <c r="AG88">
        <v>5693.5202867261405</v>
      </c>
      <c r="AH88">
        <v>1.1956479845827148</v>
      </c>
      <c r="AI88">
        <v>1186.5610598998862</v>
      </c>
      <c r="AJ88">
        <v>5</v>
      </c>
      <c r="AK88">
        <v>4962</v>
      </c>
      <c r="AL88">
        <v>4</v>
      </c>
      <c r="AM88">
        <v>3969.6</v>
      </c>
      <c r="AN88">
        <v>3.1616696236622825</v>
      </c>
      <c r="AO88">
        <v>3137.6409345224492</v>
      </c>
      <c r="AP88">
        <v>0.6326637984169442</v>
      </c>
      <c r="AQ88">
        <v>627.85555354897542</v>
      </c>
      <c r="AR88">
        <v>5</v>
      </c>
      <c r="AS88">
        <v>4962</v>
      </c>
      <c r="AT88">
        <v>5.1545892827321653</v>
      </c>
      <c r="AU88">
        <v>5115.4144041834006</v>
      </c>
      <c r="AV88">
        <v>3.9741029871629645</v>
      </c>
      <c r="AW88">
        <v>3943.899804460526</v>
      </c>
      <c r="AX88">
        <v>1.0175445850372953</v>
      </c>
      <c r="AY88">
        <v>1009.8112461910118</v>
      </c>
      <c r="AZ88">
        <v>2.7371742198435918</v>
      </c>
      <c r="BA88">
        <v>2716.3716957727802</v>
      </c>
      <c r="BB88">
        <v>3.7389643749134893</v>
      </c>
      <c r="BC88">
        <v>3710.5482456641466</v>
      </c>
      <c r="BD88">
        <v>0.86671283366945528</v>
      </c>
      <c r="BE88">
        <v>860.12581613356735</v>
      </c>
      <c r="BF88">
        <v>5.4321878832280452</v>
      </c>
      <c r="BG88">
        <v>5390.9032553155121</v>
      </c>
      <c r="BH88">
        <v>3.7564154891860224</v>
      </c>
      <c r="BI88">
        <v>3727.8667314682084</v>
      </c>
      <c r="BJ88">
        <v>4.1108509467823859</v>
      </c>
      <c r="BK88">
        <v>4079.6084795868396</v>
      </c>
      <c r="BL88">
        <v>0.65763736940708672</v>
      </c>
      <c r="BM88">
        <v>652.63932539959285</v>
      </c>
      <c r="BN88">
        <v>5.3923194746271941</v>
      </c>
      <c r="BO88">
        <v>5351.3378466200274</v>
      </c>
      <c r="BP88">
        <v>2.3187266836839662</v>
      </c>
      <c r="BQ88">
        <v>2301.1043608879681</v>
      </c>
      <c r="BR88">
        <v>5</v>
      </c>
      <c r="BS88">
        <v>4962</v>
      </c>
      <c r="BT88">
        <v>4.0130879967723612</v>
      </c>
      <c r="BU88">
        <v>3982.5885279968911</v>
      </c>
      <c r="BV88">
        <v>5.3862903008936129</v>
      </c>
      <c r="BW88">
        <v>5345.3544946068214</v>
      </c>
      <c r="BX88">
        <v>0.73497601229987652</v>
      </c>
      <c r="BY88">
        <v>729.39019460639747</v>
      </c>
      <c r="BZ88">
        <v>2.6201841756847015</v>
      </c>
      <c r="CA88">
        <v>2600.2707759494979</v>
      </c>
      <c r="CB88">
        <v>6.2443441739994974</v>
      </c>
      <c r="CC88">
        <v>6196.8871582771008</v>
      </c>
      <c r="CD88">
        <v>5.571754450737382</v>
      </c>
      <c r="CE88">
        <v>5529.4091169117773</v>
      </c>
      <c r="CF88">
        <v>0.74375654873420516</v>
      </c>
      <c r="CG88">
        <v>738.10399896382523</v>
      </c>
      <c r="CH88">
        <v>0.46647891840510525</v>
      </c>
      <c r="CI88">
        <v>462.93367862522643</v>
      </c>
      <c r="CJ88">
        <v>4</v>
      </c>
      <c r="CK88">
        <v>3969.6</v>
      </c>
      <c r="CL88">
        <v>5.7590881730935628</v>
      </c>
      <c r="CM88">
        <v>5715.3191029780519</v>
      </c>
      <c r="CN88">
        <v>4.4126228561337921</v>
      </c>
      <c r="CO88">
        <v>4379.0869224271755</v>
      </c>
      <c r="CP88">
        <v>4.6290211423196066</v>
      </c>
      <c r="CQ88">
        <v>4593.8405816379773</v>
      </c>
      <c r="CR88">
        <v>2.6665152712092297</v>
      </c>
      <c r="CS88">
        <v>2646.2497551480396</v>
      </c>
      <c r="CT88">
        <v>4.0268366676458154</v>
      </c>
      <c r="CU88">
        <v>3996.2327089717069</v>
      </c>
    </row>
    <row r="89" spans="2:99">
      <c r="C89" s="99" t="s">
        <v>255</v>
      </c>
      <c r="D89">
        <v>2.5942803819970353</v>
      </c>
      <c r="E89">
        <v>2755.1257656808516</v>
      </c>
      <c r="F89">
        <v>4.0355782528916899</v>
      </c>
      <c r="G89">
        <v>4285.7841045709747</v>
      </c>
      <c r="H89">
        <v>2.1573761350683465</v>
      </c>
      <c r="I89">
        <v>2291.1334554425839</v>
      </c>
      <c r="J89">
        <v>3.0729925078150409</v>
      </c>
      <c r="K89">
        <v>3263.5180432995735</v>
      </c>
      <c r="L89">
        <v>2.5235112954208829</v>
      </c>
      <c r="M89">
        <v>2679.9689957369778</v>
      </c>
      <c r="N89">
        <v>2.915520655820846</v>
      </c>
      <c r="O89">
        <v>3096.2829364817385</v>
      </c>
      <c r="P89">
        <v>2.5487514571570511</v>
      </c>
      <c r="Q89">
        <v>2706.7740475007881</v>
      </c>
      <c r="R89">
        <v>2.4786505865396777</v>
      </c>
      <c r="S89">
        <v>2632.326922905138</v>
      </c>
      <c r="T89">
        <v>3.9272462844997653</v>
      </c>
      <c r="U89">
        <v>4170.7355541387506</v>
      </c>
      <c r="V89">
        <v>2.7219060339472123</v>
      </c>
      <c r="W89">
        <v>2890.6642080519396</v>
      </c>
      <c r="X89">
        <v>3.9122236402826798</v>
      </c>
      <c r="Y89">
        <v>4154.781505980206</v>
      </c>
      <c r="Z89">
        <v>0.96861317974687189</v>
      </c>
      <c r="AA89">
        <v>1028.667196891178</v>
      </c>
      <c r="AB89">
        <v>6</v>
      </c>
      <c r="AC89">
        <v>6372</v>
      </c>
      <c r="AD89">
        <v>1.344914251140793</v>
      </c>
      <c r="AE89">
        <v>1428.2989347115222</v>
      </c>
      <c r="AF89">
        <v>6.3810432117743447</v>
      </c>
      <c r="AG89">
        <v>6776.667890904354</v>
      </c>
      <c r="AH89">
        <v>0.95651838766617192</v>
      </c>
      <c r="AI89">
        <v>1015.8225277014745</v>
      </c>
      <c r="AJ89">
        <v>5</v>
      </c>
      <c r="AK89">
        <v>5310</v>
      </c>
      <c r="AL89">
        <v>4</v>
      </c>
      <c r="AM89">
        <v>4248</v>
      </c>
      <c r="AN89">
        <v>3.1820109314421892</v>
      </c>
      <c r="AO89">
        <v>3379.2956091916049</v>
      </c>
      <c r="AP89">
        <v>0.6326637984169442</v>
      </c>
      <c r="AQ89">
        <v>671.88895391879475</v>
      </c>
      <c r="AR89">
        <v>5</v>
      </c>
      <c r="AS89">
        <v>5310</v>
      </c>
      <c r="AT89">
        <v>5.1545892827321653</v>
      </c>
      <c r="AU89">
        <v>5474.17381826156</v>
      </c>
      <c r="AV89">
        <v>3.0557095594545989</v>
      </c>
      <c r="AW89">
        <v>3245.1635521407838</v>
      </c>
      <c r="AX89">
        <v>1.0175445850372953</v>
      </c>
      <c r="AY89">
        <v>1080.6323493096077</v>
      </c>
      <c r="AZ89">
        <v>2.346149331294507</v>
      </c>
      <c r="BA89">
        <v>2491.6105898347664</v>
      </c>
      <c r="BB89">
        <v>3.7389643749134893</v>
      </c>
      <c r="BC89">
        <v>3970.7801661581257</v>
      </c>
      <c r="BD89">
        <v>1.0111649726143646</v>
      </c>
      <c r="BE89">
        <v>1073.8572009164552</v>
      </c>
      <c r="BF89">
        <v>4.6177389460290525</v>
      </c>
      <c r="BG89">
        <v>4904.0387606828535</v>
      </c>
      <c r="BH89">
        <v>3.7788177187470327</v>
      </c>
      <c r="BI89">
        <v>4013.1044173093487</v>
      </c>
      <c r="BJ89">
        <v>4.1182644804491613</v>
      </c>
      <c r="BK89">
        <v>4373.5968782370092</v>
      </c>
      <c r="BL89">
        <v>0.65763736940708672</v>
      </c>
      <c r="BM89">
        <v>698.41088631032608</v>
      </c>
      <c r="BN89">
        <v>4.3432795402987949</v>
      </c>
      <c r="BO89">
        <v>4612.5628717973204</v>
      </c>
      <c r="BP89">
        <v>2.3187266836839662</v>
      </c>
      <c r="BQ89">
        <v>2462.4877380723719</v>
      </c>
      <c r="BR89">
        <v>5</v>
      </c>
      <c r="BS89">
        <v>5310</v>
      </c>
      <c r="BT89">
        <v>5.0069257199182697</v>
      </c>
      <c r="BU89">
        <v>5317.3551145532028</v>
      </c>
      <c r="BV89">
        <v>5.3862903008936129</v>
      </c>
      <c r="BW89">
        <v>5720.2402995490165</v>
      </c>
      <c r="BX89">
        <v>0.73987492175884739</v>
      </c>
      <c r="BY89">
        <v>785.74716690789592</v>
      </c>
      <c r="BZ89">
        <v>1.9651381317635264</v>
      </c>
      <c r="CA89">
        <v>2086.9766959328649</v>
      </c>
      <c r="CB89">
        <v>6.2443441739994974</v>
      </c>
      <c r="CC89">
        <v>6631.493512787466</v>
      </c>
      <c r="CD89">
        <v>4.6857066925199407</v>
      </c>
      <c r="CE89">
        <v>4976.2205074561771</v>
      </c>
      <c r="CF89">
        <v>0.74375654873420516</v>
      </c>
      <c r="CG89">
        <v>789.86945475572588</v>
      </c>
      <c r="CH89">
        <v>0.46647891840510525</v>
      </c>
      <c r="CI89">
        <v>495.40061134622175</v>
      </c>
      <c r="CJ89">
        <v>5</v>
      </c>
      <c r="CK89">
        <v>5310</v>
      </c>
      <c r="CL89">
        <v>6.7189362019424896</v>
      </c>
      <c r="CM89">
        <v>7135.5102464629244</v>
      </c>
      <c r="CN89">
        <v>5.0491761732561793</v>
      </c>
      <c r="CO89">
        <v>5362.225095998062</v>
      </c>
      <c r="CP89">
        <v>3.9677324077025204</v>
      </c>
      <c r="CQ89">
        <v>4213.7318169800765</v>
      </c>
      <c r="CR89">
        <v>2.3513328734611716</v>
      </c>
      <c r="CS89">
        <v>2497.1155116157643</v>
      </c>
      <c r="CT89">
        <v>4.0268366676458154</v>
      </c>
      <c r="CU89">
        <v>4276.5005410398562</v>
      </c>
    </row>
    <row r="90" spans="2:99">
      <c r="C90" s="99" t="s">
        <v>256</v>
      </c>
      <c r="D90">
        <v>2.5942803819970353</v>
      </c>
      <c r="E90">
        <v>2876.5380875583128</v>
      </c>
      <c r="F90">
        <v>4.0355782528916899</v>
      </c>
      <c r="G90">
        <v>4474.6491668063054</v>
      </c>
      <c r="H90">
        <v>2.1573761350683465</v>
      </c>
      <c r="I90">
        <v>2392.0986585637825</v>
      </c>
      <c r="J90">
        <v>3.0729925078150409</v>
      </c>
      <c r="K90">
        <v>3407.3340926653173</v>
      </c>
      <c r="L90">
        <v>2.545582651468238</v>
      </c>
      <c r="M90">
        <v>2822.5420439479822</v>
      </c>
      <c r="N90">
        <v>2.9231743630525782</v>
      </c>
      <c r="O90">
        <v>3241.2157337526987</v>
      </c>
      <c r="P90">
        <v>2.5720494624188563</v>
      </c>
      <c r="Q90">
        <v>2851.8884439300277</v>
      </c>
      <c r="R90">
        <v>2.4918076150119588</v>
      </c>
      <c r="S90">
        <v>2762.9162835252596</v>
      </c>
      <c r="T90">
        <v>3.3000969440367167</v>
      </c>
      <c r="U90">
        <v>3659.1474915479112</v>
      </c>
      <c r="V90">
        <v>2.7219060339472123</v>
      </c>
      <c r="W90">
        <v>3018.0494104406689</v>
      </c>
      <c r="X90">
        <v>3.9122236402826798</v>
      </c>
      <c r="Y90">
        <v>4337.8735723454356</v>
      </c>
      <c r="Z90">
        <v>0.96861317974687189</v>
      </c>
      <c r="AA90">
        <v>1073.9982937033315</v>
      </c>
      <c r="AB90">
        <v>6</v>
      </c>
      <c r="AC90">
        <v>6652.7999999999993</v>
      </c>
      <c r="AD90">
        <v>1.344914251140793</v>
      </c>
      <c r="AE90">
        <v>1491.2409216649112</v>
      </c>
      <c r="AF90">
        <v>6.3810432117743447</v>
      </c>
      <c r="AG90">
        <v>7075.3007132153934</v>
      </c>
      <c r="AH90">
        <v>1.1956479845827148</v>
      </c>
      <c r="AI90">
        <v>1325.7344853053141</v>
      </c>
      <c r="AJ90">
        <v>5</v>
      </c>
      <c r="AK90">
        <v>5544</v>
      </c>
      <c r="AL90">
        <v>4</v>
      </c>
      <c r="AM90">
        <v>4435.2</v>
      </c>
      <c r="AN90">
        <v>3.1616696236622825</v>
      </c>
      <c r="AO90">
        <v>3505.6592787167388</v>
      </c>
      <c r="AP90">
        <v>0.6326637984169442</v>
      </c>
      <c r="AQ90">
        <v>701.49761968470773</v>
      </c>
      <c r="AR90">
        <v>5</v>
      </c>
      <c r="AS90">
        <v>5544</v>
      </c>
      <c r="AT90">
        <v>5.1545892827321653</v>
      </c>
      <c r="AU90">
        <v>5715.4085966934244</v>
      </c>
      <c r="AV90">
        <v>3.9741029871629645</v>
      </c>
      <c r="AW90">
        <v>4406.4853921662952</v>
      </c>
      <c r="AX90">
        <v>1.0254505810198449</v>
      </c>
      <c r="AY90">
        <v>1137.0196042348039</v>
      </c>
      <c r="AZ90">
        <v>2.7371742198435918</v>
      </c>
      <c r="BA90">
        <v>3034.9787749625743</v>
      </c>
      <c r="BB90">
        <v>3.7389643749134893</v>
      </c>
      <c r="BC90">
        <v>4145.7636989040766</v>
      </c>
      <c r="BD90">
        <v>1.0111649726143646</v>
      </c>
      <c r="BE90">
        <v>1121.1797216348073</v>
      </c>
      <c r="BF90">
        <v>5.4321878832280452</v>
      </c>
      <c r="BG90">
        <v>6023.209924923256</v>
      </c>
      <c r="BH90">
        <v>3.7564154891860224</v>
      </c>
      <c r="BI90">
        <v>4165.1134944094611</v>
      </c>
      <c r="BJ90">
        <v>3.5384135931470246</v>
      </c>
      <c r="BK90">
        <v>3923.3929920814207</v>
      </c>
      <c r="BL90">
        <v>0.65763736940708672</v>
      </c>
      <c r="BM90">
        <v>729.1883151985777</v>
      </c>
      <c r="BN90">
        <v>5.3923194746271941</v>
      </c>
      <c r="BO90">
        <v>5979.0038334666324</v>
      </c>
      <c r="BP90">
        <v>2.3187266836839662</v>
      </c>
      <c r="BQ90">
        <v>2571.0041468687814</v>
      </c>
      <c r="BR90">
        <v>5</v>
      </c>
      <c r="BS90">
        <v>5544</v>
      </c>
      <c r="BT90">
        <v>4.0319565488667237</v>
      </c>
      <c r="BU90">
        <v>4470.6334213834234</v>
      </c>
      <c r="BV90">
        <v>5.3862903008936129</v>
      </c>
      <c r="BW90">
        <v>5972.3186856308375</v>
      </c>
      <c r="BX90">
        <v>0.70068364608708067</v>
      </c>
      <c r="BY90">
        <v>776.91802678135502</v>
      </c>
      <c r="BZ90">
        <v>2.6201841756847015</v>
      </c>
      <c r="CA90">
        <v>2905.2602139991968</v>
      </c>
      <c r="CB90">
        <v>6.2443441739994974</v>
      </c>
      <c r="CC90">
        <v>6923.7288201306428</v>
      </c>
      <c r="CD90">
        <v>4.7282846760920645</v>
      </c>
      <c r="CE90">
        <v>5242.722048850881</v>
      </c>
      <c r="CF90">
        <v>0.74375654873420516</v>
      </c>
      <c r="CG90">
        <v>824.67726123648663</v>
      </c>
      <c r="CH90">
        <v>0.46647891840510525</v>
      </c>
      <c r="CI90">
        <v>517.23182472758072</v>
      </c>
      <c r="CJ90">
        <v>5</v>
      </c>
      <c r="CK90">
        <v>5544</v>
      </c>
      <c r="CL90">
        <v>5.7590881730935628</v>
      </c>
      <c r="CM90">
        <v>6385.6769663261421</v>
      </c>
      <c r="CN90">
        <v>3.7976947208728649</v>
      </c>
      <c r="CO90">
        <v>4210.8839065038328</v>
      </c>
      <c r="CP90">
        <v>4.744992109382677</v>
      </c>
      <c r="CQ90">
        <v>5261.2472508835117</v>
      </c>
      <c r="CR90">
        <v>2.6665152712092297</v>
      </c>
      <c r="CS90">
        <v>2956.6321327167939</v>
      </c>
      <c r="CT90">
        <v>4.0268366676458154</v>
      </c>
      <c r="CU90">
        <v>4464.95649708568</v>
      </c>
    </row>
    <row r="91" spans="2:99">
      <c r="C91" s="99" t="s">
        <v>257</v>
      </c>
      <c r="D91">
        <v>2.5942803819970353</v>
      </c>
      <c r="E91">
        <v>2948.1402261014305</v>
      </c>
      <c r="F91">
        <v>4.1168522020353295</v>
      </c>
      <c r="G91">
        <v>4678.3908423929479</v>
      </c>
      <c r="H91">
        <v>2.1573761350683465</v>
      </c>
      <c r="I91">
        <v>2451.6422398916689</v>
      </c>
      <c r="J91">
        <v>3.0949580877579077</v>
      </c>
      <c r="K91">
        <v>3517.110370928086</v>
      </c>
      <c r="L91">
        <v>2.545582651468238</v>
      </c>
      <c r="M91">
        <v>2892.8001251285054</v>
      </c>
      <c r="N91">
        <v>2.915520655820846</v>
      </c>
      <c r="O91">
        <v>3313.1976732748089</v>
      </c>
      <c r="P91">
        <v>2.5720494624188563</v>
      </c>
      <c r="Q91">
        <v>2922.8770090927878</v>
      </c>
      <c r="R91">
        <v>3.0950239760565275</v>
      </c>
      <c r="S91">
        <v>3517.1852463906375</v>
      </c>
      <c r="T91">
        <v>3.9421872155653541</v>
      </c>
      <c r="U91">
        <v>4479.9015517684675</v>
      </c>
      <c r="V91">
        <v>2.7219060339472123</v>
      </c>
      <c r="W91">
        <v>3093.1740169776117</v>
      </c>
      <c r="X91">
        <v>4.551465735621421</v>
      </c>
      <c r="Y91">
        <v>5172.2856619601826</v>
      </c>
      <c r="Z91">
        <v>0.96861317974687189</v>
      </c>
      <c r="AA91">
        <v>1100.7320174643451</v>
      </c>
      <c r="AB91">
        <v>6</v>
      </c>
      <c r="AC91">
        <v>6818.4</v>
      </c>
      <c r="AD91">
        <v>1.0759314009126344</v>
      </c>
      <c r="AE91">
        <v>1222.6884439971175</v>
      </c>
      <c r="AF91">
        <v>6.6821571196535929</v>
      </c>
      <c r="AG91">
        <v>7593.6033507743423</v>
      </c>
      <c r="AH91">
        <v>0.95651838766617192</v>
      </c>
      <c r="AI91">
        <v>1086.9874957438376</v>
      </c>
      <c r="AJ91">
        <v>4</v>
      </c>
      <c r="AK91">
        <v>4545.5999999999995</v>
      </c>
      <c r="AL91">
        <v>4</v>
      </c>
      <c r="AM91">
        <v>4545.5999999999995</v>
      </c>
      <c r="AN91">
        <v>3.9063190870730633</v>
      </c>
      <c r="AO91">
        <v>4439.1410105498289</v>
      </c>
      <c r="AP91">
        <v>0.6326637984169442</v>
      </c>
      <c r="AQ91">
        <v>718.95914052101534</v>
      </c>
      <c r="AR91">
        <v>5</v>
      </c>
      <c r="AS91">
        <v>5681.9999999999991</v>
      </c>
      <c r="AT91">
        <v>5.1545892827321653</v>
      </c>
      <c r="AU91">
        <v>5857.6752608968318</v>
      </c>
      <c r="AV91">
        <v>3.9741029871629645</v>
      </c>
      <c r="AW91">
        <v>4516.1706346119927</v>
      </c>
      <c r="AX91">
        <v>1.0175445850372953</v>
      </c>
      <c r="AY91">
        <v>1156.3376664363823</v>
      </c>
      <c r="AZ91">
        <v>2.7371742198435918</v>
      </c>
      <c r="BA91">
        <v>3110.5247834302572</v>
      </c>
      <c r="BB91">
        <v>3.7389643749134893</v>
      </c>
      <c r="BC91">
        <v>4248.959115651689</v>
      </c>
      <c r="BD91">
        <v>1.0111649726143646</v>
      </c>
      <c r="BE91">
        <v>1149.0878748789637</v>
      </c>
      <c r="BF91">
        <v>4.5856510483799893</v>
      </c>
      <c r="BG91">
        <v>5211.1338513790188</v>
      </c>
      <c r="BH91">
        <v>4.3563488028958472</v>
      </c>
      <c r="BI91">
        <v>4950.5547796108403</v>
      </c>
      <c r="BJ91">
        <v>3.5384135931470246</v>
      </c>
      <c r="BK91">
        <v>4021.0532072522783</v>
      </c>
      <c r="BL91">
        <v>0.65763736940708672</v>
      </c>
      <c r="BM91">
        <v>747.33910659421326</v>
      </c>
      <c r="BN91">
        <v>5.3432795402987949</v>
      </c>
      <c r="BO91">
        <v>6072.1028695955501</v>
      </c>
      <c r="BP91">
        <v>2.3187266836839662</v>
      </c>
      <c r="BQ91">
        <v>2635.0010033384588</v>
      </c>
      <c r="BR91">
        <v>5</v>
      </c>
      <c r="BS91">
        <v>5681.9999999999991</v>
      </c>
      <c r="BT91">
        <v>4.0319565488667237</v>
      </c>
      <c r="BU91">
        <v>4581.9154221321442</v>
      </c>
      <c r="BV91">
        <v>5.3963661204902493</v>
      </c>
      <c r="BW91">
        <v>6132.430459325119</v>
      </c>
      <c r="BX91">
        <v>0.73987492175884739</v>
      </c>
      <c r="BY91">
        <v>840.79386108675408</v>
      </c>
      <c r="BZ91">
        <v>2.6201841756847015</v>
      </c>
      <c r="CA91">
        <v>2977.5772972480945</v>
      </c>
      <c r="CB91">
        <v>5.3522950062852832</v>
      </c>
      <c r="CC91">
        <v>6082.3480451425949</v>
      </c>
      <c r="CD91">
        <v>4.6857066925199407</v>
      </c>
      <c r="CE91">
        <v>5324.8370853796596</v>
      </c>
      <c r="CF91">
        <v>0.74375654873420516</v>
      </c>
      <c r="CG91">
        <v>845.20494198155063</v>
      </c>
      <c r="CH91">
        <v>0.46647891840510525</v>
      </c>
      <c r="CI91">
        <v>530.10664287556153</v>
      </c>
      <c r="CJ91">
        <v>5</v>
      </c>
      <c r="CK91">
        <v>5681.9999999999991</v>
      </c>
      <c r="CL91">
        <v>6.7189362019424896</v>
      </c>
      <c r="CM91">
        <v>7635.3990998874442</v>
      </c>
      <c r="CN91">
        <v>4.3044969468264886</v>
      </c>
      <c r="CO91">
        <v>4891.6303303736213</v>
      </c>
      <c r="CP91">
        <v>3.9677324077025204</v>
      </c>
      <c r="CQ91">
        <v>4508.9311081131436</v>
      </c>
      <c r="CR91">
        <v>2.1332122169673839</v>
      </c>
      <c r="CS91">
        <v>2424.182363361735</v>
      </c>
      <c r="CT91">
        <v>4.0268366676458154</v>
      </c>
      <c r="CU91">
        <v>4576.0971891127037</v>
      </c>
    </row>
    <row r="92" spans="2:99">
      <c r="C92" s="99" t="s">
        <v>258</v>
      </c>
      <c r="D92">
        <v>2.5942803819970353</v>
      </c>
      <c r="E92">
        <v>2035.9912437912731</v>
      </c>
      <c r="F92">
        <v>4.0355782528916899</v>
      </c>
      <c r="G92">
        <v>3167.1218128693981</v>
      </c>
      <c r="H92">
        <v>2.1573761350683465</v>
      </c>
      <c r="I92">
        <v>1693.1087908016382</v>
      </c>
      <c r="J92">
        <v>3.0729925078150409</v>
      </c>
      <c r="K92">
        <v>2411.684520133244</v>
      </c>
      <c r="L92">
        <v>2.545582651468238</v>
      </c>
      <c r="M92">
        <v>1997.7732648722731</v>
      </c>
      <c r="N92">
        <v>2.9231743630525782</v>
      </c>
      <c r="O92">
        <v>2294.1072401236634</v>
      </c>
      <c r="P92">
        <v>2.5720494624188563</v>
      </c>
      <c r="Q92">
        <v>2018.5444181063183</v>
      </c>
      <c r="R92">
        <v>3.0950239760565275</v>
      </c>
      <c r="S92">
        <v>2428.9748164091625</v>
      </c>
      <c r="T92">
        <v>3.9421872155653541</v>
      </c>
      <c r="U92">
        <v>3093.8285267756896</v>
      </c>
      <c r="V92">
        <v>3.5720288010063728</v>
      </c>
      <c r="W92">
        <v>2803.328203029801</v>
      </c>
      <c r="X92">
        <v>3.9122236402826798</v>
      </c>
      <c r="Y92">
        <v>3070.3131128938471</v>
      </c>
      <c r="Z92">
        <v>0.96861317974687189</v>
      </c>
      <c r="AA92">
        <v>760.16762346534506</v>
      </c>
      <c r="AB92">
        <v>6.4695425753145441</v>
      </c>
      <c r="AC92">
        <v>5077.2970131068541</v>
      </c>
      <c r="AD92">
        <v>1.344914251140793</v>
      </c>
      <c r="AE92">
        <v>1055.4887042952944</v>
      </c>
      <c r="AF92">
        <v>5.4694656100922954</v>
      </c>
      <c r="AG92">
        <v>4292.4366108004333</v>
      </c>
      <c r="AH92">
        <v>1.1956479845827148</v>
      </c>
      <c r="AI92">
        <v>938.3445383005145</v>
      </c>
      <c r="AJ92">
        <v>5</v>
      </c>
      <c r="AK92">
        <v>3924</v>
      </c>
      <c r="AL92">
        <v>4</v>
      </c>
      <c r="AM92">
        <v>3139.2</v>
      </c>
      <c r="AN92">
        <v>3.1616696236622825</v>
      </c>
      <c r="AO92">
        <v>2481.278320650159</v>
      </c>
      <c r="AP92">
        <v>0.6326637984169442</v>
      </c>
      <c r="AQ92">
        <v>496.51454899761779</v>
      </c>
      <c r="AR92">
        <v>5</v>
      </c>
      <c r="AS92">
        <v>3924</v>
      </c>
      <c r="AT92">
        <v>5.1545892827321653</v>
      </c>
      <c r="AU92">
        <v>4045.3216690882032</v>
      </c>
      <c r="AV92">
        <v>4.0116691467041523</v>
      </c>
      <c r="AW92">
        <v>3148.3579463334186</v>
      </c>
      <c r="AX92">
        <v>1.0175445850372953</v>
      </c>
      <c r="AY92">
        <v>798.56899033726927</v>
      </c>
      <c r="AZ92">
        <v>2.7371742198435918</v>
      </c>
      <c r="BA92">
        <v>2148.1343277332508</v>
      </c>
      <c r="BB92">
        <v>3.7389643749134893</v>
      </c>
      <c r="BC92">
        <v>2934.3392414321061</v>
      </c>
      <c r="BD92">
        <v>0.86671283366945528</v>
      </c>
      <c r="BE92">
        <v>680.19623186378851</v>
      </c>
      <c r="BF92">
        <v>5.4321878832280452</v>
      </c>
      <c r="BG92">
        <v>4263.18105075737</v>
      </c>
      <c r="BH92">
        <v>3.7564154891860224</v>
      </c>
      <c r="BI92">
        <v>2948.0348759131903</v>
      </c>
      <c r="BJ92">
        <v>3.5310000594802493</v>
      </c>
      <c r="BK92">
        <v>2771.1288466800993</v>
      </c>
      <c r="BL92">
        <v>0.82204671175885835</v>
      </c>
      <c r="BM92">
        <v>645.14225938835204</v>
      </c>
      <c r="BN92">
        <v>5.3923194746271941</v>
      </c>
      <c r="BO92">
        <v>4231.8923236874216</v>
      </c>
      <c r="BP92">
        <v>2.3187266836839662</v>
      </c>
      <c r="BQ92">
        <v>1819.7367013551766</v>
      </c>
      <c r="BR92">
        <v>5</v>
      </c>
      <c r="BS92">
        <v>3924</v>
      </c>
      <c r="BT92">
        <v>4.0319565488667237</v>
      </c>
      <c r="BU92">
        <v>3164.2794995506047</v>
      </c>
      <c r="BV92">
        <v>5.3862903008936129</v>
      </c>
      <c r="BW92">
        <v>4227.1606281413069</v>
      </c>
      <c r="BX92">
        <v>0.59483928308246048</v>
      </c>
      <c r="BY92">
        <v>466.82986936311494</v>
      </c>
      <c r="BZ92">
        <v>2.6201841756847015</v>
      </c>
      <c r="CA92">
        <v>2056.3205410773535</v>
      </c>
      <c r="CB92">
        <v>6.2443441739994974</v>
      </c>
      <c r="CC92">
        <v>4900.5613077548051</v>
      </c>
      <c r="CD92">
        <v>4.7282846760920645</v>
      </c>
      <c r="CE92">
        <v>3710.7578137970518</v>
      </c>
      <c r="CF92">
        <v>0.74375654873420516</v>
      </c>
      <c r="CG92">
        <v>583.70013944660423</v>
      </c>
      <c r="CH92">
        <v>0.46647891840510525</v>
      </c>
      <c r="CI92">
        <v>366.09265516432657</v>
      </c>
      <c r="CJ92">
        <v>5</v>
      </c>
      <c r="CK92">
        <v>3924</v>
      </c>
      <c r="CL92">
        <v>5.7590881730935628</v>
      </c>
      <c r="CM92">
        <v>4519.7323982438274</v>
      </c>
      <c r="CN92">
        <v>4.423435447064521</v>
      </c>
      <c r="CO92">
        <v>3471.5121388562357</v>
      </c>
      <c r="CP92">
        <v>4.08370337476559</v>
      </c>
      <c r="CQ92">
        <v>3204.8904085160348</v>
      </c>
      <c r="CR92">
        <v>2.1332122169673839</v>
      </c>
      <c r="CS92">
        <v>1674.1449478760028</v>
      </c>
      <c r="CT92">
        <v>4.0268366676458154</v>
      </c>
      <c r="CU92">
        <v>3160.2614167684355</v>
      </c>
    </row>
    <row r="93" spans="2:99">
      <c r="C93" s="99" t="s">
        <v>259</v>
      </c>
      <c r="D93">
        <v>2.5942803819970353</v>
      </c>
      <c r="E93">
        <v>1799.3928729531438</v>
      </c>
      <c r="F93">
        <v>3.4578014847439871</v>
      </c>
      <c r="G93">
        <v>2398.3311098184295</v>
      </c>
      <c r="H93">
        <v>2.1573761350683465</v>
      </c>
      <c r="I93">
        <v>1496.3560872834053</v>
      </c>
      <c r="J93">
        <v>3.0729925078150409</v>
      </c>
      <c r="K93">
        <v>2131.4276034205122</v>
      </c>
      <c r="L93">
        <v>2.545582651468238</v>
      </c>
      <c r="M93">
        <v>1765.61612705837</v>
      </c>
      <c r="N93">
        <v>2.9231743630525782</v>
      </c>
      <c r="O93">
        <v>2027.5137382132682</v>
      </c>
      <c r="P93">
        <v>2.5487514571570511</v>
      </c>
      <c r="Q93">
        <v>1767.8140106841306</v>
      </c>
      <c r="R93">
        <v>3.0950239760565275</v>
      </c>
      <c r="S93">
        <v>2146.7086297928076</v>
      </c>
      <c r="T93">
        <v>3.9421872155653541</v>
      </c>
      <c r="U93">
        <v>2734.3010527161296</v>
      </c>
      <c r="V93">
        <v>2.7504956560755005</v>
      </c>
      <c r="W93">
        <v>1907.7437870539673</v>
      </c>
      <c r="X93">
        <v>3.9036935215882096</v>
      </c>
      <c r="Y93">
        <v>2707.6018265735825</v>
      </c>
      <c r="Z93">
        <v>0.96861317974687189</v>
      </c>
      <c r="AA93">
        <v>671.83010147243033</v>
      </c>
      <c r="AB93">
        <v>6.4695425753145441</v>
      </c>
      <c r="AC93">
        <v>4487.2747302381676</v>
      </c>
      <c r="AD93">
        <v>1.344914251140793</v>
      </c>
      <c r="AE93">
        <v>932.83252459125401</v>
      </c>
      <c r="AF93">
        <v>5.4694656100922954</v>
      </c>
      <c r="AG93">
        <v>3793.6213471600163</v>
      </c>
      <c r="AH93">
        <v>1.1956479845827148</v>
      </c>
      <c r="AI93">
        <v>829.30144210657102</v>
      </c>
      <c r="AJ93">
        <v>4</v>
      </c>
      <c r="AK93">
        <v>2774.4</v>
      </c>
      <c r="AL93">
        <v>4</v>
      </c>
      <c r="AM93">
        <v>2774.4</v>
      </c>
      <c r="AN93">
        <v>3.1616696236622825</v>
      </c>
      <c r="AO93">
        <v>2192.9340509721592</v>
      </c>
      <c r="AP93">
        <v>0.6326637984169442</v>
      </c>
      <c r="AQ93">
        <v>438.81561058199253</v>
      </c>
      <c r="AR93">
        <v>5</v>
      </c>
      <c r="AS93">
        <v>3468</v>
      </c>
      <c r="AT93">
        <v>5.1545892827321653</v>
      </c>
      <c r="AU93">
        <v>3575.22312650303</v>
      </c>
      <c r="AV93">
        <v>3.9741029871629645</v>
      </c>
      <c r="AW93">
        <v>2756.4378318962322</v>
      </c>
      <c r="AX93">
        <v>1.185817683213086</v>
      </c>
      <c r="AY93">
        <v>822.48314507659643</v>
      </c>
      <c r="AZ93">
        <v>2.7371742198435918</v>
      </c>
      <c r="BA93">
        <v>1898.5040388835152</v>
      </c>
      <c r="BB93">
        <v>3.7389643749134893</v>
      </c>
      <c r="BC93">
        <v>2593.3456904399964</v>
      </c>
      <c r="BD93">
        <v>1.0111649726143646</v>
      </c>
      <c r="BE93">
        <v>701.34402500532326</v>
      </c>
      <c r="BF93">
        <v>5.4321878832280452</v>
      </c>
      <c r="BG93">
        <v>3767.7655158069724</v>
      </c>
      <c r="BH93">
        <v>3.7788177187470327</v>
      </c>
      <c r="BI93">
        <v>2620.9879697229421</v>
      </c>
      <c r="BJ93">
        <v>3.5384135931470246</v>
      </c>
      <c r="BK93">
        <v>2454.2436682067764</v>
      </c>
      <c r="BL93">
        <v>0.82204671175885835</v>
      </c>
      <c r="BM93">
        <v>570.17159927594412</v>
      </c>
      <c r="BN93">
        <v>5.3923194746271941</v>
      </c>
      <c r="BO93">
        <v>3740.112787601422</v>
      </c>
      <c r="BP93">
        <v>2.3187266836839662</v>
      </c>
      <c r="BQ93">
        <v>1608.268827803199</v>
      </c>
      <c r="BR93">
        <v>5</v>
      </c>
      <c r="BS93">
        <v>3468</v>
      </c>
      <c r="BT93">
        <v>4.9880571678239072</v>
      </c>
      <c r="BU93">
        <v>3459.7164516026623</v>
      </c>
      <c r="BV93">
        <v>4.6312142859040062</v>
      </c>
      <c r="BW93">
        <v>3212.2102287030189</v>
      </c>
      <c r="BX93">
        <v>0.73987492175884739</v>
      </c>
      <c r="BY93">
        <v>513.17724573193652</v>
      </c>
      <c r="BZ93">
        <v>2.6201841756847015</v>
      </c>
      <c r="CA93">
        <v>1817.3597442549089</v>
      </c>
      <c r="CB93">
        <v>6.2443441739994974</v>
      </c>
      <c r="CC93">
        <v>4331.0771190860514</v>
      </c>
      <c r="CD93">
        <v>5.571754450737382</v>
      </c>
      <c r="CE93">
        <v>3864.5688870314484</v>
      </c>
      <c r="CF93">
        <v>0.74375654873420516</v>
      </c>
      <c r="CG93">
        <v>515.86954220204473</v>
      </c>
      <c r="CH93">
        <v>0.46647891840510525</v>
      </c>
      <c r="CI93">
        <v>323.54977780578099</v>
      </c>
      <c r="CJ93">
        <v>5</v>
      </c>
      <c r="CK93">
        <v>3468</v>
      </c>
      <c r="CL93">
        <v>6.7189362019424896</v>
      </c>
      <c r="CM93">
        <v>4660.2541496673111</v>
      </c>
      <c r="CN93">
        <v>4.3044969468264886</v>
      </c>
      <c r="CO93">
        <v>2985.5990823188527</v>
      </c>
      <c r="CP93">
        <v>4.7578777723896843</v>
      </c>
      <c r="CQ93">
        <v>3300.064022929485</v>
      </c>
      <c r="CR93">
        <v>2.1332122169673839</v>
      </c>
      <c r="CS93">
        <v>1479.5959936885777</v>
      </c>
      <c r="CT93">
        <v>4.5693455746696632</v>
      </c>
      <c r="CU93">
        <v>3169.2980905908785</v>
      </c>
    </row>
    <row r="94" spans="2:99">
      <c r="C94" s="99" t="s">
        <v>260</v>
      </c>
      <c r="D94">
        <v>2.5942803819970353</v>
      </c>
      <c r="E94">
        <v>3094.4576396460634</v>
      </c>
      <c r="F94">
        <v>4.0355782528916899</v>
      </c>
      <c r="G94">
        <v>4813.6377400492074</v>
      </c>
      <c r="H94">
        <v>2.1573761350683465</v>
      </c>
      <c r="I94">
        <v>2573.3182539095237</v>
      </c>
      <c r="J94">
        <v>3.0729925078150409</v>
      </c>
      <c r="K94">
        <v>3665.4654633217806</v>
      </c>
      <c r="L94">
        <v>2.545582651468238</v>
      </c>
      <c r="M94">
        <v>3036.3709866713143</v>
      </c>
      <c r="N94">
        <v>2.9231743630525782</v>
      </c>
      <c r="O94">
        <v>3486.7623802491153</v>
      </c>
      <c r="P94">
        <v>2.5720494624188563</v>
      </c>
      <c r="Q94">
        <v>3067.9405987732116</v>
      </c>
      <c r="R94">
        <v>3.0950239760565275</v>
      </c>
      <c r="S94">
        <v>3691.7445986402258</v>
      </c>
      <c r="T94">
        <v>3.9421872155653541</v>
      </c>
      <c r="U94">
        <v>4702.2409107263538</v>
      </c>
      <c r="V94">
        <v>3.600618423134661</v>
      </c>
      <c r="W94">
        <v>4294.8176551150236</v>
      </c>
      <c r="X94">
        <v>3.9036935215882096</v>
      </c>
      <c r="Y94">
        <v>4656.3256325504162</v>
      </c>
      <c r="Z94">
        <v>0.96861317974687189</v>
      </c>
      <c r="AA94">
        <v>1155.3618008020687</v>
      </c>
      <c r="AB94">
        <v>6.4695425753145441</v>
      </c>
      <c r="AC94">
        <v>7716.8703838351876</v>
      </c>
      <c r="AD94">
        <v>1.344914251140793</v>
      </c>
      <c r="AE94">
        <v>1604.2137187607377</v>
      </c>
      <c r="AF94">
        <v>6.3810432117743447</v>
      </c>
      <c r="AG94">
        <v>7611.308343004438</v>
      </c>
      <c r="AH94">
        <v>0.95651838766617192</v>
      </c>
      <c r="AI94">
        <v>1140.9351328082098</v>
      </c>
      <c r="AJ94">
        <v>5</v>
      </c>
      <c r="AK94">
        <v>5964</v>
      </c>
      <c r="AL94">
        <v>4</v>
      </c>
      <c r="AM94">
        <v>4771.2</v>
      </c>
      <c r="AN94">
        <v>3.9266603948529699</v>
      </c>
      <c r="AO94">
        <v>4683.7205189806227</v>
      </c>
      <c r="AP94">
        <v>0.6326637984169442</v>
      </c>
      <c r="AQ94">
        <v>754.64137875173105</v>
      </c>
      <c r="AR94">
        <v>5</v>
      </c>
      <c r="AS94">
        <v>5964</v>
      </c>
      <c r="AT94">
        <v>5.1545892827321653</v>
      </c>
      <c r="AU94">
        <v>6148.3940964429266</v>
      </c>
      <c r="AV94">
        <v>3.9741029871629645</v>
      </c>
      <c r="AW94">
        <v>4740.310043087984</v>
      </c>
      <c r="AX94">
        <v>1.0175445850372953</v>
      </c>
      <c r="AY94">
        <v>1213.7271810324858</v>
      </c>
      <c r="AZ94">
        <v>2.7371742198435918</v>
      </c>
      <c r="BA94">
        <v>3264.9014094294362</v>
      </c>
      <c r="BB94">
        <v>3.0103281380257614</v>
      </c>
      <c r="BC94">
        <v>3590.7194030371279</v>
      </c>
      <c r="BD94">
        <v>1.0111649726143646</v>
      </c>
      <c r="BE94">
        <v>1206.1175793344139</v>
      </c>
      <c r="BF94">
        <v>5.4321878832280452</v>
      </c>
      <c r="BG94">
        <v>6479.5137071144118</v>
      </c>
      <c r="BH94">
        <v>4.3787510324568579</v>
      </c>
      <c r="BI94">
        <v>5222.9742315145395</v>
      </c>
      <c r="BJ94">
        <v>2.9511491721781122</v>
      </c>
      <c r="BK94">
        <v>3520.1307325740522</v>
      </c>
      <c r="BL94">
        <v>0.65763736940708672</v>
      </c>
      <c r="BM94">
        <v>784.42985422877302</v>
      </c>
      <c r="BN94">
        <v>5.3923194746271941</v>
      </c>
      <c r="BO94">
        <v>6431.9586693353167</v>
      </c>
      <c r="BP94">
        <v>2.3187266836839662</v>
      </c>
      <c r="BQ94">
        <v>2765.7771882982347</v>
      </c>
      <c r="BR94">
        <v>5</v>
      </c>
      <c r="BS94">
        <v>5964</v>
      </c>
      <c r="BT94">
        <v>4.0130879967723612</v>
      </c>
      <c r="BU94">
        <v>4786.8113625500719</v>
      </c>
      <c r="BV94">
        <v>4.6312142859040062</v>
      </c>
      <c r="BW94">
        <v>5524.1124002262986</v>
      </c>
      <c r="BX94">
        <v>0.73987492175884739</v>
      </c>
      <c r="BY94">
        <v>882.52280667395314</v>
      </c>
      <c r="BZ94">
        <v>2.6201841756847015</v>
      </c>
      <c r="CA94">
        <v>3125.355684756712</v>
      </c>
      <c r="CB94">
        <v>5.3522950062852832</v>
      </c>
      <c r="CC94">
        <v>6384.2174834970856</v>
      </c>
      <c r="CD94">
        <v>5.6143324343095058</v>
      </c>
      <c r="CE94">
        <v>6696.7757276443781</v>
      </c>
      <c r="CF94">
        <v>0.74375654873420516</v>
      </c>
      <c r="CG94">
        <v>887.15281133015992</v>
      </c>
      <c r="CH94">
        <v>0.46647891840510525</v>
      </c>
      <c r="CI94">
        <v>556.41605387360948</v>
      </c>
      <c r="CJ94">
        <v>4</v>
      </c>
      <c r="CK94">
        <v>4771.2</v>
      </c>
      <c r="CL94">
        <v>6.7189362019424896</v>
      </c>
      <c r="CM94">
        <v>8014.3471016770018</v>
      </c>
      <c r="CN94">
        <v>5.0383635823254487</v>
      </c>
      <c r="CO94">
        <v>6009.7600809977948</v>
      </c>
      <c r="CP94">
        <v>3.9677324077025204</v>
      </c>
      <c r="CQ94">
        <v>4732.7112159075659</v>
      </c>
      <c r="CR94">
        <v>2.1332122169673839</v>
      </c>
      <c r="CS94">
        <v>2544.4955323986956</v>
      </c>
      <c r="CT94">
        <v>4.0497640994937019</v>
      </c>
      <c r="CU94">
        <v>4830.5586178760877</v>
      </c>
    </row>
    <row r="95" spans="2:99">
      <c r="B95" s="99" t="s">
        <v>132</v>
      </c>
      <c r="C95" s="99" t="s">
        <v>261</v>
      </c>
      <c r="D95">
        <v>6.4857009549925886</v>
      </c>
      <c r="E95">
        <v>2132.4984740015634</v>
      </c>
      <c r="F95">
        <v>5.3807710038555872</v>
      </c>
      <c r="G95">
        <v>1769.1975060677171</v>
      </c>
      <c r="H95">
        <v>7.1912537835611561</v>
      </c>
      <c r="I95">
        <v>2364.484244034908</v>
      </c>
      <c r="J95">
        <v>5.2941582506841058</v>
      </c>
      <c r="K95">
        <v>1740.7192328249341</v>
      </c>
      <c r="L95">
        <v>6.6361749167562909</v>
      </c>
      <c r="M95">
        <v>2181.9743126294684</v>
      </c>
      <c r="N95">
        <v>5.8080801899464927</v>
      </c>
      <c r="O95">
        <v>1909.6967664544068</v>
      </c>
      <c r="P95">
        <v>5.620914659701187</v>
      </c>
      <c r="Q95">
        <v>1848.1567401097504</v>
      </c>
      <c r="R95">
        <v>6.0321636104456831</v>
      </c>
      <c r="S95">
        <v>1983.3753951145407</v>
      </c>
      <c r="T95">
        <v>5.9282217544136193</v>
      </c>
      <c r="U95">
        <v>1949.1993128511981</v>
      </c>
      <c r="V95">
        <v>5.9508593694141245</v>
      </c>
      <c r="W95">
        <v>1956.6425606633643</v>
      </c>
      <c r="X95">
        <v>5.2077680683491039</v>
      </c>
      <c r="Y95">
        <v>1712.3141408731854</v>
      </c>
      <c r="Z95">
        <v>1.3560584516456207</v>
      </c>
      <c r="AA95">
        <v>445.87201890108008</v>
      </c>
      <c r="AB95">
        <v>8.5164968328459985</v>
      </c>
      <c r="AC95">
        <v>2800.2241586397645</v>
      </c>
      <c r="AD95">
        <v>2.689828502281586</v>
      </c>
      <c r="AE95">
        <v>884.41561155018553</v>
      </c>
      <c r="AF95">
        <v>9.115776016820492</v>
      </c>
      <c r="AG95">
        <v>2997.2671543305778</v>
      </c>
      <c r="AH95">
        <v>2.1521663722488871</v>
      </c>
      <c r="AI95">
        <v>707.63230319543413</v>
      </c>
      <c r="AJ95">
        <v>9</v>
      </c>
      <c r="AK95">
        <v>2959.2000000000003</v>
      </c>
      <c r="AL95">
        <v>6</v>
      </c>
      <c r="AM95">
        <v>1972.8000000000002</v>
      </c>
      <c r="AN95">
        <v>8.394557175317658</v>
      </c>
      <c r="AO95">
        <v>2760.1303992444459</v>
      </c>
      <c r="AP95">
        <v>1.5816594960423607</v>
      </c>
      <c r="AQ95">
        <v>520.04964229872826</v>
      </c>
      <c r="AR95">
        <v>9</v>
      </c>
      <c r="AS95">
        <v>2959.2000000000003</v>
      </c>
      <c r="AT95">
        <v>7.7318839240982484</v>
      </c>
      <c r="AU95">
        <v>2542.243434243504</v>
      </c>
      <c r="AV95">
        <v>5.7733236830385071</v>
      </c>
      <c r="AW95">
        <v>1898.2688269830612</v>
      </c>
      <c r="AX95">
        <v>1.3619967773714268</v>
      </c>
      <c r="AY95">
        <v>447.82454039972515</v>
      </c>
      <c r="AZ95">
        <v>4.0896746764296807</v>
      </c>
      <c r="BA95">
        <v>1344.685033610079</v>
      </c>
      <c r="BB95">
        <v>5.9248730855766745</v>
      </c>
      <c r="BC95">
        <v>1948.0982705376107</v>
      </c>
      <c r="BD95">
        <v>1.4445213894490923</v>
      </c>
      <c r="BE95">
        <v>474.95863285086153</v>
      </c>
      <c r="BF95">
        <v>9.311905183328621</v>
      </c>
      <c r="BG95">
        <v>3061.7544242784506</v>
      </c>
      <c r="BH95">
        <v>5.0458910348497135</v>
      </c>
      <c r="BI95">
        <v>1659.088972258586</v>
      </c>
      <c r="BJ95">
        <v>5.315033923387313</v>
      </c>
      <c r="BK95">
        <v>1747.5831540097486</v>
      </c>
      <c r="BL95">
        <v>1.4796840811659451</v>
      </c>
      <c r="BM95">
        <v>486.52012588736278</v>
      </c>
      <c r="BN95">
        <v>8.5394392776123915</v>
      </c>
      <c r="BO95">
        <v>2807.7676344789543</v>
      </c>
      <c r="BP95">
        <v>4.1737080306311389</v>
      </c>
      <c r="BQ95">
        <v>1372.3152004715184</v>
      </c>
      <c r="BR95">
        <v>7</v>
      </c>
      <c r="BS95">
        <v>2301.6</v>
      </c>
      <c r="BT95">
        <v>9.7496917105154637</v>
      </c>
      <c r="BU95">
        <v>3205.6986344174848</v>
      </c>
      <c r="BV95">
        <v>6.8863665112761918</v>
      </c>
      <c r="BW95">
        <v>2264.2373089076118</v>
      </c>
      <c r="BX95">
        <v>1.735528754657673</v>
      </c>
      <c r="BY95">
        <v>570.64185453144285</v>
      </c>
      <c r="BZ95">
        <v>5.8954143952905795</v>
      </c>
      <c r="CA95">
        <v>1938.4122531715427</v>
      </c>
      <c r="CB95">
        <v>9.8125408448563523</v>
      </c>
      <c r="CC95">
        <v>3226.3634297887688</v>
      </c>
      <c r="CD95">
        <v>5.6569104178816279</v>
      </c>
      <c r="CE95">
        <v>1859.9921453994793</v>
      </c>
      <c r="CF95">
        <v>1.7850157169620924</v>
      </c>
      <c r="CG95">
        <v>586.91316773713595</v>
      </c>
      <c r="CH95">
        <v>1.2828170256140394</v>
      </c>
      <c r="CI95">
        <v>421.79023802189619</v>
      </c>
      <c r="CJ95">
        <v>7</v>
      </c>
      <c r="CK95">
        <v>2301.6</v>
      </c>
      <c r="CL95">
        <v>8.6386322596403442</v>
      </c>
      <c r="CM95">
        <v>2840.3822869697451</v>
      </c>
      <c r="CN95">
        <v>5.0059258095332577</v>
      </c>
      <c r="CO95">
        <v>1645.9484061745352</v>
      </c>
      <c r="CP95">
        <v>5.3805095179857476</v>
      </c>
      <c r="CQ95">
        <v>1769.1115295137138</v>
      </c>
      <c r="CR95">
        <v>6.0626421875047143</v>
      </c>
      <c r="CS95">
        <v>1993.3967512515501</v>
      </c>
      <c r="CT95">
        <v>5.1347819135413992</v>
      </c>
      <c r="CU95">
        <v>1688.3162931724121</v>
      </c>
    </row>
    <row r="96" spans="2:99">
      <c r="C96" s="99" t="s">
        <v>262</v>
      </c>
      <c r="D96">
        <v>6.4857009549925886</v>
      </c>
      <c r="E96">
        <v>4506.2650235288502</v>
      </c>
      <c r="F96">
        <v>5.3807710038555872</v>
      </c>
      <c r="G96">
        <v>3738.5596934788618</v>
      </c>
      <c r="H96">
        <v>7.1912537835611561</v>
      </c>
      <c r="I96">
        <v>4996.4831288182913</v>
      </c>
      <c r="J96">
        <v>5.8823980563156724</v>
      </c>
      <c r="K96">
        <v>4087.0901695281291</v>
      </c>
      <c r="L96">
        <v>6.6361749167562909</v>
      </c>
      <c r="M96">
        <v>4610.8143321622711</v>
      </c>
      <c r="N96">
        <v>6.3819998724325826</v>
      </c>
      <c r="O96">
        <v>4434.2135113661579</v>
      </c>
      <c r="P96">
        <v>6.4239024682299286</v>
      </c>
      <c r="Q96">
        <v>4463.3274349261537</v>
      </c>
      <c r="R96">
        <v>5.4289472494011157</v>
      </c>
      <c r="S96">
        <v>3772.0325488838948</v>
      </c>
      <c r="T96">
        <v>5.2861314828849828</v>
      </c>
      <c r="U96">
        <v>3672.804154308486</v>
      </c>
      <c r="V96">
        <v>5.1007366023549645</v>
      </c>
      <c r="W96">
        <v>3543.991791316229</v>
      </c>
      <c r="X96">
        <v>5.1907078309601626</v>
      </c>
      <c r="Y96">
        <v>3606.5038009511209</v>
      </c>
      <c r="Z96">
        <v>1.5497810875949951</v>
      </c>
      <c r="AA96">
        <v>1076.7878996610025</v>
      </c>
      <c r="AB96">
        <v>8.5634510903774537</v>
      </c>
      <c r="AC96">
        <v>5949.8858175942541</v>
      </c>
      <c r="AD96">
        <v>2.689828502281586</v>
      </c>
      <c r="AE96">
        <v>1868.8928433852459</v>
      </c>
      <c r="AF96">
        <v>10.027353618502541</v>
      </c>
      <c r="AG96">
        <v>6967.0052941355652</v>
      </c>
      <c r="AH96">
        <v>2.1521663722488871</v>
      </c>
      <c r="AI96">
        <v>1495.3251954385266</v>
      </c>
      <c r="AJ96">
        <v>9</v>
      </c>
      <c r="AK96">
        <v>6253.2</v>
      </c>
      <c r="AL96">
        <v>5</v>
      </c>
      <c r="AM96">
        <v>3474</v>
      </c>
      <c r="AN96">
        <v>8.394557175317658</v>
      </c>
      <c r="AO96">
        <v>5832.5383254107082</v>
      </c>
      <c r="AP96">
        <v>1.7398254456465965</v>
      </c>
      <c r="AQ96">
        <v>1208.830719635255</v>
      </c>
      <c r="AR96">
        <v>8</v>
      </c>
      <c r="AS96">
        <v>5558.4</v>
      </c>
      <c r="AT96">
        <v>8.5909821378869431</v>
      </c>
      <c r="AU96">
        <v>5969.0143894038474</v>
      </c>
      <c r="AV96">
        <v>5.7733236830385071</v>
      </c>
      <c r="AW96">
        <v>4011.3052949751545</v>
      </c>
      <c r="AX96">
        <v>1.2829368175459297</v>
      </c>
      <c r="AY96">
        <v>891.38450083091186</v>
      </c>
      <c r="AZ96">
        <v>4.4970110005186603</v>
      </c>
      <c r="BA96">
        <v>3124.5232431603649</v>
      </c>
      <c r="BB96">
        <v>5.907457960035793</v>
      </c>
      <c r="BC96">
        <v>4104.5017906328685</v>
      </c>
      <c r="BD96">
        <v>1.4445213894490923</v>
      </c>
      <c r="BE96">
        <v>1003.6534613892293</v>
      </c>
      <c r="BF96">
        <v>8.4653683484805651</v>
      </c>
      <c r="BG96">
        <v>5881.737928524296</v>
      </c>
      <c r="BH96">
        <v>5.3993998233884257</v>
      </c>
      <c r="BI96">
        <v>3751.502997290278</v>
      </c>
      <c r="BJ96">
        <v>5.8874712770226738</v>
      </c>
      <c r="BK96">
        <v>4090.6150432753534</v>
      </c>
      <c r="BL96">
        <v>1.4796840811659451</v>
      </c>
      <c r="BM96">
        <v>1028.0844995940986</v>
      </c>
      <c r="BN96">
        <v>7</v>
      </c>
      <c r="BO96">
        <v>4863.5999999999995</v>
      </c>
      <c r="BP96">
        <v>3.709962693894346</v>
      </c>
      <c r="BQ96">
        <v>2577.6820797177916</v>
      </c>
      <c r="BR96">
        <v>6</v>
      </c>
      <c r="BS96">
        <v>4168.7999999999993</v>
      </c>
      <c r="BT96">
        <v>10.72466088156701</v>
      </c>
      <c r="BU96">
        <v>7451.4943805127577</v>
      </c>
      <c r="BV96">
        <v>5.366138661700341</v>
      </c>
      <c r="BW96">
        <v>3728.3931421493967</v>
      </c>
      <c r="BX96">
        <v>1.7306298451987019</v>
      </c>
      <c r="BY96">
        <v>1202.4416164440579</v>
      </c>
      <c r="BZ96">
        <v>5.8954143952905795</v>
      </c>
      <c r="CA96">
        <v>4096.1339218478943</v>
      </c>
      <c r="CB96">
        <v>9.8125408448563523</v>
      </c>
      <c r="CC96">
        <v>6817.7533790061934</v>
      </c>
      <c r="CD96">
        <v>5.6994884014537499</v>
      </c>
      <c r="CE96">
        <v>3960.004541330065</v>
      </c>
      <c r="CF96">
        <v>1.6362644072152517</v>
      </c>
      <c r="CG96">
        <v>1136.8765101331569</v>
      </c>
      <c r="CH96">
        <v>1.1661972960127631</v>
      </c>
      <c r="CI96">
        <v>810.27388126966775</v>
      </c>
      <c r="CJ96">
        <v>7</v>
      </c>
      <c r="CK96">
        <v>4863.5999999999995</v>
      </c>
      <c r="CL96">
        <v>8.6386322596403442</v>
      </c>
      <c r="CM96">
        <v>6002.1216939981105</v>
      </c>
      <c r="CN96">
        <v>5.0059258095332577</v>
      </c>
      <c r="CO96">
        <v>3478.1172524637072</v>
      </c>
      <c r="CP96">
        <v>4.7321064463756688</v>
      </c>
      <c r="CQ96">
        <v>3287.8675589418144</v>
      </c>
      <c r="CR96">
        <v>5.5293391332628685</v>
      </c>
      <c r="CS96">
        <v>3841.7848297910409</v>
      </c>
      <c r="CT96">
        <v>5.1118544816935119</v>
      </c>
      <c r="CU96">
        <v>3551.7164938806518</v>
      </c>
    </row>
    <row r="97" spans="2:99">
      <c r="C97" s="99" t="s">
        <v>263</v>
      </c>
      <c r="D97">
        <v>6.4857009549925886</v>
      </c>
      <c r="E97">
        <v>2544.9890547390914</v>
      </c>
      <c r="F97">
        <v>6.0533673793375344</v>
      </c>
      <c r="G97">
        <v>2375.3413596520486</v>
      </c>
      <c r="H97">
        <v>5.7530030268489245</v>
      </c>
      <c r="I97">
        <v>2257.478387735518</v>
      </c>
      <c r="J97">
        <v>5.8823980563156724</v>
      </c>
      <c r="K97">
        <v>2308.2529972982697</v>
      </c>
      <c r="L97">
        <v>6.032886287960264</v>
      </c>
      <c r="M97">
        <v>2367.3045793956076</v>
      </c>
      <c r="N97">
        <v>5.8080801899464927</v>
      </c>
      <c r="O97">
        <v>2279.0906665350035</v>
      </c>
      <c r="P97">
        <v>5.620914659701187</v>
      </c>
      <c r="Q97">
        <v>2205.6469124667456</v>
      </c>
      <c r="R97">
        <v>5.4289472494011157</v>
      </c>
      <c r="S97">
        <v>2130.3189006649977</v>
      </c>
      <c r="T97">
        <v>5.9431626854792068</v>
      </c>
      <c r="U97">
        <v>2332.0970377820404</v>
      </c>
      <c r="V97">
        <v>5.9508593694141245</v>
      </c>
      <c r="W97">
        <v>2335.1172165581024</v>
      </c>
      <c r="X97">
        <v>5.1992379496546324</v>
      </c>
      <c r="Y97">
        <v>2040.1809714444776</v>
      </c>
      <c r="Z97">
        <v>1.3560584516456207</v>
      </c>
      <c r="AA97">
        <v>532.11733642574154</v>
      </c>
      <c r="AB97">
        <v>8.5634510903774537</v>
      </c>
      <c r="AC97">
        <v>3360.2982078641126</v>
      </c>
      <c r="AD97">
        <v>2.9588113525097444</v>
      </c>
      <c r="AE97">
        <v>1161.0375747248236</v>
      </c>
      <c r="AF97">
        <v>9.115776016820492</v>
      </c>
      <c r="AG97">
        <v>3577.0305090003608</v>
      </c>
      <c r="AH97">
        <v>1.9130367753323438</v>
      </c>
      <c r="AI97">
        <v>750.67563064041167</v>
      </c>
      <c r="AJ97">
        <v>10</v>
      </c>
      <c r="AK97">
        <v>3924</v>
      </c>
      <c r="AL97">
        <v>6</v>
      </c>
      <c r="AM97">
        <v>2354.3999999999996</v>
      </c>
      <c r="AN97">
        <v>8.394557175317658</v>
      </c>
      <c r="AO97">
        <v>3294.0242355946489</v>
      </c>
      <c r="AP97">
        <v>1.8979913952508327</v>
      </c>
      <c r="AQ97">
        <v>744.77182349642669</v>
      </c>
      <c r="AR97">
        <v>8</v>
      </c>
      <c r="AS97">
        <v>3139.2</v>
      </c>
      <c r="AT97">
        <v>9.4500803516756378</v>
      </c>
      <c r="AU97">
        <v>3708.2115299975198</v>
      </c>
      <c r="AV97">
        <v>5.7733236830385071</v>
      </c>
      <c r="AW97">
        <v>2265.4522132243101</v>
      </c>
      <c r="AX97">
        <v>1.5302698755472177</v>
      </c>
      <c r="AY97">
        <v>600.47789916472823</v>
      </c>
      <c r="AZ97">
        <v>4.1059861119695755</v>
      </c>
      <c r="BA97">
        <v>1611.1889503368614</v>
      </c>
      <c r="BB97">
        <v>5.1788217231480642</v>
      </c>
      <c r="BC97">
        <v>2032.1696441633003</v>
      </c>
      <c r="BD97">
        <v>1.5889735283940014</v>
      </c>
      <c r="BE97">
        <v>623.51321254180607</v>
      </c>
      <c r="BF97">
        <v>9.311905183328621</v>
      </c>
      <c r="BG97">
        <v>3653.9915939381508</v>
      </c>
      <c r="BH97">
        <v>4.7994665096786004</v>
      </c>
      <c r="BI97">
        <v>1883.3106583978827</v>
      </c>
      <c r="BJ97">
        <v>5.3076203897205367</v>
      </c>
      <c r="BK97">
        <v>2082.7102409263384</v>
      </c>
      <c r="BL97">
        <v>1.6440934235177167</v>
      </c>
      <c r="BM97">
        <v>645.14225938835204</v>
      </c>
      <c r="BN97">
        <v>7</v>
      </c>
      <c r="BO97">
        <v>2746.7999999999997</v>
      </c>
      <c r="BP97">
        <v>4.1737080306311389</v>
      </c>
      <c r="BQ97">
        <v>1637.7630312196588</v>
      </c>
      <c r="BR97">
        <v>7</v>
      </c>
      <c r="BS97">
        <v>2746.7999999999997</v>
      </c>
      <c r="BT97">
        <v>11.699630052618556</v>
      </c>
      <c r="BU97">
        <v>4590.934832647521</v>
      </c>
      <c r="BV97">
        <v>6.8863665112761918</v>
      </c>
      <c r="BW97">
        <v>2702.2102190247774</v>
      </c>
      <c r="BX97">
        <v>1.5904931159812858</v>
      </c>
      <c r="BY97">
        <v>624.10949871105652</v>
      </c>
      <c r="BZ97">
        <v>6.5504604392117542</v>
      </c>
      <c r="CA97">
        <v>2570.4006763466923</v>
      </c>
      <c r="CB97">
        <v>9.8125408448563523</v>
      </c>
      <c r="CC97">
        <v>3850.4410275216323</v>
      </c>
      <c r="CD97">
        <v>6.6281141432433142</v>
      </c>
      <c r="CE97">
        <v>2600.8719898086765</v>
      </c>
      <c r="CF97">
        <v>1.6362644072152517</v>
      </c>
      <c r="CG97">
        <v>642.07015339126474</v>
      </c>
      <c r="CH97">
        <v>1.1661972960127631</v>
      </c>
      <c r="CI97">
        <v>457.6158189554082</v>
      </c>
      <c r="CJ97">
        <v>7</v>
      </c>
      <c r="CK97">
        <v>2746.7999999999997</v>
      </c>
      <c r="CL97">
        <v>8.6386322596403442</v>
      </c>
      <c r="CM97">
        <v>3389.7992986828708</v>
      </c>
      <c r="CN97">
        <v>5.6100413538634548</v>
      </c>
      <c r="CO97">
        <v>2201.3802272560197</v>
      </c>
      <c r="CP97">
        <v>4.7192207833686606</v>
      </c>
      <c r="CQ97">
        <v>1851.8222353938622</v>
      </c>
      <c r="CR97">
        <v>6.617757307395939</v>
      </c>
      <c r="CS97">
        <v>2596.8079674221663</v>
      </c>
      <c r="CT97">
        <v>5.6772908205652479</v>
      </c>
      <c r="CU97">
        <v>2227.768917989803</v>
      </c>
    </row>
    <row r="98" spans="2:99">
      <c r="C98" s="99" t="s">
        <v>264</v>
      </c>
      <c r="D98">
        <v>7.1342710504918472</v>
      </c>
      <c r="E98">
        <v>3749.7728641385152</v>
      </c>
      <c r="F98">
        <v>5.3807710038555872</v>
      </c>
      <c r="G98">
        <v>2828.1332396264966</v>
      </c>
      <c r="H98">
        <v>6.4721284052050398</v>
      </c>
      <c r="I98">
        <v>3401.7506897757689</v>
      </c>
      <c r="J98">
        <v>5.8823980563156724</v>
      </c>
      <c r="K98">
        <v>3091.7884183995175</v>
      </c>
      <c r="L98">
        <v>5.4295976591642381</v>
      </c>
      <c r="M98">
        <v>2853.7965296567236</v>
      </c>
      <c r="N98">
        <v>5.2341605074604027</v>
      </c>
      <c r="O98">
        <v>2751.0747627211877</v>
      </c>
      <c r="P98">
        <v>6.4239024682299286</v>
      </c>
      <c r="Q98">
        <v>3376.4031373016505</v>
      </c>
      <c r="R98">
        <v>6.0321636104456831</v>
      </c>
      <c r="S98">
        <v>3170.5051936502509</v>
      </c>
      <c r="T98">
        <v>4.6440412113563454</v>
      </c>
      <c r="U98">
        <v>2440.9080606888951</v>
      </c>
      <c r="V98">
        <v>5.1007366023549645</v>
      </c>
      <c r="W98">
        <v>2680.9471581977696</v>
      </c>
      <c r="X98">
        <v>5.1992379496546324</v>
      </c>
      <c r="Y98">
        <v>2732.7194663384748</v>
      </c>
      <c r="Z98">
        <v>1.5497810875949951</v>
      </c>
      <c r="AA98">
        <v>814.56493963992943</v>
      </c>
      <c r="AB98">
        <v>9.5634510903774537</v>
      </c>
      <c r="AC98">
        <v>5026.5498931023894</v>
      </c>
      <c r="AD98">
        <v>2.689828502281586</v>
      </c>
      <c r="AE98">
        <v>1413.7738607992017</v>
      </c>
      <c r="AF98">
        <v>9.115776016820492</v>
      </c>
      <c r="AG98">
        <v>4791.2518744408508</v>
      </c>
      <c r="AH98">
        <v>2.1521663722488871</v>
      </c>
      <c r="AI98">
        <v>1131.178645254015</v>
      </c>
      <c r="AJ98">
        <v>10</v>
      </c>
      <c r="AK98">
        <v>5256</v>
      </c>
      <c r="AL98">
        <v>6</v>
      </c>
      <c r="AM98">
        <v>3153.6000000000004</v>
      </c>
      <c r="AN98">
        <v>7.6499077119068772</v>
      </c>
      <c r="AO98">
        <v>4020.7914933782549</v>
      </c>
      <c r="AP98">
        <v>1.7398254456465965</v>
      </c>
      <c r="AQ98">
        <v>914.45225423185116</v>
      </c>
      <c r="AR98">
        <v>9</v>
      </c>
      <c r="AS98">
        <v>4730.4000000000005</v>
      </c>
      <c r="AT98">
        <v>8.5909821378869431</v>
      </c>
      <c r="AU98">
        <v>4515.4202116733777</v>
      </c>
      <c r="AV98">
        <v>4.8173640957889541</v>
      </c>
      <c r="AW98">
        <v>2532.0065687466745</v>
      </c>
      <c r="AX98">
        <v>1.2829368175459297</v>
      </c>
      <c r="AY98">
        <v>674.31159130214064</v>
      </c>
      <c r="AZ98">
        <v>4.1059861119695755</v>
      </c>
      <c r="BA98">
        <v>2158.1063004512089</v>
      </c>
      <c r="BB98">
        <v>5.1962368486889456</v>
      </c>
      <c r="BC98">
        <v>2731.1420876709099</v>
      </c>
      <c r="BD98">
        <v>1.4445213894490923</v>
      </c>
      <c r="BE98">
        <v>759.24044229444291</v>
      </c>
      <c r="BF98">
        <v>8.4653683484805651</v>
      </c>
      <c r="BG98">
        <v>4449.3976039613854</v>
      </c>
      <c r="BH98">
        <v>4.7994665096786004</v>
      </c>
      <c r="BI98">
        <v>2522.5995974870725</v>
      </c>
      <c r="BJ98">
        <v>5.3002068560537614</v>
      </c>
      <c r="BK98">
        <v>2785.7887235418571</v>
      </c>
      <c r="BL98">
        <v>1.6440934235177167</v>
      </c>
      <c r="BM98">
        <v>864.13550340091194</v>
      </c>
      <c r="BN98">
        <v>7</v>
      </c>
      <c r="BO98">
        <v>3679.2000000000003</v>
      </c>
      <c r="BP98">
        <v>3.2462173571575526</v>
      </c>
      <c r="BQ98">
        <v>1706.2118429220097</v>
      </c>
      <c r="BR98">
        <v>6</v>
      </c>
      <c r="BS98">
        <v>3153.6000000000004</v>
      </c>
      <c r="BT98">
        <v>10.72466088156701</v>
      </c>
      <c r="BU98">
        <v>5636.8817593516205</v>
      </c>
      <c r="BV98">
        <v>6.1212146766899478</v>
      </c>
      <c r="BW98">
        <v>3217.3104340682366</v>
      </c>
      <c r="BX98">
        <v>1.5953920254402569</v>
      </c>
      <c r="BY98">
        <v>838.53804857139903</v>
      </c>
      <c r="BZ98">
        <v>5.8954143952905795</v>
      </c>
      <c r="CA98">
        <v>3098.629806164729</v>
      </c>
      <c r="CB98">
        <v>9.8125408448563523</v>
      </c>
      <c r="CC98">
        <v>5157.4714680564994</v>
      </c>
      <c r="CD98">
        <v>5.6569104178816279</v>
      </c>
      <c r="CE98">
        <v>2973.2721156385837</v>
      </c>
      <c r="CF98">
        <v>1.4875130974684103</v>
      </c>
      <c r="CG98">
        <v>781.83688402939651</v>
      </c>
      <c r="CH98">
        <v>1.1661972960127631</v>
      </c>
      <c r="CI98">
        <v>612.95329878430834</v>
      </c>
      <c r="CJ98">
        <v>8</v>
      </c>
      <c r="CK98">
        <v>4204.8</v>
      </c>
      <c r="CL98">
        <v>8.6386322596403442</v>
      </c>
      <c r="CM98">
        <v>4540.4651156669652</v>
      </c>
      <c r="CN98">
        <v>5.0059258095332577</v>
      </c>
      <c r="CO98">
        <v>2631.1146054906803</v>
      </c>
      <c r="CP98">
        <v>4.7321064463756688</v>
      </c>
      <c r="CQ98">
        <v>2487.1951482150516</v>
      </c>
      <c r="CR98">
        <v>6.1062663188034714</v>
      </c>
      <c r="CS98">
        <v>3209.4535771631049</v>
      </c>
      <c r="CT98">
        <v>5.1118544816935119</v>
      </c>
      <c r="CU98">
        <v>2686.7907155781099</v>
      </c>
    </row>
    <row r="99" spans="2:99">
      <c r="C99" s="99" t="s">
        <v>265</v>
      </c>
      <c r="D99">
        <v>5.1885607639940705</v>
      </c>
      <c r="E99">
        <v>21835.539119192643</v>
      </c>
      <c r="F99">
        <v>4.7081746283736381</v>
      </c>
      <c r="G99">
        <v>19813.882106047618</v>
      </c>
      <c r="H99">
        <v>5.0338776484928092</v>
      </c>
      <c r="I99">
        <v>21184.570695917137</v>
      </c>
      <c r="J99">
        <v>4.7059184450525384</v>
      </c>
      <c r="K99">
        <v>19804.387184159103</v>
      </c>
      <c r="L99">
        <v>4.8263090303682112</v>
      </c>
      <c r="M99">
        <v>20311.038923401578</v>
      </c>
      <c r="N99">
        <v>4.6449334105108475</v>
      </c>
      <c r="O99">
        <v>19547.737764793848</v>
      </c>
      <c r="P99">
        <v>4.8179268511724462</v>
      </c>
      <c r="Q99">
        <v>20275.76336047412</v>
      </c>
      <c r="R99">
        <v>5.4289472494011157</v>
      </c>
      <c r="S99">
        <v>22847.181604379653</v>
      </c>
      <c r="T99">
        <v>4.4946319007004583</v>
      </c>
      <c r="U99">
        <v>18915.208890907808</v>
      </c>
      <c r="V99">
        <v>5.1007366023549645</v>
      </c>
      <c r="W99">
        <v>21465.939917350632</v>
      </c>
      <c r="X99">
        <v>4.5429356169269512</v>
      </c>
      <c r="Y99">
        <v>19118.490250275379</v>
      </c>
      <c r="Z99">
        <v>1.1623358156962462</v>
      </c>
      <c r="AA99">
        <v>4891.5740467760825</v>
      </c>
      <c r="AB99">
        <v>7.4225883177830898</v>
      </c>
      <c r="AC99">
        <v>31237.220676558354</v>
      </c>
      <c r="AD99">
        <v>2.4208456520534272</v>
      </c>
      <c r="AE99">
        <v>10187.886842101641</v>
      </c>
      <c r="AF99">
        <v>8.2041984151384426</v>
      </c>
      <c r="AG99">
        <v>34526.548610268619</v>
      </c>
      <c r="AH99">
        <v>1.6739071784158011</v>
      </c>
      <c r="AI99">
        <v>7044.4709696450564</v>
      </c>
      <c r="AJ99">
        <v>9</v>
      </c>
      <c r="AK99">
        <v>37875.599999999999</v>
      </c>
      <c r="AL99">
        <v>5</v>
      </c>
      <c r="AM99">
        <v>21042</v>
      </c>
      <c r="AN99">
        <v>6.8645756329362824</v>
      </c>
      <c r="AO99">
        <v>28888.880093649048</v>
      </c>
      <c r="AP99">
        <v>1.4234935464381244</v>
      </c>
      <c r="AQ99">
        <v>5990.6302408302026</v>
      </c>
      <c r="AR99">
        <v>6</v>
      </c>
      <c r="AS99">
        <v>25250.399999999998</v>
      </c>
      <c r="AT99">
        <v>6.8727857103095547</v>
      </c>
      <c r="AU99">
        <v>28923.431383266729</v>
      </c>
      <c r="AV99">
        <v>4.7797979362477667</v>
      </c>
      <c r="AW99">
        <v>20115.301634905099</v>
      </c>
      <c r="AX99">
        <v>1.1225697153526886</v>
      </c>
      <c r="AY99">
        <v>4724.2223900902545</v>
      </c>
      <c r="AZ99">
        <v>3.5192239969417605</v>
      </c>
      <c r="BA99">
        <v>14810.302268729703</v>
      </c>
      <c r="BB99">
        <v>4.441477923489896</v>
      </c>
      <c r="BC99">
        <v>18691.515693214878</v>
      </c>
      <c r="BD99">
        <v>1.1556171115592737</v>
      </c>
      <c r="BE99">
        <v>4863.2990522860473</v>
      </c>
      <c r="BF99">
        <v>7.6188315136325091</v>
      </c>
      <c r="BG99">
        <v>32063.090541971047</v>
      </c>
      <c r="BH99">
        <v>4.7994665096786004</v>
      </c>
      <c r="BI99">
        <v>20198.07485933142</v>
      </c>
      <c r="BJ99">
        <v>4.712942435084849</v>
      </c>
      <c r="BK99">
        <v>19833.946943811075</v>
      </c>
      <c r="BL99">
        <v>1.3152747388141734</v>
      </c>
      <c r="BM99">
        <v>5535.2022108255669</v>
      </c>
      <c r="BN99">
        <v>7</v>
      </c>
      <c r="BO99">
        <v>29458.799999999996</v>
      </c>
      <c r="BP99">
        <v>3.2462173571575526</v>
      </c>
      <c r="BQ99">
        <v>13661.381125861843</v>
      </c>
      <c r="BR99">
        <v>5</v>
      </c>
      <c r="BS99">
        <v>21042</v>
      </c>
      <c r="BT99">
        <v>8.7747225394639159</v>
      </c>
      <c r="BU99">
        <v>36927.542335079939</v>
      </c>
      <c r="BV99">
        <v>5.3560628421037038</v>
      </c>
      <c r="BW99">
        <v>22540.454864709223</v>
      </c>
      <c r="BX99">
        <v>1.4013672921741613</v>
      </c>
      <c r="BY99">
        <v>5897.5141123857402</v>
      </c>
      <c r="BZ99">
        <v>4.5853223074482283</v>
      </c>
      <c r="CA99">
        <v>19296.870398665124</v>
      </c>
      <c r="CB99">
        <v>7.1363933417137115</v>
      </c>
      <c r="CC99">
        <v>30032.797739267982</v>
      </c>
      <c r="CD99">
        <v>4.7282846760920645</v>
      </c>
      <c r="CE99">
        <v>19898.513230865843</v>
      </c>
      <c r="CF99">
        <v>1.3387617877215694</v>
      </c>
      <c r="CG99">
        <v>5634.0451074474522</v>
      </c>
      <c r="CH99">
        <v>1.0495775664114868</v>
      </c>
      <c r="CI99">
        <v>4417.0422304861004</v>
      </c>
      <c r="CJ99">
        <v>6</v>
      </c>
      <c r="CK99">
        <v>25250.399999999998</v>
      </c>
      <c r="CL99">
        <v>6.7189362019424896</v>
      </c>
      <c r="CM99">
        <v>28275.971112254771</v>
      </c>
      <c r="CN99">
        <v>4.3044969468264886</v>
      </c>
      <c r="CO99">
        <v>18115.044951024593</v>
      </c>
      <c r="CP99">
        <v>4.0450463857445662</v>
      </c>
      <c r="CQ99">
        <v>17023.173209767432</v>
      </c>
      <c r="CR99">
        <v>5.5075270676134904</v>
      </c>
      <c r="CS99">
        <v>23177.876911344611</v>
      </c>
      <c r="CT99">
        <v>3.9809818039500398</v>
      </c>
      <c r="CU99">
        <v>16753.563823743345</v>
      </c>
    </row>
    <row r="100" spans="2:99">
      <c r="C100" s="99" t="s">
        <v>266</v>
      </c>
      <c r="D100">
        <v>5.83713085949333</v>
      </c>
      <c r="E100">
        <v>1891.2303984758389</v>
      </c>
      <c r="F100">
        <v>5.3807710038555872</v>
      </c>
      <c r="G100">
        <v>1743.3698052492102</v>
      </c>
      <c r="H100">
        <v>7.1912537835611561</v>
      </c>
      <c r="I100">
        <v>2329.9662258738144</v>
      </c>
      <c r="J100">
        <v>5.2941582506841058</v>
      </c>
      <c r="K100">
        <v>1715.3072732216503</v>
      </c>
      <c r="L100">
        <v>6.6361749167562909</v>
      </c>
      <c r="M100">
        <v>2150.1206730290382</v>
      </c>
      <c r="N100">
        <v>5.8004264827147605</v>
      </c>
      <c r="O100">
        <v>1879.3381803995824</v>
      </c>
      <c r="P100">
        <v>5.620914659701187</v>
      </c>
      <c r="Q100">
        <v>1821.1763497431846</v>
      </c>
      <c r="R100">
        <v>6.0321636104456831</v>
      </c>
      <c r="S100">
        <v>1954.4210097844013</v>
      </c>
      <c r="T100">
        <v>5.2861314828849828</v>
      </c>
      <c r="U100">
        <v>1712.7066004547344</v>
      </c>
      <c r="V100">
        <v>5.9508593694141245</v>
      </c>
      <c r="W100">
        <v>1928.0784356901763</v>
      </c>
      <c r="X100">
        <v>5.1992379496546324</v>
      </c>
      <c r="Y100">
        <v>1684.5530956881009</v>
      </c>
      <c r="Z100">
        <v>1.5497810875949951</v>
      </c>
      <c r="AA100">
        <v>502.12907238077844</v>
      </c>
      <c r="AB100">
        <v>8.5634510903774537</v>
      </c>
      <c r="AC100">
        <v>2774.5581532822948</v>
      </c>
      <c r="AD100">
        <v>2.689828502281586</v>
      </c>
      <c r="AE100">
        <v>871.50443473923383</v>
      </c>
      <c r="AF100">
        <v>10.027353618502541</v>
      </c>
      <c r="AG100">
        <v>3248.8625723948235</v>
      </c>
      <c r="AH100">
        <v>1.9130367753323438</v>
      </c>
      <c r="AI100">
        <v>619.82391520767942</v>
      </c>
      <c r="AJ100">
        <v>10</v>
      </c>
      <c r="AK100">
        <v>3240</v>
      </c>
      <c r="AL100">
        <v>6</v>
      </c>
      <c r="AM100">
        <v>1944</v>
      </c>
      <c r="AN100">
        <v>7.6499077119068772</v>
      </c>
      <c r="AO100">
        <v>2478.5700986578281</v>
      </c>
      <c r="AP100">
        <v>1.5816594960423607</v>
      </c>
      <c r="AQ100">
        <v>512.45767671772489</v>
      </c>
      <c r="AR100">
        <v>9</v>
      </c>
      <c r="AS100">
        <v>2916</v>
      </c>
      <c r="AT100">
        <v>8.5909821378869431</v>
      </c>
      <c r="AU100">
        <v>2783.4782126753694</v>
      </c>
      <c r="AV100">
        <v>4.8173640957889541</v>
      </c>
      <c r="AW100">
        <v>1560.825967035621</v>
      </c>
      <c r="AX100">
        <v>1.2829368175459297</v>
      </c>
      <c r="AY100">
        <v>415.67152888488124</v>
      </c>
      <c r="AZ100">
        <v>4.4970110005186603</v>
      </c>
      <c r="BA100">
        <v>1457.0315641680459</v>
      </c>
      <c r="BB100">
        <v>5.1875292859185045</v>
      </c>
      <c r="BC100">
        <v>1680.7594886375955</v>
      </c>
      <c r="BD100">
        <v>1.4445213894490923</v>
      </c>
      <c r="BE100">
        <v>468.02493018150591</v>
      </c>
      <c r="BF100">
        <v>9.311905183328621</v>
      </c>
      <c r="BG100">
        <v>3017.0572793984734</v>
      </c>
      <c r="BH100">
        <v>5.3993998233884257</v>
      </c>
      <c r="BI100">
        <v>1749.4055427778499</v>
      </c>
      <c r="BJ100">
        <v>5.3076203897205367</v>
      </c>
      <c r="BK100">
        <v>1719.6690062694538</v>
      </c>
      <c r="BL100">
        <v>1.6440934235177167</v>
      </c>
      <c r="BM100">
        <v>532.68626921974021</v>
      </c>
      <c r="BN100">
        <v>8</v>
      </c>
      <c r="BO100">
        <v>2592</v>
      </c>
      <c r="BP100">
        <v>3.709962693894346</v>
      </c>
      <c r="BQ100">
        <v>1202.027912821768</v>
      </c>
      <c r="BR100">
        <v>6</v>
      </c>
      <c r="BS100">
        <v>1944</v>
      </c>
      <c r="BT100">
        <v>11.699630052618556</v>
      </c>
      <c r="BU100">
        <v>3790.6801370484122</v>
      </c>
      <c r="BV100">
        <v>6.1312904962865842</v>
      </c>
      <c r="BW100">
        <v>1986.5381207968533</v>
      </c>
      <c r="BX100">
        <v>1.5953920254402569</v>
      </c>
      <c r="BY100">
        <v>516.90701624264329</v>
      </c>
      <c r="BZ100">
        <v>5.8954143952905795</v>
      </c>
      <c r="CA100">
        <v>1910.1142640741477</v>
      </c>
      <c r="CB100">
        <v>9.8125408448563523</v>
      </c>
      <c r="CC100">
        <v>3179.263233733458</v>
      </c>
      <c r="CD100">
        <v>5.6994884014537499</v>
      </c>
      <c r="CE100">
        <v>1846.634242071015</v>
      </c>
      <c r="CF100">
        <v>1.4875130974684103</v>
      </c>
      <c r="CG100">
        <v>481.95424357976492</v>
      </c>
      <c r="CH100">
        <v>1.3994367552153155</v>
      </c>
      <c r="CI100">
        <v>453.4175086897622</v>
      </c>
      <c r="CJ100">
        <v>8</v>
      </c>
      <c r="CK100">
        <v>2592</v>
      </c>
      <c r="CL100">
        <v>8.6386322596403442</v>
      </c>
      <c r="CM100">
        <v>2798.9168521234715</v>
      </c>
      <c r="CN100">
        <v>5.0059258095332577</v>
      </c>
      <c r="CO100">
        <v>1621.9199622887754</v>
      </c>
      <c r="CP100">
        <v>4.0708177117585818</v>
      </c>
      <c r="CQ100">
        <v>1318.9449386097806</v>
      </c>
      <c r="CR100">
        <v>6.5959452417465609</v>
      </c>
      <c r="CS100">
        <v>2137.0862583258859</v>
      </c>
      <c r="CT100">
        <v>5.1347819135413992</v>
      </c>
      <c r="CU100">
        <v>1663.6693399874134</v>
      </c>
    </row>
    <row r="101" spans="2:99">
      <c r="C101" s="99" t="s">
        <v>267</v>
      </c>
      <c r="D101">
        <v>6.4857009549925886</v>
      </c>
      <c r="E101">
        <v>4693.0532110326376</v>
      </c>
      <c r="F101">
        <v>5.3807710038555872</v>
      </c>
      <c r="G101">
        <v>3893.525898389903</v>
      </c>
      <c r="H101">
        <v>6.4721284052050398</v>
      </c>
      <c r="I101">
        <v>4683.2321140063668</v>
      </c>
      <c r="J101">
        <v>5.8823980563156724</v>
      </c>
      <c r="K101">
        <v>4256.5032335500209</v>
      </c>
      <c r="L101">
        <v>6.6361749167562909</v>
      </c>
      <c r="M101">
        <v>4801.9361697648519</v>
      </c>
      <c r="N101">
        <v>5.8080801899464927</v>
      </c>
      <c r="O101">
        <v>4202.726825445282</v>
      </c>
      <c r="P101">
        <v>5.620914659701187</v>
      </c>
      <c r="Q101">
        <v>4067.2938477597791</v>
      </c>
      <c r="R101">
        <v>6.0321636104456831</v>
      </c>
      <c r="S101">
        <v>4364.873588518496</v>
      </c>
      <c r="T101">
        <v>5.1367221722290957</v>
      </c>
      <c r="U101">
        <v>3716.9321638249739</v>
      </c>
      <c r="V101">
        <v>5.9508593694141245</v>
      </c>
      <c r="W101">
        <v>4306.0418397080603</v>
      </c>
      <c r="X101">
        <v>4.551465735621421</v>
      </c>
      <c r="Y101">
        <v>3293.4406062956605</v>
      </c>
      <c r="Z101">
        <v>1.3560584516456207</v>
      </c>
      <c r="AA101">
        <v>981.24389561077112</v>
      </c>
      <c r="AB101">
        <v>9</v>
      </c>
      <c r="AC101">
        <v>6512.4000000000005</v>
      </c>
      <c r="AD101">
        <v>2.689828502281586</v>
      </c>
      <c r="AE101">
        <v>1946.3599042509557</v>
      </c>
      <c r="AF101">
        <v>10.027353618502541</v>
      </c>
      <c r="AG101">
        <v>7255.7930783484389</v>
      </c>
      <c r="AH101">
        <v>1.9130367753323438</v>
      </c>
      <c r="AI101">
        <v>1384.273410630484</v>
      </c>
      <c r="AJ101">
        <v>9</v>
      </c>
      <c r="AK101">
        <v>6512.4000000000005</v>
      </c>
      <c r="AL101">
        <v>6</v>
      </c>
      <c r="AM101">
        <v>4341.6000000000004</v>
      </c>
      <c r="AN101">
        <v>8.394557175317658</v>
      </c>
      <c r="AO101">
        <v>6074.3015720598578</v>
      </c>
      <c r="AP101">
        <v>1.5816594960423607</v>
      </c>
      <c r="AQ101">
        <v>1144.4888113362522</v>
      </c>
      <c r="AR101">
        <v>9</v>
      </c>
      <c r="AS101">
        <v>6512.4000000000005</v>
      </c>
      <c r="AT101">
        <v>9.4500803516756378</v>
      </c>
      <c r="AU101">
        <v>6838.0781424724919</v>
      </c>
      <c r="AV101">
        <v>5.7733236830385071</v>
      </c>
      <c r="AW101">
        <v>4177.577017046664</v>
      </c>
      <c r="AX101">
        <v>1.2829368175459297</v>
      </c>
      <c r="AY101">
        <v>928.33308117623471</v>
      </c>
      <c r="AZ101">
        <v>4.4970110005186603</v>
      </c>
      <c r="BA101">
        <v>3254.0371599753025</v>
      </c>
      <c r="BB101">
        <v>5.1962368486889456</v>
      </c>
      <c r="BC101">
        <v>3759.9969837113213</v>
      </c>
      <c r="BD101">
        <v>1.3000692505041831</v>
      </c>
      <c r="BE101">
        <v>940.73010966482695</v>
      </c>
      <c r="BF101">
        <v>8.4653683484805651</v>
      </c>
      <c r="BG101">
        <v>6125.5405369605369</v>
      </c>
      <c r="BH101">
        <v>4.7994665096786004</v>
      </c>
      <c r="BI101">
        <v>3472.8939664034356</v>
      </c>
      <c r="BJ101">
        <v>4.7203559687516243</v>
      </c>
      <c r="BK101">
        <v>3415.6495789886753</v>
      </c>
      <c r="BL101">
        <v>1.6440934235177167</v>
      </c>
      <c r="BM101">
        <v>1189.6660012574198</v>
      </c>
      <c r="BN101">
        <v>7</v>
      </c>
      <c r="BO101">
        <v>5065.2</v>
      </c>
      <c r="BP101">
        <v>3.709962693894346</v>
      </c>
      <c r="BQ101">
        <v>2684.5290053019489</v>
      </c>
      <c r="BR101">
        <v>6</v>
      </c>
      <c r="BS101">
        <v>4341.6000000000004</v>
      </c>
      <c r="BT101">
        <v>9.7496917105154637</v>
      </c>
      <c r="BU101">
        <v>7054.8769217289901</v>
      </c>
      <c r="BV101">
        <v>6.1312904962865842</v>
      </c>
      <c r="BW101">
        <v>4436.6018031129724</v>
      </c>
      <c r="BX101">
        <v>1.735528754657673</v>
      </c>
      <c r="BY101">
        <v>1255.8286068702921</v>
      </c>
      <c r="BZ101">
        <v>6.5504604392117542</v>
      </c>
      <c r="CA101">
        <v>4739.9131738136257</v>
      </c>
      <c r="CB101">
        <v>9.8125408448563523</v>
      </c>
      <c r="CC101">
        <v>7100.3545553380563</v>
      </c>
      <c r="CD101">
        <v>5.6994884014537499</v>
      </c>
      <c r="CE101">
        <v>4124.1498072919339</v>
      </c>
      <c r="CF101">
        <v>1.6362644072152517</v>
      </c>
      <c r="CG101">
        <v>1184.0009250609562</v>
      </c>
      <c r="CH101">
        <v>1.2828170256140394</v>
      </c>
      <c r="CI101">
        <v>928.24639973431897</v>
      </c>
      <c r="CJ101">
        <v>8</v>
      </c>
      <c r="CK101">
        <v>5788.8</v>
      </c>
      <c r="CL101">
        <v>8.6386322596403442</v>
      </c>
      <c r="CM101">
        <v>6250.9143030757532</v>
      </c>
      <c r="CN101">
        <v>4.9194250820874164</v>
      </c>
      <c r="CO101">
        <v>3559.6959893984545</v>
      </c>
      <c r="CP101">
        <v>4.7321064463756688</v>
      </c>
      <c r="CQ101">
        <v>3424.1522245974343</v>
      </c>
      <c r="CR101">
        <v>6.0844542531540933</v>
      </c>
      <c r="CS101">
        <v>4402.7110975823016</v>
      </c>
      <c r="CT101">
        <v>5.6543633887173606</v>
      </c>
      <c r="CU101">
        <v>4091.4973480758822</v>
      </c>
    </row>
    <row r="102" spans="2:99">
      <c r="C102" s="99" t="s">
        <v>268</v>
      </c>
      <c r="D102">
        <v>5.83713085949333</v>
      </c>
      <c r="E102">
        <v>3103.0187649066543</v>
      </c>
      <c r="F102">
        <v>5.3807710038555872</v>
      </c>
      <c r="G102">
        <v>2860.4178656496301</v>
      </c>
      <c r="H102">
        <v>6.4721284052050398</v>
      </c>
      <c r="I102">
        <v>3440.5834602069995</v>
      </c>
      <c r="J102">
        <v>5.8823980563156724</v>
      </c>
      <c r="K102">
        <v>3127.0828067374114</v>
      </c>
      <c r="L102">
        <v>6.6361749167562909</v>
      </c>
      <c r="M102">
        <v>3527.7905857476444</v>
      </c>
      <c r="N102">
        <v>6.3819998724325826</v>
      </c>
      <c r="O102">
        <v>3392.6711321851612</v>
      </c>
      <c r="P102">
        <v>6.4239024682299286</v>
      </c>
      <c r="Q102">
        <v>3414.9465521110301</v>
      </c>
      <c r="R102">
        <v>6.6353799714902522</v>
      </c>
      <c r="S102">
        <v>3527.3679928442184</v>
      </c>
      <c r="T102">
        <v>5.1367221722290957</v>
      </c>
      <c r="U102">
        <v>2730.6815067569873</v>
      </c>
      <c r="V102">
        <v>5.9508593694141245</v>
      </c>
      <c r="W102">
        <v>3163.4768407805486</v>
      </c>
      <c r="X102">
        <v>5.1992379496546324</v>
      </c>
      <c r="Y102">
        <v>2763.9148940364025</v>
      </c>
      <c r="Z102">
        <v>1.5497810875949951</v>
      </c>
      <c r="AA102">
        <v>823.86362616549945</v>
      </c>
      <c r="AB102">
        <v>8.5164968328459985</v>
      </c>
      <c r="AC102">
        <v>4527.3697163409333</v>
      </c>
      <c r="AD102">
        <v>2.9588113525097444</v>
      </c>
      <c r="AE102">
        <v>1572.9041149941802</v>
      </c>
      <c r="AF102">
        <v>9.115776016820492</v>
      </c>
      <c r="AG102">
        <v>4845.9465305417734</v>
      </c>
      <c r="AH102">
        <v>1.9130367753323438</v>
      </c>
      <c r="AI102">
        <v>1016.9703497666741</v>
      </c>
      <c r="AJ102">
        <v>10</v>
      </c>
      <c r="AK102">
        <v>5316</v>
      </c>
      <c r="AL102">
        <v>5</v>
      </c>
      <c r="AM102">
        <v>2658</v>
      </c>
      <c r="AN102">
        <v>7.6499077119068772</v>
      </c>
      <c r="AO102">
        <v>4066.6909396496962</v>
      </c>
      <c r="AP102">
        <v>1.7398254456465965</v>
      </c>
      <c r="AQ102">
        <v>924.89120690573077</v>
      </c>
      <c r="AR102">
        <v>8</v>
      </c>
      <c r="AS102">
        <v>4252.8</v>
      </c>
      <c r="AT102">
        <v>9.4500803516756378</v>
      </c>
      <c r="AU102">
        <v>5023.6627149507694</v>
      </c>
      <c r="AV102">
        <v>4.8549302553301414</v>
      </c>
      <c r="AW102">
        <v>2580.8809237335031</v>
      </c>
      <c r="AX102">
        <v>1.4433039197391708</v>
      </c>
      <c r="AY102">
        <v>767.2603637333433</v>
      </c>
      <c r="AZ102">
        <v>4.3012737740399292</v>
      </c>
      <c r="BA102">
        <v>2286.5571382796265</v>
      </c>
      <c r="BB102">
        <v>5.9161655228062342</v>
      </c>
      <c r="BC102">
        <v>3145.0335919237941</v>
      </c>
      <c r="BD102">
        <v>1.4445213894490923</v>
      </c>
      <c r="BE102">
        <v>767.90757063113745</v>
      </c>
      <c r="BF102">
        <v>9.311905183328621</v>
      </c>
      <c r="BG102">
        <v>4950.2087954574954</v>
      </c>
      <c r="BH102">
        <v>4.7994665096786004</v>
      </c>
      <c r="BI102">
        <v>2551.3963965451439</v>
      </c>
      <c r="BJ102">
        <v>5.8874712770226738</v>
      </c>
      <c r="BK102">
        <v>3129.7797308652534</v>
      </c>
      <c r="BL102">
        <v>1.8085027658694885</v>
      </c>
      <c r="BM102">
        <v>961.40007033622021</v>
      </c>
      <c r="BN102">
        <v>8</v>
      </c>
      <c r="BO102">
        <v>4252.8</v>
      </c>
      <c r="BP102">
        <v>3.709962693894346</v>
      </c>
      <c r="BQ102">
        <v>1972.2161680742345</v>
      </c>
      <c r="BR102">
        <v>6</v>
      </c>
      <c r="BS102">
        <v>3189.6000000000004</v>
      </c>
      <c r="BT102">
        <v>11.699630052618556</v>
      </c>
      <c r="BU102">
        <v>6219.5233359720241</v>
      </c>
      <c r="BV102">
        <v>5.3762144812969774</v>
      </c>
      <c r="BW102">
        <v>2857.9956182574733</v>
      </c>
      <c r="BX102">
        <v>1.6002909348992276</v>
      </c>
      <c r="BY102">
        <v>850.71466099242946</v>
      </c>
      <c r="BZ102">
        <v>6.5504604392117542</v>
      </c>
      <c r="CA102">
        <v>3482.2247694849689</v>
      </c>
      <c r="CB102">
        <v>9.8125408448563523</v>
      </c>
      <c r="CC102">
        <v>5216.3467131256375</v>
      </c>
      <c r="CD102">
        <v>5.6569104178816279</v>
      </c>
      <c r="CE102">
        <v>3007.2135781458733</v>
      </c>
      <c r="CF102">
        <v>1.7850157169620924</v>
      </c>
      <c r="CG102">
        <v>948.91435513704835</v>
      </c>
      <c r="CH102">
        <v>1.3994367552153155</v>
      </c>
      <c r="CI102">
        <v>743.94057907246179</v>
      </c>
      <c r="CJ102">
        <v>8</v>
      </c>
      <c r="CK102">
        <v>4252.8</v>
      </c>
      <c r="CL102">
        <v>8.6386322596403442</v>
      </c>
      <c r="CM102">
        <v>4592.2969092248068</v>
      </c>
      <c r="CN102">
        <v>4.3044969468264886</v>
      </c>
      <c r="CO102">
        <v>2288.2705769329614</v>
      </c>
      <c r="CP102">
        <v>4.0708177117585818</v>
      </c>
      <c r="CQ102">
        <v>2164.0466955708621</v>
      </c>
      <c r="CR102">
        <v>6.0844542531540933</v>
      </c>
      <c r="CS102">
        <v>3234.4958809767163</v>
      </c>
      <c r="CT102">
        <v>4.5693455746696632</v>
      </c>
      <c r="CU102">
        <v>2429.0641074943928</v>
      </c>
    </row>
    <row r="103" spans="2:99">
      <c r="C103" s="99" t="s">
        <v>269</v>
      </c>
      <c r="D103">
        <v>5.83713085949333</v>
      </c>
      <c r="E103">
        <v>3439.2375024134694</v>
      </c>
      <c r="F103">
        <v>6.0533673793375344</v>
      </c>
      <c r="G103">
        <v>3566.644059905675</v>
      </c>
      <c r="H103">
        <v>6.4721284052050398</v>
      </c>
      <c r="I103">
        <v>3813.378056346809</v>
      </c>
      <c r="J103">
        <v>5.2941582506841058</v>
      </c>
      <c r="K103">
        <v>3119.318041303075</v>
      </c>
      <c r="L103">
        <v>6.032886287960264</v>
      </c>
      <c r="M103">
        <v>3554.5766008661872</v>
      </c>
      <c r="N103">
        <v>6.3743461652008504</v>
      </c>
      <c r="O103">
        <v>3755.7647605363404</v>
      </c>
      <c r="P103">
        <v>5.620914659701187</v>
      </c>
      <c r="Q103">
        <v>3311.8429174959388</v>
      </c>
      <c r="R103">
        <v>6.0321636104456831</v>
      </c>
      <c r="S103">
        <v>3554.150799274596</v>
      </c>
      <c r="T103">
        <v>5.1367221722290957</v>
      </c>
      <c r="U103">
        <v>3026.5567038773829</v>
      </c>
      <c r="V103">
        <v>5.9508593694141245</v>
      </c>
      <c r="W103">
        <v>3506.2463404588016</v>
      </c>
      <c r="X103">
        <v>5.2077680683491039</v>
      </c>
      <c r="Y103">
        <v>3068.4169458712918</v>
      </c>
      <c r="Z103">
        <v>1.5497810875949951</v>
      </c>
      <c r="AA103">
        <v>913.131016810971</v>
      </c>
      <c r="AB103">
        <v>8</v>
      </c>
      <c r="AC103">
        <v>4713.5999999999995</v>
      </c>
      <c r="AD103">
        <v>2.689828502281586</v>
      </c>
      <c r="AE103">
        <v>1584.8469535443103</v>
      </c>
      <c r="AF103">
        <v>9.115776016820492</v>
      </c>
      <c r="AG103">
        <v>5371.0152291106333</v>
      </c>
      <c r="AH103">
        <v>1.9130367753323438</v>
      </c>
      <c r="AI103">
        <v>1127.1612680258168</v>
      </c>
      <c r="AJ103">
        <v>9</v>
      </c>
      <c r="AK103">
        <v>5302.7999999999993</v>
      </c>
      <c r="AL103">
        <v>5</v>
      </c>
      <c r="AM103">
        <v>2945.9999999999995</v>
      </c>
      <c r="AN103">
        <v>7.6499077119068772</v>
      </c>
      <c r="AO103">
        <v>4507.3256238555314</v>
      </c>
      <c r="AP103">
        <v>1.8979913952508327</v>
      </c>
      <c r="AQ103">
        <v>1118.2965300817905</v>
      </c>
      <c r="AR103">
        <v>8</v>
      </c>
      <c r="AS103">
        <v>4713.5999999999995</v>
      </c>
      <c r="AT103">
        <v>9.4500803516756378</v>
      </c>
      <c r="AU103">
        <v>5567.9873432072854</v>
      </c>
      <c r="AV103">
        <v>4.8549302553301414</v>
      </c>
      <c r="AW103">
        <v>2860.5249064405189</v>
      </c>
      <c r="AX103">
        <v>1.2829368175459297</v>
      </c>
      <c r="AY103">
        <v>755.9063728980617</v>
      </c>
      <c r="AZ103">
        <v>4.0896746764296807</v>
      </c>
      <c r="BA103">
        <v>2409.6363193523675</v>
      </c>
      <c r="BB103">
        <v>5.1962368486889456</v>
      </c>
      <c r="BC103">
        <v>3061.6227512475266</v>
      </c>
      <c r="BD103">
        <v>1.5889735283940014</v>
      </c>
      <c r="BE103">
        <v>936.22320292974553</v>
      </c>
      <c r="BF103">
        <v>8.4653683484805651</v>
      </c>
      <c r="BG103">
        <v>4987.7950309247481</v>
      </c>
      <c r="BH103">
        <v>5.3993998233884257</v>
      </c>
      <c r="BI103">
        <v>3181.3263759404599</v>
      </c>
      <c r="BJ103">
        <v>5.3076203897205367</v>
      </c>
      <c r="BK103">
        <v>3127.24993362334</v>
      </c>
      <c r="BL103">
        <v>1.6440934235177167</v>
      </c>
      <c r="BM103">
        <v>968.6998451366386</v>
      </c>
      <c r="BN103">
        <v>7</v>
      </c>
      <c r="BO103">
        <v>4124.3999999999996</v>
      </c>
      <c r="BP103">
        <v>3.709962693894346</v>
      </c>
      <c r="BQ103">
        <v>2185.9100192425485</v>
      </c>
      <c r="BR103">
        <v>6</v>
      </c>
      <c r="BS103">
        <v>3535.2</v>
      </c>
      <c r="BT103">
        <v>10.72466088156701</v>
      </c>
      <c r="BU103">
        <v>6318.970191419281</v>
      </c>
      <c r="BV103">
        <v>6.1212146766899478</v>
      </c>
      <c r="BW103">
        <v>3606.6196875057167</v>
      </c>
      <c r="BX103">
        <v>1.5904931159812858</v>
      </c>
      <c r="BY103">
        <v>937.11854393617352</v>
      </c>
      <c r="BZ103">
        <v>5.8954143952905795</v>
      </c>
      <c r="CA103">
        <v>3473.5781617052089</v>
      </c>
      <c r="CB103">
        <v>9.8125408448563523</v>
      </c>
      <c r="CC103">
        <v>5781.5490657893624</v>
      </c>
      <c r="CD103">
        <v>6.5855361596711912</v>
      </c>
      <c r="CE103">
        <v>3880.1979052782654</v>
      </c>
      <c r="CF103">
        <v>1.6362644072152517</v>
      </c>
      <c r="CG103">
        <v>964.08698873122614</v>
      </c>
      <c r="CH103">
        <v>1.2828170256140394</v>
      </c>
      <c r="CI103">
        <v>755.83579149179195</v>
      </c>
      <c r="CJ103">
        <v>8</v>
      </c>
      <c r="CK103">
        <v>4713.5999999999995</v>
      </c>
      <c r="CL103">
        <v>9.5984802884892702</v>
      </c>
      <c r="CM103">
        <v>5655.4245859778775</v>
      </c>
      <c r="CN103">
        <v>5.6208539447941854</v>
      </c>
      <c r="CO103">
        <v>3311.8071442727337</v>
      </c>
      <c r="CP103">
        <v>4.7192207833686606</v>
      </c>
      <c r="CQ103">
        <v>2780.5648855608147</v>
      </c>
      <c r="CR103">
        <v>6.617757307395939</v>
      </c>
      <c r="CS103">
        <v>3899.1826055176866</v>
      </c>
      <c r="CT103">
        <v>5.6543633887173606</v>
      </c>
      <c r="CU103">
        <v>3331.5509086322686</v>
      </c>
    </row>
    <row r="104" spans="2:99">
      <c r="C104" s="99" t="s">
        <v>270</v>
      </c>
      <c r="D104">
        <v>5.83713085949333</v>
      </c>
      <c r="E104">
        <v>3691.4015555435817</v>
      </c>
      <c r="F104">
        <v>5.3807710038555872</v>
      </c>
      <c r="G104">
        <v>3402.7995828382732</v>
      </c>
      <c r="H104">
        <v>6.4721284052050398</v>
      </c>
      <c r="I104">
        <v>4092.9740034516672</v>
      </c>
      <c r="J104">
        <v>5.2941582506841058</v>
      </c>
      <c r="K104">
        <v>3348.0256777326285</v>
      </c>
      <c r="L104">
        <v>6.032886287960264</v>
      </c>
      <c r="M104">
        <v>3815.1972885060709</v>
      </c>
      <c r="N104">
        <v>6.3819998724325826</v>
      </c>
      <c r="O104">
        <v>4035.9767193263651</v>
      </c>
      <c r="P104">
        <v>6.4239024682299286</v>
      </c>
      <c r="Q104">
        <v>4062.4759209086069</v>
      </c>
      <c r="R104">
        <v>6.0321636104456831</v>
      </c>
      <c r="S104">
        <v>3814.7402672458497</v>
      </c>
      <c r="T104">
        <v>4.6440412113563454</v>
      </c>
      <c r="U104">
        <v>2936.8916620617529</v>
      </c>
      <c r="V104">
        <v>5.9508593694141245</v>
      </c>
      <c r="W104">
        <v>3763.3234652174924</v>
      </c>
      <c r="X104">
        <v>4.5685259730103613</v>
      </c>
      <c r="Y104">
        <v>2889.1358253317526</v>
      </c>
      <c r="Z104">
        <v>1.3560584516456207</v>
      </c>
      <c r="AA104">
        <v>857.57136482069052</v>
      </c>
      <c r="AB104">
        <v>8.5164968328459985</v>
      </c>
      <c r="AC104">
        <v>5385.8325970918095</v>
      </c>
      <c r="AD104">
        <v>2.689828502281586</v>
      </c>
      <c r="AE104">
        <v>1701.0475448428749</v>
      </c>
      <c r="AF104">
        <v>10.027353618502541</v>
      </c>
      <c r="AG104">
        <v>6341.2984283410069</v>
      </c>
      <c r="AH104">
        <v>2.1521663722488871</v>
      </c>
      <c r="AI104">
        <v>1361.0300138101961</v>
      </c>
      <c r="AJ104">
        <v>10</v>
      </c>
      <c r="AK104">
        <v>6324</v>
      </c>
      <c r="AL104">
        <v>6</v>
      </c>
      <c r="AM104">
        <v>3794.3999999999996</v>
      </c>
      <c r="AN104">
        <v>7.6499077119068772</v>
      </c>
      <c r="AO104">
        <v>4837.8016370099094</v>
      </c>
      <c r="AP104">
        <v>1.5816594960423607</v>
      </c>
      <c r="AQ104">
        <v>1000.2414652971888</v>
      </c>
      <c r="AR104">
        <v>9</v>
      </c>
      <c r="AS104">
        <v>5691.5999999999995</v>
      </c>
      <c r="AT104">
        <v>7.7318839240982484</v>
      </c>
      <c r="AU104">
        <v>4889.643393599732</v>
      </c>
      <c r="AV104">
        <v>5.7733236830385071</v>
      </c>
      <c r="AW104">
        <v>3651.0498971535517</v>
      </c>
      <c r="AX104">
        <v>1.2829368175459297</v>
      </c>
      <c r="AY104">
        <v>811.32924341604587</v>
      </c>
      <c r="AZ104">
        <v>4.4970110005186603</v>
      </c>
      <c r="BA104">
        <v>2843.9097567280005</v>
      </c>
      <c r="BB104">
        <v>5.1962368486889456</v>
      </c>
      <c r="BC104">
        <v>3286.1001831108892</v>
      </c>
      <c r="BD104">
        <v>1.5889735283940014</v>
      </c>
      <c r="BE104">
        <v>1004.8668593563665</v>
      </c>
      <c r="BF104">
        <v>8.4653683484805651</v>
      </c>
      <c r="BG104">
        <v>5353.4989435791094</v>
      </c>
      <c r="BH104">
        <v>5.3993998233884257</v>
      </c>
      <c r="BI104">
        <v>3414.5804483108404</v>
      </c>
      <c r="BJ104">
        <v>5.3002068560537614</v>
      </c>
      <c r="BK104">
        <v>3351.8508157683987</v>
      </c>
      <c r="BL104">
        <v>1.8085027658694885</v>
      </c>
      <c r="BM104">
        <v>1143.6971491358645</v>
      </c>
      <c r="BN104">
        <v>8</v>
      </c>
      <c r="BO104">
        <v>5059.2</v>
      </c>
      <c r="BP104">
        <v>3.2462173571575526</v>
      </c>
      <c r="BQ104">
        <v>2052.9078566664361</v>
      </c>
      <c r="BR104">
        <v>6</v>
      </c>
      <c r="BS104">
        <v>3794.3999999999996</v>
      </c>
      <c r="BT104">
        <v>11.699630052618556</v>
      </c>
      <c r="BU104">
        <v>7398.8460452759746</v>
      </c>
      <c r="BV104">
        <v>6.1212146766899478</v>
      </c>
      <c r="BW104">
        <v>3871.0561615387228</v>
      </c>
      <c r="BX104">
        <v>1.7404276641166436</v>
      </c>
      <c r="BY104">
        <v>1100.6464547873654</v>
      </c>
      <c r="BZ104">
        <v>5.8954143952905795</v>
      </c>
      <c r="CA104">
        <v>3728.2600635817626</v>
      </c>
      <c r="CB104">
        <v>9.8125408448563523</v>
      </c>
      <c r="CC104">
        <v>6205.4508302871573</v>
      </c>
      <c r="CD104">
        <v>5.6994884014537499</v>
      </c>
      <c r="CE104">
        <v>3604.3564650793514</v>
      </c>
      <c r="CF104">
        <v>1.4875130974684103</v>
      </c>
      <c r="CG104">
        <v>940.70328283902268</v>
      </c>
      <c r="CH104">
        <v>1.2828170256140394</v>
      </c>
      <c r="CI104">
        <v>811.25348699831852</v>
      </c>
      <c r="CJ104">
        <v>7</v>
      </c>
      <c r="CK104">
        <v>4426.8</v>
      </c>
      <c r="CL104">
        <v>8.6386322596403442</v>
      </c>
      <c r="CM104">
        <v>5463.0710409965532</v>
      </c>
      <c r="CN104">
        <v>5.0167384004639883</v>
      </c>
      <c r="CO104">
        <v>3172.5853644534259</v>
      </c>
      <c r="CP104">
        <v>4.7321064463756688</v>
      </c>
      <c r="CQ104">
        <v>2992.5841166879727</v>
      </c>
      <c r="CR104">
        <v>6.1062663188034714</v>
      </c>
      <c r="CS104">
        <v>3861.6028200113151</v>
      </c>
      <c r="CT104">
        <v>5.6772908205652479</v>
      </c>
      <c r="CU104">
        <v>3590.3187149254627</v>
      </c>
    </row>
    <row r="105" spans="2:99">
      <c r="C105" s="99" t="s">
        <v>271</v>
      </c>
      <c r="D105">
        <v>7.1342710504918472</v>
      </c>
      <c r="E105">
        <v>3972.3621209138601</v>
      </c>
      <c r="F105">
        <v>5.3807710038555872</v>
      </c>
      <c r="G105">
        <v>2996.0132949467907</v>
      </c>
      <c r="H105">
        <v>6.4721284052050398</v>
      </c>
      <c r="I105">
        <v>3603.681096018166</v>
      </c>
      <c r="J105">
        <v>5.8823980563156724</v>
      </c>
      <c r="K105">
        <v>3275.3192377565661</v>
      </c>
      <c r="L105">
        <v>6.6361749167562909</v>
      </c>
      <c r="M105">
        <v>3695.0221936499024</v>
      </c>
      <c r="N105">
        <v>5.8004264827147605</v>
      </c>
      <c r="O105">
        <v>3229.6774655755785</v>
      </c>
      <c r="P105">
        <v>5.620914659701187</v>
      </c>
      <c r="Q105">
        <v>3129.7252825216206</v>
      </c>
      <c r="R105">
        <v>6.0321636104456831</v>
      </c>
      <c r="S105">
        <v>3358.7086982961559</v>
      </c>
      <c r="T105">
        <v>5.1367221722290957</v>
      </c>
      <c r="U105">
        <v>2860.1269054971604</v>
      </c>
      <c r="V105">
        <v>5.9508593694141245</v>
      </c>
      <c r="W105">
        <v>3313.4384968897843</v>
      </c>
      <c r="X105">
        <v>5.1992379496546324</v>
      </c>
      <c r="Y105">
        <v>2894.935690367699</v>
      </c>
      <c r="Z105">
        <v>1.3560584516456207</v>
      </c>
      <c r="AA105">
        <v>755.05334587628147</v>
      </c>
      <c r="AB105">
        <v>8.469542575314545</v>
      </c>
      <c r="AC105">
        <v>4715.8413059351387</v>
      </c>
      <c r="AD105">
        <v>2.9588113525097444</v>
      </c>
      <c r="AE105">
        <v>1647.4661610774256</v>
      </c>
      <c r="AF105">
        <v>9.115776016820492</v>
      </c>
      <c r="AG105">
        <v>5075.6640861656497</v>
      </c>
      <c r="AH105">
        <v>1.9130367753323438</v>
      </c>
      <c r="AI105">
        <v>1065.1788765050489</v>
      </c>
      <c r="AJ105">
        <v>10</v>
      </c>
      <c r="AK105">
        <v>5568</v>
      </c>
      <c r="AL105">
        <v>6</v>
      </c>
      <c r="AM105">
        <v>3340.7999999999997</v>
      </c>
      <c r="AN105">
        <v>7.6499077119068772</v>
      </c>
      <c r="AO105">
        <v>4259.4686139897485</v>
      </c>
      <c r="AP105">
        <v>1.5816594960423607</v>
      </c>
      <c r="AQ105">
        <v>880.66800739638632</v>
      </c>
      <c r="AR105">
        <v>8</v>
      </c>
      <c r="AS105">
        <v>4454.3999999999996</v>
      </c>
      <c r="AT105">
        <v>8.5909821378869431</v>
      </c>
      <c r="AU105">
        <v>4783.4588543754498</v>
      </c>
      <c r="AV105">
        <v>5.7733236830385071</v>
      </c>
      <c r="AW105">
        <v>3214.5866267158403</v>
      </c>
      <c r="AX105">
        <v>1.4433039197391708</v>
      </c>
      <c r="AY105">
        <v>803.63162251077028</v>
      </c>
      <c r="AZ105">
        <v>4.0896746764296807</v>
      </c>
      <c r="BA105">
        <v>2277.1308598360461</v>
      </c>
      <c r="BB105">
        <v>5.1875292859185045</v>
      </c>
      <c r="BC105">
        <v>2888.4163063994229</v>
      </c>
      <c r="BD105">
        <v>1.5889735283940014</v>
      </c>
      <c r="BE105">
        <v>884.74046060977992</v>
      </c>
      <c r="BF105">
        <v>8.4653683484805651</v>
      </c>
      <c r="BG105">
        <v>4713.5170964339786</v>
      </c>
      <c r="BH105">
        <v>5.3993998233884257</v>
      </c>
      <c r="BI105">
        <v>3006.385821662675</v>
      </c>
      <c r="BJ105">
        <v>5.3002068560537614</v>
      </c>
      <c r="BK105">
        <v>2951.1551774507343</v>
      </c>
      <c r="BL105">
        <v>1.8085027658694885</v>
      </c>
      <c r="BM105">
        <v>1006.9743400361311</v>
      </c>
      <c r="BN105">
        <v>7</v>
      </c>
      <c r="BO105">
        <v>3897.5999999999995</v>
      </c>
      <c r="BP105">
        <v>3.2462173571575526</v>
      </c>
      <c r="BQ105">
        <v>1807.4938244653251</v>
      </c>
      <c r="BR105">
        <v>7</v>
      </c>
      <c r="BS105">
        <v>3897.5999999999995</v>
      </c>
      <c r="BT105">
        <v>11.699630052618556</v>
      </c>
      <c r="BU105">
        <v>6514.3540132980115</v>
      </c>
      <c r="BV105">
        <v>6.1212146766899478</v>
      </c>
      <c r="BW105">
        <v>3408.2923319809624</v>
      </c>
      <c r="BX105">
        <v>1.5953920254402569</v>
      </c>
      <c r="BY105">
        <v>888.31427976513498</v>
      </c>
      <c r="BZ105">
        <v>5.8954143952905795</v>
      </c>
      <c r="CA105">
        <v>3282.5667352977944</v>
      </c>
      <c r="CB105">
        <v>8.9204916771421381</v>
      </c>
      <c r="CC105">
        <v>4966.9297658327423</v>
      </c>
      <c r="CD105">
        <v>5.6994884014537499</v>
      </c>
      <c r="CE105">
        <v>3173.4751419294475</v>
      </c>
      <c r="CF105">
        <v>1.4875130974684103</v>
      </c>
      <c r="CG105">
        <v>828.24729267041084</v>
      </c>
      <c r="CH105">
        <v>1.2828170256140394</v>
      </c>
      <c r="CI105">
        <v>714.27251986189708</v>
      </c>
      <c r="CJ105">
        <v>8</v>
      </c>
      <c r="CK105">
        <v>4454.3999999999996</v>
      </c>
      <c r="CL105">
        <v>8.6386322596403442</v>
      </c>
      <c r="CM105">
        <v>4809.9904421677429</v>
      </c>
      <c r="CN105">
        <v>4.3801850833416003</v>
      </c>
      <c r="CO105">
        <v>2438.8870544046026</v>
      </c>
      <c r="CP105">
        <v>4.7321064463756688</v>
      </c>
      <c r="CQ105">
        <v>2634.836869341972</v>
      </c>
      <c r="CR105">
        <v>6.6395693730453189</v>
      </c>
      <c r="CS105">
        <v>3696.9122269116333</v>
      </c>
      <c r="CT105">
        <v>5.6772908205652479</v>
      </c>
      <c r="CU105">
        <v>3161.1155288907298</v>
      </c>
    </row>
    <row r="107" spans="2:99">
      <c r="B107" s="102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>
        <f>SUM(D$6:D$19)+SUM(F$6:F$19)+SUM(H$6:H$19)+SUM(J$6:J$19)</f>
        <v>301.91349818744567</v>
      </c>
      <c r="E109">
        <f>SUM(L$6:L$19)+SUM(N$6:N$19)+SUM(P$6:P$19)+SUM(R$6:R$19)</f>
        <v>259.5004218454207</v>
      </c>
      <c r="F109">
        <f>SUM(T$6:T$19)+SUM(V$6:V$19)+SUM(X$6:X$19)+SUM(Z$6:Z$19)</f>
        <v>360.65914437777769</v>
      </c>
      <c r="G109">
        <f>SUM(AB$6:AB$19)+SUM(AD$6:AD$19)+SUM(AF$6:AF$19)+SUM(AH$6:AH$19)</f>
        <v>401.32923687338365</v>
      </c>
      <c r="H109">
        <f>SUM(AJ$6:AJ$19)+SUM(AL$6:AL$19)+SUM(AN$6:AN$19)+SUM(AP$6:AP$19)</f>
        <v>304.65248620481316</v>
      </c>
      <c r="I109">
        <f>SUM(AR$6:AR$19)+SUM(AT$6:AT$19)+SUM(AV$6:AV$19)+SUM(AX$6:AX$19)</f>
        <v>262.46297203838583</v>
      </c>
      <c r="J109">
        <f>SUM(AZ$6:AZ$19)+SUM(BB$6:BB$19)+SUM(BD$6:BD$19)+SUM(BF$6:BF$19)</f>
        <v>392.09336571497636</v>
      </c>
      <c r="K109">
        <f>SUM(BH$6:BH$19)+SUM(BJ$6:BJ$19)+SUM(BL$6:BL$19)+SUM(BN$6:BN$19)</f>
        <v>366.13417689372284</v>
      </c>
      <c r="L109">
        <f>SUM(BP$6:BP$19)+SUM(BR$6:BR$19)+SUM(BT$6:BT$19)+SUM(BV$6:BV$19)</f>
        <v>374.23977598554598</v>
      </c>
      <c r="M109">
        <f>SUM(BX$6:BX$19)+SUM(BZ$6:BZ$19)+SUM(CB$6:CB$19)+SUM(CD$6:CD$19)</f>
        <v>439.71193706605493</v>
      </c>
      <c r="N109">
        <f>SUM(CF$6:CF$19)+SUM(CH$6:CH$19)+SUM(CJ$6:CJ$19)+SUM(CL$6:CL$19)</f>
        <v>384.62146043155929</v>
      </c>
      <c r="O109">
        <f>SUM(CN$6:CN$19)+SUM(CP$6:CP$19)+SUM(CR$6:CR$19)+SUM(CT$6:CT$19)</f>
        <v>316.56598098528713</v>
      </c>
    </row>
    <row r="110" spans="2:99">
      <c r="C110" s="99" t="s">
        <v>127</v>
      </c>
      <c r="D110">
        <f>SUM(D$20:D$36)+SUM(F$20:F$36)+SUM(H$20:H$36)+SUM(J$20:J$36)</f>
        <v>689.25439082017328</v>
      </c>
      <c r="E110">
        <f>SUM(L$20:L$36)+SUM(N$20:N$36)+SUM(P$20:P$36)+SUM(R$20:R$36)</f>
        <v>627.37850659094875</v>
      </c>
      <c r="F110">
        <f>SUM(T$20:T$36)+SUM(V$20:V$36)+SUM(X$20:X$36)+SUM(Z$20:Z$36)</f>
        <v>725.42372454117935</v>
      </c>
      <c r="G110">
        <f>SUM(AB$20:AB$36)+SUM(AD$20:AD$36)+SUM(AF$20:AF$36)+SUM(AH$20:AH$36)</f>
        <v>759.07805461959822</v>
      </c>
      <c r="H110">
        <f>SUM(AJ$20:AJ$36)+SUM(AL$20:AL$36)+SUM(AN$20:AN$36)+SUM(AP$20:AP$36)</f>
        <v>480.40721187560791</v>
      </c>
      <c r="I110">
        <f>SUM(AR$20:AR$36)+SUM(AT$20:AT$36)+SUM(AV$20:AV$36)+SUM(AX$20:AX$36)</f>
        <v>577.54212635008355</v>
      </c>
      <c r="J110">
        <f>SUM(AZ$20:AZ$36)+SUM(BB$20:BB$36)+SUM(BD$20:BD$36)+SUM(BF$20:BF$36)</f>
        <v>577.13017210424186</v>
      </c>
      <c r="K110">
        <f>SUM(BH$20:BH$36)+SUM(BJ$20:BJ$36)+SUM(BL$20:BL$36)+SUM(BN$20:BN$36)</f>
        <v>787.11440109406919</v>
      </c>
      <c r="L110">
        <f>SUM(BP$20:BP$36)+SUM(BR$20:BR$36)+SUM(BT$20:BT$36)+SUM(BV$20:BV$36)</f>
        <v>681.88315018385038</v>
      </c>
      <c r="M110">
        <f>SUM(BX$20:BX$36)+SUM(BZ$20:BZ$36)+SUM(CB$20:CB$36)+SUM(CD$20:CD$36)</f>
        <v>771.58527775400432</v>
      </c>
      <c r="N110">
        <f>SUM(CF$20:CF$36)+SUM(CH$20:CH$36)+SUM(CJ$20:CJ$36)+SUM(CL$20:CL$36)</f>
        <v>828.28565047511904</v>
      </c>
      <c r="O110">
        <f>SUM(CN$20:CN$36)+SUM(CP$20:CP$36)+SUM(CR$20:CR$36)+SUM(CT$20:CT$36)</f>
        <v>455.40075326964148</v>
      </c>
    </row>
    <row r="111" spans="2:99">
      <c r="C111" s="99" t="s">
        <v>128</v>
      </c>
      <c r="D111">
        <f>SUM(D$37:D$48)+SUM(F$37:F$48)+SUM(H$37:H$48)+SUM(J$37:J$48)</f>
        <v>265.44827792897655</v>
      </c>
      <c r="E111">
        <f>SUM(L$37:L$48)+SUM(N$37:N$48)+SUM(P$37:P$48)+SUM(R$37:R$48)</f>
        <v>237.80472983825706</v>
      </c>
      <c r="F111">
        <f>SUM(T$37:T$48)+SUM(V$37:V$48)+SUM(X$37:X$48)+SUM(Z$37:Z$48)</f>
        <v>295.98580768877781</v>
      </c>
      <c r="G111">
        <f>SUM(AB$37:AB$48)+SUM(AD$37:AD$48)+SUM(AF$37:AF$48)+SUM(AH$37:AH$48)</f>
        <v>284.7786345253524</v>
      </c>
      <c r="H111">
        <f>SUM(AJ$37:AJ$48)+SUM(AL$37:AL$48)+SUM(AN$37:AN$48)+SUM(AP$37:AP$48)</f>
        <v>241.62437459046225</v>
      </c>
      <c r="I111">
        <f>SUM(AR$37:AR$48)+SUM(AT$37:AT$48)+SUM(AV$37:AV$48)+SUM(AX$37:AX$48)</f>
        <v>231.10642259178073</v>
      </c>
      <c r="J111">
        <f>SUM(AZ$37:AZ$48)+SUM(BB$37:BB$48)+SUM(BD$37:BD$48)+SUM(BF$37:BF$48)</f>
        <v>283.28467900742044</v>
      </c>
      <c r="K111">
        <f>SUM(BH$37:BH$48)+SUM(BJ$37:BJ$48)+SUM(BL$37:BL$48)+SUM(BN$37:BN$48)</f>
        <v>287.93754871159103</v>
      </c>
      <c r="L111">
        <f>SUM(BP$37:BP$48)+SUM(BR$37:BR$48)+SUM(BT$37:BT$48)+SUM(BV$37:BV$48)</f>
        <v>336.29638058487376</v>
      </c>
      <c r="M111">
        <f>SUM(BX$37:BX$48)+SUM(BZ$37:BZ$48)+SUM(CB$37:CB$48)+SUM(CD$37:CD$48)</f>
        <v>274.34557986382612</v>
      </c>
      <c r="N111">
        <f>SUM(CF$37:CF$48)+SUM(CH$37:CH$48)+SUM(CJ$37:CJ$48)+SUM(CL$37:CL$48)</f>
        <v>308.93265304831965</v>
      </c>
      <c r="O111">
        <f>SUM(CN$37:CN$48)+SUM(CP$37:CP$48)+SUM(CR$37:CR$48)+SUM(CT$37:CT$48)</f>
        <v>253.56301659552892</v>
      </c>
    </row>
    <row r="112" spans="2:99">
      <c r="C112" s="99" t="s">
        <v>129</v>
      </c>
      <c r="D112">
        <f>SUM(D$49:D$70)+SUM(F$49:F$70)+SUM(H$49:H$70)+SUM(J$49:J$70)</f>
        <v>358.41124288790058</v>
      </c>
      <c r="E112">
        <f>SUM(L$49:L$70)+SUM(N$49:N$70)+SUM(P$49:P$70)+SUM(R$49:R$70)</f>
        <v>352.13109740542814</v>
      </c>
      <c r="F112">
        <f>SUM(T$49:T$70)+SUM(V$49:V$70)+SUM(X$49:X$70)+SUM(Z$49:Z$70)</f>
        <v>347.5956901929045</v>
      </c>
      <c r="G112">
        <f>SUM(AB$49:AB$70)+SUM(AD$49:AD$70)+SUM(AF$49:AF$70)+SUM(AH$49:AH$70)</f>
        <v>404.49846861390489</v>
      </c>
      <c r="H112">
        <f>SUM(AJ$49:AJ$70)+SUM(AL$49:AL$70)+SUM(AN$49:AN$70)+SUM(AP$49:AP$70)</f>
        <v>323.10080607886579</v>
      </c>
      <c r="I112">
        <f>SUM(AR$49:AR$70)+SUM(AT$49:AT$70)+SUM(AV$49:AV$70)+SUM(AX$49:AX$70)</f>
        <v>322.4742572415413</v>
      </c>
      <c r="J112">
        <f>SUM(AZ$49:AZ$70)+SUM(BB$49:BB$70)+SUM(BD$49:BD$70)+SUM(BF$49:BF$70)</f>
        <v>342.42228236964507</v>
      </c>
      <c r="K112">
        <f>SUM(BH$49:BH$70)+SUM(BJ$49:BJ$70)+SUM(BL$49:BL$70)+SUM(BN$49:BN$70)</f>
        <v>434.08886205806795</v>
      </c>
      <c r="L112">
        <f>SUM(BP$49:BP$70)+SUM(BR$49:BR$70)+SUM(BT$49:BT$70)+SUM(BV$49:BV$70)</f>
        <v>315.60100068639645</v>
      </c>
      <c r="M112">
        <f>SUM(BX$49:BX$70)+SUM(BZ$49:BZ$70)+SUM(CB$49:CB$70)+SUM(CD$49:CD$70)</f>
        <v>495.61532919303676</v>
      </c>
      <c r="N112">
        <f>SUM(CF$49:CF$70)+SUM(CH$49:CH$70)+SUM(CJ$49:CJ$70)+SUM(CL$49:CL$70)</f>
        <v>394.07275487112548</v>
      </c>
      <c r="O112">
        <f>SUM(CN$49:CN$70)+SUM(CP$49:CP$70)+SUM(CR$49:CR$70)+SUM(CT$49:CT$70)</f>
        <v>332.67846439238252</v>
      </c>
    </row>
    <row r="113" spans="2:15">
      <c r="C113" s="99" t="s">
        <v>130</v>
      </c>
      <c r="D113">
        <f>SUM(D$71:D$86)+SUM(F$71:F$86)+SUM(H$71:H$86)+SUM(J$71:J$86)</f>
        <v>276</v>
      </c>
      <c r="E113">
        <f>SUM(L$71:L$86)+SUM(N$71:N$86)+SUM(P$71:P$86)+SUM(R$71:R$86)</f>
        <v>295</v>
      </c>
      <c r="F113">
        <f>SUM(T$71:T$86)+SUM(V$71:V$86)+SUM(X$71:X$86)+SUM(Z$71:Z$86)</f>
        <v>309.44053344894485</v>
      </c>
      <c r="G113">
        <f>SUM(AB$71:AB$86)+SUM(AD$71:AD$86)+SUM(AF$71:AF$86)+SUM(AH$71:AH$86)</f>
        <v>226</v>
      </c>
      <c r="H113">
        <f>SUM(AJ$71:AJ$86)+SUM(AL$71:AL$86)+SUM(AN$71:AN$86)+SUM(AP$71:AP$86)</f>
        <v>279</v>
      </c>
      <c r="I113">
        <f>SUM(AR$71:AR$86)+SUM(AT$71:AT$86)+SUM(AV$71:AV$86)+SUM(AX$71:AX$86)</f>
        <v>246.12920595681385</v>
      </c>
      <c r="J113">
        <f>SUM(AZ$71:AZ$86)+SUM(BB$71:BB$86)+SUM(BD$71:BD$86)+SUM(BF$71:BF$86)</f>
        <v>247</v>
      </c>
      <c r="K113">
        <f>SUM(BH$71:BH$86)+SUM(BJ$71:BJ$86)+SUM(BL$71:BL$86)+SUM(BN$71:BN$86)</f>
        <v>320.21907326916784</v>
      </c>
      <c r="L113">
        <f>SUM(BP$71:BP$86)+SUM(BR$71:BR$86)+SUM(BT$71:BT$86)+SUM(BV$71:BV$86)</f>
        <v>259</v>
      </c>
      <c r="M113">
        <f>SUM(BX$71:BX$86)+SUM(BZ$71:BZ$86)+SUM(CB$71:CB$86)+SUM(CD$71:CD$86)</f>
        <v>295.78309938829278</v>
      </c>
      <c r="N113">
        <f>SUM(CF$71:CF$86)+SUM(CH$71:CH$86)+SUM(CJ$71:CJ$86)+SUM(CL$71:CL$86)</f>
        <v>228.20125990025934</v>
      </c>
      <c r="O113">
        <f>SUM(CN$71:CN$86)+SUM(CP$71:CP$86)+SUM(CR$71:CR$86)+SUM(CT$71:CT$86)</f>
        <v>293.50009167424554</v>
      </c>
    </row>
    <row r="114" spans="2:15">
      <c r="C114" s="99" t="s">
        <v>131</v>
      </c>
      <c r="D114">
        <f>SUM(D$87:D$94)+SUM(F$87:F$94)+SUM(H$87:H$94)+SUM(J$87:J$94)</f>
        <v>94.407280983115697</v>
      </c>
      <c r="E114">
        <f>SUM(L$87:L$94)+SUM(N$87:N$94)+SUM(P$87:P$94)+SUM(R$87:R$94)</f>
        <v>87.790395556715353</v>
      </c>
      <c r="F114">
        <f>SUM(T$87:T$94)+SUM(V$87:V$94)+SUM(X$87:X$94)+SUM(Z$87:Z$94)</f>
        <v>94.047166645422976</v>
      </c>
      <c r="G114">
        <f>SUM(AB$87:AB$94)+SUM(AD$87:AD$94)+SUM(AF$87:AF$94)+SUM(AH$87:AH$94)</f>
        <v>116.60218259043026</v>
      </c>
      <c r="H114">
        <f>SUM(AJ$87:AJ$94)+SUM(AL$87:AL$94)+SUM(AN$87:AN$94)+SUM(AP$87:AP$94)</f>
        <v>101.90499022679509</v>
      </c>
      <c r="I114">
        <f>SUM(AR$87:AR$94)+SUM(AT$87:AT$94)+SUM(AV$87:AV$94)+SUM(AX$87:AX$94)</f>
        <v>120.51071882097429</v>
      </c>
      <c r="J114">
        <f>SUM(AZ$87:AZ$94)+SUM(BB$87:BB$94)+SUM(BD$87:BD$94)+SUM(BF$87:BF$94)</f>
        <v>99.254595995209783</v>
      </c>
      <c r="K114">
        <f>SUM(BH$87:BH$94)+SUM(BJ$87:BJ$94)+SUM(BL$87:BL$94)+SUM(BN$87:BN$94)</f>
        <v>107.22644540842094</v>
      </c>
      <c r="L114">
        <f>SUM(BP$87:BP$94)+SUM(BR$87:BR$94)+SUM(BT$87:BT$94)+SUM(BV$87:BV$94)</f>
        <v>136.27408973364004</v>
      </c>
      <c r="M114">
        <f>SUM(BX$87:BX$94)+SUM(BZ$87:BZ$94)+SUM(CB$87:CB$94)+SUM(CD$87:CD$94)</f>
        <v>113.48887882055635</v>
      </c>
      <c r="N114">
        <f>SUM(CF$87:CF$94)+SUM(CH$87:CH$94)+SUM(CJ$87:CJ$94)+SUM(CL$87:CL$94)</f>
        <v>97.593981237258703</v>
      </c>
      <c r="O114">
        <f>SUM(CN$87:CN$94)+SUM(CP$87:CP$94)+SUM(CR$87:CR$94)+SUM(CT$87:CT$94)</f>
        <v>120.44814490865714</v>
      </c>
    </row>
    <row r="115" spans="2:15">
      <c r="C115" s="99" t="s">
        <v>132</v>
      </c>
      <c r="D115">
        <f>SUM(D$95:D$105)+SUM(F$95:F$105)+SUM(H$95:H$105)+SUM(J$95:J$105)</f>
        <v>260.97985978375328</v>
      </c>
      <c r="E115">
        <f>SUM(L$95:L$105)+SUM(N$95:N$105)+SUM(P$95:P$105)+SUM(R$95:R$105)</f>
        <v>261.98253996480247</v>
      </c>
      <c r="F115">
        <f>SUM(T$95:T$105)+SUM(V$95:V$105)+SUM(X$95:X$105)+SUM(Z$95:Z$105)</f>
        <v>190.63922973375981</v>
      </c>
      <c r="G115">
        <f>SUM(AB$95:AB$105)+SUM(AD$95:AD$105)+SUM(AF$95:AF$105)+SUM(AH$95:AH$105)</f>
        <v>248.5905672881762</v>
      </c>
      <c r="H115">
        <f>SUM(AJ$95:AJ$105)+SUM(AL$95:AL$105)+SUM(AN$95:AN$105)+SUM(AP$95:AP$105)</f>
        <v>271.68950075973959</v>
      </c>
      <c r="I115">
        <f>SUM(AR$95:AR$105)+SUM(AT$95:AT$105)+SUM(AV$95:AV$105)+SUM(AX$95:AX$105)</f>
        <v>258.86419736649862</v>
      </c>
      <c r="J115">
        <f>SUM(AZ$95:AZ$105)+SUM(BB$95:BB$105)+SUM(BD$95:BD$105)+SUM(BF$95:BF$105)</f>
        <v>216.51118996864929</v>
      </c>
      <c r="K115">
        <f>SUM(BH$95:BH$105)+SUM(BJ$95:BJ$105)+SUM(BL$95:BL$105)+SUM(BN$95:BN$105)</f>
        <v>213.84703691273239</v>
      </c>
      <c r="L115">
        <f>SUM(BP$95:BP$105)+SUM(BR$95:BR$105)+SUM(BT$95:BT$105)+SUM(BV$95:BV$105)</f>
        <v>293.44692653463926</v>
      </c>
      <c r="M115">
        <f>SUM(BX$95:BX$105)+SUM(BZ$95:BZ$105)+SUM(CB$95:CB$105)+SUM(CD$95:CD$105)</f>
        <v>251.1954008085882</v>
      </c>
      <c r="N115">
        <f>SUM(CF$95:CF$105)+SUM(CH$95:CH$105)+SUM(CJ$95:CJ$105)+SUM(CL$95:CL$105)</f>
        <v>207.23013816052588</v>
      </c>
      <c r="O115">
        <f>SUM(CN$95:CN$105)+SUM(CP$95:CP$105)+SUM(CR$95:CR$105)+SUM(CT$95:CT$105)</f>
        <v>230.18228429229973</v>
      </c>
    </row>
    <row r="116" spans="2:15">
      <c r="C116" s="99" t="s">
        <v>278</v>
      </c>
      <c r="D116">
        <f t="shared" ref="D116:O116" si="0">SUM(D$109:D$115)</f>
        <v>2246.4145505913648</v>
      </c>
      <c r="E116">
        <f t="shared" si="0"/>
        <v>2121.5876912015724</v>
      </c>
      <c r="F116">
        <f t="shared" si="0"/>
        <v>2323.7912966287668</v>
      </c>
      <c r="G116">
        <f t="shared" si="0"/>
        <v>2440.8771445108455</v>
      </c>
      <c r="H116">
        <f t="shared" si="0"/>
        <v>2002.3793697362837</v>
      </c>
      <c r="I116">
        <f t="shared" si="0"/>
        <v>2019.0899003660779</v>
      </c>
      <c r="J116">
        <f t="shared" si="0"/>
        <v>2157.6962851601425</v>
      </c>
      <c r="K116">
        <f t="shared" si="0"/>
        <v>2516.5675443477721</v>
      </c>
      <c r="L116">
        <f t="shared" si="0"/>
        <v>2396.7413237089459</v>
      </c>
      <c r="M116">
        <f t="shared" si="0"/>
        <v>2641.7255028943591</v>
      </c>
      <c r="N116">
        <f t="shared" si="0"/>
        <v>2448.9378981241671</v>
      </c>
      <c r="O116">
        <f t="shared" si="0"/>
        <v>2002.3387361180426</v>
      </c>
    </row>
    <row r="118" spans="2:15">
      <c r="B118" s="101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>
        <f>D109*pricing!D24*2000</f>
        <v>2294542.5862245872</v>
      </c>
      <c r="E120">
        <f>E109*pricing!E24*2000</f>
        <v>1972203.2060251972</v>
      </c>
      <c r="F120">
        <f>F109*pricing!F24*2000</f>
        <v>2741009.4972711103</v>
      </c>
      <c r="G120">
        <f>G109*pricing!G24*2000</f>
        <v>3050102.2002377156</v>
      </c>
      <c r="H120">
        <f>H109*pricing!H24*2000</f>
        <v>2315358.89515658</v>
      </c>
      <c r="I120">
        <f>I109*pricing!I24*2000</f>
        <v>1994718.5874917323</v>
      </c>
      <c r="J120">
        <f>J109*pricing!J24*2000</f>
        <v>2979909.5794338202</v>
      </c>
      <c r="K120">
        <f>K109*pricing!K24*2000</f>
        <v>2782619.7443922935</v>
      </c>
      <c r="L120">
        <f>L109*pricing!L24*2000</f>
        <v>2844222.2974901493</v>
      </c>
      <c r="M120">
        <f>M109*pricing!M24*2000</f>
        <v>3341810.7217020174</v>
      </c>
      <c r="N120">
        <f>N109*pricing!N24*2000</f>
        <v>2923123.0992798507</v>
      </c>
      <c r="O120">
        <f>O109*pricing!O24*2000</f>
        <v>2405901.4554881821</v>
      </c>
    </row>
    <row r="121" spans="2:15">
      <c r="C121" s="99" t="s">
        <v>127</v>
      </c>
      <c r="D121">
        <f>D110*pricing!D25*2000</f>
        <v>5238333.3702333169</v>
      </c>
      <c r="E121">
        <f>E110*pricing!E25*2000</f>
        <v>4768076.6500912104</v>
      </c>
      <c r="F121">
        <f>F110*pricing!F25*2000</f>
        <v>5513220.3065129621</v>
      </c>
      <c r="G121">
        <f>G110*pricing!G25*2000</f>
        <v>5768993.215108946</v>
      </c>
      <c r="H121">
        <f>H110*pricing!H25*2000</f>
        <v>3651094.8102546199</v>
      </c>
      <c r="I121">
        <f>I110*pricing!I25*2000</f>
        <v>4389320.1602606354</v>
      </c>
      <c r="J121">
        <f>J110*pricing!J25*2000</f>
        <v>4386189.3079922386</v>
      </c>
      <c r="K121">
        <f>K110*pricing!K25*2000</f>
        <v>5982069.4483149257</v>
      </c>
      <c r="L121">
        <f>L110*pricing!L25*2000</f>
        <v>5182311.9413972627</v>
      </c>
      <c r="M121">
        <f>M110*pricing!M25*2000</f>
        <v>5864048.1109304326</v>
      </c>
      <c r="N121">
        <f>N110*pricing!N25*2000</f>
        <v>6294970.9436109038</v>
      </c>
      <c r="O121">
        <f>O110*pricing!O25*2000</f>
        <v>3461045.7248492753</v>
      </c>
    </row>
    <row r="122" spans="2:15">
      <c r="C122" s="99" t="s">
        <v>128</v>
      </c>
      <c r="D122">
        <f>D111*pricing!D26*2000</f>
        <v>2017406.9122602216</v>
      </c>
      <c r="E122">
        <f>E111*pricing!E26*2000</f>
        <v>1807315.9467707535</v>
      </c>
      <c r="F122">
        <f>F111*pricing!F26*2000</f>
        <v>2249492.1384347114</v>
      </c>
      <c r="G122">
        <f>G111*pricing!G26*2000</f>
        <v>2164317.6223926782</v>
      </c>
      <c r="H122">
        <f>H111*pricing!H26*2000</f>
        <v>1836345.246887513</v>
      </c>
      <c r="I122">
        <f>I111*pricing!I26*2000</f>
        <v>1756408.8116975334</v>
      </c>
      <c r="J122">
        <f>J111*pricing!J26*2000</f>
        <v>2152963.5604563951</v>
      </c>
      <c r="K122">
        <f>K111*pricing!K26*2000</f>
        <v>2188325.370208092</v>
      </c>
      <c r="L122">
        <f>L111*pricing!L26*2000</f>
        <v>2555852.4924450405</v>
      </c>
      <c r="M122">
        <f>M111*pricing!M26*2000</f>
        <v>2085026.4069650783</v>
      </c>
      <c r="N122">
        <f>N111*pricing!N26*2000</f>
        <v>2347888.1631672294</v>
      </c>
      <c r="O122">
        <f>O111*pricing!O26*2000</f>
        <v>1927078.9261260198</v>
      </c>
    </row>
    <row r="123" spans="2:15">
      <c r="C123" s="99" t="s">
        <v>129</v>
      </c>
      <c r="D123">
        <f>D112*pricing!D27*2000</f>
        <v>2723925.4459480443</v>
      </c>
      <c r="E123">
        <f>E112*pricing!E27*2000</f>
        <v>2676196.3402812541</v>
      </c>
      <c r="F123">
        <f>F112*pricing!F27*2000</f>
        <v>2641727.2454660744</v>
      </c>
      <c r="G123">
        <f>G112*pricing!G27*2000</f>
        <v>3074188.3614656772</v>
      </c>
      <c r="H123">
        <f>H112*pricing!H27*2000</f>
        <v>2455566.12619938</v>
      </c>
      <c r="I123">
        <f>I112*pricing!I27*2000</f>
        <v>2450804.3550357139</v>
      </c>
      <c r="J123">
        <f>J112*pricing!J27*2000</f>
        <v>2602409.3460093024</v>
      </c>
      <c r="K123">
        <f>K112*pricing!K27*2000</f>
        <v>3299075.351641316</v>
      </c>
      <c r="L123">
        <f>L112*pricing!L27*2000</f>
        <v>2398567.6052166126</v>
      </c>
      <c r="M123">
        <f>M112*pricing!M27*2000</f>
        <v>3766676.5018670792</v>
      </c>
      <c r="N123">
        <f>N112*pricing!N27*2000</f>
        <v>2994952.9370205537</v>
      </c>
      <c r="O123">
        <f>O112*pricing!O27*2000</f>
        <v>2528356.3293821071</v>
      </c>
    </row>
    <row r="124" spans="2:15">
      <c r="C124" s="99" t="s">
        <v>130</v>
      </c>
      <c r="D124">
        <f>D113*pricing!D28*2000</f>
        <v>2097600</v>
      </c>
      <c r="E124">
        <f>E113*pricing!E28*2000</f>
        <v>2242000</v>
      </c>
      <c r="F124">
        <f>F113*pricing!F28*2000</f>
        <v>2351748.0542119807</v>
      </c>
      <c r="G124">
        <f>G113*pricing!G28*2000</f>
        <v>1717600</v>
      </c>
      <c r="H124">
        <f>H113*pricing!H28*2000</f>
        <v>2120400</v>
      </c>
      <c r="I124">
        <f>I113*pricing!I28*2000</f>
        <v>1870581.9652717852</v>
      </c>
      <c r="J124">
        <f>J113*pricing!J28*2000</f>
        <v>1877199.9999999998</v>
      </c>
      <c r="K124">
        <f>K113*pricing!K28*2000</f>
        <v>2433664.9568456756</v>
      </c>
      <c r="L124">
        <f>L113*pricing!L28*2000</f>
        <v>1968399.9999999998</v>
      </c>
      <c r="M124">
        <f>M113*pricing!M28*2000</f>
        <v>2247951.555351025</v>
      </c>
      <c r="N124">
        <f>N113*pricing!N28*2000</f>
        <v>1734329.5752419711</v>
      </c>
      <c r="O124">
        <f>O113*pricing!O28*2000</f>
        <v>2230600.6967242663</v>
      </c>
    </row>
    <row r="125" spans="2:15">
      <c r="C125" s="99" t="s">
        <v>131</v>
      </c>
      <c r="D125">
        <f>D114*pricing!D29*2000</f>
        <v>717495.33547167922</v>
      </c>
      <c r="E125">
        <f>E114*pricing!E29*2000</f>
        <v>667207.00623103662</v>
      </c>
      <c r="F125">
        <f>F114*pricing!F29*2000</f>
        <v>714758.46650521469</v>
      </c>
      <c r="G125">
        <f>G114*pricing!G29*2000</f>
        <v>886176.5876872699</v>
      </c>
      <c r="H125">
        <f>H114*pricing!H29*2000</f>
        <v>774477.92572364269</v>
      </c>
      <c r="I125">
        <f>I114*pricing!I29*2000</f>
        <v>915881.4630394046</v>
      </c>
      <c r="J125">
        <f>J114*pricing!J29*2000</f>
        <v>754334.92956359428</v>
      </c>
      <c r="K125">
        <f>K114*pricing!K29*2000</f>
        <v>814920.98510399915</v>
      </c>
      <c r="L125">
        <f>L114*pricing!L29*2000</f>
        <v>1035683.0819756642</v>
      </c>
      <c r="M125">
        <f>M114*pricing!M29*2000</f>
        <v>862515.47903622827</v>
      </c>
      <c r="N125">
        <f>N114*pricing!N29*2000</f>
        <v>741714.25740316615</v>
      </c>
      <c r="O125">
        <f>O114*pricing!O29*2000</f>
        <v>915405.90130579425</v>
      </c>
    </row>
    <row r="126" spans="2:15">
      <c r="C126" s="99" t="s">
        <v>132</v>
      </c>
      <c r="D126">
        <f>D115*pricing!D30*2000</f>
        <v>1983446.9343565248</v>
      </c>
      <c r="E126">
        <f>E115*pricing!E30*2000</f>
        <v>1991067.3037324985</v>
      </c>
      <c r="F126">
        <f>F115*pricing!F30*2000</f>
        <v>1448858.1459765744</v>
      </c>
      <c r="G126">
        <f>G115*pricing!G30*2000</f>
        <v>1889288.3113901392</v>
      </c>
      <c r="H126">
        <f>H115*pricing!H30*2000</f>
        <v>2064840.2057740209</v>
      </c>
      <c r="I126">
        <f>I115*pricing!I30*2000</f>
        <v>1967367.8999853893</v>
      </c>
      <c r="J126">
        <f>J115*pricing!J30*2000</f>
        <v>1645485.0437617344</v>
      </c>
      <c r="K126">
        <f>K115*pricing!K30*2000</f>
        <v>1625237.4805367661</v>
      </c>
      <c r="L126">
        <f>L115*pricing!L30*2000</f>
        <v>2230196.641663258</v>
      </c>
      <c r="M126">
        <f>M115*pricing!M30*2000</f>
        <v>1909085.0461452703</v>
      </c>
      <c r="N126">
        <f>N115*pricing!N30*2000</f>
        <v>1574949.0500199965</v>
      </c>
      <c r="O126">
        <f>O115*pricing!O30*2000</f>
        <v>1749385.3606214777</v>
      </c>
    </row>
    <row r="127" spans="2:15">
      <c r="C127" s="99" t="s">
        <v>278</v>
      </c>
      <c r="D127">
        <f t="shared" ref="D127:O127" si="1">SUM(D$120:D$126)</f>
        <v>17072750.584494371</v>
      </c>
      <c r="E127">
        <f t="shared" si="1"/>
        <v>16124066.453131948</v>
      </c>
      <c r="F127">
        <f t="shared" si="1"/>
        <v>17660813.854378626</v>
      </c>
      <c r="G127">
        <f t="shared" si="1"/>
        <v>18550666.29828243</v>
      </c>
      <c r="H127">
        <f t="shared" si="1"/>
        <v>15218083.209995754</v>
      </c>
      <c r="I127">
        <f t="shared" si="1"/>
        <v>15345083.242782194</v>
      </c>
      <c r="J127">
        <f t="shared" si="1"/>
        <v>16398491.767217087</v>
      </c>
      <c r="K127">
        <f t="shared" si="1"/>
        <v>19125913.337043066</v>
      </c>
      <c r="L127">
        <f t="shared" si="1"/>
        <v>18215234.060187988</v>
      </c>
      <c r="M127">
        <f t="shared" si="1"/>
        <v>20077113.821997132</v>
      </c>
      <c r="N127">
        <f t="shared" si="1"/>
        <v>18611928.025743671</v>
      </c>
      <c r="O127">
        <f t="shared" si="1"/>
        <v>15217774.394497123</v>
      </c>
    </row>
    <row r="129" spans="2:15">
      <c r="B129" s="101" t="s">
        <v>280</v>
      </c>
    </row>
    <row r="130" spans="2:15">
      <c r="C130" s="103" t="s">
        <v>277</v>
      </c>
      <c r="D130" s="103" t="s">
        <v>92</v>
      </c>
      <c r="E130" s="103" t="s">
        <v>93</v>
      </c>
      <c r="F130" s="103" t="s">
        <v>94</v>
      </c>
      <c r="G130" s="103" t="s">
        <v>95</v>
      </c>
      <c r="H130" s="103" t="s">
        <v>96</v>
      </c>
      <c r="I130" s="103" t="s">
        <v>97</v>
      </c>
      <c r="J130" s="103" t="s">
        <v>98</v>
      </c>
      <c r="K130" s="103" t="s">
        <v>99</v>
      </c>
      <c r="L130" s="103" t="s">
        <v>100</v>
      </c>
      <c r="M130" s="103" t="s">
        <v>101</v>
      </c>
      <c r="N130" s="103" t="s">
        <v>102</v>
      </c>
      <c r="O130" s="103" t="s">
        <v>103</v>
      </c>
    </row>
    <row r="131" spans="2:15">
      <c r="C131" s="103" t="s">
        <v>126</v>
      </c>
      <c r="D131" s="104">
        <f>SUM(E$6:E$19)+SUM(G$6:G$19)+SUM(I$6:I$19)+SUM(K$6:K$19)</f>
        <v>152675.5179200515</v>
      </c>
      <c r="E131" s="104">
        <f>SUM(M$6:M$19)+SUM(O$6:O$19)+SUM(Q$6:Q$19)+SUM(S$6:S$19)</f>
        <v>131132.29316384479</v>
      </c>
      <c r="F131" s="104">
        <f>SUM(U$6:U$19)+SUM(W$6:W$19)+SUM(Y$6:Y$19)+SUM(AA$6:AA$19)</f>
        <v>181739.59482494317</v>
      </c>
      <c r="G131" s="104">
        <f>SUM(AC$6:AC$19)+SUM(AE$6:AE$19)+SUM(AG$6:AG$19)+SUM(AI$6:AI$19)</f>
        <v>203600.37340968486</v>
      </c>
      <c r="H131" s="104">
        <f>SUM(AK$6:AK$19)+SUM(AM$6:AM$19)+SUM(AO$6:AO$19)+SUM(AQ$6:AQ$19)</f>
        <v>153826.69686005215</v>
      </c>
      <c r="I131" s="104">
        <f>SUM(AS$6:AS$19)+SUM(AU$6:AU$19)+SUM(AW$6:AW$19)+SUM(AY$6:AY$19)</f>
        <v>132624.94101964013</v>
      </c>
      <c r="J131" s="104">
        <f>SUM(BA$6:BA$19)+SUM(BC$6:BC$19)+SUM(BE$6:BE$19)+SUM(BG$6:BG$19)</f>
        <v>197936.11754337838</v>
      </c>
      <c r="K131" s="104">
        <f>SUM(BI$6:BI$19)+SUM(BK$6:BK$19)+SUM(BM$6:BM$19)+SUM(BO$6:BO$19)</f>
        <v>183874.98154517254</v>
      </c>
      <c r="L131" s="104">
        <f>SUM(BQ$6:BQ$19)+SUM(BS$6:BS$19)+SUM(BU$6:BU$19)+SUM(BW$6:BW$19)</f>
        <v>190024.39290343359</v>
      </c>
      <c r="M131" s="104">
        <f>SUM(BY$6:BY$19)+SUM(CA$6:CA$19)+SUM(CC$6:CC$19)+SUM(CE$6:CE$19)</f>
        <v>222656.27725123349</v>
      </c>
      <c r="N131" s="104">
        <f>SUM(CG$6:CG$19)+SUM(CI$6:CI$19)+SUM(CK$6:CK$19)+SUM(CM$6:CM$19)</f>
        <v>194298.87607021377</v>
      </c>
      <c r="O131" s="104">
        <f>SUM(CO$6:CO$19)+SUM(CQ$6:CQ$19)+SUM(CS$6:CS$19)+SUM(CU$6:CU$19)</f>
        <v>160600.44423137399</v>
      </c>
    </row>
    <row r="132" spans="2:15">
      <c r="C132" s="103" t="s">
        <v>127</v>
      </c>
      <c r="D132" s="104">
        <f>SUM(E$20:E$36)+SUM(G$20:G$36)+SUM(I$20:I$36)+SUM(K$20:K$36)</f>
        <v>294893.09696654207</v>
      </c>
      <c r="E132" s="104">
        <f>SUM(M$20:M$36)+SUM(O$20:O$36)+SUM(Q$20:Q$36)+SUM(S$20:S$36)</f>
        <v>268389.18019262492</v>
      </c>
      <c r="F132" s="104">
        <f>SUM(U$20:U$36)+SUM(W$20:W$36)+SUM(Y$20:Y$36)+SUM(AA$20:AA$36)</f>
        <v>309191.30275996879</v>
      </c>
      <c r="G132" s="104">
        <f>SUM(AC$20:AC$36)+SUM(AE$20:AE$36)+SUM(AG$20:AG$36)+SUM(AI$20:AI$36)</f>
        <v>326289.85591305897</v>
      </c>
      <c r="H132" s="104">
        <f>SUM(AK$20:AK$36)+SUM(AM$20:AM$36)+SUM(AO$20:AO$36)+SUM(AQ$20:AQ$36)</f>
        <v>205069.28144164672</v>
      </c>
      <c r="I132" s="104">
        <f>SUM(AS$20:AS$36)+SUM(AU$20:AU$36)+SUM(AW$20:AW$36)+SUM(AY$20:AY$36)</f>
        <v>246061.47197448649</v>
      </c>
      <c r="J132" s="104">
        <f>SUM(BA$20:BA$36)+SUM(BC$20:BC$36)+SUM(BE$20:BE$36)+SUM(BG$20:BG$36)</f>
        <v>246342.19063063944</v>
      </c>
      <c r="K132" s="104">
        <f>SUM(BI$20:BI$36)+SUM(BK$20:BK$36)+SUM(BM$20:BM$36)+SUM(BO$20:BO$36)</f>
        <v>337125.41125947301</v>
      </c>
      <c r="L132" s="104">
        <f>SUM(BQ$20:BQ$36)+SUM(BS$20:BS$36)+SUM(BU$20:BU$36)+SUM(BW$20:BW$36)</f>
        <v>291455.43970754935</v>
      </c>
      <c r="M132" s="104">
        <f>SUM(BY$20:BY$36)+SUM(CA$20:CA$36)+SUM(CC$20:CC$36)+SUM(CE$20:CE$36)</f>
        <v>331619.80733635853</v>
      </c>
      <c r="N132" s="104">
        <f>SUM(CG$20:CG$36)+SUM(CI$20:CI$36)+SUM(CK$20:CK$36)+SUM(CM$20:CM$36)</f>
        <v>353441.78592909873</v>
      </c>
      <c r="O132" s="104">
        <f>SUM(CO$20:CO$36)+SUM(CQ$20:CQ$36)+SUM(CS$20:CS$36)+SUM(CU$20:CU$36)</f>
        <v>194867.14499990974</v>
      </c>
    </row>
    <row r="133" spans="2:15">
      <c r="C133" s="103" t="s">
        <v>128</v>
      </c>
      <c r="D133" s="104">
        <f>SUM(E$37:E$48)+SUM(G$37:G$48)+SUM(I$37:I$48)+SUM(K$37:K$48)</f>
        <v>279310.70742528146</v>
      </c>
      <c r="E133" s="104">
        <f>SUM(M$37:M$48)+SUM(O$37:O$48)+SUM(Q$37:Q$48)+SUM(S$37:S$48)</f>
        <v>249933.54338762866</v>
      </c>
      <c r="F133" s="104">
        <f>SUM(U$37:U$48)+SUM(W$37:W$48)+SUM(Y$37:Y$48)+SUM(AA$37:AA$48)</f>
        <v>310847.55066664593</v>
      </c>
      <c r="G133" s="104">
        <f>SUM(AC$37:AC$48)+SUM(AE$37:AE$48)+SUM(AG$37:AG$48)+SUM(AI$37:AI$48)</f>
        <v>299308.41559738677</v>
      </c>
      <c r="H133" s="104">
        <f>SUM(AK$37:AK$48)+SUM(AM$37:AM$48)+SUM(AO$37:AO$48)+SUM(AQ$37:AQ$48)</f>
        <v>253532.27765967324</v>
      </c>
      <c r="I133" s="104">
        <f>SUM(AS$37:AS$48)+SUM(AU$37:AU$48)+SUM(AW$37:AW$48)+SUM(AY$37:AY$48)</f>
        <v>243115.88769629152</v>
      </c>
      <c r="J133" s="104">
        <f>SUM(BA$37:BA$48)+SUM(BC$37:BC$48)+SUM(BE$37:BE$48)+SUM(BG$37:BG$48)</f>
        <v>297967.85800507915</v>
      </c>
      <c r="K133" s="104">
        <f>SUM(BI$37:BI$48)+SUM(BK$37:BK$48)+SUM(BM$37:BM$48)+SUM(BO$37:BO$48)</f>
        <v>304091.50109940505</v>
      </c>
      <c r="L133" s="104">
        <f>SUM(BQ$37:BQ$48)+SUM(BS$37:BS$48)+SUM(BU$37:BU$48)+SUM(BW$37:BW$48)</f>
        <v>353865.59902984911</v>
      </c>
      <c r="M133" s="104">
        <f>SUM(BY$37:BY$48)+SUM(CA$37:CA$48)+SUM(CC$37:CC$48)+SUM(CE$37:CE$48)</f>
        <v>287930.46331588452</v>
      </c>
      <c r="N133" s="104">
        <f>SUM(CG$37:CG$48)+SUM(CI$37:CI$48)+SUM(CK$37:CK$48)+SUM(CM$37:CM$48)</f>
        <v>324718.12934885884</v>
      </c>
      <c r="O133" s="104">
        <f>SUM(CO$37:CO$48)+SUM(CQ$37:CQ$48)+SUM(CS$37:CS$48)+SUM(CU$37:CU$48)</f>
        <v>265915.04947191756</v>
      </c>
    </row>
    <row r="134" spans="2:15">
      <c r="C134" s="103" t="s">
        <v>129</v>
      </c>
      <c r="D134" s="104">
        <f>SUM(E$49:E$70)+SUM(G$49:G$70)+SUM(I$49:I$70)+SUM(K$49:K$70)</f>
        <v>296027.47057808016</v>
      </c>
      <c r="E134" s="104">
        <f>SUM(M$49:M$70)+SUM(O$49:O$70)+SUM(Q$49:Q$70)+SUM(S$49:S$70)</f>
        <v>297920.36441583175</v>
      </c>
      <c r="F134" s="104">
        <f>SUM(U$49:U$70)+SUM(W$49:W$70)+SUM(Y$49:Y$70)+SUM(AA$49:AA$70)</f>
        <v>288491.05828057014</v>
      </c>
      <c r="G134" s="104">
        <f>SUM(AC$49:AC$70)+SUM(AE$49:AE$70)+SUM(AG$49:AG$70)+SUM(AI$49:AI$70)</f>
        <v>337508.97639320523</v>
      </c>
      <c r="H134" s="104">
        <f>SUM(AK$49:AK$70)+SUM(AM$49:AM$70)+SUM(AO$49:AO$70)+SUM(AQ$49:AQ$70)</f>
        <v>275538.17305463168</v>
      </c>
      <c r="I134" s="104">
        <f>SUM(AS$49:AS$70)+SUM(AU$49:AU$70)+SUM(AW$49:AW$70)+SUM(AY$49:AY$70)</f>
        <v>275191.97623160516</v>
      </c>
      <c r="J134" s="104">
        <f>SUM(BA$49:BA$70)+SUM(BC$49:BC$70)+SUM(BE$49:BE$70)+SUM(BG$49:BG$70)</f>
        <v>286393.14684889821</v>
      </c>
      <c r="K134" s="104">
        <f>SUM(BI$49:BI$70)+SUM(BK$49:BK$70)+SUM(BM$49:BM$70)+SUM(BO$49:BO$70)</f>
        <v>362475.89072413347</v>
      </c>
      <c r="L134" s="104">
        <f>SUM(BQ$49:BQ$70)+SUM(BS$49:BS$70)+SUM(BU$49:BU$70)+SUM(BW$49:BW$70)</f>
        <v>266376.34537172504</v>
      </c>
      <c r="M134" s="104">
        <f>SUM(BY$49:BY$70)+SUM(CA$49:CA$70)+SUM(CC$49:CC$70)+SUM(CE$49:CE$70)</f>
        <v>408183.64706408547</v>
      </c>
      <c r="N134" s="104">
        <f>SUM(CG$49:CG$70)+SUM(CI$49:CI$70)+SUM(CK$49:CK$70)+SUM(CM$49:CM$70)</f>
        <v>322411.04751238512</v>
      </c>
      <c r="O134" s="104">
        <f>SUM(CO$49:CO$70)+SUM(CQ$49:CQ$70)+SUM(CS$49:CS$70)+SUM(CU$49:CU$70)</f>
        <v>281632.43037359102</v>
      </c>
    </row>
    <row r="135" spans="2:15">
      <c r="C135" s="103" t="s">
        <v>130</v>
      </c>
      <c r="D135" s="104">
        <f>SUM(E$71:E$86)+SUM(G$71:G$86)+SUM(I$71:I$86)+SUM(K$71:K$86)</f>
        <v>154744.79999999999</v>
      </c>
      <c r="E135" s="104">
        <f>SUM(M$71:M$86)+SUM(O$71:O$86)+SUM(Q$71:Q$86)+SUM(S$71:S$86)</f>
        <v>164714.40000000002</v>
      </c>
      <c r="F135" s="104">
        <f>SUM(U$71:U$86)+SUM(W$71:W$86)+SUM(Y$71:Y$86)+SUM(AA$71:AA$86)</f>
        <v>173932.3359887249</v>
      </c>
      <c r="G135" s="104">
        <f>SUM(AC$71:AC$86)+SUM(AE$71:AE$86)+SUM(AG$71:AG$86)+SUM(AI$71:AI$86)</f>
        <v>126510</v>
      </c>
      <c r="H135" s="104">
        <f>SUM(AK$71:AK$86)+SUM(AM$71:AM$86)+SUM(AO$71:AO$86)+SUM(AQ$71:AQ$86)</f>
        <v>155096.4</v>
      </c>
      <c r="I135" s="104">
        <f>SUM(AS$71:AS$86)+SUM(AU$71:AU$86)+SUM(AW$71:AW$86)+SUM(AY$71:AY$86)</f>
        <v>137545.59086421478</v>
      </c>
      <c r="J135" s="104">
        <f>SUM(BA$71:BA$86)+SUM(BC$71:BC$86)+SUM(BE$71:BE$86)+SUM(BG$71:BG$86)</f>
        <v>138614.40000000002</v>
      </c>
      <c r="K135" s="104">
        <f>SUM(BI$71:BI$86)+SUM(BK$71:BK$86)+SUM(BM$71:BM$86)+SUM(BO$71:BO$86)</f>
        <v>179225.68849795533</v>
      </c>
      <c r="L135" s="104">
        <f>SUM(BQ$71:BQ$86)+SUM(BS$71:BS$86)+SUM(BU$71:BU$86)+SUM(BW$71:BW$86)</f>
        <v>144288</v>
      </c>
      <c r="M135" s="104">
        <f>SUM(BY$71:BY$86)+SUM(CA$71:CA$86)+SUM(CC$71:CC$86)+SUM(CE$71:CE$86)</f>
        <v>165893.11465684092</v>
      </c>
      <c r="N135" s="104">
        <f>SUM(CG$71:CG$86)+SUM(CI$71:CI$86)+SUM(CK$71:CK$86)+SUM(CM$71:CM$86)</f>
        <v>127599.50422034698</v>
      </c>
      <c r="O135" s="104">
        <f>SUM(CO$71:CO$86)+SUM(CQ$71:CQ$86)+SUM(CS$71:CS$86)+SUM(CU$71:CU$86)</f>
        <v>164646.45469518387</v>
      </c>
    </row>
    <row r="136" spans="2:15">
      <c r="C136" s="103" t="s">
        <v>131</v>
      </c>
      <c r="D136" s="104">
        <f>SUM(E$87:E$94)+SUM(G$87:G$94)+SUM(I$87:I$94)+SUM(K$87:K$94)</f>
        <v>95129.731838687745</v>
      </c>
      <c r="E136" s="104">
        <f>SUM(M$87:M$94)+SUM(O$87:O$94)+SUM(Q$87:Q$94)+SUM(S$87:S$94)</f>
        <v>88185.790672526273</v>
      </c>
      <c r="F136" s="104">
        <f>SUM(U$87:U$94)+SUM(W$87:W$94)+SUM(Y$87:Y$94)+SUM(AA$87:AA$94)</f>
        <v>94506.639096679195</v>
      </c>
      <c r="G136" s="104">
        <f>SUM(AC$87:AC$94)+SUM(AE$87:AE$94)+SUM(AG$87:AG$94)+SUM(AI$87:AI$94)</f>
        <v>117418.96389374672</v>
      </c>
      <c r="H136" s="104">
        <f>SUM(AK$87:AK$94)+SUM(AM$87:AM$94)+SUM(AO$87:AO$94)+SUM(AQ$87:AQ$94)</f>
        <v>102900.0031894571</v>
      </c>
      <c r="I136" s="104">
        <f>SUM(AS$87:AS$94)+SUM(AU$87:AU$94)+SUM(AW$87:AW$94)+SUM(AY$87:AY$94)</f>
        <v>121076.9118366147</v>
      </c>
      <c r="J136" s="104">
        <f>SUM(BA$87:BA$94)+SUM(BC$87:BC$94)+SUM(BE$87:BE$94)+SUM(BG$87:BG$94)</f>
        <v>99458.533032680221</v>
      </c>
      <c r="K136" s="104">
        <f>SUM(BI$87:BI$94)+SUM(BK$87:BK$94)+SUM(BM$87:BM$94)+SUM(BO$87:BO$94)</f>
        <v>107739.66194986438</v>
      </c>
      <c r="L136" s="104">
        <f>SUM(BQ$87:BQ$94)+SUM(BS$87:BS$94)+SUM(BU$87:BU$94)+SUM(BW$87:BW$94)</f>
        <v>137021.95485745094</v>
      </c>
      <c r="M136" s="104">
        <f>SUM(BY$87:BY$94)+SUM(CA$87:CA$94)+SUM(CC$87:CC$94)+SUM(CE$87:CE$94)</f>
        <v>113644.84396046531</v>
      </c>
      <c r="N136" s="104">
        <f>SUM(CG$87:CG$94)+SUM(CI$87:CI$94)+SUM(CK$87:CK$94)+SUM(CM$87:CM$94)</f>
        <v>98026.402049187513</v>
      </c>
      <c r="O136" s="104">
        <f>SUM(CO$87:CO$94)+SUM(CQ$87:CQ$94)+SUM(CS$87:CS$94)+SUM(CU$87:CU$94)</f>
        <v>120889.11011541507</v>
      </c>
    </row>
    <row r="137" spans="2:15">
      <c r="C137" s="103" t="s">
        <v>132</v>
      </c>
      <c r="D137" s="104">
        <f>SUM(E$95:E$105)+SUM(G$95:G$105)+SUM(I$95:I$105)+SUM(K$95:K$105)</f>
        <v>210589.62887543565</v>
      </c>
      <c r="E137" s="104">
        <f>SUM(M$95:M$105)+SUM(O$95:O$105)+SUM(Q$95:Q$105)+SUM(S$95:S$105)</f>
        <v>211741.9751986239</v>
      </c>
      <c r="F137" s="104">
        <f>SUM(U$95:U$105)+SUM(W$95:W$105)+SUM(Y$95:Y$105)+SUM(AA$95:AA$105)</f>
        <v>156655.87131238476</v>
      </c>
      <c r="G137" s="104">
        <f>SUM(AC$95:AC$105)+SUM(AE$95:AE$105)+SUM(AG$95:AG$105)+SUM(AI$95:AI$105)</f>
        <v>204545.32031761674</v>
      </c>
      <c r="H137" s="104">
        <f>SUM(AK$95:AK$105)+SUM(AM$95:AM$105)+SUM(AO$95:AO$105)+SUM(AQ$95:AQ$105)</f>
        <v>225533.10141072722</v>
      </c>
      <c r="I137" s="104">
        <f>SUM(AS$95:AS$105)+SUM(AU$95:AU$105)+SUM(AW$95:AW$105)+SUM(AY$95:AY$105)</f>
        <v>206411.1626212332</v>
      </c>
      <c r="J137" s="104">
        <f>SUM(BA$95:BA$105)+SUM(BC$95:BC$105)+SUM(BE$95:BE$105)+SUM(BG$95:BG$105)</f>
        <v>175891.21309604112</v>
      </c>
      <c r="K137" s="104">
        <f>SUM(BI$95:BI$105)+SUM(BK$95:BK$105)+SUM(BM$95:BM$105)+SUM(BO$95:BO$105)</f>
        <v>178536.13989363314</v>
      </c>
      <c r="L137" s="104">
        <f>SUM(BQ$95:BQ$105)+SUM(BS$95:BS$105)+SUM(BU$95:BU$105)+SUM(BW$95:BW$105)</f>
        <v>236705.15034556901</v>
      </c>
      <c r="M137" s="104">
        <f>SUM(BY$95:BY$105)+SUM(CA$95:CA$105)+SUM(CC$95:CC$105)+SUM(CE$95:CE$105)</f>
        <v>198763.28128797724</v>
      </c>
      <c r="N137" s="104">
        <f>SUM(CG$95:CG$105)+SUM(CI$95:CI$105)+SUM(CK$95:CK$105)+SUM(CM$95:CM$105)</f>
        <v>165471.24430526144</v>
      </c>
      <c r="O137" s="104">
        <f>SUM(CO$95:CO$105)+SUM(CQ$95:CQ$105)+SUM(CS$95:CS$105)+SUM(CU$95:CU$105)</f>
        <v>187425.75406502967</v>
      </c>
    </row>
    <row r="138" spans="2:15">
      <c r="C138" s="103" t="s">
        <v>278</v>
      </c>
      <c r="D138">
        <f t="shared" ref="D138:O138" si="2">SUM(D$131:D$137)</f>
        <v>1483370.9536040784</v>
      </c>
      <c r="E138">
        <f t="shared" si="2"/>
        <v>1412017.5470310804</v>
      </c>
      <c r="F138">
        <f t="shared" si="2"/>
        <v>1515364.3529299167</v>
      </c>
      <c r="G138">
        <f t="shared" si="2"/>
        <v>1615181.9055246993</v>
      </c>
      <c r="H138">
        <f t="shared" si="2"/>
        <v>1371495.9336161881</v>
      </c>
      <c r="I138">
        <f t="shared" si="2"/>
        <v>1362027.9422440859</v>
      </c>
      <c r="J138">
        <f t="shared" si="2"/>
        <v>1442603.4591567162</v>
      </c>
      <c r="K138">
        <f t="shared" si="2"/>
        <v>1653069.2749696369</v>
      </c>
      <c r="L138">
        <f t="shared" si="2"/>
        <v>1619736.8822155769</v>
      </c>
      <c r="M138">
        <f t="shared" si="2"/>
        <v>1728691.4348728454</v>
      </c>
      <c r="N138">
        <f t="shared" si="2"/>
        <v>1585966.9894353524</v>
      </c>
      <c r="O138">
        <f t="shared" si="2"/>
        <v>1375976.3879524209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baseColWidth="10" defaultColWidth="8.83203125" defaultRowHeight="12" x14ac:dyDescent="0"/>
  <sheetData>
    <row r="1" spans="1:99">
      <c r="A1" s="100"/>
    </row>
    <row r="2" spans="1:99">
      <c r="B2" s="1" t="s">
        <v>272</v>
      </c>
    </row>
    <row r="3" spans="1:99">
      <c r="B3" s="101" t="s">
        <v>273</v>
      </c>
    </row>
    <row r="4" spans="1:99">
      <c r="A4" s="100"/>
      <c r="B4" s="100"/>
      <c r="C4" s="99" t="s">
        <v>274</v>
      </c>
      <c r="D4" s="99" t="s">
        <v>92</v>
      </c>
      <c r="E4" s="100"/>
      <c r="F4" s="100"/>
      <c r="G4" s="100"/>
      <c r="H4" s="100"/>
      <c r="I4" s="100"/>
      <c r="J4" s="100"/>
      <c r="K4" s="100"/>
      <c r="L4" s="99" t="s">
        <v>93</v>
      </c>
      <c r="M4" s="100"/>
      <c r="N4" s="100"/>
      <c r="O4" s="100"/>
      <c r="P4" s="100"/>
      <c r="Q4" s="100"/>
      <c r="R4" s="100"/>
      <c r="S4" s="100"/>
      <c r="T4" s="99" t="s">
        <v>94</v>
      </c>
      <c r="U4" s="100"/>
      <c r="V4" s="100"/>
      <c r="W4" s="100"/>
      <c r="X4" s="100"/>
      <c r="Y4" s="100"/>
      <c r="Z4" s="100"/>
      <c r="AA4" s="100"/>
      <c r="AB4" s="99" t="s">
        <v>95</v>
      </c>
      <c r="AC4" s="100"/>
      <c r="AD4" s="100"/>
      <c r="AE4" s="100"/>
      <c r="AF4" s="100"/>
      <c r="AG4" s="100"/>
      <c r="AH4" s="100"/>
      <c r="AI4" s="100"/>
      <c r="AJ4" s="99" t="s">
        <v>96</v>
      </c>
      <c r="AK4" s="100"/>
      <c r="AL4" s="100"/>
      <c r="AM4" s="100"/>
      <c r="AN4" s="100"/>
      <c r="AO4" s="100"/>
      <c r="AP4" s="100"/>
      <c r="AQ4" s="100"/>
      <c r="AR4" s="99" t="s">
        <v>97</v>
      </c>
      <c r="AS4" s="100"/>
      <c r="AT4" s="100"/>
      <c r="AU4" s="100"/>
      <c r="AV4" s="100"/>
      <c r="AW4" s="100"/>
      <c r="AX4" s="100"/>
      <c r="AY4" s="100"/>
      <c r="AZ4" s="99" t="s">
        <v>98</v>
      </c>
      <c r="BA4" s="100"/>
      <c r="BB4" s="100"/>
      <c r="BC4" s="100"/>
      <c r="BD4" s="100"/>
      <c r="BE4" s="100"/>
      <c r="BF4" s="100"/>
      <c r="BG4" s="100"/>
      <c r="BH4" s="99" t="s">
        <v>99</v>
      </c>
      <c r="BI4" s="100"/>
      <c r="BJ4" s="100"/>
      <c r="BK4" s="100"/>
      <c r="BL4" s="100"/>
      <c r="BM4" s="100"/>
      <c r="BN4" s="100"/>
      <c r="BO4" s="100"/>
      <c r="BP4" s="99" t="s">
        <v>100</v>
      </c>
      <c r="BQ4" s="100"/>
      <c r="BR4" s="100"/>
      <c r="BS4" s="100"/>
      <c r="BT4" s="100"/>
      <c r="BU4" s="100"/>
      <c r="BV4" s="100"/>
      <c r="BW4" s="100"/>
      <c r="BX4" s="99" t="s">
        <v>101</v>
      </c>
      <c r="BY4" s="100"/>
      <c r="BZ4" s="100"/>
      <c r="CA4" s="100"/>
      <c r="CB4" s="100"/>
      <c r="CC4" s="100"/>
      <c r="CD4" s="100"/>
      <c r="CE4" s="100"/>
      <c r="CF4" s="99" t="s">
        <v>102</v>
      </c>
      <c r="CG4" s="100"/>
      <c r="CH4" s="100"/>
      <c r="CI4" s="100"/>
      <c r="CJ4" s="100"/>
      <c r="CK4" s="100"/>
      <c r="CL4" s="100"/>
      <c r="CM4" s="100"/>
      <c r="CN4" s="99" t="s">
        <v>103</v>
      </c>
      <c r="CO4" s="100"/>
      <c r="CP4" s="100"/>
      <c r="CQ4" s="100"/>
      <c r="CR4" s="100"/>
      <c r="CS4" s="100"/>
      <c r="CT4" s="100"/>
      <c r="CU4" s="100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>
        <v>2.4607303322016501</v>
      </c>
      <c r="E6">
        <v>1423.2864241454342</v>
      </c>
      <c r="F6">
        <v>6.0696421449917555</v>
      </c>
      <c r="G6">
        <v>3510.6810166632313</v>
      </c>
      <c r="H6">
        <v>5.9825970595730711</v>
      </c>
      <c r="I6">
        <v>3460.3341392570642</v>
      </c>
      <c r="J6">
        <v>7.5539486822928081</v>
      </c>
      <c r="K6">
        <v>4369.2039178381601</v>
      </c>
      <c r="L6">
        <v>6.7534075931340132</v>
      </c>
      <c r="M6">
        <v>3906.170951868713</v>
      </c>
      <c r="N6">
        <v>4.9143821891281583</v>
      </c>
      <c r="O6">
        <v>2842.4786581917265</v>
      </c>
      <c r="P6">
        <v>9.0184256074487514</v>
      </c>
      <c r="Q6">
        <v>5216.257371348358</v>
      </c>
      <c r="R6">
        <v>7.8944907333294951</v>
      </c>
      <c r="S6">
        <v>4566.1734401577796</v>
      </c>
      <c r="T6">
        <v>3.9900278435600134</v>
      </c>
      <c r="U6">
        <v>2307.8321047151117</v>
      </c>
      <c r="V6">
        <v>0.98571013348448355</v>
      </c>
      <c r="W6">
        <v>570.13474120742524</v>
      </c>
      <c r="X6">
        <v>6.6898048552139135</v>
      </c>
      <c r="Y6">
        <v>3869.3831282557276</v>
      </c>
      <c r="Z6">
        <v>10</v>
      </c>
      <c r="AA6">
        <v>5784</v>
      </c>
      <c r="AB6">
        <v>7</v>
      </c>
      <c r="AC6">
        <v>4048.7999999999997</v>
      </c>
      <c r="AD6">
        <v>7.925543822578649</v>
      </c>
      <c r="AE6">
        <v>4584.1345469794906</v>
      </c>
      <c r="AF6">
        <v>8.0792875898004013</v>
      </c>
      <c r="AG6">
        <v>4673.0599419405517</v>
      </c>
      <c r="AH6">
        <v>4.7868097525938795</v>
      </c>
      <c r="AI6">
        <v>2768.6907609002997</v>
      </c>
      <c r="AJ6">
        <v>3.179067567611495</v>
      </c>
      <c r="AK6">
        <v>1838.7726811064886</v>
      </c>
      <c r="AL6">
        <v>4.5467657307627682</v>
      </c>
      <c r="AM6">
        <v>2629.8492986731849</v>
      </c>
      <c r="AN6">
        <v>9.5379407052561707</v>
      </c>
      <c r="AO6">
        <v>5516.7449039201692</v>
      </c>
      <c r="AP6">
        <v>7.7558051113019806</v>
      </c>
      <c r="AQ6">
        <v>4485.9576763770656</v>
      </c>
      <c r="AR6">
        <v>5.4088526741071332</v>
      </c>
      <c r="AS6">
        <v>3128.4803867035657</v>
      </c>
      <c r="AT6">
        <v>4.5673011579176279</v>
      </c>
      <c r="AU6">
        <v>2641.7269897395558</v>
      </c>
      <c r="AV6">
        <v>3.1414643291289219</v>
      </c>
      <c r="AW6">
        <v>1817.0229679681684</v>
      </c>
      <c r="AX6">
        <v>6.9635255339334705</v>
      </c>
      <c r="AY6">
        <v>4027.703168827119</v>
      </c>
      <c r="AZ6">
        <v>6</v>
      </c>
      <c r="BA6">
        <v>3470.3999999999996</v>
      </c>
      <c r="BB6">
        <v>3.6807136797805979</v>
      </c>
      <c r="BC6">
        <v>2128.9247923850976</v>
      </c>
      <c r="BD6">
        <v>3.4335188782054886</v>
      </c>
      <c r="BE6">
        <v>1985.9473191540546</v>
      </c>
      <c r="BF6">
        <v>7.3197424678805527</v>
      </c>
      <c r="BG6">
        <v>4233.7390434221115</v>
      </c>
      <c r="BH6">
        <v>7</v>
      </c>
      <c r="BI6">
        <v>4048.7999999999997</v>
      </c>
      <c r="BJ6">
        <v>2.010584228445496</v>
      </c>
      <c r="BK6">
        <v>1162.9219177328748</v>
      </c>
      <c r="BL6">
        <v>10.443067648502796</v>
      </c>
      <c r="BM6">
        <v>6040.2703278940171</v>
      </c>
      <c r="BN6">
        <v>6</v>
      </c>
      <c r="BO6">
        <v>3470.3999999999996</v>
      </c>
      <c r="BP6">
        <v>5</v>
      </c>
      <c r="BQ6">
        <v>2892</v>
      </c>
      <c r="BR6">
        <v>3.1756976041509852</v>
      </c>
      <c r="BS6">
        <v>1836.8234942409297</v>
      </c>
      <c r="BT6">
        <v>4.3070023708327652</v>
      </c>
      <c r="BU6">
        <v>2491.1701712896711</v>
      </c>
      <c r="BV6">
        <v>11.645281222582316</v>
      </c>
      <c r="BW6">
        <v>6735.6306591416114</v>
      </c>
      <c r="BX6">
        <v>10</v>
      </c>
      <c r="BY6">
        <v>5784</v>
      </c>
      <c r="BZ6">
        <v>5.850190021153777</v>
      </c>
      <c r="CA6">
        <v>3383.7499082353443</v>
      </c>
      <c r="CB6">
        <v>2.5596941927342294</v>
      </c>
      <c r="CC6">
        <v>1480.5271210774781</v>
      </c>
      <c r="CD6">
        <v>1.2774927658093167</v>
      </c>
      <c r="CE6">
        <v>738.90181574410872</v>
      </c>
      <c r="CF6">
        <v>10.390443295055194</v>
      </c>
      <c r="CG6">
        <v>6009.8324018599242</v>
      </c>
      <c r="CH6">
        <v>8</v>
      </c>
      <c r="CI6">
        <v>4627.2</v>
      </c>
      <c r="CJ6">
        <v>11</v>
      </c>
      <c r="CK6">
        <v>6362.4</v>
      </c>
      <c r="CL6">
        <v>5.9916299753992988</v>
      </c>
      <c r="CM6">
        <v>3465.5587777709543</v>
      </c>
      <c r="CN6">
        <v>3.1547957280341121</v>
      </c>
      <c r="CO6">
        <v>1824.7338490949303</v>
      </c>
      <c r="CP6">
        <v>3.1173464227287444</v>
      </c>
      <c r="CQ6">
        <v>1803.0731709063057</v>
      </c>
      <c r="CR6">
        <v>10.720576890529419</v>
      </c>
      <c r="CS6">
        <v>6200.7816734822154</v>
      </c>
      <c r="CT6">
        <v>9.7683598742654976</v>
      </c>
      <c r="CU6">
        <v>5650.0193512751639</v>
      </c>
    </row>
    <row r="7" spans="1:99">
      <c r="C7" s="99" t="s">
        <v>173</v>
      </c>
      <c r="D7">
        <v>1.9874641945039553</v>
      </c>
      <c r="E7">
        <v>1566.9167709469184</v>
      </c>
      <c r="F7">
        <v>5.3753304441707144</v>
      </c>
      <c r="G7">
        <v>4237.910522184191</v>
      </c>
      <c r="H7">
        <v>5.9838425901558585</v>
      </c>
      <c r="I7">
        <v>4717.661498078879</v>
      </c>
      <c r="J7">
        <v>6.7244838858842009</v>
      </c>
      <c r="K7">
        <v>5301.5830956311038</v>
      </c>
      <c r="L7">
        <v>5.459876034136105</v>
      </c>
      <c r="M7">
        <v>4304.5662653129048</v>
      </c>
      <c r="N7">
        <v>4.3290866462252184</v>
      </c>
      <c r="O7">
        <v>3413.051911883962</v>
      </c>
      <c r="P7">
        <v>9.0184256074487514</v>
      </c>
      <c r="Q7">
        <v>7110.1267489125958</v>
      </c>
      <c r="R7">
        <v>7.8944907333294951</v>
      </c>
      <c r="S7">
        <v>6224.0164941569737</v>
      </c>
      <c r="T7">
        <v>3.9900278435600134</v>
      </c>
      <c r="U7">
        <v>3145.7379518627145</v>
      </c>
      <c r="V7">
        <v>0.98571013348448355</v>
      </c>
      <c r="W7">
        <v>777.13386923916676</v>
      </c>
      <c r="X7">
        <v>7.5420712379727588</v>
      </c>
      <c r="Y7">
        <v>5946.1689640177228</v>
      </c>
      <c r="Z7">
        <v>9</v>
      </c>
      <c r="AA7">
        <v>7095.5999999999995</v>
      </c>
      <c r="AB7">
        <v>8</v>
      </c>
      <c r="AC7">
        <v>6307.2</v>
      </c>
      <c r="AD7">
        <v>7.925543822578649</v>
      </c>
      <c r="AE7">
        <v>6248.4987497210068</v>
      </c>
      <c r="AF7">
        <v>7.2713588308203612</v>
      </c>
      <c r="AG7">
        <v>5732.7393022187725</v>
      </c>
      <c r="AH7">
        <v>5.0972833706686034</v>
      </c>
      <c r="AI7">
        <v>4018.698209435127</v>
      </c>
      <c r="AJ7">
        <v>3.4761447427230414</v>
      </c>
      <c r="AK7">
        <v>2740.5925151628458</v>
      </c>
      <c r="AL7">
        <v>4.5467657307627682</v>
      </c>
      <c r="AM7">
        <v>3584.6701021333665</v>
      </c>
      <c r="AN7">
        <v>10.537940705256171</v>
      </c>
      <c r="AO7">
        <v>8308.1124520239646</v>
      </c>
      <c r="AP7">
        <v>7.7558051113019806</v>
      </c>
      <c r="AQ7">
        <v>6114.6767497504816</v>
      </c>
      <c r="AR7">
        <v>4.6550311409589185</v>
      </c>
      <c r="AS7">
        <v>3670.0265515320111</v>
      </c>
      <c r="AT7">
        <v>3.9010032170130424</v>
      </c>
      <c r="AU7">
        <v>3075.5509362930825</v>
      </c>
      <c r="AV7">
        <v>3.1255188080159622</v>
      </c>
      <c r="AW7">
        <v>2464.1590282397847</v>
      </c>
      <c r="AX7">
        <v>6.8029379449445591</v>
      </c>
      <c r="AY7">
        <v>5363.4362757942899</v>
      </c>
      <c r="AZ7">
        <v>7</v>
      </c>
      <c r="BA7">
        <v>5518.8</v>
      </c>
      <c r="BB7">
        <v>3.6807136797805979</v>
      </c>
      <c r="BC7">
        <v>2901.8746651390234</v>
      </c>
      <c r="BD7">
        <v>3.41397430413235</v>
      </c>
      <c r="BE7">
        <v>2691.5773413779448</v>
      </c>
      <c r="BF7">
        <v>7.1547746593954837</v>
      </c>
      <c r="BG7">
        <v>5640.8243414673989</v>
      </c>
      <c r="BH7">
        <v>7</v>
      </c>
      <c r="BI7">
        <v>5518.8</v>
      </c>
      <c r="BJ7">
        <v>1.8134141436190083</v>
      </c>
      <c r="BK7">
        <v>1429.6957108292261</v>
      </c>
      <c r="BL7">
        <v>9.4430676485027956</v>
      </c>
      <c r="BM7">
        <v>7444.914534079604</v>
      </c>
      <c r="BN7">
        <v>6</v>
      </c>
      <c r="BO7">
        <v>4730.3999999999996</v>
      </c>
      <c r="BP7">
        <v>5</v>
      </c>
      <c r="BQ7">
        <v>3942</v>
      </c>
      <c r="BR7">
        <v>3.1756976041509852</v>
      </c>
      <c r="BS7">
        <v>2503.7199911126368</v>
      </c>
      <c r="BT7">
        <v>3.5608613672823464</v>
      </c>
      <c r="BU7">
        <v>2807.3831019654017</v>
      </c>
      <c r="BV7">
        <v>10.480753100324085</v>
      </c>
      <c r="BW7">
        <v>8263.025744295508</v>
      </c>
      <c r="BX7">
        <v>9</v>
      </c>
      <c r="BY7">
        <v>7095.5999999999995</v>
      </c>
      <c r="BZ7">
        <v>5.850190021153777</v>
      </c>
      <c r="CA7">
        <v>4612.2898126776372</v>
      </c>
      <c r="CB7">
        <v>2.5596941927342294</v>
      </c>
      <c r="CC7">
        <v>2018.0629015516663</v>
      </c>
      <c r="CD7">
        <v>1.4319048112746695</v>
      </c>
      <c r="CE7">
        <v>1128.9137532089494</v>
      </c>
      <c r="CF7">
        <v>9.5567677814359797</v>
      </c>
      <c r="CG7">
        <v>7534.5557188841258</v>
      </c>
      <c r="CH7">
        <v>7</v>
      </c>
      <c r="CI7">
        <v>5518.8</v>
      </c>
      <c r="CJ7">
        <v>10</v>
      </c>
      <c r="CK7">
        <v>7884</v>
      </c>
      <c r="CL7">
        <v>5.3924669778593692</v>
      </c>
      <c r="CM7">
        <v>4251.4209653443268</v>
      </c>
      <c r="CN7">
        <v>3.5104263557949063</v>
      </c>
      <c r="CO7">
        <v>2767.6201389087041</v>
      </c>
      <c r="CP7">
        <v>3.450184854212146</v>
      </c>
      <c r="CQ7">
        <v>2720.1257390608557</v>
      </c>
      <c r="CR7">
        <v>9.7205768905294185</v>
      </c>
      <c r="CS7">
        <v>7663.7028204933931</v>
      </c>
      <c r="CT7">
        <v>8.7915238868389487</v>
      </c>
      <c r="CU7">
        <v>6931.2374323838267</v>
      </c>
    </row>
    <row r="8" spans="1:99">
      <c r="C8" s="99" t="s">
        <v>174</v>
      </c>
      <c r="D8">
        <v>2.4742159955892471</v>
      </c>
      <c r="E8">
        <v>766.01727223443083</v>
      </c>
      <c r="F8">
        <v>5.3778678108974107</v>
      </c>
      <c r="G8">
        <v>1664.9878742538381</v>
      </c>
      <c r="H8">
        <v>6.7499492367283809</v>
      </c>
      <c r="I8">
        <v>2089.7842836911063</v>
      </c>
      <c r="J8">
        <v>7.5539486822928081</v>
      </c>
      <c r="K8">
        <v>2338.702512037853</v>
      </c>
      <c r="L8">
        <v>6.1612724144783302</v>
      </c>
      <c r="M8">
        <v>1907.5299395224908</v>
      </c>
      <c r="N8">
        <v>5.499677732031099</v>
      </c>
      <c r="O8">
        <v>1702.7002258368282</v>
      </c>
      <c r="P8">
        <v>9.1881632086902112</v>
      </c>
      <c r="Q8">
        <v>2844.6553294104892</v>
      </c>
      <c r="R8">
        <v>7.8944907333294951</v>
      </c>
      <c r="S8">
        <v>2444.1343310388115</v>
      </c>
      <c r="T8">
        <v>3.9900278435600134</v>
      </c>
      <c r="U8">
        <v>1235.31262036618</v>
      </c>
      <c r="V8">
        <v>0.96069675016972533</v>
      </c>
      <c r="W8">
        <v>297.43171385254692</v>
      </c>
      <c r="X8">
        <v>8.3943376207316049</v>
      </c>
      <c r="Y8">
        <v>2598.8869273785044</v>
      </c>
      <c r="Z8">
        <v>9</v>
      </c>
      <c r="AA8">
        <v>2786.3999999999996</v>
      </c>
      <c r="AB8">
        <v>8</v>
      </c>
      <c r="AC8">
        <v>2476.7999999999997</v>
      </c>
      <c r="AD8">
        <v>8.9162368004009807</v>
      </c>
      <c r="AE8">
        <v>2760.4669134041433</v>
      </c>
      <c r="AF8">
        <v>8.0792875898004013</v>
      </c>
      <c r="AG8">
        <v>2501.3474378022038</v>
      </c>
      <c r="AH8">
        <v>4.7868097525938795</v>
      </c>
      <c r="AI8">
        <v>1481.996299403065</v>
      </c>
      <c r="AJ8">
        <v>3.1901612785729201</v>
      </c>
      <c r="AK8">
        <v>987.67393184617595</v>
      </c>
      <c r="AL8">
        <v>4.6392935791584842</v>
      </c>
      <c r="AM8">
        <v>1436.3252921074666</v>
      </c>
      <c r="AN8">
        <v>10.708823005840189</v>
      </c>
      <c r="AO8">
        <v>3315.4516026081224</v>
      </c>
      <c r="AP8">
        <v>8.7252807502147292</v>
      </c>
      <c r="AQ8">
        <v>2701.3469202664796</v>
      </c>
      <c r="AR8">
        <v>4.6550311409589185</v>
      </c>
      <c r="AS8">
        <v>1441.197641240881</v>
      </c>
      <c r="AT8">
        <v>4.1188801862253834</v>
      </c>
      <c r="AU8">
        <v>1275.2053056553787</v>
      </c>
      <c r="AV8">
        <v>3.1414643291289219</v>
      </c>
      <c r="AW8">
        <v>972.59735629831414</v>
      </c>
      <c r="AX8">
        <v>5.9635255339334705</v>
      </c>
      <c r="AY8">
        <v>1846.3075053058024</v>
      </c>
      <c r="AZ8">
        <v>6</v>
      </c>
      <c r="BA8">
        <v>1857.6</v>
      </c>
      <c r="BB8">
        <v>4.4168564157367172</v>
      </c>
      <c r="BC8">
        <v>1367.4587463120874</v>
      </c>
      <c r="BD8">
        <v>3.0165443772255145</v>
      </c>
      <c r="BE8">
        <v>933.92213918901916</v>
      </c>
      <c r="BF8">
        <v>7.1547746593954837</v>
      </c>
      <c r="BG8">
        <v>2215.1182345488414</v>
      </c>
      <c r="BH8">
        <v>7</v>
      </c>
      <c r="BI8">
        <v>2167.1999999999998</v>
      </c>
      <c r="BJ8">
        <v>2.0161389970427273</v>
      </c>
      <c r="BK8">
        <v>624.19663348442828</v>
      </c>
      <c r="BL8">
        <v>11.443067648502796</v>
      </c>
      <c r="BM8">
        <v>3542.7737439764651</v>
      </c>
      <c r="BN8">
        <v>6</v>
      </c>
      <c r="BO8">
        <v>1857.6</v>
      </c>
      <c r="BP8">
        <v>5</v>
      </c>
      <c r="BQ8">
        <v>1547.9999999999998</v>
      </c>
      <c r="BR8">
        <v>3.572659804669859</v>
      </c>
      <c r="BS8">
        <v>1106.0954755257883</v>
      </c>
      <c r="BT8">
        <v>3.9524070373580518</v>
      </c>
      <c r="BU8">
        <v>1223.6652187660527</v>
      </c>
      <c r="BV8">
        <v>10.645281222582316</v>
      </c>
      <c r="BW8">
        <v>3295.7790665114844</v>
      </c>
      <c r="BX8">
        <v>11</v>
      </c>
      <c r="BY8">
        <v>3405.5999999999995</v>
      </c>
      <c r="BZ8">
        <v>6.8252216913460728</v>
      </c>
      <c r="CA8">
        <v>2113.0886356407441</v>
      </c>
      <c r="CB8">
        <v>2.5596941927342294</v>
      </c>
      <c r="CC8">
        <v>792.48132207051731</v>
      </c>
      <c r="CD8">
        <v>1.4319048112746695</v>
      </c>
      <c r="CE8">
        <v>443.31772957063765</v>
      </c>
      <c r="CF8">
        <v>9.5567677814359797</v>
      </c>
      <c r="CG8">
        <v>2958.775305132579</v>
      </c>
      <c r="CH8">
        <v>9</v>
      </c>
      <c r="CI8">
        <v>2786.3999999999996</v>
      </c>
      <c r="CJ8">
        <v>10</v>
      </c>
      <c r="CK8">
        <v>3095.9999999999995</v>
      </c>
      <c r="CL8">
        <v>5.9916299753992988</v>
      </c>
      <c r="CM8">
        <v>1855.0086403836226</v>
      </c>
      <c r="CN8">
        <v>3.5104263557949063</v>
      </c>
      <c r="CO8">
        <v>1086.8279997541028</v>
      </c>
      <c r="CP8">
        <v>3.8891523153734582</v>
      </c>
      <c r="CQ8">
        <v>1204.0815568396224</v>
      </c>
      <c r="CR8">
        <v>9.89263457958236</v>
      </c>
      <c r="CS8">
        <v>3062.7596658386983</v>
      </c>
      <c r="CT8">
        <v>8.7915238868389487</v>
      </c>
      <c r="CU8">
        <v>2721.8557953653381</v>
      </c>
    </row>
    <row r="9" spans="1:99">
      <c r="C9" s="99" t="s">
        <v>175</v>
      </c>
      <c r="D9">
        <v>2.4742159955892471</v>
      </c>
      <c r="E9">
        <v>1736.8996289036515</v>
      </c>
      <c r="F9">
        <v>5.3778678108974107</v>
      </c>
      <c r="G9">
        <v>3775.2632032499823</v>
      </c>
      <c r="H9">
        <v>6.7474581755628069</v>
      </c>
      <c r="I9">
        <v>4736.7156392450906</v>
      </c>
      <c r="J9">
        <v>7.5361955793697408</v>
      </c>
      <c r="K9">
        <v>5290.4092967175584</v>
      </c>
      <c r="L9">
        <v>6.8094378377470752</v>
      </c>
      <c r="M9">
        <v>4780.2253620984466</v>
      </c>
      <c r="N9">
        <v>4.9143821891281583</v>
      </c>
      <c r="O9">
        <v>3449.8962967679672</v>
      </c>
      <c r="P9">
        <v>8.1881632086902112</v>
      </c>
      <c r="Q9">
        <v>5748.0905725005287</v>
      </c>
      <c r="R9">
        <v>7.8944907333294951</v>
      </c>
      <c r="S9">
        <v>5541.9324947973055</v>
      </c>
      <c r="T9">
        <v>3.9900278435600134</v>
      </c>
      <c r="U9">
        <v>2800.9995461791295</v>
      </c>
      <c r="V9">
        <v>0.96069675016972533</v>
      </c>
      <c r="W9">
        <v>674.40911861914719</v>
      </c>
      <c r="X9">
        <v>7.5420712379727588</v>
      </c>
      <c r="Y9">
        <v>5294.534009056877</v>
      </c>
      <c r="Z9">
        <v>9</v>
      </c>
      <c r="AA9">
        <v>6318</v>
      </c>
      <c r="AB9">
        <v>8</v>
      </c>
      <c r="AC9">
        <v>5616</v>
      </c>
      <c r="AD9">
        <v>7.925543822578649</v>
      </c>
      <c r="AE9">
        <v>5563.7317634502115</v>
      </c>
      <c r="AF9">
        <v>7.2713588308203612</v>
      </c>
      <c r="AG9">
        <v>5104.4938992358939</v>
      </c>
      <c r="AH9">
        <v>4.7868097525938795</v>
      </c>
      <c r="AI9">
        <v>3360.3404463209035</v>
      </c>
      <c r="AJ9">
        <v>3.8182807614962271</v>
      </c>
      <c r="AK9">
        <v>2680.4330945703514</v>
      </c>
      <c r="AL9">
        <v>4.5467657307627682</v>
      </c>
      <c r="AM9">
        <v>3191.8295429954633</v>
      </c>
      <c r="AN9">
        <v>10.537940705256171</v>
      </c>
      <c r="AO9">
        <v>7397.6343750898322</v>
      </c>
      <c r="AP9">
        <v>7.7558051113019806</v>
      </c>
      <c r="AQ9">
        <v>5444.5751881339902</v>
      </c>
      <c r="AR9">
        <v>5.389980968097186</v>
      </c>
      <c r="AS9">
        <v>3783.7666396042246</v>
      </c>
      <c r="AT9">
        <v>4.5673011579176279</v>
      </c>
      <c r="AU9">
        <v>3206.2454128581749</v>
      </c>
      <c r="AV9">
        <v>3.1255188080159622</v>
      </c>
      <c r="AW9">
        <v>2194.1142032272055</v>
      </c>
      <c r="AX9">
        <v>5.9635255339334705</v>
      </c>
      <c r="AY9">
        <v>4186.3949248212966</v>
      </c>
      <c r="AZ9">
        <v>7</v>
      </c>
      <c r="BA9">
        <v>4914</v>
      </c>
      <c r="BB9">
        <v>3.6807136797805979</v>
      </c>
      <c r="BC9">
        <v>2583.8610032059796</v>
      </c>
      <c r="BD9">
        <v>3.3944297300592106</v>
      </c>
      <c r="BE9">
        <v>2382.8896705015659</v>
      </c>
      <c r="BF9">
        <v>7.1547746593954837</v>
      </c>
      <c r="BG9">
        <v>5022.6518108956298</v>
      </c>
      <c r="BH9">
        <v>6</v>
      </c>
      <c r="BI9">
        <v>4212</v>
      </c>
      <c r="BJ9">
        <v>1.8078593750217771</v>
      </c>
      <c r="BK9">
        <v>1269.1172812652876</v>
      </c>
      <c r="BL9">
        <v>11.443067648502796</v>
      </c>
      <c r="BM9">
        <v>8033.0334892489627</v>
      </c>
      <c r="BN9">
        <v>6</v>
      </c>
      <c r="BO9">
        <v>4212</v>
      </c>
      <c r="BP9">
        <v>5</v>
      </c>
      <c r="BQ9">
        <v>3510</v>
      </c>
      <c r="BR9">
        <v>3.572659804669859</v>
      </c>
      <c r="BS9">
        <v>2508.0071828782411</v>
      </c>
      <c r="BT9">
        <v>3.9339318690575555</v>
      </c>
      <c r="BU9">
        <v>2761.6201720784038</v>
      </c>
      <c r="BV9">
        <v>9.480753100324085</v>
      </c>
      <c r="BW9">
        <v>6655.4886764275079</v>
      </c>
      <c r="BX9">
        <v>9</v>
      </c>
      <c r="BY9">
        <v>6318</v>
      </c>
      <c r="BZ9">
        <v>6.8252216913460728</v>
      </c>
      <c r="CA9">
        <v>4791.3056273249431</v>
      </c>
      <c r="CB9">
        <v>2.5596941927342294</v>
      </c>
      <c r="CC9">
        <v>1796.905323299429</v>
      </c>
      <c r="CD9">
        <v>1.2774927658093167</v>
      </c>
      <c r="CE9">
        <v>896.79992159814037</v>
      </c>
      <c r="CF9">
        <v>9.5567677814359797</v>
      </c>
      <c r="CG9">
        <v>6708.8509825680576</v>
      </c>
      <c r="CH9">
        <v>8</v>
      </c>
      <c r="CI9">
        <v>5616</v>
      </c>
      <c r="CJ9">
        <v>11</v>
      </c>
      <c r="CK9">
        <v>7722</v>
      </c>
      <c r="CL9">
        <v>5.9916299753992988</v>
      </c>
      <c r="CM9">
        <v>4206.1242427303077</v>
      </c>
      <c r="CN9">
        <v>3.1400456944175517</v>
      </c>
      <c r="CO9">
        <v>2204.3120774811214</v>
      </c>
      <c r="CP9">
        <v>3.0996940879076522</v>
      </c>
      <c r="CQ9">
        <v>2175.9852497111719</v>
      </c>
      <c r="CR9">
        <v>9.89263457958236</v>
      </c>
      <c r="CS9">
        <v>6944.629474866817</v>
      </c>
      <c r="CT9">
        <v>9.7683598742654976</v>
      </c>
      <c r="CU9">
        <v>6857.3886317343795</v>
      </c>
    </row>
    <row r="10" spans="1:99">
      <c r="C10" s="99" t="s">
        <v>176</v>
      </c>
      <c r="D10">
        <v>2.4607303322016501</v>
      </c>
      <c r="E10">
        <v>1340.6058849834587</v>
      </c>
      <c r="F10">
        <v>5.3778678108974107</v>
      </c>
      <c r="G10">
        <v>2929.8623833769093</v>
      </c>
      <c r="H10">
        <v>6.676821180224823</v>
      </c>
      <c r="I10">
        <v>3637.5321789864834</v>
      </c>
      <c r="J10">
        <v>7.5539486822928081</v>
      </c>
      <c r="K10">
        <v>4115.3912421131217</v>
      </c>
      <c r="L10">
        <v>6.1612724144783302</v>
      </c>
      <c r="M10">
        <v>3356.6612114077939</v>
      </c>
      <c r="N10">
        <v>5.0806110569297616</v>
      </c>
      <c r="O10">
        <v>2767.9169038153341</v>
      </c>
      <c r="P10">
        <v>8.0184256074487514</v>
      </c>
      <c r="Q10">
        <v>4368.4382709380798</v>
      </c>
      <c r="R10">
        <v>6.9076793916633079</v>
      </c>
      <c r="S10">
        <v>3763.3037325781697</v>
      </c>
      <c r="T10">
        <v>3.9900278435600134</v>
      </c>
      <c r="U10">
        <v>2173.767169171495</v>
      </c>
      <c r="V10">
        <v>0.96069675016972533</v>
      </c>
      <c r="W10">
        <v>523.3875894924663</v>
      </c>
      <c r="X10">
        <v>6.6898048552139135</v>
      </c>
      <c r="Y10">
        <v>3644.6056851205399</v>
      </c>
      <c r="Z10">
        <v>9</v>
      </c>
      <c r="AA10">
        <v>4903.2</v>
      </c>
      <c r="AB10">
        <v>7</v>
      </c>
      <c r="AC10">
        <v>3813.5999999999995</v>
      </c>
      <c r="AD10">
        <v>6.9348508447563182</v>
      </c>
      <c r="AE10">
        <v>3778.106740223242</v>
      </c>
      <c r="AF10">
        <v>7.2713588308203612</v>
      </c>
      <c r="AG10">
        <v>3961.4362910309324</v>
      </c>
      <c r="AH10">
        <v>5.8950849961009162</v>
      </c>
      <c r="AI10">
        <v>3211.6423058757787</v>
      </c>
      <c r="AJ10">
        <v>3.179067567611495</v>
      </c>
      <c r="AK10">
        <v>1731.9560108347423</v>
      </c>
      <c r="AL10">
        <v>4.5426363101844514</v>
      </c>
      <c r="AM10">
        <v>2474.8282617884888</v>
      </c>
      <c r="AN10">
        <v>10.537940705256171</v>
      </c>
      <c r="AO10">
        <v>5741.0700962235614</v>
      </c>
      <c r="AP10">
        <v>7.7558051113019806</v>
      </c>
      <c r="AQ10">
        <v>4225.3626246373187</v>
      </c>
      <c r="AR10">
        <v>4.6550311409589185</v>
      </c>
      <c r="AS10">
        <v>2536.0609655944186</v>
      </c>
      <c r="AT10">
        <v>4.139062276358362</v>
      </c>
      <c r="AU10">
        <v>2254.9611281600355</v>
      </c>
      <c r="AV10">
        <v>3.1255188080159622</v>
      </c>
      <c r="AW10">
        <v>1702.782646607096</v>
      </c>
      <c r="AX10">
        <v>6.9635255339334705</v>
      </c>
      <c r="AY10">
        <v>3793.7287108869546</v>
      </c>
      <c r="AZ10">
        <v>7</v>
      </c>
      <c r="BA10">
        <v>3813.5999999999995</v>
      </c>
      <c r="BB10">
        <v>4.4168564157367172</v>
      </c>
      <c r="BC10">
        <v>2406.3033752933634</v>
      </c>
      <c r="BD10">
        <v>2.9969998031523755</v>
      </c>
      <c r="BE10">
        <v>1632.765492757414</v>
      </c>
      <c r="BF10">
        <v>7.3197424678805527</v>
      </c>
      <c r="BG10">
        <v>3987.795696501325</v>
      </c>
      <c r="BH10">
        <v>7</v>
      </c>
      <c r="BI10">
        <v>3813.5999999999995</v>
      </c>
      <c r="BJ10">
        <v>1.8134141436190083</v>
      </c>
      <c r="BK10">
        <v>987.94802544363563</v>
      </c>
      <c r="BL10">
        <v>11.443067648502796</v>
      </c>
      <c r="BM10">
        <v>6234.1832549043229</v>
      </c>
      <c r="BN10">
        <v>6</v>
      </c>
      <c r="BO10">
        <v>3268.7999999999997</v>
      </c>
      <c r="BP10">
        <v>5</v>
      </c>
      <c r="BQ10">
        <v>2724</v>
      </c>
      <c r="BR10">
        <v>3.572659804669859</v>
      </c>
      <c r="BS10">
        <v>1946.3850615841391</v>
      </c>
      <c r="BT10">
        <v>4.2885272025322676</v>
      </c>
      <c r="BU10">
        <v>2336.389619939579</v>
      </c>
      <c r="BV10">
        <v>10.809809344840549</v>
      </c>
      <c r="BW10">
        <v>5889.1841310691307</v>
      </c>
      <c r="BX10">
        <v>11</v>
      </c>
      <c r="BY10">
        <v>5992.7999999999993</v>
      </c>
      <c r="BZ10">
        <v>5.850190021153777</v>
      </c>
      <c r="CA10">
        <v>3187.1835235245776</v>
      </c>
      <c r="CB10">
        <v>2.8796559668260082</v>
      </c>
      <c r="CC10">
        <v>1568.8365707268092</v>
      </c>
      <c r="CD10">
        <v>1.5828004898994814</v>
      </c>
      <c r="CE10">
        <v>862.30970689723745</v>
      </c>
      <c r="CF10">
        <v>10.550852387970876</v>
      </c>
      <c r="CG10">
        <v>5748.1043809665325</v>
      </c>
      <c r="CH10">
        <v>8</v>
      </c>
      <c r="CI10">
        <v>4358.3999999999996</v>
      </c>
      <c r="CJ10">
        <v>10</v>
      </c>
      <c r="CK10">
        <v>5448</v>
      </c>
      <c r="CL10">
        <v>5.9916299753992988</v>
      </c>
      <c r="CM10">
        <v>3264.2400105975375</v>
      </c>
      <c r="CN10">
        <v>2.9630452910188327</v>
      </c>
      <c r="CO10">
        <v>1614.26707454706</v>
      </c>
      <c r="CP10">
        <v>3.4534547681348879</v>
      </c>
      <c r="CQ10">
        <v>1881.4421576798868</v>
      </c>
      <c r="CR10">
        <v>10.720576890529419</v>
      </c>
      <c r="CS10">
        <v>5840.5702899604266</v>
      </c>
      <c r="CT10">
        <v>8.7915238868389487</v>
      </c>
      <c r="CU10">
        <v>4789.6222135498592</v>
      </c>
    </row>
    <row r="11" spans="1:99">
      <c r="C11" s="99" t="s">
        <v>177</v>
      </c>
      <c r="D11">
        <v>1.9874641945039553</v>
      </c>
      <c r="E11">
        <v>1058.9209228317072</v>
      </c>
      <c r="F11">
        <v>5.3753304441707144</v>
      </c>
      <c r="G11">
        <v>2863.9760606541563</v>
      </c>
      <c r="H11">
        <v>5.9838425901558585</v>
      </c>
      <c r="I11">
        <v>3188.1913320350413</v>
      </c>
      <c r="J11">
        <v>6.7244838858842009</v>
      </c>
      <c r="K11">
        <v>3582.8050143991018</v>
      </c>
      <c r="L11">
        <v>6.8066385502074924</v>
      </c>
      <c r="M11">
        <v>3626.5770195505515</v>
      </c>
      <c r="N11">
        <v>5.0806110569297616</v>
      </c>
      <c r="O11">
        <v>2706.9495711321765</v>
      </c>
      <c r="P11">
        <v>9.1881632086902112</v>
      </c>
      <c r="Q11">
        <v>4895.4533575901442</v>
      </c>
      <c r="R11">
        <v>7.8944907333294951</v>
      </c>
      <c r="S11">
        <v>4206.1846627179548</v>
      </c>
      <c r="T11">
        <v>3.9900278435600134</v>
      </c>
      <c r="U11">
        <v>2125.8868350487751</v>
      </c>
      <c r="V11">
        <v>0.8255940084561959</v>
      </c>
      <c r="W11">
        <v>439.87648770546116</v>
      </c>
      <c r="X11">
        <v>7.5420712379727588</v>
      </c>
      <c r="Y11">
        <v>4018.4155555918855</v>
      </c>
      <c r="Z11">
        <v>9</v>
      </c>
      <c r="AA11">
        <v>4795.2</v>
      </c>
      <c r="AB11">
        <v>8</v>
      </c>
      <c r="AC11">
        <v>4262.3999999999996</v>
      </c>
      <c r="AD11">
        <v>8.9162368004009807</v>
      </c>
      <c r="AE11">
        <v>4750.5709672536423</v>
      </c>
      <c r="AF11">
        <v>8.0792875898004013</v>
      </c>
      <c r="AG11">
        <v>4304.6444278456538</v>
      </c>
      <c r="AH11">
        <v>4.7868097525938795</v>
      </c>
      <c r="AI11">
        <v>2550.4122361820187</v>
      </c>
      <c r="AJ11">
        <v>3.5212035863846811</v>
      </c>
      <c r="AK11">
        <v>1876.097270825758</v>
      </c>
      <c r="AL11">
        <v>5.0761594813405821</v>
      </c>
      <c r="AM11">
        <v>2704.577771658262</v>
      </c>
      <c r="AN11">
        <v>10.537940705256171</v>
      </c>
      <c r="AO11">
        <v>5614.6148077604876</v>
      </c>
      <c r="AP11">
        <v>8.7252807502147292</v>
      </c>
      <c r="AQ11">
        <v>4648.8295837144069</v>
      </c>
      <c r="AR11">
        <v>5.4088526741071332</v>
      </c>
      <c r="AS11">
        <v>2881.8367047642805</v>
      </c>
      <c r="AT11">
        <v>3.4727643354537769</v>
      </c>
      <c r="AU11">
        <v>1850.2888379297722</v>
      </c>
      <c r="AV11">
        <v>3.1414643291289219</v>
      </c>
      <c r="AW11">
        <v>1673.7721945598894</v>
      </c>
      <c r="AX11">
        <v>5.8029379449445591</v>
      </c>
      <c r="AY11">
        <v>3091.8053370664607</v>
      </c>
      <c r="AZ11">
        <v>6</v>
      </c>
      <c r="BA11">
        <v>3196.7999999999997</v>
      </c>
      <c r="BB11">
        <v>4.4168564157367172</v>
      </c>
      <c r="BC11">
        <v>2353.3010983045228</v>
      </c>
      <c r="BD11">
        <v>3.3944297300592106</v>
      </c>
      <c r="BE11">
        <v>1808.5521601755472</v>
      </c>
      <c r="BF11">
        <v>6.3197424678805527</v>
      </c>
      <c r="BG11">
        <v>3367.1587868867582</v>
      </c>
      <c r="BH11">
        <v>7</v>
      </c>
      <c r="BI11">
        <v>3729.5999999999995</v>
      </c>
      <c r="BJ11">
        <v>2.010584228445496</v>
      </c>
      <c r="BK11">
        <v>1071.2392769157602</v>
      </c>
      <c r="BL11">
        <v>11.282726798669152</v>
      </c>
      <c r="BM11">
        <v>6011.4368383309238</v>
      </c>
      <c r="BN11">
        <v>6</v>
      </c>
      <c r="BO11">
        <v>3196.7999999999997</v>
      </c>
      <c r="BP11">
        <v>5</v>
      </c>
      <c r="BQ11">
        <v>2664</v>
      </c>
      <c r="BR11">
        <v>3.1756976041509852</v>
      </c>
      <c r="BS11">
        <v>1692.0116834916448</v>
      </c>
      <c r="BT11">
        <v>3.5793365355828426</v>
      </c>
      <c r="BU11">
        <v>1907.0705061585384</v>
      </c>
      <c r="BV11">
        <v>9.8098093448405486</v>
      </c>
      <c r="BW11">
        <v>5226.6664189310441</v>
      </c>
      <c r="BX11">
        <v>10</v>
      </c>
      <c r="BY11">
        <v>5328</v>
      </c>
      <c r="BZ11">
        <v>5.850190021153777</v>
      </c>
      <c r="CA11">
        <v>3116.9812432707322</v>
      </c>
      <c r="CB11">
        <v>2.5596941927342294</v>
      </c>
      <c r="CC11">
        <v>1363.8050658887973</v>
      </c>
      <c r="CD11">
        <v>1.4248720775935872</v>
      </c>
      <c r="CE11">
        <v>759.17184294186325</v>
      </c>
      <c r="CF11">
        <v>9.3963586885202979</v>
      </c>
      <c r="CG11">
        <v>5006.3799092436138</v>
      </c>
      <c r="CH11">
        <v>9</v>
      </c>
      <c r="CI11">
        <v>4795.2</v>
      </c>
      <c r="CJ11">
        <v>11</v>
      </c>
      <c r="CK11">
        <v>5860.7999999999993</v>
      </c>
      <c r="CL11">
        <v>6.5907929729392283</v>
      </c>
      <c r="CM11">
        <v>3511.5744959820204</v>
      </c>
      <c r="CN11">
        <v>3.1400456944175517</v>
      </c>
      <c r="CO11">
        <v>1673.0163459856715</v>
      </c>
      <c r="CP11">
        <v>3.4534547681348879</v>
      </c>
      <c r="CQ11">
        <v>1840.0007004622682</v>
      </c>
      <c r="CR11">
        <v>9.7205768905294185</v>
      </c>
      <c r="CS11">
        <v>5179.1233672740736</v>
      </c>
      <c r="CT11">
        <v>10.745195861692048</v>
      </c>
      <c r="CU11">
        <v>5725.0403551095224</v>
      </c>
    </row>
    <row r="12" spans="1:99">
      <c r="C12" s="99" t="s">
        <v>178</v>
      </c>
      <c r="D12">
        <v>2.4742159955892471</v>
      </c>
      <c r="E12">
        <v>1392.4887623176282</v>
      </c>
      <c r="F12">
        <v>6.0696421449917555</v>
      </c>
      <c r="G12">
        <v>3415.9945992013595</v>
      </c>
      <c r="H12">
        <v>6.7487037061455943</v>
      </c>
      <c r="I12">
        <v>3798.1704458187401</v>
      </c>
      <c r="J12">
        <v>7.5539486822928081</v>
      </c>
      <c r="K12">
        <v>4251.3623183943919</v>
      </c>
      <c r="L12">
        <v>6.1598727707085379</v>
      </c>
      <c r="M12">
        <v>3466.7763953547646</v>
      </c>
      <c r="N12">
        <v>4.3290866462252184</v>
      </c>
      <c r="O12">
        <v>2436.4099644955527</v>
      </c>
      <c r="P12">
        <v>9.0184256074487514</v>
      </c>
      <c r="Q12">
        <v>5075.5699318721572</v>
      </c>
      <c r="R12">
        <v>7.8944907333294951</v>
      </c>
      <c r="S12">
        <v>4443.0193847178398</v>
      </c>
      <c r="T12">
        <v>3.9900278435600134</v>
      </c>
      <c r="U12">
        <v>2245.5876703555755</v>
      </c>
      <c r="V12">
        <v>0.8255940084561959</v>
      </c>
      <c r="W12">
        <v>464.644307959147</v>
      </c>
      <c r="X12">
        <v>6.6898048552139135</v>
      </c>
      <c r="Y12">
        <v>3765.0221725143901</v>
      </c>
      <c r="Z12">
        <v>9</v>
      </c>
      <c r="AA12">
        <v>5065.2</v>
      </c>
      <c r="AB12">
        <v>7</v>
      </c>
      <c r="AC12">
        <v>3939.5999999999995</v>
      </c>
      <c r="AD12">
        <v>8.9162368004009807</v>
      </c>
      <c r="AE12">
        <v>5018.0580712656711</v>
      </c>
      <c r="AF12">
        <v>7.664432254915674</v>
      </c>
      <c r="AG12">
        <v>4313.5424730665409</v>
      </c>
      <c r="AH12">
        <v>5.8950849961009162</v>
      </c>
      <c r="AI12">
        <v>3317.7538358055954</v>
      </c>
      <c r="AJ12">
        <v>3.5212035863846811</v>
      </c>
      <c r="AK12">
        <v>1981.7333784172984</v>
      </c>
      <c r="AL12">
        <v>4.1098998285806703</v>
      </c>
      <c r="AM12">
        <v>2313.0516235252012</v>
      </c>
      <c r="AN12">
        <v>9.3670584046721519</v>
      </c>
      <c r="AO12">
        <v>5271.780470149487</v>
      </c>
      <c r="AP12">
        <v>8.7252807502147292</v>
      </c>
      <c r="AQ12">
        <v>4910.5880062208489</v>
      </c>
      <c r="AR12">
        <v>4.6550311409589185</v>
      </c>
      <c r="AS12">
        <v>2619.8515261316793</v>
      </c>
      <c r="AT12">
        <v>3.9010032170130424</v>
      </c>
      <c r="AU12">
        <v>2195.4846105349402</v>
      </c>
      <c r="AV12">
        <v>3.1414643291289219</v>
      </c>
      <c r="AW12">
        <v>1768.0161244337571</v>
      </c>
      <c r="AX12">
        <v>5.8029379449445591</v>
      </c>
      <c r="AY12">
        <v>3265.8934754147976</v>
      </c>
      <c r="AZ12">
        <v>7</v>
      </c>
      <c r="BA12">
        <v>3939.5999999999995</v>
      </c>
      <c r="BB12">
        <v>4.4168564157367172</v>
      </c>
      <c r="BC12">
        <v>2485.8067907766244</v>
      </c>
      <c r="BD12">
        <v>3.0165443772255145</v>
      </c>
      <c r="BE12">
        <v>1697.7111755025194</v>
      </c>
      <c r="BF12">
        <v>7.3197424678805527</v>
      </c>
      <c r="BG12">
        <v>4119.5510609231751</v>
      </c>
      <c r="BH12">
        <v>6</v>
      </c>
      <c r="BI12">
        <v>3376.7999999999997</v>
      </c>
      <c r="BJ12">
        <v>1.8134141436190083</v>
      </c>
      <c r="BK12">
        <v>1020.5894800287778</v>
      </c>
      <c r="BL12">
        <v>10.282726798669152</v>
      </c>
      <c r="BM12">
        <v>5787.1186422909987</v>
      </c>
      <c r="BN12">
        <v>6</v>
      </c>
      <c r="BO12">
        <v>3376.7999999999997</v>
      </c>
      <c r="BP12">
        <v>5</v>
      </c>
      <c r="BQ12">
        <v>2814</v>
      </c>
      <c r="BR12">
        <v>3.572659804669859</v>
      </c>
      <c r="BS12">
        <v>2010.6929380681966</v>
      </c>
      <c r="BT12">
        <v>4.3254775391332609</v>
      </c>
      <c r="BU12">
        <v>2434.3787590241991</v>
      </c>
      <c r="BV12">
        <v>9.8098093448405486</v>
      </c>
      <c r="BW12">
        <v>5520.9606992762601</v>
      </c>
      <c r="BX12">
        <v>11</v>
      </c>
      <c r="BY12">
        <v>6190.7999999999993</v>
      </c>
      <c r="BZ12">
        <v>5.850190021153777</v>
      </c>
      <c r="CA12">
        <v>3292.4869439053455</v>
      </c>
      <c r="CB12">
        <v>2.5596941927342294</v>
      </c>
      <c r="CC12">
        <v>1440.5958916708241</v>
      </c>
      <c r="CD12">
        <v>1.4319048112746695</v>
      </c>
      <c r="CE12">
        <v>805.87602778538394</v>
      </c>
      <c r="CF12">
        <v>9.7171768743516616</v>
      </c>
      <c r="CG12">
        <v>5468.8271448851146</v>
      </c>
      <c r="CH12">
        <v>8</v>
      </c>
      <c r="CI12">
        <v>4502.3999999999996</v>
      </c>
      <c r="CJ12">
        <v>11</v>
      </c>
      <c r="CK12">
        <v>6190.7999999999993</v>
      </c>
      <c r="CL12">
        <v>5.9916299753992988</v>
      </c>
      <c r="CM12">
        <v>3372.0893501547253</v>
      </c>
      <c r="CN12">
        <v>3.1400456944175517</v>
      </c>
      <c r="CO12">
        <v>1767.2177168181979</v>
      </c>
      <c r="CP12">
        <v>3.4849493070434723</v>
      </c>
      <c r="CQ12">
        <v>1961.329470004066</v>
      </c>
      <c r="CR12">
        <v>10.89263457958236</v>
      </c>
      <c r="CS12">
        <v>6130.3747413889514</v>
      </c>
      <c r="CT12">
        <v>9.7683598742654976</v>
      </c>
      <c r="CU12">
        <v>5497.6329372366217</v>
      </c>
    </row>
    <row r="13" spans="1:99">
      <c r="C13" s="99" t="s">
        <v>179</v>
      </c>
      <c r="D13">
        <v>2.4742159955892471</v>
      </c>
      <c r="E13">
        <v>210.80320282420385</v>
      </c>
      <c r="F13">
        <v>5.4808975185820961</v>
      </c>
      <c r="G13">
        <v>466.9724685831946</v>
      </c>
      <c r="H13">
        <v>6.058216177242203</v>
      </c>
      <c r="I13">
        <v>516.16001830103573</v>
      </c>
      <c r="J13">
        <v>7.5361955793697408</v>
      </c>
      <c r="K13">
        <v>642.08386336230194</v>
      </c>
      <c r="L13">
        <v>6.1612724144783302</v>
      </c>
      <c r="M13">
        <v>524.94040971355378</v>
      </c>
      <c r="N13">
        <v>5.0842346023683271</v>
      </c>
      <c r="O13">
        <v>433.1767881217815</v>
      </c>
      <c r="P13">
        <v>10.018425607448751</v>
      </c>
      <c r="Q13">
        <v>853.56986175463362</v>
      </c>
      <c r="R13">
        <v>7.8944907333294951</v>
      </c>
      <c r="S13">
        <v>672.61061047967303</v>
      </c>
      <c r="T13">
        <v>3.9900278435600134</v>
      </c>
      <c r="U13">
        <v>339.95037227131314</v>
      </c>
      <c r="V13">
        <v>0.98571013348448355</v>
      </c>
      <c r="W13">
        <v>83.982503372878</v>
      </c>
      <c r="X13">
        <v>7.5420712379727588</v>
      </c>
      <c r="Y13">
        <v>642.58446947527909</v>
      </c>
      <c r="Z13">
        <v>10</v>
      </c>
      <c r="AA13">
        <v>852</v>
      </c>
      <c r="AB13">
        <v>8</v>
      </c>
      <c r="AC13">
        <v>681.6</v>
      </c>
      <c r="AD13">
        <v>8.9162368004009807</v>
      </c>
      <c r="AE13">
        <v>759.66337539416361</v>
      </c>
      <c r="AF13">
        <v>8.0792875898004013</v>
      </c>
      <c r="AG13">
        <v>688.35530265099419</v>
      </c>
      <c r="AH13">
        <v>5.5846113780261932</v>
      </c>
      <c r="AI13">
        <v>475.80888940783166</v>
      </c>
      <c r="AJ13">
        <v>3.179067567611495</v>
      </c>
      <c r="AK13">
        <v>270.85655676049936</v>
      </c>
      <c r="AL13">
        <v>4.114029249158988</v>
      </c>
      <c r="AM13">
        <v>350.51529202834581</v>
      </c>
      <c r="AN13">
        <v>10.367058404672152</v>
      </c>
      <c r="AO13">
        <v>883.27337607806737</v>
      </c>
      <c r="AP13">
        <v>7.7558051113019806</v>
      </c>
      <c r="AQ13">
        <v>660.7945954829288</v>
      </c>
      <c r="AR13">
        <v>5.4088526741071332</v>
      </c>
      <c r="AS13">
        <v>460.83424783392775</v>
      </c>
      <c r="AT13">
        <v>4.139062276358362</v>
      </c>
      <c r="AU13">
        <v>352.64810594573248</v>
      </c>
      <c r="AV13">
        <v>3.1414643291289219</v>
      </c>
      <c r="AW13">
        <v>267.65276084178413</v>
      </c>
      <c r="AX13">
        <v>6.9635255339334705</v>
      </c>
      <c r="AY13">
        <v>593.29237549113168</v>
      </c>
      <c r="AZ13">
        <v>7</v>
      </c>
      <c r="BA13">
        <v>596.4</v>
      </c>
      <c r="BB13">
        <v>3.6807136797805979</v>
      </c>
      <c r="BC13">
        <v>313.59680551730696</v>
      </c>
      <c r="BD13">
        <v>3.4335188782054886</v>
      </c>
      <c r="BE13">
        <v>292.53580842310765</v>
      </c>
      <c r="BF13">
        <v>7.1547746593954837</v>
      </c>
      <c r="BG13">
        <v>609.58680098049524</v>
      </c>
      <c r="BH13">
        <v>7</v>
      </c>
      <c r="BI13">
        <v>596.4</v>
      </c>
      <c r="BJ13">
        <v>1.8134141436190083</v>
      </c>
      <c r="BK13">
        <v>154.50288503633951</v>
      </c>
      <c r="BL13">
        <v>10.443067648502796</v>
      </c>
      <c r="BM13">
        <v>889.74936365243821</v>
      </c>
      <c r="BN13">
        <v>6</v>
      </c>
      <c r="BO13">
        <v>511.20000000000005</v>
      </c>
      <c r="BP13">
        <v>6</v>
      </c>
      <c r="BQ13">
        <v>511.20000000000005</v>
      </c>
      <c r="BR13">
        <v>3.1756976041509852</v>
      </c>
      <c r="BS13">
        <v>270.56943587366396</v>
      </c>
      <c r="BT13">
        <v>4.698548040908471</v>
      </c>
      <c r="BU13">
        <v>400.31629308540175</v>
      </c>
      <c r="BV13">
        <v>10.480753100324085</v>
      </c>
      <c r="BW13">
        <v>892.96016414761209</v>
      </c>
      <c r="BX13">
        <v>10</v>
      </c>
      <c r="BY13">
        <v>852</v>
      </c>
      <c r="BZ13">
        <v>5.850190021153777</v>
      </c>
      <c r="CA13">
        <v>498.43618980230184</v>
      </c>
      <c r="CB13">
        <v>2.5596941927342294</v>
      </c>
      <c r="CC13">
        <v>218.08594522095635</v>
      </c>
      <c r="CD13">
        <v>1.5863168567400223</v>
      </c>
      <c r="CE13">
        <v>135.15419619424992</v>
      </c>
      <c r="CF13">
        <v>10.550852387970876</v>
      </c>
      <c r="CG13">
        <v>898.93262345511869</v>
      </c>
      <c r="CH13">
        <v>8</v>
      </c>
      <c r="CI13">
        <v>681.6</v>
      </c>
      <c r="CJ13">
        <v>12</v>
      </c>
      <c r="CK13">
        <v>1022.4000000000001</v>
      </c>
      <c r="CL13">
        <v>5.9916299753992988</v>
      </c>
      <c r="CM13">
        <v>510.48687390402029</v>
      </c>
      <c r="CN13">
        <v>3.3334259523961869</v>
      </c>
      <c r="CO13">
        <v>284.00789114415511</v>
      </c>
      <c r="CP13">
        <v>3.4567246820576307</v>
      </c>
      <c r="CQ13">
        <v>294.51294291131012</v>
      </c>
      <c r="CR13">
        <v>10.89263457958236</v>
      </c>
      <c r="CS13">
        <v>928.05246618041713</v>
      </c>
      <c r="CT13">
        <v>9.7683598742654976</v>
      </c>
      <c r="CU13">
        <v>832.26426128742037</v>
      </c>
    </row>
    <row r="14" spans="1:99">
      <c r="C14" s="99" t="s">
        <v>180</v>
      </c>
      <c r="D14">
        <v>2.4607303322016501</v>
      </c>
      <c r="E14">
        <v>1201.8206942472859</v>
      </c>
      <c r="F14">
        <v>6.0671047782650609</v>
      </c>
      <c r="G14">
        <v>2963.1739737046555</v>
      </c>
      <c r="H14">
        <v>6.7499492367283809</v>
      </c>
      <c r="I14">
        <v>3296.6752072181412</v>
      </c>
      <c r="J14">
        <v>7.5539486822928081</v>
      </c>
      <c r="K14">
        <v>3689.3485364318071</v>
      </c>
      <c r="L14">
        <v>6.8080381939772838</v>
      </c>
      <c r="M14">
        <v>3325.0458539385054</v>
      </c>
      <c r="N14">
        <v>5.5927796388808746</v>
      </c>
      <c r="O14">
        <v>2731.5135756294189</v>
      </c>
      <c r="P14">
        <v>8.1881632086902112</v>
      </c>
      <c r="Q14">
        <v>3999.0989111242989</v>
      </c>
      <c r="R14">
        <v>6.9076793916633079</v>
      </c>
      <c r="S14">
        <v>3373.7106148883595</v>
      </c>
      <c r="T14">
        <v>3.9900278435600134</v>
      </c>
      <c r="U14">
        <v>1948.7295987947105</v>
      </c>
      <c r="V14">
        <v>0.8255940084561959</v>
      </c>
      <c r="W14">
        <v>403.22011373000606</v>
      </c>
      <c r="X14">
        <v>7.5420712379727588</v>
      </c>
      <c r="Y14">
        <v>3683.547592625895</v>
      </c>
      <c r="Z14">
        <v>9</v>
      </c>
      <c r="AA14">
        <v>4395.5999999999995</v>
      </c>
      <c r="AB14">
        <v>8</v>
      </c>
      <c r="AC14">
        <v>3907.2</v>
      </c>
      <c r="AD14">
        <v>8.9162368004009807</v>
      </c>
      <c r="AE14">
        <v>4354.6900533158387</v>
      </c>
      <c r="AF14">
        <v>8.4723610138957124</v>
      </c>
      <c r="AG14">
        <v>4137.9011191866657</v>
      </c>
      <c r="AH14">
        <v>4.7868097525938795</v>
      </c>
      <c r="AI14">
        <v>2337.8778831668506</v>
      </c>
      <c r="AJ14">
        <v>3.8677018154001561</v>
      </c>
      <c r="AK14">
        <v>1888.9855666414362</v>
      </c>
      <c r="AL14">
        <v>4.1181586697373049</v>
      </c>
      <c r="AM14">
        <v>2011.3086942996997</v>
      </c>
      <c r="AN14">
        <v>9.5379407052561707</v>
      </c>
      <c r="AO14">
        <v>4658.3302404471133</v>
      </c>
      <c r="AP14">
        <v>7.7558051113019806</v>
      </c>
      <c r="AQ14">
        <v>3787.9352163598874</v>
      </c>
      <c r="AR14">
        <v>4.6550311409589185</v>
      </c>
      <c r="AS14">
        <v>2273.5172092443358</v>
      </c>
      <c r="AT14">
        <v>3.9010032170130424</v>
      </c>
      <c r="AU14">
        <v>1905.2499711891699</v>
      </c>
      <c r="AV14">
        <v>3.5142154688788381</v>
      </c>
      <c r="AW14">
        <v>1716.3428350004244</v>
      </c>
      <c r="AX14">
        <v>5.9635255339334705</v>
      </c>
      <c r="AY14">
        <v>2912.5858707731068</v>
      </c>
      <c r="AZ14">
        <v>7</v>
      </c>
      <c r="BA14">
        <v>3418.7999999999997</v>
      </c>
      <c r="BB14">
        <v>3.6807136797805979</v>
      </c>
      <c r="BC14">
        <v>1797.660561204844</v>
      </c>
      <c r="BD14">
        <v>2.9969998031523755</v>
      </c>
      <c r="BE14">
        <v>1463.7347038596201</v>
      </c>
      <c r="BF14">
        <v>7.3197424678805527</v>
      </c>
      <c r="BG14">
        <v>3574.9622213128619</v>
      </c>
      <c r="BH14">
        <v>6</v>
      </c>
      <c r="BI14">
        <v>2930.3999999999996</v>
      </c>
      <c r="BJ14">
        <v>1.8134141436190083</v>
      </c>
      <c r="BK14">
        <v>885.67146774352364</v>
      </c>
      <c r="BL14">
        <v>11.443067648502796</v>
      </c>
      <c r="BM14">
        <v>5588.7942395287655</v>
      </c>
      <c r="BN14">
        <v>6</v>
      </c>
      <c r="BO14">
        <v>2930.3999999999996</v>
      </c>
      <c r="BP14">
        <v>5</v>
      </c>
      <c r="BQ14">
        <v>2442</v>
      </c>
      <c r="BR14">
        <v>3.1756976041509852</v>
      </c>
      <c r="BS14">
        <v>1551.0107098673411</v>
      </c>
      <c r="BT14">
        <v>3.9524070373580518</v>
      </c>
      <c r="BU14">
        <v>1930.3555970456723</v>
      </c>
      <c r="BV14">
        <v>9.6452812225823159</v>
      </c>
      <c r="BW14">
        <v>4710.7553491092031</v>
      </c>
      <c r="BX14">
        <v>9</v>
      </c>
      <c r="BY14">
        <v>4395.5999999999995</v>
      </c>
      <c r="BZ14">
        <v>5.850190021153777</v>
      </c>
      <c r="CA14">
        <v>2857.2328063315044</v>
      </c>
      <c r="CB14">
        <v>2.8796559668260082</v>
      </c>
      <c r="CC14">
        <v>1406.4239741978224</v>
      </c>
      <c r="CD14">
        <v>1.2774927658093167</v>
      </c>
      <c r="CE14">
        <v>623.92746682127029</v>
      </c>
      <c r="CF14">
        <v>9.5567677814359797</v>
      </c>
      <c r="CG14">
        <v>4667.5253844533327</v>
      </c>
      <c r="CH14">
        <v>8</v>
      </c>
      <c r="CI14">
        <v>3907.2</v>
      </c>
      <c r="CJ14">
        <v>10</v>
      </c>
      <c r="CK14">
        <v>4884</v>
      </c>
      <c r="CL14">
        <v>5.3924669778593692</v>
      </c>
      <c r="CM14">
        <v>2633.6808719865157</v>
      </c>
      <c r="CN14">
        <v>3.1252956608009916</v>
      </c>
      <c r="CO14">
        <v>1526.3944007352043</v>
      </c>
      <c r="CP14">
        <v>3.4534547681348879</v>
      </c>
      <c r="CQ14">
        <v>1686.6673087570791</v>
      </c>
      <c r="CR14">
        <v>10.89263457958236</v>
      </c>
      <c r="CS14">
        <v>5319.9627286680243</v>
      </c>
      <c r="CT14">
        <v>9.7683598742654976</v>
      </c>
      <c r="CU14">
        <v>4770.8669625912689</v>
      </c>
    </row>
    <row r="15" spans="1:99">
      <c r="C15" s="99" t="s">
        <v>181</v>
      </c>
      <c r="D15">
        <v>2.0009498578915523</v>
      </c>
      <c r="E15">
        <v>1527.1249315428327</v>
      </c>
      <c r="F15">
        <v>6.0671047782650609</v>
      </c>
      <c r="G15">
        <v>4630.4143667718945</v>
      </c>
      <c r="H15">
        <v>5.9838425901558585</v>
      </c>
      <c r="I15">
        <v>4566.8686648069506</v>
      </c>
      <c r="J15">
        <v>6.7067307829611336</v>
      </c>
      <c r="K15">
        <v>5118.5769335559371</v>
      </c>
      <c r="L15">
        <v>5.459876034136105</v>
      </c>
      <c r="M15">
        <v>4166.9773892526746</v>
      </c>
      <c r="N15">
        <v>4.9143821891281583</v>
      </c>
      <c r="O15">
        <v>3750.65648674261</v>
      </c>
      <c r="P15">
        <v>9.0184256074487514</v>
      </c>
      <c r="Q15">
        <v>6882.8624236048863</v>
      </c>
      <c r="R15">
        <v>7.8944907333294951</v>
      </c>
      <c r="S15">
        <v>6025.0753276770702</v>
      </c>
      <c r="T15">
        <v>3.9900278435600134</v>
      </c>
      <c r="U15">
        <v>3045.1892502050018</v>
      </c>
      <c r="V15">
        <v>0.98571013348448355</v>
      </c>
      <c r="W15">
        <v>752.29397387535778</v>
      </c>
      <c r="X15">
        <v>6.6898048552139135</v>
      </c>
      <c r="Y15">
        <v>5105.6590654992588</v>
      </c>
      <c r="Z15">
        <v>8</v>
      </c>
      <c r="AA15">
        <v>6105.5999999999995</v>
      </c>
      <c r="AB15">
        <v>7</v>
      </c>
      <c r="AC15">
        <v>5342.4</v>
      </c>
      <c r="AD15">
        <v>6.9348508447563182</v>
      </c>
      <c r="AE15">
        <v>5292.6781647180214</v>
      </c>
      <c r="AF15">
        <v>7.2713588308203612</v>
      </c>
      <c r="AG15">
        <v>5549.5010596820994</v>
      </c>
      <c r="AH15">
        <v>5.8950849961009162</v>
      </c>
      <c r="AI15">
        <v>4499.1288690242191</v>
      </c>
      <c r="AJ15">
        <v>3.179067567611495</v>
      </c>
      <c r="AK15">
        <v>2426.2643676010925</v>
      </c>
      <c r="AL15">
        <v>4.4501084617887354</v>
      </c>
      <c r="AM15">
        <v>3396.3227780371626</v>
      </c>
      <c r="AN15">
        <v>10.367058404672152</v>
      </c>
      <c r="AO15">
        <v>7912.1389744457856</v>
      </c>
      <c r="AP15">
        <v>7.7558051113019806</v>
      </c>
      <c r="AQ15">
        <v>5919.2304609456714</v>
      </c>
      <c r="AR15">
        <v>4.6550311409589185</v>
      </c>
      <c r="AS15">
        <v>3552.7197667798464</v>
      </c>
      <c r="AT15">
        <v>4.1188801862253834</v>
      </c>
      <c r="AU15">
        <v>3143.5293581272122</v>
      </c>
      <c r="AV15">
        <v>3.4982699477658779</v>
      </c>
      <c r="AW15">
        <v>2669.8796241349178</v>
      </c>
      <c r="AX15">
        <v>5.8029379449445591</v>
      </c>
      <c r="AY15">
        <v>4428.802239581687</v>
      </c>
      <c r="AZ15">
        <v>6</v>
      </c>
      <c r="BA15">
        <v>4579.2</v>
      </c>
      <c r="BB15">
        <v>3.6807136797805979</v>
      </c>
      <c r="BC15">
        <v>2809.1206804085523</v>
      </c>
      <c r="BD15">
        <v>2.9969998031523755</v>
      </c>
      <c r="BE15">
        <v>2287.3102497658929</v>
      </c>
      <c r="BF15">
        <v>7.3197424678805527</v>
      </c>
      <c r="BG15">
        <v>5586.4274514864373</v>
      </c>
      <c r="BH15">
        <v>7</v>
      </c>
      <c r="BI15">
        <v>5342.4</v>
      </c>
      <c r="BJ15">
        <v>2.010584228445496</v>
      </c>
      <c r="BK15">
        <v>1534.4778831496023</v>
      </c>
      <c r="BL15">
        <v>10.282726798669152</v>
      </c>
      <c r="BM15">
        <v>7847.7770927442962</v>
      </c>
      <c r="BN15">
        <v>6</v>
      </c>
      <c r="BO15">
        <v>4579.2</v>
      </c>
      <c r="BP15">
        <v>5</v>
      </c>
      <c r="BQ15">
        <v>3815.9999999999995</v>
      </c>
      <c r="BR15">
        <v>3.1756976041509852</v>
      </c>
      <c r="BS15">
        <v>2423.6924114880317</v>
      </c>
      <c r="BT15">
        <v>4.3254775391332609</v>
      </c>
      <c r="BU15">
        <v>3301.2044578665045</v>
      </c>
      <c r="BV15">
        <v>10.645281222582316</v>
      </c>
      <c r="BW15">
        <v>8124.4786290748225</v>
      </c>
      <c r="BX15">
        <v>9</v>
      </c>
      <c r="BY15">
        <v>6868.7999999999993</v>
      </c>
      <c r="BZ15">
        <v>5.850190021153777</v>
      </c>
      <c r="CA15">
        <v>4464.8650241445621</v>
      </c>
      <c r="CB15">
        <v>2.239732418642451</v>
      </c>
      <c r="CC15">
        <v>1709.3637819079183</v>
      </c>
      <c r="CD15">
        <v>1.5792841230589403</v>
      </c>
      <c r="CE15">
        <v>1205.3096427185831</v>
      </c>
      <c r="CF15">
        <v>9.3963586885202979</v>
      </c>
      <c r="CG15">
        <v>7171.3009510786906</v>
      </c>
      <c r="CH15">
        <v>7</v>
      </c>
      <c r="CI15">
        <v>5342.4</v>
      </c>
      <c r="CJ15">
        <v>10</v>
      </c>
      <c r="CK15">
        <v>7631.9999999999991</v>
      </c>
      <c r="CL15">
        <v>5.9916299753992988</v>
      </c>
      <c r="CM15">
        <v>4572.8119972247441</v>
      </c>
      <c r="CN15">
        <v>2.9630452910188327</v>
      </c>
      <c r="CO15">
        <v>2261.3961661055728</v>
      </c>
      <c r="CP15">
        <v>3.0996940879076522</v>
      </c>
      <c r="CQ15">
        <v>2365.68652789112</v>
      </c>
      <c r="CR15">
        <v>9.7205768905294185</v>
      </c>
      <c r="CS15">
        <v>7418.7442828520516</v>
      </c>
      <c r="CT15">
        <v>8.7915238868389487</v>
      </c>
      <c r="CU15">
        <v>6709.6910304354851</v>
      </c>
    </row>
    <row r="16" spans="1:99">
      <c r="C16" s="99" t="s">
        <v>182</v>
      </c>
      <c r="D16">
        <v>2.4607303322016501</v>
      </c>
      <c r="E16">
        <v>838.61689721432242</v>
      </c>
      <c r="F16">
        <v>5.3778678108974107</v>
      </c>
      <c r="G16">
        <v>1832.7773499538375</v>
      </c>
      <c r="H16">
        <v>6.7499492367283809</v>
      </c>
      <c r="I16">
        <v>2300.3826998770323</v>
      </c>
      <c r="J16">
        <v>7.5539486822928081</v>
      </c>
      <c r="K16">
        <v>2574.385710925389</v>
      </c>
      <c r="L16">
        <v>6.1066418136350595</v>
      </c>
      <c r="M16">
        <v>2081.1435300868284</v>
      </c>
      <c r="N16">
        <v>4.9143821891281583</v>
      </c>
      <c r="O16">
        <v>1674.8214500548763</v>
      </c>
      <c r="P16">
        <v>9.1881632086902112</v>
      </c>
      <c r="Q16">
        <v>3131.3260215216242</v>
      </c>
      <c r="R16">
        <v>7.8944907333294951</v>
      </c>
      <c r="S16">
        <v>2690.4424419186921</v>
      </c>
      <c r="T16">
        <v>3.9900278435600134</v>
      </c>
      <c r="U16">
        <v>1359.8014890852526</v>
      </c>
      <c r="V16">
        <v>0.82916734892973298</v>
      </c>
      <c r="W16">
        <v>282.58023251525299</v>
      </c>
      <c r="X16">
        <v>7.5420712379727588</v>
      </c>
      <c r="Y16">
        <v>2570.3378779011164</v>
      </c>
      <c r="Z16">
        <v>9</v>
      </c>
      <c r="AA16">
        <v>3067.2000000000003</v>
      </c>
      <c r="AB16">
        <v>8</v>
      </c>
      <c r="AC16">
        <v>2726.4</v>
      </c>
      <c r="AD16">
        <v>8.9162368004009807</v>
      </c>
      <c r="AE16">
        <v>3038.6535015766544</v>
      </c>
      <c r="AF16">
        <v>7.664432254915674</v>
      </c>
      <c r="AG16">
        <v>2612.038512475262</v>
      </c>
      <c r="AH16">
        <v>5.5846113780261932</v>
      </c>
      <c r="AI16">
        <v>1903.2355576313266</v>
      </c>
      <c r="AJ16">
        <v>3.5271179391599077</v>
      </c>
      <c r="AK16">
        <v>1202.0417936656966</v>
      </c>
      <c r="AL16">
        <v>4.4501084617887354</v>
      </c>
      <c r="AM16">
        <v>1516.5969637776011</v>
      </c>
      <c r="AN16">
        <v>11.708823005840189</v>
      </c>
      <c r="AO16">
        <v>3990.3668803903365</v>
      </c>
      <c r="AP16">
        <v>8.7252807502147292</v>
      </c>
      <c r="AQ16">
        <v>2973.5756796731798</v>
      </c>
      <c r="AR16">
        <v>5.4088526741071332</v>
      </c>
      <c r="AS16">
        <v>1843.336991335711</v>
      </c>
      <c r="AT16">
        <v>4.139062276358362</v>
      </c>
      <c r="AU16">
        <v>1410.5924237829299</v>
      </c>
      <c r="AV16">
        <v>3.4982699477658779</v>
      </c>
      <c r="AW16">
        <v>1192.2103981986113</v>
      </c>
      <c r="AX16">
        <v>5.8029379449445591</v>
      </c>
      <c r="AY16">
        <v>1977.6412516371058</v>
      </c>
      <c r="AZ16">
        <v>6</v>
      </c>
      <c r="BA16">
        <v>2044.8000000000002</v>
      </c>
      <c r="BB16">
        <v>3.6807136797805979</v>
      </c>
      <c r="BC16">
        <v>1254.3872220692278</v>
      </c>
      <c r="BD16">
        <v>3.0165443772255145</v>
      </c>
      <c r="BE16">
        <v>1028.0383237584554</v>
      </c>
      <c r="BF16">
        <v>8.1547746593954837</v>
      </c>
      <c r="BG16">
        <v>2779.1472039219811</v>
      </c>
      <c r="BH16">
        <v>7</v>
      </c>
      <c r="BI16">
        <v>2385.6</v>
      </c>
      <c r="BJ16">
        <v>2.0161389970427273</v>
      </c>
      <c r="BK16">
        <v>687.1001701921615</v>
      </c>
      <c r="BL16">
        <v>11.443067648502796</v>
      </c>
      <c r="BM16">
        <v>3899.797454609753</v>
      </c>
      <c r="BN16">
        <v>6</v>
      </c>
      <c r="BO16">
        <v>2044.8000000000002</v>
      </c>
      <c r="BP16">
        <v>6</v>
      </c>
      <c r="BQ16">
        <v>2044.8000000000002</v>
      </c>
      <c r="BR16">
        <v>3.1756976041509852</v>
      </c>
      <c r="BS16">
        <v>1082.2777434946559</v>
      </c>
      <c r="BT16">
        <v>3.9339318690575555</v>
      </c>
      <c r="BU16">
        <v>1340.6839809748151</v>
      </c>
      <c r="BV16">
        <v>11.480753100324085</v>
      </c>
      <c r="BW16">
        <v>3912.6406565904481</v>
      </c>
      <c r="BX16">
        <v>10</v>
      </c>
      <c r="BY16">
        <v>3408</v>
      </c>
      <c r="BZ16">
        <v>6.8252216913460728</v>
      </c>
      <c r="CA16">
        <v>2326.0355524107417</v>
      </c>
      <c r="CB16">
        <v>2.239732418642451</v>
      </c>
      <c r="CC16">
        <v>763.30080827334734</v>
      </c>
      <c r="CD16">
        <v>1.4354211781152106</v>
      </c>
      <c r="CE16">
        <v>489.19153750166379</v>
      </c>
      <c r="CF16">
        <v>9.5567677814359797</v>
      </c>
      <c r="CG16">
        <v>3256.9464599133821</v>
      </c>
      <c r="CH16">
        <v>9</v>
      </c>
      <c r="CI16">
        <v>3067.2000000000003</v>
      </c>
      <c r="CJ16">
        <v>10</v>
      </c>
      <c r="CK16">
        <v>3408</v>
      </c>
      <c r="CL16">
        <v>5.3924669778593692</v>
      </c>
      <c r="CM16">
        <v>1837.7527460544732</v>
      </c>
      <c r="CN16">
        <v>3.3334259523961869</v>
      </c>
      <c r="CO16">
        <v>1136.0315645766204</v>
      </c>
      <c r="CP16">
        <v>3.5215494310587303</v>
      </c>
      <c r="CQ16">
        <v>1200.1440461048153</v>
      </c>
      <c r="CR16">
        <v>9.89263457958236</v>
      </c>
      <c r="CS16">
        <v>3371.4098647216683</v>
      </c>
      <c r="CT16">
        <v>9.7683598742654976</v>
      </c>
      <c r="CU16">
        <v>3329.0570451496815</v>
      </c>
    </row>
    <row r="17" spans="2:99">
      <c r="C17" s="99" t="s">
        <v>183</v>
      </c>
      <c r="D17">
        <v>1.9874641945039553</v>
      </c>
      <c r="E17">
        <v>839.50487575847069</v>
      </c>
      <c r="F17">
        <v>6.0696421449917555</v>
      </c>
      <c r="G17">
        <v>2563.8168420445172</v>
      </c>
      <c r="H17">
        <v>6.7487037061455943</v>
      </c>
      <c r="I17">
        <v>2850.6524454758987</v>
      </c>
      <c r="J17">
        <v>8.3834134787014154</v>
      </c>
      <c r="K17">
        <v>3541.1538534034776</v>
      </c>
      <c r="L17">
        <v>6.1612724144783302</v>
      </c>
      <c r="M17">
        <v>2602.5214678756465</v>
      </c>
      <c r="N17">
        <v>5.0038605505393665</v>
      </c>
      <c r="O17">
        <v>2113.6306965478284</v>
      </c>
      <c r="P17">
        <v>9.0184256074487514</v>
      </c>
      <c r="Q17">
        <v>3809.3829765863525</v>
      </c>
      <c r="R17">
        <v>6.9076793916633079</v>
      </c>
      <c r="S17">
        <v>2917.8037750385811</v>
      </c>
      <c r="T17">
        <v>3.9900278435600134</v>
      </c>
      <c r="U17">
        <v>1685.3877611197495</v>
      </c>
      <c r="V17">
        <v>0.80058062514143769</v>
      </c>
      <c r="W17">
        <v>338.16525605974329</v>
      </c>
      <c r="X17">
        <v>7.5420712379727588</v>
      </c>
      <c r="Y17">
        <v>3185.7708909196931</v>
      </c>
      <c r="Z17">
        <v>10</v>
      </c>
      <c r="AA17">
        <v>4224</v>
      </c>
      <c r="AB17">
        <v>8</v>
      </c>
      <c r="AC17">
        <v>3379.2</v>
      </c>
      <c r="AD17">
        <v>7.925543822578649</v>
      </c>
      <c r="AE17">
        <v>3347.7497106572209</v>
      </c>
      <c r="AF17">
        <v>8.0792875898004013</v>
      </c>
      <c r="AG17">
        <v>3412.6910779316895</v>
      </c>
      <c r="AH17">
        <v>4.7868097525938795</v>
      </c>
      <c r="AI17">
        <v>2021.9484394956546</v>
      </c>
      <c r="AJ17">
        <v>3.5271179391599077</v>
      </c>
      <c r="AK17">
        <v>1489.854617501145</v>
      </c>
      <c r="AL17">
        <v>4.4583673029453701</v>
      </c>
      <c r="AM17">
        <v>1883.2143487641242</v>
      </c>
      <c r="AN17">
        <v>10.708823005840189</v>
      </c>
      <c r="AO17">
        <v>4523.4068376668956</v>
      </c>
      <c r="AP17">
        <v>8.7252807502147292</v>
      </c>
      <c r="AQ17">
        <v>3685.5585888907012</v>
      </c>
      <c r="AR17">
        <v>4.6550311409589185</v>
      </c>
      <c r="AS17">
        <v>1966.2851539410472</v>
      </c>
      <c r="AT17">
        <v>3.9010032170130424</v>
      </c>
      <c r="AU17">
        <v>1647.783758866309</v>
      </c>
      <c r="AV17">
        <v>3.5142154688788381</v>
      </c>
      <c r="AW17">
        <v>1484.404614054421</v>
      </c>
      <c r="AX17">
        <v>5.9635255339334705</v>
      </c>
      <c r="AY17">
        <v>2518.993185533498</v>
      </c>
      <c r="AZ17">
        <v>6</v>
      </c>
      <c r="BA17">
        <v>2534.3999999999996</v>
      </c>
      <c r="BB17">
        <v>4.4168564157367172</v>
      </c>
      <c r="BC17">
        <v>1865.6801500071892</v>
      </c>
      <c r="BD17">
        <v>3.0360889512986535</v>
      </c>
      <c r="BE17">
        <v>1282.4439730285512</v>
      </c>
      <c r="BF17">
        <v>8.3197424678805518</v>
      </c>
      <c r="BG17">
        <v>3514.259218432745</v>
      </c>
      <c r="BH17">
        <v>6</v>
      </c>
      <c r="BI17">
        <v>2534.3999999999996</v>
      </c>
      <c r="BJ17">
        <v>2.010584228445496</v>
      </c>
      <c r="BK17">
        <v>849.27077809537741</v>
      </c>
      <c r="BL17">
        <v>11.443067648502796</v>
      </c>
      <c r="BM17">
        <v>4833.5517747275808</v>
      </c>
      <c r="BN17">
        <v>5</v>
      </c>
      <c r="BO17">
        <v>2112</v>
      </c>
      <c r="BP17">
        <v>6</v>
      </c>
      <c r="BQ17">
        <v>2534.3999999999996</v>
      </c>
      <c r="BR17">
        <v>3.572659804669859</v>
      </c>
      <c r="BS17">
        <v>1509.0915014925483</v>
      </c>
      <c r="BT17">
        <v>3.5608613672823464</v>
      </c>
      <c r="BU17">
        <v>1504.107841540063</v>
      </c>
      <c r="BV17">
        <v>10.480753100324085</v>
      </c>
      <c r="BW17">
        <v>4427.0701095768936</v>
      </c>
      <c r="BX17">
        <v>9</v>
      </c>
      <c r="BY17">
        <v>3801.6</v>
      </c>
      <c r="BZ17">
        <v>5.850190021153777</v>
      </c>
      <c r="CA17">
        <v>2471.1202649353554</v>
      </c>
      <c r="CB17">
        <v>2.8796559668260082</v>
      </c>
      <c r="CC17">
        <v>1216.3666803873059</v>
      </c>
      <c r="CD17">
        <v>1.4319048112746695</v>
      </c>
      <c r="CE17">
        <v>604.83659228242038</v>
      </c>
      <c r="CF17">
        <v>10.390443295055194</v>
      </c>
      <c r="CG17">
        <v>4388.9232478313133</v>
      </c>
      <c r="CH17">
        <v>9</v>
      </c>
      <c r="CI17">
        <v>3801.6</v>
      </c>
      <c r="CJ17">
        <v>10</v>
      </c>
      <c r="CK17">
        <v>4224</v>
      </c>
      <c r="CL17">
        <v>5.3924669778593692</v>
      </c>
      <c r="CM17">
        <v>2277.7780514477972</v>
      </c>
      <c r="CN17">
        <v>3.1400456944175517</v>
      </c>
      <c r="CO17">
        <v>1326.3553013219737</v>
      </c>
      <c r="CP17">
        <v>3.450184854212146</v>
      </c>
      <c r="CQ17">
        <v>1457.3580824192104</v>
      </c>
      <c r="CR17">
        <v>9.89263457958236</v>
      </c>
      <c r="CS17">
        <v>4178.6488464155891</v>
      </c>
      <c r="CT17">
        <v>10.745195861692048</v>
      </c>
      <c r="CU17">
        <v>4538.7707319787205</v>
      </c>
    </row>
    <row r="18" spans="2:99">
      <c r="C18" s="99" t="s">
        <v>184</v>
      </c>
      <c r="D18">
        <v>2.0009498578915523</v>
      </c>
      <c r="E18">
        <v>1306.2200672316053</v>
      </c>
      <c r="F18">
        <v>5.3753304441707144</v>
      </c>
      <c r="G18">
        <v>3509.0157139546423</v>
      </c>
      <c r="H18">
        <v>6.7499492367283809</v>
      </c>
      <c r="I18">
        <v>4406.3668617362864</v>
      </c>
      <c r="J18">
        <v>7.5539486822928081</v>
      </c>
      <c r="K18">
        <v>4931.2176998007444</v>
      </c>
      <c r="L18">
        <v>6.8080381939772838</v>
      </c>
      <c r="M18">
        <v>4444.287333028371</v>
      </c>
      <c r="N18">
        <v>5.5891560934423072</v>
      </c>
      <c r="O18">
        <v>3648.6010977991377</v>
      </c>
      <c r="P18">
        <v>9.0184256074487514</v>
      </c>
      <c r="Q18">
        <v>5887.2282365425444</v>
      </c>
      <c r="R18">
        <v>7.8944907333294951</v>
      </c>
      <c r="S18">
        <v>5153.5235507174939</v>
      </c>
      <c r="T18">
        <v>3.9900278435600134</v>
      </c>
      <c r="U18">
        <v>2604.6901762759767</v>
      </c>
      <c r="V18">
        <v>0.80058062514143769</v>
      </c>
      <c r="W18">
        <v>522.61903209233049</v>
      </c>
      <c r="X18">
        <v>6.6898048552139135</v>
      </c>
      <c r="Y18">
        <v>4367.1046094836429</v>
      </c>
      <c r="Z18">
        <v>9</v>
      </c>
      <c r="AA18">
        <v>5875.2</v>
      </c>
      <c r="AB18">
        <v>8</v>
      </c>
      <c r="AC18">
        <v>5222.3999999999996</v>
      </c>
      <c r="AD18">
        <v>7.925543822578649</v>
      </c>
      <c r="AE18">
        <v>5173.7950073793418</v>
      </c>
      <c r="AF18">
        <v>6.4634300718403201</v>
      </c>
      <c r="AG18">
        <v>4219.3271508973603</v>
      </c>
      <c r="AH18">
        <v>4.7868097525938795</v>
      </c>
      <c r="AI18">
        <v>3124.8294064932843</v>
      </c>
      <c r="AJ18">
        <v>3.4776968852559791</v>
      </c>
      <c r="AK18">
        <v>2270.2405266951032</v>
      </c>
      <c r="AL18">
        <v>4.6392935791584842</v>
      </c>
      <c r="AM18">
        <v>3028.5308484746583</v>
      </c>
      <c r="AN18">
        <v>11.367058404672152</v>
      </c>
      <c r="AO18">
        <v>7420.4157265699805</v>
      </c>
      <c r="AP18">
        <v>7.7558051113019806</v>
      </c>
      <c r="AQ18">
        <v>5062.989576657933</v>
      </c>
      <c r="AR18">
        <v>5.389980968097186</v>
      </c>
      <c r="AS18">
        <v>3518.5795759738426</v>
      </c>
      <c r="AT18">
        <v>4.139062276358362</v>
      </c>
      <c r="AU18">
        <v>2701.9798540067386</v>
      </c>
      <c r="AV18">
        <v>3.1414643291289219</v>
      </c>
      <c r="AW18">
        <v>2050.7479140553601</v>
      </c>
      <c r="AX18">
        <v>5.8029379449445591</v>
      </c>
      <c r="AY18">
        <v>3788.1578904598077</v>
      </c>
      <c r="AZ18">
        <v>6</v>
      </c>
      <c r="BA18">
        <v>3916.7999999999997</v>
      </c>
      <c r="BB18">
        <v>3.6807136797805979</v>
      </c>
      <c r="BC18">
        <v>2402.7698901607741</v>
      </c>
      <c r="BD18">
        <v>2.9969998031523755</v>
      </c>
      <c r="BE18">
        <v>1956.4414714978707</v>
      </c>
      <c r="BF18">
        <v>7.1547746593954837</v>
      </c>
      <c r="BG18">
        <v>4670.6368976533713</v>
      </c>
      <c r="BH18">
        <v>7</v>
      </c>
      <c r="BI18">
        <v>4569.5999999999995</v>
      </c>
      <c r="BJ18">
        <v>2.010584228445496</v>
      </c>
      <c r="BK18">
        <v>1312.5093843292198</v>
      </c>
      <c r="BL18">
        <v>11.443067648502796</v>
      </c>
      <c r="BM18">
        <v>7470.034560942624</v>
      </c>
      <c r="BN18">
        <v>6</v>
      </c>
      <c r="BO18">
        <v>3916.7999999999997</v>
      </c>
      <c r="BP18">
        <v>5</v>
      </c>
      <c r="BQ18">
        <v>3264</v>
      </c>
      <c r="BR18">
        <v>3.1756976041509852</v>
      </c>
      <c r="BS18">
        <v>2073.0953959897629</v>
      </c>
      <c r="BT18">
        <v>3.9154567007570584</v>
      </c>
      <c r="BU18">
        <v>2556.0101342542075</v>
      </c>
      <c r="BV18">
        <v>10.480753100324085</v>
      </c>
      <c r="BW18">
        <v>6841.8356238915621</v>
      </c>
      <c r="BX18">
        <v>10</v>
      </c>
      <c r="BY18">
        <v>6528</v>
      </c>
      <c r="BZ18">
        <v>5.850190021153777</v>
      </c>
      <c r="CA18">
        <v>3819.0040458091853</v>
      </c>
      <c r="CB18">
        <v>2.5596941927342294</v>
      </c>
      <c r="CC18">
        <v>1670.9683690169047</v>
      </c>
      <c r="CD18">
        <v>1.4319048112746695</v>
      </c>
      <c r="CE18">
        <v>934.74746080010414</v>
      </c>
      <c r="CF18">
        <v>10.550852387970876</v>
      </c>
      <c r="CG18">
        <v>6887.5964388673874</v>
      </c>
      <c r="CH18">
        <v>7</v>
      </c>
      <c r="CI18">
        <v>4569.5999999999995</v>
      </c>
      <c r="CJ18">
        <v>12</v>
      </c>
      <c r="CK18">
        <v>7833.5999999999995</v>
      </c>
      <c r="CL18">
        <v>5.3924669778593692</v>
      </c>
      <c r="CM18">
        <v>3520.2024431465961</v>
      </c>
      <c r="CN18">
        <v>3.1547957280341121</v>
      </c>
      <c r="CO18">
        <v>2059.4506512606681</v>
      </c>
      <c r="CP18">
        <v>3.8210576524496158</v>
      </c>
      <c r="CQ18">
        <v>2494.386435519109</v>
      </c>
      <c r="CR18">
        <v>9.7205768905294185</v>
      </c>
      <c r="CS18">
        <v>6345.5925941376036</v>
      </c>
      <c r="CT18">
        <v>8.7915238868389487</v>
      </c>
      <c r="CU18">
        <v>5739.1067933284658</v>
      </c>
    </row>
    <row r="19" spans="2:99">
      <c r="C19" s="99" t="s">
        <v>185</v>
      </c>
      <c r="D19">
        <v>1.9874641945039553</v>
      </c>
      <c r="E19">
        <v>655.86318418630526</v>
      </c>
      <c r="F19">
        <v>6.0696421449917555</v>
      </c>
      <c r="G19">
        <v>2002.9819078472792</v>
      </c>
      <c r="H19">
        <v>6.058216177242203</v>
      </c>
      <c r="I19">
        <v>1999.2113384899269</v>
      </c>
      <c r="J19">
        <v>8.365660375778349</v>
      </c>
      <c r="K19">
        <v>2760.6679240068552</v>
      </c>
      <c r="L19">
        <v>6.1612724144783302</v>
      </c>
      <c r="M19">
        <v>2033.219896777849</v>
      </c>
      <c r="N19">
        <v>5.499677732031099</v>
      </c>
      <c r="O19">
        <v>1814.8936515702626</v>
      </c>
      <c r="P19">
        <v>9.1881632086902112</v>
      </c>
      <c r="Q19">
        <v>3032.0938588677695</v>
      </c>
      <c r="R19">
        <v>7.8944907333294951</v>
      </c>
      <c r="S19">
        <v>2605.1819419987332</v>
      </c>
      <c r="T19">
        <v>3.9900278435600134</v>
      </c>
      <c r="U19">
        <v>1316.7091883748044</v>
      </c>
      <c r="V19">
        <v>0.98928347395802063</v>
      </c>
      <c r="W19">
        <v>326.4635464061468</v>
      </c>
      <c r="X19">
        <v>7.5420712379727588</v>
      </c>
      <c r="Y19">
        <v>2488.8835085310102</v>
      </c>
      <c r="Z19">
        <v>10</v>
      </c>
      <c r="AA19">
        <v>3300</v>
      </c>
      <c r="AB19">
        <v>8</v>
      </c>
      <c r="AC19">
        <v>2640</v>
      </c>
      <c r="AD19">
        <v>8.9162368004009807</v>
      </c>
      <c r="AE19">
        <v>2942.3581441323236</v>
      </c>
      <c r="AF19">
        <v>7.2713588308203612</v>
      </c>
      <c r="AG19">
        <v>2399.5484141707193</v>
      </c>
      <c r="AH19">
        <v>4.7868097525938795</v>
      </c>
      <c r="AI19">
        <v>1579.6472183559802</v>
      </c>
      <c r="AJ19">
        <v>3.179067567611495</v>
      </c>
      <c r="AK19">
        <v>1049.0922973117933</v>
      </c>
      <c r="AL19">
        <v>4.5467657307627682</v>
      </c>
      <c r="AM19">
        <v>1500.4326911517135</v>
      </c>
      <c r="AN19">
        <v>10.367058404672152</v>
      </c>
      <c r="AO19">
        <v>3421.1292735418101</v>
      </c>
      <c r="AP19">
        <v>8.7252807502147292</v>
      </c>
      <c r="AQ19">
        <v>2879.3426475708607</v>
      </c>
      <c r="AR19">
        <v>5.4088526741071332</v>
      </c>
      <c r="AS19">
        <v>1784.921382455354</v>
      </c>
      <c r="AT19">
        <v>4.1188801862253834</v>
      </c>
      <c r="AU19">
        <v>1359.2304614543766</v>
      </c>
      <c r="AV19">
        <v>3.4982699477658779</v>
      </c>
      <c r="AW19">
        <v>1154.4290827627397</v>
      </c>
      <c r="AX19">
        <v>6.9635255339334705</v>
      </c>
      <c r="AY19">
        <v>2297.9634261980455</v>
      </c>
      <c r="AZ19">
        <v>7</v>
      </c>
      <c r="BA19">
        <v>2310</v>
      </c>
      <c r="BB19">
        <v>4.4168564157367172</v>
      </c>
      <c r="BC19">
        <v>1457.5626171931167</v>
      </c>
      <c r="BD19">
        <v>3.0360889512986535</v>
      </c>
      <c r="BE19">
        <v>1001.9093539285557</v>
      </c>
      <c r="BF19">
        <v>8.1547746593954837</v>
      </c>
      <c r="BG19">
        <v>2691.0756376005097</v>
      </c>
      <c r="BH19">
        <v>7</v>
      </c>
      <c r="BI19">
        <v>2310</v>
      </c>
      <c r="BJ19">
        <v>2.010584228445496</v>
      </c>
      <c r="BK19">
        <v>663.49279538701364</v>
      </c>
      <c r="BL19">
        <v>10.282726798669152</v>
      </c>
      <c r="BM19">
        <v>3393.2998435608201</v>
      </c>
      <c r="BN19">
        <v>6</v>
      </c>
      <c r="BO19">
        <v>1980</v>
      </c>
      <c r="BP19">
        <v>5</v>
      </c>
      <c r="BQ19">
        <v>1650</v>
      </c>
      <c r="BR19">
        <v>3.1756976041509852</v>
      </c>
      <c r="BS19">
        <v>1047.9802093698252</v>
      </c>
      <c r="BT19">
        <v>4.3254775391332609</v>
      </c>
      <c r="BU19">
        <v>1427.4075879139762</v>
      </c>
      <c r="BV19">
        <v>10.480753100324085</v>
      </c>
      <c r="BW19">
        <v>3458.6485231069482</v>
      </c>
      <c r="BX19">
        <v>9</v>
      </c>
      <c r="BY19">
        <v>2970</v>
      </c>
      <c r="BZ19">
        <v>5.850190021153777</v>
      </c>
      <c r="CA19">
        <v>1930.5627069807465</v>
      </c>
      <c r="CB19">
        <v>2.5596941927342294</v>
      </c>
      <c r="CC19">
        <v>844.69908360229567</v>
      </c>
      <c r="CD19">
        <v>1.5828004898994814</v>
      </c>
      <c r="CE19">
        <v>522.3241616668289</v>
      </c>
      <c r="CF19">
        <v>10.550852387970876</v>
      </c>
      <c r="CG19">
        <v>3481.7812880303891</v>
      </c>
      <c r="CH19">
        <v>9</v>
      </c>
      <c r="CI19">
        <v>2970</v>
      </c>
      <c r="CJ19">
        <v>12</v>
      </c>
      <c r="CK19">
        <v>3960</v>
      </c>
      <c r="CL19">
        <v>5.9916299753992988</v>
      </c>
      <c r="CM19">
        <v>1977.2378918817685</v>
      </c>
      <c r="CN19">
        <v>3.5104263557949063</v>
      </c>
      <c r="CO19">
        <v>1158.440697412319</v>
      </c>
      <c r="CP19">
        <v>3.8210576524496158</v>
      </c>
      <c r="CQ19">
        <v>1260.9490253083732</v>
      </c>
      <c r="CR19">
        <v>9.89263457958236</v>
      </c>
      <c r="CS19">
        <v>3264.5694112621786</v>
      </c>
      <c r="CT19">
        <v>8.7915238868389487</v>
      </c>
      <c r="CU19">
        <v>2901.202882656853</v>
      </c>
    </row>
    <row r="20" spans="2:99">
      <c r="B20" s="99" t="s">
        <v>127</v>
      </c>
      <c r="C20" s="99" t="s">
        <v>186</v>
      </c>
      <c r="D20">
        <v>4.7326613769769477</v>
      </c>
      <c r="E20">
        <v>1357.3272829169887</v>
      </c>
      <c r="F20">
        <v>9.051933582623402</v>
      </c>
      <c r="G20">
        <v>2596.0945514963919</v>
      </c>
      <c r="H20">
        <v>6.5019666385947001</v>
      </c>
      <c r="I20">
        <v>1864.7640319489601</v>
      </c>
      <c r="J20">
        <v>6.7954962975764737</v>
      </c>
      <c r="K20">
        <v>1948.9483381449327</v>
      </c>
      <c r="L20">
        <v>6.3405602984758449</v>
      </c>
      <c r="M20">
        <v>1818.4726936028724</v>
      </c>
      <c r="N20">
        <v>4.0338134107030728</v>
      </c>
      <c r="O20">
        <v>1156.8976861896413</v>
      </c>
      <c r="P20">
        <v>9.3763264173804224</v>
      </c>
      <c r="Q20">
        <v>2689.1304165047054</v>
      </c>
      <c r="R20">
        <v>11.841736099994241</v>
      </c>
      <c r="S20">
        <v>3396.2099134783484</v>
      </c>
      <c r="T20">
        <v>6.3840445496960205</v>
      </c>
      <c r="U20">
        <v>1830.9439768528187</v>
      </c>
      <c r="V20">
        <v>1.4874985514105674</v>
      </c>
      <c r="W20">
        <v>426.61458454455072</v>
      </c>
      <c r="X20">
        <v>11.401962702872884</v>
      </c>
      <c r="Y20">
        <v>3270.0829031839435</v>
      </c>
      <c r="Z20">
        <v>9.4929802076789471</v>
      </c>
      <c r="AA20">
        <v>2722.5867235623223</v>
      </c>
      <c r="AB20">
        <v>8</v>
      </c>
      <c r="AC20">
        <v>2294.4</v>
      </c>
      <c r="AD20">
        <v>6.9348508447563182</v>
      </c>
      <c r="AE20">
        <v>1988.9152222761122</v>
      </c>
      <c r="AF20">
        <v>6.4634300718403201</v>
      </c>
      <c r="AG20">
        <v>1853.7117446038039</v>
      </c>
      <c r="AH20">
        <v>10.499801591877503</v>
      </c>
      <c r="AI20">
        <v>3011.3430965504681</v>
      </c>
      <c r="AJ20">
        <v>3.2468201145541524</v>
      </c>
      <c r="AK20">
        <v>931.188008854131</v>
      </c>
      <c r="AL20">
        <v>6.2357336720485597</v>
      </c>
      <c r="AM20">
        <v>1788.408417143527</v>
      </c>
      <c r="AN20">
        <v>11.87970530642421</v>
      </c>
      <c r="AO20">
        <v>3407.0994818824634</v>
      </c>
      <c r="AP20">
        <v>5.8168538334764861</v>
      </c>
      <c r="AQ20">
        <v>1668.2736794410562</v>
      </c>
      <c r="AR20">
        <v>6.0305722651857137</v>
      </c>
      <c r="AS20">
        <v>1729.5681256552627</v>
      </c>
      <c r="AT20">
        <v>8.2579424625837454</v>
      </c>
      <c r="AU20">
        <v>2368.3778982690183</v>
      </c>
      <c r="AV20">
        <v>3.284974019145555</v>
      </c>
      <c r="AW20">
        <v>942.13054869094526</v>
      </c>
      <c r="AX20">
        <v>11.087638656855853</v>
      </c>
      <c r="AY20">
        <v>3179.9347667862589</v>
      </c>
      <c r="AZ20">
        <v>6</v>
      </c>
      <c r="BA20">
        <v>1720.8000000000002</v>
      </c>
      <c r="BB20">
        <v>8.097570095517316</v>
      </c>
      <c r="BC20">
        <v>2322.3831033943661</v>
      </c>
      <c r="BD20">
        <v>4.3065570283117145</v>
      </c>
      <c r="BE20">
        <v>1235.1205557197998</v>
      </c>
      <c r="BF20">
        <v>13.474517127276036</v>
      </c>
      <c r="BG20">
        <v>3864.491512102767</v>
      </c>
      <c r="BH20">
        <v>6</v>
      </c>
      <c r="BI20">
        <v>1720.8000000000002</v>
      </c>
      <c r="BJ20">
        <v>1.9717008482648781</v>
      </c>
      <c r="BK20">
        <v>565.48380328236703</v>
      </c>
      <c r="BL20">
        <v>12.40511274750466</v>
      </c>
      <c r="BM20">
        <v>3557.7863359843368</v>
      </c>
      <c r="BN20">
        <v>6</v>
      </c>
      <c r="BO20">
        <v>1720.8000000000002</v>
      </c>
      <c r="BP20">
        <v>7</v>
      </c>
      <c r="BQ20">
        <v>2007.6000000000001</v>
      </c>
      <c r="BR20">
        <v>3.572659804669859</v>
      </c>
      <c r="BS20">
        <v>1024.6388319793157</v>
      </c>
      <c r="BT20">
        <v>2.9625217101358992</v>
      </c>
      <c r="BU20">
        <v>849.65122646697591</v>
      </c>
      <c r="BV20">
        <v>10.974337467098779</v>
      </c>
      <c r="BW20">
        <v>3147.4399855639299</v>
      </c>
      <c r="BX20">
        <v>10</v>
      </c>
      <c r="BY20">
        <v>2868</v>
      </c>
      <c r="BZ20">
        <v>7.8002533615383687</v>
      </c>
      <c r="CA20">
        <v>2237.1126640892044</v>
      </c>
      <c r="CB20">
        <v>3.1996177409177871</v>
      </c>
      <c r="CC20">
        <v>917.65036809522132</v>
      </c>
      <c r="CD20">
        <v>0.99679960960293978</v>
      </c>
      <c r="CE20">
        <v>285.88212803412313</v>
      </c>
      <c r="CF20">
        <v>13.693515300491244</v>
      </c>
      <c r="CG20">
        <v>3927.3001881808891</v>
      </c>
      <c r="CH20">
        <v>7</v>
      </c>
      <c r="CI20">
        <v>2007.6000000000001</v>
      </c>
      <c r="CJ20">
        <v>6</v>
      </c>
      <c r="CK20">
        <v>1720.8000000000002</v>
      </c>
      <c r="CL20">
        <v>6.5907929729392283</v>
      </c>
      <c r="CM20">
        <v>1890.2394246389708</v>
      </c>
      <c r="CN20">
        <v>4.2659377121661741</v>
      </c>
      <c r="CO20">
        <v>1223.4709358492587</v>
      </c>
      <c r="CP20">
        <v>3.2482005210497862</v>
      </c>
      <c r="CQ20">
        <v>931.58390943707866</v>
      </c>
      <c r="CR20">
        <v>12.376461512423536</v>
      </c>
      <c r="CS20">
        <v>3549.56916176307</v>
      </c>
      <c r="CT20">
        <v>5.8610159245592994</v>
      </c>
      <c r="CU20">
        <v>1680.9393671636071</v>
      </c>
    </row>
    <row r="21" spans="2:99">
      <c r="C21" s="99" t="s">
        <v>187</v>
      </c>
      <c r="D21">
        <v>5.2059275146746442</v>
      </c>
      <c r="E21">
        <v>324.84987691569779</v>
      </c>
      <c r="F21">
        <v>8.9489038749387149</v>
      </c>
      <c r="G21">
        <v>558.41160179617577</v>
      </c>
      <c r="H21">
        <v>6.577585756263832</v>
      </c>
      <c r="I21">
        <v>410.44135119086309</v>
      </c>
      <c r="J21">
        <v>6.7777431946534055</v>
      </c>
      <c r="K21">
        <v>422.93117534637247</v>
      </c>
      <c r="L21">
        <v>6.3937912555493224</v>
      </c>
      <c r="M21">
        <v>398.97257434627772</v>
      </c>
      <c r="N21">
        <v>4.5611044921298536</v>
      </c>
      <c r="O21">
        <v>284.61292030890286</v>
      </c>
      <c r="P21">
        <v>10.036851214897505</v>
      </c>
      <c r="Q21">
        <v>626.29951580960426</v>
      </c>
      <c r="R21">
        <v>10.854924758328055</v>
      </c>
      <c r="S21">
        <v>677.34730491967059</v>
      </c>
      <c r="T21">
        <v>5.5860389809840179</v>
      </c>
      <c r="U21">
        <v>348.56883241340273</v>
      </c>
      <c r="V21">
        <v>1.4410451252545879</v>
      </c>
      <c r="W21">
        <v>89.921215815886285</v>
      </c>
      <c r="X21">
        <v>10.549696320114039</v>
      </c>
      <c r="Y21">
        <v>658.30105037511601</v>
      </c>
      <c r="Z21">
        <v>9.5309017621157892</v>
      </c>
      <c r="AA21">
        <v>594.7282699560252</v>
      </c>
      <c r="AB21">
        <v>7</v>
      </c>
      <c r="AC21">
        <v>436.8</v>
      </c>
      <c r="AD21">
        <v>6.9348508447563182</v>
      </c>
      <c r="AE21">
        <v>432.73469271279424</v>
      </c>
      <c r="AF21">
        <v>6.4634300718403201</v>
      </c>
      <c r="AG21">
        <v>403.31803648283596</v>
      </c>
      <c r="AH21">
        <v>10.499801591877503</v>
      </c>
      <c r="AI21">
        <v>655.18761933315614</v>
      </c>
      <c r="AJ21">
        <v>3.2036076307819741</v>
      </c>
      <c r="AK21">
        <v>199.90511616079519</v>
      </c>
      <c r="AL21">
        <v>6.3282615204442747</v>
      </c>
      <c r="AM21">
        <v>394.88351887572276</v>
      </c>
      <c r="AN21">
        <v>10.708823005840189</v>
      </c>
      <c r="AO21">
        <v>668.23055556442785</v>
      </c>
      <c r="AP21">
        <v>5.8168538334764861</v>
      </c>
      <c r="AQ21">
        <v>362.9716792089327</v>
      </c>
      <c r="AR21">
        <v>6.0305722651857137</v>
      </c>
      <c r="AS21">
        <v>376.30770934758851</v>
      </c>
      <c r="AT21">
        <v>8.2579424625837454</v>
      </c>
      <c r="AU21">
        <v>515.2956096652257</v>
      </c>
      <c r="AV21">
        <v>3.6417796377825118</v>
      </c>
      <c r="AW21">
        <v>227.24704939762873</v>
      </c>
      <c r="AX21">
        <v>11.248226245844766</v>
      </c>
      <c r="AY21">
        <v>701.88931774071341</v>
      </c>
      <c r="AZ21">
        <v>6</v>
      </c>
      <c r="BA21">
        <v>374.4</v>
      </c>
      <c r="BB21">
        <v>8.8337128314734343</v>
      </c>
      <c r="BC21">
        <v>551.22368068394223</v>
      </c>
      <c r="BD21">
        <v>4.70398695521855</v>
      </c>
      <c r="BE21">
        <v>293.52878600563753</v>
      </c>
      <c r="BF21">
        <v>14.474517127276036</v>
      </c>
      <c r="BG21">
        <v>903.20986874202458</v>
      </c>
      <c r="BH21">
        <v>7</v>
      </c>
      <c r="BI21">
        <v>436.8</v>
      </c>
      <c r="BJ21">
        <v>2.0772414516122697</v>
      </c>
      <c r="BK21">
        <v>129.61986658060562</v>
      </c>
      <c r="BL21">
        <v>12.244771897671015</v>
      </c>
      <c r="BM21">
        <v>764.07376641467135</v>
      </c>
      <c r="BN21">
        <v>6</v>
      </c>
      <c r="BO21">
        <v>374.4</v>
      </c>
      <c r="BP21">
        <v>7</v>
      </c>
      <c r="BQ21">
        <v>436.8</v>
      </c>
      <c r="BR21">
        <v>3.1756976041509852</v>
      </c>
      <c r="BS21">
        <v>198.16353049902148</v>
      </c>
      <c r="BT21">
        <v>2.9994720467368925</v>
      </c>
      <c r="BU21">
        <v>187.16705571638209</v>
      </c>
      <c r="BV21">
        <v>10.13886558935701</v>
      </c>
      <c r="BW21">
        <v>632.66521277587742</v>
      </c>
      <c r="BX21">
        <v>9</v>
      </c>
      <c r="BY21">
        <v>561.6</v>
      </c>
      <c r="BZ21">
        <v>8.7752850317306645</v>
      </c>
      <c r="CA21">
        <v>547.57778597999345</v>
      </c>
      <c r="CB21">
        <v>3.5195795150095659</v>
      </c>
      <c r="CC21">
        <v>219.62176173659691</v>
      </c>
      <c r="CD21">
        <v>1.0073487101245631</v>
      </c>
      <c r="CE21">
        <v>62.858559511772732</v>
      </c>
      <c r="CF21">
        <v>13.693515300491244</v>
      </c>
      <c r="CG21">
        <v>854.47535475065365</v>
      </c>
      <c r="CH21">
        <v>6</v>
      </c>
      <c r="CI21">
        <v>374.4</v>
      </c>
      <c r="CJ21">
        <v>6</v>
      </c>
      <c r="CK21">
        <v>374.4</v>
      </c>
      <c r="CL21">
        <v>7.7891189680190891</v>
      </c>
      <c r="CM21">
        <v>486.04102360439117</v>
      </c>
      <c r="CN21">
        <v>3.5104263557949063</v>
      </c>
      <c r="CO21">
        <v>219.05060460160215</v>
      </c>
      <c r="CP21">
        <v>3.3162951839736299</v>
      </c>
      <c r="CQ21">
        <v>206.93681947995449</v>
      </c>
      <c r="CR21">
        <v>12.548519201476477</v>
      </c>
      <c r="CS21">
        <v>783.02759817213212</v>
      </c>
      <c r="CT21">
        <v>6.8378519119858492</v>
      </c>
      <c r="CU21">
        <v>426.681959307917</v>
      </c>
    </row>
    <row r="22" spans="2:99">
      <c r="C22" s="99" t="s">
        <v>188</v>
      </c>
      <c r="D22">
        <v>4.9754033179536865</v>
      </c>
      <c r="E22">
        <v>931.39550112093002</v>
      </c>
      <c r="F22">
        <v>8.3601592485290563</v>
      </c>
      <c r="G22">
        <v>1565.0218113246392</v>
      </c>
      <c r="H22">
        <v>7.8879238187326299</v>
      </c>
      <c r="I22">
        <v>1476.6193388667482</v>
      </c>
      <c r="J22">
        <v>7.6072079910620127</v>
      </c>
      <c r="K22">
        <v>1424.0693359268087</v>
      </c>
      <c r="L22">
        <v>7.0419566788180683</v>
      </c>
      <c r="M22">
        <v>1318.2542902747423</v>
      </c>
      <c r="N22">
        <v>4.0048111799649933</v>
      </c>
      <c r="O22">
        <v>749.7006528894467</v>
      </c>
      <c r="P22">
        <v>10.376326417380422</v>
      </c>
      <c r="Q22">
        <v>1942.4483053336151</v>
      </c>
      <c r="R22">
        <v>10.854924758328055</v>
      </c>
      <c r="S22">
        <v>2032.0419147590119</v>
      </c>
      <c r="T22">
        <v>6.3840445496960205</v>
      </c>
      <c r="U22">
        <v>1195.0931397030949</v>
      </c>
      <c r="V22">
        <v>1.4874985514105674</v>
      </c>
      <c r="W22">
        <v>278.45972882405823</v>
      </c>
      <c r="X22">
        <v>10.694484355294438</v>
      </c>
      <c r="Y22">
        <v>2002.0074713111187</v>
      </c>
      <c r="Z22">
        <v>9.5309017621157892</v>
      </c>
      <c r="AA22">
        <v>1784.1848098680757</v>
      </c>
      <c r="AB22">
        <v>7</v>
      </c>
      <c r="AC22">
        <v>1310.3999999999999</v>
      </c>
      <c r="AD22">
        <v>7.925543822578649</v>
      </c>
      <c r="AE22">
        <v>1483.661803586723</v>
      </c>
      <c r="AF22">
        <v>7.2713588308203612</v>
      </c>
      <c r="AG22">
        <v>1361.1983731295716</v>
      </c>
      <c r="AH22">
        <v>11.17446152358681</v>
      </c>
      <c r="AI22">
        <v>2091.8591972154509</v>
      </c>
      <c r="AJ22">
        <v>3.5920604183932134</v>
      </c>
      <c r="AK22">
        <v>672.43371032320954</v>
      </c>
      <c r="AL22">
        <v>5.2694740192886478</v>
      </c>
      <c r="AM22">
        <v>986.44553641083485</v>
      </c>
      <c r="AN22">
        <v>11.708823005840189</v>
      </c>
      <c r="AO22">
        <v>2191.8916666932832</v>
      </c>
      <c r="AP22">
        <v>5.8168538334764861</v>
      </c>
      <c r="AQ22">
        <v>1088.915037626798</v>
      </c>
      <c r="AR22">
        <v>6.0305722651857137</v>
      </c>
      <c r="AS22">
        <v>1128.9231280427655</v>
      </c>
      <c r="AT22">
        <v>6.9253465807745744</v>
      </c>
      <c r="AU22">
        <v>1296.4248799210002</v>
      </c>
      <c r="AV22">
        <v>3.3168650613714732</v>
      </c>
      <c r="AW22">
        <v>620.91713948873974</v>
      </c>
      <c r="AX22">
        <v>11.248226245844766</v>
      </c>
      <c r="AY22">
        <v>2105.6679532221401</v>
      </c>
      <c r="AZ22">
        <v>6</v>
      </c>
      <c r="BA22">
        <v>1123.1999999999998</v>
      </c>
      <c r="BB22">
        <v>8.8337128314734343</v>
      </c>
      <c r="BC22">
        <v>1653.6710420518268</v>
      </c>
      <c r="BD22">
        <v>4.3261016023848535</v>
      </c>
      <c r="BE22">
        <v>809.84621996644455</v>
      </c>
      <c r="BF22">
        <v>14.309549318790967</v>
      </c>
      <c r="BG22">
        <v>2678.747632477669</v>
      </c>
      <c r="BH22">
        <v>6</v>
      </c>
      <c r="BI22">
        <v>1123.1999999999998</v>
      </c>
      <c r="BJ22">
        <v>1.7745307634383902</v>
      </c>
      <c r="BK22">
        <v>332.19215891566665</v>
      </c>
      <c r="BL22">
        <v>13.40511274750466</v>
      </c>
      <c r="BM22">
        <v>2509.4371063328722</v>
      </c>
      <c r="BN22">
        <v>6</v>
      </c>
      <c r="BO22">
        <v>1123.1999999999998</v>
      </c>
      <c r="BP22">
        <v>7</v>
      </c>
      <c r="BQ22">
        <v>1310.3999999999999</v>
      </c>
      <c r="BR22">
        <v>3.572659804669859</v>
      </c>
      <c r="BS22">
        <v>668.80191543419755</v>
      </c>
      <c r="BT22">
        <v>2.9809968784363958</v>
      </c>
      <c r="BU22">
        <v>558.04261564329329</v>
      </c>
      <c r="BV22">
        <v>10.974337467098779</v>
      </c>
      <c r="BW22">
        <v>2054.3959738408912</v>
      </c>
      <c r="BX22">
        <v>9</v>
      </c>
      <c r="BY22">
        <v>1684.8</v>
      </c>
      <c r="BZ22">
        <v>7.8002533615383687</v>
      </c>
      <c r="CA22">
        <v>1460.2074292799825</v>
      </c>
      <c r="CB22">
        <v>3.5195795150095659</v>
      </c>
      <c r="CC22">
        <v>658.86528520979073</v>
      </c>
      <c r="CD22">
        <v>1.1617607555899159</v>
      </c>
      <c r="CE22">
        <v>217.48161344643225</v>
      </c>
      <c r="CF22">
        <v>12.69943069395635</v>
      </c>
      <c r="CG22">
        <v>2377.3334259086287</v>
      </c>
      <c r="CH22">
        <v>7</v>
      </c>
      <c r="CI22">
        <v>1310.3999999999999</v>
      </c>
      <c r="CJ22">
        <v>7</v>
      </c>
      <c r="CK22">
        <v>1310.3999999999999</v>
      </c>
      <c r="CL22">
        <v>6.5907929729392283</v>
      </c>
      <c r="CM22">
        <v>1233.7964445342234</v>
      </c>
      <c r="CN22">
        <v>3.5251763894114663</v>
      </c>
      <c r="CO22">
        <v>659.91302009782646</v>
      </c>
      <c r="CP22">
        <v>3.6158034053645141</v>
      </c>
      <c r="CQ22">
        <v>676.87839748423698</v>
      </c>
      <c r="CR22">
        <v>12.376461512423536</v>
      </c>
      <c r="CS22">
        <v>2316.8735951256858</v>
      </c>
      <c r="CT22">
        <v>5.8610159245592994</v>
      </c>
      <c r="CU22">
        <v>1097.1821810775009</v>
      </c>
    </row>
    <row r="23" spans="2:99">
      <c r="C23" s="99" t="s">
        <v>189</v>
      </c>
      <c r="D23">
        <v>4.2593952392792538</v>
      </c>
      <c r="E23">
        <v>1252.2622003481006</v>
      </c>
      <c r="F23">
        <v>8.9489038749387149</v>
      </c>
      <c r="G23">
        <v>2630.977739231982</v>
      </c>
      <c r="H23">
        <v>7.8135502316462855</v>
      </c>
      <c r="I23">
        <v>2297.1837681040079</v>
      </c>
      <c r="J23">
        <v>7.6072079910620127</v>
      </c>
      <c r="K23">
        <v>2236.5191493722318</v>
      </c>
      <c r="L23">
        <v>6.3391606547060517</v>
      </c>
      <c r="M23">
        <v>1863.7132324835793</v>
      </c>
      <c r="N23">
        <v>4.0338134107030728</v>
      </c>
      <c r="O23">
        <v>1185.9411427467035</v>
      </c>
      <c r="P23">
        <v>9.0368512148975046</v>
      </c>
      <c r="Q23">
        <v>2656.8342571798662</v>
      </c>
      <c r="R23">
        <v>9.8681134166618669</v>
      </c>
      <c r="S23">
        <v>2901.225344498589</v>
      </c>
      <c r="T23">
        <v>5.5860389809840179</v>
      </c>
      <c r="U23">
        <v>1642.2954604093013</v>
      </c>
      <c r="V23">
        <v>1.4874985514105674</v>
      </c>
      <c r="W23">
        <v>437.32457411470682</v>
      </c>
      <c r="X23">
        <v>10.694484355294438</v>
      </c>
      <c r="Y23">
        <v>3144.1784004565648</v>
      </c>
      <c r="Z23">
        <v>9.4929802076789471</v>
      </c>
      <c r="AA23">
        <v>2790.9361810576106</v>
      </c>
      <c r="AB23">
        <v>7</v>
      </c>
      <c r="AC23">
        <v>2058</v>
      </c>
      <c r="AD23">
        <v>7.925543822578649</v>
      </c>
      <c r="AE23">
        <v>2330.1098838381226</v>
      </c>
      <c r="AF23">
        <v>6.4634300718403201</v>
      </c>
      <c r="AG23">
        <v>1900.2484411210542</v>
      </c>
      <c r="AH23">
        <v>11.42074491103282</v>
      </c>
      <c r="AI23">
        <v>3357.6990038436488</v>
      </c>
      <c r="AJ23">
        <v>3.5441915070222225</v>
      </c>
      <c r="AK23">
        <v>1041.9923030645334</v>
      </c>
      <c r="AL23">
        <v>5.2777328604452824</v>
      </c>
      <c r="AM23">
        <v>1551.6534609709131</v>
      </c>
      <c r="AN23">
        <v>11.87970530642421</v>
      </c>
      <c r="AO23">
        <v>3492.6333600887178</v>
      </c>
      <c r="AP23">
        <v>5.8168538334764861</v>
      </c>
      <c r="AQ23">
        <v>1710.1550270420869</v>
      </c>
      <c r="AR23">
        <v>6.7843937983339284</v>
      </c>
      <c r="AS23">
        <v>1994.611776710175</v>
      </c>
      <c r="AT23">
        <v>8.2377603724507669</v>
      </c>
      <c r="AU23">
        <v>2421.9015495005256</v>
      </c>
      <c r="AV23">
        <v>3.3009195402585139</v>
      </c>
      <c r="AW23">
        <v>970.47034483600305</v>
      </c>
      <c r="AX23">
        <v>12.087638656855853</v>
      </c>
      <c r="AY23">
        <v>3553.765765115621</v>
      </c>
      <c r="AZ23">
        <v>6</v>
      </c>
      <c r="BA23">
        <v>1764</v>
      </c>
      <c r="BB23">
        <v>8.8337128314734343</v>
      </c>
      <c r="BC23">
        <v>2597.1115724531896</v>
      </c>
      <c r="BD23">
        <v>3.8700379532586022</v>
      </c>
      <c r="BE23">
        <v>1137.7911582580291</v>
      </c>
      <c r="BF23">
        <v>13.474517127276036</v>
      </c>
      <c r="BG23">
        <v>3961.5080354191546</v>
      </c>
      <c r="BH23">
        <v>6</v>
      </c>
      <c r="BI23">
        <v>1764</v>
      </c>
      <c r="BJ23">
        <v>1.9717008482648781</v>
      </c>
      <c r="BK23">
        <v>579.68004938987417</v>
      </c>
      <c r="BL23">
        <v>11.244771897671015</v>
      </c>
      <c r="BM23">
        <v>3305.9629379152784</v>
      </c>
      <c r="BN23">
        <v>6</v>
      </c>
      <c r="BO23">
        <v>1764</v>
      </c>
      <c r="BP23">
        <v>6</v>
      </c>
      <c r="BQ23">
        <v>1764</v>
      </c>
      <c r="BR23">
        <v>3.572659804669859</v>
      </c>
      <c r="BS23">
        <v>1050.3619825729386</v>
      </c>
      <c r="BT23">
        <v>2.9809968784363958</v>
      </c>
      <c r="BU23">
        <v>876.41308226030037</v>
      </c>
      <c r="BV23">
        <v>11.13886558935701</v>
      </c>
      <c r="BW23">
        <v>3274.826483270961</v>
      </c>
      <c r="BX23">
        <v>10</v>
      </c>
      <c r="BY23">
        <v>2940</v>
      </c>
      <c r="BZ23">
        <v>7.8002533615383687</v>
      </c>
      <c r="CA23">
        <v>2293.2744882922802</v>
      </c>
      <c r="CB23">
        <v>4.1595030631931236</v>
      </c>
      <c r="CC23">
        <v>1222.8939005787784</v>
      </c>
      <c r="CD23">
        <v>1.0073487101245631</v>
      </c>
      <c r="CE23">
        <v>296.16052077662152</v>
      </c>
      <c r="CF23">
        <v>12.539021601040666</v>
      </c>
      <c r="CG23">
        <v>3686.4723507059557</v>
      </c>
      <c r="CH23">
        <v>6</v>
      </c>
      <c r="CI23">
        <v>1764</v>
      </c>
      <c r="CJ23">
        <v>6</v>
      </c>
      <c r="CK23">
        <v>1764</v>
      </c>
      <c r="CL23">
        <v>7.1899559704791587</v>
      </c>
      <c r="CM23">
        <v>2113.8470553208726</v>
      </c>
      <c r="CN23">
        <v>3.8808070171722604</v>
      </c>
      <c r="CO23">
        <v>1140.9572630486446</v>
      </c>
      <c r="CP23">
        <v>3.2449306071270443</v>
      </c>
      <c r="CQ23">
        <v>954.00959849535104</v>
      </c>
      <c r="CR23">
        <v>13.548519201476477</v>
      </c>
      <c r="CS23">
        <v>3983.2646452340841</v>
      </c>
      <c r="CT23">
        <v>5.8610159245592994</v>
      </c>
      <c r="CU23">
        <v>1723.1386818204339</v>
      </c>
    </row>
    <row r="24" spans="2:99">
      <c r="C24" s="99" t="s">
        <v>190</v>
      </c>
      <c r="D24">
        <v>5.4486694556513813</v>
      </c>
      <c r="E24">
        <v>2000.7514241151871</v>
      </c>
      <c r="F24">
        <v>8.3601592485290563</v>
      </c>
      <c r="G24">
        <v>3069.8504760598694</v>
      </c>
      <c r="H24">
        <v>6.577585756263832</v>
      </c>
      <c r="I24">
        <v>2415.2894897000792</v>
      </c>
      <c r="J24">
        <v>6.7777431946534055</v>
      </c>
      <c r="K24">
        <v>2488.7873010767303</v>
      </c>
      <c r="L24">
        <v>5.6923948752070972</v>
      </c>
      <c r="M24">
        <v>2090.2473981760459</v>
      </c>
      <c r="N24">
        <v>3.9758089492269133</v>
      </c>
      <c r="O24">
        <v>1459.9170461561225</v>
      </c>
      <c r="P24">
        <v>8.0368512148975046</v>
      </c>
      <c r="Q24">
        <v>2951.1317661103635</v>
      </c>
      <c r="R24">
        <v>11.841736099994241</v>
      </c>
      <c r="S24">
        <v>4348.2854959178849</v>
      </c>
      <c r="T24">
        <v>6.3840445496960205</v>
      </c>
      <c r="U24">
        <v>2344.2211586483786</v>
      </c>
      <c r="V24">
        <v>1.4839252109370307</v>
      </c>
      <c r="W24">
        <v>544.89733745607759</v>
      </c>
      <c r="X24">
        <v>10.694484355294438</v>
      </c>
      <c r="Y24">
        <v>3927.0146552641177</v>
      </c>
      <c r="Z24">
        <v>8.455058653242105</v>
      </c>
      <c r="AA24">
        <v>3104.6975374705007</v>
      </c>
      <c r="AB24">
        <v>6</v>
      </c>
      <c r="AC24">
        <v>2203.1999999999998</v>
      </c>
      <c r="AD24">
        <v>7.925543822578649</v>
      </c>
      <c r="AE24">
        <v>2910.2596916508796</v>
      </c>
      <c r="AF24">
        <v>6.2451114490032493</v>
      </c>
      <c r="AG24">
        <v>2293.204924073993</v>
      </c>
      <c r="AH24">
        <v>11.543886604755825</v>
      </c>
      <c r="AI24">
        <v>4238.9151612663391</v>
      </c>
      <c r="AJ24">
        <v>3.2036076307819741</v>
      </c>
      <c r="AK24">
        <v>1176.3647220231408</v>
      </c>
      <c r="AL24">
        <v>5.7947383492881439</v>
      </c>
      <c r="AM24">
        <v>2127.8279218586063</v>
      </c>
      <c r="AN24">
        <v>10.537940705256171</v>
      </c>
      <c r="AO24">
        <v>3869.5318269700656</v>
      </c>
      <c r="AP24">
        <v>5.8168538334764861</v>
      </c>
      <c r="AQ24">
        <v>2135.9487276525656</v>
      </c>
      <c r="AR24">
        <v>6.0305722651857137</v>
      </c>
      <c r="AS24">
        <v>2214.4261357761939</v>
      </c>
      <c r="AT24">
        <v>7.5916445216791608</v>
      </c>
      <c r="AU24">
        <v>2787.6518683605877</v>
      </c>
      <c r="AV24">
        <v>3.284974019145555</v>
      </c>
      <c r="AW24">
        <v>1206.2424598302478</v>
      </c>
      <c r="AX24">
        <v>10.927051067866941</v>
      </c>
      <c r="AY24">
        <v>4012.4131521207405</v>
      </c>
      <c r="AZ24">
        <v>5</v>
      </c>
      <c r="BA24">
        <v>1836</v>
      </c>
      <c r="BB24">
        <v>8.8337128314734343</v>
      </c>
      <c r="BC24">
        <v>3243.7393517170449</v>
      </c>
      <c r="BD24">
        <v>4.2870124542385764</v>
      </c>
      <c r="BE24">
        <v>1574.1909731964051</v>
      </c>
      <c r="BF24">
        <v>13.144581510305898</v>
      </c>
      <c r="BG24">
        <v>4826.6903305843252</v>
      </c>
      <c r="BH24">
        <v>7</v>
      </c>
      <c r="BI24">
        <v>2570.4</v>
      </c>
      <c r="BJ24">
        <v>1.7745307634383902</v>
      </c>
      <c r="BK24">
        <v>651.60769633457687</v>
      </c>
      <c r="BL24">
        <v>13.40511274750466</v>
      </c>
      <c r="BM24">
        <v>4922.3574008837113</v>
      </c>
      <c r="BN24">
        <v>6</v>
      </c>
      <c r="BO24">
        <v>2203.1999999999998</v>
      </c>
      <c r="BP24">
        <v>7</v>
      </c>
      <c r="BQ24">
        <v>2570.4</v>
      </c>
      <c r="BR24">
        <v>3.572659804669859</v>
      </c>
      <c r="BS24">
        <v>1311.8806802747722</v>
      </c>
      <c r="BT24">
        <v>2.9625217101358992</v>
      </c>
      <c r="BU24">
        <v>1087.8379719619022</v>
      </c>
      <c r="BV24">
        <v>9.8098093448405486</v>
      </c>
      <c r="BW24">
        <v>3602.1619914254493</v>
      </c>
      <c r="BX24">
        <v>10</v>
      </c>
      <c r="BY24">
        <v>3672</v>
      </c>
      <c r="BZ24">
        <v>7.8002533615383687</v>
      </c>
      <c r="CA24">
        <v>2864.2530343568887</v>
      </c>
      <c r="CB24">
        <v>3.8395412891013447</v>
      </c>
      <c r="CC24">
        <v>1409.8795613580137</v>
      </c>
      <c r="CD24">
        <v>1.0073487101245631</v>
      </c>
      <c r="CE24">
        <v>369.89844635773954</v>
      </c>
      <c r="CF24">
        <v>11.705346087421452</v>
      </c>
      <c r="CG24">
        <v>4298.2030833011568</v>
      </c>
      <c r="CH24">
        <v>6</v>
      </c>
      <c r="CI24">
        <v>2203.1999999999998</v>
      </c>
      <c r="CJ24">
        <v>6</v>
      </c>
      <c r="CK24">
        <v>2203.1999999999998</v>
      </c>
      <c r="CL24">
        <v>6.5907929729392283</v>
      </c>
      <c r="CM24">
        <v>2420.1391796632847</v>
      </c>
      <c r="CN24">
        <v>3.8808070171722604</v>
      </c>
      <c r="CO24">
        <v>1425.032336705654</v>
      </c>
      <c r="CP24">
        <v>3.3162951839736299</v>
      </c>
      <c r="CQ24">
        <v>1217.7435915551168</v>
      </c>
      <c r="CR24">
        <v>12.548519201476477</v>
      </c>
      <c r="CS24">
        <v>4607.8162507821626</v>
      </c>
      <c r="CT24">
        <v>5.8610159245592994</v>
      </c>
      <c r="CU24">
        <v>2152.1650474981748</v>
      </c>
    </row>
    <row r="25" spans="2:99">
      <c r="C25" s="99" t="s">
        <v>191</v>
      </c>
      <c r="D25">
        <v>4.7326613769769477</v>
      </c>
      <c r="E25">
        <v>2510.203594348573</v>
      </c>
      <c r="F25">
        <v>8.3601592485290563</v>
      </c>
      <c r="G25">
        <v>4434.2284654198111</v>
      </c>
      <c r="H25">
        <v>7.1949452286636655</v>
      </c>
      <c r="I25">
        <v>3816.1989492832081</v>
      </c>
      <c r="J25">
        <v>7.6072079910620127</v>
      </c>
      <c r="K25">
        <v>4034.8631184592914</v>
      </c>
      <c r="L25">
        <v>6.3363613671664707</v>
      </c>
      <c r="M25">
        <v>3360.806069145096</v>
      </c>
      <c r="N25">
        <v>4.590106722867934</v>
      </c>
      <c r="O25">
        <v>2434.5926058091522</v>
      </c>
      <c r="P25">
        <v>9.3763264173804224</v>
      </c>
      <c r="Q25">
        <v>4973.2035317785758</v>
      </c>
      <c r="R25">
        <v>10.854924758328055</v>
      </c>
      <c r="S25">
        <v>5757.4520918172002</v>
      </c>
      <c r="T25">
        <v>5.5860389809840179</v>
      </c>
      <c r="U25">
        <v>2962.8350755139231</v>
      </c>
      <c r="V25">
        <v>1.4410451252545879</v>
      </c>
      <c r="W25">
        <v>764.33033443503336</v>
      </c>
      <c r="X25">
        <v>10.694484355294438</v>
      </c>
      <c r="Y25">
        <v>5672.3545020481697</v>
      </c>
      <c r="Z25">
        <v>9.455058653242105</v>
      </c>
      <c r="AA25">
        <v>5014.963109679612</v>
      </c>
      <c r="AB25">
        <v>8</v>
      </c>
      <c r="AC25">
        <v>4243.2</v>
      </c>
      <c r="AD25">
        <v>6.9348508447563182</v>
      </c>
      <c r="AE25">
        <v>3678.2448880587508</v>
      </c>
      <c r="AF25">
        <v>7.1513085640071177</v>
      </c>
      <c r="AG25">
        <v>3793.0540623493753</v>
      </c>
      <c r="AH25">
        <v>10.499801591877503</v>
      </c>
      <c r="AI25">
        <v>5569.0947643318277</v>
      </c>
      <c r="AJ25">
        <v>3.2452679720212148</v>
      </c>
      <c r="AK25">
        <v>1721.2901323600522</v>
      </c>
      <c r="AL25">
        <v>5.6138120730750289</v>
      </c>
      <c r="AM25">
        <v>2977.5659235589951</v>
      </c>
      <c r="AN25">
        <v>10.537940705256171</v>
      </c>
      <c r="AO25">
        <v>5589.3237500678724</v>
      </c>
      <c r="AP25">
        <v>5.8168538334764861</v>
      </c>
      <c r="AQ25">
        <v>3085.2592732759281</v>
      </c>
      <c r="AR25">
        <v>6.0305722651857137</v>
      </c>
      <c r="AS25">
        <v>3198.6155294545024</v>
      </c>
      <c r="AT25">
        <v>8.278124552716724</v>
      </c>
      <c r="AU25">
        <v>4390.7172627609498</v>
      </c>
      <c r="AV25">
        <v>3.2530829769196368</v>
      </c>
      <c r="AW25">
        <v>1725.4352109581753</v>
      </c>
      <c r="AX25">
        <v>10.087638656855853</v>
      </c>
      <c r="AY25">
        <v>5350.4835435963441</v>
      </c>
      <c r="AZ25">
        <v>5</v>
      </c>
      <c r="BA25">
        <v>2652</v>
      </c>
      <c r="BB25">
        <v>8.097570095517316</v>
      </c>
      <c r="BC25">
        <v>4294.9511786623843</v>
      </c>
      <c r="BD25">
        <v>4.2870124542385764</v>
      </c>
      <c r="BE25">
        <v>2273.8314057281409</v>
      </c>
      <c r="BF25">
        <v>13.979613701820828</v>
      </c>
      <c r="BG25">
        <v>7414.7871074457671</v>
      </c>
      <c r="BH25">
        <v>7</v>
      </c>
      <c r="BI25">
        <v>3712.7999999999997</v>
      </c>
      <c r="BJ25">
        <v>1.7745307634383902</v>
      </c>
      <c r="BK25">
        <v>941.21111692772217</v>
      </c>
      <c r="BL25">
        <v>12.565453597338303</v>
      </c>
      <c r="BM25">
        <v>6664.7165880282355</v>
      </c>
      <c r="BN25">
        <v>6</v>
      </c>
      <c r="BO25">
        <v>3182.3999999999996</v>
      </c>
      <c r="BP25">
        <v>7</v>
      </c>
      <c r="BQ25">
        <v>3712.7999999999997</v>
      </c>
      <c r="BR25">
        <v>3.1756976041509852</v>
      </c>
      <c r="BS25">
        <v>1684.3900092416825</v>
      </c>
      <c r="BT25">
        <v>2.9440465418354029</v>
      </c>
      <c r="BU25">
        <v>1561.5222857894976</v>
      </c>
      <c r="BV25">
        <v>8.8098093448405486</v>
      </c>
      <c r="BW25">
        <v>4672.722876503427</v>
      </c>
      <c r="BX25">
        <v>8</v>
      </c>
      <c r="BY25">
        <v>4243.2</v>
      </c>
      <c r="BZ25">
        <v>7.8002533615383687</v>
      </c>
      <c r="CA25">
        <v>4137.2543829599508</v>
      </c>
      <c r="CB25">
        <v>3.8395412891013447</v>
      </c>
      <c r="CC25">
        <v>2036.4926997393532</v>
      </c>
      <c r="CD25">
        <v>1.0003159764434808</v>
      </c>
      <c r="CE25">
        <v>530.56759390562218</v>
      </c>
      <c r="CF25">
        <v>11.544936994505772</v>
      </c>
      <c r="CG25">
        <v>6123.434581885861</v>
      </c>
      <c r="CH25">
        <v>6</v>
      </c>
      <c r="CI25">
        <v>3182.3999999999996</v>
      </c>
      <c r="CJ25">
        <v>5</v>
      </c>
      <c r="CK25">
        <v>2652</v>
      </c>
      <c r="CL25">
        <v>7.1899559704791587</v>
      </c>
      <c r="CM25">
        <v>3813.5526467421455</v>
      </c>
      <c r="CN25">
        <v>3.8660569835556999</v>
      </c>
      <c r="CO25">
        <v>2050.5566240779431</v>
      </c>
      <c r="CP25">
        <v>3.3130252700508871</v>
      </c>
      <c r="CQ25">
        <v>1757.2286032349905</v>
      </c>
      <c r="CR25">
        <v>12.376461512423536</v>
      </c>
      <c r="CS25">
        <v>6564.4751861894429</v>
      </c>
      <c r="CT25">
        <v>5.8610159245592994</v>
      </c>
      <c r="CU25">
        <v>3108.6828463862521</v>
      </c>
    </row>
    <row r="26" spans="2:99">
      <c r="C26" s="99" t="s">
        <v>192</v>
      </c>
      <c r="D26">
        <v>4.7326613769769477</v>
      </c>
      <c r="E26">
        <v>2300.0734292107963</v>
      </c>
      <c r="F26">
        <v>8.257129540844371</v>
      </c>
      <c r="G26">
        <v>4012.9649568503642</v>
      </c>
      <c r="H26">
        <v>7.1205716415773201</v>
      </c>
      <c r="I26">
        <v>3460.5978178065775</v>
      </c>
      <c r="J26">
        <v>7.62496109398508</v>
      </c>
      <c r="K26">
        <v>3705.7310916767487</v>
      </c>
      <c r="L26">
        <v>5.6909952314373076</v>
      </c>
      <c r="M26">
        <v>2765.8236824785313</v>
      </c>
      <c r="N26">
        <v>4.0048111799649933</v>
      </c>
      <c r="O26">
        <v>1946.3382334629866</v>
      </c>
      <c r="P26">
        <v>9.0368512148975046</v>
      </c>
      <c r="Q26">
        <v>4391.9096904401877</v>
      </c>
      <c r="R26">
        <v>10.854924758328055</v>
      </c>
      <c r="S26">
        <v>5275.4934325474351</v>
      </c>
      <c r="T26">
        <v>6.3840445496960205</v>
      </c>
      <c r="U26">
        <v>3102.6456511522661</v>
      </c>
      <c r="V26">
        <v>1.4874985514105674</v>
      </c>
      <c r="W26">
        <v>722.92429598553576</v>
      </c>
      <c r="X26">
        <v>10.839272390474838</v>
      </c>
      <c r="Y26">
        <v>5267.8863817707706</v>
      </c>
      <c r="Z26">
        <v>9.5309017621157892</v>
      </c>
      <c r="AA26">
        <v>4632.0182563882736</v>
      </c>
      <c r="AB26">
        <v>7</v>
      </c>
      <c r="AC26">
        <v>3402</v>
      </c>
      <c r="AD26">
        <v>6.9348508447563182</v>
      </c>
      <c r="AE26">
        <v>3370.3375105515706</v>
      </c>
      <c r="AF26">
        <v>7.8609689669633305</v>
      </c>
      <c r="AG26">
        <v>3820.4309179441784</v>
      </c>
      <c r="AH26">
        <v>10.746084979323511</v>
      </c>
      <c r="AI26">
        <v>5222.597299951226</v>
      </c>
      <c r="AJ26">
        <v>3.6352729021653913</v>
      </c>
      <c r="AK26">
        <v>1766.7426304523801</v>
      </c>
      <c r="AL26">
        <v>5.6096826524967129</v>
      </c>
      <c r="AM26">
        <v>2726.3057691134027</v>
      </c>
      <c r="AN26">
        <v>11.537940705256171</v>
      </c>
      <c r="AO26">
        <v>5607.4391827544987</v>
      </c>
      <c r="AP26">
        <v>5.8168538334764861</v>
      </c>
      <c r="AQ26">
        <v>2826.9909630695724</v>
      </c>
      <c r="AR26">
        <v>6.7843937983339284</v>
      </c>
      <c r="AS26">
        <v>3297.2153859902892</v>
      </c>
      <c r="AT26">
        <v>8.2579424625837454</v>
      </c>
      <c r="AU26">
        <v>4013.3600368157004</v>
      </c>
      <c r="AV26">
        <v>3.67367068000843</v>
      </c>
      <c r="AW26">
        <v>1785.4039504840969</v>
      </c>
      <c r="AX26">
        <v>9.927051067866941</v>
      </c>
      <c r="AY26">
        <v>4824.5468189833337</v>
      </c>
      <c r="AZ26">
        <v>5</v>
      </c>
      <c r="BA26">
        <v>2430</v>
      </c>
      <c r="BB26">
        <v>8.097570095517316</v>
      </c>
      <c r="BC26">
        <v>3935.4190664214157</v>
      </c>
      <c r="BD26">
        <v>4.3261016023848535</v>
      </c>
      <c r="BE26">
        <v>2102.4853787590387</v>
      </c>
      <c r="BF26">
        <v>13.144581510305898</v>
      </c>
      <c r="BG26">
        <v>6388.2666140086658</v>
      </c>
      <c r="BH26">
        <v>7</v>
      </c>
      <c r="BI26">
        <v>3402</v>
      </c>
      <c r="BJ26">
        <v>1.7745307634383902</v>
      </c>
      <c r="BK26">
        <v>862.42195103105769</v>
      </c>
      <c r="BL26">
        <v>12.244771897671015</v>
      </c>
      <c r="BM26">
        <v>5950.9591422681133</v>
      </c>
      <c r="BN26">
        <v>5</v>
      </c>
      <c r="BO26">
        <v>2430</v>
      </c>
      <c r="BP26">
        <v>7</v>
      </c>
      <c r="BQ26">
        <v>3402</v>
      </c>
      <c r="BR26">
        <v>3.572659804669859</v>
      </c>
      <c r="BS26">
        <v>1736.3126650695515</v>
      </c>
      <c r="BT26">
        <v>3.354067380211605</v>
      </c>
      <c r="BU26">
        <v>1630.07674678284</v>
      </c>
      <c r="BV26">
        <v>10.809809344840549</v>
      </c>
      <c r="BW26">
        <v>5253.5673415925066</v>
      </c>
      <c r="BX26">
        <v>10</v>
      </c>
      <c r="BY26">
        <v>4860</v>
      </c>
      <c r="BZ26">
        <v>7.8002533615383687</v>
      </c>
      <c r="CA26">
        <v>3790.9231337076471</v>
      </c>
      <c r="CB26">
        <v>3.8395412891013447</v>
      </c>
      <c r="CC26">
        <v>1866.0170665032535</v>
      </c>
      <c r="CD26">
        <v>1.0003159764434808</v>
      </c>
      <c r="CE26">
        <v>486.15356455153164</v>
      </c>
      <c r="CF26">
        <v>12.378612508124986</v>
      </c>
      <c r="CG26">
        <v>6016.0056789487435</v>
      </c>
      <c r="CH26">
        <v>7</v>
      </c>
      <c r="CI26">
        <v>3402</v>
      </c>
      <c r="CJ26">
        <v>7</v>
      </c>
      <c r="CK26">
        <v>3402</v>
      </c>
      <c r="CL26">
        <v>6.5907929729392283</v>
      </c>
      <c r="CM26">
        <v>3203.1253848484648</v>
      </c>
      <c r="CN26">
        <v>3.4956763221783462</v>
      </c>
      <c r="CO26">
        <v>1698.8986925786762</v>
      </c>
      <c r="CP26">
        <v>3.2416606932043015</v>
      </c>
      <c r="CQ26">
        <v>1575.4470968972905</v>
      </c>
      <c r="CR26">
        <v>11.376461512423536</v>
      </c>
      <c r="CS26">
        <v>5528.9602950378385</v>
      </c>
      <c r="CT26">
        <v>5.8610159245592994</v>
      </c>
      <c r="CU26">
        <v>2848.4537393358196</v>
      </c>
    </row>
    <row r="27" spans="2:99">
      <c r="C27" s="99" t="s">
        <v>193</v>
      </c>
      <c r="D27">
        <v>5.2059275146746442</v>
      </c>
      <c r="E27">
        <v>2223.9722342690079</v>
      </c>
      <c r="F27">
        <v>9.051933582623402</v>
      </c>
      <c r="G27">
        <v>3866.9860264967174</v>
      </c>
      <c r="H27">
        <v>7.7404221751427276</v>
      </c>
      <c r="I27">
        <v>3306.7083532209731</v>
      </c>
      <c r="J27">
        <v>7.6072079910620127</v>
      </c>
      <c r="K27">
        <v>3249.7992537816917</v>
      </c>
      <c r="L27">
        <v>7.0419566788180683</v>
      </c>
      <c r="M27">
        <v>3008.3238931910787</v>
      </c>
      <c r="N27">
        <v>3.9758089492269133</v>
      </c>
      <c r="O27">
        <v>1698.4655831097373</v>
      </c>
      <c r="P27">
        <v>9.2065888161389626</v>
      </c>
      <c r="Q27">
        <v>3933.0547422545646</v>
      </c>
      <c r="R27">
        <v>9.8681134166618669</v>
      </c>
      <c r="S27">
        <v>4215.6580515979495</v>
      </c>
      <c r="T27">
        <v>5.5860389809840179</v>
      </c>
      <c r="U27">
        <v>2386.3558526763723</v>
      </c>
      <c r="V27">
        <v>1.4874985514105674</v>
      </c>
      <c r="W27">
        <v>635.45938116259435</v>
      </c>
      <c r="X27">
        <v>11.401962702872884</v>
      </c>
      <c r="Y27">
        <v>4870.9184666672963</v>
      </c>
      <c r="Z27">
        <v>9.455058653242105</v>
      </c>
      <c r="AA27">
        <v>4039.201056665027</v>
      </c>
      <c r="AB27">
        <v>7</v>
      </c>
      <c r="AC27">
        <v>2990.4</v>
      </c>
      <c r="AD27">
        <v>6.9348508447563182</v>
      </c>
      <c r="AE27">
        <v>2962.5682808798992</v>
      </c>
      <c r="AF27">
        <v>5.6555013128602809</v>
      </c>
      <c r="AG27">
        <v>2416.0301608539121</v>
      </c>
      <c r="AH27">
        <v>10.746084979323511</v>
      </c>
      <c r="AI27">
        <v>4590.7275031670033</v>
      </c>
      <c r="AJ27">
        <v>3.5936125609261516</v>
      </c>
      <c r="AK27">
        <v>1535.1912860276518</v>
      </c>
      <c r="AL27">
        <v>5.7063399214707449</v>
      </c>
      <c r="AM27">
        <v>2437.7484144523023</v>
      </c>
      <c r="AN27">
        <v>11.87970530642421</v>
      </c>
      <c r="AO27">
        <v>5075.0101069044222</v>
      </c>
      <c r="AP27">
        <v>5.8168538334764861</v>
      </c>
      <c r="AQ27">
        <v>2484.9599576611549</v>
      </c>
      <c r="AR27">
        <v>6.0305722651857137</v>
      </c>
      <c r="AS27">
        <v>2576.260471687337</v>
      </c>
      <c r="AT27">
        <v>7.6118266118121385</v>
      </c>
      <c r="AU27">
        <v>3251.7723285661455</v>
      </c>
      <c r="AV27">
        <v>3.6577251588954711</v>
      </c>
      <c r="AW27">
        <v>1562.5801878801453</v>
      </c>
      <c r="AX27">
        <v>10.927051067866941</v>
      </c>
      <c r="AY27">
        <v>4668.0362161927569</v>
      </c>
      <c r="AZ27">
        <v>5</v>
      </c>
      <c r="BA27">
        <v>2136</v>
      </c>
      <c r="BB27">
        <v>8.8337128314734343</v>
      </c>
      <c r="BC27">
        <v>3773.7621216054508</v>
      </c>
      <c r="BD27">
        <v>4.2870124542385764</v>
      </c>
      <c r="BE27">
        <v>1831.4117204507197</v>
      </c>
      <c r="BF27">
        <v>12.474517127276036</v>
      </c>
      <c r="BG27">
        <v>5329.1137167723218</v>
      </c>
      <c r="BH27">
        <v>6</v>
      </c>
      <c r="BI27">
        <v>2563.1999999999998</v>
      </c>
      <c r="BJ27">
        <v>1.9717008482648781</v>
      </c>
      <c r="BK27">
        <v>842.3106023787559</v>
      </c>
      <c r="BL27">
        <v>13.40511274750466</v>
      </c>
      <c r="BM27">
        <v>5726.6641657339906</v>
      </c>
      <c r="BN27">
        <v>6</v>
      </c>
      <c r="BO27">
        <v>2563.1999999999998</v>
      </c>
      <c r="BP27">
        <v>6</v>
      </c>
      <c r="BQ27">
        <v>2563.1999999999998</v>
      </c>
      <c r="BR27">
        <v>3.572659804669859</v>
      </c>
      <c r="BS27">
        <v>1526.2402685549637</v>
      </c>
      <c r="BT27">
        <v>3.3355922119111088</v>
      </c>
      <c r="BU27">
        <v>1424.9649929284255</v>
      </c>
      <c r="BV27">
        <v>10.974337467098779</v>
      </c>
      <c r="BW27">
        <v>4688.2369659445985</v>
      </c>
      <c r="BX27">
        <v>9</v>
      </c>
      <c r="BY27">
        <v>3844.7999999999997</v>
      </c>
      <c r="BZ27">
        <v>7.8002533615383687</v>
      </c>
      <c r="CA27">
        <v>3332.2682360491908</v>
      </c>
      <c r="CB27">
        <v>3.1996177409177871</v>
      </c>
      <c r="CC27">
        <v>1366.8766989200785</v>
      </c>
      <c r="CD27">
        <v>1.0038323432840219</v>
      </c>
      <c r="CE27">
        <v>428.83717705093414</v>
      </c>
      <c r="CF27">
        <v>13.533106207575564</v>
      </c>
      <c r="CG27">
        <v>5781.3429718762809</v>
      </c>
      <c r="CH27">
        <v>7</v>
      </c>
      <c r="CI27">
        <v>2990.4</v>
      </c>
      <c r="CJ27">
        <v>6</v>
      </c>
      <c r="CK27">
        <v>2563.1999999999998</v>
      </c>
      <c r="CL27">
        <v>6.5907929729392283</v>
      </c>
      <c r="CM27">
        <v>2815.5867580396384</v>
      </c>
      <c r="CN27">
        <v>3.5251763894114663</v>
      </c>
      <c r="CO27">
        <v>1505.9553535565783</v>
      </c>
      <c r="CP27">
        <v>3.2416606932043015</v>
      </c>
      <c r="CQ27">
        <v>1384.8374481368776</v>
      </c>
      <c r="CR27">
        <v>12.548519201476477</v>
      </c>
      <c r="CS27">
        <v>5360.7274028707507</v>
      </c>
      <c r="CT27">
        <v>6.8378519119858492</v>
      </c>
      <c r="CU27">
        <v>2921.1303368003546</v>
      </c>
    </row>
    <row r="28" spans="2:99">
      <c r="C28" s="99" t="s">
        <v>194</v>
      </c>
      <c r="D28">
        <v>4.7326613769769477</v>
      </c>
      <c r="E28">
        <v>3492.7040962089873</v>
      </c>
      <c r="F28">
        <v>8.3601592485290563</v>
      </c>
      <c r="G28">
        <v>6169.797525414444</v>
      </c>
      <c r="H28">
        <v>5.6870269060812761</v>
      </c>
      <c r="I28">
        <v>4197.025856687982</v>
      </c>
      <c r="J28">
        <v>6.7777431946534055</v>
      </c>
      <c r="K28">
        <v>5001.9744776542129</v>
      </c>
      <c r="L28">
        <v>5.6923948752070972</v>
      </c>
      <c r="M28">
        <v>4200.9874179028375</v>
      </c>
      <c r="N28">
        <v>3.9758089492269133</v>
      </c>
      <c r="O28">
        <v>2934.1470045294618</v>
      </c>
      <c r="P28">
        <v>8.2065888161389626</v>
      </c>
      <c r="Q28">
        <v>6056.462546310554</v>
      </c>
      <c r="R28">
        <v>9.8681134166618669</v>
      </c>
      <c r="S28">
        <v>7282.667701496458</v>
      </c>
      <c r="T28">
        <v>5.5860389809840179</v>
      </c>
      <c r="U28">
        <v>4122.496767966205</v>
      </c>
      <c r="V28">
        <v>1.4839252109370307</v>
      </c>
      <c r="W28">
        <v>1095.1368056715287</v>
      </c>
      <c r="X28">
        <v>11.401962702872884</v>
      </c>
      <c r="Y28">
        <v>8414.6484747201885</v>
      </c>
      <c r="Z28">
        <v>8.417137098805263</v>
      </c>
      <c r="AA28">
        <v>6211.847178918284</v>
      </c>
      <c r="AB28">
        <v>6</v>
      </c>
      <c r="AC28">
        <v>4428</v>
      </c>
      <c r="AD28">
        <v>6.9348508447563182</v>
      </c>
      <c r="AE28">
        <v>5117.9199234301632</v>
      </c>
      <c r="AF28">
        <v>7.0530402079832903</v>
      </c>
      <c r="AG28">
        <v>5205.1436734916679</v>
      </c>
      <c r="AH28">
        <v>8.9041983410128758</v>
      </c>
      <c r="AI28">
        <v>6571.2983756675021</v>
      </c>
      <c r="AJ28">
        <v>3.2468201145541524</v>
      </c>
      <c r="AK28">
        <v>2396.1532445409644</v>
      </c>
      <c r="AL28">
        <v>5.702210500892428</v>
      </c>
      <c r="AM28">
        <v>4208.2313496586121</v>
      </c>
      <c r="AN28">
        <v>9.87970530642421</v>
      </c>
      <c r="AO28">
        <v>7291.222516141067</v>
      </c>
      <c r="AP28">
        <v>4.8473781945637375</v>
      </c>
      <c r="AQ28">
        <v>3577.3651075880384</v>
      </c>
      <c r="AR28">
        <v>6.7843937983339284</v>
      </c>
      <c r="AS28">
        <v>5006.8826231704388</v>
      </c>
      <c r="AT28">
        <v>7.5916445216791608</v>
      </c>
      <c r="AU28">
        <v>5602.6336569992209</v>
      </c>
      <c r="AV28">
        <v>3.3009195402585139</v>
      </c>
      <c r="AW28">
        <v>2436.0786207107831</v>
      </c>
      <c r="AX28">
        <v>11.927051067866941</v>
      </c>
      <c r="AY28">
        <v>8802.1636880858023</v>
      </c>
      <c r="AZ28">
        <v>5</v>
      </c>
      <c r="BA28">
        <v>3690</v>
      </c>
      <c r="BB28">
        <v>8.097570095517316</v>
      </c>
      <c r="BC28">
        <v>5976.0067304917793</v>
      </c>
      <c r="BD28">
        <v>3.8700379532586022</v>
      </c>
      <c r="BE28">
        <v>2856.0880095048483</v>
      </c>
      <c r="BF28">
        <v>12.309549318790967</v>
      </c>
      <c r="BG28">
        <v>9084.4473972677333</v>
      </c>
      <c r="BH28">
        <v>6</v>
      </c>
      <c r="BI28">
        <v>4428</v>
      </c>
      <c r="BJ28">
        <v>1.9717008482648781</v>
      </c>
      <c r="BK28">
        <v>1455.1152260194801</v>
      </c>
      <c r="BL28">
        <v>11.40511274750466</v>
      </c>
      <c r="BM28">
        <v>8416.9732076584387</v>
      </c>
      <c r="BN28">
        <v>6</v>
      </c>
      <c r="BO28">
        <v>4428</v>
      </c>
      <c r="BP28">
        <v>7</v>
      </c>
      <c r="BQ28">
        <v>5166</v>
      </c>
      <c r="BR28">
        <v>3.572659804669859</v>
      </c>
      <c r="BS28">
        <v>2636.6229358463561</v>
      </c>
      <c r="BT28">
        <v>2.6079263766611867</v>
      </c>
      <c r="BU28">
        <v>1924.6496659759557</v>
      </c>
      <c r="BV28">
        <v>9.9743374670987794</v>
      </c>
      <c r="BW28">
        <v>7361.0610507188994</v>
      </c>
      <c r="BX28">
        <v>9</v>
      </c>
      <c r="BY28">
        <v>6642</v>
      </c>
      <c r="BZ28">
        <v>7.8002533615383687</v>
      </c>
      <c r="CA28">
        <v>5756.5869808153157</v>
      </c>
      <c r="CB28">
        <v>3.1996177409177871</v>
      </c>
      <c r="CC28">
        <v>2361.3178927973267</v>
      </c>
      <c r="CD28">
        <v>1.0038323432840219</v>
      </c>
      <c r="CE28">
        <v>740.82826934360821</v>
      </c>
      <c r="CF28">
        <v>11.544936994505772</v>
      </c>
      <c r="CG28">
        <v>8520.1635019452588</v>
      </c>
      <c r="CH28">
        <v>7</v>
      </c>
      <c r="CI28">
        <v>5166</v>
      </c>
      <c r="CJ28">
        <v>6</v>
      </c>
      <c r="CK28">
        <v>4428</v>
      </c>
      <c r="CL28">
        <v>6.5907929729392283</v>
      </c>
      <c r="CM28">
        <v>4864.0052140291509</v>
      </c>
      <c r="CN28">
        <v>3.4956763221783462</v>
      </c>
      <c r="CO28">
        <v>2579.8091257676197</v>
      </c>
      <c r="CP28">
        <v>2.8838675506578024</v>
      </c>
      <c r="CQ28">
        <v>2128.2942523854581</v>
      </c>
      <c r="CR28">
        <v>12.548519201476477</v>
      </c>
      <c r="CS28">
        <v>9260.8071706896408</v>
      </c>
      <c r="CT28">
        <v>5.8610159245592994</v>
      </c>
      <c r="CU28">
        <v>4325.4297523247633</v>
      </c>
    </row>
    <row r="29" spans="2:99">
      <c r="C29" s="99" t="s">
        <v>195</v>
      </c>
      <c r="D29">
        <v>4.7326613769769477</v>
      </c>
      <c r="E29">
        <v>1601.5326099689989</v>
      </c>
      <c r="F29">
        <v>9.051933582623402</v>
      </c>
      <c r="G29">
        <v>3063.1743243597589</v>
      </c>
      <c r="H29">
        <v>7.196190759246452</v>
      </c>
      <c r="I29">
        <v>2435.1909529289992</v>
      </c>
      <c r="J29">
        <v>7.6072079910620127</v>
      </c>
      <c r="K29">
        <v>2574.2791841753851</v>
      </c>
      <c r="L29">
        <v>6.3937912555493224</v>
      </c>
      <c r="M29">
        <v>2163.6589608778904</v>
      </c>
      <c r="N29">
        <v>4.0048111799649933</v>
      </c>
      <c r="O29">
        <v>1355.2281033001536</v>
      </c>
      <c r="P29">
        <v>9.2065888161389626</v>
      </c>
      <c r="Q29">
        <v>3115.5096553814246</v>
      </c>
      <c r="R29">
        <v>10.854924758328055</v>
      </c>
      <c r="S29">
        <v>3673.3065382182135</v>
      </c>
      <c r="T29">
        <v>5.5860389809840179</v>
      </c>
      <c r="U29">
        <v>1890.3155911649915</v>
      </c>
      <c r="V29">
        <v>1.2809290002263005</v>
      </c>
      <c r="W29">
        <v>433.46637367658008</v>
      </c>
      <c r="X29">
        <v>10.549696320114039</v>
      </c>
      <c r="Y29">
        <v>3570.0172347265907</v>
      </c>
      <c r="Z29">
        <v>9.455058653242105</v>
      </c>
      <c r="AA29">
        <v>3199.5918482571283</v>
      </c>
      <c r="AB29">
        <v>8</v>
      </c>
      <c r="AC29">
        <v>2707.2</v>
      </c>
      <c r="AD29">
        <v>7.925543822578649</v>
      </c>
      <c r="AE29">
        <v>2682.0040295606145</v>
      </c>
      <c r="AF29">
        <v>6.4634300718403201</v>
      </c>
      <c r="AG29">
        <v>2187.224736310764</v>
      </c>
      <c r="AH29">
        <v>9.8251416601681942</v>
      </c>
      <c r="AI29">
        <v>3324.8279378009165</v>
      </c>
      <c r="AJ29">
        <v>3.5889561333273381</v>
      </c>
      <c r="AK29">
        <v>1214.5027555179711</v>
      </c>
      <c r="AL29">
        <v>5.7988677698664608</v>
      </c>
      <c r="AM29">
        <v>1962.3368533228102</v>
      </c>
      <c r="AN29">
        <v>10.87970530642421</v>
      </c>
      <c r="AO29">
        <v>3681.6922756939525</v>
      </c>
      <c r="AP29">
        <v>5.8168538334764861</v>
      </c>
      <c r="AQ29">
        <v>1968.4233372484427</v>
      </c>
      <c r="AR29">
        <v>6.7843937983339284</v>
      </c>
      <c r="AS29">
        <v>2295.8388613562011</v>
      </c>
      <c r="AT29">
        <v>7.6118266118121385</v>
      </c>
      <c r="AU29">
        <v>2575.8421254372274</v>
      </c>
      <c r="AV29">
        <v>3.2690284980325957</v>
      </c>
      <c r="AW29">
        <v>1106.2392437342303</v>
      </c>
      <c r="AX29">
        <v>11.927051067866941</v>
      </c>
      <c r="AY29">
        <v>4036.1140813661727</v>
      </c>
      <c r="AZ29">
        <v>6</v>
      </c>
      <c r="BA29">
        <v>2030.3999999999999</v>
      </c>
      <c r="BB29">
        <v>8.8337128314734343</v>
      </c>
      <c r="BC29">
        <v>2989.3284221706099</v>
      </c>
      <c r="BD29">
        <v>4.2870124542385764</v>
      </c>
      <c r="BE29">
        <v>1450.7250145143341</v>
      </c>
      <c r="BF29">
        <v>12.309549318790967</v>
      </c>
      <c r="BG29">
        <v>4165.551489478863</v>
      </c>
      <c r="BH29">
        <v>7</v>
      </c>
      <c r="BI29">
        <v>2368.7999999999997</v>
      </c>
      <c r="BJ29">
        <v>1.7745307634383902</v>
      </c>
      <c r="BK29">
        <v>600.50121034755125</v>
      </c>
      <c r="BL29">
        <v>13.565453597338303</v>
      </c>
      <c r="BM29">
        <v>4590.5494973392815</v>
      </c>
      <c r="BN29">
        <v>6</v>
      </c>
      <c r="BO29">
        <v>2030.3999999999999</v>
      </c>
      <c r="BP29">
        <v>7</v>
      </c>
      <c r="BQ29">
        <v>2368.7999999999997</v>
      </c>
      <c r="BR29">
        <v>3.572659804669859</v>
      </c>
      <c r="BS29">
        <v>1208.9880779002801</v>
      </c>
      <c r="BT29">
        <v>2.9809968784363958</v>
      </c>
      <c r="BU29">
        <v>1008.7693436628763</v>
      </c>
      <c r="BV29">
        <v>9.8098093448405486</v>
      </c>
      <c r="BW29">
        <v>3319.6394822940415</v>
      </c>
      <c r="BX29">
        <v>10</v>
      </c>
      <c r="BY29">
        <v>3384</v>
      </c>
      <c r="BZ29">
        <v>7.8002533615383687</v>
      </c>
      <c r="CA29">
        <v>2639.6057375445839</v>
      </c>
      <c r="CB29">
        <v>3.8395412891013447</v>
      </c>
      <c r="CC29">
        <v>1299.3007722318951</v>
      </c>
      <c r="CD29">
        <v>1.0003159764434808</v>
      </c>
      <c r="CE29">
        <v>338.50692642847389</v>
      </c>
      <c r="CF29">
        <v>11.544936994505772</v>
      </c>
      <c r="CG29">
        <v>3906.806678940753</v>
      </c>
      <c r="CH29">
        <v>7</v>
      </c>
      <c r="CI29">
        <v>2368.7999999999997</v>
      </c>
      <c r="CJ29">
        <v>6</v>
      </c>
      <c r="CK29">
        <v>2030.3999999999999</v>
      </c>
      <c r="CL29">
        <v>7.1899559704791587</v>
      </c>
      <c r="CM29">
        <v>2433.081100410147</v>
      </c>
      <c r="CN29">
        <v>3.8955570507888204</v>
      </c>
      <c r="CO29">
        <v>1318.2565059869366</v>
      </c>
      <c r="CP29">
        <v>3.6158034053645141</v>
      </c>
      <c r="CQ29">
        <v>1223.5878723753515</v>
      </c>
      <c r="CR29">
        <v>11.376461512423536</v>
      </c>
      <c r="CS29">
        <v>3849.7945758041242</v>
      </c>
      <c r="CT29">
        <v>5.8610159245592994</v>
      </c>
      <c r="CU29">
        <v>1983.3677888708669</v>
      </c>
    </row>
    <row r="30" spans="2:99">
      <c r="C30" s="99" t="s">
        <v>196</v>
      </c>
      <c r="D30">
        <v>5.2059275146746442</v>
      </c>
      <c r="E30">
        <v>724.66511004271047</v>
      </c>
      <c r="F30">
        <v>8.8458741672540313</v>
      </c>
      <c r="G30">
        <v>1231.345684081761</v>
      </c>
      <c r="H30">
        <v>7.1205716415773201</v>
      </c>
      <c r="I30">
        <v>991.18357250756287</v>
      </c>
      <c r="J30">
        <v>7.6072079910620127</v>
      </c>
      <c r="K30">
        <v>1058.9233523558321</v>
      </c>
      <c r="L30">
        <v>5.6937945189768904</v>
      </c>
      <c r="M30">
        <v>792.5761970415831</v>
      </c>
      <c r="N30">
        <v>4.6191089536060135</v>
      </c>
      <c r="O30">
        <v>642.97996634195704</v>
      </c>
      <c r="P30">
        <v>9.2065888161389626</v>
      </c>
      <c r="Q30">
        <v>1281.5571632065435</v>
      </c>
      <c r="R30">
        <v>11.841736099994241</v>
      </c>
      <c r="S30">
        <v>1648.3696651191983</v>
      </c>
      <c r="T30">
        <v>5.5860389809840179</v>
      </c>
      <c r="U30">
        <v>777.57662615297522</v>
      </c>
      <c r="V30">
        <v>1.4410451252545879</v>
      </c>
      <c r="W30">
        <v>200.59348143543863</v>
      </c>
      <c r="X30">
        <v>11.691538773233683</v>
      </c>
      <c r="Y30">
        <v>1627.4621972341286</v>
      </c>
      <c r="Z30">
        <v>8.455058653242105</v>
      </c>
      <c r="AA30">
        <v>1176.9441645313009</v>
      </c>
      <c r="AB30">
        <v>7</v>
      </c>
      <c r="AC30">
        <v>974.39999999999986</v>
      </c>
      <c r="AD30">
        <v>7.925543822578649</v>
      </c>
      <c r="AE30">
        <v>1103.2357001029479</v>
      </c>
      <c r="AF30">
        <v>7.2713588308203612</v>
      </c>
      <c r="AG30">
        <v>1012.1731492501942</v>
      </c>
      <c r="AH30">
        <v>11.543886604755825</v>
      </c>
      <c r="AI30">
        <v>1606.9090153820107</v>
      </c>
      <c r="AJ30">
        <v>3.9805132060044532</v>
      </c>
      <c r="AK30">
        <v>554.08743827581986</v>
      </c>
      <c r="AL30">
        <v>5.8071266110230955</v>
      </c>
      <c r="AM30">
        <v>808.3520242544148</v>
      </c>
      <c r="AN30">
        <v>10.87970530642421</v>
      </c>
      <c r="AO30">
        <v>1514.45497865425</v>
      </c>
      <c r="AP30">
        <v>5.8168538334764861</v>
      </c>
      <c r="AQ30">
        <v>809.70605361992682</v>
      </c>
      <c r="AR30">
        <v>6.0305722651857137</v>
      </c>
      <c r="AS30">
        <v>839.45565931385124</v>
      </c>
      <c r="AT30">
        <v>8.278124552716724</v>
      </c>
      <c r="AU30">
        <v>1152.3149377381678</v>
      </c>
      <c r="AV30">
        <v>4.0464218197583461</v>
      </c>
      <c r="AW30">
        <v>563.2619173103617</v>
      </c>
      <c r="AX30">
        <v>12.248226245844766</v>
      </c>
      <c r="AY30">
        <v>1704.9530934215913</v>
      </c>
      <c r="AZ30">
        <v>6</v>
      </c>
      <c r="BA30">
        <v>835.19999999999993</v>
      </c>
      <c r="BB30">
        <v>8.8337128314734343</v>
      </c>
      <c r="BC30">
        <v>1229.652826141102</v>
      </c>
      <c r="BD30">
        <v>4.2674678801654373</v>
      </c>
      <c r="BE30">
        <v>594.0315289190288</v>
      </c>
      <c r="BF30">
        <v>13.144581510305898</v>
      </c>
      <c r="BG30">
        <v>1829.7257462345808</v>
      </c>
      <c r="BH30">
        <v>6</v>
      </c>
      <c r="BI30">
        <v>835.19999999999993</v>
      </c>
      <c r="BJ30">
        <v>2.168870933091366</v>
      </c>
      <c r="BK30">
        <v>301.90683388631811</v>
      </c>
      <c r="BL30">
        <v>12.565453597338303</v>
      </c>
      <c r="BM30">
        <v>1749.1111407494916</v>
      </c>
      <c r="BN30">
        <v>6</v>
      </c>
      <c r="BO30">
        <v>835.19999999999993</v>
      </c>
      <c r="BP30">
        <v>7</v>
      </c>
      <c r="BQ30">
        <v>974.39999999999986</v>
      </c>
      <c r="BR30">
        <v>3.1756976041509852</v>
      </c>
      <c r="BS30">
        <v>442.05710649781713</v>
      </c>
      <c r="BT30">
        <v>3.354067380211605</v>
      </c>
      <c r="BU30">
        <v>466.88617932545537</v>
      </c>
      <c r="BV30">
        <v>9.9743374670987794</v>
      </c>
      <c r="BW30">
        <v>1388.4277754201501</v>
      </c>
      <c r="BX30">
        <v>9</v>
      </c>
      <c r="BY30">
        <v>1252.8</v>
      </c>
      <c r="BZ30">
        <v>7.8002533615383687</v>
      </c>
      <c r="CA30">
        <v>1085.7952679261409</v>
      </c>
      <c r="CB30">
        <v>3.8395412891013447</v>
      </c>
      <c r="CC30">
        <v>534.46414744290712</v>
      </c>
      <c r="CD30">
        <v>1.0073487101245631</v>
      </c>
      <c r="CE30">
        <v>140.22294044933918</v>
      </c>
      <c r="CF30">
        <v>11.705346087421452</v>
      </c>
      <c r="CG30">
        <v>1629.384175369066</v>
      </c>
      <c r="CH30">
        <v>7</v>
      </c>
      <c r="CI30">
        <v>974.39999999999986</v>
      </c>
      <c r="CJ30">
        <v>6</v>
      </c>
      <c r="CK30">
        <v>835.19999999999993</v>
      </c>
      <c r="CL30">
        <v>7.1899559704791587</v>
      </c>
      <c r="CM30">
        <v>1000.8418710906988</v>
      </c>
      <c r="CN30">
        <v>3.91030708440538</v>
      </c>
      <c r="CO30">
        <v>544.31474614922888</v>
      </c>
      <c r="CP30">
        <v>3.3162951839736299</v>
      </c>
      <c r="CQ30">
        <v>461.62828960912924</v>
      </c>
      <c r="CR30">
        <v>12.376461512423536</v>
      </c>
      <c r="CS30">
        <v>1722.8034425293561</v>
      </c>
      <c r="CT30">
        <v>6.8378519119858492</v>
      </c>
      <c r="CU30">
        <v>951.82898614843009</v>
      </c>
    </row>
    <row r="31" spans="2:99">
      <c r="C31" s="99" t="s">
        <v>197</v>
      </c>
      <c r="D31">
        <v>4.7326613769769477</v>
      </c>
      <c r="E31">
        <v>1612.8909972737438</v>
      </c>
      <c r="F31">
        <v>8.1540998331596839</v>
      </c>
      <c r="G31">
        <v>2778.9172231408202</v>
      </c>
      <c r="H31">
        <v>7.1230627027428941</v>
      </c>
      <c r="I31">
        <v>2427.5397690947784</v>
      </c>
      <c r="J31">
        <v>6.7777431946534055</v>
      </c>
      <c r="K31">
        <v>2309.8548807378806</v>
      </c>
      <c r="L31">
        <v>5.6923948752070972</v>
      </c>
      <c r="M31">
        <v>1939.9681734705787</v>
      </c>
      <c r="N31">
        <v>3.9468067184888342</v>
      </c>
      <c r="O31">
        <v>1345.0717296609948</v>
      </c>
      <c r="P31">
        <v>9.2065888161389626</v>
      </c>
      <c r="Q31">
        <v>3137.6054685401587</v>
      </c>
      <c r="R31">
        <v>11.841736099994241</v>
      </c>
      <c r="S31">
        <v>4035.6636628780375</v>
      </c>
      <c r="T31">
        <v>6.3840445496960205</v>
      </c>
      <c r="U31">
        <v>2175.682382536404</v>
      </c>
      <c r="V31">
        <v>1.32738242638228</v>
      </c>
      <c r="W31">
        <v>452.37193091108105</v>
      </c>
      <c r="X31">
        <v>11.691538773233683</v>
      </c>
      <c r="Y31">
        <v>3984.4764139180393</v>
      </c>
      <c r="Z31">
        <v>8.4929802076789471</v>
      </c>
      <c r="AA31">
        <v>2894.4076547769851</v>
      </c>
      <c r="AB31">
        <v>7</v>
      </c>
      <c r="AC31">
        <v>2385.6</v>
      </c>
      <c r="AD31">
        <v>6.9348508447563182</v>
      </c>
      <c r="AE31">
        <v>2363.3971678929533</v>
      </c>
      <c r="AF31">
        <v>6.4634300718403201</v>
      </c>
      <c r="AG31">
        <v>2202.736968483181</v>
      </c>
      <c r="AH31">
        <v>9.8251416601681942</v>
      </c>
      <c r="AI31">
        <v>3348.4082777853209</v>
      </c>
      <c r="AJ31">
        <v>3.8878796683283454</v>
      </c>
      <c r="AK31">
        <v>1324.9893909663001</v>
      </c>
      <c r="AL31">
        <v>5.7104693420490635</v>
      </c>
      <c r="AM31">
        <v>1946.1279517703208</v>
      </c>
      <c r="AN31">
        <v>10.708823005840189</v>
      </c>
      <c r="AO31">
        <v>3649.5668803903368</v>
      </c>
      <c r="AP31">
        <v>5.8168538334764861</v>
      </c>
      <c r="AQ31">
        <v>1982.3837864487866</v>
      </c>
      <c r="AR31">
        <v>6.0305722651857137</v>
      </c>
      <c r="AS31">
        <v>2055.2190279752913</v>
      </c>
      <c r="AT31">
        <v>6.9051644906415968</v>
      </c>
      <c r="AU31">
        <v>2353.2800584106562</v>
      </c>
      <c r="AV31">
        <v>3.6258341166695525</v>
      </c>
      <c r="AW31">
        <v>1235.6842669609835</v>
      </c>
      <c r="AX31">
        <v>10.927051067866941</v>
      </c>
      <c r="AY31">
        <v>3723.9390039290538</v>
      </c>
      <c r="AZ31">
        <v>6</v>
      </c>
      <c r="BA31">
        <v>2044.8000000000002</v>
      </c>
      <c r="BB31">
        <v>8.8337128314734343</v>
      </c>
      <c r="BC31">
        <v>3010.5293329661467</v>
      </c>
      <c r="BD31">
        <v>4.6844423811454119</v>
      </c>
      <c r="BE31">
        <v>1596.4579634943564</v>
      </c>
      <c r="BF31">
        <v>14.144581510305898</v>
      </c>
      <c r="BG31">
        <v>4820.4733787122505</v>
      </c>
      <c r="BH31">
        <v>6</v>
      </c>
      <c r="BI31">
        <v>2044.8000000000002</v>
      </c>
      <c r="BJ31">
        <v>1.9717008482648781</v>
      </c>
      <c r="BK31">
        <v>671.9556490886705</v>
      </c>
      <c r="BL31">
        <v>11.565453597338303</v>
      </c>
      <c r="BM31">
        <v>3941.5065859728938</v>
      </c>
      <c r="BN31">
        <v>6</v>
      </c>
      <c r="BO31">
        <v>2044.8000000000002</v>
      </c>
      <c r="BP31">
        <v>6</v>
      </c>
      <c r="BQ31">
        <v>2044.8000000000002</v>
      </c>
      <c r="BR31">
        <v>3.1756976041509852</v>
      </c>
      <c r="BS31">
        <v>1082.2777434946559</v>
      </c>
      <c r="BT31">
        <v>3.3355922119111088</v>
      </c>
      <c r="BU31">
        <v>1136.7698258193059</v>
      </c>
      <c r="BV31">
        <v>8.8098093448405486</v>
      </c>
      <c r="BW31">
        <v>3002.3830247216592</v>
      </c>
      <c r="BX31">
        <v>8</v>
      </c>
      <c r="BY31">
        <v>2726.4</v>
      </c>
      <c r="BZ31">
        <v>7.8002533615383687</v>
      </c>
      <c r="CA31">
        <v>2658.3263456122763</v>
      </c>
      <c r="CB31">
        <v>3.8395412891013447</v>
      </c>
      <c r="CC31">
        <v>1308.5156713257384</v>
      </c>
      <c r="CD31">
        <v>1.0038323432840219</v>
      </c>
      <c r="CE31">
        <v>342.1060625911947</v>
      </c>
      <c r="CF31">
        <v>13.693515300491244</v>
      </c>
      <c r="CG31">
        <v>4666.7500144074165</v>
      </c>
      <c r="CH31">
        <v>7</v>
      </c>
      <c r="CI31">
        <v>2385.6</v>
      </c>
      <c r="CJ31">
        <v>6</v>
      </c>
      <c r="CK31">
        <v>2044.8000000000002</v>
      </c>
      <c r="CL31">
        <v>6.5907929729392283</v>
      </c>
      <c r="CM31">
        <v>2246.1422451776889</v>
      </c>
      <c r="CN31">
        <v>3.8808070171722604</v>
      </c>
      <c r="CO31">
        <v>1322.5790314523065</v>
      </c>
      <c r="CP31">
        <v>3.3130252700508871</v>
      </c>
      <c r="CQ31">
        <v>1129.0790120333425</v>
      </c>
      <c r="CR31">
        <v>13.548519201476477</v>
      </c>
      <c r="CS31">
        <v>4617.3353438631839</v>
      </c>
      <c r="CT31">
        <v>5.8610159245592994</v>
      </c>
      <c r="CU31">
        <v>1997.4342270898094</v>
      </c>
    </row>
    <row r="32" spans="2:99">
      <c r="C32" s="99" t="s">
        <v>198</v>
      </c>
      <c r="D32">
        <v>4.2593952392792538</v>
      </c>
      <c r="E32">
        <v>3577.8920009945732</v>
      </c>
      <c r="F32">
        <v>7.5653552067500245</v>
      </c>
      <c r="G32">
        <v>6354.8983736700202</v>
      </c>
      <c r="H32">
        <v>7.1205716415773201</v>
      </c>
      <c r="I32">
        <v>5981.2801789249488</v>
      </c>
      <c r="J32">
        <v>6.7777431946534055</v>
      </c>
      <c r="K32">
        <v>5693.3042835088609</v>
      </c>
      <c r="L32">
        <v>6.3363613671664707</v>
      </c>
      <c r="M32">
        <v>5322.5435484198351</v>
      </c>
      <c r="N32">
        <v>3.9468067184888342</v>
      </c>
      <c r="O32">
        <v>3315.3176435306209</v>
      </c>
      <c r="P32">
        <v>8.8671136136560449</v>
      </c>
      <c r="Q32">
        <v>7448.3754354710782</v>
      </c>
      <c r="R32">
        <v>9.8681134166618669</v>
      </c>
      <c r="S32">
        <v>8289.2152699959679</v>
      </c>
      <c r="T32">
        <v>6.3840445496960205</v>
      </c>
      <c r="U32">
        <v>5362.5974217446574</v>
      </c>
      <c r="V32">
        <v>1.323809085908743</v>
      </c>
      <c r="W32">
        <v>1111.9996321633441</v>
      </c>
      <c r="X32">
        <v>10.549696320114039</v>
      </c>
      <c r="Y32">
        <v>8861.7449088957928</v>
      </c>
      <c r="Z32">
        <v>9.455058653242105</v>
      </c>
      <c r="AA32">
        <v>7942.249268723368</v>
      </c>
      <c r="AB32">
        <v>7</v>
      </c>
      <c r="AC32">
        <v>5880</v>
      </c>
      <c r="AD32">
        <v>6.9348508447563182</v>
      </c>
      <c r="AE32">
        <v>5825.2747095953073</v>
      </c>
      <c r="AF32">
        <v>6.4634300718403201</v>
      </c>
      <c r="AG32">
        <v>5429.2812603458688</v>
      </c>
      <c r="AH32">
        <v>9.8251416601681942</v>
      </c>
      <c r="AI32">
        <v>8253.1189945412825</v>
      </c>
      <c r="AJ32">
        <v>3.2452679720212148</v>
      </c>
      <c r="AK32">
        <v>2726.0250964978204</v>
      </c>
      <c r="AL32">
        <v>5.7947383492881439</v>
      </c>
      <c r="AM32">
        <v>4867.5802134020405</v>
      </c>
      <c r="AN32">
        <v>9.7088230058401894</v>
      </c>
      <c r="AO32">
        <v>8155.4113249057591</v>
      </c>
      <c r="AP32">
        <v>5.8168538334764861</v>
      </c>
      <c r="AQ32">
        <v>4886.157220120248</v>
      </c>
      <c r="AR32">
        <v>6.0305722651857137</v>
      </c>
      <c r="AS32">
        <v>5065.6807027559998</v>
      </c>
      <c r="AT32">
        <v>7.5916445216791608</v>
      </c>
      <c r="AU32">
        <v>6376.9813982104952</v>
      </c>
      <c r="AV32">
        <v>3.2530829769196368</v>
      </c>
      <c r="AW32">
        <v>2732.5897006124951</v>
      </c>
      <c r="AX32">
        <v>11.087638656855853</v>
      </c>
      <c r="AY32">
        <v>9313.6164717589163</v>
      </c>
      <c r="AZ32">
        <v>5</v>
      </c>
      <c r="BA32">
        <v>4200</v>
      </c>
      <c r="BB32">
        <v>8.8337128314734343</v>
      </c>
      <c r="BC32">
        <v>7420.3187784376851</v>
      </c>
      <c r="BD32">
        <v>3.8700379532586022</v>
      </c>
      <c r="BE32">
        <v>3250.8318807372257</v>
      </c>
      <c r="BF32">
        <v>13.979613701820828</v>
      </c>
      <c r="BG32">
        <v>11742.875509529495</v>
      </c>
      <c r="BH32">
        <v>6</v>
      </c>
      <c r="BI32">
        <v>5040</v>
      </c>
      <c r="BJ32">
        <v>1.9717008482648781</v>
      </c>
      <c r="BK32">
        <v>1656.2287125424975</v>
      </c>
      <c r="BL32">
        <v>11.244771897671015</v>
      </c>
      <c r="BM32">
        <v>9445.6083940436529</v>
      </c>
      <c r="BN32">
        <v>5</v>
      </c>
      <c r="BO32">
        <v>4200</v>
      </c>
      <c r="BP32">
        <v>6</v>
      </c>
      <c r="BQ32">
        <v>5040</v>
      </c>
      <c r="BR32">
        <v>3.572659804669859</v>
      </c>
      <c r="BS32">
        <v>3001.0342359226815</v>
      </c>
      <c r="BT32">
        <v>2.9809968784363958</v>
      </c>
      <c r="BU32">
        <v>2504.0373778865724</v>
      </c>
      <c r="BV32">
        <v>9.9743374670987794</v>
      </c>
      <c r="BW32">
        <v>8378.4434723629747</v>
      </c>
      <c r="BX32">
        <v>9</v>
      </c>
      <c r="BY32">
        <v>7560</v>
      </c>
      <c r="BZ32">
        <v>7.8002533615383687</v>
      </c>
      <c r="CA32">
        <v>6552.2128236922299</v>
      </c>
      <c r="CB32">
        <v>3.8395412891013447</v>
      </c>
      <c r="CC32">
        <v>3225.2146828451296</v>
      </c>
      <c r="CD32">
        <v>1.0073487101245631</v>
      </c>
      <c r="CE32">
        <v>846.17291650463301</v>
      </c>
      <c r="CF32">
        <v>12.378612508124986</v>
      </c>
      <c r="CG32">
        <v>10398.034506824988</v>
      </c>
      <c r="CH32">
        <v>6</v>
      </c>
      <c r="CI32">
        <v>5040</v>
      </c>
      <c r="CJ32">
        <v>6</v>
      </c>
      <c r="CK32">
        <v>5040</v>
      </c>
      <c r="CL32">
        <v>7.1899559704791587</v>
      </c>
      <c r="CM32">
        <v>6039.5630152024933</v>
      </c>
      <c r="CN32">
        <v>3.5104263557949063</v>
      </c>
      <c r="CO32">
        <v>2948.7581388677213</v>
      </c>
      <c r="CP32">
        <v>3.3097553561281439</v>
      </c>
      <c r="CQ32">
        <v>2780.1944991476407</v>
      </c>
      <c r="CR32">
        <v>12.548519201476477</v>
      </c>
      <c r="CS32">
        <v>10540.756129240241</v>
      </c>
      <c r="CT32">
        <v>5.8610159245592994</v>
      </c>
      <c r="CU32">
        <v>4923.2533766298111</v>
      </c>
    </row>
    <row r="33" spans="2:99">
      <c r="C33" s="99" t="s">
        <v>199</v>
      </c>
      <c r="D33">
        <v>4.9754033179536865</v>
      </c>
      <c r="E33">
        <v>2358.3411727100474</v>
      </c>
      <c r="F33">
        <v>8.1540998331596839</v>
      </c>
      <c r="G33">
        <v>3865.0433209176904</v>
      </c>
      <c r="H33">
        <v>7.2680732851672234</v>
      </c>
      <c r="I33">
        <v>3445.0667371692639</v>
      </c>
      <c r="J33">
        <v>7.6072079910620127</v>
      </c>
      <c r="K33">
        <v>3605.8165877633942</v>
      </c>
      <c r="L33">
        <v>6.3951908993191138</v>
      </c>
      <c r="M33">
        <v>3031.32048627726</v>
      </c>
      <c r="N33">
        <v>3.9468067184888342</v>
      </c>
      <c r="O33">
        <v>1870.7863845637075</v>
      </c>
      <c r="P33">
        <v>9.0368512148975046</v>
      </c>
      <c r="Q33">
        <v>4283.4674758614174</v>
      </c>
      <c r="R33">
        <v>9.8681134166618669</v>
      </c>
      <c r="S33">
        <v>4677.4857594977248</v>
      </c>
      <c r="T33">
        <v>6.3840445496960205</v>
      </c>
      <c r="U33">
        <v>3026.0371165559136</v>
      </c>
      <c r="V33">
        <v>1.6440413359653183</v>
      </c>
      <c r="W33">
        <v>779.27559324756089</v>
      </c>
      <c r="X33">
        <v>10.694484355294438</v>
      </c>
      <c r="Y33">
        <v>5069.1855844095635</v>
      </c>
      <c r="Z33">
        <v>8.417137098805263</v>
      </c>
      <c r="AA33">
        <v>3989.7229848336947</v>
      </c>
      <c r="AB33">
        <v>7</v>
      </c>
      <c r="AC33">
        <v>3318</v>
      </c>
      <c r="AD33">
        <v>5.9441578669339865</v>
      </c>
      <c r="AE33">
        <v>2817.5308289267095</v>
      </c>
      <c r="AF33">
        <v>5.6555013128602809</v>
      </c>
      <c r="AG33">
        <v>2680.707622295773</v>
      </c>
      <c r="AH33">
        <v>9.5788582727221847</v>
      </c>
      <c r="AI33">
        <v>4540.3788212703157</v>
      </c>
      <c r="AJ33">
        <v>3.5441915070222225</v>
      </c>
      <c r="AK33">
        <v>1679.9467743285334</v>
      </c>
      <c r="AL33">
        <v>5.0926771636538515</v>
      </c>
      <c r="AM33">
        <v>2413.9289755719255</v>
      </c>
      <c r="AN33">
        <v>10.708823005840189</v>
      </c>
      <c r="AO33">
        <v>5075.9821047682499</v>
      </c>
      <c r="AP33">
        <v>5.8168538334764861</v>
      </c>
      <c r="AQ33">
        <v>2757.1887170678542</v>
      </c>
      <c r="AR33">
        <v>6.7843937983339284</v>
      </c>
      <c r="AS33">
        <v>3215.802660410282</v>
      </c>
      <c r="AT33">
        <v>7.5916445216791608</v>
      </c>
      <c r="AU33">
        <v>3598.4395032759221</v>
      </c>
      <c r="AV33">
        <v>3.2530829769196368</v>
      </c>
      <c r="AW33">
        <v>1541.9613310599079</v>
      </c>
      <c r="AX33">
        <v>11.087638656855853</v>
      </c>
      <c r="AY33">
        <v>5255.5407233496744</v>
      </c>
      <c r="AZ33">
        <v>6</v>
      </c>
      <c r="BA33">
        <v>2844</v>
      </c>
      <c r="BB33">
        <v>8.097570095517316</v>
      </c>
      <c r="BC33">
        <v>3838.2482252752079</v>
      </c>
      <c r="BD33">
        <v>3.9286716754780189</v>
      </c>
      <c r="BE33">
        <v>1862.1903741765809</v>
      </c>
      <c r="BF33">
        <v>13.474517127276036</v>
      </c>
      <c r="BG33">
        <v>6386.9211183288407</v>
      </c>
      <c r="BH33">
        <v>6</v>
      </c>
      <c r="BI33">
        <v>2844</v>
      </c>
      <c r="BJ33">
        <v>1.7745307634383902</v>
      </c>
      <c r="BK33">
        <v>841.12758186979693</v>
      </c>
      <c r="BL33">
        <v>13.244771897671015</v>
      </c>
      <c r="BM33">
        <v>6278.021879496061</v>
      </c>
      <c r="BN33">
        <v>6</v>
      </c>
      <c r="BO33">
        <v>2844</v>
      </c>
      <c r="BP33">
        <v>6</v>
      </c>
      <c r="BQ33">
        <v>2844</v>
      </c>
      <c r="BR33">
        <v>3.572659804669859</v>
      </c>
      <c r="BS33">
        <v>1693.4407474135132</v>
      </c>
      <c r="BT33">
        <v>2.9809968784363958</v>
      </c>
      <c r="BU33">
        <v>1412.9925203788516</v>
      </c>
      <c r="BV33">
        <v>9.9743374670987794</v>
      </c>
      <c r="BW33">
        <v>4727.8359594048216</v>
      </c>
      <c r="BX33">
        <v>9</v>
      </c>
      <c r="BY33">
        <v>4266</v>
      </c>
      <c r="BZ33">
        <v>7.8002533615383687</v>
      </c>
      <c r="CA33">
        <v>3697.3200933691869</v>
      </c>
      <c r="CB33">
        <v>3.8395412891013447</v>
      </c>
      <c r="CC33">
        <v>1819.9425710340374</v>
      </c>
      <c r="CD33">
        <v>1.0038323432840219</v>
      </c>
      <c r="CE33">
        <v>475.8165307166264</v>
      </c>
      <c r="CF33">
        <v>12.539021601040666</v>
      </c>
      <c r="CG33">
        <v>5943.4962388932754</v>
      </c>
      <c r="CH33">
        <v>6</v>
      </c>
      <c r="CI33">
        <v>2844</v>
      </c>
      <c r="CJ33">
        <v>6</v>
      </c>
      <c r="CK33">
        <v>2844</v>
      </c>
      <c r="CL33">
        <v>7.1899559704791587</v>
      </c>
      <c r="CM33">
        <v>3408.039130007121</v>
      </c>
      <c r="CN33">
        <v>3.4956763221783462</v>
      </c>
      <c r="CO33">
        <v>1656.9505767125361</v>
      </c>
      <c r="CP33">
        <v>3.3162951839736299</v>
      </c>
      <c r="CQ33">
        <v>1571.9239172035007</v>
      </c>
      <c r="CR33">
        <v>13.548519201476477</v>
      </c>
      <c r="CS33">
        <v>6421.9981014998502</v>
      </c>
      <c r="CT33">
        <v>5.8610159245592994</v>
      </c>
      <c r="CU33">
        <v>2778.121548241108</v>
      </c>
    </row>
    <row r="34" spans="2:99">
      <c r="C34" s="99" t="s">
        <v>200</v>
      </c>
      <c r="D34">
        <v>4.7326613769769477</v>
      </c>
      <c r="E34">
        <v>2595.391499134158</v>
      </c>
      <c r="F34">
        <v>7.4623254990653392</v>
      </c>
      <c r="G34">
        <v>4092.3393036874318</v>
      </c>
      <c r="H34">
        <v>6.4300841126739297</v>
      </c>
      <c r="I34">
        <v>3526.2581273903829</v>
      </c>
      <c r="J34">
        <v>7.6072079910620127</v>
      </c>
      <c r="K34">
        <v>4171.7928622984073</v>
      </c>
      <c r="L34">
        <v>6.3923916117795319</v>
      </c>
      <c r="M34">
        <v>3505.587559899895</v>
      </c>
      <c r="N34">
        <v>4.0048111799649933</v>
      </c>
      <c r="O34">
        <v>2196.2384510928023</v>
      </c>
      <c r="P34">
        <v>8.0368512148975046</v>
      </c>
      <c r="Q34">
        <v>4407.4092062497912</v>
      </c>
      <c r="R34">
        <v>9.8681134166618669</v>
      </c>
      <c r="S34">
        <v>5411.6733976973674</v>
      </c>
      <c r="T34">
        <v>6.3840445496960205</v>
      </c>
      <c r="U34">
        <v>3501.0100310532976</v>
      </c>
      <c r="V34">
        <v>1.4910718918841044</v>
      </c>
      <c r="W34">
        <v>817.70382550924285</v>
      </c>
      <c r="X34">
        <v>10.694484355294438</v>
      </c>
      <c r="Y34">
        <v>5864.85522044347</v>
      </c>
      <c r="Z34">
        <v>8.455058653242105</v>
      </c>
      <c r="AA34">
        <v>4636.7541654379702</v>
      </c>
      <c r="AB34">
        <v>7</v>
      </c>
      <c r="AC34">
        <v>3838.7999999999997</v>
      </c>
      <c r="AD34">
        <v>6.9348508447563182</v>
      </c>
      <c r="AE34">
        <v>3803.0722032643648</v>
      </c>
      <c r="AF34">
        <v>5.6555013128602809</v>
      </c>
      <c r="AG34">
        <v>3101.4769199725779</v>
      </c>
      <c r="AH34">
        <v>10.622943285600508</v>
      </c>
      <c r="AI34">
        <v>5825.6220978233187</v>
      </c>
      <c r="AJ34">
        <v>3.2036076307819741</v>
      </c>
      <c r="AK34">
        <v>1756.8584247208346</v>
      </c>
      <c r="AL34">
        <v>5.702210500892428</v>
      </c>
      <c r="AM34">
        <v>3127.0922386894072</v>
      </c>
      <c r="AN34">
        <v>10.708823005840189</v>
      </c>
      <c r="AO34">
        <v>5872.71853640276</v>
      </c>
      <c r="AP34">
        <v>5.8168538334764861</v>
      </c>
      <c r="AQ34">
        <v>3189.962642278505</v>
      </c>
      <c r="AR34">
        <v>6.0305722651857137</v>
      </c>
      <c r="AS34">
        <v>3307.1658302278452</v>
      </c>
      <c r="AT34">
        <v>6.9253465807745744</v>
      </c>
      <c r="AU34">
        <v>3797.8600648967763</v>
      </c>
      <c r="AV34">
        <v>3.6417796377825118</v>
      </c>
      <c r="AW34">
        <v>1997.1519533599294</v>
      </c>
      <c r="AX34">
        <v>12.248226245844766</v>
      </c>
      <c r="AY34">
        <v>6716.9272732212694</v>
      </c>
      <c r="AZ34">
        <v>5</v>
      </c>
      <c r="BA34">
        <v>2742</v>
      </c>
      <c r="BB34">
        <v>8.8337128314734343</v>
      </c>
      <c r="BC34">
        <v>4844.4081167800314</v>
      </c>
      <c r="BD34">
        <v>3.8895825273317417</v>
      </c>
      <c r="BE34">
        <v>2133.0470579887269</v>
      </c>
      <c r="BF34">
        <v>14.144581510305898</v>
      </c>
      <c r="BG34">
        <v>7756.8885002517536</v>
      </c>
      <c r="BH34">
        <v>6</v>
      </c>
      <c r="BI34">
        <v>3290.3999999999996</v>
      </c>
      <c r="BJ34">
        <v>1.9717008482648781</v>
      </c>
      <c r="BK34">
        <v>1081.2807451884592</v>
      </c>
      <c r="BL34">
        <v>12.565453597338303</v>
      </c>
      <c r="BM34">
        <v>6890.8947527803248</v>
      </c>
      <c r="BN34">
        <v>5</v>
      </c>
      <c r="BO34">
        <v>2742</v>
      </c>
      <c r="BP34">
        <v>7</v>
      </c>
      <c r="BQ34">
        <v>3838.7999999999997</v>
      </c>
      <c r="BR34">
        <v>3.572659804669859</v>
      </c>
      <c r="BS34">
        <v>1959.2466368809505</v>
      </c>
      <c r="BT34">
        <v>2.9625217101358992</v>
      </c>
      <c r="BU34">
        <v>1624.6469058385271</v>
      </c>
      <c r="BV34">
        <v>11.13886558935701</v>
      </c>
      <c r="BW34">
        <v>6108.5538892033846</v>
      </c>
      <c r="BX34">
        <v>9</v>
      </c>
      <c r="BY34">
        <v>4935.5999999999995</v>
      </c>
      <c r="BZ34">
        <v>7.8002533615383687</v>
      </c>
      <c r="CA34">
        <v>4277.6589434676416</v>
      </c>
      <c r="CB34">
        <v>3.1996177409177871</v>
      </c>
      <c r="CC34">
        <v>1754.6703691193143</v>
      </c>
      <c r="CD34">
        <v>1.0038323432840219</v>
      </c>
      <c r="CE34">
        <v>550.50165705695758</v>
      </c>
      <c r="CF34">
        <v>13.533106207575564</v>
      </c>
      <c r="CG34">
        <v>7421.5554442344392</v>
      </c>
      <c r="CH34">
        <v>6</v>
      </c>
      <c r="CI34">
        <v>3290.3999999999996</v>
      </c>
      <c r="CJ34">
        <v>6</v>
      </c>
      <c r="CK34">
        <v>3290.3999999999996</v>
      </c>
      <c r="CL34">
        <v>6.5907929729392283</v>
      </c>
      <c r="CM34">
        <v>3614.3908663598727</v>
      </c>
      <c r="CN34">
        <v>3.5104263557949063</v>
      </c>
      <c r="CO34">
        <v>1925.1178135179266</v>
      </c>
      <c r="CP34">
        <v>2.8805976367350592</v>
      </c>
      <c r="CQ34">
        <v>1579.7197439855065</v>
      </c>
      <c r="CR34">
        <v>13.548519201476477</v>
      </c>
      <c r="CS34">
        <v>7430.0079300896996</v>
      </c>
      <c r="CT34">
        <v>5.8610159245592994</v>
      </c>
      <c r="CU34">
        <v>3214.1811330283199</v>
      </c>
    </row>
    <row r="35" spans="2:99">
      <c r="C35" s="99" t="s">
        <v>201</v>
      </c>
      <c r="D35">
        <v>4.7326613769769477</v>
      </c>
      <c r="E35">
        <v>2379.5821403440086</v>
      </c>
      <c r="F35">
        <v>8.9489038749387149</v>
      </c>
      <c r="G35">
        <v>4499.5088683191852</v>
      </c>
      <c r="H35">
        <v>7.1205716415773201</v>
      </c>
      <c r="I35">
        <v>3580.2234213850757</v>
      </c>
      <c r="J35">
        <v>6.7954962975764737</v>
      </c>
      <c r="K35">
        <v>3416.7755384214502</v>
      </c>
      <c r="L35">
        <v>6.3391606547060517</v>
      </c>
      <c r="M35">
        <v>3187.3299771862021</v>
      </c>
      <c r="N35">
        <v>4.590106722867934</v>
      </c>
      <c r="O35">
        <v>2307.9056602579967</v>
      </c>
      <c r="P35">
        <v>8.0368512148975046</v>
      </c>
      <c r="Q35">
        <v>4040.9287908504643</v>
      </c>
      <c r="R35">
        <v>9.8681134166618669</v>
      </c>
      <c r="S35">
        <v>4961.6874258975859</v>
      </c>
      <c r="T35">
        <v>6.3840445496960205</v>
      </c>
      <c r="U35">
        <v>3209.8975995871583</v>
      </c>
      <c r="V35">
        <v>1.323809085908743</v>
      </c>
      <c r="W35">
        <v>665.61120839491582</v>
      </c>
      <c r="X35">
        <v>10.694484355294438</v>
      </c>
      <c r="Y35">
        <v>5377.1867338420425</v>
      </c>
      <c r="Z35">
        <v>8.417137098805263</v>
      </c>
      <c r="AA35">
        <v>4232.1365332792857</v>
      </c>
      <c r="AB35">
        <v>7</v>
      </c>
      <c r="AC35">
        <v>3519.5999999999995</v>
      </c>
      <c r="AD35">
        <v>6.9348508447563182</v>
      </c>
      <c r="AE35">
        <v>3486.8430047434763</v>
      </c>
      <c r="AF35">
        <v>6.4634300718403201</v>
      </c>
      <c r="AG35">
        <v>3249.8126401213121</v>
      </c>
      <c r="AH35">
        <v>11.543886604755825</v>
      </c>
      <c r="AI35">
        <v>5804.2661848712278</v>
      </c>
      <c r="AJ35">
        <v>3.5410872219563472</v>
      </c>
      <c r="AK35">
        <v>1780.458655199651</v>
      </c>
      <c r="AL35">
        <v>5.702210500892428</v>
      </c>
      <c r="AM35">
        <v>2867.0714398487121</v>
      </c>
      <c r="AN35">
        <v>10.708823005840189</v>
      </c>
      <c r="AO35">
        <v>5384.3962073364464</v>
      </c>
      <c r="AP35">
        <v>5.8168538334764861</v>
      </c>
      <c r="AQ35">
        <v>2924.7141074719766</v>
      </c>
      <c r="AR35">
        <v>6.0305722651857137</v>
      </c>
      <c r="AS35">
        <v>3032.1717349353762</v>
      </c>
      <c r="AT35">
        <v>7.5714624315461823</v>
      </c>
      <c r="AU35">
        <v>3806.9313105814194</v>
      </c>
      <c r="AV35">
        <v>3.6417796377825118</v>
      </c>
      <c r="AW35">
        <v>1831.0868018770466</v>
      </c>
      <c r="AX35">
        <v>10.927051067866941</v>
      </c>
      <c r="AY35">
        <v>5494.1212769234971</v>
      </c>
      <c r="AZ35">
        <v>5</v>
      </c>
      <c r="BA35">
        <v>2513.9999999999995</v>
      </c>
      <c r="BB35">
        <v>8.8337128314734343</v>
      </c>
      <c r="BC35">
        <v>4441.5908116648416</v>
      </c>
      <c r="BD35">
        <v>4.2674678801654373</v>
      </c>
      <c r="BE35">
        <v>2145.6828501471814</v>
      </c>
      <c r="BF35">
        <v>13.309549318790967</v>
      </c>
      <c r="BG35">
        <v>6692.0413974880967</v>
      </c>
      <c r="BH35">
        <v>6</v>
      </c>
      <c r="BI35">
        <v>3016.7999999999993</v>
      </c>
      <c r="BJ35">
        <v>1.9717008482648781</v>
      </c>
      <c r="BK35">
        <v>991.37118650758055</v>
      </c>
      <c r="BL35">
        <v>11.244771897671015</v>
      </c>
      <c r="BM35">
        <v>5653.8713101489848</v>
      </c>
      <c r="BN35">
        <v>6</v>
      </c>
      <c r="BO35">
        <v>3016.7999999999993</v>
      </c>
      <c r="BP35">
        <v>7</v>
      </c>
      <c r="BQ35">
        <v>3519.5999999999995</v>
      </c>
      <c r="BR35">
        <v>3.1756976041509852</v>
      </c>
      <c r="BS35">
        <v>1596.7407553671151</v>
      </c>
      <c r="BT35">
        <v>2.9809968784363958</v>
      </c>
      <c r="BU35">
        <v>1498.8452304778195</v>
      </c>
      <c r="BV35">
        <v>9.9743374670987794</v>
      </c>
      <c r="BW35">
        <v>5015.0968784572651</v>
      </c>
      <c r="BX35">
        <v>9</v>
      </c>
      <c r="BY35">
        <v>4525.1999999999989</v>
      </c>
      <c r="BZ35">
        <v>7.8002533615383687</v>
      </c>
      <c r="CA35">
        <v>3921.9673901814908</v>
      </c>
      <c r="CB35">
        <v>3.1996177409177871</v>
      </c>
      <c r="CC35">
        <v>1608.767800133463</v>
      </c>
      <c r="CD35">
        <v>1.0073487101245631</v>
      </c>
      <c r="CE35">
        <v>506.49493145063019</v>
      </c>
      <c r="CF35">
        <v>11.544936994505772</v>
      </c>
      <c r="CG35">
        <v>5804.7943208375009</v>
      </c>
      <c r="CH35">
        <v>7</v>
      </c>
      <c r="CI35">
        <v>3519.5999999999995</v>
      </c>
      <c r="CJ35">
        <v>5</v>
      </c>
      <c r="CK35">
        <v>2513.9999999999995</v>
      </c>
      <c r="CL35">
        <v>7.1899559704791587</v>
      </c>
      <c r="CM35">
        <v>3615.1098619569202</v>
      </c>
      <c r="CN35">
        <v>3.8808070171722604</v>
      </c>
      <c r="CO35">
        <v>1951.2697682342121</v>
      </c>
      <c r="CP35">
        <v>3.2416606932043015</v>
      </c>
      <c r="CQ35">
        <v>1629.9069965431224</v>
      </c>
      <c r="CR35">
        <v>11.376461512423536</v>
      </c>
      <c r="CS35">
        <v>5720.0848484465523</v>
      </c>
      <c r="CT35">
        <v>5.8610159245592994</v>
      </c>
      <c r="CU35">
        <v>2946.9188068684152</v>
      </c>
    </row>
    <row r="36" spans="2:99">
      <c r="C36" s="99" t="s">
        <v>202</v>
      </c>
      <c r="D36">
        <v>5.2059275146746442</v>
      </c>
      <c r="E36">
        <v>3960.6696531644689</v>
      </c>
      <c r="F36">
        <v>7.5653552067500245</v>
      </c>
      <c r="G36">
        <v>5755.7222412954179</v>
      </c>
      <c r="H36">
        <v>7.1762622699218621</v>
      </c>
      <c r="I36">
        <v>5459.7003349565521</v>
      </c>
      <c r="J36">
        <v>6.7777431946534055</v>
      </c>
      <c r="K36">
        <v>5156.5070224923102</v>
      </c>
      <c r="L36">
        <v>5.7470254760503678</v>
      </c>
      <c r="M36">
        <v>4372.3369821791193</v>
      </c>
      <c r="N36">
        <v>3.9758089492269133</v>
      </c>
      <c r="O36">
        <v>3024.7954485718355</v>
      </c>
      <c r="P36">
        <v>9.2065888161389626</v>
      </c>
      <c r="Q36">
        <v>7004.3727713185226</v>
      </c>
      <c r="R36">
        <v>10.854924758328055</v>
      </c>
      <c r="S36">
        <v>8258.4267561359829</v>
      </c>
      <c r="T36">
        <v>5.5860389809840179</v>
      </c>
      <c r="U36">
        <v>4249.8584567326407</v>
      </c>
      <c r="V36">
        <v>1.32738242638228</v>
      </c>
      <c r="W36">
        <v>1009.8725499916386</v>
      </c>
      <c r="X36">
        <v>10.694484355294438</v>
      </c>
      <c r="Y36">
        <v>8136.363697508008</v>
      </c>
      <c r="Z36">
        <v>7.4550586532421059</v>
      </c>
      <c r="AA36">
        <v>5671.8086233865943</v>
      </c>
      <c r="AB36">
        <v>7</v>
      </c>
      <c r="AC36">
        <v>5325.5999999999995</v>
      </c>
      <c r="AD36">
        <v>5.9441578669339865</v>
      </c>
      <c r="AE36">
        <v>4522.3153051633763</v>
      </c>
      <c r="AF36">
        <v>6.2942456270151634</v>
      </c>
      <c r="AG36">
        <v>4788.662073033136</v>
      </c>
      <c r="AH36">
        <v>9.8251416601681942</v>
      </c>
      <c r="AI36">
        <v>7474.9677750559613</v>
      </c>
      <c r="AJ36">
        <v>3.2005033457160992</v>
      </c>
      <c r="AK36">
        <v>2434.942945420808</v>
      </c>
      <c r="AL36">
        <v>5.2736034398669656</v>
      </c>
      <c r="AM36">
        <v>4012.1574970507872</v>
      </c>
      <c r="AN36">
        <v>10.537940705256171</v>
      </c>
      <c r="AO36">
        <v>8017.2652885588941</v>
      </c>
      <c r="AP36">
        <v>4.8473781945637375</v>
      </c>
      <c r="AQ36">
        <v>3687.8853304240911</v>
      </c>
      <c r="AR36">
        <v>6.0305722651857137</v>
      </c>
      <c r="AS36">
        <v>4588.0593793532908</v>
      </c>
      <c r="AT36">
        <v>7.5916445216791608</v>
      </c>
      <c r="AU36">
        <v>5775.7231520935056</v>
      </c>
      <c r="AV36">
        <v>3.6417796377825118</v>
      </c>
      <c r="AW36">
        <v>2770.6659484249349</v>
      </c>
      <c r="AX36">
        <v>10.087638656855853</v>
      </c>
      <c r="AY36">
        <v>7674.6754901359327</v>
      </c>
      <c r="AZ36">
        <v>5</v>
      </c>
      <c r="BA36">
        <v>3804</v>
      </c>
      <c r="BB36">
        <v>7.3614273595611959</v>
      </c>
      <c r="BC36">
        <v>5600.5739351541579</v>
      </c>
      <c r="BD36">
        <v>4.2870124542385764</v>
      </c>
      <c r="BE36">
        <v>3261.5590751847085</v>
      </c>
      <c r="BF36">
        <v>13.144581510305898</v>
      </c>
      <c r="BG36">
        <v>10000.397613040726</v>
      </c>
      <c r="BH36">
        <v>6</v>
      </c>
      <c r="BI36">
        <v>4564.7999999999993</v>
      </c>
      <c r="BJ36">
        <v>1.9717008482648781</v>
      </c>
      <c r="BK36">
        <v>1500.0700053599192</v>
      </c>
      <c r="BL36">
        <v>12.244771897671015</v>
      </c>
      <c r="BM36">
        <v>9315.8224597481076</v>
      </c>
      <c r="BN36">
        <v>6</v>
      </c>
      <c r="BO36">
        <v>4564.7999999999993</v>
      </c>
      <c r="BP36">
        <v>7</v>
      </c>
      <c r="BQ36">
        <v>5325.5999999999995</v>
      </c>
      <c r="BR36">
        <v>3.1756976041509852</v>
      </c>
      <c r="BS36">
        <v>2416.0707372380693</v>
      </c>
      <c r="BT36">
        <v>2.9994720467368925</v>
      </c>
      <c r="BU36">
        <v>2281.9983331574276</v>
      </c>
      <c r="BV36">
        <v>9.9743374670987794</v>
      </c>
      <c r="BW36">
        <v>7588.4759449687508</v>
      </c>
      <c r="BX36">
        <v>10</v>
      </c>
      <c r="BY36">
        <v>7608</v>
      </c>
      <c r="BZ36">
        <v>8.7752850317306645</v>
      </c>
      <c r="CA36">
        <v>6676.2368521406888</v>
      </c>
      <c r="CB36">
        <v>3.1996177409177871</v>
      </c>
      <c r="CC36">
        <v>2434.2691772902522</v>
      </c>
      <c r="CD36">
        <v>1.0073487101245631</v>
      </c>
      <c r="CE36">
        <v>766.39089866276754</v>
      </c>
      <c r="CF36">
        <v>12.539021601040666</v>
      </c>
      <c r="CG36">
        <v>9539.687634071739</v>
      </c>
      <c r="CH36">
        <v>7</v>
      </c>
      <c r="CI36">
        <v>5325.5999999999995</v>
      </c>
      <c r="CJ36">
        <v>6</v>
      </c>
      <c r="CK36">
        <v>4564.7999999999993</v>
      </c>
      <c r="CL36">
        <v>7.1899559704791587</v>
      </c>
      <c r="CM36">
        <v>5470.1185023405433</v>
      </c>
      <c r="CN36">
        <v>3.8808070171722604</v>
      </c>
      <c r="CO36">
        <v>2952.5179786646554</v>
      </c>
      <c r="CP36">
        <v>3.2416606932043015</v>
      </c>
      <c r="CQ36">
        <v>2466.2554553898326</v>
      </c>
      <c r="CR36">
        <v>11.376461512423536</v>
      </c>
      <c r="CS36">
        <v>8655.2119186518248</v>
      </c>
      <c r="CT36">
        <v>5.8610159245592994</v>
      </c>
      <c r="CU36">
        <v>4459.0609154047152</v>
      </c>
    </row>
    <row r="37" spans="2:99">
      <c r="B37" s="99" t="s">
        <v>128</v>
      </c>
      <c r="C37" s="99" t="s">
        <v>203</v>
      </c>
      <c r="D37">
        <v>9.5866937244422648</v>
      </c>
      <c r="E37">
        <v>8248.3912805101245</v>
      </c>
      <c r="F37">
        <v>12.987385485935214</v>
      </c>
      <c r="G37">
        <v>11174.346472098658</v>
      </c>
      <c r="H37">
        <v>12.979283363852344</v>
      </c>
      <c r="I37">
        <v>11167.375406258558</v>
      </c>
      <c r="J37">
        <v>9.2306313780330917</v>
      </c>
      <c r="K37">
        <v>7942.035237659672</v>
      </c>
      <c r="L37">
        <v>13.333125877349678</v>
      </c>
      <c r="M37">
        <v>11471.821504871663</v>
      </c>
      <c r="N37">
        <v>11.679610132520027</v>
      </c>
      <c r="O37">
        <v>10049.136558020231</v>
      </c>
      <c r="P37">
        <v>17.848688006207293</v>
      </c>
      <c r="Q37">
        <v>15357.011160540755</v>
      </c>
      <c r="R37">
        <v>12.828547441660429</v>
      </c>
      <c r="S37">
        <v>11037.682218804634</v>
      </c>
      <c r="T37">
        <v>14.364100236816048</v>
      </c>
      <c r="U37">
        <v>12358.871843756528</v>
      </c>
      <c r="V37">
        <v>2.8820902505091759</v>
      </c>
      <c r="W37">
        <v>2479.7504515380947</v>
      </c>
      <c r="X37">
        <v>14.794566405584717</v>
      </c>
      <c r="Y37">
        <v>12729.24493536509</v>
      </c>
      <c r="Z37">
        <v>12.341293989931579</v>
      </c>
      <c r="AA37">
        <v>10618.449348937131</v>
      </c>
      <c r="AB37">
        <v>16</v>
      </c>
      <c r="AC37">
        <v>13766.4</v>
      </c>
      <c r="AD37">
        <v>9.9069297782233114</v>
      </c>
      <c r="AE37">
        <v>8523.9223811833363</v>
      </c>
      <c r="AF37">
        <v>11.654941871803958</v>
      </c>
      <c r="AG37">
        <v>10027.911986500125</v>
      </c>
      <c r="AH37">
        <v>10.435611361248787</v>
      </c>
      <c r="AI37">
        <v>8978.8000152184559</v>
      </c>
      <c r="AJ37">
        <v>5.1451644953497295</v>
      </c>
      <c r="AK37">
        <v>4426.8995317989074</v>
      </c>
      <c r="AL37">
        <v>9.5218254855705844</v>
      </c>
      <c r="AM37">
        <v>8192.5786477849306</v>
      </c>
      <c r="AN37">
        <v>15.025293803504114</v>
      </c>
      <c r="AO37">
        <v>12927.762788534939</v>
      </c>
      <c r="AP37">
        <v>11.633707666952972</v>
      </c>
      <c r="AQ37">
        <v>10009.642076646336</v>
      </c>
      <c r="AR37">
        <v>12.061144530371427</v>
      </c>
      <c r="AS37">
        <v>10377.408753931575</v>
      </c>
      <c r="AT37">
        <v>11.430300558050341</v>
      </c>
      <c r="AU37">
        <v>9834.6306001465127</v>
      </c>
      <c r="AV37">
        <v>6.8689757266280829</v>
      </c>
      <c r="AW37">
        <v>5910.0667151908019</v>
      </c>
      <c r="AX37">
        <v>15.124113122922383</v>
      </c>
      <c r="AY37">
        <v>13012.786930962418</v>
      </c>
      <c r="AZ37">
        <v>19</v>
      </c>
      <c r="BA37">
        <v>16347.6</v>
      </c>
      <c r="BB37">
        <v>12.514426511254033</v>
      </c>
      <c r="BC37">
        <v>10767.41257028297</v>
      </c>
      <c r="BD37">
        <v>6.11780549618764</v>
      </c>
      <c r="BE37">
        <v>5263.7598489198454</v>
      </c>
      <c r="BF37">
        <v>19.154774659395482</v>
      </c>
      <c r="BG37">
        <v>16480.768116943873</v>
      </c>
      <c r="BH37">
        <v>18</v>
      </c>
      <c r="BI37">
        <v>15487.199999999999</v>
      </c>
      <c r="BJ37">
        <v>2.3660410179178539</v>
      </c>
      <c r="BK37">
        <v>2035.7416918165216</v>
      </c>
      <c r="BL37">
        <v>17.801704249168221</v>
      </c>
      <c r="BM37">
        <v>15316.586335984337</v>
      </c>
      <c r="BN37">
        <v>14</v>
      </c>
      <c r="BO37">
        <v>12045.6</v>
      </c>
      <c r="BP37">
        <v>15</v>
      </c>
      <c r="BQ37">
        <v>12906</v>
      </c>
      <c r="BR37">
        <v>4.3665842057076052</v>
      </c>
      <c r="BS37">
        <v>3757.0090505908233</v>
      </c>
      <c r="BT37">
        <v>6.5269502131835244</v>
      </c>
      <c r="BU37">
        <v>5615.787963423104</v>
      </c>
      <c r="BV37">
        <v>12.480753100324085</v>
      </c>
      <c r="BW37">
        <v>10738.439967518843</v>
      </c>
      <c r="BX37">
        <v>17</v>
      </c>
      <c r="BY37">
        <v>14626.8</v>
      </c>
      <c r="BZ37">
        <v>18.525601733653627</v>
      </c>
      <c r="CA37">
        <v>15939.42773163558</v>
      </c>
      <c r="CB37">
        <v>6.3992354818355741</v>
      </c>
      <c r="CC37">
        <v>5505.9022085713277</v>
      </c>
      <c r="CD37">
        <v>2.9619597985660331</v>
      </c>
      <c r="CE37">
        <v>2548.4702106862146</v>
      </c>
      <c r="CF37">
        <v>22.671906808346108</v>
      </c>
      <c r="CG37">
        <v>19506.90861790099</v>
      </c>
      <c r="CH37">
        <v>10</v>
      </c>
      <c r="CI37">
        <v>8604</v>
      </c>
      <c r="CJ37">
        <v>18</v>
      </c>
      <c r="CK37">
        <v>15487.199999999999</v>
      </c>
      <c r="CL37">
        <v>11.384096953258668</v>
      </c>
      <c r="CM37">
        <v>9794.8770185837584</v>
      </c>
      <c r="CN37">
        <v>4.9329488668380828</v>
      </c>
      <c r="CO37">
        <v>4244.3092050274863</v>
      </c>
      <c r="CP37">
        <v>7.3510874279809784</v>
      </c>
      <c r="CQ37">
        <v>6324.8756230348336</v>
      </c>
      <c r="CR37">
        <v>21.204403823370594</v>
      </c>
      <c r="CS37">
        <v>18244.269049628059</v>
      </c>
      <c r="CT37">
        <v>18.559883761104448</v>
      </c>
      <c r="CU37">
        <v>15968.923988054266</v>
      </c>
    </row>
    <row r="38" spans="2:99">
      <c r="C38" s="99" t="s">
        <v>204</v>
      </c>
      <c r="D38">
        <v>8.1534096479615847</v>
      </c>
      <c r="E38">
        <v>10126.534782768289</v>
      </c>
      <c r="F38">
        <v>12.295611151840868</v>
      </c>
      <c r="G38">
        <v>15271.149050586358</v>
      </c>
      <c r="H38">
        <v>12.215667778445397</v>
      </c>
      <c r="I38">
        <v>15171.859380829183</v>
      </c>
      <c r="J38">
        <v>10.0600961744417</v>
      </c>
      <c r="K38">
        <v>12494.639448656591</v>
      </c>
      <c r="L38">
        <v>11.446059495926294</v>
      </c>
      <c r="M38">
        <v>14216.005893940457</v>
      </c>
      <c r="N38">
        <v>11.097938135055655</v>
      </c>
      <c r="O38">
        <v>13783.639163739123</v>
      </c>
      <c r="P38">
        <v>15.848688006207293</v>
      </c>
      <c r="Q38">
        <v>19684.070503709459</v>
      </c>
      <c r="R38">
        <v>11.841736099994241</v>
      </c>
      <c r="S38">
        <v>14707.436236192847</v>
      </c>
      <c r="T38">
        <v>13.566094668104045</v>
      </c>
      <c r="U38">
        <v>16849.089577785224</v>
      </c>
      <c r="V38">
        <v>2.561858000452601</v>
      </c>
      <c r="W38">
        <v>3181.8276365621305</v>
      </c>
      <c r="X38">
        <v>13.234821675247426</v>
      </c>
      <c r="Y38">
        <v>16437.648520657302</v>
      </c>
      <c r="Z38">
        <v>11.265450881057895</v>
      </c>
      <c r="AA38">
        <v>13991.689994273906</v>
      </c>
      <c r="AB38">
        <v>13</v>
      </c>
      <c r="AC38">
        <v>16146</v>
      </c>
      <c r="AD38">
        <v>9.9069297782233114</v>
      </c>
      <c r="AE38">
        <v>12304.406784553354</v>
      </c>
      <c r="AF38">
        <v>12.413736452772085</v>
      </c>
      <c r="AG38">
        <v>15417.86067434293</v>
      </c>
      <c r="AH38">
        <v>10.435611361248787</v>
      </c>
      <c r="AI38">
        <v>12961.029310670994</v>
      </c>
      <c r="AJ38">
        <v>4.8508973879475352</v>
      </c>
      <c r="AK38">
        <v>6024.8145558308388</v>
      </c>
      <c r="AL38">
        <v>8.3787689771758753</v>
      </c>
      <c r="AM38">
        <v>10406.431069652437</v>
      </c>
      <c r="AN38">
        <v>15.025293803504114</v>
      </c>
      <c r="AO38">
        <v>18661.414903952111</v>
      </c>
      <c r="AP38">
        <v>10.664232028040223</v>
      </c>
      <c r="AQ38">
        <v>13244.976178825957</v>
      </c>
      <c r="AR38">
        <v>11.307322997223213</v>
      </c>
      <c r="AS38">
        <v>14043.695162551232</v>
      </c>
      <c r="AT38">
        <v>10.764002617145755</v>
      </c>
      <c r="AU38">
        <v>13368.891250495028</v>
      </c>
      <c r="AV38">
        <v>5.7347767862653747</v>
      </c>
      <c r="AW38">
        <v>7122.5927685415954</v>
      </c>
      <c r="AX38">
        <v>14.963525533933471</v>
      </c>
      <c r="AY38">
        <v>18584.698713145372</v>
      </c>
      <c r="AZ38">
        <v>18</v>
      </c>
      <c r="BA38">
        <v>22356</v>
      </c>
      <c r="BB38">
        <v>11.778283775297913</v>
      </c>
      <c r="BC38">
        <v>14628.628448920008</v>
      </c>
      <c r="BD38">
        <v>5.7203755692808045</v>
      </c>
      <c r="BE38">
        <v>7104.7064570467592</v>
      </c>
      <c r="BF38">
        <v>20.989806850910416</v>
      </c>
      <c r="BG38">
        <v>26069.340108830736</v>
      </c>
      <c r="BH38">
        <v>14</v>
      </c>
      <c r="BI38">
        <v>17388</v>
      </c>
      <c r="BJ38">
        <v>2.3660410179178539</v>
      </c>
      <c r="BK38">
        <v>2938.6229442539748</v>
      </c>
      <c r="BL38">
        <v>17.801704249168221</v>
      </c>
      <c r="BM38">
        <v>22109.716677466931</v>
      </c>
      <c r="BN38">
        <v>13</v>
      </c>
      <c r="BO38">
        <v>16146</v>
      </c>
      <c r="BP38">
        <v>15</v>
      </c>
      <c r="BQ38">
        <v>18630</v>
      </c>
      <c r="BR38">
        <v>4.7635464062264781</v>
      </c>
      <c r="BS38">
        <v>5916.3246365332861</v>
      </c>
      <c r="BT38">
        <v>6.9000207149587336</v>
      </c>
      <c r="BU38">
        <v>8569.8257279787467</v>
      </c>
      <c r="BV38">
        <v>12.645281222582316</v>
      </c>
      <c r="BW38">
        <v>15705.439278447237</v>
      </c>
      <c r="BX38">
        <v>15</v>
      </c>
      <c r="BY38">
        <v>18630</v>
      </c>
      <c r="BZ38">
        <v>17.550570063461329</v>
      </c>
      <c r="CA38">
        <v>21797.808018818971</v>
      </c>
      <c r="CB38">
        <v>6.0792737077437957</v>
      </c>
      <c r="CC38">
        <v>7550.4579450177944</v>
      </c>
      <c r="CD38">
        <v>2.9654761654065749</v>
      </c>
      <c r="CE38">
        <v>3683.1213974349662</v>
      </c>
      <c r="CF38">
        <v>19.689652988741422</v>
      </c>
      <c r="CG38">
        <v>24454.549012016847</v>
      </c>
      <c r="CH38">
        <v>11</v>
      </c>
      <c r="CI38">
        <v>13662</v>
      </c>
      <c r="CJ38">
        <v>17</v>
      </c>
      <c r="CK38">
        <v>21114</v>
      </c>
      <c r="CL38">
        <v>9.5866079606388794</v>
      </c>
      <c r="CM38">
        <v>11906.567087113488</v>
      </c>
      <c r="CN38">
        <v>4.5478181718441686</v>
      </c>
      <c r="CO38">
        <v>5648.3901694304577</v>
      </c>
      <c r="CP38">
        <v>7.0548491205128361</v>
      </c>
      <c r="CQ38">
        <v>8762.1226076769417</v>
      </c>
      <c r="CR38">
        <v>21.204403823370594</v>
      </c>
      <c r="CS38">
        <v>26335.869548626277</v>
      </c>
      <c r="CT38">
        <v>15.629375798824796</v>
      </c>
      <c r="CU38">
        <v>19411.684742140398</v>
      </c>
    </row>
    <row r="39" spans="2:99">
      <c r="C39" s="99" t="s">
        <v>205</v>
      </c>
      <c r="D39">
        <v>8.6266757856592804</v>
      </c>
      <c r="E39">
        <v>12277.484978150289</v>
      </c>
      <c r="F39">
        <v>12.984848119208518</v>
      </c>
      <c r="G39">
        <v>18480.035843257563</v>
      </c>
      <c r="H39">
        <v>12.213176717279824</v>
      </c>
      <c r="I39">
        <v>17381.793104032648</v>
      </c>
      <c r="J39">
        <v>9.2128782751100236</v>
      </c>
      <c r="K39">
        <v>13111.768361136586</v>
      </c>
      <c r="L39">
        <v>12.670964016383021</v>
      </c>
      <c r="M39">
        <v>18033.315988116316</v>
      </c>
      <c r="N39">
        <v>11.02118762866526</v>
      </c>
      <c r="O39">
        <v>15685.354233116399</v>
      </c>
      <c r="P39">
        <v>17.848688006207293</v>
      </c>
      <c r="Q39">
        <v>25402.252770434221</v>
      </c>
      <c r="R39">
        <v>10.854924758328055</v>
      </c>
      <c r="S39">
        <v>15448.728916052489</v>
      </c>
      <c r="T39">
        <v>12.768089099392041</v>
      </c>
      <c r="U39">
        <v>18171.544406254754</v>
      </c>
      <c r="V39">
        <v>2.7219741254808882</v>
      </c>
      <c r="W39">
        <v>3873.9135753844002</v>
      </c>
      <c r="X39">
        <v>13.090033640067029</v>
      </c>
      <c r="Y39">
        <v>18629.735876543396</v>
      </c>
      <c r="Z39">
        <v>13</v>
      </c>
      <c r="AA39">
        <v>18501.600000000002</v>
      </c>
      <c r="AB39">
        <v>13</v>
      </c>
      <c r="AC39">
        <v>18501.600000000002</v>
      </c>
      <c r="AD39">
        <v>9.9069297782233114</v>
      </c>
      <c r="AE39">
        <v>14099.542460367416</v>
      </c>
      <c r="AF39">
        <v>11.605807693792046</v>
      </c>
      <c r="AG39">
        <v>16517.385509804841</v>
      </c>
      <c r="AH39">
        <v>10.312469667525784</v>
      </c>
      <c r="AI39">
        <v>14676.706830822697</v>
      </c>
      <c r="AJ39">
        <v>4.8014763340436071</v>
      </c>
      <c r="AK39">
        <v>6833.4611186108614</v>
      </c>
      <c r="AL39">
        <v>8.9040333071753714</v>
      </c>
      <c r="AM39">
        <v>12672.220202771989</v>
      </c>
      <c r="AN39">
        <v>16.025293803504113</v>
      </c>
      <c r="AO39">
        <v>22807.198141147055</v>
      </c>
      <c r="AP39">
        <v>10.664232028040223</v>
      </c>
      <c r="AQ39">
        <v>15177.335022306845</v>
      </c>
      <c r="AR39">
        <v>10.553501464075</v>
      </c>
      <c r="AS39">
        <v>15019.74328367154</v>
      </c>
      <c r="AT39">
        <v>12.671217297253479</v>
      </c>
      <c r="AU39">
        <v>18033.676457451151</v>
      </c>
      <c r="AV39">
        <v>6.1075279260152913</v>
      </c>
      <c r="AW39">
        <v>8692.2337443049637</v>
      </c>
      <c r="AX39">
        <v>16.124113122922381</v>
      </c>
      <c r="AY39">
        <v>22947.837796543132</v>
      </c>
      <c r="AZ39">
        <v>20</v>
      </c>
      <c r="BA39">
        <v>28464</v>
      </c>
      <c r="BB39">
        <v>11.778283775297913</v>
      </c>
      <c r="BC39">
        <v>16762.853469003989</v>
      </c>
      <c r="BD39">
        <v>5.7203755692808045</v>
      </c>
      <c r="BE39">
        <v>8141.2385102004409</v>
      </c>
      <c r="BF39">
        <v>19.154774659395482</v>
      </c>
      <c r="BG39">
        <v>27261.075295251652</v>
      </c>
      <c r="BH39">
        <v>17</v>
      </c>
      <c r="BI39">
        <v>24194.400000000001</v>
      </c>
      <c r="BJ39">
        <v>2.3660410179178539</v>
      </c>
      <c r="BK39">
        <v>3367.3495767006898</v>
      </c>
      <c r="BL39">
        <v>15.801704249168219</v>
      </c>
      <c r="BM39">
        <v>22488.985487416212</v>
      </c>
      <c r="BN39">
        <v>13</v>
      </c>
      <c r="BO39">
        <v>18501.600000000002</v>
      </c>
      <c r="BP39">
        <v>15</v>
      </c>
      <c r="BQ39">
        <v>21348</v>
      </c>
      <c r="BR39">
        <v>3.9696220051887319</v>
      </c>
      <c r="BS39">
        <v>5649.5660377846034</v>
      </c>
      <c r="BT39">
        <v>6.9184958832592303</v>
      </c>
      <c r="BU39">
        <v>9846.4033410545362</v>
      </c>
      <c r="BV39">
        <v>12.480753100324085</v>
      </c>
      <c r="BW39">
        <v>17762.607812381237</v>
      </c>
      <c r="BX39">
        <v>15</v>
      </c>
      <c r="BY39">
        <v>21348</v>
      </c>
      <c r="BZ39">
        <v>15.600506723076737</v>
      </c>
      <c r="CA39">
        <v>22202.641168282815</v>
      </c>
      <c r="CB39">
        <v>6.0792737077437957</v>
      </c>
      <c r="CC39">
        <v>8652.0223408609709</v>
      </c>
      <c r="CD39">
        <v>2.9619597985660331</v>
      </c>
      <c r="CE39">
        <v>4215.4611853191782</v>
      </c>
      <c r="CF39">
        <v>20.68373759527632</v>
      </c>
      <c r="CG39">
        <v>29437.095345597259</v>
      </c>
      <c r="CH39">
        <v>10</v>
      </c>
      <c r="CI39">
        <v>14232</v>
      </c>
      <c r="CJ39">
        <v>15</v>
      </c>
      <c r="CK39">
        <v>21348</v>
      </c>
      <c r="CL39">
        <v>10.784933955718738</v>
      </c>
      <c r="CM39">
        <v>15349.11800577891</v>
      </c>
      <c r="CN39">
        <v>4.1921875440833745</v>
      </c>
      <c r="CO39">
        <v>5966.3213127394583</v>
      </c>
      <c r="CP39">
        <v>7.4191820909048207</v>
      </c>
      <c r="CQ39">
        <v>10558.979951775742</v>
      </c>
      <c r="CR39">
        <v>19.204403823370594</v>
      </c>
      <c r="CS39">
        <v>27331.707521421031</v>
      </c>
      <c r="CT39">
        <v>15.629375798824796</v>
      </c>
      <c r="CU39">
        <v>22243.727636887452</v>
      </c>
    </row>
    <row r="40" spans="2:99">
      <c r="C40" s="99" t="s">
        <v>206</v>
      </c>
      <c r="D40">
        <v>8.6266757856592804</v>
      </c>
      <c r="E40">
        <v>6252.6146094458463</v>
      </c>
      <c r="F40">
        <v>13.676622453302862</v>
      </c>
      <c r="G40">
        <v>9912.8159541539135</v>
      </c>
      <c r="H40">
        <v>11.598308306045562</v>
      </c>
      <c r="I40">
        <v>8406.4538602218217</v>
      </c>
      <c r="J40">
        <v>9.2306313780330917</v>
      </c>
      <c r="K40">
        <v>6690.3616227983848</v>
      </c>
      <c r="L40">
        <v>13.317729795881974</v>
      </c>
      <c r="M40">
        <v>9652.6905560552532</v>
      </c>
      <c r="N40">
        <v>9.9237235038112068</v>
      </c>
      <c r="O40">
        <v>7192.7147955623623</v>
      </c>
      <c r="P40">
        <v>17.018425607448751</v>
      </c>
      <c r="Q40">
        <v>12334.954880278854</v>
      </c>
      <c r="R40">
        <v>13.815358783326616</v>
      </c>
      <c r="S40">
        <v>10013.372046155131</v>
      </c>
      <c r="T40">
        <v>15.960111374240054</v>
      </c>
      <c r="U40">
        <v>11567.888724049189</v>
      </c>
      <c r="V40">
        <v>3.0422063755374635</v>
      </c>
      <c r="W40">
        <v>2204.9911809895534</v>
      </c>
      <c r="X40">
        <v>14.794566405584717</v>
      </c>
      <c r="Y40">
        <v>10723.101730767803</v>
      </c>
      <c r="Z40">
        <v>11.341293989931579</v>
      </c>
      <c r="AA40">
        <v>8220.1698839024084</v>
      </c>
      <c r="AB40">
        <v>14</v>
      </c>
      <c r="AC40">
        <v>10147.199999999999</v>
      </c>
      <c r="AD40">
        <v>10.897622756045642</v>
      </c>
      <c r="AE40">
        <v>7898.5969735818808</v>
      </c>
      <c r="AF40">
        <v>13.27079938976404</v>
      </c>
      <c r="AG40">
        <v>9618.6753977009757</v>
      </c>
      <c r="AH40">
        <v>10.435611361248787</v>
      </c>
      <c r="AI40">
        <v>7563.7311146331203</v>
      </c>
      <c r="AJ40">
        <v>5.1451644953497295</v>
      </c>
      <c r="AK40">
        <v>3729.2152262294835</v>
      </c>
      <c r="AL40">
        <v>9.5259549061489004</v>
      </c>
      <c r="AM40">
        <v>6904.4121159767228</v>
      </c>
      <c r="AN40">
        <v>18.025293803504113</v>
      </c>
      <c r="AO40">
        <v>13064.73294877978</v>
      </c>
      <c r="AP40">
        <v>11.633707666952972</v>
      </c>
      <c r="AQ40">
        <v>8432.1113170075132</v>
      </c>
      <c r="AR40">
        <v>12.061144530371427</v>
      </c>
      <c r="AS40">
        <v>8741.9175556132104</v>
      </c>
      <c r="AT40">
        <v>12.102152400913189</v>
      </c>
      <c r="AU40">
        <v>8771.6400601818787</v>
      </c>
      <c r="AV40">
        <v>6.4962245868781663</v>
      </c>
      <c r="AW40">
        <v>4708.4635805692942</v>
      </c>
      <c r="AX40">
        <v>15.124113122922383</v>
      </c>
      <c r="AY40">
        <v>10961.957191494143</v>
      </c>
      <c r="AZ40">
        <v>21</v>
      </c>
      <c r="BA40">
        <v>15220.8</v>
      </c>
      <c r="BB40">
        <v>13.986711983166273</v>
      </c>
      <c r="BC40">
        <v>10137.568845398915</v>
      </c>
      <c r="BD40">
        <v>6.5152354230944747</v>
      </c>
      <c r="BE40">
        <v>4722.2426346588745</v>
      </c>
      <c r="BF40">
        <v>23.319742467880552</v>
      </c>
      <c r="BG40">
        <v>16902.149340719821</v>
      </c>
      <c r="BH40">
        <v>16</v>
      </c>
      <c r="BI40">
        <v>11596.8</v>
      </c>
      <c r="BJ40">
        <v>2.3660410179178539</v>
      </c>
      <c r="BK40">
        <v>1714.9065297868603</v>
      </c>
      <c r="BL40">
        <v>18.801704249168221</v>
      </c>
      <c r="BM40">
        <v>13627.475239797126</v>
      </c>
      <c r="BN40">
        <v>15</v>
      </c>
      <c r="BO40">
        <v>10872</v>
      </c>
      <c r="BP40">
        <v>16</v>
      </c>
      <c r="BQ40">
        <v>11596.8</v>
      </c>
      <c r="BR40">
        <v>5.1605086067453518</v>
      </c>
      <c r="BS40">
        <v>3740.3366381690307</v>
      </c>
      <c r="BT40">
        <v>7.2730912167339428</v>
      </c>
      <c r="BU40">
        <v>5271.536513888761</v>
      </c>
      <c r="BV40">
        <v>12.645281222582316</v>
      </c>
      <c r="BW40">
        <v>9165.2998301276621</v>
      </c>
      <c r="BX40">
        <v>17</v>
      </c>
      <c r="BY40">
        <v>12321.599999999999</v>
      </c>
      <c r="BZ40">
        <v>17.550570063461329</v>
      </c>
      <c r="CA40">
        <v>12720.653181996771</v>
      </c>
      <c r="CB40">
        <v>5.7593119336520164</v>
      </c>
      <c r="CC40">
        <v>4174.3492895109812</v>
      </c>
      <c r="CD40">
        <v>2.9619597985660331</v>
      </c>
      <c r="CE40">
        <v>2146.8284620006607</v>
      </c>
      <c r="CF40">
        <v>19.850062081657107</v>
      </c>
      <c r="CG40">
        <v>14387.32499678507</v>
      </c>
      <c r="CH40">
        <v>12</v>
      </c>
      <c r="CI40">
        <v>8697.5999999999985</v>
      </c>
      <c r="CJ40">
        <v>18</v>
      </c>
      <c r="CK40">
        <v>13046.4</v>
      </c>
      <c r="CL40">
        <v>9.5866079606388794</v>
      </c>
      <c r="CM40">
        <v>6948.3734498710592</v>
      </c>
      <c r="CN40">
        <v>4.9329488668380828</v>
      </c>
      <c r="CO40">
        <v>3575.4013386842421</v>
      </c>
      <c r="CP40">
        <v>7.7900548891422918</v>
      </c>
      <c r="CQ40">
        <v>5646.2317836503325</v>
      </c>
      <c r="CR40">
        <v>21.204403823370594</v>
      </c>
      <c r="CS40">
        <v>15368.951891179006</v>
      </c>
      <c r="CT40">
        <v>16.606211786251347</v>
      </c>
      <c r="CU40">
        <v>12036.182302674975</v>
      </c>
    </row>
    <row r="41" spans="2:99">
      <c r="C41" s="99" t="s">
        <v>207</v>
      </c>
      <c r="D41">
        <v>10.05995986213996</v>
      </c>
      <c r="E41">
        <v>6639.5735090123735</v>
      </c>
      <c r="F41">
        <v>14.370934154123905</v>
      </c>
      <c r="G41">
        <v>9484.816541721777</v>
      </c>
      <c r="H41">
        <v>12.213176717279824</v>
      </c>
      <c r="I41">
        <v>8060.6966334046838</v>
      </c>
      <c r="J41">
        <v>9.2306313780330917</v>
      </c>
      <c r="K41">
        <v>6092.2167095018403</v>
      </c>
      <c r="L41">
        <v>13.964495575380926</v>
      </c>
      <c r="M41">
        <v>9216.5670797514122</v>
      </c>
      <c r="N41">
        <v>10.512642592152714</v>
      </c>
      <c r="O41">
        <v>6938.3441108207917</v>
      </c>
      <c r="P41">
        <v>17.018425607448751</v>
      </c>
      <c r="Q41">
        <v>11232.160900916177</v>
      </c>
      <c r="R41">
        <v>11.841736099994241</v>
      </c>
      <c r="S41">
        <v>7815.5458259961997</v>
      </c>
      <c r="T41">
        <v>14.364100236816048</v>
      </c>
      <c r="U41">
        <v>9480.3061562985913</v>
      </c>
      <c r="V41">
        <v>2.561858000452601</v>
      </c>
      <c r="W41">
        <v>1690.8262802987167</v>
      </c>
      <c r="X41">
        <v>16.499099171102408</v>
      </c>
      <c r="Y41">
        <v>10889.405452927589</v>
      </c>
      <c r="Z41">
        <v>13</v>
      </c>
      <c r="AA41">
        <v>8580</v>
      </c>
      <c r="AB41">
        <v>14</v>
      </c>
      <c r="AC41">
        <v>9240</v>
      </c>
      <c r="AD41">
        <v>10.897622756045642</v>
      </c>
      <c r="AE41">
        <v>7192.4310189901234</v>
      </c>
      <c r="AF41">
        <v>14.07872814874408</v>
      </c>
      <c r="AG41">
        <v>9291.9605781710925</v>
      </c>
      <c r="AH41">
        <v>11.233412986681101</v>
      </c>
      <c r="AI41">
        <v>7414.0525712095268</v>
      </c>
      <c r="AJ41">
        <v>5.8294365328961018</v>
      </c>
      <c r="AK41">
        <v>3847.4281117114269</v>
      </c>
      <c r="AL41">
        <v>10.576483566147893</v>
      </c>
      <c r="AM41">
        <v>6980.4791536576095</v>
      </c>
      <c r="AN41">
        <v>17.196176104088131</v>
      </c>
      <c r="AO41">
        <v>11349.476228698166</v>
      </c>
      <c r="AP41">
        <v>11.633707666952972</v>
      </c>
      <c r="AQ41">
        <v>7678.2470601889618</v>
      </c>
      <c r="AR41">
        <v>12.061144530371427</v>
      </c>
      <c r="AS41">
        <v>7960.3553900451416</v>
      </c>
      <c r="AT41">
        <v>13.431971331743229</v>
      </c>
      <c r="AU41">
        <v>8865.1010789505308</v>
      </c>
      <c r="AV41">
        <v>6.8689757266280829</v>
      </c>
      <c r="AW41">
        <v>4533.5239795745347</v>
      </c>
      <c r="AX41">
        <v>16.124113122922381</v>
      </c>
      <c r="AY41">
        <v>10641.914661128772</v>
      </c>
      <c r="AZ41">
        <v>22</v>
      </c>
      <c r="BA41">
        <v>14520</v>
      </c>
      <c r="BB41">
        <v>13.250569247210152</v>
      </c>
      <c r="BC41">
        <v>8745.3757031586993</v>
      </c>
      <c r="BD41">
        <v>6.11780549618764</v>
      </c>
      <c r="BE41">
        <v>4037.7516274838426</v>
      </c>
      <c r="BF41">
        <v>20.154774659395482</v>
      </c>
      <c r="BG41">
        <v>13302.151275201019</v>
      </c>
      <c r="BH41">
        <v>18</v>
      </c>
      <c r="BI41">
        <v>11880</v>
      </c>
      <c r="BJ41">
        <v>2.3660410179178539</v>
      </c>
      <c r="BK41">
        <v>1561.5870718257836</v>
      </c>
      <c r="BL41">
        <v>18.801704249168221</v>
      </c>
      <c r="BM41">
        <v>12409.124804451027</v>
      </c>
      <c r="BN41">
        <v>13</v>
      </c>
      <c r="BO41">
        <v>8580</v>
      </c>
      <c r="BP41">
        <v>17</v>
      </c>
      <c r="BQ41">
        <v>11220</v>
      </c>
      <c r="BR41">
        <v>4.3665842057076052</v>
      </c>
      <c r="BS41">
        <v>2881.9455757670194</v>
      </c>
      <c r="BT41">
        <v>6.172354879708811</v>
      </c>
      <c r="BU41">
        <v>4073.7542206078151</v>
      </c>
      <c r="BV41">
        <v>11.480753100324085</v>
      </c>
      <c r="BW41">
        <v>7577.2970462138965</v>
      </c>
      <c r="BX41">
        <v>18</v>
      </c>
      <c r="BY41">
        <v>11880</v>
      </c>
      <c r="BZ41">
        <v>18.525601733653627</v>
      </c>
      <c r="CA41">
        <v>12226.897144211394</v>
      </c>
      <c r="CB41">
        <v>6.0792737077437957</v>
      </c>
      <c r="CC41">
        <v>4012.3206471109052</v>
      </c>
      <c r="CD41">
        <v>3.4287123018026335</v>
      </c>
      <c r="CE41">
        <v>2262.950119189738</v>
      </c>
      <c r="CF41">
        <v>19.850062081657107</v>
      </c>
      <c r="CG41">
        <v>13101.040973893691</v>
      </c>
      <c r="CH41">
        <v>11</v>
      </c>
      <c r="CI41">
        <v>7260</v>
      </c>
      <c r="CJ41">
        <v>16</v>
      </c>
      <c r="CK41">
        <v>10560</v>
      </c>
      <c r="CL41">
        <v>10.185770958178809</v>
      </c>
      <c r="CM41">
        <v>6722.6088323980139</v>
      </c>
      <c r="CN41">
        <v>4.5625682054607282</v>
      </c>
      <c r="CO41">
        <v>3011.2950156040806</v>
      </c>
      <c r="CP41">
        <v>8.8928635420864737</v>
      </c>
      <c r="CQ41">
        <v>5869.2899377770727</v>
      </c>
      <c r="CR41">
        <v>21.204403823370594</v>
      </c>
      <c r="CS41">
        <v>13994.906523424592</v>
      </c>
      <c r="CT41">
        <v>16.606211786251347</v>
      </c>
      <c r="CU41">
        <v>10960.099778925889</v>
      </c>
    </row>
    <row r="42" spans="2:99">
      <c r="C42" s="99" t="s">
        <v>208</v>
      </c>
      <c r="D42">
        <v>8.6401614490468752</v>
      </c>
      <c r="E42">
        <v>7309.5765858936566</v>
      </c>
      <c r="F42">
        <v>14.370934154123905</v>
      </c>
      <c r="G42">
        <v>12157.810294388824</v>
      </c>
      <c r="H42">
        <v>12.288795834948955</v>
      </c>
      <c r="I42">
        <v>10396.321276366816</v>
      </c>
      <c r="J42">
        <v>10.0600961744417</v>
      </c>
      <c r="K42">
        <v>8510.8413635776778</v>
      </c>
      <c r="L42">
        <v>13.334525521119469</v>
      </c>
      <c r="M42">
        <v>11281.00859086707</v>
      </c>
      <c r="N42">
        <v>9.8542200882979447</v>
      </c>
      <c r="O42">
        <v>8336.670194700062</v>
      </c>
      <c r="P42">
        <v>18.018425607448751</v>
      </c>
      <c r="Q42">
        <v>15243.588063901643</v>
      </c>
      <c r="R42">
        <v>12.828547441660429</v>
      </c>
      <c r="S42">
        <v>10852.951135644724</v>
      </c>
      <c r="T42">
        <v>16.758116942952057</v>
      </c>
      <c r="U42">
        <v>14177.366933737439</v>
      </c>
      <c r="V42">
        <v>2.7219741254808882</v>
      </c>
      <c r="W42">
        <v>2302.7901101568314</v>
      </c>
      <c r="X42">
        <v>14.087088058006271</v>
      </c>
      <c r="Y42">
        <v>11917.676497073306</v>
      </c>
      <c r="Z42">
        <v>13</v>
      </c>
      <c r="AA42">
        <v>10998</v>
      </c>
      <c r="AB42">
        <v>15</v>
      </c>
      <c r="AC42">
        <v>12690</v>
      </c>
      <c r="AD42">
        <v>10.897622756045642</v>
      </c>
      <c r="AE42">
        <v>9219.3888516146126</v>
      </c>
      <c r="AF42">
        <v>14.07872814874408</v>
      </c>
      <c r="AG42">
        <v>11910.604013837492</v>
      </c>
      <c r="AH42">
        <v>11.233412986681101</v>
      </c>
      <c r="AI42">
        <v>9503.4673867322108</v>
      </c>
      <c r="AJ42">
        <v>5.8788575868000299</v>
      </c>
      <c r="AK42">
        <v>4973.5135184328255</v>
      </c>
      <c r="AL42">
        <v>8.3787689771758753</v>
      </c>
      <c r="AM42">
        <v>7088.4385546907906</v>
      </c>
      <c r="AN42">
        <v>16.025293803504113</v>
      </c>
      <c r="AO42">
        <v>13557.39855776448</v>
      </c>
      <c r="AP42">
        <v>11.633707666952972</v>
      </c>
      <c r="AQ42">
        <v>9842.1166862422142</v>
      </c>
      <c r="AR42">
        <v>12.061144530371427</v>
      </c>
      <c r="AS42">
        <v>10203.728272694227</v>
      </c>
      <c r="AT42">
        <v>12.76289643985951</v>
      </c>
      <c r="AU42">
        <v>10797.410388121145</v>
      </c>
      <c r="AV42">
        <v>6.8689757266280829</v>
      </c>
      <c r="AW42">
        <v>5811.1534647273584</v>
      </c>
      <c r="AX42">
        <v>13.963525533933471</v>
      </c>
      <c r="AY42">
        <v>11813.142601707716</v>
      </c>
      <c r="AZ42">
        <v>18</v>
      </c>
      <c r="BA42">
        <v>15228</v>
      </c>
      <c r="BB42">
        <v>13.250569247210152</v>
      </c>
      <c r="BC42">
        <v>11209.981583139788</v>
      </c>
      <c r="BD42">
        <v>6.11780549618764</v>
      </c>
      <c r="BE42">
        <v>5175.6634497747436</v>
      </c>
      <c r="BF42">
        <v>20.319742467880552</v>
      </c>
      <c r="BG42">
        <v>17190.502127826945</v>
      </c>
      <c r="BH42">
        <v>16</v>
      </c>
      <c r="BI42">
        <v>13536</v>
      </c>
      <c r="BJ42">
        <v>2.5632111027443414</v>
      </c>
      <c r="BK42">
        <v>2168.4765929217128</v>
      </c>
      <c r="BL42">
        <v>16.801704249168221</v>
      </c>
      <c r="BM42">
        <v>14214.241794796315</v>
      </c>
      <c r="BN42">
        <v>13</v>
      </c>
      <c r="BO42">
        <v>10998</v>
      </c>
      <c r="BP42">
        <v>14</v>
      </c>
      <c r="BQ42">
        <v>11844</v>
      </c>
      <c r="BR42">
        <v>4.3665842057076052</v>
      </c>
      <c r="BS42">
        <v>3694.1302380286338</v>
      </c>
      <c r="BT42">
        <v>6.5454253814840202</v>
      </c>
      <c r="BU42">
        <v>5537.4298727354808</v>
      </c>
      <c r="BV42">
        <v>11.645281222582316</v>
      </c>
      <c r="BW42">
        <v>9851.9079143046401</v>
      </c>
      <c r="BX42">
        <v>16</v>
      </c>
      <c r="BY42">
        <v>13536</v>
      </c>
      <c r="BZ42">
        <v>16.575538393269035</v>
      </c>
      <c r="CA42">
        <v>14022.905480705604</v>
      </c>
      <c r="CB42">
        <v>6.7191972559273525</v>
      </c>
      <c r="CC42">
        <v>5684.4408785145406</v>
      </c>
      <c r="CD42">
        <v>2.9654761654065749</v>
      </c>
      <c r="CE42">
        <v>2508.7928359339621</v>
      </c>
      <c r="CF42">
        <v>21.838231294726899</v>
      </c>
      <c r="CG42">
        <v>18475.143675338957</v>
      </c>
      <c r="CH42">
        <v>10</v>
      </c>
      <c r="CI42">
        <v>8460</v>
      </c>
      <c r="CJ42">
        <v>16</v>
      </c>
      <c r="CK42">
        <v>13536</v>
      </c>
      <c r="CL42">
        <v>9.5866079606388794</v>
      </c>
      <c r="CM42">
        <v>8110.2703347004917</v>
      </c>
      <c r="CN42">
        <v>4.5625682054607282</v>
      </c>
      <c r="CO42">
        <v>3859.932701819776</v>
      </c>
      <c r="CP42">
        <v>7.4191820909048207</v>
      </c>
      <c r="CQ42">
        <v>6276.628048905478</v>
      </c>
      <c r="CR42">
        <v>21.376461512423536</v>
      </c>
      <c r="CS42">
        <v>18084.48643951031</v>
      </c>
      <c r="CT42">
        <v>15.629375798824796</v>
      </c>
      <c r="CU42">
        <v>13222.451925805777</v>
      </c>
    </row>
    <row r="43" spans="2:99">
      <c r="C43" s="99" t="s">
        <v>209</v>
      </c>
      <c r="D43">
        <v>10.046474198752366</v>
      </c>
      <c r="E43">
        <v>10271.515220804418</v>
      </c>
      <c r="F43">
        <v>13.681697186756255</v>
      </c>
      <c r="G43">
        <v>13988.167203739595</v>
      </c>
      <c r="H43">
        <v>12.980528894435134</v>
      </c>
      <c r="I43">
        <v>13271.292741670481</v>
      </c>
      <c r="J43">
        <v>8.4011665816244854</v>
      </c>
      <c r="K43">
        <v>8589.3527130528728</v>
      </c>
      <c r="L43">
        <v>13.317729795881974</v>
      </c>
      <c r="M43">
        <v>13616.04694330973</v>
      </c>
      <c r="N43">
        <v>9.3384279609082643</v>
      </c>
      <c r="O43">
        <v>9547.6087472326089</v>
      </c>
      <c r="P43">
        <v>19.018425607448751</v>
      </c>
      <c r="Q43">
        <v>19444.438341055604</v>
      </c>
      <c r="R43">
        <v>12.828547441660429</v>
      </c>
      <c r="S43">
        <v>13115.906904353622</v>
      </c>
      <c r="T43">
        <v>13.566094668104045</v>
      </c>
      <c r="U43">
        <v>13869.975188669576</v>
      </c>
      <c r="V43">
        <v>2.7219741254808882</v>
      </c>
      <c r="W43">
        <v>2782.9463458916603</v>
      </c>
      <c r="X43">
        <v>13.942300022825874</v>
      </c>
      <c r="Y43">
        <v>14254.607543337173</v>
      </c>
      <c r="Z43">
        <v>12.303372435494737</v>
      </c>
      <c r="AA43">
        <v>12578.967978049819</v>
      </c>
      <c r="AB43">
        <v>15</v>
      </c>
      <c r="AC43">
        <v>15336</v>
      </c>
      <c r="AD43">
        <v>9.9069297782233114</v>
      </c>
      <c r="AE43">
        <v>10128.845005255513</v>
      </c>
      <c r="AF43">
        <v>13.221665211752125</v>
      </c>
      <c r="AG43">
        <v>13517.830512495373</v>
      </c>
      <c r="AH43">
        <v>10.435611361248787</v>
      </c>
      <c r="AI43">
        <v>10669.369055740759</v>
      </c>
      <c r="AJ43">
        <v>5.1914812641877832</v>
      </c>
      <c r="AK43">
        <v>5307.7704445055897</v>
      </c>
      <c r="AL43">
        <v>8.9081627277536892</v>
      </c>
      <c r="AM43">
        <v>9107.7055728553714</v>
      </c>
      <c r="AN43">
        <v>16.025293803504113</v>
      </c>
      <c r="AO43">
        <v>16384.260384702604</v>
      </c>
      <c r="AP43">
        <v>9.6947563891274751</v>
      </c>
      <c r="AQ43">
        <v>9911.9189322439306</v>
      </c>
      <c r="AR43">
        <v>12.061144530371427</v>
      </c>
      <c r="AS43">
        <v>12331.314167851748</v>
      </c>
      <c r="AT43">
        <v>12.765673390838643</v>
      </c>
      <c r="AU43">
        <v>13051.624474793429</v>
      </c>
      <c r="AV43">
        <v>6.480279065765207</v>
      </c>
      <c r="AW43">
        <v>6625.4373168383472</v>
      </c>
      <c r="AX43">
        <v>13.963525533933471</v>
      </c>
      <c r="AY43">
        <v>14276.308505893579</v>
      </c>
      <c r="AZ43">
        <v>20</v>
      </c>
      <c r="BA43">
        <v>20448</v>
      </c>
      <c r="BB43">
        <v>13.250569247210152</v>
      </c>
      <c r="BC43">
        <v>13547.381998347659</v>
      </c>
      <c r="BD43">
        <v>5.3229456423739698</v>
      </c>
      <c r="BE43">
        <v>5442.1796247631464</v>
      </c>
      <c r="BF43">
        <v>18.989806850910416</v>
      </c>
      <c r="BG43">
        <v>19415.178524370807</v>
      </c>
      <c r="BH43">
        <v>15</v>
      </c>
      <c r="BI43">
        <v>15336</v>
      </c>
      <c r="BJ43">
        <v>2.5632111027443414</v>
      </c>
      <c r="BK43">
        <v>2620.6270314458147</v>
      </c>
      <c r="BL43">
        <v>18.801704249168221</v>
      </c>
      <c r="BM43">
        <v>19222.862424349591</v>
      </c>
      <c r="BN43">
        <v>14</v>
      </c>
      <c r="BO43">
        <v>14313.6</v>
      </c>
      <c r="BP43">
        <v>13</v>
      </c>
      <c r="BQ43">
        <v>13291.199999999999</v>
      </c>
      <c r="BR43">
        <v>4.3665842057076052</v>
      </c>
      <c r="BS43">
        <v>4464.3956919154552</v>
      </c>
      <c r="BT43">
        <v>6.9000207149587336</v>
      </c>
      <c r="BU43">
        <v>7054.5811789738091</v>
      </c>
      <c r="BV43">
        <v>12.645281222582316</v>
      </c>
      <c r="BW43">
        <v>12928.535521968159</v>
      </c>
      <c r="BX43">
        <v>17</v>
      </c>
      <c r="BY43">
        <v>17380.8</v>
      </c>
      <c r="BZ43">
        <v>17.550570063461329</v>
      </c>
      <c r="CA43">
        <v>17943.702832882864</v>
      </c>
      <c r="CB43">
        <v>5.7593119336520164</v>
      </c>
      <c r="CC43">
        <v>5888.3205209658217</v>
      </c>
      <c r="CD43">
        <v>2.9654761654065749</v>
      </c>
      <c r="CE43">
        <v>3031.9028315116821</v>
      </c>
      <c r="CF43">
        <v>19.689652988741422</v>
      </c>
      <c r="CG43">
        <v>20130.701215689231</v>
      </c>
      <c r="CH43">
        <v>11</v>
      </c>
      <c r="CI43">
        <v>11246.4</v>
      </c>
      <c r="CJ43">
        <v>16</v>
      </c>
      <c r="CK43">
        <v>16358.4</v>
      </c>
      <c r="CL43">
        <v>10.784933955718738</v>
      </c>
      <c r="CM43">
        <v>11026.516476326839</v>
      </c>
      <c r="CN43">
        <v>4.5478181718441686</v>
      </c>
      <c r="CO43">
        <v>4649.6892988934778</v>
      </c>
      <c r="CP43">
        <v>7.3510874279809784</v>
      </c>
      <c r="CQ43">
        <v>7515.7517863677522</v>
      </c>
      <c r="CR43">
        <v>20.204403823370594</v>
      </c>
      <c r="CS43">
        <v>20656.982469014096</v>
      </c>
      <c r="CT43">
        <v>16.606211786251347</v>
      </c>
      <c r="CU43">
        <v>16978.190930263376</v>
      </c>
    </row>
    <row r="44" spans="2:99">
      <c r="C44" s="99" t="s">
        <v>210</v>
      </c>
      <c r="D44">
        <v>8.1668953113491813</v>
      </c>
      <c r="E44">
        <v>8349.8337663234033</v>
      </c>
      <c r="F44">
        <v>13.681697186756255</v>
      </c>
      <c r="G44">
        <v>13988.167203739595</v>
      </c>
      <c r="H44">
        <v>12.906155307348786</v>
      </c>
      <c r="I44">
        <v>13195.253186233398</v>
      </c>
      <c r="J44">
        <v>9.2128782751100236</v>
      </c>
      <c r="K44">
        <v>9419.2467484724875</v>
      </c>
      <c r="L44">
        <v>12.670964016383021</v>
      </c>
      <c r="M44">
        <v>12954.79361035</v>
      </c>
      <c r="N44">
        <v>11.02118762866526</v>
      </c>
      <c r="O44">
        <v>11268.062231547361</v>
      </c>
      <c r="P44">
        <v>17.018425607448751</v>
      </c>
      <c r="Q44">
        <v>17399.638341055605</v>
      </c>
      <c r="R44">
        <v>11.841736099994241</v>
      </c>
      <c r="S44">
        <v>12106.990988634112</v>
      </c>
      <c r="T44">
        <v>14.364100236816048</v>
      </c>
      <c r="U44">
        <v>14685.856082120727</v>
      </c>
      <c r="V44">
        <v>2.561858000452601</v>
      </c>
      <c r="W44">
        <v>2619.2436196627391</v>
      </c>
      <c r="X44">
        <v>13.090033640067029</v>
      </c>
      <c r="Y44">
        <v>13383.25039360453</v>
      </c>
      <c r="Z44">
        <v>11.303372435494737</v>
      </c>
      <c r="AA44">
        <v>11556.567978049819</v>
      </c>
      <c r="AB44">
        <v>14</v>
      </c>
      <c r="AC44">
        <v>14313.6</v>
      </c>
      <c r="AD44">
        <v>10.897622756045642</v>
      </c>
      <c r="AE44">
        <v>11141.729505781064</v>
      </c>
      <c r="AF44">
        <v>13.221665211752125</v>
      </c>
      <c r="AG44">
        <v>13517.830512495373</v>
      </c>
      <c r="AH44">
        <v>11.110271292958096</v>
      </c>
      <c r="AI44">
        <v>11359.141369920357</v>
      </c>
      <c r="AJ44">
        <v>4.8014763340436071</v>
      </c>
      <c r="AK44">
        <v>4909.0294039261835</v>
      </c>
      <c r="AL44">
        <v>10.051219236148397</v>
      </c>
      <c r="AM44">
        <v>10276.36654703812</v>
      </c>
      <c r="AN44">
        <v>17.025293803504113</v>
      </c>
      <c r="AO44">
        <v>17406.660384702605</v>
      </c>
      <c r="AP44">
        <v>10.664232028040223</v>
      </c>
      <c r="AQ44">
        <v>10903.110825468324</v>
      </c>
      <c r="AR44">
        <v>12.061144530371427</v>
      </c>
      <c r="AS44">
        <v>12331.314167851748</v>
      </c>
      <c r="AT44">
        <v>12.096598498954926</v>
      </c>
      <c r="AU44">
        <v>12367.562305331516</v>
      </c>
      <c r="AV44">
        <v>6.8530302055151235</v>
      </c>
      <c r="AW44">
        <v>7006.5380821186618</v>
      </c>
      <c r="AX44">
        <v>13.963525533933471</v>
      </c>
      <c r="AY44">
        <v>14276.308505893579</v>
      </c>
      <c r="AZ44">
        <v>21</v>
      </c>
      <c r="BA44">
        <v>21470.399999999998</v>
      </c>
      <c r="BB44">
        <v>12.514426511254033</v>
      </c>
      <c r="BC44">
        <v>12794.749665106123</v>
      </c>
      <c r="BD44">
        <v>5.3229456423739698</v>
      </c>
      <c r="BE44">
        <v>5442.1796247631464</v>
      </c>
      <c r="BF44">
        <v>21.154774659395482</v>
      </c>
      <c r="BG44">
        <v>21628.641611765939</v>
      </c>
      <c r="BH44">
        <v>17</v>
      </c>
      <c r="BI44">
        <v>17380.8</v>
      </c>
      <c r="BJ44">
        <v>2.168870933091366</v>
      </c>
      <c r="BK44">
        <v>2217.4536419926126</v>
      </c>
      <c r="BL44">
        <v>17.801704249168221</v>
      </c>
      <c r="BM44">
        <v>18200.462424349589</v>
      </c>
      <c r="BN44">
        <v>14</v>
      </c>
      <c r="BO44">
        <v>14313.6</v>
      </c>
      <c r="BP44">
        <v>14</v>
      </c>
      <c r="BQ44">
        <v>14313.6</v>
      </c>
      <c r="BR44">
        <v>4.7635464062264781</v>
      </c>
      <c r="BS44">
        <v>4870.2498457259508</v>
      </c>
      <c r="BT44">
        <v>6.5454253814840202</v>
      </c>
      <c r="BU44">
        <v>6692.0429100292622</v>
      </c>
      <c r="BV44">
        <v>13.480753100324085</v>
      </c>
      <c r="BW44">
        <v>13782.721969771344</v>
      </c>
      <c r="BX44">
        <v>17</v>
      </c>
      <c r="BY44">
        <v>17380.8</v>
      </c>
      <c r="BZ44">
        <v>18.525601733653627</v>
      </c>
      <c r="CA44">
        <v>18940.575212487467</v>
      </c>
      <c r="CB44">
        <v>5.7593119336520164</v>
      </c>
      <c r="CC44">
        <v>5888.3205209658217</v>
      </c>
      <c r="CD44">
        <v>2.9654761654065749</v>
      </c>
      <c r="CE44">
        <v>3031.9028315116821</v>
      </c>
      <c r="CF44">
        <v>21.677822201811217</v>
      </c>
      <c r="CG44">
        <v>22163.405419131788</v>
      </c>
      <c r="CH44">
        <v>11</v>
      </c>
      <c r="CI44">
        <v>11246.4</v>
      </c>
      <c r="CJ44">
        <v>17</v>
      </c>
      <c r="CK44">
        <v>17380.8</v>
      </c>
      <c r="CL44">
        <v>10.784933955718738</v>
      </c>
      <c r="CM44">
        <v>11026.516476326839</v>
      </c>
      <c r="CN44">
        <v>4.9329488668380828</v>
      </c>
      <c r="CO44">
        <v>5043.4469214552555</v>
      </c>
      <c r="CP44">
        <v>6.9867544575889946</v>
      </c>
      <c r="CQ44">
        <v>7143.2577574389879</v>
      </c>
      <c r="CR44">
        <v>22.032346134317653</v>
      </c>
      <c r="CS44">
        <v>22525.870687726368</v>
      </c>
      <c r="CT44">
        <v>17.583047773677897</v>
      </c>
      <c r="CU44">
        <v>17976.908043808282</v>
      </c>
    </row>
    <row r="45" spans="2:99">
      <c r="C45" s="99" t="s">
        <v>211</v>
      </c>
      <c r="D45">
        <v>9.5866937244422648</v>
      </c>
      <c r="E45">
        <v>11975.697800573278</v>
      </c>
      <c r="F45">
        <v>14.370934154123905</v>
      </c>
      <c r="G45">
        <v>17952.170945331582</v>
      </c>
      <c r="H45">
        <v>11.521443657793645</v>
      </c>
      <c r="I45">
        <v>14392.587417315823</v>
      </c>
      <c r="J45">
        <v>8.4011665816244854</v>
      </c>
      <c r="K45">
        <v>10494.737293765307</v>
      </c>
      <c r="L45">
        <v>12.670964016383021</v>
      </c>
      <c r="M45">
        <v>15828.568249265671</v>
      </c>
      <c r="N45">
        <v>10.512642592152714</v>
      </c>
      <c r="O45">
        <v>13132.393126117171</v>
      </c>
      <c r="P45">
        <v>18.848688006207293</v>
      </c>
      <c r="Q45">
        <v>23545.78105735415</v>
      </c>
      <c r="R45">
        <v>13.815358783326616</v>
      </c>
      <c r="S45">
        <v>17258.146192131608</v>
      </c>
      <c r="T45">
        <v>15.16210580552805</v>
      </c>
      <c r="U45">
        <v>18940.502572265639</v>
      </c>
      <c r="V45">
        <v>2.8820902505091759</v>
      </c>
      <c r="W45">
        <v>3600.3071409360628</v>
      </c>
      <c r="X45">
        <v>13.942300022825874</v>
      </c>
      <c r="Y45">
        <v>17416.721188514082</v>
      </c>
      <c r="Z45">
        <v>12.303372435494737</v>
      </c>
      <c r="AA45">
        <v>15369.372846420025</v>
      </c>
      <c r="AB45">
        <v>14</v>
      </c>
      <c r="AC45">
        <v>17488.8</v>
      </c>
      <c r="AD45">
        <v>10.897622756045642</v>
      </c>
      <c r="AE45">
        <v>13613.310346852217</v>
      </c>
      <c r="AF45">
        <v>11.605807693792046</v>
      </c>
      <c r="AG45">
        <v>14497.974971085025</v>
      </c>
      <c r="AH45">
        <v>12.031214612113414</v>
      </c>
      <c r="AI45">
        <v>15029.393293452078</v>
      </c>
      <c r="AJ45">
        <v>5.1930334067207209</v>
      </c>
      <c r="AK45">
        <v>6487.1373316755244</v>
      </c>
      <c r="AL45">
        <v>8.3828983977541931</v>
      </c>
      <c r="AM45">
        <v>10471.916678474538</v>
      </c>
      <c r="AN45">
        <v>16.854411502920094</v>
      </c>
      <c r="AO45">
        <v>21054.530849447783</v>
      </c>
      <c r="AP45">
        <v>11.633707666952972</v>
      </c>
      <c r="AQ45">
        <v>14532.827617557654</v>
      </c>
      <c r="AR45">
        <v>12.061144530371427</v>
      </c>
      <c r="AS45">
        <v>15066.781747339988</v>
      </c>
      <c r="AT45">
        <v>11.433077509029474</v>
      </c>
      <c r="AU45">
        <v>14282.200424279619</v>
      </c>
      <c r="AV45">
        <v>6.1234734471282506</v>
      </c>
      <c r="AW45">
        <v>7649.4430301526108</v>
      </c>
      <c r="AX45">
        <v>14.124113122922383</v>
      </c>
      <c r="AY45">
        <v>17643.842113154642</v>
      </c>
      <c r="AZ45">
        <v>18</v>
      </c>
      <c r="BA45">
        <v>22485.600000000002</v>
      </c>
      <c r="BB45">
        <v>11.778283775297913</v>
      </c>
      <c r="BC45">
        <v>14713.432092102154</v>
      </c>
      <c r="BD45">
        <v>6.11780549618764</v>
      </c>
      <c r="BE45">
        <v>7642.3626258375998</v>
      </c>
      <c r="BF45">
        <v>20.154774659395482</v>
      </c>
      <c r="BG45">
        <v>25177.344504516837</v>
      </c>
      <c r="BH45">
        <v>14</v>
      </c>
      <c r="BI45">
        <v>17488.8</v>
      </c>
      <c r="BJ45">
        <v>2.3660410179178539</v>
      </c>
      <c r="BK45">
        <v>2955.6584395829832</v>
      </c>
      <c r="BL45">
        <v>17.801704249168221</v>
      </c>
      <c r="BM45">
        <v>22237.888948060943</v>
      </c>
      <c r="BN45">
        <v>14</v>
      </c>
      <c r="BO45">
        <v>17488.8</v>
      </c>
      <c r="BP45">
        <v>15</v>
      </c>
      <c r="BQ45">
        <v>18738</v>
      </c>
      <c r="BR45">
        <v>4.3665842057076052</v>
      </c>
      <c r="BS45">
        <v>5454.7369897699409</v>
      </c>
      <c r="BT45">
        <v>6.9000207149587336</v>
      </c>
      <c r="BU45">
        <v>8619.5058771264503</v>
      </c>
      <c r="BV45">
        <v>12.645281222582316</v>
      </c>
      <c r="BW45">
        <v>15796.48530324983</v>
      </c>
      <c r="BX45">
        <v>15</v>
      </c>
      <c r="BY45">
        <v>18738</v>
      </c>
      <c r="BZ45">
        <v>16.575538393269035</v>
      </c>
      <c r="CA45">
        <v>20706.162560871679</v>
      </c>
      <c r="CB45">
        <v>5.439350159560238</v>
      </c>
      <c r="CC45">
        <v>6794.8362193226494</v>
      </c>
      <c r="CD45">
        <v>2.9619597985660331</v>
      </c>
      <c r="CE45">
        <v>3700.0801803686886</v>
      </c>
      <c r="CF45">
        <v>19.689652988741422</v>
      </c>
      <c r="CG45">
        <v>24596.314513535784</v>
      </c>
      <c r="CH45">
        <v>11</v>
      </c>
      <c r="CI45">
        <v>13741.2</v>
      </c>
      <c r="CJ45">
        <v>16</v>
      </c>
      <c r="CK45">
        <v>19987.2</v>
      </c>
      <c r="CL45">
        <v>10.784933955718738</v>
      </c>
      <c r="CM45">
        <v>13472.539497483849</v>
      </c>
      <c r="CN45">
        <v>4.9329488668380828</v>
      </c>
      <c r="CO45">
        <v>6162.2397244541335</v>
      </c>
      <c r="CP45">
        <v>7.7867849752195486</v>
      </c>
      <c r="CQ45">
        <v>9727.2517910442602</v>
      </c>
      <c r="CR45">
        <v>22.032346134317653</v>
      </c>
      <c r="CS45">
        <v>27522.806790989613</v>
      </c>
      <c r="CT45">
        <v>15.629375798824796</v>
      </c>
      <c r="CU45">
        <v>19524.216247891934</v>
      </c>
    </row>
    <row r="46" spans="2:99">
      <c r="C46" s="99" t="s">
        <v>212</v>
      </c>
      <c r="D46">
        <v>9.1134275867445709</v>
      </c>
      <c r="E46">
        <v>11045.474235134419</v>
      </c>
      <c r="F46">
        <v>14.370934154123905</v>
      </c>
      <c r="G46">
        <v>17417.572194798173</v>
      </c>
      <c r="H46">
        <v>11.521443657793645</v>
      </c>
      <c r="I46">
        <v>13963.989713245897</v>
      </c>
      <c r="J46">
        <v>10.0600961744417</v>
      </c>
      <c r="K46">
        <v>12192.83656342334</v>
      </c>
      <c r="L46">
        <v>12.024198236884065</v>
      </c>
      <c r="M46">
        <v>14573.328263103485</v>
      </c>
      <c r="N46">
        <v>11.024811174103826</v>
      </c>
      <c r="O46">
        <v>13362.071143013838</v>
      </c>
      <c r="P46">
        <v>18.018425607448751</v>
      </c>
      <c r="Q46">
        <v>21838.331836227888</v>
      </c>
      <c r="R46">
        <v>12.828547441660429</v>
      </c>
      <c r="S46">
        <v>15548.199499292441</v>
      </c>
      <c r="T46">
        <v>15.960111374240054</v>
      </c>
      <c r="U46">
        <v>19343.654985578945</v>
      </c>
      <c r="V46">
        <v>2.8820902505091759</v>
      </c>
      <c r="W46">
        <v>3493.0933836171212</v>
      </c>
      <c r="X46">
        <v>13.942300022825874</v>
      </c>
      <c r="Y46">
        <v>16898.067627664961</v>
      </c>
      <c r="Z46">
        <v>12.303372435494737</v>
      </c>
      <c r="AA46">
        <v>14911.687391819622</v>
      </c>
      <c r="AB46">
        <v>14</v>
      </c>
      <c r="AC46">
        <v>16968</v>
      </c>
      <c r="AD46">
        <v>10.897622756045642</v>
      </c>
      <c r="AE46">
        <v>13207.918780327318</v>
      </c>
      <c r="AF46">
        <v>13.221665211752125</v>
      </c>
      <c r="AG46">
        <v>16024.658236643576</v>
      </c>
      <c r="AH46">
        <v>11.233412986681101</v>
      </c>
      <c r="AI46">
        <v>13614.896539857495</v>
      </c>
      <c r="AJ46">
        <v>5.1436123528167927</v>
      </c>
      <c r="AK46">
        <v>6234.0581716139532</v>
      </c>
      <c r="AL46">
        <v>8.4754262461499081</v>
      </c>
      <c r="AM46">
        <v>10272.216610333689</v>
      </c>
      <c r="AN46">
        <v>16.025293803504113</v>
      </c>
      <c r="AO46">
        <v>19422.656089846983</v>
      </c>
      <c r="AP46">
        <v>11.633707666952972</v>
      </c>
      <c r="AQ46">
        <v>14100.053692347003</v>
      </c>
      <c r="AR46">
        <v>11.307322997223213</v>
      </c>
      <c r="AS46">
        <v>13704.475472634535</v>
      </c>
      <c r="AT46">
        <v>11.52197970065637</v>
      </c>
      <c r="AU46">
        <v>13964.63939719552</v>
      </c>
      <c r="AV46">
        <v>6.480279065765207</v>
      </c>
      <c r="AW46">
        <v>7854.0982277074309</v>
      </c>
      <c r="AX46">
        <v>15.124113122922383</v>
      </c>
      <c r="AY46">
        <v>18330.425104981929</v>
      </c>
      <c r="AZ46">
        <v>18</v>
      </c>
      <c r="BA46">
        <v>21816</v>
      </c>
      <c r="BB46">
        <v>11.778283775297913</v>
      </c>
      <c r="BC46">
        <v>14275.27993566107</v>
      </c>
      <c r="BD46">
        <v>5.7203755692808045</v>
      </c>
      <c r="BE46">
        <v>6933.095189968335</v>
      </c>
      <c r="BF46">
        <v>20.154774659395482</v>
      </c>
      <c r="BG46">
        <v>24427.586887187324</v>
      </c>
      <c r="BH46">
        <v>15</v>
      </c>
      <c r="BI46">
        <v>18180</v>
      </c>
      <c r="BJ46">
        <v>2.3660410179178539</v>
      </c>
      <c r="BK46">
        <v>2867.641713716439</v>
      </c>
      <c r="BL46">
        <v>17.801704249168221</v>
      </c>
      <c r="BM46">
        <v>21575.665549991885</v>
      </c>
      <c r="BN46">
        <v>14</v>
      </c>
      <c r="BO46">
        <v>16968</v>
      </c>
      <c r="BP46">
        <v>15</v>
      </c>
      <c r="BQ46">
        <v>18180</v>
      </c>
      <c r="BR46">
        <v>3.9696220051887319</v>
      </c>
      <c r="BS46">
        <v>4811.1818702887431</v>
      </c>
      <c r="BT46">
        <v>6.1538797114083152</v>
      </c>
      <c r="BU46">
        <v>7458.5022102268777</v>
      </c>
      <c r="BV46">
        <v>12.316224978065852</v>
      </c>
      <c r="BW46">
        <v>14927.264673415813</v>
      </c>
      <c r="BX46">
        <v>15</v>
      </c>
      <c r="BY46">
        <v>18180</v>
      </c>
      <c r="BZ46">
        <v>16.575538393269035</v>
      </c>
      <c r="CA46">
        <v>20089.552532642072</v>
      </c>
      <c r="CB46">
        <v>6.3992354818355741</v>
      </c>
      <c r="CC46">
        <v>7755.8734039847159</v>
      </c>
      <c r="CD46">
        <v>3.2707838894967391</v>
      </c>
      <c r="CE46">
        <v>3964.190074070048</v>
      </c>
      <c r="CF46">
        <v>20.68373759527632</v>
      </c>
      <c r="CG46">
        <v>25068.6899654749</v>
      </c>
      <c r="CH46">
        <v>10</v>
      </c>
      <c r="CI46">
        <v>12120</v>
      </c>
      <c r="CJ46">
        <v>16</v>
      </c>
      <c r="CK46">
        <v>19392</v>
      </c>
      <c r="CL46">
        <v>8.9874449630989481</v>
      </c>
      <c r="CM46">
        <v>10892.783295275925</v>
      </c>
      <c r="CN46">
        <v>4.177437510466814</v>
      </c>
      <c r="CO46">
        <v>5063.0542626857787</v>
      </c>
      <c r="CP46">
        <v>7.0515792065900929</v>
      </c>
      <c r="CQ46">
        <v>8546.5139983871923</v>
      </c>
      <c r="CR46">
        <v>21.204403823370594</v>
      </c>
      <c r="CS46">
        <v>25699.737433925158</v>
      </c>
      <c r="CT46">
        <v>17.583047773677897</v>
      </c>
      <c r="CU46">
        <v>21310.653901697613</v>
      </c>
    </row>
    <row r="47" spans="2:99">
      <c r="C47" s="99" t="s">
        <v>213</v>
      </c>
      <c r="D47">
        <v>8.1668953113491813</v>
      </c>
      <c r="E47">
        <v>12475.749277617009</v>
      </c>
      <c r="F47">
        <v>12.192581444156183</v>
      </c>
      <c r="G47">
        <v>18625.387414092984</v>
      </c>
      <c r="H47">
        <v>10.905329715976597</v>
      </c>
      <c r="I47">
        <v>16658.981674125847</v>
      </c>
      <c r="J47">
        <v>8.4011665816244854</v>
      </c>
      <c r="K47">
        <v>12833.622070089563</v>
      </c>
      <c r="L47">
        <v>10.730666677886155</v>
      </c>
      <c r="M47">
        <v>16392.166417138891</v>
      </c>
      <c r="N47">
        <v>9.8505965428593782</v>
      </c>
      <c r="O47">
        <v>15047.771278871985</v>
      </c>
      <c r="P47">
        <v>17.848688006207293</v>
      </c>
      <c r="Q47">
        <v>27265.65579828226</v>
      </c>
      <c r="R47">
        <v>10.854924758328055</v>
      </c>
      <c r="S47">
        <v>16581.983060821934</v>
      </c>
      <c r="T47">
        <v>14.364100236816048</v>
      </c>
      <c r="U47">
        <v>21942.599521760192</v>
      </c>
      <c r="V47">
        <v>2.4017418754243129</v>
      </c>
      <c r="W47">
        <v>3668.9008888981803</v>
      </c>
      <c r="X47">
        <v>13.797511987645477</v>
      </c>
      <c r="Y47">
        <v>21077.079312327231</v>
      </c>
      <c r="Z47">
        <v>11.303372435494737</v>
      </c>
      <c r="AA47">
        <v>17267.031732461757</v>
      </c>
      <c r="AB47">
        <v>13</v>
      </c>
      <c r="AC47">
        <v>19858.8</v>
      </c>
      <c r="AD47">
        <v>9.9069297782233114</v>
      </c>
      <c r="AE47">
        <v>15133.82592921393</v>
      </c>
      <c r="AF47">
        <v>12.413736452772085</v>
      </c>
      <c r="AG47">
        <v>18963.223805254634</v>
      </c>
      <c r="AH47">
        <v>11.233412986681101</v>
      </c>
      <c r="AI47">
        <v>17160.161678454049</v>
      </c>
      <c r="AJ47">
        <v>4.8030284765765447</v>
      </c>
      <c r="AK47">
        <v>7337.1063008183291</v>
      </c>
      <c r="AL47">
        <v>8.9081627277536892</v>
      </c>
      <c r="AM47">
        <v>13608.109382916535</v>
      </c>
      <c r="AN47">
        <v>16.025293803504113</v>
      </c>
      <c r="AO47">
        <v>24480.238814232882</v>
      </c>
      <c r="AP47">
        <v>9.6947563891274751</v>
      </c>
      <c r="AQ47">
        <v>14809.709860031129</v>
      </c>
      <c r="AR47">
        <v>9.7996799309267857</v>
      </c>
      <c r="AS47">
        <v>14969.991062483758</v>
      </c>
      <c r="AT47">
        <v>10.672323474539724</v>
      </c>
      <c r="AU47">
        <v>16303.041339706881</v>
      </c>
      <c r="AV47">
        <v>6.480279065765207</v>
      </c>
      <c r="AW47">
        <v>9899.2743008629295</v>
      </c>
      <c r="AX47">
        <v>15.124113122922383</v>
      </c>
      <c r="AY47">
        <v>23103.595206576232</v>
      </c>
      <c r="AZ47">
        <v>17</v>
      </c>
      <c r="BA47">
        <v>25969.199999999997</v>
      </c>
      <c r="BB47">
        <v>12.514426511254033</v>
      </c>
      <c r="BC47">
        <v>19117.03793859166</v>
      </c>
      <c r="BD47">
        <v>5.7008309952076646</v>
      </c>
      <c r="BE47">
        <v>8708.5894282792287</v>
      </c>
      <c r="BF47">
        <v>17.989806850910416</v>
      </c>
      <c r="BG47">
        <v>27481.228945450748</v>
      </c>
      <c r="BH47">
        <v>14</v>
      </c>
      <c r="BI47">
        <v>21386.399999999998</v>
      </c>
      <c r="BJ47">
        <v>2.168870933091366</v>
      </c>
      <c r="BK47">
        <v>3313.1672373903707</v>
      </c>
      <c r="BL47">
        <v>15.801704249168219</v>
      </c>
      <c r="BM47">
        <v>24138.683411029371</v>
      </c>
      <c r="BN47">
        <v>12</v>
      </c>
      <c r="BO47">
        <v>18331.199999999997</v>
      </c>
      <c r="BP47">
        <v>13</v>
      </c>
      <c r="BQ47">
        <v>19858.8</v>
      </c>
      <c r="BR47">
        <v>4.3665842057076052</v>
      </c>
      <c r="BS47">
        <v>6670.3940326389375</v>
      </c>
      <c r="BT47">
        <v>6.5454253814840202</v>
      </c>
      <c r="BU47">
        <v>9998.7918127549892</v>
      </c>
      <c r="BV47">
        <v>11.645281222582316</v>
      </c>
      <c r="BW47">
        <v>17789.331595616746</v>
      </c>
      <c r="BX47">
        <v>16</v>
      </c>
      <c r="BY47">
        <v>24441.599999999999</v>
      </c>
      <c r="BZ47">
        <v>15.600506723076737</v>
      </c>
      <c r="CA47">
        <v>23831.334070172023</v>
      </c>
      <c r="CB47">
        <v>6.3992354818355741</v>
      </c>
      <c r="CC47">
        <v>9775.4721220520223</v>
      </c>
      <c r="CD47">
        <v>2.8110641199412219</v>
      </c>
      <c r="CE47">
        <v>4294.1815496222107</v>
      </c>
      <c r="CF47">
        <v>17.701483775671633</v>
      </c>
      <c r="CG47">
        <v>27040.786615715984</v>
      </c>
      <c r="CH47">
        <v>10</v>
      </c>
      <c r="CI47">
        <v>15276</v>
      </c>
      <c r="CJ47">
        <v>17</v>
      </c>
      <c r="CK47">
        <v>25969.199999999997</v>
      </c>
      <c r="CL47">
        <v>10.784933955718738</v>
      </c>
      <c r="CM47">
        <v>16475.065110755942</v>
      </c>
      <c r="CN47">
        <v>3.8070568490894598</v>
      </c>
      <c r="CO47">
        <v>5815.6600426690584</v>
      </c>
      <c r="CP47">
        <v>7.3543573419037216</v>
      </c>
      <c r="CQ47">
        <v>11234.516275492124</v>
      </c>
      <c r="CR47">
        <v>21.032346134317653</v>
      </c>
      <c r="CS47">
        <v>32129.011954783644</v>
      </c>
      <c r="CT47">
        <v>16.606211786251347</v>
      </c>
      <c r="CU47">
        <v>25367.649124677555</v>
      </c>
    </row>
    <row r="48" spans="2:99">
      <c r="C48" s="99" t="s">
        <v>214</v>
      </c>
      <c r="D48">
        <v>8.9920566162562015</v>
      </c>
      <c r="E48">
        <v>7801.5083202638807</v>
      </c>
      <c r="F48">
        <v>14.370934154123905</v>
      </c>
      <c r="G48">
        <v>12468.222472117901</v>
      </c>
      <c r="H48">
        <v>12.906155307348786</v>
      </c>
      <c r="I48">
        <v>11197.380344655807</v>
      </c>
      <c r="J48">
        <v>9.2128782751100236</v>
      </c>
      <c r="K48">
        <v>7993.0931914854564</v>
      </c>
      <c r="L48">
        <v>12.725594617226289</v>
      </c>
      <c r="M48">
        <v>11040.725889905529</v>
      </c>
      <c r="N48">
        <v>9.9237235038112068</v>
      </c>
      <c r="O48">
        <v>8609.8225119066028</v>
      </c>
      <c r="P48">
        <v>18.848688006207293</v>
      </c>
      <c r="Q48">
        <v>16353.121714185449</v>
      </c>
      <c r="R48">
        <v>12.828547441660429</v>
      </c>
      <c r="S48">
        <v>11130.047760384588</v>
      </c>
      <c r="T48">
        <v>15.16210580552805</v>
      </c>
      <c r="U48">
        <v>13154.642996876137</v>
      </c>
      <c r="V48">
        <v>2.8820902505091759</v>
      </c>
      <c r="W48">
        <v>2500.501501341761</v>
      </c>
      <c r="X48">
        <v>13.942300022825874</v>
      </c>
      <c r="Y48">
        <v>12096.339499803729</v>
      </c>
      <c r="Z48">
        <v>13</v>
      </c>
      <c r="AA48">
        <v>11278.800000000001</v>
      </c>
      <c r="AB48">
        <v>13</v>
      </c>
      <c r="AC48">
        <v>11278.800000000001</v>
      </c>
      <c r="AD48">
        <v>10.897622756045642</v>
      </c>
      <c r="AE48">
        <v>9454.7775031452002</v>
      </c>
      <c r="AF48">
        <v>11.605807693792046</v>
      </c>
      <c r="AG48">
        <v>10069.198755133979</v>
      </c>
      <c r="AH48">
        <v>10.435611361248787</v>
      </c>
      <c r="AI48">
        <v>9053.9364170194476</v>
      </c>
      <c r="AJ48">
        <v>5.1930334067207209</v>
      </c>
      <c r="AK48">
        <v>4505.4757836708977</v>
      </c>
      <c r="AL48">
        <v>8.9081627277536892</v>
      </c>
      <c r="AM48">
        <v>7728.7219825991006</v>
      </c>
      <c r="AN48">
        <v>16.025293803504113</v>
      </c>
      <c r="AO48">
        <v>13903.544903920169</v>
      </c>
      <c r="AP48">
        <v>9.6947563891274751</v>
      </c>
      <c r="AQ48">
        <v>8411.1706432069968</v>
      </c>
      <c r="AR48">
        <v>11.307322997223213</v>
      </c>
      <c r="AS48">
        <v>9810.2334323908599</v>
      </c>
      <c r="AT48">
        <v>12.007696307328027</v>
      </c>
      <c r="AU48">
        <v>10417.877316237797</v>
      </c>
      <c r="AV48">
        <v>7.2417268663779986</v>
      </c>
      <c r="AW48">
        <v>6282.9222292695513</v>
      </c>
      <c r="AX48">
        <v>15.963525533933471</v>
      </c>
      <c r="AY48">
        <v>13849.95475324068</v>
      </c>
      <c r="AZ48">
        <v>18</v>
      </c>
      <c r="BA48">
        <v>15616.800000000001</v>
      </c>
      <c r="BB48">
        <v>13.986711983166273</v>
      </c>
      <c r="BC48">
        <v>12134.871316595059</v>
      </c>
      <c r="BD48">
        <v>5.7399201433539435</v>
      </c>
      <c r="BE48">
        <v>4979.9547163738816</v>
      </c>
      <c r="BF48">
        <v>20.154774659395482</v>
      </c>
      <c r="BG48">
        <v>17486.282494491519</v>
      </c>
      <c r="BH48">
        <v>17</v>
      </c>
      <c r="BI48">
        <v>14749.2</v>
      </c>
      <c r="BJ48">
        <v>2.3660410179178539</v>
      </c>
      <c r="BK48">
        <v>2052.7771871455302</v>
      </c>
      <c r="BL48">
        <v>15.801704249168219</v>
      </c>
      <c r="BM48">
        <v>13709.558606578348</v>
      </c>
      <c r="BN48">
        <v>14</v>
      </c>
      <c r="BO48">
        <v>12146.4</v>
      </c>
      <c r="BP48">
        <v>16</v>
      </c>
      <c r="BQ48">
        <v>13881.6</v>
      </c>
      <c r="BR48">
        <v>3.9696220051887319</v>
      </c>
      <c r="BS48">
        <v>3444.0440517017437</v>
      </c>
      <c r="BT48">
        <v>7.2915663850344385</v>
      </c>
      <c r="BU48">
        <v>6326.1629956558791</v>
      </c>
      <c r="BV48">
        <v>11.645281222582316</v>
      </c>
      <c r="BW48">
        <v>10103.445988712418</v>
      </c>
      <c r="BX48">
        <v>16</v>
      </c>
      <c r="BY48">
        <v>13881.6</v>
      </c>
      <c r="BZ48">
        <v>17.550570063461329</v>
      </c>
      <c r="CA48">
        <v>15226.87458705905</v>
      </c>
      <c r="CB48">
        <v>5.7593119336520164</v>
      </c>
      <c r="CC48">
        <v>4996.7790336364897</v>
      </c>
      <c r="CD48">
        <v>3.1198882108719279</v>
      </c>
      <c r="CE48">
        <v>2706.8150117524847</v>
      </c>
      <c r="CF48">
        <v>21.838231294726899</v>
      </c>
      <c r="CG48">
        <v>18946.849471305057</v>
      </c>
      <c r="CH48">
        <v>12</v>
      </c>
      <c r="CI48">
        <v>10411.200000000001</v>
      </c>
      <c r="CJ48">
        <v>18</v>
      </c>
      <c r="CK48">
        <v>15616.800000000001</v>
      </c>
      <c r="CL48">
        <v>9.5866079606388794</v>
      </c>
      <c r="CM48">
        <v>8317.3410666502914</v>
      </c>
      <c r="CN48">
        <v>4.5478181718441686</v>
      </c>
      <c r="CO48">
        <v>3945.6870458920007</v>
      </c>
      <c r="CP48">
        <v>7.3510874279809784</v>
      </c>
      <c r="CQ48">
        <v>6377.8034525162966</v>
      </c>
      <c r="CR48">
        <v>20.204403823370594</v>
      </c>
      <c r="CS48">
        <v>17529.340757156329</v>
      </c>
      <c r="CT48">
        <v>18.559883761104448</v>
      </c>
      <c r="CU48">
        <v>16102.55515113422</v>
      </c>
    </row>
    <row r="49" spans="2:99">
      <c r="B49" s="99" t="s">
        <v>129</v>
      </c>
      <c r="C49" s="99" t="s">
        <v>215</v>
      </c>
      <c r="D49">
        <v>5</v>
      </c>
      <c r="E49">
        <v>4926</v>
      </c>
      <c r="F49">
        <v>7</v>
      </c>
      <c r="G49">
        <v>6896.4</v>
      </c>
      <c r="H49">
        <v>9</v>
      </c>
      <c r="I49">
        <v>8866.7999999999993</v>
      </c>
      <c r="J49">
        <v>8.7746695843561877</v>
      </c>
      <c r="K49">
        <v>8644.804474507715</v>
      </c>
      <c r="L49">
        <v>10.531315446713908</v>
      </c>
      <c r="M49">
        <v>10375.451978102541</v>
      </c>
      <c r="N49">
        <v>6</v>
      </c>
      <c r="O49">
        <v>5911.2</v>
      </c>
      <c r="P49">
        <v>7.3323585664450039</v>
      </c>
      <c r="Q49">
        <v>7223.8396596616176</v>
      </c>
      <c r="R49">
        <v>8.1500495074904009</v>
      </c>
      <c r="S49">
        <v>8029.4287747795424</v>
      </c>
      <c r="T49">
        <v>2.4081884180991913</v>
      </c>
      <c r="U49">
        <v>2372.5472295113232</v>
      </c>
      <c r="V49">
        <v>8.3368241044491391</v>
      </c>
      <c r="W49">
        <v>8213.4391077032906</v>
      </c>
      <c r="X49">
        <v>4.6096833990406694</v>
      </c>
      <c r="Y49">
        <v>4541.4600847348675</v>
      </c>
      <c r="Z49">
        <v>9</v>
      </c>
      <c r="AA49">
        <v>8866.7999999999993</v>
      </c>
      <c r="AB49">
        <v>4.148681274483228</v>
      </c>
      <c r="AC49">
        <v>4087.2807916208758</v>
      </c>
      <c r="AD49">
        <v>8</v>
      </c>
      <c r="AE49">
        <v>7881.5999999999995</v>
      </c>
      <c r="AF49">
        <v>8</v>
      </c>
      <c r="AG49">
        <v>7881.5999999999995</v>
      </c>
      <c r="AH49">
        <v>6</v>
      </c>
      <c r="AI49">
        <v>5911.2</v>
      </c>
      <c r="AJ49">
        <v>8</v>
      </c>
      <c r="AK49">
        <v>7881.5999999999995</v>
      </c>
      <c r="AL49">
        <v>7</v>
      </c>
      <c r="AM49">
        <v>6896.4</v>
      </c>
      <c r="AN49">
        <v>8.1284324301439668</v>
      </c>
      <c r="AO49">
        <v>8008.1316301778352</v>
      </c>
      <c r="AP49">
        <v>4.9316125723382491</v>
      </c>
      <c r="AQ49">
        <v>4858.624706267643</v>
      </c>
      <c r="AR49">
        <v>4.8734998601116049</v>
      </c>
      <c r="AS49">
        <v>4801.372062181953</v>
      </c>
      <c r="AT49">
        <v>4.1105795140630539</v>
      </c>
      <c r="AU49">
        <v>4049.7429372549204</v>
      </c>
      <c r="AV49">
        <v>5.3609890434127836</v>
      </c>
      <c r="AW49">
        <v>5281.6464055702736</v>
      </c>
      <c r="AX49">
        <v>2.1453657727305528</v>
      </c>
      <c r="AY49">
        <v>2113.6143592941407</v>
      </c>
      <c r="AZ49">
        <v>5.5813934862661716</v>
      </c>
      <c r="BA49">
        <v>5498.7888626694321</v>
      </c>
      <c r="BB49">
        <v>8.747452324254823</v>
      </c>
      <c r="BC49">
        <v>8617.9900298558514</v>
      </c>
      <c r="BD49">
        <v>6</v>
      </c>
      <c r="BE49">
        <v>5911.2</v>
      </c>
      <c r="BF49">
        <v>9.8936166985630756</v>
      </c>
      <c r="BG49">
        <v>9747.1911714243415</v>
      </c>
      <c r="BH49">
        <v>6.2781655037856705</v>
      </c>
      <c r="BI49">
        <v>6185.2486543296418</v>
      </c>
      <c r="BJ49">
        <v>1.7675544734662532</v>
      </c>
      <c r="BK49">
        <v>1741.3946672589525</v>
      </c>
      <c r="BL49">
        <v>8</v>
      </c>
      <c r="BM49">
        <v>7881.5999999999995</v>
      </c>
      <c r="BN49">
        <v>8</v>
      </c>
      <c r="BO49">
        <v>7881.5999999999995</v>
      </c>
      <c r="BP49">
        <v>6</v>
      </c>
      <c r="BQ49">
        <v>5911.2</v>
      </c>
      <c r="BR49">
        <v>6</v>
      </c>
      <c r="BS49">
        <v>5911.2</v>
      </c>
      <c r="BT49">
        <v>4.8285093903981977</v>
      </c>
      <c r="BU49">
        <v>4757.0474514203042</v>
      </c>
      <c r="BV49">
        <v>6.6606240302466713</v>
      </c>
      <c r="BW49">
        <v>6562.0467945990204</v>
      </c>
      <c r="BX49">
        <v>10.299909551705179</v>
      </c>
      <c r="BY49">
        <v>10147.470890339942</v>
      </c>
      <c r="BZ49">
        <v>2.0348919449578142</v>
      </c>
      <c r="CA49">
        <v>2004.7755441724385</v>
      </c>
      <c r="CB49">
        <v>7.2883992077456057</v>
      </c>
      <c r="CC49">
        <v>7180.5308994709703</v>
      </c>
      <c r="CD49">
        <v>7.5478545070704026</v>
      </c>
      <c r="CE49">
        <v>7436.1462603657601</v>
      </c>
      <c r="CF49">
        <v>3.2427206856658404</v>
      </c>
      <c r="CG49">
        <v>3194.7284195179859</v>
      </c>
      <c r="CH49">
        <v>8.8831820296353623</v>
      </c>
      <c r="CI49">
        <v>8751.7109355967586</v>
      </c>
      <c r="CJ49">
        <v>1.1881375654806507</v>
      </c>
      <c r="CK49">
        <v>1170.553129511537</v>
      </c>
      <c r="CL49">
        <v>9.5523472908842315</v>
      </c>
      <c r="CM49">
        <v>9410.9725509791442</v>
      </c>
      <c r="CN49">
        <v>8.6249338715118302</v>
      </c>
      <c r="CO49">
        <v>8497.2848502134548</v>
      </c>
      <c r="CP49">
        <v>7.2065583037820531</v>
      </c>
      <c r="CQ49">
        <v>7099.9012408860781</v>
      </c>
      <c r="CR49">
        <v>4.1181837226777684</v>
      </c>
      <c r="CS49">
        <v>4057.234603582137</v>
      </c>
      <c r="CT49">
        <v>10.617918726196034</v>
      </c>
      <c r="CU49">
        <v>10460.773529048332</v>
      </c>
    </row>
    <row r="50" spans="2:99">
      <c r="C50" s="99" t="s">
        <v>216</v>
      </c>
      <c r="D50">
        <v>2.8395968261861695</v>
      </c>
      <c r="E50">
        <v>800.76630498449981</v>
      </c>
      <c r="F50">
        <v>5.9742245374871557</v>
      </c>
      <c r="G50">
        <v>1684.731319571378</v>
      </c>
      <c r="H50">
        <v>7.2210525961210967</v>
      </c>
      <c r="I50">
        <v>2036.3368321061494</v>
      </c>
      <c r="J50">
        <v>9.1241127604946826</v>
      </c>
      <c r="K50">
        <v>2572.9997984595007</v>
      </c>
      <c r="L50">
        <v>7.4001733726329677</v>
      </c>
      <c r="M50">
        <v>2086.8488910824967</v>
      </c>
      <c r="N50">
        <v>3.8405165556106198</v>
      </c>
      <c r="O50">
        <v>1083.0256686821947</v>
      </c>
      <c r="P50">
        <v>8.8486880062072935</v>
      </c>
      <c r="Q50">
        <v>2495.3300177504566</v>
      </c>
      <c r="R50">
        <v>9.8681134166618669</v>
      </c>
      <c r="S50">
        <v>2782.8079834986465</v>
      </c>
      <c r="T50">
        <v>8.7780612558320303</v>
      </c>
      <c r="U50">
        <v>2475.4132741446324</v>
      </c>
      <c r="V50">
        <v>1.4410451252545879</v>
      </c>
      <c r="W50">
        <v>406.37472532179379</v>
      </c>
      <c r="X50">
        <v>10.098870386249295</v>
      </c>
      <c r="Y50">
        <v>2847.8814489223014</v>
      </c>
      <c r="Z50">
        <v>9.1896077721842104</v>
      </c>
      <c r="AA50">
        <v>2591.4693917559475</v>
      </c>
      <c r="AB50">
        <v>7</v>
      </c>
      <c r="AC50">
        <v>1974</v>
      </c>
      <c r="AD50">
        <v>9.9069297782233114</v>
      </c>
      <c r="AE50">
        <v>2793.754197458974</v>
      </c>
      <c r="AF50">
        <v>5.9994405589436788</v>
      </c>
      <c r="AG50">
        <v>1691.8422376221174</v>
      </c>
      <c r="AH50">
        <v>6.3234615403642174</v>
      </c>
      <c r="AI50">
        <v>1783.2161543827092</v>
      </c>
      <c r="AJ50">
        <v>3.3788547774481215</v>
      </c>
      <c r="AK50">
        <v>952.83704724037023</v>
      </c>
      <c r="AL50">
        <v>4.0841264887841913</v>
      </c>
      <c r="AM50">
        <v>1151.7236698371419</v>
      </c>
      <c r="AN50">
        <v>11.025293803504114</v>
      </c>
      <c r="AO50">
        <v>3109.1328525881604</v>
      </c>
      <c r="AP50">
        <v>6.7863294723892329</v>
      </c>
      <c r="AQ50">
        <v>1913.7449112137638</v>
      </c>
      <c r="AR50">
        <v>5.2767507320374998</v>
      </c>
      <c r="AS50">
        <v>1488.0437064345749</v>
      </c>
      <c r="AT50">
        <v>4.4756220153115969</v>
      </c>
      <c r="AU50">
        <v>1262.1254083178703</v>
      </c>
      <c r="AV50">
        <v>2.7049311049271685</v>
      </c>
      <c r="AW50">
        <v>762.79057158946148</v>
      </c>
      <c r="AX50">
        <v>12.284700711911295</v>
      </c>
      <c r="AY50">
        <v>3464.2856007589853</v>
      </c>
      <c r="AZ50">
        <v>6</v>
      </c>
      <c r="BA50">
        <v>1692</v>
      </c>
      <c r="BB50">
        <v>7.3614273595611959</v>
      </c>
      <c r="BC50">
        <v>2075.922515396257</v>
      </c>
      <c r="BD50">
        <v>2.1239616530461491</v>
      </c>
      <c r="BE50">
        <v>598.9571861590141</v>
      </c>
      <c r="BF50">
        <v>10.989806850910414</v>
      </c>
      <c r="BG50">
        <v>3099.1255319567367</v>
      </c>
      <c r="BH50">
        <v>10</v>
      </c>
      <c r="BI50">
        <v>2820</v>
      </c>
      <c r="BJ50">
        <v>2.3993696295012406</v>
      </c>
      <c r="BK50">
        <v>676.62223551934983</v>
      </c>
      <c r="BL50">
        <v>9.6413633993345762</v>
      </c>
      <c r="BM50">
        <v>2718.8644786123505</v>
      </c>
      <c r="BN50">
        <v>9</v>
      </c>
      <c r="BO50">
        <v>2538</v>
      </c>
      <c r="BP50">
        <v>7</v>
      </c>
      <c r="BQ50">
        <v>1974</v>
      </c>
      <c r="BR50">
        <v>2.7787354036321124</v>
      </c>
      <c r="BS50">
        <v>783.60338382425573</v>
      </c>
      <c r="BT50">
        <v>2.3677491887547317</v>
      </c>
      <c r="BU50">
        <v>667.70527122883436</v>
      </c>
      <c r="BV50">
        <v>11.658112489032927</v>
      </c>
      <c r="BW50">
        <v>3287.5877219072854</v>
      </c>
      <c r="BX50">
        <v>11</v>
      </c>
      <c r="BY50">
        <v>3102</v>
      </c>
      <c r="BZ50">
        <v>7.8002533615383687</v>
      </c>
      <c r="CA50">
        <v>2199.67144795382</v>
      </c>
      <c r="CB50">
        <v>3.1996177409177871</v>
      </c>
      <c r="CC50">
        <v>902.29220293881599</v>
      </c>
      <c r="CD50">
        <v>1.2669436652876929</v>
      </c>
      <c r="CE50">
        <v>357.27811361112941</v>
      </c>
      <c r="CF50">
        <v>8.0814558961540399</v>
      </c>
      <c r="CG50">
        <v>2278.9705627154394</v>
      </c>
      <c r="CH50">
        <v>12</v>
      </c>
      <c r="CI50">
        <v>3384</v>
      </c>
      <c r="CJ50">
        <v>8</v>
      </c>
      <c r="CK50">
        <v>2256</v>
      </c>
      <c r="CL50">
        <v>5.3924669778593692</v>
      </c>
      <c r="CM50">
        <v>1520.6756877563421</v>
      </c>
      <c r="CN50">
        <v>3.703806613773541</v>
      </c>
      <c r="CO50">
        <v>1044.4734650841385</v>
      </c>
      <c r="CP50">
        <v>3.8348998565371075</v>
      </c>
      <c r="CQ50">
        <v>1081.4417595434643</v>
      </c>
      <c r="CR50">
        <v>11.204403823370594</v>
      </c>
      <c r="CS50">
        <v>3159.6418781905077</v>
      </c>
      <c r="CT50">
        <v>9.7683598742654976</v>
      </c>
      <c r="CU50">
        <v>2754.6774845428704</v>
      </c>
    </row>
    <row r="51" spans="2:99">
      <c r="C51" s="99" t="s">
        <v>217</v>
      </c>
      <c r="D51">
        <v>2.8395968261861695</v>
      </c>
      <c r="E51">
        <v>2426.1515282934633</v>
      </c>
      <c r="F51">
        <v>5.2824502033928109</v>
      </c>
      <c r="G51">
        <v>4513.3254537788171</v>
      </c>
      <c r="H51">
        <v>7.9102945944417025</v>
      </c>
      <c r="I51">
        <v>6758.55570149099</v>
      </c>
      <c r="J51">
        <v>8.2946479640860762</v>
      </c>
      <c r="K51">
        <v>7086.9472205151433</v>
      </c>
      <c r="L51">
        <v>7.3987737288631763</v>
      </c>
      <c r="M51">
        <v>6321.5122739406979</v>
      </c>
      <c r="N51">
        <v>4.4989390594653873</v>
      </c>
      <c r="O51">
        <v>3843.8935324072268</v>
      </c>
      <c r="P51">
        <v>9.8486880062072935</v>
      </c>
      <c r="Q51">
        <v>8414.7190325035117</v>
      </c>
      <c r="R51">
        <v>9.8681134166618669</v>
      </c>
      <c r="S51">
        <v>8431.3161031958989</v>
      </c>
      <c r="T51">
        <v>7.9800556871200268</v>
      </c>
      <c r="U51">
        <v>6818.1595790753508</v>
      </c>
      <c r="V51">
        <v>1.2809290002263005</v>
      </c>
      <c r="W51">
        <v>1094.4257377933511</v>
      </c>
      <c r="X51">
        <v>8.3943376207316049</v>
      </c>
      <c r="Y51">
        <v>7172.1220631530832</v>
      </c>
      <c r="Z51">
        <v>8.1516862177473683</v>
      </c>
      <c r="AA51">
        <v>6964.8007044433516</v>
      </c>
      <c r="AB51">
        <v>7</v>
      </c>
      <c r="AC51">
        <v>5980.8</v>
      </c>
      <c r="AD51">
        <v>7.925543822578649</v>
      </c>
      <c r="AE51">
        <v>6771.5846420111975</v>
      </c>
      <c r="AF51">
        <v>5.9503063809317647</v>
      </c>
      <c r="AG51">
        <v>5083.9417718680997</v>
      </c>
      <c r="AH51">
        <v>5.4025182212088998</v>
      </c>
      <c r="AI51">
        <v>4615.9115682008842</v>
      </c>
      <c r="AJ51">
        <v>3.0367187586749353</v>
      </c>
      <c r="AK51">
        <v>2594.5725074118645</v>
      </c>
      <c r="AL51">
        <v>3.9874692198101584</v>
      </c>
      <c r="AM51">
        <v>3406.8937014057992</v>
      </c>
      <c r="AN51">
        <v>10.854411502920096</v>
      </c>
      <c r="AO51">
        <v>9274.0091880949294</v>
      </c>
      <c r="AP51">
        <v>6.7863294723892329</v>
      </c>
      <c r="AQ51">
        <v>5798.2399012093601</v>
      </c>
      <c r="AR51">
        <v>4.522929198889285</v>
      </c>
      <c r="AS51">
        <v>3864.3907075310049</v>
      </c>
      <c r="AT51">
        <v>3.7204218827801134</v>
      </c>
      <c r="AU51">
        <v>3178.728456647329</v>
      </c>
      <c r="AV51">
        <v>2.7208766260401278</v>
      </c>
      <c r="AW51">
        <v>2324.716989288685</v>
      </c>
      <c r="AX51">
        <v>10.963525533933471</v>
      </c>
      <c r="AY51">
        <v>9367.2362161927576</v>
      </c>
      <c r="AZ51">
        <v>5</v>
      </c>
      <c r="BA51">
        <v>4272</v>
      </c>
      <c r="BB51">
        <v>8.097570095517316</v>
      </c>
      <c r="BC51">
        <v>6918.5638896099945</v>
      </c>
      <c r="BD51">
        <v>2.5213915799529842</v>
      </c>
      <c r="BE51">
        <v>2154.2769659118298</v>
      </c>
      <c r="BF51">
        <v>10.989806850910414</v>
      </c>
      <c r="BG51">
        <v>9389.6909734178571</v>
      </c>
      <c r="BH51">
        <v>9</v>
      </c>
      <c r="BI51">
        <v>7689.5999999999995</v>
      </c>
      <c r="BJ51">
        <v>2.2021995446747527</v>
      </c>
      <c r="BK51">
        <v>1881.5592909701086</v>
      </c>
      <c r="BL51">
        <v>8.6413633993345762</v>
      </c>
      <c r="BM51">
        <v>7383.1808883914618</v>
      </c>
      <c r="BN51">
        <v>8</v>
      </c>
      <c r="BO51">
        <v>6835.2</v>
      </c>
      <c r="BP51">
        <v>7</v>
      </c>
      <c r="BQ51">
        <v>5980.8</v>
      </c>
      <c r="BR51">
        <v>2.381773203113239</v>
      </c>
      <c r="BS51">
        <v>2034.9870247399513</v>
      </c>
      <c r="BT51">
        <v>2.3677491887547317</v>
      </c>
      <c r="BU51">
        <v>2023.0049068720427</v>
      </c>
      <c r="BV51">
        <v>9.6581124890329271</v>
      </c>
      <c r="BW51">
        <v>8251.8913106297332</v>
      </c>
      <c r="BX51">
        <v>10</v>
      </c>
      <c r="BY51">
        <v>8544</v>
      </c>
      <c r="BZ51">
        <v>6.8252216913460728</v>
      </c>
      <c r="CA51">
        <v>5831.4694130860844</v>
      </c>
      <c r="CB51">
        <v>3.5195795150095659</v>
      </c>
      <c r="CC51">
        <v>3007.128737624173</v>
      </c>
      <c r="CD51">
        <v>1.2634272984471517</v>
      </c>
      <c r="CE51">
        <v>1079.4722837932463</v>
      </c>
      <c r="CF51">
        <v>7.9210468032383581</v>
      </c>
      <c r="CG51">
        <v>6767.7423886868528</v>
      </c>
      <c r="CH51">
        <v>11</v>
      </c>
      <c r="CI51">
        <v>9398.4</v>
      </c>
      <c r="CJ51">
        <v>8</v>
      </c>
      <c r="CK51">
        <v>6835.2</v>
      </c>
      <c r="CL51">
        <v>5.3924669778593692</v>
      </c>
      <c r="CM51">
        <v>4607.3237858830453</v>
      </c>
      <c r="CN51">
        <v>3.3334259523961869</v>
      </c>
      <c r="CO51">
        <v>2848.0791337273022</v>
      </c>
      <c r="CP51">
        <v>4.549723593233586</v>
      </c>
      <c r="CQ51">
        <v>3887.2838380587759</v>
      </c>
      <c r="CR51">
        <v>11.204403823370594</v>
      </c>
      <c r="CS51">
        <v>9573.0426266878349</v>
      </c>
      <c r="CT51">
        <v>8.7915238868389487</v>
      </c>
      <c r="CU51">
        <v>7511.4780089151973</v>
      </c>
    </row>
    <row r="52" spans="2:99">
      <c r="C52" s="99" t="s">
        <v>218</v>
      </c>
      <c r="D52">
        <v>2.3663306884884738</v>
      </c>
      <c r="E52">
        <v>1277.818571783776</v>
      </c>
      <c r="F52">
        <v>5.8686574630757757</v>
      </c>
      <c r="G52">
        <v>3169.0750300609188</v>
      </c>
      <c r="H52">
        <v>7.2185615349555228</v>
      </c>
      <c r="I52">
        <v>3898.0232288759821</v>
      </c>
      <c r="J52">
        <v>8.2946479640860762</v>
      </c>
      <c r="K52">
        <v>4479.1099006064815</v>
      </c>
      <c r="L52">
        <v>7.3987737288631763</v>
      </c>
      <c r="M52">
        <v>3995.3378135861153</v>
      </c>
      <c r="N52">
        <v>3.9136435165624466</v>
      </c>
      <c r="O52">
        <v>2113.3674989437213</v>
      </c>
      <c r="P52">
        <v>9.8486880062072935</v>
      </c>
      <c r="Q52">
        <v>5318.2915233519388</v>
      </c>
      <c r="R52">
        <v>9.8681134166618669</v>
      </c>
      <c r="S52">
        <v>5328.7812449974081</v>
      </c>
      <c r="T52">
        <v>9.5760668245440321</v>
      </c>
      <c r="U52">
        <v>5171.0760852537769</v>
      </c>
      <c r="V52">
        <v>1.2809290002263005</v>
      </c>
      <c r="W52">
        <v>691.70166012220227</v>
      </c>
      <c r="X52">
        <v>8.3943376207316049</v>
      </c>
      <c r="Y52">
        <v>4532.9423151950668</v>
      </c>
      <c r="Z52">
        <v>9.1516862177473683</v>
      </c>
      <c r="AA52">
        <v>4941.9105575835792</v>
      </c>
      <c r="AB52">
        <v>7</v>
      </c>
      <c r="AC52">
        <v>3780</v>
      </c>
      <c r="AD52">
        <v>8.9162368004009807</v>
      </c>
      <c r="AE52">
        <v>4814.7678722165292</v>
      </c>
      <c r="AF52">
        <v>5.9994405589436788</v>
      </c>
      <c r="AG52">
        <v>3239.6979018295865</v>
      </c>
      <c r="AH52">
        <v>5.4025182212088998</v>
      </c>
      <c r="AI52">
        <v>2917.3598394528058</v>
      </c>
      <c r="AJ52">
        <v>3.3788547774481215</v>
      </c>
      <c r="AK52">
        <v>1824.5815798219855</v>
      </c>
      <c r="AL52">
        <v>3.5506033176280605</v>
      </c>
      <c r="AM52">
        <v>1917.3257915191527</v>
      </c>
      <c r="AN52">
        <v>12.025293803504114</v>
      </c>
      <c r="AO52">
        <v>6493.658653892222</v>
      </c>
      <c r="AP52">
        <v>5.8168538334764861</v>
      </c>
      <c r="AQ52">
        <v>3141.1010700773027</v>
      </c>
      <c r="AR52">
        <v>4.522929198889285</v>
      </c>
      <c r="AS52">
        <v>2442.3817674002139</v>
      </c>
      <c r="AT52">
        <v>3.7204218827801134</v>
      </c>
      <c r="AU52">
        <v>2009.0278167012611</v>
      </c>
      <c r="AV52">
        <v>2.7208766260401278</v>
      </c>
      <c r="AW52">
        <v>1469.2733780616691</v>
      </c>
      <c r="AX52">
        <v>13.124113122922383</v>
      </c>
      <c r="AY52">
        <v>7087.0210863780867</v>
      </c>
      <c r="AZ52">
        <v>6</v>
      </c>
      <c r="BA52">
        <v>3240</v>
      </c>
      <c r="BB52">
        <v>8.8337128314734343</v>
      </c>
      <c r="BC52">
        <v>4770.2049289956549</v>
      </c>
      <c r="BD52">
        <v>2.5409361540261233</v>
      </c>
      <c r="BE52">
        <v>1372.1055231741066</v>
      </c>
      <c r="BF52">
        <v>11.989806850910414</v>
      </c>
      <c r="BG52">
        <v>6474.4956994916238</v>
      </c>
      <c r="BH52">
        <v>10</v>
      </c>
      <c r="BI52">
        <v>5400</v>
      </c>
      <c r="BJ52">
        <v>2.2021995446747527</v>
      </c>
      <c r="BK52">
        <v>1189.1877541243664</v>
      </c>
      <c r="BL52">
        <v>9.8017042491682194</v>
      </c>
      <c r="BM52">
        <v>5292.9202945508387</v>
      </c>
      <c r="BN52">
        <v>9</v>
      </c>
      <c r="BO52">
        <v>4860</v>
      </c>
      <c r="BP52">
        <v>7</v>
      </c>
      <c r="BQ52">
        <v>3780</v>
      </c>
      <c r="BR52">
        <v>2.7787354036321124</v>
      </c>
      <c r="BS52">
        <v>1500.5171179613408</v>
      </c>
      <c r="BT52">
        <v>2.3677491887547317</v>
      </c>
      <c r="BU52">
        <v>1278.5845619275551</v>
      </c>
      <c r="BV52">
        <v>10.658112489032927</v>
      </c>
      <c r="BW52">
        <v>5755.3807440777809</v>
      </c>
      <c r="BX52">
        <v>11</v>
      </c>
      <c r="BY52">
        <v>5940</v>
      </c>
      <c r="BZ52">
        <v>6.8252216913460728</v>
      </c>
      <c r="CA52">
        <v>3685.6197133268793</v>
      </c>
      <c r="CB52">
        <v>3.1996177409177871</v>
      </c>
      <c r="CC52">
        <v>1727.793580095605</v>
      </c>
      <c r="CD52">
        <v>1.2704600321282344</v>
      </c>
      <c r="CE52">
        <v>686.04841734924662</v>
      </c>
      <c r="CF52">
        <v>8.0814558961540399</v>
      </c>
      <c r="CG52">
        <v>4363.9861839231817</v>
      </c>
      <c r="CH52">
        <v>12</v>
      </c>
      <c r="CI52">
        <v>6480</v>
      </c>
      <c r="CJ52">
        <v>8</v>
      </c>
      <c r="CK52">
        <v>4320</v>
      </c>
      <c r="CL52">
        <v>5.9916299753992988</v>
      </c>
      <c r="CM52">
        <v>3235.4801867156211</v>
      </c>
      <c r="CN52">
        <v>3.3334259523961869</v>
      </c>
      <c r="CO52">
        <v>1800.0500142939409</v>
      </c>
      <c r="CP52">
        <v>4.5529935071563292</v>
      </c>
      <c r="CQ52">
        <v>2458.6164938644179</v>
      </c>
      <c r="CR52">
        <v>10.204403823370594</v>
      </c>
      <c r="CS52">
        <v>5510.3780646201212</v>
      </c>
      <c r="CT52">
        <v>9.7683598742654976</v>
      </c>
      <c r="CU52">
        <v>5274.9143321033689</v>
      </c>
    </row>
    <row r="53" spans="2:99">
      <c r="C53" s="99" t="s">
        <v>219</v>
      </c>
      <c r="D53">
        <v>3.3128629638838643</v>
      </c>
      <c r="E53">
        <v>1347.672653707956</v>
      </c>
      <c r="F53">
        <v>5.8686574630757757</v>
      </c>
      <c r="G53">
        <v>2387.3698559792256</v>
      </c>
      <c r="H53">
        <v>7.911540125024489</v>
      </c>
      <c r="I53">
        <v>3218.4145228599623</v>
      </c>
      <c r="J53">
        <v>9.1241127604946826</v>
      </c>
      <c r="K53">
        <v>3711.689070969237</v>
      </c>
      <c r="L53">
        <v>7.4001733726329677</v>
      </c>
      <c r="M53">
        <v>3010.3905279870914</v>
      </c>
      <c r="N53">
        <v>3.8441401010491867</v>
      </c>
      <c r="O53">
        <v>1563.7961931068091</v>
      </c>
      <c r="P53">
        <v>9.8486880062072935</v>
      </c>
      <c r="Q53">
        <v>4006.4462809251272</v>
      </c>
      <c r="R53">
        <v>8.8813020749956806</v>
      </c>
      <c r="S53">
        <v>3612.9136841082432</v>
      </c>
      <c r="T53">
        <v>8.7780612558320303</v>
      </c>
      <c r="U53">
        <v>3570.9153188724699</v>
      </c>
      <c r="V53">
        <v>1.2809290002263005</v>
      </c>
      <c r="W53">
        <v>521.08191729205907</v>
      </c>
      <c r="X53">
        <v>9.2466040034904502</v>
      </c>
      <c r="Y53">
        <v>3761.5185086199153</v>
      </c>
      <c r="Z53">
        <v>9.1516862177473683</v>
      </c>
      <c r="AA53">
        <v>3722.9059533796294</v>
      </c>
      <c r="AB53">
        <v>7</v>
      </c>
      <c r="AC53">
        <v>2847.6</v>
      </c>
      <c r="AD53">
        <v>8.9162368004009807</v>
      </c>
      <c r="AE53">
        <v>3627.1251304031189</v>
      </c>
      <c r="AF53">
        <v>6.4634300718403201</v>
      </c>
      <c r="AG53">
        <v>2629.3233532246422</v>
      </c>
      <c r="AH53">
        <v>5.4025182212088998</v>
      </c>
      <c r="AI53">
        <v>2197.7444123877804</v>
      </c>
      <c r="AJ53">
        <v>2.9888498473039444</v>
      </c>
      <c r="AK53">
        <v>1215.8641178832447</v>
      </c>
      <c r="AL53">
        <v>3.5506033176280605</v>
      </c>
      <c r="AM53">
        <v>1444.3854296110951</v>
      </c>
      <c r="AN53">
        <v>11.025293803504114</v>
      </c>
      <c r="AO53">
        <v>4485.0895192654734</v>
      </c>
      <c r="AP53">
        <v>6.7863294723892329</v>
      </c>
      <c r="AQ53">
        <v>2760.6788293679401</v>
      </c>
      <c r="AR53">
        <v>5.2767507320374998</v>
      </c>
      <c r="AS53">
        <v>2146.5821977928549</v>
      </c>
      <c r="AT53">
        <v>4.4756220153115969</v>
      </c>
      <c r="AU53">
        <v>1820.6830358287577</v>
      </c>
      <c r="AV53">
        <v>2.3321799651772523</v>
      </c>
      <c r="AW53">
        <v>948.73080983410625</v>
      </c>
      <c r="AX53">
        <v>11.124113122922383</v>
      </c>
      <c r="AY53">
        <v>4525.2892184048251</v>
      </c>
      <c r="AZ53">
        <v>6</v>
      </c>
      <c r="BA53">
        <v>2440.8000000000002</v>
      </c>
      <c r="BB53">
        <v>8.097570095517316</v>
      </c>
      <c r="BC53">
        <v>3294.0915148564441</v>
      </c>
      <c r="BD53">
        <v>2.5409361540261233</v>
      </c>
      <c r="BE53">
        <v>1033.652827457827</v>
      </c>
      <c r="BF53">
        <v>11.154774659395484</v>
      </c>
      <c r="BG53">
        <v>4537.7623314420825</v>
      </c>
      <c r="BH53">
        <v>10</v>
      </c>
      <c r="BI53">
        <v>4068</v>
      </c>
      <c r="BJ53">
        <v>2.2021995446747527</v>
      </c>
      <c r="BK53">
        <v>895.85477477368943</v>
      </c>
      <c r="BL53">
        <v>9.8017042491682194</v>
      </c>
      <c r="BM53">
        <v>3987.3332885616319</v>
      </c>
      <c r="BN53">
        <v>9</v>
      </c>
      <c r="BO53">
        <v>3661.2000000000003</v>
      </c>
      <c r="BP53">
        <v>8</v>
      </c>
      <c r="BQ53">
        <v>3254.4</v>
      </c>
      <c r="BR53">
        <v>2.381773203113239</v>
      </c>
      <c r="BS53">
        <v>968.90533902646564</v>
      </c>
      <c r="BT53">
        <v>2.3677491887547317</v>
      </c>
      <c r="BU53">
        <v>963.20036998542491</v>
      </c>
      <c r="BV53">
        <v>11.658112489032927</v>
      </c>
      <c r="BW53">
        <v>4742.5201605385946</v>
      </c>
      <c r="BX53">
        <v>10</v>
      </c>
      <c r="BY53">
        <v>4068</v>
      </c>
      <c r="BZ53">
        <v>7.8002533615383687</v>
      </c>
      <c r="CA53">
        <v>3173.1430674738085</v>
      </c>
      <c r="CB53">
        <v>3.8395412891013447</v>
      </c>
      <c r="CC53">
        <v>1561.9253964064271</v>
      </c>
      <c r="CD53">
        <v>1.2669436652876929</v>
      </c>
      <c r="CE53">
        <v>515.3926830390335</v>
      </c>
      <c r="CF53">
        <v>7.9210468032383581</v>
      </c>
      <c r="CG53">
        <v>3222.281839557364</v>
      </c>
      <c r="CH53">
        <v>12</v>
      </c>
      <c r="CI53">
        <v>4881.6000000000004</v>
      </c>
      <c r="CJ53">
        <v>7</v>
      </c>
      <c r="CK53">
        <v>2847.6</v>
      </c>
      <c r="CL53">
        <v>5.3924669778593692</v>
      </c>
      <c r="CM53">
        <v>2193.6555665931915</v>
      </c>
      <c r="CN53">
        <v>3.703806613773541</v>
      </c>
      <c r="CO53">
        <v>1506.7085304830766</v>
      </c>
      <c r="CP53">
        <v>4.1853906228416013</v>
      </c>
      <c r="CQ53">
        <v>1702.6169053719634</v>
      </c>
      <c r="CR53">
        <v>10.032346134317651</v>
      </c>
      <c r="CS53">
        <v>4081.1584074404204</v>
      </c>
      <c r="CT53">
        <v>10.745195861692048</v>
      </c>
      <c r="CU53">
        <v>4371.1456765363255</v>
      </c>
    </row>
    <row r="54" spans="2:99">
      <c r="C54" s="99" t="s">
        <v>220</v>
      </c>
      <c r="D54">
        <v>2.8395968261861695</v>
      </c>
      <c r="E54">
        <v>950.69701740712958</v>
      </c>
      <c r="F54">
        <v>6.5629691638968168</v>
      </c>
      <c r="G54">
        <v>2197.2820760726545</v>
      </c>
      <c r="H54">
        <v>7.911540125024489</v>
      </c>
      <c r="I54">
        <v>2648.7836338581992</v>
      </c>
      <c r="J54">
        <v>8.2946479640860762</v>
      </c>
      <c r="K54">
        <v>2777.0481383760184</v>
      </c>
      <c r="L54">
        <v>6.7520079493642227</v>
      </c>
      <c r="M54">
        <v>2260.572261447142</v>
      </c>
      <c r="N54">
        <v>4.4221885530749931</v>
      </c>
      <c r="O54">
        <v>1480.5487275695077</v>
      </c>
      <c r="P54">
        <v>9.8486880062072935</v>
      </c>
      <c r="Q54">
        <v>3297.3407444782019</v>
      </c>
      <c r="R54">
        <v>8.8813020749956806</v>
      </c>
      <c r="S54">
        <v>2973.4599347085541</v>
      </c>
      <c r="T54">
        <v>9.5760668245440321</v>
      </c>
      <c r="U54">
        <v>3206.067172857342</v>
      </c>
      <c r="V54">
        <v>1.4410451252545879</v>
      </c>
      <c r="W54">
        <v>482.46190793523607</v>
      </c>
      <c r="X54">
        <v>10.806348733827742</v>
      </c>
      <c r="Y54">
        <v>3617.9655560855281</v>
      </c>
      <c r="Z54">
        <v>9.1896077721842104</v>
      </c>
      <c r="AA54">
        <v>3076.6806821272739</v>
      </c>
      <c r="AB54">
        <v>7</v>
      </c>
      <c r="AC54">
        <v>2343.6</v>
      </c>
      <c r="AD54">
        <v>7.925543822578649</v>
      </c>
      <c r="AE54">
        <v>2653.4720717993318</v>
      </c>
      <c r="AF54">
        <v>6.7582351399118048</v>
      </c>
      <c r="AG54">
        <v>2262.6571248424725</v>
      </c>
      <c r="AH54">
        <v>5.4025182212088998</v>
      </c>
      <c r="AI54">
        <v>1808.7631004607397</v>
      </c>
      <c r="AJ54">
        <v>3.3309858660771301</v>
      </c>
      <c r="AK54">
        <v>1115.2140679626232</v>
      </c>
      <c r="AL54">
        <v>4.0841264887841913</v>
      </c>
      <c r="AM54">
        <v>1367.3655484449473</v>
      </c>
      <c r="AN54">
        <v>12.854411502920096</v>
      </c>
      <c r="AO54">
        <v>4303.6569711776483</v>
      </c>
      <c r="AP54">
        <v>6.7863294723892329</v>
      </c>
      <c r="AQ54">
        <v>2272.0631073559152</v>
      </c>
      <c r="AR54">
        <v>4.522929198889285</v>
      </c>
      <c r="AS54">
        <v>1514.2766957881327</v>
      </c>
      <c r="AT54">
        <v>4.4783989662907295</v>
      </c>
      <c r="AU54">
        <v>1499.3679739141362</v>
      </c>
      <c r="AV54">
        <v>2.7208766260401278</v>
      </c>
      <c r="AW54">
        <v>910.94949439823483</v>
      </c>
      <c r="AX54">
        <v>13.124113122922383</v>
      </c>
      <c r="AY54">
        <v>4393.953073554414</v>
      </c>
      <c r="AZ54">
        <v>5</v>
      </c>
      <c r="BA54">
        <v>1674</v>
      </c>
      <c r="BB54">
        <v>8.8337128314734343</v>
      </c>
      <c r="BC54">
        <v>2957.5270559773057</v>
      </c>
      <c r="BD54">
        <v>2.5213915799529842</v>
      </c>
      <c r="BE54">
        <v>844.16190096825915</v>
      </c>
      <c r="BF54">
        <v>11.989806850910414</v>
      </c>
      <c r="BG54">
        <v>4014.1873336848066</v>
      </c>
      <c r="BH54">
        <v>11</v>
      </c>
      <c r="BI54">
        <v>3682.8</v>
      </c>
      <c r="BJ54">
        <v>2.2021995446747527</v>
      </c>
      <c r="BK54">
        <v>737.29640755710716</v>
      </c>
      <c r="BL54">
        <v>9.8017042491682194</v>
      </c>
      <c r="BM54">
        <v>3281.6105826215198</v>
      </c>
      <c r="BN54">
        <v>9</v>
      </c>
      <c r="BO54">
        <v>3013.2000000000003</v>
      </c>
      <c r="BP54">
        <v>8</v>
      </c>
      <c r="BQ54">
        <v>2678.4</v>
      </c>
      <c r="BR54">
        <v>2.381773203113239</v>
      </c>
      <c r="BS54">
        <v>797.41766840231242</v>
      </c>
      <c r="BT54">
        <v>2.386224357055228</v>
      </c>
      <c r="BU54">
        <v>798.90791474209038</v>
      </c>
      <c r="BV54">
        <v>11.658112489032927</v>
      </c>
      <c r="BW54">
        <v>3903.1360613282241</v>
      </c>
      <c r="BX54">
        <v>10</v>
      </c>
      <c r="BY54">
        <v>3348</v>
      </c>
      <c r="BZ54">
        <v>7.8002533615383687</v>
      </c>
      <c r="CA54">
        <v>2611.5248254430458</v>
      </c>
      <c r="CB54">
        <v>3.8395412891013447</v>
      </c>
      <c r="CC54">
        <v>1285.4784235911302</v>
      </c>
      <c r="CD54">
        <v>1.1125316198223403</v>
      </c>
      <c r="CE54">
        <v>372.47558631651953</v>
      </c>
      <c r="CF54">
        <v>8.9151314097732541</v>
      </c>
      <c r="CG54">
        <v>2984.7859959920856</v>
      </c>
      <c r="CH54">
        <v>10</v>
      </c>
      <c r="CI54">
        <v>3348</v>
      </c>
      <c r="CJ54">
        <v>7</v>
      </c>
      <c r="CK54">
        <v>2343.6</v>
      </c>
      <c r="CL54">
        <v>5.3924669778593692</v>
      </c>
      <c r="CM54">
        <v>1805.3979441873169</v>
      </c>
      <c r="CN54">
        <v>3.3334259523961869</v>
      </c>
      <c r="CO54">
        <v>1116.0310088622434</v>
      </c>
      <c r="CP54">
        <v>4.5529935071563292</v>
      </c>
      <c r="CQ54">
        <v>1524.342226195939</v>
      </c>
      <c r="CR54">
        <v>9.204403823370594</v>
      </c>
      <c r="CS54">
        <v>3081.6344000644749</v>
      </c>
      <c r="CT54">
        <v>10.745195861692048</v>
      </c>
      <c r="CU54">
        <v>3597.4915744944979</v>
      </c>
    </row>
    <row r="55" spans="2:99">
      <c r="C55" s="99" t="s">
        <v>221</v>
      </c>
      <c r="D55">
        <v>2.8395968261861695</v>
      </c>
      <c r="E55">
        <v>1884.3564538571422</v>
      </c>
      <c r="F55">
        <v>6.6609241381281121</v>
      </c>
      <c r="G55">
        <v>4420.1892580618151</v>
      </c>
      <c r="H55">
        <v>7.9127856556072746</v>
      </c>
      <c r="I55">
        <v>5250.9245610609878</v>
      </c>
      <c r="J55">
        <v>8.2946479640860762</v>
      </c>
      <c r="K55">
        <v>5504.3283889675204</v>
      </c>
      <c r="L55">
        <v>8.0469391521319213</v>
      </c>
      <c r="M55">
        <v>5339.9488213547429</v>
      </c>
      <c r="N55">
        <v>3.8368930101720524</v>
      </c>
      <c r="O55">
        <v>2546.1622015501739</v>
      </c>
      <c r="P55">
        <v>9.8486880062072935</v>
      </c>
      <c r="Q55">
        <v>6535.5893609191598</v>
      </c>
      <c r="R55">
        <v>8.8813020749956806</v>
      </c>
      <c r="S55">
        <v>5893.6320569671334</v>
      </c>
      <c r="T55">
        <v>8.7780612558320303</v>
      </c>
      <c r="U55">
        <v>5825.1214493701355</v>
      </c>
      <c r="V55">
        <v>1.2809290002263005</v>
      </c>
      <c r="W55">
        <v>850.02448455017304</v>
      </c>
      <c r="X55">
        <v>8.249549585551204</v>
      </c>
      <c r="Y55">
        <v>5474.4011049717792</v>
      </c>
      <c r="Z55">
        <v>9.1896077721842104</v>
      </c>
      <c r="AA55">
        <v>6098.2237176214421</v>
      </c>
      <c r="AB55">
        <v>7</v>
      </c>
      <c r="AC55">
        <v>4645.2</v>
      </c>
      <c r="AD55">
        <v>7.925543822578649</v>
      </c>
      <c r="AE55">
        <v>5259.3908806631916</v>
      </c>
      <c r="AF55">
        <v>6.4634300718403201</v>
      </c>
      <c r="AG55">
        <v>4289.1321956732363</v>
      </c>
      <c r="AH55">
        <v>5.4025182212088998</v>
      </c>
      <c r="AI55">
        <v>3585.1110915942259</v>
      </c>
      <c r="AJ55">
        <v>3.0367187586749353</v>
      </c>
      <c r="AK55">
        <v>2015.1665682566872</v>
      </c>
      <c r="AL55">
        <v>4.0799970682058744</v>
      </c>
      <c r="AM55">
        <v>2707.4860544614185</v>
      </c>
      <c r="AN55">
        <v>11.854411502920096</v>
      </c>
      <c r="AO55">
        <v>7866.5874733377759</v>
      </c>
      <c r="AP55">
        <v>6.7863294723892329</v>
      </c>
      <c r="AQ55">
        <v>4503.4082378774947</v>
      </c>
      <c r="AR55">
        <v>5.2767507320374998</v>
      </c>
      <c r="AS55">
        <v>3501.651785780085</v>
      </c>
      <c r="AT55">
        <v>3.7204218827801134</v>
      </c>
      <c r="AU55">
        <v>2468.8719614128831</v>
      </c>
      <c r="AV55">
        <v>2.7049311049271685</v>
      </c>
      <c r="AW55">
        <v>1794.9922812296691</v>
      </c>
      <c r="AX55">
        <v>12.124113122922383</v>
      </c>
      <c r="AY55">
        <v>8045.5614683712938</v>
      </c>
      <c r="AZ55">
        <v>6</v>
      </c>
      <c r="BA55">
        <v>3981.6000000000004</v>
      </c>
      <c r="BB55">
        <v>8.097570095517316</v>
      </c>
      <c r="BC55">
        <v>5373.5475153852913</v>
      </c>
      <c r="BD55">
        <v>2.5213915799529842</v>
      </c>
      <c r="BE55">
        <v>1673.1954524568005</v>
      </c>
      <c r="BF55">
        <v>11.154774659395484</v>
      </c>
      <c r="BG55">
        <v>7402.3084639748431</v>
      </c>
      <c r="BH55">
        <v>10</v>
      </c>
      <c r="BI55">
        <v>6636</v>
      </c>
      <c r="BJ55">
        <v>2.0050294598482648</v>
      </c>
      <c r="BK55">
        <v>1330.5375495553085</v>
      </c>
      <c r="BL55">
        <v>8.6413633993345762</v>
      </c>
      <c r="BM55">
        <v>5734.4087517984253</v>
      </c>
      <c r="BN55">
        <v>9</v>
      </c>
      <c r="BO55">
        <v>5972.4000000000005</v>
      </c>
      <c r="BP55">
        <v>7</v>
      </c>
      <c r="BQ55">
        <v>4645.2</v>
      </c>
      <c r="BR55">
        <v>2.381773203113239</v>
      </c>
      <c r="BS55">
        <v>1580.5446975859454</v>
      </c>
      <c r="BT55">
        <v>2.3492740204542355</v>
      </c>
      <c r="BU55">
        <v>1558.9782399734308</v>
      </c>
      <c r="BV55">
        <v>10.658112489032927</v>
      </c>
      <c r="BW55">
        <v>7072.723447722251</v>
      </c>
      <c r="BX55">
        <v>10</v>
      </c>
      <c r="BY55">
        <v>6636</v>
      </c>
      <c r="BZ55">
        <v>6.8252216913460728</v>
      </c>
      <c r="CA55">
        <v>4529.2171143772539</v>
      </c>
      <c r="CB55">
        <v>3.5195795150095659</v>
      </c>
      <c r="CC55">
        <v>2335.5929661603482</v>
      </c>
      <c r="CD55">
        <v>1.2634272984471517</v>
      </c>
      <c r="CE55">
        <v>838.41035524952997</v>
      </c>
      <c r="CF55">
        <v>8.9151314097732541</v>
      </c>
      <c r="CG55">
        <v>5916.0812035255312</v>
      </c>
      <c r="CH55">
        <v>10</v>
      </c>
      <c r="CI55">
        <v>6636</v>
      </c>
      <c r="CJ55">
        <v>7</v>
      </c>
      <c r="CK55">
        <v>4645.2</v>
      </c>
      <c r="CL55">
        <v>5.9916299753992988</v>
      </c>
      <c r="CM55">
        <v>3976.0456516749746</v>
      </c>
      <c r="CN55">
        <v>3.703806613773541</v>
      </c>
      <c r="CO55">
        <v>2457.8460689001217</v>
      </c>
      <c r="CP55">
        <v>4.1821207089188581</v>
      </c>
      <c r="CQ55">
        <v>2775.2553024385543</v>
      </c>
      <c r="CR55">
        <v>10.204403823370594</v>
      </c>
      <c r="CS55">
        <v>6771.6423771887266</v>
      </c>
      <c r="CT55">
        <v>9.7683598742654976</v>
      </c>
      <c r="CU55">
        <v>6482.2836125625845</v>
      </c>
    </row>
    <row r="56" spans="2:99">
      <c r="C56" s="99" t="s">
        <v>222</v>
      </c>
      <c r="D56">
        <v>5.2320237495702804</v>
      </c>
      <c r="E56">
        <v>5135.7545125781871</v>
      </c>
      <c r="F56">
        <v>6.3170802584347978</v>
      </c>
      <c r="G56">
        <v>6200.8459816795967</v>
      </c>
      <c r="H56">
        <v>7.2256568585615764</v>
      </c>
      <c r="I56">
        <v>7092.7047723640426</v>
      </c>
      <c r="J56">
        <v>6.5842320984431657</v>
      </c>
      <c r="K56">
        <v>6463.082227831811</v>
      </c>
      <c r="L56">
        <v>9.8898719229520218</v>
      </c>
      <c r="M56">
        <v>9707.8982795697029</v>
      </c>
      <c r="N56">
        <v>5.0303778676568394</v>
      </c>
      <c r="O56">
        <v>4937.8189148919528</v>
      </c>
      <c r="P56">
        <v>7.5842569214231474</v>
      </c>
      <c r="Q56">
        <v>7444.7065940689608</v>
      </c>
      <c r="R56">
        <v>7.0046432275386108</v>
      </c>
      <c r="S56">
        <v>6875.7577921518996</v>
      </c>
      <c r="T56">
        <v>7.9930664135069813</v>
      </c>
      <c r="U56">
        <v>7845.9939914984525</v>
      </c>
      <c r="V56">
        <v>5.9921679363343694</v>
      </c>
      <c r="W56">
        <v>5881.9120463058161</v>
      </c>
      <c r="X56">
        <v>2.3754820683712152</v>
      </c>
      <c r="Y56">
        <v>2331.7731983131848</v>
      </c>
      <c r="Z56">
        <v>8.4373436935565618</v>
      </c>
      <c r="AA56">
        <v>8282.0965695951199</v>
      </c>
      <c r="AB56">
        <v>2.3001739792745068</v>
      </c>
      <c r="AC56">
        <v>2257.8507780558557</v>
      </c>
      <c r="AD56">
        <v>8.688208767789531</v>
      </c>
      <c r="AE56">
        <v>8528.3457264622029</v>
      </c>
      <c r="AF56">
        <v>2.1049006562891917</v>
      </c>
      <c r="AG56">
        <v>2066.1704842134704</v>
      </c>
      <c r="AH56">
        <v>6.6368132147827614</v>
      </c>
      <c r="AI56">
        <v>6514.6958516307577</v>
      </c>
      <c r="AJ56">
        <v>6.829537192892337</v>
      </c>
      <c r="AK56">
        <v>6703.8737085431176</v>
      </c>
      <c r="AL56">
        <v>4.8955705520524369</v>
      </c>
      <c r="AM56">
        <v>4805.4920538946717</v>
      </c>
      <c r="AN56">
        <v>1.7096409038018072</v>
      </c>
      <c r="AO56">
        <v>1678.1835111718538</v>
      </c>
      <c r="AP56">
        <v>6.4660231869650922</v>
      </c>
      <c r="AQ56">
        <v>6347.048360324934</v>
      </c>
      <c r="AR56">
        <v>6</v>
      </c>
      <c r="AS56">
        <v>5889.5999999999995</v>
      </c>
      <c r="AT56">
        <v>6.2911001739700199</v>
      </c>
      <c r="AU56">
        <v>6175.3439307689705</v>
      </c>
      <c r="AV56">
        <v>1.7433483090806419</v>
      </c>
      <c r="AW56">
        <v>1711.2707001935578</v>
      </c>
      <c r="AX56">
        <v>5.0005982063601238</v>
      </c>
      <c r="AY56">
        <v>4908.5871993630972</v>
      </c>
      <c r="AZ56">
        <v>4.4782089923052988</v>
      </c>
      <c r="BA56">
        <v>4395.8099468468808</v>
      </c>
      <c r="BB56">
        <v>2.4998299931856063</v>
      </c>
      <c r="BC56">
        <v>2453.8331213109909</v>
      </c>
      <c r="BD56">
        <v>6.0892436219391897</v>
      </c>
      <c r="BE56">
        <v>5977.2015392955082</v>
      </c>
      <c r="BF56">
        <v>6.5831305607203703</v>
      </c>
      <c r="BG56">
        <v>6462.000958403115</v>
      </c>
      <c r="BH56">
        <v>8.4887258377065162</v>
      </c>
      <c r="BI56">
        <v>8332.5332822927157</v>
      </c>
      <c r="BJ56">
        <v>2.0261369025932532</v>
      </c>
      <c r="BK56">
        <v>1988.8559835855372</v>
      </c>
      <c r="BL56">
        <v>8.4808261867473043</v>
      </c>
      <c r="BM56">
        <v>8324.7789849111523</v>
      </c>
      <c r="BN56">
        <v>3.0570189199811297</v>
      </c>
      <c r="BO56">
        <v>3000.7697718534769</v>
      </c>
      <c r="BP56">
        <v>8.6963196782966801</v>
      </c>
      <c r="BQ56">
        <v>8536.3073962160197</v>
      </c>
      <c r="BR56">
        <v>6</v>
      </c>
      <c r="BS56">
        <v>5889.5999999999995</v>
      </c>
      <c r="BT56">
        <v>5.5446904012101461</v>
      </c>
      <c r="BU56">
        <v>5442.6680978278791</v>
      </c>
      <c r="BV56">
        <v>1.5537331710429469</v>
      </c>
      <c r="BW56">
        <v>1525.1444806957566</v>
      </c>
      <c r="BX56">
        <v>6.059238404997858</v>
      </c>
      <c r="BY56">
        <v>5947.7484183458973</v>
      </c>
      <c r="BZ56">
        <v>8.9490350419104505</v>
      </c>
      <c r="CA56">
        <v>8784.3727971392982</v>
      </c>
      <c r="CB56">
        <v>8.7950562992491648</v>
      </c>
      <c r="CC56">
        <v>8633.2272633429802</v>
      </c>
      <c r="CD56">
        <v>1.8278864028918789</v>
      </c>
      <c r="CE56">
        <v>1794.2532930786681</v>
      </c>
      <c r="CF56">
        <v>0.75640767007082577</v>
      </c>
      <c r="CG56">
        <v>742.48976894152247</v>
      </c>
      <c r="CH56">
        <v>10.288454791153205</v>
      </c>
      <c r="CI56">
        <v>10099.147222995985</v>
      </c>
      <c r="CJ56">
        <v>7</v>
      </c>
      <c r="CK56">
        <v>6871.1999999999989</v>
      </c>
      <c r="CL56">
        <v>7.4575532933204114</v>
      </c>
      <c r="CM56">
        <v>7320.3343127233147</v>
      </c>
      <c r="CN56">
        <v>8.0705838662894678</v>
      </c>
      <c r="CO56">
        <v>7922.0851231497409</v>
      </c>
      <c r="CP56">
        <v>7.5048537100923634</v>
      </c>
      <c r="CQ56">
        <v>7366.7644018266628</v>
      </c>
      <c r="CR56">
        <v>7.7959162564162625</v>
      </c>
      <c r="CS56">
        <v>7652.4713972982026</v>
      </c>
      <c r="CT56">
        <v>4.2700969414909</v>
      </c>
      <c r="CU56">
        <v>4191.5271577674666</v>
      </c>
    </row>
    <row r="57" spans="2:99">
      <c r="C57" s="99" t="s">
        <v>223</v>
      </c>
      <c r="D57">
        <v>2.3663306884884738</v>
      </c>
      <c r="E57">
        <v>3339.3658675949346</v>
      </c>
      <c r="F57">
        <v>5.2799128366661154</v>
      </c>
      <c r="G57">
        <v>7451.0129951032222</v>
      </c>
      <c r="H57">
        <v>7.1454334784519649</v>
      </c>
      <c r="I57">
        <v>10083.635724791413</v>
      </c>
      <c r="J57">
        <v>7.465183167677468</v>
      </c>
      <c r="K57">
        <v>10534.866486226443</v>
      </c>
      <c r="L57">
        <v>6.7520079493642227</v>
      </c>
      <c r="M57">
        <v>9528.4336181427916</v>
      </c>
      <c r="N57">
        <v>3.9100199711238806</v>
      </c>
      <c r="O57">
        <v>5517.8201832500208</v>
      </c>
      <c r="P57">
        <v>9.8486880062072935</v>
      </c>
      <c r="Q57">
        <v>13898.468514359733</v>
      </c>
      <c r="R57">
        <v>9.8681134166618669</v>
      </c>
      <c r="S57">
        <v>13925.881653593227</v>
      </c>
      <c r="T57">
        <v>7.9800556871200268</v>
      </c>
      <c r="U57">
        <v>11261.454585663781</v>
      </c>
      <c r="V57">
        <v>1.2809290002263005</v>
      </c>
      <c r="W57">
        <v>1807.6470051193553</v>
      </c>
      <c r="X57">
        <v>8.3943376207316049</v>
      </c>
      <c r="Y57">
        <v>11846.089250376441</v>
      </c>
      <c r="Z57">
        <v>9.1516862177473683</v>
      </c>
      <c r="AA57">
        <v>12914.859590485086</v>
      </c>
      <c r="AB57">
        <v>7</v>
      </c>
      <c r="AC57">
        <v>9878.4</v>
      </c>
      <c r="AD57">
        <v>6.9348508447563182</v>
      </c>
      <c r="AE57">
        <v>9786.4615121201168</v>
      </c>
      <c r="AF57">
        <v>5.9503063809317647</v>
      </c>
      <c r="AG57">
        <v>8397.0723647709074</v>
      </c>
      <c r="AH57">
        <v>5.4025182212088998</v>
      </c>
      <c r="AI57">
        <v>7624.0337137699998</v>
      </c>
      <c r="AJ57">
        <v>2.9888498473039444</v>
      </c>
      <c r="AK57">
        <v>4217.8649045153261</v>
      </c>
      <c r="AL57">
        <v>4.0799970682058744</v>
      </c>
      <c r="AM57">
        <v>5757.6918626521301</v>
      </c>
      <c r="AN57">
        <v>10.025293803504114</v>
      </c>
      <c r="AO57">
        <v>14147.694615505006</v>
      </c>
      <c r="AP57">
        <v>5.8168538334764861</v>
      </c>
      <c r="AQ57">
        <v>8208.7441298020167</v>
      </c>
      <c r="AR57">
        <v>5.2767507320374998</v>
      </c>
      <c r="AS57">
        <v>7446.5506330513199</v>
      </c>
      <c r="AT57">
        <v>3.8065471234278783</v>
      </c>
      <c r="AU57">
        <v>5371.7993005814224</v>
      </c>
      <c r="AV57">
        <v>2.3481254862902117</v>
      </c>
      <c r="AW57">
        <v>3313.6746862527466</v>
      </c>
      <c r="AX57">
        <v>12.124113122922383</v>
      </c>
      <c r="AY57">
        <v>17109.548439068069</v>
      </c>
      <c r="AZ57">
        <v>5</v>
      </c>
      <c r="BA57">
        <v>7056</v>
      </c>
      <c r="BB57">
        <v>7.3614273595611959</v>
      </c>
      <c r="BC57">
        <v>10388.44628981276</v>
      </c>
      <c r="BD57">
        <v>2.5213915799529842</v>
      </c>
      <c r="BE57">
        <v>3558.1877976296514</v>
      </c>
      <c r="BF57">
        <v>9.9898068509104139</v>
      </c>
      <c r="BG57">
        <v>14097.615428004776</v>
      </c>
      <c r="BH57">
        <v>9</v>
      </c>
      <c r="BI57">
        <v>12700.800000000001</v>
      </c>
      <c r="BJ57">
        <v>2.0050294598482648</v>
      </c>
      <c r="BK57">
        <v>2829.4975737378713</v>
      </c>
      <c r="BL57">
        <v>8.8017042491682194</v>
      </c>
      <c r="BM57">
        <v>12420.965036426192</v>
      </c>
      <c r="BN57">
        <v>9</v>
      </c>
      <c r="BO57">
        <v>12700.800000000001</v>
      </c>
      <c r="BP57">
        <v>7</v>
      </c>
      <c r="BQ57">
        <v>9878.4</v>
      </c>
      <c r="BR57">
        <v>2.381773203113239</v>
      </c>
      <c r="BS57">
        <v>3361.1583442334031</v>
      </c>
      <c r="BT57">
        <v>2.3492740204542355</v>
      </c>
      <c r="BU57">
        <v>3315.2954976650171</v>
      </c>
      <c r="BV57">
        <v>10.493584366774694</v>
      </c>
      <c r="BW57">
        <v>14808.546258392449</v>
      </c>
      <c r="BX57">
        <v>10</v>
      </c>
      <c r="BY57">
        <v>14112</v>
      </c>
      <c r="BZ57">
        <v>6.8252216913460728</v>
      </c>
      <c r="CA57">
        <v>9631.7528508275791</v>
      </c>
      <c r="CB57">
        <v>3.1996177409177871</v>
      </c>
      <c r="CC57">
        <v>4515.3005559831809</v>
      </c>
      <c r="CD57">
        <v>1.1090152529817991</v>
      </c>
      <c r="CE57">
        <v>1565.042325007915</v>
      </c>
      <c r="CF57">
        <v>7.9210468032383581</v>
      </c>
      <c r="CG57">
        <v>11178.181248729972</v>
      </c>
      <c r="CH57">
        <v>9</v>
      </c>
      <c r="CI57">
        <v>12700.800000000001</v>
      </c>
      <c r="CJ57">
        <v>8</v>
      </c>
      <c r="CK57">
        <v>11289.6</v>
      </c>
      <c r="CL57">
        <v>5.3924669778593692</v>
      </c>
      <c r="CM57">
        <v>7609.8493991551422</v>
      </c>
      <c r="CN57">
        <v>3.3334259523961869</v>
      </c>
      <c r="CO57">
        <v>4704.1307040214988</v>
      </c>
      <c r="CP57">
        <v>3.7431532477575455</v>
      </c>
      <c r="CQ57">
        <v>5282.3378632354488</v>
      </c>
      <c r="CR57">
        <v>10.204403823370594</v>
      </c>
      <c r="CS57">
        <v>14400.454675540583</v>
      </c>
      <c r="CT57">
        <v>8.7915238868389487</v>
      </c>
      <c r="CU57">
        <v>12406.598509107125</v>
      </c>
    </row>
    <row r="58" spans="2:99">
      <c r="C58" s="99" t="s">
        <v>224</v>
      </c>
      <c r="D58">
        <v>5</v>
      </c>
      <c r="E58">
        <v>5886</v>
      </c>
      <c r="F58">
        <v>8</v>
      </c>
      <c r="G58">
        <v>9417.6</v>
      </c>
      <c r="H58">
        <v>10</v>
      </c>
      <c r="I58">
        <v>11772</v>
      </c>
      <c r="J58">
        <v>8.7746695843561877</v>
      </c>
      <c r="K58">
        <v>10329.541034704105</v>
      </c>
      <c r="L58">
        <v>10.531315446713908</v>
      </c>
      <c r="M58">
        <v>12397.464543871612</v>
      </c>
      <c r="N58">
        <v>6</v>
      </c>
      <c r="O58">
        <v>7063.2000000000007</v>
      </c>
      <c r="P58">
        <v>7.3323585664450039</v>
      </c>
      <c r="Q58">
        <v>8631.6525044190585</v>
      </c>
      <c r="R58">
        <v>8.1500495074904009</v>
      </c>
      <c r="S58">
        <v>9594.2382802176999</v>
      </c>
      <c r="T58">
        <v>2.4081884180991913</v>
      </c>
      <c r="U58">
        <v>2834.9194057863679</v>
      </c>
      <c r="V58">
        <v>7.33682410444914</v>
      </c>
      <c r="W58">
        <v>8636.9093357575275</v>
      </c>
      <c r="X58">
        <v>4.5340907549456881</v>
      </c>
      <c r="Y58">
        <v>5337.5316367220639</v>
      </c>
      <c r="Z58">
        <v>8</v>
      </c>
      <c r="AA58">
        <v>9417.6</v>
      </c>
      <c r="AB58">
        <v>4.148681274483228</v>
      </c>
      <c r="AC58">
        <v>4883.8275963216565</v>
      </c>
      <c r="AD58">
        <v>8</v>
      </c>
      <c r="AE58">
        <v>9417.6</v>
      </c>
      <c r="AF58">
        <v>7</v>
      </c>
      <c r="AG58">
        <v>8240.4</v>
      </c>
      <c r="AH58">
        <v>7</v>
      </c>
      <c r="AI58">
        <v>8240.4</v>
      </c>
      <c r="AJ58">
        <v>8</v>
      </c>
      <c r="AK58">
        <v>9417.6</v>
      </c>
      <c r="AL58">
        <v>7</v>
      </c>
      <c r="AM58">
        <v>8240.4</v>
      </c>
      <c r="AN58">
        <v>7.3894840274036069</v>
      </c>
      <c r="AO58">
        <v>8698.9005970595263</v>
      </c>
      <c r="AP58">
        <v>4.9316125723382491</v>
      </c>
      <c r="AQ58">
        <v>5805.4943201565875</v>
      </c>
      <c r="AR58">
        <v>4.8734998601116049</v>
      </c>
      <c r="AS58">
        <v>5737.0840353233816</v>
      </c>
      <c r="AT58">
        <v>4.1105795140630539</v>
      </c>
      <c r="AU58">
        <v>4838.9742039550274</v>
      </c>
      <c r="AV58">
        <v>5.3609890434127836</v>
      </c>
      <c r="AW58">
        <v>6310.9563019055295</v>
      </c>
      <c r="AX58">
        <v>1.9503325206641391</v>
      </c>
      <c r="AY58">
        <v>2295.9314433258246</v>
      </c>
      <c r="AZ58">
        <v>4.6511612385551429</v>
      </c>
      <c r="BA58">
        <v>5475.3470100271143</v>
      </c>
      <c r="BB58">
        <v>9.2526394354183665</v>
      </c>
      <c r="BC58">
        <v>10892.207143374502</v>
      </c>
      <c r="BD58">
        <v>6</v>
      </c>
      <c r="BE58">
        <v>7063.2000000000007</v>
      </c>
      <c r="BF58">
        <v>9.8936166985630756</v>
      </c>
      <c r="BG58">
        <v>11646.765577548453</v>
      </c>
      <c r="BH58">
        <v>6.9757394486507449</v>
      </c>
      <c r="BI58">
        <v>8211.8404789516571</v>
      </c>
      <c r="BJ58">
        <v>1.9391864402834349</v>
      </c>
      <c r="BK58">
        <v>2282.8102775016596</v>
      </c>
      <c r="BL58">
        <v>8</v>
      </c>
      <c r="BM58">
        <v>9417.6</v>
      </c>
      <c r="BN58">
        <v>9</v>
      </c>
      <c r="BO58">
        <v>10594.800000000001</v>
      </c>
      <c r="BP58">
        <v>7</v>
      </c>
      <c r="BQ58">
        <v>8240.4</v>
      </c>
      <c r="BR58">
        <v>6</v>
      </c>
      <c r="BS58">
        <v>7063.2000000000007</v>
      </c>
      <c r="BT58">
        <v>4.8285093903981977</v>
      </c>
      <c r="BU58">
        <v>5684.1212543767588</v>
      </c>
      <c r="BV58">
        <v>6.6606240302466713</v>
      </c>
      <c r="BW58">
        <v>7840.886608406382</v>
      </c>
      <c r="BX58">
        <v>9.3635541379137983</v>
      </c>
      <c r="BY58">
        <v>11022.775931152124</v>
      </c>
      <c r="BZ58">
        <v>1.7815557108758819</v>
      </c>
      <c r="CA58">
        <v>2097.2473828430884</v>
      </c>
      <c r="CB58">
        <v>6.6061073455124992</v>
      </c>
      <c r="CC58">
        <v>7776.7095671373145</v>
      </c>
      <c r="CD58">
        <v>7.5478545070704026</v>
      </c>
      <c r="CE58">
        <v>8885.3343257232791</v>
      </c>
      <c r="CF58">
        <v>3.2427206856658404</v>
      </c>
      <c r="CG58">
        <v>3817.3307911658276</v>
      </c>
      <c r="CH58">
        <v>8.8831820296353623</v>
      </c>
      <c r="CI58">
        <v>10457.281885286749</v>
      </c>
      <c r="CJ58">
        <v>1.1881375654806507</v>
      </c>
      <c r="CK58">
        <v>1398.6755420838222</v>
      </c>
      <c r="CL58">
        <v>9.5523472908842315</v>
      </c>
      <c r="CM58">
        <v>11245.023230828918</v>
      </c>
      <c r="CN58">
        <v>7.6666078857882933</v>
      </c>
      <c r="CO58">
        <v>9025.1308031499793</v>
      </c>
      <c r="CP58">
        <v>7.2065583037820531</v>
      </c>
      <c r="CQ58">
        <v>8483.5604352122336</v>
      </c>
      <c r="CR58">
        <v>3.6723508488752925</v>
      </c>
      <c r="CS58">
        <v>4323.0914192959945</v>
      </c>
      <c r="CT58">
        <v>10.617918726196034</v>
      </c>
      <c r="CU58">
        <v>12499.413924477973</v>
      </c>
    </row>
    <row r="59" spans="2:99">
      <c r="C59" s="99" t="s">
        <v>225</v>
      </c>
      <c r="D59">
        <v>2.8395968261861695</v>
      </c>
      <c r="E59">
        <v>862.10159643012094</v>
      </c>
      <c r="F59">
        <v>5.9742245374871557</v>
      </c>
      <c r="G59">
        <v>1813.7745695811002</v>
      </c>
      <c r="H59">
        <v>7.911540125024489</v>
      </c>
      <c r="I59">
        <v>2401.9435819574346</v>
      </c>
      <c r="J59">
        <v>8.2946479640860762</v>
      </c>
      <c r="K59">
        <v>2518.2551218965323</v>
      </c>
      <c r="L59">
        <v>8.1001701092054006</v>
      </c>
      <c r="M59">
        <v>2459.2116451547595</v>
      </c>
      <c r="N59">
        <v>4.5025626049039538</v>
      </c>
      <c r="O59">
        <v>1366.9780068488403</v>
      </c>
      <c r="P59">
        <v>9.8486880062072935</v>
      </c>
      <c r="Q59">
        <v>2990.0616786845339</v>
      </c>
      <c r="R59">
        <v>9.8681134166618669</v>
      </c>
      <c r="S59">
        <v>2995.9592332985426</v>
      </c>
      <c r="T59">
        <v>8.7780612558320303</v>
      </c>
      <c r="U59">
        <v>2665.0193972706043</v>
      </c>
      <c r="V59">
        <v>1.4410451252545879</v>
      </c>
      <c r="W59">
        <v>437.50130002729287</v>
      </c>
      <c r="X59">
        <v>10.098870386249295</v>
      </c>
      <c r="Y59">
        <v>3066.0170492652856</v>
      </c>
      <c r="Z59">
        <v>9.1896077721842104</v>
      </c>
      <c r="AA59">
        <v>2789.9649196351261</v>
      </c>
      <c r="AB59">
        <v>7</v>
      </c>
      <c r="AC59">
        <v>2125.1999999999998</v>
      </c>
      <c r="AD59">
        <v>9.9069297782233114</v>
      </c>
      <c r="AE59">
        <v>3007.7438806685968</v>
      </c>
      <c r="AF59">
        <v>6.7582351399118048</v>
      </c>
      <c r="AG59">
        <v>2051.8001884772239</v>
      </c>
      <c r="AH59">
        <v>6.2003198466412135</v>
      </c>
      <c r="AI59">
        <v>1882.4171054402723</v>
      </c>
      <c r="AJ59">
        <v>2.9904019898368821</v>
      </c>
      <c r="AK59">
        <v>907.88604411447727</v>
      </c>
      <c r="AL59">
        <v>3.9874692198101584</v>
      </c>
      <c r="AM59">
        <v>1210.5956551343641</v>
      </c>
      <c r="AN59">
        <v>13.025293803504114</v>
      </c>
      <c r="AO59">
        <v>3954.4791987438489</v>
      </c>
      <c r="AP59">
        <v>6.7863294723892329</v>
      </c>
      <c r="AQ59">
        <v>2060.3296278173707</v>
      </c>
      <c r="AR59">
        <v>4.522929198889285</v>
      </c>
      <c r="AS59">
        <v>1373.1613047827868</v>
      </c>
      <c r="AT59">
        <v>4.3867198236846985</v>
      </c>
      <c r="AU59">
        <v>1331.8081384706743</v>
      </c>
      <c r="AV59">
        <v>2.7208766260401278</v>
      </c>
      <c r="AW59">
        <v>826.05814366578272</v>
      </c>
      <c r="AX59">
        <v>13.124113122922383</v>
      </c>
      <c r="AY59">
        <v>3984.4807441192352</v>
      </c>
      <c r="AZ59">
        <v>6</v>
      </c>
      <c r="BA59">
        <v>1821.6</v>
      </c>
      <c r="BB59">
        <v>8.097570095517316</v>
      </c>
      <c r="BC59">
        <v>2458.422280999057</v>
      </c>
      <c r="BD59">
        <v>2.5213915799529842</v>
      </c>
      <c r="BE59">
        <v>765.49448367372588</v>
      </c>
      <c r="BF59">
        <v>11.154774659395484</v>
      </c>
      <c r="BG59">
        <v>3386.5895865924685</v>
      </c>
      <c r="BH59">
        <v>11</v>
      </c>
      <c r="BI59">
        <v>3339.5999999999995</v>
      </c>
      <c r="BJ59">
        <v>2.2021995446747527</v>
      </c>
      <c r="BK59">
        <v>668.58778176325484</v>
      </c>
      <c r="BL59">
        <v>8.8017042491682194</v>
      </c>
      <c r="BM59">
        <v>2672.1974100474713</v>
      </c>
      <c r="BN59">
        <v>10</v>
      </c>
      <c r="BO59">
        <v>3035.9999999999995</v>
      </c>
      <c r="BP59">
        <v>7</v>
      </c>
      <c r="BQ59">
        <v>2125.1999999999998</v>
      </c>
      <c r="BR59">
        <v>2.7787354036321124</v>
      </c>
      <c r="BS59">
        <v>843.62406854270921</v>
      </c>
      <c r="BT59">
        <v>2.7408196905299409</v>
      </c>
      <c r="BU59">
        <v>832.11285804489</v>
      </c>
      <c r="BV59">
        <v>9.6581124890329271</v>
      </c>
      <c r="BW59">
        <v>2932.2029516703965</v>
      </c>
      <c r="BX59">
        <v>12</v>
      </c>
      <c r="BY59">
        <v>3643.2</v>
      </c>
      <c r="BZ59">
        <v>7.8002533615383687</v>
      </c>
      <c r="CA59">
        <v>2368.1569205630485</v>
      </c>
      <c r="CB59">
        <v>3.5195795150095659</v>
      </c>
      <c r="CC59">
        <v>1068.5443407569041</v>
      </c>
      <c r="CD59">
        <v>1.2704600321282344</v>
      </c>
      <c r="CE59">
        <v>385.71166575413196</v>
      </c>
      <c r="CF59">
        <v>7.9210468032383581</v>
      </c>
      <c r="CG59">
        <v>2404.829809463165</v>
      </c>
      <c r="CH59">
        <v>10</v>
      </c>
      <c r="CI59">
        <v>3035.9999999999995</v>
      </c>
      <c r="CJ59">
        <v>8</v>
      </c>
      <c r="CK59">
        <v>2428.7999999999997</v>
      </c>
      <c r="CL59">
        <v>5.9916299753992988</v>
      </c>
      <c r="CM59">
        <v>1819.0588605312269</v>
      </c>
      <c r="CN59">
        <v>3.703806613773541</v>
      </c>
      <c r="CO59">
        <v>1124.475687941647</v>
      </c>
      <c r="CP59">
        <v>4.1853906228416013</v>
      </c>
      <c r="CQ59">
        <v>1270.68459309471</v>
      </c>
      <c r="CR59">
        <v>11.204403823370594</v>
      </c>
      <c r="CS59">
        <v>3401.6570007753121</v>
      </c>
      <c r="CT59">
        <v>10.745195861692048</v>
      </c>
      <c r="CU59">
        <v>3262.2414636097055</v>
      </c>
    </row>
    <row r="60" spans="2:99">
      <c r="C60" s="99" t="s">
        <v>226</v>
      </c>
      <c r="D60">
        <v>2.8395968261861695</v>
      </c>
      <c r="E60">
        <v>1850.2812919429082</v>
      </c>
      <c r="F60">
        <v>5.8686574630757757</v>
      </c>
      <c r="G60">
        <v>3824.0172029401756</v>
      </c>
      <c r="H60">
        <v>7.9127856556072746</v>
      </c>
      <c r="I60">
        <v>5155.9711331937006</v>
      </c>
      <c r="J60">
        <v>8.2946479640860762</v>
      </c>
      <c r="K60">
        <v>5404.7926133984874</v>
      </c>
      <c r="L60">
        <v>6.7520079493642227</v>
      </c>
      <c r="M60">
        <v>4399.608379805728</v>
      </c>
      <c r="N60">
        <v>4.4258120985135596</v>
      </c>
      <c r="O60">
        <v>2883.8591633914357</v>
      </c>
      <c r="P60">
        <v>8.8486880062072935</v>
      </c>
      <c r="Q60">
        <v>5765.8051048446723</v>
      </c>
      <c r="R60">
        <v>8.8813020749956806</v>
      </c>
      <c r="S60">
        <v>5787.0564320671856</v>
      </c>
      <c r="T60">
        <v>8.7780612558320303</v>
      </c>
      <c r="U60">
        <v>5719.7847143001509</v>
      </c>
      <c r="V60">
        <v>1.4410451252545879</v>
      </c>
      <c r="W60">
        <v>938.98500361588958</v>
      </c>
      <c r="X60">
        <v>10.098870386249295</v>
      </c>
      <c r="Y60">
        <v>6580.4239436800408</v>
      </c>
      <c r="Z60">
        <v>9.1896077721842104</v>
      </c>
      <c r="AA60">
        <v>5987.9484243552315</v>
      </c>
      <c r="AB60">
        <v>8</v>
      </c>
      <c r="AC60">
        <v>5212.8</v>
      </c>
      <c r="AD60">
        <v>8.9162368004009807</v>
      </c>
      <c r="AE60">
        <v>5809.8198991412792</v>
      </c>
      <c r="AF60">
        <v>6.7582351399118048</v>
      </c>
      <c r="AG60">
        <v>4403.6660171665326</v>
      </c>
      <c r="AH60">
        <v>6.2003198466412135</v>
      </c>
      <c r="AI60">
        <v>4040.1284120714149</v>
      </c>
      <c r="AJ60">
        <v>3.0382709012078726</v>
      </c>
      <c r="AK60">
        <v>1979.7373192270497</v>
      </c>
      <c r="AL60">
        <v>3.5547327382063778</v>
      </c>
      <c r="AM60">
        <v>2316.2638522152761</v>
      </c>
      <c r="AN60">
        <v>10.854411502920096</v>
      </c>
      <c r="AO60">
        <v>7072.7345353027349</v>
      </c>
      <c r="AP60">
        <v>6.7863294723892329</v>
      </c>
      <c r="AQ60">
        <v>4421.972284208824</v>
      </c>
      <c r="AR60">
        <v>5.2767507320374998</v>
      </c>
      <c r="AS60">
        <v>3438.330776995635</v>
      </c>
      <c r="AT60">
        <v>4.4783989662907295</v>
      </c>
      <c r="AU60">
        <v>2918.1247664350394</v>
      </c>
      <c r="AV60">
        <v>2.7208766260401278</v>
      </c>
      <c r="AW60">
        <v>1772.9232095277473</v>
      </c>
      <c r="AX60">
        <v>12.124113122922383</v>
      </c>
      <c r="AY60">
        <v>7900.0721108962252</v>
      </c>
      <c r="AZ60">
        <v>6</v>
      </c>
      <c r="BA60">
        <v>3909.6000000000004</v>
      </c>
      <c r="BB60">
        <v>8.8337128314734343</v>
      </c>
      <c r="BC60">
        <v>5756.0472809880903</v>
      </c>
      <c r="BD60">
        <v>2.1239616530461491</v>
      </c>
      <c r="BE60">
        <v>1383.9734131248708</v>
      </c>
      <c r="BF60">
        <v>9.9898068509104139</v>
      </c>
      <c r="BG60">
        <v>6509.3581440532262</v>
      </c>
      <c r="BH60">
        <v>10</v>
      </c>
      <c r="BI60">
        <v>6516</v>
      </c>
      <c r="BJ60">
        <v>2.2021995446747527</v>
      </c>
      <c r="BK60">
        <v>1434.9532233100688</v>
      </c>
      <c r="BL60">
        <v>9.8017042491682194</v>
      </c>
      <c r="BM60">
        <v>6386.7904887580116</v>
      </c>
      <c r="BN60">
        <v>9</v>
      </c>
      <c r="BO60">
        <v>5864.4000000000005</v>
      </c>
      <c r="BP60">
        <v>7</v>
      </c>
      <c r="BQ60">
        <v>4561.2</v>
      </c>
      <c r="BR60">
        <v>2.381773203113239</v>
      </c>
      <c r="BS60">
        <v>1551.9634191485866</v>
      </c>
      <c r="BT60">
        <v>2.3492740204542355</v>
      </c>
      <c r="BU60">
        <v>1530.7869517279798</v>
      </c>
      <c r="BV60">
        <v>11.658112489032927</v>
      </c>
      <c r="BW60">
        <v>7596.4260978538559</v>
      </c>
      <c r="BX60">
        <v>10</v>
      </c>
      <c r="BY60">
        <v>6516</v>
      </c>
      <c r="BZ60">
        <v>6.8252216913460728</v>
      </c>
      <c r="CA60">
        <v>4447.3144540811008</v>
      </c>
      <c r="CB60">
        <v>3.5195795150095659</v>
      </c>
      <c r="CC60">
        <v>2293.3580119802332</v>
      </c>
      <c r="CD60">
        <v>1.1090152529817991</v>
      </c>
      <c r="CE60">
        <v>722.63433884294034</v>
      </c>
      <c r="CF60">
        <v>8.9151314097732541</v>
      </c>
      <c r="CG60">
        <v>5809.0996266082529</v>
      </c>
      <c r="CH60">
        <v>11</v>
      </c>
      <c r="CI60">
        <v>7167.6</v>
      </c>
      <c r="CJ60">
        <v>8</v>
      </c>
      <c r="CK60">
        <v>5212.8</v>
      </c>
      <c r="CL60">
        <v>5.3924669778593692</v>
      </c>
      <c r="CM60">
        <v>3513.7314827731652</v>
      </c>
      <c r="CN60">
        <v>3.703806613773541</v>
      </c>
      <c r="CO60">
        <v>2413.4003895348396</v>
      </c>
      <c r="CP60">
        <v>4.1821207089188581</v>
      </c>
      <c r="CQ60">
        <v>2725.0698539315281</v>
      </c>
      <c r="CR60">
        <v>9.204403823370594</v>
      </c>
      <c r="CS60">
        <v>5997.5895313082792</v>
      </c>
      <c r="CT60">
        <v>8.7915238868389487</v>
      </c>
      <c r="CU60">
        <v>5728.5569646642589</v>
      </c>
    </row>
    <row r="61" spans="2:99">
      <c r="C61" s="99" t="s">
        <v>227</v>
      </c>
      <c r="D61">
        <v>2.8395968261861695</v>
      </c>
      <c r="E61">
        <v>2702.1603397987587</v>
      </c>
      <c r="F61">
        <v>5.9742245374871557</v>
      </c>
      <c r="G61">
        <v>5685.0720698727764</v>
      </c>
      <c r="H61">
        <v>7.2198070655383102</v>
      </c>
      <c r="I61">
        <v>6870.3684035662554</v>
      </c>
      <c r="J61">
        <v>8.2946479640860762</v>
      </c>
      <c r="K61">
        <v>7893.1870026243096</v>
      </c>
      <c r="L61">
        <v>7.3987737288631763</v>
      </c>
      <c r="M61">
        <v>7040.6730803861983</v>
      </c>
      <c r="N61">
        <v>3.9136435165624466</v>
      </c>
      <c r="O61">
        <v>3724.2231703608236</v>
      </c>
      <c r="P61">
        <v>8.8486880062072935</v>
      </c>
      <c r="Q61">
        <v>8420.4115067068597</v>
      </c>
      <c r="R61">
        <v>8.8813020749956806</v>
      </c>
      <c r="S61">
        <v>8451.4470545658896</v>
      </c>
      <c r="T61">
        <v>7.9800556871200268</v>
      </c>
      <c r="U61">
        <v>7593.8209918634166</v>
      </c>
      <c r="V61">
        <v>1.4410451252545879</v>
      </c>
      <c r="W61">
        <v>1371.2985411922657</v>
      </c>
      <c r="X61">
        <v>8.3943376207316049</v>
      </c>
      <c r="Y61">
        <v>7988.0516798881945</v>
      </c>
      <c r="Z61">
        <v>9.1516862177473683</v>
      </c>
      <c r="AA61">
        <v>8708.7446048083948</v>
      </c>
      <c r="AB61">
        <v>6</v>
      </c>
      <c r="AC61">
        <v>5709.5999999999995</v>
      </c>
      <c r="AD61">
        <v>7.925543822578649</v>
      </c>
      <c r="AE61">
        <v>7541.9475015658418</v>
      </c>
      <c r="AF61">
        <v>6.4634300718403201</v>
      </c>
      <c r="AG61">
        <v>6150.6000563632479</v>
      </c>
      <c r="AH61">
        <v>6.2003198466412135</v>
      </c>
      <c r="AI61">
        <v>5900.2243660637778</v>
      </c>
      <c r="AJ61">
        <v>2.6482659710636964</v>
      </c>
      <c r="AK61">
        <v>2520.0898980642132</v>
      </c>
      <c r="AL61">
        <v>3.9874692198101584</v>
      </c>
      <c r="AM61">
        <v>3794.4757095713462</v>
      </c>
      <c r="AN61">
        <v>10.025293803504114</v>
      </c>
      <c r="AO61">
        <v>9540.0695834145135</v>
      </c>
      <c r="AP61">
        <v>6.7863294723892329</v>
      </c>
      <c r="AQ61">
        <v>6457.8711259255933</v>
      </c>
      <c r="AR61">
        <v>5.2767507320374998</v>
      </c>
      <c r="AS61">
        <v>5021.3559966068842</v>
      </c>
      <c r="AT61">
        <v>4.4783989662907295</v>
      </c>
      <c r="AU61">
        <v>4261.6444563222576</v>
      </c>
      <c r="AV61">
        <v>2.3481254862902117</v>
      </c>
      <c r="AW61">
        <v>2234.4762127537651</v>
      </c>
      <c r="AX61">
        <v>11.963525533933471</v>
      </c>
      <c r="AY61">
        <v>11384.49089809109</v>
      </c>
      <c r="AZ61">
        <v>6</v>
      </c>
      <c r="BA61">
        <v>5709.5999999999995</v>
      </c>
      <c r="BB61">
        <v>7.3614273595611959</v>
      </c>
      <c r="BC61">
        <v>7005.1342753584331</v>
      </c>
      <c r="BD61">
        <v>2.5213915799529842</v>
      </c>
      <c r="BE61">
        <v>2399.3562274832598</v>
      </c>
      <c r="BF61">
        <v>10.824839042425346</v>
      </c>
      <c r="BG61">
        <v>10300.916832771958</v>
      </c>
      <c r="BH61">
        <v>10</v>
      </c>
      <c r="BI61">
        <v>9516</v>
      </c>
      <c r="BJ61">
        <v>2.0050294598482648</v>
      </c>
      <c r="BK61">
        <v>1907.9860339916086</v>
      </c>
      <c r="BL61">
        <v>8.6413633993345762</v>
      </c>
      <c r="BM61">
        <v>8223.1214108067816</v>
      </c>
      <c r="BN61">
        <v>9</v>
      </c>
      <c r="BO61">
        <v>8564.4</v>
      </c>
      <c r="BP61">
        <v>7</v>
      </c>
      <c r="BQ61">
        <v>6661.1999999999989</v>
      </c>
      <c r="BR61">
        <v>2.381773203113239</v>
      </c>
      <c r="BS61">
        <v>2266.4953800825579</v>
      </c>
      <c r="BT61">
        <v>2.3492740204542355</v>
      </c>
      <c r="BU61">
        <v>2235.5691578642504</v>
      </c>
      <c r="BV61">
        <v>10.658112489032927</v>
      </c>
      <c r="BW61">
        <v>10142.259844563732</v>
      </c>
      <c r="BX61">
        <v>10</v>
      </c>
      <c r="BY61">
        <v>9516</v>
      </c>
      <c r="BZ61">
        <v>6.8252216913460728</v>
      </c>
      <c r="CA61">
        <v>6494.8809614849224</v>
      </c>
      <c r="CB61">
        <v>3.1996177409177871</v>
      </c>
      <c r="CC61">
        <v>3044.756242257366</v>
      </c>
      <c r="CD61">
        <v>1.1125316198223403</v>
      </c>
      <c r="CE61">
        <v>1058.685089422939</v>
      </c>
      <c r="CF61">
        <v>7.9210468032383581</v>
      </c>
      <c r="CG61">
        <v>7537.6681379616211</v>
      </c>
      <c r="CH61">
        <v>11</v>
      </c>
      <c r="CI61">
        <v>10467.599999999999</v>
      </c>
      <c r="CJ61">
        <v>8</v>
      </c>
      <c r="CK61">
        <v>7612.7999999999993</v>
      </c>
      <c r="CL61">
        <v>5.3924669778593692</v>
      </c>
      <c r="CM61">
        <v>5131.4715761309753</v>
      </c>
      <c r="CN61">
        <v>3.3334259523961869</v>
      </c>
      <c r="CO61">
        <v>3172.0881363002113</v>
      </c>
      <c r="CP61">
        <v>4.1140260459950158</v>
      </c>
      <c r="CQ61">
        <v>3914.9071853688565</v>
      </c>
      <c r="CR61">
        <v>10.032346134317651</v>
      </c>
      <c r="CS61">
        <v>9546.780581416675</v>
      </c>
      <c r="CT61">
        <v>9.7683598742654976</v>
      </c>
      <c r="CU61">
        <v>9295.571256351046</v>
      </c>
    </row>
    <row r="62" spans="2:99">
      <c r="C62" s="99" t="s">
        <v>228</v>
      </c>
      <c r="D62">
        <v>5.2320237495702804</v>
      </c>
      <c r="E62">
        <v>8733.2940427827125</v>
      </c>
      <c r="F62">
        <v>6.3144525044528761</v>
      </c>
      <c r="G62">
        <v>10540.084120432741</v>
      </c>
      <c r="H62">
        <v>7.8691221990368554</v>
      </c>
      <c r="I62">
        <v>13135.13877463232</v>
      </c>
      <c r="J62">
        <v>5.9161898749272241</v>
      </c>
      <c r="K62">
        <v>9875.3041392285231</v>
      </c>
      <c r="L62">
        <v>8.2214252772246237</v>
      </c>
      <c r="M62">
        <v>13723.203072743343</v>
      </c>
      <c r="N62">
        <v>4.1703053275632014</v>
      </c>
      <c r="O62">
        <v>6961.0736527684958</v>
      </c>
      <c r="P62">
        <v>6.8169138911600378</v>
      </c>
      <c r="Q62">
        <v>11378.792667124335</v>
      </c>
      <c r="R62">
        <v>6.4043819721443702</v>
      </c>
      <c r="S62">
        <v>10690.194387903382</v>
      </c>
      <c r="T62">
        <v>6.6467283088333016</v>
      </c>
      <c r="U62">
        <v>11094.718893104548</v>
      </c>
      <c r="V62">
        <v>4.7137185519134182</v>
      </c>
      <c r="W62">
        <v>7868.1390068538776</v>
      </c>
      <c r="X62">
        <v>1.9016418685919985</v>
      </c>
      <c r="Y62">
        <v>3174.2206070537641</v>
      </c>
      <c r="Z62">
        <v>8.4373436935565618</v>
      </c>
      <c r="AA62">
        <v>14083.614093284614</v>
      </c>
      <c r="AB62">
        <v>2.3001739792745068</v>
      </c>
      <c r="AC62">
        <v>3839.4504062050069</v>
      </c>
      <c r="AD62">
        <v>7.5505670142316248</v>
      </c>
      <c r="AE62">
        <v>12603.406460155429</v>
      </c>
      <c r="AF62">
        <v>2.0942549590012312</v>
      </c>
      <c r="AG62">
        <v>3495.7303775648552</v>
      </c>
      <c r="AH62">
        <v>6.5094505718262088</v>
      </c>
      <c r="AI62">
        <v>10865.574894492309</v>
      </c>
      <c r="AJ62">
        <v>6.829537192892337</v>
      </c>
      <c r="AK62">
        <v>11399.863482375889</v>
      </c>
      <c r="AL62">
        <v>4.8955705520524369</v>
      </c>
      <c r="AM62">
        <v>8171.686365485928</v>
      </c>
      <c r="AN62">
        <v>1.8884422970619232</v>
      </c>
      <c r="AO62">
        <v>3152.1878822557624</v>
      </c>
      <c r="AP62">
        <v>6.4660231869650922</v>
      </c>
      <c r="AQ62">
        <v>10793.085903682133</v>
      </c>
      <c r="AR62">
        <v>7</v>
      </c>
      <c r="AS62">
        <v>11684.4</v>
      </c>
      <c r="AT62">
        <v>5.2986464801803024</v>
      </c>
      <c r="AU62">
        <v>8844.5007047169602</v>
      </c>
      <c r="AV62">
        <v>1.5027346468708824</v>
      </c>
      <c r="AW62">
        <v>2508.3646725568769</v>
      </c>
      <c r="AX62">
        <v>5.4711638832817595</v>
      </c>
      <c r="AY62">
        <v>9132.466753973913</v>
      </c>
      <c r="AZ62">
        <v>4.4836325074735255</v>
      </c>
      <c r="BA62">
        <v>7484.0793814748085</v>
      </c>
      <c r="BB62">
        <v>2.0443374347307599</v>
      </c>
      <c r="BC62">
        <v>3412.4080460525847</v>
      </c>
      <c r="BD62">
        <v>5.060720860287101</v>
      </c>
      <c r="BE62">
        <v>8447.3552599912291</v>
      </c>
      <c r="BF62">
        <v>6.5855530425111581</v>
      </c>
      <c r="BG62">
        <v>10992.605138559626</v>
      </c>
      <c r="BH62">
        <v>7.0622990921890816</v>
      </c>
      <c r="BI62">
        <v>11788.389644682014</v>
      </c>
      <c r="BJ62">
        <v>1.6602996390969549</v>
      </c>
      <c r="BK62">
        <v>2771.3721575806371</v>
      </c>
      <c r="BL62">
        <v>7.3846609493978432</v>
      </c>
      <c r="BM62">
        <v>12326.47605673488</v>
      </c>
      <c r="BN62">
        <v>3.4255902496278661</v>
      </c>
      <c r="BO62">
        <v>5717.9952446788338</v>
      </c>
      <c r="BP62">
        <v>7.5222397587225096</v>
      </c>
      <c r="BQ62">
        <v>12556.122605259614</v>
      </c>
      <c r="BR62">
        <v>5</v>
      </c>
      <c r="BS62">
        <v>8346</v>
      </c>
      <c r="BT62">
        <v>5.5443852339803188</v>
      </c>
      <c r="BU62">
        <v>9254.6878325599482</v>
      </c>
      <c r="BV62">
        <v>1.5537331710429469</v>
      </c>
      <c r="BW62">
        <v>2593.4914091048872</v>
      </c>
      <c r="BX62">
        <v>5.4802255563307769</v>
      </c>
      <c r="BY62">
        <v>9147.592498627333</v>
      </c>
      <c r="BZ62">
        <v>7.9490350419104505</v>
      </c>
      <c r="CA62">
        <v>13268.529291956924</v>
      </c>
      <c r="CB62">
        <v>8.0238611213588378</v>
      </c>
      <c r="CC62">
        <v>13393.428983772172</v>
      </c>
      <c r="CD62">
        <v>1.8278864028918789</v>
      </c>
      <c r="CE62">
        <v>3051.1079837071243</v>
      </c>
      <c r="CF62">
        <v>0.88247561508263006</v>
      </c>
      <c r="CG62">
        <v>1473.0282966959262</v>
      </c>
      <c r="CH62">
        <v>9.2163410933649033</v>
      </c>
      <c r="CI62">
        <v>15383.916553044697</v>
      </c>
      <c r="CJ62">
        <v>7</v>
      </c>
      <c r="CK62">
        <v>11684.4</v>
      </c>
      <c r="CL62">
        <v>6.6240707289293956</v>
      </c>
      <c r="CM62">
        <v>11056.898860728947</v>
      </c>
      <c r="CN62">
        <v>6.690150558886983</v>
      </c>
      <c r="CO62">
        <v>11167.199312894152</v>
      </c>
      <c r="CP62">
        <v>7.6118699701034505</v>
      </c>
      <c r="CQ62">
        <v>12705.733354096679</v>
      </c>
      <c r="CR62">
        <v>7.6491109536805704</v>
      </c>
      <c r="CS62">
        <v>12767.896003883609</v>
      </c>
      <c r="CT62">
        <v>3.4951734971317423</v>
      </c>
      <c r="CU62">
        <v>5834.1436014123046</v>
      </c>
    </row>
    <row r="63" spans="2:99">
      <c r="C63" s="99" t="s">
        <v>229</v>
      </c>
      <c r="D63">
        <v>2.8395968261861695</v>
      </c>
      <c r="E63">
        <v>2259.1832349137167</v>
      </c>
      <c r="F63">
        <v>5.8686574630757757</v>
      </c>
      <c r="G63">
        <v>4669.1038776230871</v>
      </c>
      <c r="H63">
        <v>7.2198070655383102</v>
      </c>
      <c r="I63">
        <v>5744.0785013422801</v>
      </c>
      <c r="J63">
        <v>8.2946479640860762</v>
      </c>
      <c r="K63">
        <v>6599.2219202268825</v>
      </c>
      <c r="L63">
        <v>7.3441431280199057</v>
      </c>
      <c r="M63">
        <v>5843.0002726526372</v>
      </c>
      <c r="N63">
        <v>3.9136435165624466</v>
      </c>
      <c r="O63">
        <v>3113.6947817770824</v>
      </c>
      <c r="P63">
        <v>9.8486880062072935</v>
      </c>
      <c r="Q63">
        <v>7835.6161777385232</v>
      </c>
      <c r="R63">
        <v>9.8681134166618669</v>
      </c>
      <c r="S63">
        <v>7851.0710342961811</v>
      </c>
      <c r="T63">
        <v>8.7780612558320303</v>
      </c>
      <c r="U63">
        <v>6983.8255351399639</v>
      </c>
      <c r="V63">
        <v>1.2809290002263005</v>
      </c>
      <c r="W63">
        <v>1019.1071125800447</v>
      </c>
      <c r="X63">
        <v>9.9540823510688963</v>
      </c>
      <c r="Y63">
        <v>7919.4679185104142</v>
      </c>
      <c r="Z63">
        <v>9.1516862177473683</v>
      </c>
      <c r="AA63">
        <v>7281.0815548398068</v>
      </c>
      <c r="AB63">
        <v>7</v>
      </c>
      <c r="AC63">
        <v>5569.2</v>
      </c>
      <c r="AD63">
        <v>8.9162368004009807</v>
      </c>
      <c r="AE63">
        <v>7093.7579983990208</v>
      </c>
      <c r="AF63">
        <v>6.7582351399118048</v>
      </c>
      <c r="AG63">
        <v>5376.8518773138321</v>
      </c>
      <c r="AH63">
        <v>5.4025182212088998</v>
      </c>
      <c r="AI63">
        <v>4298.2434967938007</v>
      </c>
      <c r="AJ63">
        <v>2.9888498473039444</v>
      </c>
      <c r="AK63">
        <v>2377.9289385150182</v>
      </c>
      <c r="AL63">
        <v>3.9874692198101584</v>
      </c>
      <c r="AM63">
        <v>3172.430511280962</v>
      </c>
      <c r="AN63">
        <v>11.025293803504114</v>
      </c>
      <c r="AO63">
        <v>8771.723750067873</v>
      </c>
      <c r="AP63">
        <v>6.7863294723892329</v>
      </c>
      <c r="AQ63">
        <v>5399.2037282328738</v>
      </c>
      <c r="AR63">
        <v>5.2767507320374998</v>
      </c>
      <c r="AS63">
        <v>4198.1828824090353</v>
      </c>
      <c r="AT63">
        <v>4.3867198236846985</v>
      </c>
      <c r="AU63">
        <v>3490.0742917235461</v>
      </c>
      <c r="AV63">
        <v>2.7049311049271685</v>
      </c>
      <c r="AW63">
        <v>2152.0431870800553</v>
      </c>
      <c r="AX63">
        <v>11.124113122922383</v>
      </c>
      <c r="AY63">
        <v>8850.3444005970487</v>
      </c>
      <c r="AZ63">
        <v>6</v>
      </c>
      <c r="BA63">
        <v>4773.6000000000004</v>
      </c>
      <c r="BB63">
        <v>8.097570095517316</v>
      </c>
      <c r="BC63">
        <v>6442.4267679935765</v>
      </c>
      <c r="BD63">
        <v>2.5213915799529842</v>
      </c>
      <c r="BE63">
        <v>2006.0191410105942</v>
      </c>
      <c r="BF63">
        <v>11.989806850910414</v>
      </c>
      <c r="BG63">
        <v>9539.0903305843258</v>
      </c>
      <c r="BH63">
        <v>9</v>
      </c>
      <c r="BI63">
        <v>7160.4000000000005</v>
      </c>
      <c r="BJ63">
        <v>2.0050294598482648</v>
      </c>
      <c r="BK63">
        <v>1595.2014382552795</v>
      </c>
      <c r="BL63">
        <v>9.8017042491682194</v>
      </c>
      <c r="BM63">
        <v>7798.2359006382358</v>
      </c>
      <c r="BN63">
        <v>8</v>
      </c>
      <c r="BO63">
        <v>6364.8</v>
      </c>
      <c r="BP63">
        <v>8</v>
      </c>
      <c r="BQ63">
        <v>6364.8</v>
      </c>
      <c r="BR63">
        <v>2.381773203113239</v>
      </c>
      <c r="BS63">
        <v>1894.938760396893</v>
      </c>
      <c r="BT63">
        <v>1.9946786869795221</v>
      </c>
      <c r="BU63">
        <v>1586.9663633609077</v>
      </c>
      <c r="BV63">
        <v>10.493584366774694</v>
      </c>
      <c r="BW63">
        <v>8348.6957222059464</v>
      </c>
      <c r="BX63">
        <v>10</v>
      </c>
      <c r="BY63">
        <v>7956</v>
      </c>
      <c r="BZ63">
        <v>6.8252216913460728</v>
      </c>
      <c r="CA63">
        <v>5430.1463776349356</v>
      </c>
      <c r="CB63">
        <v>3.5195795150095659</v>
      </c>
      <c r="CC63">
        <v>2800.1774621416107</v>
      </c>
      <c r="CD63">
        <v>1.2634272984471517</v>
      </c>
      <c r="CE63">
        <v>1005.1827586445539</v>
      </c>
      <c r="CF63">
        <v>7.9210468032383581</v>
      </c>
      <c r="CG63">
        <v>6301.9848366564374</v>
      </c>
      <c r="CH63">
        <v>10</v>
      </c>
      <c r="CI63">
        <v>7956</v>
      </c>
      <c r="CJ63">
        <v>7</v>
      </c>
      <c r="CK63">
        <v>5569.2</v>
      </c>
      <c r="CL63">
        <v>5.3924669778593692</v>
      </c>
      <c r="CM63">
        <v>4290.246727584914</v>
      </c>
      <c r="CN63">
        <v>3.703806613773541</v>
      </c>
      <c r="CO63">
        <v>2946.7485419182294</v>
      </c>
      <c r="CP63">
        <v>3.8172475217160153</v>
      </c>
      <c r="CQ63">
        <v>3037.0021282772618</v>
      </c>
      <c r="CR63">
        <v>11.204403823370594</v>
      </c>
      <c r="CS63">
        <v>8914.2236818736455</v>
      </c>
      <c r="CT63">
        <v>9.7683598742654976</v>
      </c>
      <c r="CU63">
        <v>7771.7071159656298</v>
      </c>
    </row>
    <row r="64" spans="2:99">
      <c r="C64" s="99" t="s">
        <v>230</v>
      </c>
      <c r="D64">
        <v>2.3663306884884738</v>
      </c>
      <c r="E64">
        <v>2388.1009308225675</v>
      </c>
      <c r="F64">
        <v>5.1743457622547337</v>
      </c>
      <c r="G64">
        <v>5221.9497432674762</v>
      </c>
      <c r="H64">
        <v>7.2198070655383102</v>
      </c>
      <c r="I64">
        <v>7286.2292905412614</v>
      </c>
      <c r="J64">
        <v>8.2946479640860762</v>
      </c>
      <c r="K64">
        <v>8370.9587253556674</v>
      </c>
      <c r="L64">
        <v>8.0455395083621308</v>
      </c>
      <c r="M64">
        <v>8119.558471839061</v>
      </c>
      <c r="N64">
        <v>3.8405165556106198</v>
      </c>
      <c r="O64">
        <v>3875.8493079222367</v>
      </c>
      <c r="P64">
        <v>9.8486880062072935</v>
      </c>
      <c r="Q64">
        <v>9939.2959358643984</v>
      </c>
      <c r="R64">
        <v>9.8681134166618669</v>
      </c>
      <c r="S64">
        <v>9958.9000600951549</v>
      </c>
      <c r="T64">
        <v>7.9800556871200268</v>
      </c>
      <c r="U64">
        <v>8053.4721994415295</v>
      </c>
      <c r="V64">
        <v>1.2809290002263005</v>
      </c>
      <c r="W64">
        <v>1292.7135470283822</v>
      </c>
      <c r="X64">
        <v>8.249549585551204</v>
      </c>
      <c r="Y64">
        <v>8325.4454417382731</v>
      </c>
      <c r="Z64">
        <v>10.18960777218421</v>
      </c>
      <c r="AA64">
        <v>10283.352163688303</v>
      </c>
      <c r="AB64">
        <v>7</v>
      </c>
      <c r="AC64">
        <v>7064.3999999999987</v>
      </c>
      <c r="AD64">
        <v>6.9348508447563182</v>
      </c>
      <c r="AE64">
        <v>6998.6514725280749</v>
      </c>
      <c r="AF64">
        <v>6.7582351399118048</v>
      </c>
      <c r="AG64">
        <v>6820.4109031989919</v>
      </c>
      <c r="AH64">
        <v>6.2003198466412135</v>
      </c>
      <c r="AI64">
        <v>6257.3627892303111</v>
      </c>
      <c r="AJ64">
        <v>2.9888498473039444</v>
      </c>
      <c r="AK64">
        <v>3016.34726589914</v>
      </c>
      <c r="AL64">
        <v>3.9874692198101584</v>
      </c>
      <c r="AM64">
        <v>4024.1539366324114</v>
      </c>
      <c r="AN64">
        <v>10.854411502920096</v>
      </c>
      <c r="AO64">
        <v>10954.272088746959</v>
      </c>
      <c r="AP64">
        <v>5.8168538334764861</v>
      </c>
      <c r="AQ64">
        <v>5870.3688887444687</v>
      </c>
      <c r="AR64">
        <v>4.522929198889285</v>
      </c>
      <c r="AS64">
        <v>4564.5401475190656</v>
      </c>
      <c r="AT64">
        <v>3.7204218827801134</v>
      </c>
      <c r="AU64">
        <v>3754.6497641016899</v>
      </c>
      <c r="AV64">
        <v>2.7049311049271685</v>
      </c>
      <c r="AW64">
        <v>2729.816471092498</v>
      </c>
      <c r="AX64">
        <v>11.124113122922383</v>
      </c>
      <c r="AY64">
        <v>11226.454963653267</v>
      </c>
      <c r="AZ64">
        <v>5</v>
      </c>
      <c r="BA64">
        <v>5045.9999999999991</v>
      </c>
      <c r="BB64">
        <v>6.6252846236050758</v>
      </c>
      <c r="BC64">
        <v>6686.2372421422415</v>
      </c>
      <c r="BD64">
        <v>2.5409361540261233</v>
      </c>
      <c r="BE64">
        <v>2564.3127666431633</v>
      </c>
      <c r="BF64">
        <v>10.989806850910414</v>
      </c>
      <c r="BG64">
        <v>11090.913073938787</v>
      </c>
      <c r="BH64">
        <v>9</v>
      </c>
      <c r="BI64">
        <v>9082.7999999999993</v>
      </c>
      <c r="BJ64">
        <v>2.1966447760775214</v>
      </c>
      <c r="BK64">
        <v>2216.8539080174342</v>
      </c>
      <c r="BL64">
        <v>8.8017042491682194</v>
      </c>
      <c r="BM64">
        <v>8882.6799282605662</v>
      </c>
      <c r="BN64">
        <v>8</v>
      </c>
      <c r="BO64">
        <v>8073.5999999999985</v>
      </c>
      <c r="BP64">
        <v>7</v>
      </c>
      <c r="BQ64">
        <v>7064.3999999999987</v>
      </c>
      <c r="BR64">
        <v>1.9848110025943659</v>
      </c>
      <c r="BS64">
        <v>2003.0712638182338</v>
      </c>
      <c r="BT64">
        <v>2.3677491887547317</v>
      </c>
      <c r="BU64">
        <v>2389.532481291275</v>
      </c>
      <c r="BV64">
        <v>10.658112489032927</v>
      </c>
      <c r="BW64">
        <v>10756.167123932028</v>
      </c>
      <c r="BX64">
        <v>10</v>
      </c>
      <c r="BY64">
        <v>10091.999999999998</v>
      </c>
      <c r="BZ64">
        <v>7.8002533615383687</v>
      </c>
      <c r="CA64">
        <v>7872.0156924645198</v>
      </c>
      <c r="CB64">
        <v>3.1996177409177871</v>
      </c>
      <c r="CC64">
        <v>3229.05422413423</v>
      </c>
      <c r="CD64">
        <v>1.2634272984471517</v>
      </c>
      <c r="CE64">
        <v>1275.0508295928653</v>
      </c>
      <c r="CF64">
        <v>7.7606377103226771</v>
      </c>
      <c r="CG64">
        <v>7832.035577257644</v>
      </c>
      <c r="CH64">
        <v>9</v>
      </c>
      <c r="CI64">
        <v>9082.7999999999993</v>
      </c>
      <c r="CJ64">
        <v>7</v>
      </c>
      <c r="CK64">
        <v>7064.3999999999987</v>
      </c>
      <c r="CL64">
        <v>5.9916299753992988</v>
      </c>
      <c r="CM64">
        <v>6046.7529711729712</v>
      </c>
      <c r="CN64">
        <v>3.703806613773541</v>
      </c>
      <c r="CO64">
        <v>3737.881634620257</v>
      </c>
      <c r="CP64">
        <v>3.7431532477575455</v>
      </c>
      <c r="CQ64">
        <v>3777.5902576369144</v>
      </c>
      <c r="CR64">
        <v>10.032346134317651</v>
      </c>
      <c r="CS64">
        <v>10124.643718753372</v>
      </c>
      <c r="CT64">
        <v>9.7683598742654976</v>
      </c>
      <c r="CU64">
        <v>9858.2287851087385</v>
      </c>
    </row>
    <row r="65" spans="2:99">
      <c r="C65" s="99" t="s">
        <v>231</v>
      </c>
      <c r="D65">
        <v>2.3663306884884738</v>
      </c>
      <c r="E65">
        <v>2427.8552863891741</v>
      </c>
      <c r="F65">
        <v>5.8686574630757757</v>
      </c>
      <c r="G65">
        <v>6021.2425571157455</v>
      </c>
      <c r="H65">
        <v>6.5268284754693449</v>
      </c>
      <c r="I65">
        <v>6696.5260158315477</v>
      </c>
      <c r="J65">
        <v>7.465183167677468</v>
      </c>
      <c r="K65">
        <v>7659.2779300370821</v>
      </c>
      <c r="L65">
        <v>6.7520079493642227</v>
      </c>
      <c r="M65">
        <v>6927.5601560476925</v>
      </c>
      <c r="N65">
        <v>4.4953155140268208</v>
      </c>
      <c r="O65">
        <v>4612.1937173915185</v>
      </c>
      <c r="P65">
        <v>9.8486880062072935</v>
      </c>
      <c r="Q65">
        <v>10104.753894368683</v>
      </c>
      <c r="R65">
        <v>9.8681134166618669</v>
      </c>
      <c r="S65">
        <v>10124.684365495075</v>
      </c>
      <c r="T65">
        <v>8.7780612558320303</v>
      </c>
      <c r="U65">
        <v>9006.2908484836626</v>
      </c>
      <c r="V65">
        <v>1.4410451252545879</v>
      </c>
      <c r="W65">
        <v>1478.5122985112073</v>
      </c>
      <c r="X65">
        <v>9.2466040034904502</v>
      </c>
      <c r="Y65">
        <v>9487.0157075812022</v>
      </c>
      <c r="Z65">
        <v>10.18960777218421</v>
      </c>
      <c r="AA65">
        <v>10454.537574260999</v>
      </c>
      <c r="AB65">
        <v>7</v>
      </c>
      <c r="AC65">
        <v>7182</v>
      </c>
      <c r="AD65">
        <v>7.925543822578649</v>
      </c>
      <c r="AE65">
        <v>8131.6079619656939</v>
      </c>
      <c r="AF65">
        <v>6.7582351399118048</v>
      </c>
      <c r="AG65">
        <v>6933.9492535495119</v>
      </c>
      <c r="AH65">
        <v>6.2003198466412135</v>
      </c>
      <c r="AI65">
        <v>6361.5281626538854</v>
      </c>
      <c r="AJ65">
        <v>2.6961348824346869</v>
      </c>
      <c r="AK65">
        <v>2766.2343893779889</v>
      </c>
      <c r="AL65">
        <v>3.5547327382063778</v>
      </c>
      <c r="AM65">
        <v>3647.1557893997438</v>
      </c>
      <c r="AN65">
        <v>10.854411502920096</v>
      </c>
      <c r="AO65">
        <v>11136.626201996018</v>
      </c>
      <c r="AP65">
        <v>5.8168538334764861</v>
      </c>
      <c r="AQ65">
        <v>5968.0920331468751</v>
      </c>
      <c r="AR65">
        <v>4.522929198889285</v>
      </c>
      <c r="AS65">
        <v>4640.5253580604067</v>
      </c>
      <c r="AT65">
        <v>3.7176449318009803</v>
      </c>
      <c r="AU65">
        <v>3814.3037000278059</v>
      </c>
      <c r="AV65">
        <v>2.3321799651772523</v>
      </c>
      <c r="AW65">
        <v>2392.8166442718607</v>
      </c>
      <c r="AX65">
        <v>11.124113122922383</v>
      </c>
      <c r="AY65">
        <v>11413.340064118365</v>
      </c>
      <c r="AZ65">
        <v>6</v>
      </c>
      <c r="BA65">
        <v>6156</v>
      </c>
      <c r="BB65">
        <v>7.3614273595611959</v>
      </c>
      <c r="BC65">
        <v>7552.8244709097871</v>
      </c>
      <c r="BD65">
        <v>2.5213915799529842</v>
      </c>
      <c r="BE65">
        <v>2586.9477610317617</v>
      </c>
      <c r="BF65">
        <v>9.9898068509104139</v>
      </c>
      <c r="BG65">
        <v>10249.541829034084</v>
      </c>
      <c r="BH65">
        <v>9</v>
      </c>
      <c r="BI65">
        <v>9234</v>
      </c>
      <c r="BJ65">
        <v>2.1966447760775214</v>
      </c>
      <c r="BK65">
        <v>2253.7575402555372</v>
      </c>
      <c r="BL65">
        <v>8.8017042491682194</v>
      </c>
      <c r="BM65">
        <v>9030.5485596465933</v>
      </c>
      <c r="BN65">
        <v>8</v>
      </c>
      <c r="BO65">
        <v>8208</v>
      </c>
      <c r="BP65">
        <v>8</v>
      </c>
      <c r="BQ65">
        <v>8208</v>
      </c>
      <c r="BR65">
        <v>2.381773203113239</v>
      </c>
      <c r="BS65">
        <v>2443.6993063941832</v>
      </c>
      <c r="BT65">
        <v>1.9946786869795221</v>
      </c>
      <c r="BU65">
        <v>2046.5403328409898</v>
      </c>
      <c r="BV65">
        <v>9.6581124890329271</v>
      </c>
      <c r="BW65">
        <v>9909.2234137477826</v>
      </c>
      <c r="BX65">
        <v>10</v>
      </c>
      <c r="BY65">
        <v>10260</v>
      </c>
      <c r="BZ65">
        <v>6.8252216913460728</v>
      </c>
      <c r="CA65">
        <v>7002.6774553210707</v>
      </c>
      <c r="CB65">
        <v>3.1996177409177871</v>
      </c>
      <c r="CC65">
        <v>3282.8078021816495</v>
      </c>
      <c r="CD65">
        <v>1.2634272984471517</v>
      </c>
      <c r="CE65">
        <v>1296.2764082067777</v>
      </c>
      <c r="CF65">
        <v>8.0814558961540399</v>
      </c>
      <c r="CG65">
        <v>8291.5737494540444</v>
      </c>
      <c r="CH65">
        <v>11</v>
      </c>
      <c r="CI65">
        <v>11286</v>
      </c>
      <c r="CJ65">
        <v>7</v>
      </c>
      <c r="CK65">
        <v>7182</v>
      </c>
      <c r="CL65">
        <v>5.9916299753992988</v>
      </c>
      <c r="CM65">
        <v>6147.412354759681</v>
      </c>
      <c r="CN65">
        <v>3.3334259523961869</v>
      </c>
      <c r="CO65">
        <v>3420.0950271584879</v>
      </c>
      <c r="CP65">
        <v>4.1821207089188581</v>
      </c>
      <c r="CQ65">
        <v>4290.8558473507483</v>
      </c>
      <c r="CR65">
        <v>10.032346134317651</v>
      </c>
      <c r="CS65">
        <v>10293.18713380991</v>
      </c>
      <c r="CT65">
        <v>8.7915238868389487</v>
      </c>
      <c r="CU65">
        <v>9020.1035078967616</v>
      </c>
    </row>
    <row r="66" spans="2:99">
      <c r="C66" s="99" t="s">
        <v>232</v>
      </c>
      <c r="D66">
        <v>2.3663306884884738</v>
      </c>
      <c r="E66">
        <v>2816.8800515766789</v>
      </c>
      <c r="F66">
        <v>5.9691498040337656</v>
      </c>
      <c r="G66">
        <v>7105.675926721794</v>
      </c>
      <c r="H66">
        <v>7.2210525961210967</v>
      </c>
      <c r="I66">
        <v>8595.9410104225517</v>
      </c>
      <c r="J66">
        <v>8.2946479640860762</v>
      </c>
      <c r="K66">
        <v>9873.9489364480633</v>
      </c>
      <c r="L66">
        <v>6.7534075931340132</v>
      </c>
      <c r="M66">
        <v>8039.256398866728</v>
      </c>
      <c r="N66">
        <v>3.9100199711238806</v>
      </c>
      <c r="O66">
        <v>4654.4877736258668</v>
      </c>
      <c r="P66">
        <v>8.8486880062072935</v>
      </c>
      <c r="Q66">
        <v>10533.478202589162</v>
      </c>
      <c r="R66">
        <v>7.8944907333294951</v>
      </c>
      <c r="S66">
        <v>9397.6017689554301</v>
      </c>
      <c r="T66">
        <v>8.7780612558320303</v>
      </c>
      <c r="U66">
        <v>10449.404118942448</v>
      </c>
      <c r="V66">
        <v>1.2809290002263005</v>
      </c>
      <c r="W66">
        <v>1524.817881869388</v>
      </c>
      <c r="X66">
        <v>8.249549585551204</v>
      </c>
      <c r="Y66">
        <v>9820.2638266401518</v>
      </c>
      <c r="Z66">
        <v>9.1516862177473683</v>
      </c>
      <c r="AA66">
        <v>10894.167273606467</v>
      </c>
      <c r="AB66">
        <v>7</v>
      </c>
      <c r="AC66">
        <v>8332.7999999999993</v>
      </c>
      <c r="AD66">
        <v>8.9162368004009807</v>
      </c>
      <c r="AE66">
        <v>10613.888287197326</v>
      </c>
      <c r="AF66">
        <v>6.7582351399118048</v>
      </c>
      <c r="AG66">
        <v>8045.0031105510116</v>
      </c>
      <c r="AH66">
        <v>6.2003198466412135</v>
      </c>
      <c r="AI66">
        <v>7380.8607454416997</v>
      </c>
      <c r="AJ66">
        <v>3.0367187586749353</v>
      </c>
      <c r="AK66">
        <v>3614.9100103266428</v>
      </c>
      <c r="AL66">
        <v>3.4622048898106623</v>
      </c>
      <c r="AM66">
        <v>4121.4087008306124</v>
      </c>
      <c r="AN66">
        <v>10.854411502920096</v>
      </c>
      <c r="AO66">
        <v>12921.09145307608</v>
      </c>
      <c r="AP66">
        <v>5.8168538334764861</v>
      </c>
      <c r="AQ66">
        <v>6924.3828033704085</v>
      </c>
      <c r="AR66">
        <v>5.2767507320374998</v>
      </c>
      <c r="AS66">
        <v>6281.4440714174389</v>
      </c>
      <c r="AT66">
        <v>4.4783989662907295</v>
      </c>
      <c r="AU66">
        <v>5331.0861294724837</v>
      </c>
      <c r="AV66">
        <v>2.3481254862902117</v>
      </c>
      <c r="AW66">
        <v>2795.2085788798677</v>
      </c>
      <c r="AX66">
        <v>10.963525533933471</v>
      </c>
      <c r="AY66">
        <v>13050.980795594402</v>
      </c>
      <c r="AZ66">
        <v>5</v>
      </c>
      <c r="BA66">
        <v>5951.9999999999991</v>
      </c>
      <c r="BB66">
        <v>8.097570095517316</v>
      </c>
      <c r="BC66">
        <v>9639.3474417038124</v>
      </c>
      <c r="BD66">
        <v>2.5409361540261233</v>
      </c>
      <c r="BE66">
        <v>3024.7303977526967</v>
      </c>
      <c r="BF66">
        <v>9.8248390424253458</v>
      </c>
      <c r="BG66">
        <v>11695.48839610313</v>
      </c>
      <c r="BH66">
        <v>10</v>
      </c>
      <c r="BI66">
        <v>11903.999999999998</v>
      </c>
      <c r="BJ66">
        <v>2.0050294598482648</v>
      </c>
      <c r="BK66">
        <v>2386.7870690033742</v>
      </c>
      <c r="BL66">
        <v>9.6413633993345762</v>
      </c>
      <c r="BM66">
        <v>11477.078990567878</v>
      </c>
      <c r="BN66">
        <v>9</v>
      </c>
      <c r="BO66">
        <v>10713.599999999999</v>
      </c>
      <c r="BP66">
        <v>7</v>
      </c>
      <c r="BQ66">
        <v>8332.7999999999993</v>
      </c>
      <c r="BR66">
        <v>1.9848110025943659</v>
      </c>
      <c r="BS66">
        <v>2362.7190174883331</v>
      </c>
      <c r="BT66">
        <v>1.9762035186790259</v>
      </c>
      <c r="BU66">
        <v>2352.472668635512</v>
      </c>
      <c r="BV66">
        <v>9.6581124890329271</v>
      </c>
      <c r="BW66">
        <v>11497.017106944795</v>
      </c>
      <c r="BX66">
        <v>9</v>
      </c>
      <c r="BY66">
        <v>10713.599999999999</v>
      </c>
      <c r="BZ66">
        <v>6.8252216913460728</v>
      </c>
      <c r="CA66">
        <v>8124.7439013783642</v>
      </c>
      <c r="CB66">
        <v>3.1996177409177871</v>
      </c>
      <c r="CC66">
        <v>3808.8249587885334</v>
      </c>
      <c r="CD66">
        <v>1.1125316198223403</v>
      </c>
      <c r="CE66">
        <v>1324.3576402365138</v>
      </c>
      <c r="CF66">
        <v>7.9210468032383581</v>
      </c>
      <c r="CG66">
        <v>9429.214114574941</v>
      </c>
      <c r="CH66">
        <v>11</v>
      </c>
      <c r="CI66">
        <v>13094.399999999998</v>
      </c>
      <c r="CJ66">
        <v>7</v>
      </c>
      <c r="CK66">
        <v>8332.7999999999993</v>
      </c>
      <c r="CL66">
        <v>5.9916299753992988</v>
      </c>
      <c r="CM66">
        <v>7132.4363227153244</v>
      </c>
      <c r="CN66">
        <v>3.3334259523961869</v>
      </c>
      <c r="CO66">
        <v>3968.1102537324205</v>
      </c>
      <c r="CP66">
        <v>3.7464231616802879</v>
      </c>
      <c r="CQ66">
        <v>4459.742131664214</v>
      </c>
      <c r="CR66">
        <v>9.0323461343176508</v>
      </c>
      <c r="CS66">
        <v>10752.104838291731</v>
      </c>
      <c r="CT66">
        <v>9.7683598742654976</v>
      </c>
      <c r="CU66">
        <v>11628.255594325647</v>
      </c>
    </row>
    <row r="67" spans="2:99">
      <c r="C67" s="99" t="s">
        <v>233</v>
      </c>
      <c r="D67">
        <v>2.8395968261861695</v>
      </c>
      <c r="E67">
        <v>3189.4351551723057</v>
      </c>
      <c r="F67">
        <v>5.1768831289814292</v>
      </c>
      <c r="G67">
        <v>5814.6751304719419</v>
      </c>
      <c r="H67">
        <v>7.2198070655383102</v>
      </c>
      <c r="I67">
        <v>8109.2872960126306</v>
      </c>
      <c r="J67">
        <v>7.465183167677468</v>
      </c>
      <c r="K67">
        <v>8384.8937339353324</v>
      </c>
      <c r="L67">
        <v>6.7534075931340132</v>
      </c>
      <c r="M67">
        <v>7585.4274086081241</v>
      </c>
      <c r="N67">
        <v>3.8368930101720524</v>
      </c>
      <c r="O67">
        <v>4309.5982290252496</v>
      </c>
      <c r="P67">
        <v>8.8486880062072935</v>
      </c>
      <c r="Q67">
        <v>9938.8463685720326</v>
      </c>
      <c r="R67">
        <v>9.8681134166618669</v>
      </c>
      <c r="S67">
        <v>11083.864989594609</v>
      </c>
      <c r="T67">
        <v>7.1820501184080241</v>
      </c>
      <c r="U67">
        <v>8066.8786929958933</v>
      </c>
      <c r="V67">
        <v>1.2809290002263005</v>
      </c>
      <c r="W67">
        <v>1438.7394530541808</v>
      </c>
      <c r="X67">
        <v>8.3943376207316049</v>
      </c>
      <c r="Y67">
        <v>9428.5200156057399</v>
      </c>
      <c r="Z67">
        <v>8.1516862177473683</v>
      </c>
      <c r="AA67">
        <v>9155.9739597738444</v>
      </c>
      <c r="AB67">
        <v>7</v>
      </c>
      <c r="AC67">
        <v>7862.4000000000005</v>
      </c>
      <c r="AD67">
        <v>7.925543822578649</v>
      </c>
      <c r="AE67">
        <v>8901.9708215203391</v>
      </c>
      <c r="AF67">
        <v>5.9503063809317647</v>
      </c>
      <c r="AG67">
        <v>6683.384127062558</v>
      </c>
      <c r="AH67">
        <v>5.4025182212088998</v>
      </c>
      <c r="AI67">
        <v>6068.1084660618362</v>
      </c>
      <c r="AJ67">
        <v>2.6945827399017497</v>
      </c>
      <c r="AK67">
        <v>3026.5553334576452</v>
      </c>
      <c r="AL67">
        <v>3.5547327382063778</v>
      </c>
      <c r="AM67">
        <v>3992.6758115534035</v>
      </c>
      <c r="AN67">
        <v>12.025293803504114</v>
      </c>
      <c r="AO67">
        <v>13506.810000095822</v>
      </c>
      <c r="AP67">
        <v>5.8168538334764861</v>
      </c>
      <c r="AQ67">
        <v>6533.4902257607891</v>
      </c>
      <c r="AR67">
        <v>4.522929198889285</v>
      </c>
      <c r="AS67">
        <v>5080.1540761924452</v>
      </c>
      <c r="AT67">
        <v>4.3867198236846985</v>
      </c>
      <c r="AU67">
        <v>4927.1637059626537</v>
      </c>
      <c r="AV67">
        <v>2.3321799651772523</v>
      </c>
      <c r="AW67">
        <v>2619.5045368870901</v>
      </c>
      <c r="AX67">
        <v>11.963525533933471</v>
      </c>
      <c r="AY67">
        <v>13437.431879714075</v>
      </c>
      <c r="AZ67">
        <v>5</v>
      </c>
      <c r="BA67">
        <v>5616</v>
      </c>
      <c r="BB67">
        <v>6.6252846236050758</v>
      </c>
      <c r="BC67">
        <v>7441.5196892332215</v>
      </c>
      <c r="BD67">
        <v>2.1435062271192882</v>
      </c>
      <c r="BE67">
        <v>2407.5861943003847</v>
      </c>
      <c r="BF67">
        <v>10.989806850910414</v>
      </c>
      <c r="BG67">
        <v>12343.751054942577</v>
      </c>
      <c r="BH67">
        <v>9</v>
      </c>
      <c r="BI67">
        <v>10108.800000000001</v>
      </c>
      <c r="BJ67">
        <v>2.0050294598482648</v>
      </c>
      <c r="BK67">
        <v>2252.0490893015713</v>
      </c>
      <c r="BL67">
        <v>9.8017042491682194</v>
      </c>
      <c r="BM67">
        <v>11009.274212665745</v>
      </c>
      <c r="BN67">
        <v>8</v>
      </c>
      <c r="BO67">
        <v>8985.6</v>
      </c>
      <c r="BP67">
        <v>6</v>
      </c>
      <c r="BQ67">
        <v>6739.2000000000007</v>
      </c>
      <c r="BR67">
        <v>2.381773203113239</v>
      </c>
      <c r="BS67">
        <v>2675.2076617367902</v>
      </c>
      <c r="BT67">
        <v>1.9762035186790259</v>
      </c>
      <c r="BU67">
        <v>2219.671792180282</v>
      </c>
      <c r="BV67">
        <v>10.493584366774694</v>
      </c>
      <c r="BW67">
        <v>11786.393960761337</v>
      </c>
      <c r="BX67">
        <v>11</v>
      </c>
      <c r="BY67">
        <v>12355.2</v>
      </c>
      <c r="BZ67">
        <v>6.8252216913460728</v>
      </c>
      <c r="CA67">
        <v>7666.0890037199097</v>
      </c>
      <c r="CB67">
        <v>2.8796559668260082</v>
      </c>
      <c r="CC67">
        <v>3234.4295819389727</v>
      </c>
      <c r="CD67">
        <v>1.1090152529817991</v>
      </c>
      <c r="CE67">
        <v>1245.6459321491568</v>
      </c>
      <c r="CF67">
        <v>7.7606377103226771</v>
      </c>
      <c r="CG67">
        <v>8716.7482762344316</v>
      </c>
      <c r="CH67">
        <v>11</v>
      </c>
      <c r="CI67">
        <v>12355.2</v>
      </c>
      <c r="CJ67">
        <v>7</v>
      </c>
      <c r="CK67">
        <v>7862.4000000000005</v>
      </c>
      <c r="CL67">
        <v>5.3924669778593692</v>
      </c>
      <c r="CM67">
        <v>6056.8189095316438</v>
      </c>
      <c r="CN67">
        <v>3.3334259523961869</v>
      </c>
      <c r="CO67">
        <v>3744.1040297313971</v>
      </c>
      <c r="CP67">
        <v>4.1821207089188581</v>
      </c>
      <c r="CQ67">
        <v>4697.3579802576614</v>
      </c>
      <c r="CR67">
        <v>10.032346134317651</v>
      </c>
      <c r="CS67">
        <v>11268.331178065586</v>
      </c>
      <c r="CT67">
        <v>8.7915238868389487</v>
      </c>
      <c r="CU67">
        <v>9874.6396296975072</v>
      </c>
    </row>
    <row r="68" spans="2:99">
      <c r="C68" s="99" t="s">
        <v>234</v>
      </c>
      <c r="D68">
        <v>2.3663306884884738</v>
      </c>
      <c r="E68">
        <v>2444.8928673462915</v>
      </c>
      <c r="F68">
        <v>5.9742245374871557</v>
      </c>
      <c r="G68">
        <v>6172.5687921317294</v>
      </c>
      <c r="H68">
        <v>7.2198070655383102</v>
      </c>
      <c r="I68">
        <v>7459.5046601141821</v>
      </c>
      <c r="J68">
        <v>7.465183167677468</v>
      </c>
      <c r="K68">
        <v>7713.0272488443607</v>
      </c>
      <c r="L68">
        <v>6.7520079493642227</v>
      </c>
      <c r="M68">
        <v>6976.1746132831149</v>
      </c>
      <c r="N68">
        <v>3.8405165556106198</v>
      </c>
      <c r="O68">
        <v>3968.0217052568923</v>
      </c>
      <c r="P68">
        <v>9.8486880062072935</v>
      </c>
      <c r="Q68">
        <v>10175.664448013376</v>
      </c>
      <c r="R68">
        <v>8.8813020749956806</v>
      </c>
      <c r="S68">
        <v>9176.1613038855376</v>
      </c>
      <c r="T68">
        <v>7.9800556871200268</v>
      </c>
      <c r="U68">
        <v>8244.9935359324118</v>
      </c>
      <c r="V68">
        <v>1.4410451252545879</v>
      </c>
      <c r="W68">
        <v>1488.8878234130402</v>
      </c>
      <c r="X68">
        <v>8.249549585551204</v>
      </c>
      <c r="Y68">
        <v>8523.4346317915042</v>
      </c>
      <c r="Z68">
        <v>9.1516862177473683</v>
      </c>
      <c r="AA68">
        <v>9455.5222001765815</v>
      </c>
      <c r="AB68">
        <v>7</v>
      </c>
      <c r="AC68">
        <v>7232.4000000000005</v>
      </c>
      <c r="AD68">
        <v>8.9162368004009807</v>
      </c>
      <c r="AE68">
        <v>9212.2558621742937</v>
      </c>
      <c r="AF68">
        <v>5.9503063809317647</v>
      </c>
      <c r="AG68">
        <v>6147.8565527786996</v>
      </c>
      <c r="AH68">
        <v>6.2003198466412135</v>
      </c>
      <c r="AI68">
        <v>6406.1704655497024</v>
      </c>
      <c r="AJ68">
        <v>2.6451616859978206</v>
      </c>
      <c r="AK68">
        <v>2732.9810539729483</v>
      </c>
      <c r="AL68">
        <v>4.0799970682058744</v>
      </c>
      <c r="AM68">
        <v>4215.4529708703094</v>
      </c>
      <c r="AN68">
        <v>11.025293803504114</v>
      </c>
      <c r="AO68">
        <v>11391.333557780452</v>
      </c>
      <c r="AP68">
        <v>5.8168538334764861</v>
      </c>
      <c r="AQ68">
        <v>6009.973380747906</v>
      </c>
      <c r="AR68">
        <v>5.2767507320374998</v>
      </c>
      <c r="AS68">
        <v>5451.9388563411449</v>
      </c>
      <c r="AT68">
        <v>4.4756220153115969</v>
      </c>
      <c r="AU68">
        <v>4624.2126662199416</v>
      </c>
      <c r="AV68">
        <v>2.7049311049271685</v>
      </c>
      <c r="AW68">
        <v>2794.7348176107507</v>
      </c>
      <c r="AX68">
        <v>12.124113122922383</v>
      </c>
      <c r="AY68">
        <v>12526.633678603406</v>
      </c>
      <c r="AZ68">
        <v>5</v>
      </c>
      <c r="BA68">
        <v>5166</v>
      </c>
      <c r="BB68">
        <v>7.3614273595611959</v>
      </c>
      <c r="BC68">
        <v>7605.8267478986281</v>
      </c>
      <c r="BD68">
        <v>2.1239616530461491</v>
      </c>
      <c r="BE68">
        <v>2194.4771799272812</v>
      </c>
      <c r="BF68">
        <v>10.989806850910414</v>
      </c>
      <c r="BG68">
        <v>11354.668438360641</v>
      </c>
      <c r="BH68">
        <v>9</v>
      </c>
      <c r="BI68">
        <v>9298.8000000000011</v>
      </c>
      <c r="BJ68">
        <v>1.8023046064245458</v>
      </c>
      <c r="BK68">
        <v>1862.1411193578408</v>
      </c>
      <c r="BL68">
        <v>8.6413633993345762</v>
      </c>
      <c r="BM68">
        <v>8928.2566641924841</v>
      </c>
      <c r="BN68">
        <v>8</v>
      </c>
      <c r="BO68">
        <v>8265.6</v>
      </c>
      <c r="BP68">
        <v>8</v>
      </c>
      <c r="BQ68">
        <v>8265.6</v>
      </c>
      <c r="BR68">
        <v>2.381773203113239</v>
      </c>
      <c r="BS68">
        <v>2460.8480734565987</v>
      </c>
      <c r="BT68">
        <v>1.9946786869795221</v>
      </c>
      <c r="BU68">
        <v>2060.9020193872425</v>
      </c>
      <c r="BV68">
        <v>10.493584366774694</v>
      </c>
      <c r="BW68">
        <v>10841.971367751616</v>
      </c>
      <c r="BX68">
        <v>10</v>
      </c>
      <c r="BY68">
        <v>10332</v>
      </c>
      <c r="BZ68">
        <v>7.8002533615383687</v>
      </c>
      <c r="CA68">
        <v>8059.221773141443</v>
      </c>
      <c r="CB68">
        <v>2.8796559668260082</v>
      </c>
      <c r="CC68">
        <v>2975.2605449246316</v>
      </c>
      <c r="CD68">
        <v>1.1125316198223403</v>
      </c>
      <c r="CE68">
        <v>1149.4676696004419</v>
      </c>
      <c r="CF68">
        <v>7.9210468032383581</v>
      </c>
      <c r="CG68">
        <v>8184.0255571058715</v>
      </c>
      <c r="CH68">
        <v>10</v>
      </c>
      <c r="CI68">
        <v>10332</v>
      </c>
      <c r="CJ68">
        <v>7</v>
      </c>
      <c r="CK68">
        <v>7232.4000000000005</v>
      </c>
      <c r="CL68">
        <v>5.3924669778593692</v>
      </c>
      <c r="CM68">
        <v>5571.496881524301</v>
      </c>
      <c r="CN68">
        <v>3.703806613773541</v>
      </c>
      <c r="CO68">
        <v>3826.7729933508226</v>
      </c>
      <c r="CP68">
        <v>4.1821207089188581</v>
      </c>
      <c r="CQ68">
        <v>4320.9671164549645</v>
      </c>
      <c r="CR68">
        <v>9.0323461343176508</v>
      </c>
      <c r="CS68">
        <v>9332.2200259769979</v>
      </c>
      <c r="CT68">
        <v>9.7683598742654976</v>
      </c>
      <c r="CU68">
        <v>10092.669422091112</v>
      </c>
    </row>
    <row r="69" spans="2:99">
      <c r="C69" s="99" t="s">
        <v>235</v>
      </c>
      <c r="D69">
        <v>2.8395968261861695</v>
      </c>
      <c r="E69">
        <v>2153.5502329795909</v>
      </c>
      <c r="F69">
        <v>5.9742245374871557</v>
      </c>
      <c r="G69">
        <v>4530.8518892302591</v>
      </c>
      <c r="H69">
        <v>7.911540125024489</v>
      </c>
      <c r="I69">
        <v>6000.1120308185718</v>
      </c>
      <c r="J69">
        <v>8.2946479640860762</v>
      </c>
      <c r="K69">
        <v>6290.6610159628799</v>
      </c>
      <c r="L69">
        <v>7.4001733726329677</v>
      </c>
      <c r="M69">
        <v>5612.2914858048425</v>
      </c>
      <c r="N69">
        <v>4.4258120985135596</v>
      </c>
      <c r="O69">
        <v>3356.5358955126835</v>
      </c>
      <c r="P69">
        <v>9.8486880062072935</v>
      </c>
      <c r="Q69">
        <v>7469.2449839076107</v>
      </c>
      <c r="R69">
        <v>9.8681134166618669</v>
      </c>
      <c r="S69">
        <v>7483.9772151963598</v>
      </c>
      <c r="T69">
        <v>7.9800556871200268</v>
      </c>
      <c r="U69">
        <v>6052.0742331118281</v>
      </c>
      <c r="V69">
        <v>1.2809290002263005</v>
      </c>
      <c r="W69">
        <v>971.45655377162632</v>
      </c>
      <c r="X69">
        <v>10.098870386249295</v>
      </c>
      <c r="Y69">
        <v>7658.9833009314652</v>
      </c>
      <c r="Z69">
        <v>9.1896077721842104</v>
      </c>
      <c r="AA69">
        <v>6969.3985344245048</v>
      </c>
      <c r="AB69">
        <v>7</v>
      </c>
      <c r="AC69">
        <v>5308.8</v>
      </c>
      <c r="AD69">
        <v>8.9162368004009807</v>
      </c>
      <c r="AE69">
        <v>6762.0739894241033</v>
      </c>
      <c r="AF69">
        <v>6.7582351399118048</v>
      </c>
      <c r="AG69">
        <v>5125.445530109113</v>
      </c>
      <c r="AH69">
        <v>6.2003198466412135</v>
      </c>
      <c r="AI69">
        <v>4702.3225716926963</v>
      </c>
      <c r="AJ69">
        <v>2.6482659710636964</v>
      </c>
      <c r="AK69">
        <v>2008.4449124547073</v>
      </c>
      <c r="AL69">
        <v>3.9874692198101584</v>
      </c>
      <c r="AM69">
        <v>3024.0966563040242</v>
      </c>
      <c r="AN69">
        <v>11.025293803504114</v>
      </c>
      <c r="AO69">
        <v>8361.5828205775197</v>
      </c>
      <c r="AP69">
        <v>6.7863294723892329</v>
      </c>
      <c r="AQ69">
        <v>5146.7522718599939</v>
      </c>
      <c r="AR69">
        <v>5.2767507320374998</v>
      </c>
      <c r="AS69">
        <v>4001.8877551772398</v>
      </c>
      <c r="AT69">
        <v>4.4756220153115969</v>
      </c>
      <c r="AU69">
        <v>3394.311736412315</v>
      </c>
      <c r="AV69">
        <v>2.7208766260401278</v>
      </c>
      <c r="AW69">
        <v>2063.5128331888327</v>
      </c>
      <c r="AX69">
        <v>10.963525533933471</v>
      </c>
      <c r="AY69">
        <v>8314.7377649351438</v>
      </c>
      <c r="AZ69">
        <v>6</v>
      </c>
      <c r="BA69">
        <v>4550.3999999999996</v>
      </c>
      <c r="BB69">
        <v>8.097570095517316</v>
      </c>
      <c r="BC69">
        <v>6141.1971604403325</v>
      </c>
      <c r="BD69">
        <v>2.5213915799529842</v>
      </c>
      <c r="BE69">
        <v>1912.2233742363433</v>
      </c>
      <c r="BF69">
        <v>11.989806850910414</v>
      </c>
      <c r="BG69">
        <v>9093.0695157304581</v>
      </c>
      <c r="BH69">
        <v>9</v>
      </c>
      <c r="BI69">
        <v>6825.5999999999995</v>
      </c>
      <c r="BJ69">
        <v>1.9994746912510337</v>
      </c>
      <c r="BK69">
        <v>1516.4016058447839</v>
      </c>
      <c r="BL69">
        <v>9.6413633993345762</v>
      </c>
      <c r="BM69">
        <v>7312.0100020553427</v>
      </c>
      <c r="BN69">
        <v>9</v>
      </c>
      <c r="BO69">
        <v>6825.5999999999995</v>
      </c>
      <c r="BP69">
        <v>7</v>
      </c>
      <c r="BQ69">
        <v>5308.8</v>
      </c>
      <c r="BR69">
        <v>2.381773203113239</v>
      </c>
      <c r="BS69">
        <v>1806.3367972410804</v>
      </c>
      <c r="BT69">
        <v>2.3677491887547317</v>
      </c>
      <c r="BU69">
        <v>1795.7009847515885</v>
      </c>
      <c r="BV69">
        <v>10.493584366774694</v>
      </c>
      <c r="BW69">
        <v>7958.3343837619277</v>
      </c>
      <c r="BX69">
        <v>11</v>
      </c>
      <c r="BY69">
        <v>8342.4</v>
      </c>
      <c r="BZ69">
        <v>7.8002533615383687</v>
      </c>
      <c r="CA69">
        <v>5915.7121493906989</v>
      </c>
      <c r="CB69">
        <v>3.5195795150095659</v>
      </c>
      <c r="CC69">
        <v>2669.2491041832545</v>
      </c>
      <c r="CD69">
        <v>1.1125316198223403</v>
      </c>
      <c r="CE69">
        <v>843.74398047326281</v>
      </c>
      <c r="CF69">
        <v>7.7606377103226771</v>
      </c>
      <c r="CG69">
        <v>5885.6676395087179</v>
      </c>
      <c r="CH69">
        <v>11</v>
      </c>
      <c r="CI69">
        <v>8342.4</v>
      </c>
      <c r="CJ69">
        <v>7</v>
      </c>
      <c r="CK69">
        <v>5308.8</v>
      </c>
      <c r="CL69">
        <v>5.3924669778593692</v>
      </c>
      <c r="CM69">
        <v>4089.6469560085457</v>
      </c>
      <c r="CN69">
        <v>3.703806613773541</v>
      </c>
      <c r="CO69">
        <v>2808.9669358858532</v>
      </c>
      <c r="CP69">
        <v>3.8145178246041302</v>
      </c>
      <c r="CQ69">
        <v>2892.9303181797723</v>
      </c>
      <c r="CR69">
        <v>9.204403823370594</v>
      </c>
      <c r="CS69">
        <v>6980.6198596442582</v>
      </c>
      <c r="CT69">
        <v>8.7915238868389487</v>
      </c>
      <c r="CU69">
        <v>6667.4917157786585</v>
      </c>
    </row>
    <row r="70" spans="2:99">
      <c r="C70" s="99" t="s">
        <v>236</v>
      </c>
      <c r="D70">
        <v>2.8395968261861695</v>
      </c>
      <c r="E70">
        <v>1519.7522213748377</v>
      </c>
      <c r="F70">
        <v>6.6634615048548067</v>
      </c>
      <c r="G70">
        <v>3566.2845973982921</v>
      </c>
      <c r="H70">
        <v>7.2198070655383102</v>
      </c>
      <c r="I70">
        <v>3864.040741476103</v>
      </c>
      <c r="J70">
        <v>9.1241127604946826</v>
      </c>
      <c r="K70">
        <v>4883.2251494167531</v>
      </c>
      <c r="L70">
        <v>7.3987737288631763</v>
      </c>
      <c r="M70">
        <v>3959.8236996875717</v>
      </c>
      <c r="N70">
        <v>4.4989390594653873</v>
      </c>
      <c r="O70">
        <v>2407.832184625875</v>
      </c>
      <c r="P70">
        <v>9.8486880062072935</v>
      </c>
      <c r="Q70">
        <v>5271.0178209221431</v>
      </c>
      <c r="R70">
        <v>9.8681134166618669</v>
      </c>
      <c r="S70">
        <v>5281.4143005974302</v>
      </c>
      <c r="T70">
        <v>7.9800556871200268</v>
      </c>
      <c r="U70">
        <v>4270.9258037466379</v>
      </c>
      <c r="V70">
        <v>1.4410451252545879</v>
      </c>
      <c r="W70">
        <v>771.2473510362554</v>
      </c>
      <c r="X70">
        <v>10.098870386249295</v>
      </c>
      <c r="Y70">
        <v>5404.9154307206227</v>
      </c>
      <c r="Z70">
        <v>9.1516862177473683</v>
      </c>
      <c r="AA70">
        <v>4897.9824637383908</v>
      </c>
      <c r="AB70">
        <v>7</v>
      </c>
      <c r="AC70">
        <v>3746.3999999999996</v>
      </c>
      <c r="AD70">
        <v>8.9162368004009807</v>
      </c>
      <c r="AE70">
        <v>4771.9699355746043</v>
      </c>
      <c r="AF70">
        <v>6.7582351399118048</v>
      </c>
      <c r="AG70">
        <v>3617.0074468807975</v>
      </c>
      <c r="AH70">
        <v>6.2003198466412135</v>
      </c>
      <c r="AI70">
        <v>3318.4111819223772</v>
      </c>
      <c r="AJ70">
        <v>3.0367187586749353</v>
      </c>
      <c r="AK70">
        <v>1625.2518796428251</v>
      </c>
      <c r="AL70">
        <v>3.9874692198101584</v>
      </c>
      <c r="AM70">
        <v>2134.0935264423965</v>
      </c>
      <c r="AN70">
        <v>12.025293803504114</v>
      </c>
      <c r="AO70">
        <v>6435.9372436354015</v>
      </c>
      <c r="AP70">
        <v>6.7863294723892329</v>
      </c>
      <c r="AQ70">
        <v>3632.043533622717</v>
      </c>
      <c r="AR70">
        <v>4.522929198889285</v>
      </c>
      <c r="AS70">
        <v>2420.6717072455449</v>
      </c>
      <c r="AT70">
        <v>4.4756220153115969</v>
      </c>
      <c r="AU70">
        <v>2395.3529025947664</v>
      </c>
      <c r="AV70">
        <v>2.7208766260401278</v>
      </c>
      <c r="AW70">
        <v>1456.2131702566762</v>
      </c>
      <c r="AX70">
        <v>11.963525533933471</v>
      </c>
      <c r="AY70">
        <v>6402.8788657611922</v>
      </c>
      <c r="AZ70">
        <v>5</v>
      </c>
      <c r="BA70">
        <v>2675.9999999999995</v>
      </c>
      <c r="BB70">
        <v>8.097570095517316</v>
      </c>
      <c r="BC70">
        <v>4333.8195151208665</v>
      </c>
      <c r="BD70">
        <v>2.5213915799529842</v>
      </c>
      <c r="BE70">
        <v>1349.4487735908369</v>
      </c>
      <c r="BF70">
        <v>11.989806850910414</v>
      </c>
      <c r="BG70">
        <v>6416.9446266072528</v>
      </c>
      <c r="BH70">
        <v>9</v>
      </c>
      <c r="BI70">
        <v>4816.7999999999993</v>
      </c>
      <c r="BJ70">
        <v>2.0050294598482648</v>
      </c>
      <c r="BK70">
        <v>1073.0917669107912</v>
      </c>
      <c r="BL70">
        <v>8.6413633993345762</v>
      </c>
      <c r="BM70">
        <v>4624.8576913238649</v>
      </c>
      <c r="BN70">
        <v>9</v>
      </c>
      <c r="BO70">
        <v>4816.7999999999993</v>
      </c>
      <c r="BP70">
        <v>7</v>
      </c>
      <c r="BQ70">
        <v>3746.3999999999996</v>
      </c>
      <c r="BR70">
        <v>2.381773203113239</v>
      </c>
      <c r="BS70">
        <v>1274.7250183062054</v>
      </c>
      <c r="BT70">
        <v>2.3492740204542355</v>
      </c>
      <c r="BU70">
        <v>1257.3314557471067</v>
      </c>
      <c r="BV70">
        <v>9.6581124890329271</v>
      </c>
      <c r="BW70">
        <v>5169.0218041304215</v>
      </c>
      <c r="BX70">
        <v>11</v>
      </c>
      <c r="BY70">
        <v>5887.1999999999989</v>
      </c>
      <c r="BZ70">
        <v>7.8002533615383687</v>
      </c>
      <c r="CA70">
        <v>4174.6955990953347</v>
      </c>
      <c r="CB70">
        <v>3.1996177409177871</v>
      </c>
      <c r="CC70">
        <v>1712.4354149391995</v>
      </c>
      <c r="CD70">
        <v>1.1125316198223403</v>
      </c>
      <c r="CE70">
        <v>595.4269229289165</v>
      </c>
      <c r="CF70">
        <v>7.9210468032383581</v>
      </c>
      <c r="CG70">
        <v>4239.3442490931684</v>
      </c>
      <c r="CH70">
        <v>11</v>
      </c>
      <c r="CI70">
        <v>5887.1999999999989</v>
      </c>
      <c r="CJ70">
        <v>8</v>
      </c>
      <c r="CK70">
        <v>4281.5999999999995</v>
      </c>
      <c r="CL70">
        <v>5.9916299753992988</v>
      </c>
      <c r="CM70">
        <v>3206.7203628337043</v>
      </c>
      <c r="CN70">
        <v>3.3334259523961869</v>
      </c>
      <c r="CO70">
        <v>1784.0495697224389</v>
      </c>
      <c r="CP70">
        <v>4.1140260459950158</v>
      </c>
      <c r="CQ70">
        <v>2201.8267398165322</v>
      </c>
      <c r="CR70">
        <v>11.204403823370594</v>
      </c>
      <c r="CS70">
        <v>5996.5969262679409</v>
      </c>
      <c r="CT70">
        <v>9.7683598742654976</v>
      </c>
      <c r="CU70">
        <v>5228.0262047068936</v>
      </c>
    </row>
    <row r="71" spans="2:99">
      <c r="B71" s="99" t="s">
        <v>130</v>
      </c>
      <c r="C71" s="99" t="s">
        <v>237</v>
      </c>
      <c r="D71">
        <v>6</v>
      </c>
      <c r="E71">
        <v>3384</v>
      </c>
      <c r="F71">
        <v>7</v>
      </c>
      <c r="G71">
        <v>3948</v>
      </c>
      <c r="H71">
        <v>6</v>
      </c>
      <c r="I71">
        <v>3384</v>
      </c>
      <c r="J71">
        <v>6.1422687090493318</v>
      </c>
      <c r="K71">
        <v>3464.2395519038232</v>
      </c>
      <c r="L71">
        <v>6.7017461933633955</v>
      </c>
      <c r="M71">
        <v>3779.7848530569549</v>
      </c>
      <c r="N71">
        <v>5</v>
      </c>
      <c r="O71">
        <v>2820</v>
      </c>
      <c r="P71">
        <v>7.3323585664450039</v>
      </c>
      <c r="Q71">
        <v>4135.4502314749825</v>
      </c>
      <c r="R71">
        <v>4.89002970449424</v>
      </c>
      <c r="S71">
        <v>2757.9767533347513</v>
      </c>
      <c r="T71">
        <v>2.1806774225546612</v>
      </c>
      <c r="U71">
        <v>1229.9020663208289</v>
      </c>
      <c r="V71">
        <v>9.5052361566737105</v>
      </c>
      <c r="W71">
        <v>5360.9531923639724</v>
      </c>
      <c r="X71">
        <v>2.5189393083031599</v>
      </c>
      <c r="Y71">
        <v>1420.6817698829823</v>
      </c>
      <c r="Z71">
        <v>8</v>
      </c>
      <c r="AA71">
        <v>4512</v>
      </c>
      <c r="AB71">
        <v>3.5560125209856239</v>
      </c>
      <c r="AC71">
        <v>2005.5910618358919</v>
      </c>
      <c r="AD71">
        <v>6</v>
      </c>
      <c r="AE71">
        <v>3384</v>
      </c>
      <c r="AF71">
        <v>5</v>
      </c>
      <c r="AG71">
        <v>2820</v>
      </c>
      <c r="AH71">
        <v>5</v>
      </c>
      <c r="AI71">
        <v>2820</v>
      </c>
      <c r="AJ71">
        <v>8</v>
      </c>
      <c r="AK71">
        <v>4512</v>
      </c>
      <c r="AL71">
        <v>6</v>
      </c>
      <c r="AM71">
        <v>3384</v>
      </c>
      <c r="AN71">
        <v>5.1726388191825254</v>
      </c>
      <c r="AO71">
        <v>2917.3682940189442</v>
      </c>
      <c r="AP71">
        <v>7.3974188585073728</v>
      </c>
      <c r="AQ71">
        <v>4172.1442361981581</v>
      </c>
      <c r="AR71">
        <v>6.4979998134821395</v>
      </c>
      <c r="AS71">
        <v>3664.8718948039268</v>
      </c>
      <c r="AT71">
        <v>6.5769272225008866</v>
      </c>
      <c r="AU71">
        <v>3709.3869534905002</v>
      </c>
      <c r="AV71">
        <v>6.2544872173149146</v>
      </c>
      <c r="AW71">
        <v>3527.5307905656118</v>
      </c>
      <c r="AX71">
        <v>1.1701995123984834</v>
      </c>
      <c r="AY71">
        <v>659.99252499274462</v>
      </c>
      <c r="AZ71">
        <v>7.4418579816882282</v>
      </c>
      <c r="BA71">
        <v>4197.2079016721609</v>
      </c>
      <c r="BB71">
        <v>4.2057451979174392</v>
      </c>
      <c r="BC71">
        <v>2372.0402916254357</v>
      </c>
      <c r="BD71">
        <v>5</v>
      </c>
      <c r="BE71">
        <v>2820</v>
      </c>
      <c r="BF71">
        <v>7.9148933588504597</v>
      </c>
      <c r="BG71">
        <v>4463.999854391659</v>
      </c>
      <c r="BH71">
        <v>5.5805915589205961</v>
      </c>
      <c r="BI71">
        <v>3147.4536392312161</v>
      </c>
      <c r="BJ71">
        <v>1.0981048746290056</v>
      </c>
      <c r="BK71">
        <v>619.33114929075919</v>
      </c>
      <c r="BL71">
        <v>8</v>
      </c>
      <c r="BM71">
        <v>4512</v>
      </c>
      <c r="BN71">
        <v>6</v>
      </c>
      <c r="BO71">
        <v>3384</v>
      </c>
      <c r="BP71">
        <v>6</v>
      </c>
      <c r="BQ71">
        <v>3384</v>
      </c>
      <c r="BR71">
        <v>8</v>
      </c>
      <c r="BS71">
        <v>4512</v>
      </c>
      <c r="BT71">
        <v>6.43801252053093</v>
      </c>
      <c r="BU71">
        <v>3631.0390615794445</v>
      </c>
      <c r="BV71">
        <v>5.1804853568585214</v>
      </c>
      <c r="BW71">
        <v>2921.7937412682058</v>
      </c>
      <c r="BX71">
        <v>5.6181324827482797</v>
      </c>
      <c r="BY71">
        <v>3168.6267202700296</v>
      </c>
      <c r="BZ71">
        <v>2.2718240344350336</v>
      </c>
      <c r="CA71">
        <v>1281.3087554213589</v>
      </c>
      <c r="CB71">
        <v>5.8627597904524231</v>
      </c>
      <c r="CC71">
        <v>3306.5965218151669</v>
      </c>
      <c r="CD71">
        <v>10.547854507070403</v>
      </c>
      <c r="CE71">
        <v>5948.9899419877074</v>
      </c>
      <c r="CF71">
        <v>3.7059664979038178</v>
      </c>
      <c r="CG71">
        <v>2090.1651048177532</v>
      </c>
      <c r="CH71">
        <v>6.2189779855384621</v>
      </c>
      <c r="CI71">
        <v>3507.5035838436925</v>
      </c>
      <c r="CJ71">
        <v>1.3607272082415889</v>
      </c>
      <c r="CK71">
        <v>767.45014544825608</v>
      </c>
      <c r="CL71">
        <v>6.4602894090701923</v>
      </c>
      <c r="CM71">
        <v>3643.6032267155883</v>
      </c>
      <c r="CN71">
        <v>7.6666078857882933</v>
      </c>
      <c r="CO71">
        <v>4323.9668475845974</v>
      </c>
      <c r="CP71">
        <v>6.4058296033618252</v>
      </c>
      <c r="CQ71">
        <v>3612.8878962960694</v>
      </c>
      <c r="CR71">
        <v>3.2114224828564639</v>
      </c>
      <c r="CS71">
        <v>1811.2422803310455</v>
      </c>
      <c r="CT71">
        <v>7.9268780892940525</v>
      </c>
      <c r="CU71">
        <v>4470.7592423618453</v>
      </c>
    </row>
    <row r="72" spans="2:99">
      <c r="C72" s="99" t="s">
        <v>238</v>
      </c>
      <c r="D72">
        <v>6</v>
      </c>
      <c r="E72">
        <v>446.4</v>
      </c>
      <c r="F72">
        <v>6</v>
      </c>
      <c r="G72">
        <v>446.4</v>
      </c>
      <c r="H72">
        <v>6</v>
      </c>
      <c r="I72">
        <v>446.4</v>
      </c>
      <c r="J72">
        <v>7.8972026259205697</v>
      </c>
      <c r="K72">
        <v>587.5518753684903</v>
      </c>
      <c r="L72">
        <v>7.6591385067010229</v>
      </c>
      <c r="M72">
        <v>569.83990489855603</v>
      </c>
      <c r="N72">
        <v>5</v>
      </c>
      <c r="O72">
        <v>371.99999999999994</v>
      </c>
      <c r="P72">
        <v>7.3323585664450039</v>
      </c>
      <c r="Q72">
        <v>545.52747734350828</v>
      </c>
      <c r="R72">
        <v>4.89002970449424</v>
      </c>
      <c r="S72">
        <v>363.8182100143714</v>
      </c>
      <c r="T72">
        <v>2.4214962643645799</v>
      </c>
      <c r="U72">
        <v>180.15932206872472</v>
      </c>
      <c r="V72">
        <v>9.4210301305614248</v>
      </c>
      <c r="W72">
        <v>700.92464171376992</v>
      </c>
      <c r="X72">
        <v>3.0227271699637921</v>
      </c>
      <c r="Y72">
        <v>224.8909014453061</v>
      </c>
      <c r="Z72">
        <v>8</v>
      </c>
      <c r="AA72">
        <v>595.19999999999993</v>
      </c>
      <c r="AB72">
        <v>4.148681274483228</v>
      </c>
      <c r="AC72">
        <v>308.66188682155212</v>
      </c>
      <c r="AD72">
        <v>5</v>
      </c>
      <c r="AE72">
        <v>371.99999999999994</v>
      </c>
      <c r="AF72">
        <v>6</v>
      </c>
      <c r="AG72">
        <v>446.4</v>
      </c>
      <c r="AH72">
        <v>5</v>
      </c>
      <c r="AI72">
        <v>371.99999999999994</v>
      </c>
      <c r="AJ72">
        <v>8</v>
      </c>
      <c r="AK72">
        <v>595.19999999999993</v>
      </c>
      <c r="AL72">
        <v>6</v>
      </c>
      <c r="AM72">
        <v>446.4</v>
      </c>
      <c r="AN72">
        <v>5.1726388191825254</v>
      </c>
      <c r="AO72">
        <v>384.84432814717985</v>
      </c>
      <c r="AP72">
        <v>7.3974188585073728</v>
      </c>
      <c r="AQ72">
        <v>550.36796307294844</v>
      </c>
      <c r="AR72">
        <v>7.3102497901674068</v>
      </c>
      <c r="AS72">
        <v>543.88258438845503</v>
      </c>
      <c r="AT72">
        <v>6.5769272225008866</v>
      </c>
      <c r="AU72">
        <v>489.32338535406592</v>
      </c>
      <c r="AV72">
        <v>7.1479853912170448</v>
      </c>
      <c r="AW72">
        <v>531.8101131065481</v>
      </c>
      <c r="AX72">
        <v>1.1701995123984834</v>
      </c>
      <c r="AY72">
        <v>87.062843722447155</v>
      </c>
      <c r="AZ72">
        <v>8.372090229399257</v>
      </c>
      <c r="BA72">
        <v>622.88351306730465</v>
      </c>
      <c r="BB72">
        <v>4.2057451979174392</v>
      </c>
      <c r="BC72">
        <v>312.90744272505742</v>
      </c>
      <c r="BD72">
        <v>5</v>
      </c>
      <c r="BE72">
        <v>371.99999999999994</v>
      </c>
      <c r="BF72">
        <v>7.9148933588504597</v>
      </c>
      <c r="BG72">
        <v>588.86806589847413</v>
      </c>
      <c r="BH72">
        <v>6.2781655037856705</v>
      </c>
      <c r="BI72">
        <v>467.09551348165382</v>
      </c>
      <c r="BJ72">
        <v>1.2697368414461871</v>
      </c>
      <c r="BK72">
        <v>94.468421003596319</v>
      </c>
      <c r="BL72">
        <v>8</v>
      </c>
      <c r="BM72">
        <v>595.19999999999993</v>
      </c>
      <c r="BN72">
        <v>7</v>
      </c>
      <c r="BO72">
        <v>520.79999999999995</v>
      </c>
      <c r="BP72">
        <v>6</v>
      </c>
      <c r="BQ72">
        <v>446.4</v>
      </c>
      <c r="BR72">
        <v>8</v>
      </c>
      <c r="BS72">
        <v>595.19999999999993</v>
      </c>
      <c r="BT72">
        <v>8.0475156506636623</v>
      </c>
      <c r="BU72">
        <v>598.73516440937635</v>
      </c>
      <c r="BV72">
        <v>5.1804853568585214</v>
      </c>
      <c r="BW72">
        <v>385.42811055027397</v>
      </c>
      <c r="BX72">
        <v>6.5544878965396585</v>
      </c>
      <c r="BY72">
        <v>487.65389950255053</v>
      </c>
      <c r="BZ72">
        <v>2.2800261067373899</v>
      </c>
      <c r="CA72">
        <v>169.63394234126179</v>
      </c>
      <c r="CB72">
        <v>6.5450516526855287</v>
      </c>
      <c r="CC72">
        <v>486.95184295980329</v>
      </c>
      <c r="CD72">
        <v>9.5478545070704026</v>
      </c>
      <c r="CE72">
        <v>710.36037532603791</v>
      </c>
      <c r="CF72">
        <v>4.1692123101417948</v>
      </c>
      <c r="CG72">
        <v>310.18939587454952</v>
      </c>
      <c r="CH72">
        <v>6.8532612229225069</v>
      </c>
      <c r="CI72">
        <v>509.88263498543444</v>
      </c>
      <c r="CJ72">
        <v>1.1910629216532238</v>
      </c>
      <c r="CK72">
        <v>88.615081370999846</v>
      </c>
      <c r="CL72">
        <v>6.5523472908842315</v>
      </c>
      <c r="CM72">
        <v>487.49463844178678</v>
      </c>
      <c r="CN72">
        <v>9.5832598572353653</v>
      </c>
      <c r="CO72">
        <v>712.99453337831108</v>
      </c>
      <c r="CP72">
        <v>6.4058296033618252</v>
      </c>
      <c r="CQ72">
        <v>476.59372249011972</v>
      </c>
      <c r="CR72">
        <v>3.2114224828564639</v>
      </c>
      <c r="CS72">
        <v>238.92983272452088</v>
      </c>
      <c r="CT72">
        <v>8.9268780892940516</v>
      </c>
      <c r="CU72">
        <v>664.15972984347741</v>
      </c>
    </row>
    <row r="73" spans="2:99">
      <c r="C73" s="99" t="s">
        <v>239</v>
      </c>
      <c r="D73">
        <v>5</v>
      </c>
      <c r="E73">
        <v>2795.9999999999995</v>
      </c>
      <c r="F73">
        <v>6</v>
      </c>
      <c r="G73">
        <v>3355.2</v>
      </c>
      <c r="H73">
        <v>6</v>
      </c>
      <c r="I73">
        <v>3355.2</v>
      </c>
      <c r="J73">
        <v>6.1422687090493318</v>
      </c>
      <c r="K73">
        <v>3434.7566621003857</v>
      </c>
      <c r="L73">
        <v>6.7017461933633955</v>
      </c>
      <c r="M73">
        <v>3747.6164713288103</v>
      </c>
      <c r="N73">
        <v>5</v>
      </c>
      <c r="O73">
        <v>2795.9999999999995</v>
      </c>
      <c r="P73">
        <v>8.2489033872506283</v>
      </c>
      <c r="Q73">
        <v>4612.7867741505506</v>
      </c>
      <c r="R73">
        <v>5.7050346552432805</v>
      </c>
      <c r="S73">
        <v>3190.255379212042</v>
      </c>
      <c r="T73">
        <v>2.1806774225546612</v>
      </c>
      <c r="U73">
        <v>1219.4348146925663</v>
      </c>
      <c r="V73">
        <v>8.5052361566737105</v>
      </c>
      <c r="W73">
        <v>4756.128058811938</v>
      </c>
      <c r="X73">
        <v>2.5189393083031599</v>
      </c>
      <c r="Y73">
        <v>1408.5908612031269</v>
      </c>
      <c r="Z73">
        <v>8</v>
      </c>
      <c r="AA73">
        <v>4473.5999999999995</v>
      </c>
      <c r="AB73">
        <v>3.5560125209856239</v>
      </c>
      <c r="AC73">
        <v>1988.5222017351607</v>
      </c>
      <c r="AD73">
        <v>6</v>
      </c>
      <c r="AE73">
        <v>3355.2</v>
      </c>
      <c r="AF73">
        <v>6</v>
      </c>
      <c r="AG73">
        <v>3355.2</v>
      </c>
      <c r="AH73">
        <v>6</v>
      </c>
      <c r="AI73">
        <v>3355.2</v>
      </c>
      <c r="AJ73">
        <v>8</v>
      </c>
      <c r="AK73">
        <v>4473.5999999999995</v>
      </c>
      <c r="AL73">
        <v>6</v>
      </c>
      <c r="AM73">
        <v>3355.2</v>
      </c>
      <c r="AN73">
        <v>5.9115872219228853</v>
      </c>
      <c r="AO73">
        <v>3305.7595744992773</v>
      </c>
      <c r="AP73">
        <v>7.3974188585073728</v>
      </c>
      <c r="AQ73">
        <v>4136.6366256773226</v>
      </c>
      <c r="AR73">
        <v>6.4979998134821395</v>
      </c>
      <c r="AS73">
        <v>3633.6814956992121</v>
      </c>
      <c r="AT73">
        <v>6.5769272225008866</v>
      </c>
      <c r="AU73">
        <v>3677.8177028224954</v>
      </c>
      <c r="AV73">
        <v>6.2544872173149146</v>
      </c>
      <c r="AW73">
        <v>3497.5092519225</v>
      </c>
      <c r="AX73">
        <v>0.97516626033206955</v>
      </c>
      <c r="AY73">
        <v>545.31297277769318</v>
      </c>
      <c r="AZ73">
        <v>7.4418579816882282</v>
      </c>
      <c r="BA73">
        <v>4161.4869833600569</v>
      </c>
      <c r="BB73">
        <v>4.2057451979174392</v>
      </c>
      <c r="BC73">
        <v>2351.8527146754318</v>
      </c>
      <c r="BD73">
        <v>5</v>
      </c>
      <c r="BE73">
        <v>2795.9999999999995</v>
      </c>
      <c r="BF73">
        <v>7.9148933588504597</v>
      </c>
      <c r="BG73">
        <v>4426.0083662691768</v>
      </c>
      <c r="BH73">
        <v>6.2781655037856705</v>
      </c>
      <c r="BI73">
        <v>3510.7501497169465</v>
      </c>
      <c r="BJ73">
        <v>1.2697368414461871</v>
      </c>
      <c r="BK73">
        <v>710.03684173670774</v>
      </c>
      <c r="BL73">
        <v>9</v>
      </c>
      <c r="BM73">
        <v>5032.7999999999993</v>
      </c>
      <c r="BN73">
        <v>7</v>
      </c>
      <c r="BO73">
        <v>3914.3999999999996</v>
      </c>
      <c r="BP73">
        <v>7</v>
      </c>
      <c r="BQ73">
        <v>3914.3999999999996</v>
      </c>
      <c r="BR73">
        <v>7</v>
      </c>
      <c r="BS73">
        <v>3914.3999999999996</v>
      </c>
      <c r="BT73">
        <v>7.2427640855972957</v>
      </c>
      <c r="BU73">
        <v>4050.1536766660074</v>
      </c>
      <c r="BV73">
        <v>5.9205546935525959</v>
      </c>
      <c r="BW73">
        <v>3310.7741846346112</v>
      </c>
      <c r="BX73">
        <v>5.6181324827482797</v>
      </c>
      <c r="BY73">
        <v>3141.6596843528378</v>
      </c>
      <c r="BZ73">
        <v>2.2718240344350336</v>
      </c>
      <c r="CA73">
        <v>1270.4040000560706</v>
      </c>
      <c r="CB73">
        <v>6.4899703035451246</v>
      </c>
      <c r="CC73">
        <v>3629.1913937424333</v>
      </c>
      <c r="CD73">
        <v>8.5478545070704026</v>
      </c>
      <c r="CE73">
        <v>4779.9602403537683</v>
      </c>
      <c r="CF73">
        <v>4.6324581223797718</v>
      </c>
      <c r="CG73">
        <v>2590.4705820347681</v>
      </c>
      <c r="CH73">
        <v>6.0919068909777376</v>
      </c>
      <c r="CI73">
        <v>3406.5943334347503</v>
      </c>
      <c r="CJ73">
        <v>1.1915504810153195</v>
      </c>
      <c r="CK73">
        <v>666.31502898376652</v>
      </c>
      <c r="CL73">
        <v>6.4602894090701923</v>
      </c>
      <c r="CM73">
        <v>3612.5938375520509</v>
      </c>
      <c r="CN73">
        <v>8.6249338715118302</v>
      </c>
      <c r="CO73">
        <v>4823.0630209494147</v>
      </c>
      <c r="CP73">
        <v>6.4058296033618252</v>
      </c>
      <c r="CQ73">
        <v>3582.1399141999323</v>
      </c>
      <c r="CR73">
        <v>2.7656090219950027</v>
      </c>
      <c r="CS73">
        <v>1546.5285650996054</v>
      </c>
      <c r="CT73">
        <v>7.9268780892940525</v>
      </c>
      <c r="CU73">
        <v>4432.7102275332336</v>
      </c>
    </row>
    <row r="74" spans="2:99">
      <c r="C74" s="99" t="s">
        <v>240</v>
      </c>
      <c r="D74">
        <v>6</v>
      </c>
      <c r="E74">
        <v>2419.1999999999998</v>
      </c>
      <c r="F74">
        <v>6</v>
      </c>
      <c r="G74">
        <v>2419.1999999999998</v>
      </c>
      <c r="H74">
        <v>6</v>
      </c>
      <c r="I74">
        <v>2419.1999999999998</v>
      </c>
      <c r="J74">
        <v>7.8972026259205697</v>
      </c>
      <c r="K74">
        <v>3184.1520987711738</v>
      </c>
      <c r="L74">
        <v>6.7017461933633955</v>
      </c>
      <c r="M74">
        <v>2702.144065164121</v>
      </c>
      <c r="N74">
        <v>6</v>
      </c>
      <c r="O74">
        <v>2419.1999999999998</v>
      </c>
      <c r="P74">
        <v>7.3323585664450039</v>
      </c>
      <c r="Q74">
        <v>2956.4069739906254</v>
      </c>
      <c r="R74">
        <v>4.89002970449424</v>
      </c>
      <c r="S74">
        <v>1971.6599768520775</v>
      </c>
      <c r="T74">
        <v>1.9398585807447424</v>
      </c>
      <c r="U74">
        <v>782.15097975628009</v>
      </c>
      <c r="V74">
        <v>8.5052361566737105</v>
      </c>
      <c r="W74">
        <v>3429.3112183708399</v>
      </c>
      <c r="X74">
        <v>3.0227271699637921</v>
      </c>
      <c r="Y74">
        <v>1218.7635949294008</v>
      </c>
      <c r="Z74">
        <v>8</v>
      </c>
      <c r="AA74">
        <v>3225.6</v>
      </c>
      <c r="AB74">
        <v>4.148681274483228</v>
      </c>
      <c r="AC74">
        <v>1672.7482898716376</v>
      </c>
      <c r="AD74">
        <v>6</v>
      </c>
      <c r="AE74">
        <v>2419.1999999999998</v>
      </c>
      <c r="AF74">
        <v>6</v>
      </c>
      <c r="AG74">
        <v>2419.1999999999998</v>
      </c>
      <c r="AH74">
        <v>5</v>
      </c>
      <c r="AI74">
        <v>2016</v>
      </c>
      <c r="AJ74">
        <v>7</v>
      </c>
      <c r="AK74">
        <v>2822.4</v>
      </c>
      <c r="AL74">
        <v>7</v>
      </c>
      <c r="AM74">
        <v>2822.4</v>
      </c>
      <c r="AN74">
        <v>5.9115872219228853</v>
      </c>
      <c r="AO74">
        <v>2383.5519678793071</v>
      </c>
      <c r="AP74">
        <v>8.2193542872304146</v>
      </c>
      <c r="AQ74">
        <v>3314.0436486113031</v>
      </c>
      <c r="AR74">
        <v>6.4979998134821395</v>
      </c>
      <c r="AS74">
        <v>2619.9935247959984</v>
      </c>
      <c r="AT74">
        <v>6.5769272225008866</v>
      </c>
      <c r="AU74">
        <v>2651.8170561123575</v>
      </c>
      <c r="AV74">
        <v>6.2544872173149146</v>
      </c>
      <c r="AW74">
        <v>2521.8092460213734</v>
      </c>
      <c r="AX74">
        <v>1.1701995123984834</v>
      </c>
      <c r="AY74">
        <v>471.82444339906851</v>
      </c>
      <c r="AZ74">
        <v>8.372090229399257</v>
      </c>
      <c r="BA74">
        <v>3375.6267804937802</v>
      </c>
      <c r="BB74">
        <v>4.2057451979174392</v>
      </c>
      <c r="BC74">
        <v>1695.7564638003114</v>
      </c>
      <c r="BD74">
        <v>5</v>
      </c>
      <c r="BE74">
        <v>2016</v>
      </c>
      <c r="BF74">
        <v>7.9148933588504597</v>
      </c>
      <c r="BG74">
        <v>3191.2850022885054</v>
      </c>
      <c r="BH74">
        <v>6.2781655037856705</v>
      </c>
      <c r="BI74">
        <v>2531.3563311263824</v>
      </c>
      <c r="BJ74">
        <v>1.0981048746290056</v>
      </c>
      <c r="BK74">
        <v>442.75588545041506</v>
      </c>
      <c r="BL74">
        <v>9</v>
      </c>
      <c r="BM74">
        <v>3628.7999999999997</v>
      </c>
      <c r="BN74">
        <v>7</v>
      </c>
      <c r="BO74">
        <v>2822.4</v>
      </c>
      <c r="BP74">
        <v>7</v>
      </c>
      <c r="BQ74">
        <v>2822.4</v>
      </c>
      <c r="BR74">
        <v>7</v>
      </c>
      <c r="BS74">
        <v>2822.4</v>
      </c>
      <c r="BT74">
        <v>8.0475156506636623</v>
      </c>
      <c r="BU74">
        <v>3244.7583103475886</v>
      </c>
      <c r="BV74">
        <v>5.9205546935525959</v>
      </c>
      <c r="BW74">
        <v>2387.1676524404065</v>
      </c>
      <c r="BX74">
        <v>6.5544878965396585</v>
      </c>
      <c r="BY74">
        <v>2642.76951988479</v>
      </c>
      <c r="BZ74">
        <v>2.0348919449578142</v>
      </c>
      <c r="CA74">
        <v>820.46843220699066</v>
      </c>
      <c r="CB74">
        <v>5.8150226211974063</v>
      </c>
      <c r="CC74">
        <v>2344.6171208667943</v>
      </c>
      <c r="CD74">
        <v>9.5478545070704026</v>
      </c>
      <c r="CE74">
        <v>3849.6949372507861</v>
      </c>
      <c r="CF74">
        <v>4.6324581223797718</v>
      </c>
      <c r="CG74">
        <v>1867.8071149435239</v>
      </c>
      <c r="CH74">
        <v>6.0919068909777376</v>
      </c>
      <c r="CI74">
        <v>2456.2568584422238</v>
      </c>
      <c r="CJ74">
        <v>1.3602396488794934</v>
      </c>
      <c r="CK74">
        <v>548.4486264282117</v>
      </c>
      <c r="CL74">
        <v>6.4602894090701923</v>
      </c>
      <c r="CM74">
        <v>2604.7886897371013</v>
      </c>
      <c r="CN74">
        <v>8.6249338715118302</v>
      </c>
      <c r="CO74">
        <v>3477.5733369935697</v>
      </c>
      <c r="CP74">
        <v>6.4058296033618252</v>
      </c>
      <c r="CQ74">
        <v>2582.8304960754876</v>
      </c>
      <c r="CR74">
        <v>2.7656090219950027</v>
      </c>
      <c r="CS74">
        <v>1115.0935576683851</v>
      </c>
      <c r="CT74">
        <v>7.7723984077450439</v>
      </c>
      <c r="CU74">
        <v>3133.8310380028015</v>
      </c>
    </row>
    <row r="75" spans="2:99">
      <c r="C75" s="99" t="s">
        <v>241</v>
      </c>
      <c r="D75">
        <v>6</v>
      </c>
      <c r="E75">
        <v>3859.2</v>
      </c>
      <c r="F75">
        <v>7</v>
      </c>
      <c r="G75">
        <v>4502.3999999999996</v>
      </c>
      <c r="H75">
        <v>6</v>
      </c>
      <c r="I75">
        <v>3859.2</v>
      </c>
      <c r="J75">
        <v>7.0197356674849507</v>
      </c>
      <c r="K75">
        <v>4515.0939813263194</v>
      </c>
      <c r="L75">
        <v>7.6591385067010229</v>
      </c>
      <c r="M75">
        <v>4926.3578875100975</v>
      </c>
      <c r="N75">
        <v>5</v>
      </c>
      <c r="O75">
        <v>3215.9999999999995</v>
      </c>
      <c r="P75">
        <v>7.3323585664450039</v>
      </c>
      <c r="Q75">
        <v>4716.1730299374258</v>
      </c>
      <c r="R75">
        <v>5.7050346552432805</v>
      </c>
      <c r="S75">
        <v>3669.4782902524776</v>
      </c>
      <c r="T75">
        <v>1.9465125038774369</v>
      </c>
      <c r="U75">
        <v>1251.9968424939673</v>
      </c>
      <c r="V75">
        <v>8.5052361566737105</v>
      </c>
      <c r="W75">
        <v>5470.5678959725301</v>
      </c>
      <c r="X75">
        <v>3.0227271699637921</v>
      </c>
      <c r="Y75">
        <v>1944.2181157207108</v>
      </c>
      <c r="Z75">
        <v>7</v>
      </c>
      <c r="AA75">
        <v>4502.3999999999996</v>
      </c>
      <c r="AB75">
        <v>3.5560125209856239</v>
      </c>
      <c r="AC75">
        <v>2287.2272534979529</v>
      </c>
      <c r="AD75">
        <v>5</v>
      </c>
      <c r="AE75">
        <v>3215.9999999999995</v>
      </c>
      <c r="AF75">
        <v>5</v>
      </c>
      <c r="AG75">
        <v>3215.9999999999995</v>
      </c>
      <c r="AH75">
        <v>5</v>
      </c>
      <c r="AI75">
        <v>3215.9999999999995</v>
      </c>
      <c r="AJ75">
        <v>8</v>
      </c>
      <c r="AK75">
        <v>5145.5999999999995</v>
      </c>
      <c r="AL75">
        <v>6</v>
      </c>
      <c r="AM75">
        <v>3859.2</v>
      </c>
      <c r="AN75">
        <v>5.1726388191825254</v>
      </c>
      <c r="AO75">
        <v>3327.0412884982002</v>
      </c>
      <c r="AP75">
        <v>7.3974188585073728</v>
      </c>
      <c r="AQ75">
        <v>4758.019809791942</v>
      </c>
      <c r="AR75">
        <v>5.6857498367968713</v>
      </c>
      <c r="AS75">
        <v>3657.0742950277472</v>
      </c>
      <c r="AT75">
        <v>6.5769272225008866</v>
      </c>
      <c r="AU75">
        <v>4230.2795895125701</v>
      </c>
      <c r="AV75">
        <v>6.2544872173149146</v>
      </c>
      <c r="AW75">
        <v>4022.8861781769529</v>
      </c>
      <c r="AX75">
        <v>1.1701995123984834</v>
      </c>
      <c r="AY75">
        <v>752.67232637470443</v>
      </c>
      <c r="AZ75">
        <v>6.5116257339772003</v>
      </c>
      <c r="BA75">
        <v>4188.2776720941347</v>
      </c>
      <c r="BB75">
        <v>4.2057451979174392</v>
      </c>
      <c r="BC75">
        <v>2705.1353113004966</v>
      </c>
      <c r="BD75">
        <v>5</v>
      </c>
      <c r="BE75">
        <v>3215.9999999999995</v>
      </c>
      <c r="BF75">
        <v>7.9148933588504597</v>
      </c>
      <c r="BG75">
        <v>5090.8594084126153</v>
      </c>
      <c r="BH75">
        <v>6.9757394486507449</v>
      </c>
      <c r="BI75">
        <v>4486.7956133721591</v>
      </c>
      <c r="BJ75">
        <v>1.0895657404132661</v>
      </c>
      <c r="BK75">
        <v>700.80868423381276</v>
      </c>
      <c r="BL75">
        <v>8</v>
      </c>
      <c r="BM75">
        <v>5145.5999999999995</v>
      </c>
      <c r="BN75">
        <v>7</v>
      </c>
      <c r="BO75">
        <v>4502.3999999999996</v>
      </c>
      <c r="BP75">
        <v>6</v>
      </c>
      <c r="BQ75">
        <v>3859.2</v>
      </c>
      <c r="BR75">
        <v>8</v>
      </c>
      <c r="BS75">
        <v>5145.5999999999995</v>
      </c>
      <c r="BT75">
        <v>8.0475156506636623</v>
      </c>
      <c r="BU75">
        <v>5176.1620665068667</v>
      </c>
      <c r="BV75">
        <v>5.1804853568585214</v>
      </c>
      <c r="BW75">
        <v>3332.0881815314006</v>
      </c>
      <c r="BX75">
        <v>6.5544878965396585</v>
      </c>
      <c r="BY75">
        <v>4215.8466150543081</v>
      </c>
      <c r="BZ75">
        <v>2.0348919449578142</v>
      </c>
      <c r="CA75">
        <v>1308.842498996866</v>
      </c>
      <c r="CB75">
        <v>5.8150226211974063</v>
      </c>
      <c r="CC75">
        <v>3740.2225499541714</v>
      </c>
      <c r="CD75">
        <v>8.5478545070704026</v>
      </c>
      <c r="CE75">
        <v>5497.9800189476828</v>
      </c>
      <c r="CF75">
        <v>4.1692123101417948</v>
      </c>
      <c r="CG75">
        <v>2681.6373578832022</v>
      </c>
      <c r="CH75">
        <v>5.3305525590329683</v>
      </c>
      <c r="CI75">
        <v>3428.6114059700049</v>
      </c>
      <c r="CJ75">
        <v>1.3607272082415889</v>
      </c>
      <c r="CK75">
        <v>875.21974034098992</v>
      </c>
      <c r="CL75">
        <v>5.4602894090701923</v>
      </c>
      <c r="CM75">
        <v>3512.0581479139473</v>
      </c>
      <c r="CN75">
        <v>8.6249338715118302</v>
      </c>
      <c r="CO75">
        <v>5547.5574661564087</v>
      </c>
      <c r="CP75">
        <v>6.4058296033618252</v>
      </c>
      <c r="CQ75">
        <v>4120.2296008823259</v>
      </c>
      <c r="CR75">
        <v>3.2114030699154488</v>
      </c>
      <c r="CS75">
        <v>2065.5744545696166</v>
      </c>
      <c r="CT75">
        <v>6.9268780892940525</v>
      </c>
      <c r="CU75">
        <v>4455.3679870339338</v>
      </c>
    </row>
    <row r="76" spans="2:99">
      <c r="C76" s="99" t="s">
        <v>242</v>
      </c>
      <c r="D76">
        <v>5</v>
      </c>
      <c r="E76">
        <v>3894</v>
      </c>
      <c r="F76">
        <v>7</v>
      </c>
      <c r="G76">
        <v>5451.5999999999995</v>
      </c>
      <c r="H76">
        <v>5</v>
      </c>
      <c r="I76">
        <v>3894</v>
      </c>
      <c r="J76">
        <v>7.0197356674849507</v>
      </c>
      <c r="K76">
        <v>5466.9701378372793</v>
      </c>
      <c r="L76">
        <v>6.7017461933633955</v>
      </c>
      <c r="M76">
        <v>5219.3199353914124</v>
      </c>
      <c r="N76">
        <v>5</v>
      </c>
      <c r="O76">
        <v>3894</v>
      </c>
      <c r="P76">
        <v>7.3323585664450039</v>
      </c>
      <c r="Q76">
        <v>5710.4408515473688</v>
      </c>
      <c r="R76">
        <v>4.89002970449424</v>
      </c>
      <c r="S76">
        <v>3808.3551338601137</v>
      </c>
      <c r="T76">
        <v>1.9398585807447424</v>
      </c>
      <c r="U76">
        <v>1510.7618626840053</v>
      </c>
      <c r="V76">
        <v>8.5052361566737105</v>
      </c>
      <c r="W76">
        <v>6623.8779188174849</v>
      </c>
      <c r="X76">
        <v>2.5189393083031599</v>
      </c>
      <c r="Y76">
        <v>1961.7499333065009</v>
      </c>
      <c r="Z76">
        <v>8</v>
      </c>
      <c r="AA76">
        <v>6230.4</v>
      </c>
      <c r="AB76">
        <v>3.5560125209856239</v>
      </c>
      <c r="AC76">
        <v>2769.4225513436036</v>
      </c>
      <c r="AD76">
        <v>6</v>
      </c>
      <c r="AE76">
        <v>4672.7999999999993</v>
      </c>
      <c r="AF76">
        <v>6</v>
      </c>
      <c r="AG76">
        <v>4672.7999999999993</v>
      </c>
      <c r="AH76">
        <v>6</v>
      </c>
      <c r="AI76">
        <v>4672.7999999999993</v>
      </c>
      <c r="AJ76">
        <v>8</v>
      </c>
      <c r="AK76">
        <v>6230.4</v>
      </c>
      <c r="AL76">
        <v>6</v>
      </c>
      <c r="AM76">
        <v>4672.7999999999993</v>
      </c>
      <c r="AN76">
        <v>5.1726388191825254</v>
      </c>
      <c r="AO76">
        <v>4028.4511123793504</v>
      </c>
      <c r="AP76">
        <v>7.3974188585073728</v>
      </c>
      <c r="AQ76">
        <v>5761.1098070055414</v>
      </c>
      <c r="AR76">
        <v>5.6857498367968713</v>
      </c>
      <c r="AS76">
        <v>4428.0619728974034</v>
      </c>
      <c r="AT76">
        <v>7.3990431253134972</v>
      </c>
      <c r="AU76">
        <v>5762.3747859941514</v>
      </c>
      <c r="AV76">
        <v>6.2544872173149146</v>
      </c>
      <c r="AW76">
        <v>4870.9946448448554</v>
      </c>
      <c r="AX76">
        <v>1.1701995123984834</v>
      </c>
      <c r="AY76">
        <v>911.35138025593881</v>
      </c>
      <c r="AZ76">
        <v>8.372090229399257</v>
      </c>
      <c r="BA76">
        <v>6520.1838706561412</v>
      </c>
      <c r="BB76">
        <v>3.3645961583339514</v>
      </c>
      <c r="BC76">
        <v>2620.3474881104812</v>
      </c>
      <c r="BD76">
        <v>5</v>
      </c>
      <c r="BE76">
        <v>3894</v>
      </c>
      <c r="BF76">
        <v>7.9148933588504597</v>
      </c>
      <c r="BG76">
        <v>6164.1189478727374</v>
      </c>
      <c r="BH76">
        <v>6.9757394486507449</v>
      </c>
      <c r="BI76">
        <v>5432.7058826091998</v>
      </c>
      <c r="BJ76">
        <v>1.0981048746290056</v>
      </c>
      <c r="BK76">
        <v>855.2040763610695</v>
      </c>
      <c r="BL76">
        <v>9</v>
      </c>
      <c r="BM76">
        <v>7009.2</v>
      </c>
      <c r="BN76">
        <v>7</v>
      </c>
      <c r="BO76">
        <v>5451.5999999999995</v>
      </c>
      <c r="BP76">
        <v>7</v>
      </c>
      <c r="BQ76">
        <v>5451.5999999999995</v>
      </c>
      <c r="BR76">
        <v>8</v>
      </c>
      <c r="BS76">
        <v>6230.4</v>
      </c>
      <c r="BT76">
        <v>6.43801252053093</v>
      </c>
      <c r="BU76">
        <v>5013.9241509894882</v>
      </c>
      <c r="BV76">
        <v>5.1804853568585214</v>
      </c>
      <c r="BW76">
        <v>4034.5619959214164</v>
      </c>
      <c r="BX76">
        <v>6.5544878965396585</v>
      </c>
      <c r="BY76">
        <v>5104.635173825086</v>
      </c>
      <c r="BZ76">
        <v>2.0348919449578142</v>
      </c>
      <c r="CA76">
        <v>1584.7738467331455</v>
      </c>
      <c r="CB76">
        <v>6.4899703035451246</v>
      </c>
      <c r="CC76">
        <v>5054.388872400943</v>
      </c>
      <c r="CD76">
        <v>8.5478545070704026</v>
      </c>
      <c r="CE76">
        <v>6657.069090106429</v>
      </c>
      <c r="CF76">
        <v>4.1692123101417948</v>
      </c>
      <c r="CG76">
        <v>3246.9825471384297</v>
      </c>
      <c r="CH76">
        <v>5.3305525590329683</v>
      </c>
      <c r="CI76">
        <v>4151.4343329748754</v>
      </c>
      <c r="CJ76">
        <v>1.1905753622911284</v>
      </c>
      <c r="CK76">
        <v>927.22009215233072</v>
      </c>
      <c r="CL76">
        <v>5.4602894090701923</v>
      </c>
      <c r="CM76">
        <v>4252.4733917838657</v>
      </c>
      <c r="CN76">
        <v>7.6666078857882933</v>
      </c>
      <c r="CO76">
        <v>5970.7542214519226</v>
      </c>
      <c r="CP76">
        <v>5.6051009029415972</v>
      </c>
      <c r="CQ76">
        <v>4365.2525832109159</v>
      </c>
      <c r="CR76">
        <v>2.7656090219950027</v>
      </c>
      <c r="CS76">
        <v>2153.8563063297079</v>
      </c>
      <c r="CT76">
        <v>7.9268780892940525</v>
      </c>
      <c r="CU76">
        <v>6173.4526559422075</v>
      </c>
    </row>
    <row r="77" spans="2:99">
      <c r="C77" s="99" t="s">
        <v>243</v>
      </c>
      <c r="D77">
        <v>6</v>
      </c>
      <c r="E77">
        <v>1670.3999999999999</v>
      </c>
      <c r="F77">
        <v>6</v>
      </c>
      <c r="G77">
        <v>1670.3999999999999</v>
      </c>
      <c r="H77">
        <v>6</v>
      </c>
      <c r="I77">
        <v>1670.3999999999999</v>
      </c>
      <c r="J77">
        <v>7.8972026259205697</v>
      </c>
      <c r="K77">
        <v>2198.5812110562865</v>
      </c>
      <c r="L77">
        <v>7.6591385067010229</v>
      </c>
      <c r="M77">
        <v>2132.3041602655644</v>
      </c>
      <c r="N77">
        <v>5</v>
      </c>
      <c r="O77">
        <v>1392</v>
      </c>
      <c r="P77">
        <v>8.2489033872506283</v>
      </c>
      <c r="Q77">
        <v>2296.4947030105745</v>
      </c>
      <c r="R77">
        <v>4.89002970449424</v>
      </c>
      <c r="S77">
        <v>1361.3842697311964</v>
      </c>
      <c r="T77">
        <v>1.9465125038774369</v>
      </c>
      <c r="U77">
        <v>541.90908107947837</v>
      </c>
      <c r="V77">
        <v>9.5052361566737105</v>
      </c>
      <c r="W77">
        <v>2646.2577460179609</v>
      </c>
      <c r="X77">
        <v>3.0227271699637921</v>
      </c>
      <c r="Y77">
        <v>841.52724411791962</v>
      </c>
      <c r="Z77">
        <v>8</v>
      </c>
      <c r="AA77">
        <v>2227.1999999999998</v>
      </c>
      <c r="AB77">
        <v>4.148681274483228</v>
      </c>
      <c r="AC77">
        <v>1154.9928668161306</v>
      </c>
      <c r="AD77">
        <v>5</v>
      </c>
      <c r="AE77">
        <v>1392</v>
      </c>
      <c r="AF77">
        <v>6</v>
      </c>
      <c r="AG77">
        <v>1670.3999999999999</v>
      </c>
      <c r="AH77">
        <v>6</v>
      </c>
      <c r="AI77">
        <v>1670.3999999999999</v>
      </c>
      <c r="AJ77">
        <v>8</v>
      </c>
      <c r="AK77">
        <v>2227.1999999999998</v>
      </c>
      <c r="AL77">
        <v>6</v>
      </c>
      <c r="AM77">
        <v>1670.3999999999999</v>
      </c>
      <c r="AN77">
        <v>5.9115872219228853</v>
      </c>
      <c r="AO77">
        <v>1645.7858825833312</v>
      </c>
      <c r="AP77">
        <v>7.3974188585073728</v>
      </c>
      <c r="AQ77">
        <v>2059.4414102084525</v>
      </c>
      <c r="AR77">
        <v>7.3102497901674068</v>
      </c>
      <c r="AS77">
        <v>2035.1735415826058</v>
      </c>
      <c r="AT77">
        <v>6.5769272225008866</v>
      </c>
      <c r="AU77">
        <v>1831.0165387442466</v>
      </c>
      <c r="AV77">
        <v>6.2544872173149146</v>
      </c>
      <c r="AW77">
        <v>1741.249241300472</v>
      </c>
      <c r="AX77">
        <v>1.1701995123984834</v>
      </c>
      <c r="AY77">
        <v>325.78354425173774</v>
      </c>
      <c r="AZ77">
        <v>7.4418579816882282</v>
      </c>
      <c r="BA77">
        <v>2071.8132621020027</v>
      </c>
      <c r="BB77">
        <v>4.2057451979174392</v>
      </c>
      <c r="BC77">
        <v>1170.8794631002149</v>
      </c>
      <c r="BD77">
        <v>6</v>
      </c>
      <c r="BE77">
        <v>1670.3999999999999</v>
      </c>
      <c r="BF77">
        <v>8.9042550287067677</v>
      </c>
      <c r="BG77">
        <v>2478.944599991964</v>
      </c>
      <c r="BH77">
        <v>6.9757394486507449</v>
      </c>
      <c r="BI77">
        <v>1942.0458625043673</v>
      </c>
      <c r="BJ77">
        <v>1.2611977072304477</v>
      </c>
      <c r="BK77">
        <v>351.11744169295662</v>
      </c>
      <c r="BL77">
        <v>9</v>
      </c>
      <c r="BM77">
        <v>2505.6</v>
      </c>
      <c r="BN77">
        <v>7</v>
      </c>
      <c r="BO77">
        <v>1948.7999999999997</v>
      </c>
      <c r="BP77">
        <v>7</v>
      </c>
      <c r="BQ77">
        <v>1948.7999999999997</v>
      </c>
      <c r="BR77">
        <v>8</v>
      </c>
      <c r="BS77">
        <v>2227.1999999999998</v>
      </c>
      <c r="BT77">
        <v>6.43801252053093</v>
      </c>
      <c r="BU77">
        <v>1792.3426857158108</v>
      </c>
      <c r="BV77">
        <v>5.1804853568585214</v>
      </c>
      <c r="BW77">
        <v>1442.2471233494123</v>
      </c>
      <c r="BX77">
        <v>6.5544878965396585</v>
      </c>
      <c r="BY77">
        <v>1824.7694303966407</v>
      </c>
      <c r="BZ77">
        <v>2.2800261067373899</v>
      </c>
      <c r="CA77">
        <v>634.75926811568934</v>
      </c>
      <c r="CB77">
        <v>5.8664318803951172</v>
      </c>
      <c r="CC77">
        <v>1633.2146355020004</v>
      </c>
      <c r="CD77">
        <v>8.5478545070704026</v>
      </c>
      <c r="CE77">
        <v>2379.7226947683998</v>
      </c>
      <c r="CF77">
        <v>4.6324581223797718</v>
      </c>
      <c r="CG77">
        <v>1289.6763412705284</v>
      </c>
      <c r="CH77">
        <v>6.9803323174832315</v>
      </c>
      <c r="CI77">
        <v>1943.3245171873316</v>
      </c>
      <c r="CJ77">
        <v>1.1920380403774151</v>
      </c>
      <c r="CK77">
        <v>331.86339044107234</v>
      </c>
      <c r="CL77">
        <v>5.4602894090701923</v>
      </c>
      <c r="CM77">
        <v>1520.1445714851413</v>
      </c>
      <c r="CN77">
        <v>8.6249338715118302</v>
      </c>
      <c r="CO77">
        <v>2401.1815898288933</v>
      </c>
      <c r="CP77">
        <v>5.6051009029415972</v>
      </c>
      <c r="CQ77">
        <v>1560.4600913789404</v>
      </c>
      <c r="CR77">
        <v>2.7656090219950027</v>
      </c>
      <c r="CS77">
        <v>769.9455517234087</v>
      </c>
      <c r="CT77">
        <v>9.0813577708430611</v>
      </c>
      <c r="CU77">
        <v>2528.250003402708</v>
      </c>
    </row>
    <row r="78" spans="2:99">
      <c r="C78" s="99" t="s">
        <v>244</v>
      </c>
      <c r="D78">
        <v>5</v>
      </c>
      <c r="E78">
        <v>2760</v>
      </c>
      <c r="F78">
        <v>7</v>
      </c>
      <c r="G78">
        <v>3864</v>
      </c>
      <c r="H78">
        <v>6</v>
      </c>
      <c r="I78">
        <v>3312</v>
      </c>
      <c r="J78">
        <v>7.8972026259205697</v>
      </c>
      <c r="K78">
        <v>4359.2558495081548</v>
      </c>
      <c r="L78">
        <v>6.7017461933633955</v>
      </c>
      <c r="M78">
        <v>3699.3638987365944</v>
      </c>
      <c r="N78">
        <v>5</v>
      </c>
      <c r="O78">
        <v>2760</v>
      </c>
      <c r="P78">
        <v>8.2489033872506283</v>
      </c>
      <c r="Q78">
        <v>4553.3946697623469</v>
      </c>
      <c r="R78">
        <v>5.7050346552432805</v>
      </c>
      <c r="S78">
        <v>3149.1791296942906</v>
      </c>
      <c r="T78">
        <v>2.1740234994219669</v>
      </c>
      <c r="U78">
        <v>1200.0609716809258</v>
      </c>
      <c r="V78">
        <v>9.5052361566737105</v>
      </c>
      <c r="W78">
        <v>5246.8903584838881</v>
      </c>
      <c r="X78">
        <v>2.5189393083031599</v>
      </c>
      <c r="Y78">
        <v>1390.4544981833442</v>
      </c>
      <c r="Z78">
        <v>7</v>
      </c>
      <c r="AA78">
        <v>3864</v>
      </c>
      <c r="AB78">
        <v>4.148681274483228</v>
      </c>
      <c r="AC78">
        <v>2290.0720635147418</v>
      </c>
      <c r="AD78">
        <v>6</v>
      </c>
      <c r="AE78">
        <v>3312</v>
      </c>
      <c r="AF78">
        <v>6</v>
      </c>
      <c r="AG78">
        <v>3312</v>
      </c>
      <c r="AH78">
        <v>5</v>
      </c>
      <c r="AI78">
        <v>2760</v>
      </c>
      <c r="AJ78">
        <v>7</v>
      </c>
      <c r="AK78">
        <v>3864</v>
      </c>
      <c r="AL78">
        <v>7</v>
      </c>
      <c r="AM78">
        <v>3864</v>
      </c>
      <c r="AN78">
        <v>5.9115872219228853</v>
      </c>
      <c r="AO78">
        <v>3263.1961465014328</v>
      </c>
      <c r="AP78">
        <v>8.2193542872304146</v>
      </c>
      <c r="AQ78">
        <v>4537.0835665511886</v>
      </c>
      <c r="AR78">
        <v>5.6857498367968713</v>
      </c>
      <c r="AS78">
        <v>3138.5339099118728</v>
      </c>
      <c r="AT78">
        <v>6.5769272225008866</v>
      </c>
      <c r="AU78">
        <v>3630.4638268204894</v>
      </c>
      <c r="AV78">
        <v>6.2544872173149146</v>
      </c>
      <c r="AW78">
        <v>3452.4769439578331</v>
      </c>
      <c r="AX78">
        <v>1.1701995123984834</v>
      </c>
      <c r="AY78">
        <v>645.95013084396282</v>
      </c>
      <c r="AZ78">
        <v>7.4418579816882282</v>
      </c>
      <c r="BA78">
        <v>4107.9056058919023</v>
      </c>
      <c r="BB78">
        <v>4.2057451979174392</v>
      </c>
      <c r="BC78">
        <v>2321.5713492504265</v>
      </c>
      <c r="BD78">
        <v>5</v>
      </c>
      <c r="BE78">
        <v>2760</v>
      </c>
      <c r="BF78">
        <v>8.9042550287067677</v>
      </c>
      <c r="BG78">
        <v>4915.1487758461353</v>
      </c>
      <c r="BH78">
        <v>6.2781655037856705</v>
      </c>
      <c r="BI78">
        <v>3465.5473580896901</v>
      </c>
      <c r="BJ78">
        <v>1.0981048746290056</v>
      </c>
      <c r="BK78">
        <v>606.15389079521105</v>
      </c>
      <c r="BL78">
        <v>9</v>
      </c>
      <c r="BM78">
        <v>4968</v>
      </c>
      <c r="BN78">
        <v>6</v>
      </c>
      <c r="BO78">
        <v>3312</v>
      </c>
      <c r="BP78">
        <v>6</v>
      </c>
      <c r="BQ78">
        <v>3312</v>
      </c>
      <c r="BR78">
        <v>8</v>
      </c>
      <c r="BS78">
        <v>4416</v>
      </c>
      <c r="BT78">
        <v>8.0475156506636623</v>
      </c>
      <c r="BU78">
        <v>4442.228639166342</v>
      </c>
      <c r="BV78">
        <v>5.9205546935525959</v>
      </c>
      <c r="BW78">
        <v>3268.1461908410329</v>
      </c>
      <c r="BX78">
        <v>5.6181324827482797</v>
      </c>
      <c r="BY78">
        <v>3101.2091304770502</v>
      </c>
      <c r="BZ78">
        <v>2.0266898726554574</v>
      </c>
      <c r="CA78">
        <v>1118.7328097058125</v>
      </c>
      <c r="CB78">
        <v>6.4899703035451246</v>
      </c>
      <c r="CC78">
        <v>3582.4636075569088</v>
      </c>
      <c r="CD78">
        <v>9.5478545070704026</v>
      </c>
      <c r="CE78">
        <v>5270.4156879028624</v>
      </c>
      <c r="CF78">
        <v>3.7059664979038178</v>
      </c>
      <c r="CG78">
        <v>2045.6935068429075</v>
      </c>
      <c r="CH78">
        <v>6.0919068909777376</v>
      </c>
      <c r="CI78">
        <v>3362.7326038197111</v>
      </c>
      <c r="CJ78">
        <v>1.3607272082415889</v>
      </c>
      <c r="CK78">
        <v>751.12141894935701</v>
      </c>
      <c r="CL78">
        <v>6.4602894090701923</v>
      </c>
      <c r="CM78">
        <v>3566.0797538067463</v>
      </c>
      <c r="CN78">
        <v>8.6249338715118302</v>
      </c>
      <c r="CO78">
        <v>4760.9634970745301</v>
      </c>
      <c r="CP78">
        <v>5.6051009029415972</v>
      </c>
      <c r="CQ78">
        <v>3094.0156984237615</v>
      </c>
      <c r="CR78">
        <v>3.2265179750728157</v>
      </c>
      <c r="CS78">
        <v>1781.0379222401943</v>
      </c>
      <c r="CT78">
        <v>7.9268780892940525</v>
      </c>
      <c r="CU78">
        <v>4375.636705290317</v>
      </c>
    </row>
    <row r="79" spans="2:99">
      <c r="C79" s="99" t="s">
        <v>245</v>
      </c>
      <c r="D79">
        <v>5</v>
      </c>
      <c r="E79">
        <v>3785.9999999999995</v>
      </c>
      <c r="F79">
        <v>6</v>
      </c>
      <c r="G79">
        <v>4543.2</v>
      </c>
      <c r="H79">
        <v>6</v>
      </c>
      <c r="I79">
        <v>4543.2</v>
      </c>
      <c r="J79">
        <v>7.0197356674849507</v>
      </c>
      <c r="K79">
        <v>5315.3438474196046</v>
      </c>
      <c r="L79">
        <v>7.6591385067010229</v>
      </c>
      <c r="M79">
        <v>5799.4996772740142</v>
      </c>
      <c r="N79">
        <v>5</v>
      </c>
      <c r="O79">
        <v>3785.9999999999995</v>
      </c>
      <c r="P79">
        <v>8.2489033872506283</v>
      </c>
      <c r="Q79">
        <v>6246.0696448261751</v>
      </c>
      <c r="R79">
        <v>5.7050346552432805</v>
      </c>
      <c r="S79">
        <v>4319.8522409502111</v>
      </c>
      <c r="T79">
        <v>1.9465125038774369</v>
      </c>
      <c r="U79">
        <v>1473.8992679359951</v>
      </c>
      <c r="V79">
        <v>8.5052361566737105</v>
      </c>
      <c r="W79">
        <v>6440.1648178333326</v>
      </c>
      <c r="X79">
        <v>3.0227271699637921</v>
      </c>
      <c r="Y79">
        <v>2288.8090130965834</v>
      </c>
      <c r="Z79">
        <v>7</v>
      </c>
      <c r="AA79">
        <v>5300.4</v>
      </c>
      <c r="AB79">
        <v>3.5560125209856239</v>
      </c>
      <c r="AC79">
        <v>2692.6126808903141</v>
      </c>
      <c r="AD79">
        <v>5</v>
      </c>
      <c r="AE79">
        <v>3785.9999999999995</v>
      </c>
      <c r="AF79">
        <v>5</v>
      </c>
      <c r="AG79">
        <v>3785.9999999999995</v>
      </c>
      <c r="AH79">
        <v>6</v>
      </c>
      <c r="AI79">
        <v>4543.2</v>
      </c>
      <c r="AJ79">
        <v>7</v>
      </c>
      <c r="AK79">
        <v>5300.4</v>
      </c>
      <c r="AL79">
        <v>6</v>
      </c>
      <c r="AM79">
        <v>4543.2</v>
      </c>
      <c r="AN79">
        <v>5.1726388191825254</v>
      </c>
      <c r="AO79">
        <v>3916.7221138850077</v>
      </c>
      <c r="AP79">
        <v>6.5754834297843319</v>
      </c>
      <c r="AQ79">
        <v>4978.9560530326953</v>
      </c>
      <c r="AR79">
        <v>6.4979998134821395</v>
      </c>
      <c r="AS79">
        <v>4920.2854587686752</v>
      </c>
      <c r="AT79">
        <v>5.7548113196882751</v>
      </c>
      <c r="AU79">
        <v>4357.5431312679611</v>
      </c>
      <c r="AV79">
        <v>6.2544872173149146</v>
      </c>
      <c r="AW79">
        <v>4735.897720950853</v>
      </c>
      <c r="AX79">
        <v>1.1701995123984834</v>
      </c>
      <c r="AY79">
        <v>886.0750707881316</v>
      </c>
      <c r="AZ79">
        <v>7.4418579816882282</v>
      </c>
      <c r="BA79">
        <v>5634.9748637343255</v>
      </c>
      <c r="BB79">
        <v>4.2057451979174392</v>
      </c>
      <c r="BC79">
        <v>3184.5902638630846</v>
      </c>
      <c r="BD79">
        <v>5</v>
      </c>
      <c r="BE79">
        <v>3785.9999999999995</v>
      </c>
      <c r="BF79">
        <v>8.9042550287067677</v>
      </c>
      <c r="BG79">
        <v>6742.3019077367635</v>
      </c>
      <c r="BH79">
        <v>6.9757394486507449</v>
      </c>
      <c r="BI79">
        <v>5282.029910518344</v>
      </c>
      <c r="BJ79">
        <v>1.0981048746290056</v>
      </c>
      <c r="BK79">
        <v>831.48501106908304</v>
      </c>
      <c r="BL79">
        <v>8</v>
      </c>
      <c r="BM79">
        <v>6057.5999999999995</v>
      </c>
      <c r="BN79">
        <v>6</v>
      </c>
      <c r="BO79">
        <v>4543.2</v>
      </c>
      <c r="BP79">
        <v>6</v>
      </c>
      <c r="BQ79">
        <v>4543.2</v>
      </c>
      <c r="BR79">
        <v>7</v>
      </c>
      <c r="BS79">
        <v>5300.4</v>
      </c>
      <c r="BT79">
        <v>6.43801252053093</v>
      </c>
      <c r="BU79">
        <v>4874.8630805460198</v>
      </c>
      <c r="BV79">
        <v>5.1804853568585214</v>
      </c>
      <c r="BW79">
        <v>3922.663512213272</v>
      </c>
      <c r="BX79">
        <v>5.6181324827482797</v>
      </c>
      <c r="BY79">
        <v>4254.0499159369974</v>
      </c>
      <c r="BZ79">
        <v>1.7815557108758819</v>
      </c>
      <c r="CA79">
        <v>1348.9939842752176</v>
      </c>
      <c r="CB79">
        <v>5.8150226211974063</v>
      </c>
      <c r="CC79">
        <v>4403.1351287706757</v>
      </c>
      <c r="CD79">
        <v>9.5478545070704026</v>
      </c>
      <c r="CE79">
        <v>7229.6354327537083</v>
      </c>
      <c r="CF79">
        <v>4.1692123101417948</v>
      </c>
      <c r="CG79">
        <v>3156.9275612393667</v>
      </c>
      <c r="CH79">
        <v>6.0919068909777376</v>
      </c>
      <c r="CI79">
        <v>4612.7918978483422</v>
      </c>
      <c r="CJ79">
        <v>1.1915504810153195</v>
      </c>
      <c r="CK79">
        <v>902.24202422479982</v>
      </c>
      <c r="CL79">
        <v>6.4602894090701923</v>
      </c>
      <c r="CM79">
        <v>4891.7311405479495</v>
      </c>
      <c r="CN79">
        <v>8.6249338715118302</v>
      </c>
      <c r="CO79">
        <v>6530.7999275087568</v>
      </c>
      <c r="CP79">
        <v>5.6051009029415972</v>
      </c>
      <c r="CQ79">
        <v>4244.1824037073775</v>
      </c>
      <c r="CR79">
        <v>2.3197761481925263</v>
      </c>
      <c r="CS79">
        <v>1756.5344994113807</v>
      </c>
      <c r="CT79">
        <v>7.9268780892940525</v>
      </c>
      <c r="CU79">
        <v>6002.2320892134558</v>
      </c>
    </row>
    <row r="80" spans="2:99">
      <c r="C80" s="99" t="s">
        <v>246</v>
      </c>
      <c r="D80">
        <v>5</v>
      </c>
      <c r="E80">
        <v>4025.9999999999995</v>
      </c>
      <c r="F80">
        <v>6</v>
      </c>
      <c r="G80">
        <v>4831.2</v>
      </c>
      <c r="H80">
        <v>5</v>
      </c>
      <c r="I80">
        <v>4025.9999999999995</v>
      </c>
      <c r="J80">
        <v>7.0197356674849507</v>
      </c>
      <c r="K80">
        <v>5652.2911594588822</v>
      </c>
      <c r="L80">
        <v>6.7017461933633955</v>
      </c>
      <c r="M80">
        <v>5396.2460348962059</v>
      </c>
      <c r="N80">
        <v>5</v>
      </c>
      <c r="O80">
        <v>4025.9999999999995</v>
      </c>
      <c r="P80">
        <v>7.3323585664450039</v>
      </c>
      <c r="Q80">
        <v>5904.0151177015168</v>
      </c>
      <c r="R80">
        <v>4.89002970449424</v>
      </c>
      <c r="S80">
        <v>3937.4519180587617</v>
      </c>
      <c r="T80">
        <v>1.9398585807447424</v>
      </c>
      <c r="U80">
        <v>1561.9741292156664</v>
      </c>
      <c r="V80">
        <v>9.4210301305614248</v>
      </c>
      <c r="W80">
        <v>7585.8134611280584</v>
      </c>
      <c r="X80">
        <v>3.0227271699637921</v>
      </c>
      <c r="Y80">
        <v>2433.8999172548451</v>
      </c>
      <c r="Z80">
        <v>8</v>
      </c>
      <c r="AA80">
        <v>6441.5999999999995</v>
      </c>
      <c r="AB80">
        <v>3.5560125209856239</v>
      </c>
      <c r="AC80">
        <v>2863.301281897624</v>
      </c>
      <c r="AD80">
        <v>5</v>
      </c>
      <c r="AE80">
        <v>4025.9999999999995</v>
      </c>
      <c r="AF80">
        <v>5</v>
      </c>
      <c r="AG80">
        <v>4025.9999999999995</v>
      </c>
      <c r="AH80">
        <v>5</v>
      </c>
      <c r="AI80">
        <v>4025.9999999999995</v>
      </c>
      <c r="AJ80">
        <v>8</v>
      </c>
      <c r="AK80">
        <v>6441.5999999999995</v>
      </c>
      <c r="AL80">
        <v>6</v>
      </c>
      <c r="AM80">
        <v>4831.2</v>
      </c>
      <c r="AN80">
        <v>4.4336904164421638</v>
      </c>
      <c r="AO80">
        <v>3570.0075233192301</v>
      </c>
      <c r="AP80">
        <v>7.3974188585073728</v>
      </c>
      <c r="AQ80">
        <v>5956.4016648701363</v>
      </c>
      <c r="AR80">
        <v>6.4979998134821395</v>
      </c>
      <c r="AS80">
        <v>5232.1894498158181</v>
      </c>
      <c r="AT80">
        <v>6.5769272225008866</v>
      </c>
      <c r="AU80">
        <v>5295.7417995577134</v>
      </c>
      <c r="AV80">
        <v>6.2544872173149146</v>
      </c>
      <c r="AW80">
        <v>5036.1131073819688</v>
      </c>
      <c r="AX80">
        <v>1.1701995123984834</v>
      </c>
      <c r="AY80">
        <v>942.24464738325878</v>
      </c>
      <c r="AZ80">
        <v>6.5116257339772003</v>
      </c>
      <c r="BA80">
        <v>5243.1610409984414</v>
      </c>
      <c r="BB80">
        <v>4.2057451979174392</v>
      </c>
      <c r="BC80">
        <v>3386.4660333631218</v>
      </c>
      <c r="BD80">
        <v>5</v>
      </c>
      <c r="BE80">
        <v>4025.9999999999995</v>
      </c>
      <c r="BF80">
        <v>7.9148933588504597</v>
      </c>
      <c r="BG80">
        <v>6373.0721325463901</v>
      </c>
      <c r="BH80">
        <v>6.2781655037856705</v>
      </c>
      <c r="BI80">
        <v>5055.1788636482215</v>
      </c>
      <c r="BJ80">
        <v>1.0981048746290056</v>
      </c>
      <c r="BK80">
        <v>884.19404505127522</v>
      </c>
      <c r="BL80">
        <v>9</v>
      </c>
      <c r="BM80">
        <v>7246.7999999999993</v>
      </c>
      <c r="BN80">
        <v>7</v>
      </c>
      <c r="BO80">
        <v>5636.4</v>
      </c>
      <c r="BP80">
        <v>6</v>
      </c>
      <c r="BQ80">
        <v>4831.2</v>
      </c>
      <c r="BR80">
        <v>7</v>
      </c>
      <c r="BS80">
        <v>5636.4</v>
      </c>
      <c r="BT80">
        <v>7.2427640855972957</v>
      </c>
      <c r="BU80">
        <v>5831.873641722942</v>
      </c>
      <c r="BV80">
        <v>5.1804853568585214</v>
      </c>
      <c r="BW80">
        <v>4171.3268093424813</v>
      </c>
      <c r="BX80">
        <v>5.6181324827482797</v>
      </c>
      <c r="BY80">
        <v>4523.7202751089144</v>
      </c>
      <c r="BZ80">
        <v>2.0348919449578142</v>
      </c>
      <c r="CA80">
        <v>1638.4949940800318</v>
      </c>
      <c r="CB80">
        <v>6.5413795627428355</v>
      </c>
      <c r="CC80">
        <v>5267.1188239205303</v>
      </c>
      <c r="CD80">
        <v>9.5478545070704026</v>
      </c>
      <c r="CE80">
        <v>7687.9324490930876</v>
      </c>
      <c r="CF80">
        <v>4.1692123101417948</v>
      </c>
      <c r="CG80">
        <v>3357.0497521261727</v>
      </c>
      <c r="CH80">
        <v>6.0919068909777376</v>
      </c>
      <c r="CI80">
        <v>4905.2034286152739</v>
      </c>
      <c r="CJ80">
        <v>1.1915504810153195</v>
      </c>
      <c r="CK80">
        <v>959.43644731353515</v>
      </c>
      <c r="CL80">
        <v>5.4602894090701923</v>
      </c>
      <c r="CM80">
        <v>4396.6250321833186</v>
      </c>
      <c r="CN80">
        <v>9.5832598572353653</v>
      </c>
      <c r="CO80">
        <v>7716.4408370459159</v>
      </c>
      <c r="CP80">
        <v>6.4058296033618252</v>
      </c>
      <c r="CQ80">
        <v>5157.9739966269408</v>
      </c>
      <c r="CR80">
        <v>2.7505135297786505</v>
      </c>
      <c r="CS80">
        <v>2214.713494177769</v>
      </c>
      <c r="CT80">
        <v>7.9268780892940525</v>
      </c>
      <c r="CU80">
        <v>6382.7222374995708</v>
      </c>
    </row>
    <row r="81" spans="2:99">
      <c r="C81" s="99" t="s">
        <v>247</v>
      </c>
      <c r="D81">
        <v>6</v>
      </c>
      <c r="E81">
        <v>4521.6000000000004</v>
      </c>
      <c r="F81">
        <v>6</v>
      </c>
      <c r="G81">
        <v>4521.6000000000004</v>
      </c>
      <c r="H81">
        <v>5</v>
      </c>
      <c r="I81">
        <v>3768</v>
      </c>
      <c r="J81">
        <v>7.0197356674849507</v>
      </c>
      <c r="K81">
        <v>5290.0727990166588</v>
      </c>
      <c r="L81">
        <v>6.7017461933633955</v>
      </c>
      <c r="M81">
        <v>5050.4359313186551</v>
      </c>
      <c r="N81">
        <v>5</v>
      </c>
      <c r="O81">
        <v>3768</v>
      </c>
      <c r="P81">
        <v>7.3323585664450039</v>
      </c>
      <c r="Q81">
        <v>5525.6654156729555</v>
      </c>
      <c r="R81">
        <v>5.7050346552432805</v>
      </c>
      <c r="S81">
        <v>4299.3141161913363</v>
      </c>
      <c r="T81">
        <v>2.1740234994219669</v>
      </c>
      <c r="U81">
        <v>1638.3441091643942</v>
      </c>
      <c r="V81">
        <v>9.4210301305614248</v>
      </c>
      <c r="W81">
        <v>7099.68830639109</v>
      </c>
      <c r="X81">
        <v>2.5189393083031599</v>
      </c>
      <c r="Y81">
        <v>1898.2726627372613</v>
      </c>
      <c r="Z81">
        <v>8</v>
      </c>
      <c r="AA81">
        <v>6028.8</v>
      </c>
      <c r="AB81">
        <v>4.148681274483228</v>
      </c>
      <c r="AC81">
        <v>3126.4462084505608</v>
      </c>
      <c r="AD81">
        <v>5</v>
      </c>
      <c r="AE81">
        <v>3768</v>
      </c>
      <c r="AF81">
        <v>6</v>
      </c>
      <c r="AG81">
        <v>4521.6000000000004</v>
      </c>
      <c r="AH81">
        <v>6</v>
      </c>
      <c r="AI81">
        <v>4521.6000000000004</v>
      </c>
      <c r="AJ81">
        <v>8</v>
      </c>
      <c r="AK81">
        <v>6028.8</v>
      </c>
      <c r="AL81">
        <v>6</v>
      </c>
      <c r="AM81">
        <v>4521.6000000000004</v>
      </c>
      <c r="AN81">
        <v>5.1726388191825254</v>
      </c>
      <c r="AO81">
        <v>3898.1006141359512</v>
      </c>
      <c r="AP81">
        <v>7.3974188585073728</v>
      </c>
      <c r="AQ81">
        <v>5574.6948517711562</v>
      </c>
      <c r="AR81">
        <v>6.4979998134821395</v>
      </c>
      <c r="AS81">
        <v>4896.8926594401401</v>
      </c>
      <c r="AT81">
        <v>6.5769272225008866</v>
      </c>
      <c r="AU81">
        <v>4956.3723548766684</v>
      </c>
      <c r="AV81">
        <v>6.2544872173149146</v>
      </c>
      <c r="AW81">
        <v>4713.38156696852</v>
      </c>
      <c r="AX81">
        <v>1.1701995123984834</v>
      </c>
      <c r="AY81">
        <v>881.86235254349708</v>
      </c>
      <c r="AZ81">
        <v>7.4418579816882282</v>
      </c>
      <c r="BA81">
        <v>5608.1841750002486</v>
      </c>
      <c r="BB81">
        <v>4.2057451979174392</v>
      </c>
      <c r="BC81">
        <v>3169.4495811505822</v>
      </c>
      <c r="BD81">
        <v>5</v>
      </c>
      <c r="BE81">
        <v>3768</v>
      </c>
      <c r="BF81">
        <v>7.9148933588504597</v>
      </c>
      <c r="BG81">
        <v>5964.6636352297064</v>
      </c>
      <c r="BH81">
        <v>6.9757394486507449</v>
      </c>
      <c r="BI81">
        <v>5256.9172485032013</v>
      </c>
      <c r="BJ81">
        <v>1.2697368414461871</v>
      </c>
      <c r="BK81">
        <v>956.87368371384662</v>
      </c>
      <c r="BL81">
        <v>9</v>
      </c>
      <c r="BM81">
        <v>6782.4000000000005</v>
      </c>
      <c r="BN81">
        <v>6</v>
      </c>
      <c r="BO81">
        <v>4521.6000000000004</v>
      </c>
      <c r="BP81">
        <v>6</v>
      </c>
      <c r="BQ81">
        <v>4521.6000000000004</v>
      </c>
      <c r="BR81">
        <v>8</v>
      </c>
      <c r="BS81">
        <v>6028.8</v>
      </c>
      <c r="BT81">
        <v>7.2427640855972957</v>
      </c>
      <c r="BU81">
        <v>5458.1470149061224</v>
      </c>
      <c r="BV81">
        <v>5.9205546935525959</v>
      </c>
      <c r="BW81">
        <v>4461.7300170612361</v>
      </c>
      <c r="BX81">
        <v>5.6181324827482797</v>
      </c>
      <c r="BY81">
        <v>4233.8246389991036</v>
      </c>
      <c r="BZ81">
        <v>2.2718240344350336</v>
      </c>
      <c r="CA81">
        <v>1712.0465923502413</v>
      </c>
      <c r="CB81">
        <v>6.5413795627428355</v>
      </c>
      <c r="CC81">
        <v>4929.5836384830009</v>
      </c>
      <c r="CD81">
        <v>8.5478545070704026</v>
      </c>
      <c r="CE81">
        <v>6441.663156528256</v>
      </c>
      <c r="CF81">
        <v>3.7059664979038178</v>
      </c>
      <c r="CG81">
        <v>2792.8163528203172</v>
      </c>
      <c r="CH81">
        <v>6.0919068909777376</v>
      </c>
      <c r="CI81">
        <v>4590.8610330408228</v>
      </c>
      <c r="CJ81">
        <v>1.3602396488794934</v>
      </c>
      <c r="CK81">
        <v>1025.0765993955863</v>
      </c>
      <c r="CL81">
        <v>5.4602894090701923</v>
      </c>
      <c r="CM81">
        <v>4114.8740986752973</v>
      </c>
      <c r="CN81">
        <v>8.6249338715118302</v>
      </c>
      <c r="CO81">
        <v>6499.7501655713158</v>
      </c>
      <c r="CP81">
        <v>6.4058296033618252</v>
      </c>
      <c r="CQ81">
        <v>4827.4331890934718</v>
      </c>
      <c r="CR81">
        <v>2.7655896090539875</v>
      </c>
      <c r="CS81">
        <v>2084.1483293830852</v>
      </c>
      <c r="CT81">
        <v>7.9268780892940525</v>
      </c>
      <c r="CU81">
        <v>5973.6953280919979</v>
      </c>
    </row>
    <row r="82" spans="2:99">
      <c r="C82" s="99" t="s">
        <v>248</v>
      </c>
      <c r="D82">
        <v>6</v>
      </c>
      <c r="E82">
        <v>3052.7999999999993</v>
      </c>
      <c r="F82">
        <v>7</v>
      </c>
      <c r="G82">
        <v>3561.5999999999995</v>
      </c>
      <c r="H82">
        <v>6</v>
      </c>
      <c r="I82">
        <v>3052.7999999999993</v>
      </c>
      <c r="J82">
        <v>7.0197356674849507</v>
      </c>
      <c r="K82">
        <v>3571.6415076163421</v>
      </c>
      <c r="L82">
        <v>6.7017461933633955</v>
      </c>
      <c r="M82">
        <v>3409.8484631832948</v>
      </c>
      <c r="N82">
        <v>5</v>
      </c>
      <c r="O82">
        <v>2543.9999999999995</v>
      </c>
      <c r="P82">
        <v>7.3323585664450039</v>
      </c>
      <c r="Q82">
        <v>3730.7040386072172</v>
      </c>
      <c r="R82">
        <v>4.89002970449424</v>
      </c>
      <c r="S82">
        <v>2488.047113646669</v>
      </c>
      <c r="T82">
        <v>1.9465125038774369</v>
      </c>
      <c r="U82">
        <v>990.3855619728397</v>
      </c>
      <c r="V82">
        <v>9.4210301305614248</v>
      </c>
      <c r="W82">
        <v>4793.4201304296521</v>
      </c>
      <c r="X82">
        <v>3.0227271699637921</v>
      </c>
      <c r="Y82">
        <v>1537.963584077577</v>
      </c>
      <c r="Z82">
        <v>9</v>
      </c>
      <c r="AA82">
        <v>4579.1999999999989</v>
      </c>
      <c r="AB82">
        <v>3.5560125209856239</v>
      </c>
      <c r="AC82">
        <v>1809.2991706774851</v>
      </c>
      <c r="AD82">
        <v>5</v>
      </c>
      <c r="AE82">
        <v>2543.9999999999995</v>
      </c>
      <c r="AF82">
        <v>6</v>
      </c>
      <c r="AG82">
        <v>3052.7999999999993</v>
      </c>
      <c r="AH82">
        <v>6</v>
      </c>
      <c r="AI82">
        <v>3052.7999999999993</v>
      </c>
      <c r="AJ82">
        <v>8</v>
      </c>
      <c r="AK82">
        <v>4070.3999999999992</v>
      </c>
      <c r="AL82">
        <v>6</v>
      </c>
      <c r="AM82">
        <v>3052.7999999999993</v>
      </c>
      <c r="AN82">
        <v>5.1726388191825254</v>
      </c>
      <c r="AO82">
        <v>2631.8386312000684</v>
      </c>
      <c r="AP82">
        <v>7.3974188585073728</v>
      </c>
      <c r="AQ82">
        <v>3763.8067152085505</v>
      </c>
      <c r="AR82">
        <v>7.3102497901674068</v>
      </c>
      <c r="AS82">
        <v>3719.4550932371758</v>
      </c>
      <c r="AT82">
        <v>6.5769272225008866</v>
      </c>
      <c r="AU82">
        <v>3346.3405708084506</v>
      </c>
      <c r="AV82">
        <v>6.2544872173149146</v>
      </c>
      <c r="AW82">
        <v>3182.2830961698278</v>
      </c>
      <c r="AX82">
        <v>1.1701995123984834</v>
      </c>
      <c r="AY82">
        <v>595.39751190834829</v>
      </c>
      <c r="AZ82">
        <v>8.372090229399257</v>
      </c>
      <c r="BA82">
        <v>4259.7195087183409</v>
      </c>
      <c r="BB82">
        <v>4.2057451979174392</v>
      </c>
      <c r="BC82">
        <v>2139.8831567003926</v>
      </c>
      <c r="BD82">
        <v>5</v>
      </c>
      <c r="BE82">
        <v>2543.9999999999995</v>
      </c>
      <c r="BF82">
        <v>8.9042550287067677</v>
      </c>
      <c r="BG82">
        <v>4530.4849586060027</v>
      </c>
      <c r="BH82">
        <v>6.9757394486507449</v>
      </c>
      <c r="BI82">
        <v>3549.2562314734982</v>
      </c>
      <c r="BJ82">
        <v>1.2697368414461871</v>
      </c>
      <c r="BK82">
        <v>646.04210492781988</v>
      </c>
      <c r="BL82">
        <v>9</v>
      </c>
      <c r="BM82">
        <v>4579.1999999999989</v>
      </c>
      <c r="BN82">
        <v>7</v>
      </c>
      <c r="BO82">
        <v>3561.5999999999995</v>
      </c>
      <c r="BP82">
        <v>7</v>
      </c>
      <c r="BQ82">
        <v>3561.5999999999995</v>
      </c>
      <c r="BR82">
        <v>7</v>
      </c>
      <c r="BS82">
        <v>3561.5999999999995</v>
      </c>
      <c r="BT82">
        <v>6.43801252053093</v>
      </c>
      <c r="BU82">
        <v>3275.6607704461367</v>
      </c>
      <c r="BV82">
        <v>5.1804853568585214</v>
      </c>
      <c r="BW82">
        <v>2635.8309495696153</v>
      </c>
      <c r="BX82">
        <v>6.5544878965396585</v>
      </c>
      <c r="BY82">
        <v>3334.9234417593775</v>
      </c>
      <c r="BZ82">
        <v>2.0348919449578142</v>
      </c>
      <c r="CA82">
        <v>1035.3530215945357</v>
      </c>
      <c r="CB82">
        <v>5.8150226211974063</v>
      </c>
      <c r="CC82">
        <v>2958.6835096652399</v>
      </c>
      <c r="CD82">
        <v>8.5478545070704026</v>
      </c>
      <c r="CE82">
        <v>4349.1483731974204</v>
      </c>
      <c r="CF82">
        <v>4.6324581223797718</v>
      </c>
      <c r="CG82">
        <v>2356.9946926668276</v>
      </c>
      <c r="CH82">
        <v>6.2189779855384621</v>
      </c>
      <c r="CI82">
        <v>3164.2159990419691</v>
      </c>
      <c r="CJ82">
        <v>1.3612147676036845</v>
      </c>
      <c r="CK82">
        <v>692.58607375675456</v>
      </c>
      <c r="CL82">
        <v>5.4602894090701923</v>
      </c>
      <c r="CM82">
        <v>2778.1952513349133</v>
      </c>
      <c r="CN82">
        <v>9.5832598572353653</v>
      </c>
      <c r="CO82">
        <v>4875.9626153613526</v>
      </c>
      <c r="CP82">
        <v>6.4058296033618252</v>
      </c>
      <c r="CQ82">
        <v>3259.286102190496</v>
      </c>
      <c r="CR82">
        <v>2.7655896090539875</v>
      </c>
      <c r="CS82">
        <v>1407.1319930866687</v>
      </c>
      <c r="CT82">
        <v>7.9268780892940525</v>
      </c>
      <c r="CU82">
        <v>4033.1955718328131</v>
      </c>
    </row>
    <row r="83" spans="2:99">
      <c r="C83" s="99" t="s">
        <v>249</v>
      </c>
      <c r="D83">
        <v>5</v>
      </c>
      <c r="E83">
        <v>4302</v>
      </c>
      <c r="F83">
        <v>6</v>
      </c>
      <c r="G83">
        <v>5162.3999999999996</v>
      </c>
      <c r="H83">
        <v>6</v>
      </c>
      <c r="I83">
        <v>5162.3999999999996</v>
      </c>
      <c r="J83">
        <v>7.0197356674849507</v>
      </c>
      <c r="K83">
        <v>6039.7805683040515</v>
      </c>
      <c r="L83">
        <v>5.7443538800257681</v>
      </c>
      <c r="M83">
        <v>4942.4420783741707</v>
      </c>
      <c r="N83">
        <v>5</v>
      </c>
      <c r="O83">
        <v>4302</v>
      </c>
      <c r="P83">
        <v>7.3323585664450039</v>
      </c>
      <c r="Q83">
        <v>6308.7613105692808</v>
      </c>
      <c r="R83">
        <v>5.7050346552432805</v>
      </c>
      <c r="S83">
        <v>4908.6118173713185</v>
      </c>
      <c r="T83">
        <v>2.1806774225546612</v>
      </c>
      <c r="U83">
        <v>1876.2548543660305</v>
      </c>
      <c r="V83">
        <v>9.4210301305614248</v>
      </c>
      <c r="W83">
        <v>8105.8543243350496</v>
      </c>
      <c r="X83">
        <v>2.5189393083031599</v>
      </c>
      <c r="Y83">
        <v>2167.2953808640386</v>
      </c>
      <c r="Z83">
        <v>8</v>
      </c>
      <c r="AA83">
        <v>6883.2</v>
      </c>
      <c r="AB83">
        <v>3.5560125209856239</v>
      </c>
      <c r="AC83">
        <v>3059.5931730560305</v>
      </c>
      <c r="AD83">
        <v>5</v>
      </c>
      <c r="AE83">
        <v>4302</v>
      </c>
      <c r="AF83">
        <v>6</v>
      </c>
      <c r="AG83">
        <v>5162.3999999999996</v>
      </c>
      <c r="AH83">
        <v>6</v>
      </c>
      <c r="AI83">
        <v>5162.3999999999996</v>
      </c>
      <c r="AJ83">
        <v>8</v>
      </c>
      <c r="AK83">
        <v>6883.2</v>
      </c>
      <c r="AL83">
        <v>6</v>
      </c>
      <c r="AM83">
        <v>5162.3999999999996</v>
      </c>
      <c r="AN83">
        <v>5.9115872219228853</v>
      </c>
      <c r="AO83">
        <v>5086.3296457424503</v>
      </c>
      <c r="AP83">
        <v>6.5754834297843319</v>
      </c>
      <c r="AQ83">
        <v>5657.5459429864386</v>
      </c>
      <c r="AR83">
        <v>6.4979998134821395</v>
      </c>
      <c r="AS83">
        <v>5590.8790395200331</v>
      </c>
      <c r="AT83">
        <v>5.7548113196882751</v>
      </c>
      <c r="AU83">
        <v>4951.439659459792</v>
      </c>
      <c r="AV83">
        <v>6.2544872173149146</v>
      </c>
      <c r="AW83">
        <v>5381.3608017777524</v>
      </c>
      <c r="AX83">
        <v>1.1701995123984834</v>
      </c>
      <c r="AY83">
        <v>1006.8396604676551</v>
      </c>
      <c r="AZ83">
        <v>7.4418579816882282</v>
      </c>
      <c r="BA83">
        <v>6402.9746074445511</v>
      </c>
      <c r="BB83">
        <v>4.2057451979174392</v>
      </c>
      <c r="BC83">
        <v>3618.6231682881644</v>
      </c>
      <c r="BD83">
        <v>5</v>
      </c>
      <c r="BE83">
        <v>4302</v>
      </c>
      <c r="BF83">
        <v>7.9148933588504597</v>
      </c>
      <c r="BG83">
        <v>6809.9742459549352</v>
      </c>
      <c r="BH83">
        <v>6.9757394486507449</v>
      </c>
      <c r="BI83">
        <v>6001.9262216191009</v>
      </c>
      <c r="BJ83">
        <v>1.0981048746290056</v>
      </c>
      <c r="BK83">
        <v>944.80943413079638</v>
      </c>
      <c r="BL83">
        <v>8</v>
      </c>
      <c r="BM83">
        <v>6883.2</v>
      </c>
      <c r="BN83">
        <v>6</v>
      </c>
      <c r="BO83">
        <v>5162.3999999999996</v>
      </c>
      <c r="BP83">
        <v>6</v>
      </c>
      <c r="BQ83">
        <v>5162.3999999999996</v>
      </c>
      <c r="BR83">
        <v>8</v>
      </c>
      <c r="BS83">
        <v>6883.2</v>
      </c>
      <c r="BT83">
        <v>6.43801252053093</v>
      </c>
      <c r="BU83">
        <v>5539.2659726648117</v>
      </c>
      <c r="BV83">
        <v>5.1804853568585214</v>
      </c>
      <c r="BW83">
        <v>4457.2896010410714</v>
      </c>
      <c r="BX83">
        <v>5.6181324827482797</v>
      </c>
      <c r="BY83">
        <v>4833.8411881566199</v>
      </c>
      <c r="BZ83">
        <v>2.0348919449578142</v>
      </c>
      <c r="CA83">
        <v>1750.8210294417033</v>
      </c>
      <c r="CB83">
        <v>5.8150226211974063</v>
      </c>
      <c r="CC83">
        <v>5003.2454632782483</v>
      </c>
      <c r="CD83">
        <v>9.5478545070704026</v>
      </c>
      <c r="CE83">
        <v>8214.9740178833745</v>
      </c>
      <c r="CF83">
        <v>3.7059664979038178</v>
      </c>
      <c r="CG83">
        <v>3188.6135747964449</v>
      </c>
      <c r="CH83">
        <v>6.0919068909777376</v>
      </c>
      <c r="CI83">
        <v>5241.4766889972452</v>
      </c>
      <c r="CJ83">
        <v>1.1915504810153195</v>
      </c>
      <c r="CK83">
        <v>1025.2100338655807</v>
      </c>
      <c r="CL83">
        <v>5.368231527256154</v>
      </c>
      <c r="CM83">
        <v>4618.8264060511947</v>
      </c>
      <c r="CN83">
        <v>8.6249338715118302</v>
      </c>
      <c r="CO83">
        <v>7420.8931030487784</v>
      </c>
      <c r="CP83">
        <v>5.6051009029415972</v>
      </c>
      <c r="CQ83">
        <v>4822.6288168909505</v>
      </c>
      <c r="CR83">
        <v>2.7655896090539875</v>
      </c>
      <c r="CS83">
        <v>2379.5132996300508</v>
      </c>
      <c r="CT83">
        <v>7.9268780892940525</v>
      </c>
      <c r="CU83">
        <v>6820.2859080286025</v>
      </c>
    </row>
    <row r="84" spans="2:99">
      <c r="C84" s="99" t="s">
        <v>250</v>
      </c>
      <c r="D84">
        <v>6</v>
      </c>
      <c r="E84">
        <v>4687.2</v>
      </c>
      <c r="F84">
        <v>6</v>
      </c>
      <c r="G84">
        <v>4687.2</v>
      </c>
      <c r="H84">
        <v>6</v>
      </c>
      <c r="I84">
        <v>4687.2</v>
      </c>
      <c r="J84">
        <v>7.0197356674849507</v>
      </c>
      <c r="K84">
        <v>5483.8175034392434</v>
      </c>
      <c r="L84">
        <v>6.7017461933633955</v>
      </c>
      <c r="M84">
        <v>5235.4041262554838</v>
      </c>
      <c r="N84">
        <v>5</v>
      </c>
      <c r="O84">
        <v>3905.9999999999995</v>
      </c>
      <c r="P84">
        <v>7.3323585664450039</v>
      </c>
      <c r="Q84">
        <v>5728.0385121068366</v>
      </c>
      <c r="R84">
        <v>5.7050346552432805</v>
      </c>
      <c r="S84">
        <v>4456.7730726760501</v>
      </c>
      <c r="T84">
        <v>1.953166427010131</v>
      </c>
      <c r="U84">
        <v>1525.8136127803141</v>
      </c>
      <c r="V84">
        <v>8.4210301305614248</v>
      </c>
      <c r="W84">
        <v>6578.5087379945844</v>
      </c>
      <c r="X84">
        <v>2.5189393083031599</v>
      </c>
      <c r="Y84">
        <v>1967.7953876464283</v>
      </c>
      <c r="Z84">
        <v>8</v>
      </c>
      <c r="AA84">
        <v>6249.5999999999995</v>
      </c>
      <c r="AB84">
        <v>3.5560125209856239</v>
      </c>
      <c r="AC84">
        <v>2777.9569813939693</v>
      </c>
      <c r="AD84">
        <v>5</v>
      </c>
      <c r="AE84">
        <v>3905.9999999999995</v>
      </c>
      <c r="AF84">
        <v>6</v>
      </c>
      <c r="AG84">
        <v>4687.2</v>
      </c>
      <c r="AH84">
        <v>5</v>
      </c>
      <c r="AI84">
        <v>3905.9999999999995</v>
      </c>
      <c r="AJ84">
        <v>8</v>
      </c>
      <c r="AK84">
        <v>6249.5999999999995</v>
      </c>
      <c r="AL84">
        <v>6</v>
      </c>
      <c r="AM84">
        <v>4687.2</v>
      </c>
      <c r="AN84">
        <v>5.1726388191825254</v>
      </c>
      <c r="AO84">
        <v>4040.8654455453884</v>
      </c>
      <c r="AP84">
        <v>7.3974188585073728</v>
      </c>
      <c r="AQ84">
        <v>5778.8636122659591</v>
      </c>
      <c r="AR84">
        <v>5.6857498367968713</v>
      </c>
      <c r="AS84">
        <v>4441.7077725057152</v>
      </c>
      <c r="AT84">
        <v>5.7548113196882751</v>
      </c>
      <c r="AU84">
        <v>4495.6586029404798</v>
      </c>
      <c r="AV84">
        <v>6.2544872173149146</v>
      </c>
      <c r="AW84">
        <v>4886.0054141664104</v>
      </c>
      <c r="AX84">
        <v>1.1701995123984834</v>
      </c>
      <c r="AY84">
        <v>914.15985908569519</v>
      </c>
      <c r="AZ84">
        <v>7.4418579816882282</v>
      </c>
      <c r="BA84">
        <v>5813.5794552948437</v>
      </c>
      <c r="BB84">
        <v>4.2057451979174392</v>
      </c>
      <c r="BC84">
        <v>3285.528148613103</v>
      </c>
      <c r="BD84">
        <v>5</v>
      </c>
      <c r="BE84">
        <v>3905.9999999999995</v>
      </c>
      <c r="BF84">
        <v>7.9148933588504597</v>
      </c>
      <c r="BG84">
        <v>6183.114691933979</v>
      </c>
      <c r="BH84">
        <v>6.2781655037856705</v>
      </c>
      <c r="BI84">
        <v>4904.5028915573657</v>
      </c>
      <c r="BJ84">
        <v>1.0895657404132661</v>
      </c>
      <c r="BK84">
        <v>851.16875641084346</v>
      </c>
      <c r="BL84">
        <v>9</v>
      </c>
      <c r="BM84">
        <v>7030.7999999999993</v>
      </c>
      <c r="BN84">
        <v>7</v>
      </c>
      <c r="BO84">
        <v>5468.4</v>
      </c>
      <c r="BP84">
        <v>7</v>
      </c>
      <c r="BQ84">
        <v>5468.4</v>
      </c>
      <c r="BR84">
        <v>9</v>
      </c>
      <c r="BS84">
        <v>7030.7999999999993</v>
      </c>
      <c r="BT84">
        <v>7.2427640855972957</v>
      </c>
      <c r="BU84">
        <v>5658.0473036686071</v>
      </c>
      <c r="BV84">
        <v>5.1804853568585214</v>
      </c>
      <c r="BW84">
        <v>4046.9951607778767</v>
      </c>
      <c r="BX84">
        <v>5.6181324827482797</v>
      </c>
      <c r="BY84">
        <v>4388.8850955229555</v>
      </c>
      <c r="BZ84">
        <v>2.2800261067373899</v>
      </c>
      <c r="CA84">
        <v>1781.1563945832488</v>
      </c>
      <c r="CB84">
        <v>5.8664318803951172</v>
      </c>
      <c r="CC84">
        <v>4582.8565849646648</v>
      </c>
      <c r="CD84">
        <v>9.5478545070704026</v>
      </c>
      <c r="CE84">
        <v>7458.7839409233975</v>
      </c>
      <c r="CF84">
        <v>3.7059664979038178</v>
      </c>
      <c r="CG84">
        <v>2895.1010281624622</v>
      </c>
      <c r="CH84">
        <v>6.0919068909777376</v>
      </c>
      <c r="CI84">
        <v>4758.9976632318085</v>
      </c>
      <c r="CJ84">
        <v>1.1910629216532238</v>
      </c>
      <c r="CK84">
        <v>930.4583543954983</v>
      </c>
      <c r="CL84">
        <v>6.4602894090701923</v>
      </c>
      <c r="CM84">
        <v>5046.7780863656335</v>
      </c>
      <c r="CN84">
        <v>8.6249338715118302</v>
      </c>
      <c r="CO84">
        <v>6737.7983404250408</v>
      </c>
      <c r="CP84">
        <v>6.4058296033618252</v>
      </c>
      <c r="CQ84">
        <v>5004.2340861462571</v>
      </c>
      <c r="CR84">
        <v>2.7656090219950027</v>
      </c>
      <c r="CS84">
        <v>2160.4937679824961</v>
      </c>
      <c r="CT84">
        <v>7.7723984077450439</v>
      </c>
      <c r="CU84">
        <v>6071.7976361304281</v>
      </c>
    </row>
    <row r="85" spans="2:99">
      <c r="C85" s="99" t="s">
        <v>251</v>
      </c>
      <c r="D85">
        <v>6</v>
      </c>
      <c r="E85">
        <v>900</v>
      </c>
      <c r="F85">
        <v>7</v>
      </c>
      <c r="G85">
        <v>1050</v>
      </c>
      <c r="H85">
        <v>6</v>
      </c>
      <c r="I85">
        <v>900</v>
      </c>
      <c r="J85">
        <v>7.0197356674849507</v>
      </c>
      <c r="K85">
        <v>1052.9603501227425</v>
      </c>
      <c r="L85">
        <v>6.7017461933633955</v>
      </c>
      <c r="M85">
        <v>1005.2619290045093</v>
      </c>
      <c r="N85">
        <v>5</v>
      </c>
      <c r="O85">
        <v>750</v>
      </c>
      <c r="P85">
        <v>7.3323585664450039</v>
      </c>
      <c r="Q85">
        <v>1099.8537849667505</v>
      </c>
      <c r="R85">
        <v>4.89002970449424</v>
      </c>
      <c r="S85">
        <v>733.50445567413601</v>
      </c>
      <c r="T85">
        <v>2.1806774225546612</v>
      </c>
      <c r="U85">
        <v>327.10161338319921</v>
      </c>
      <c r="V85">
        <v>8.4210301305614248</v>
      </c>
      <c r="W85">
        <v>1263.1545195842136</v>
      </c>
      <c r="X85">
        <v>2.5189393083031599</v>
      </c>
      <c r="Y85">
        <v>377.84089624547397</v>
      </c>
      <c r="Z85">
        <v>8</v>
      </c>
      <c r="AA85">
        <v>1200</v>
      </c>
      <c r="AB85">
        <v>3.5560125209856239</v>
      </c>
      <c r="AC85">
        <v>533.4018781478436</v>
      </c>
      <c r="AD85">
        <v>6</v>
      </c>
      <c r="AE85">
        <v>900</v>
      </c>
      <c r="AF85">
        <v>7</v>
      </c>
      <c r="AG85">
        <v>1050</v>
      </c>
      <c r="AH85">
        <v>6</v>
      </c>
      <c r="AI85">
        <v>900</v>
      </c>
      <c r="AJ85">
        <v>7</v>
      </c>
      <c r="AK85">
        <v>1050</v>
      </c>
      <c r="AL85">
        <v>6</v>
      </c>
      <c r="AM85">
        <v>900</v>
      </c>
      <c r="AN85">
        <v>5.9115872219228853</v>
      </c>
      <c r="AO85">
        <v>886.73808328843279</v>
      </c>
      <c r="AP85">
        <v>7.3974188585073728</v>
      </c>
      <c r="AQ85">
        <v>1109.612828776106</v>
      </c>
      <c r="AR85">
        <v>6.4979998134821395</v>
      </c>
      <c r="AS85">
        <v>974.69997202232094</v>
      </c>
      <c r="AT85">
        <v>7.3990431253134972</v>
      </c>
      <c r="AU85">
        <v>1109.8564687970245</v>
      </c>
      <c r="AV85">
        <v>7.1479853912170448</v>
      </c>
      <c r="AW85">
        <v>1072.1978086825568</v>
      </c>
      <c r="AX85">
        <v>1.1701995123984834</v>
      </c>
      <c r="AY85">
        <v>175.5299268597725</v>
      </c>
      <c r="AZ85">
        <v>7.4418579816882282</v>
      </c>
      <c r="BA85">
        <v>1116.2786972532342</v>
      </c>
      <c r="BB85">
        <v>4.2057451979174392</v>
      </c>
      <c r="BC85">
        <v>630.86177968761592</v>
      </c>
      <c r="BD85">
        <v>5</v>
      </c>
      <c r="BE85">
        <v>750</v>
      </c>
      <c r="BF85">
        <v>7.9148933588504597</v>
      </c>
      <c r="BG85">
        <v>1187.234003827569</v>
      </c>
      <c r="BH85">
        <v>6.9757394486507449</v>
      </c>
      <c r="BI85">
        <v>1046.3609172976116</v>
      </c>
      <c r="BJ85">
        <v>1.4413688082633689</v>
      </c>
      <c r="BK85">
        <v>216.20532123950534</v>
      </c>
      <c r="BL85">
        <v>9</v>
      </c>
      <c r="BM85">
        <v>1350</v>
      </c>
      <c r="BN85">
        <v>7</v>
      </c>
      <c r="BO85">
        <v>1050</v>
      </c>
      <c r="BP85">
        <v>6</v>
      </c>
      <c r="BQ85">
        <v>900</v>
      </c>
      <c r="BR85">
        <v>9</v>
      </c>
      <c r="BS85">
        <v>1350</v>
      </c>
      <c r="BT85">
        <v>7.2427640855972957</v>
      </c>
      <c r="BU85">
        <v>1086.4146128395944</v>
      </c>
      <c r="BV85">
        <v>5.9205546935525959</v>
      </c>
      <c r="BW85">
        <v>888.0832040328894</v>
      </c>
      <c r="BX85">
        <v>5.6181324827482797</v>
      </c>
      <c r="BY85">
        <v>842.71987241224201</v>
      </c>
      <c r="BZ85">
        <v>2.2718240344350336</v>
      </c>
      <c r="CA85">
        <v>340.77360516525505</v>
      </c>
      <c r="CB85">
        <v>6.4899703035451246</v>
      </c>
      <c r="CC85">
        <v>973.4955455317687</v>
      </c>
      <c r="CD85">
        <v>9.5478545070704026</v>
      </c>
      <c r="CE85">
        <v>1432.1781760605604</v>
      </c>
      <c r="CF85">
        <v>4.1692123101417948</v>
      </c>
      <c r="CG85">
        <v>625.38184652126927</v>
      </c>
      <c r="CH85">
        <v>6.0919068909777376</v>
      </c>
      <c r="CI85">
        <v>913.7860336466606</v>
      </c>
      <c r="CJ85">
        <v>1.3607272082415889</v>
      </c>
      <c r="CK85">
        <v>204.10908123623832</v>
      </c>
      <c r="CL85">
        <v>5.4602894090701923</v>
      </c>
      <c r="CM85">
        <v>819.04341136052881</v>
      </c>
      <c r="CN85">
        <v>8.6249338715118302</v>
      </c>
      <c r="CO85">
        <v>1293.7400807267745</v>
      </c>
      <c r="CP85">
        <v>7.2065583037820531</v>
      </c>
      <c r="CQ85">
        <v>1080.983745567308</v>
      </c>
      <c r="CR85">
        <v>2.7656090219950027</v>
      </c>
      <c r="CS85">
        <v>414.84135329925039</v>
      </c>
      <c r="CT85">
        <v>8.0813577708430611</v>
      </c>
      <c r="CU85">
        <v>1212.2036656264593</v>
      </c>
    </row>
    <row r="86" spans="2:99">
      <c r="C86" s="99" t="s">
        <v>252</v>
      </c>
      <c r="D86">
        <v>5</v>
      </c>
      <c r="E86">
        <v>2700</v>
      </c>
      <c r="F86">
        <v>6</v>
      </c>
      <c r="G86">
        <v>3240</v>
      </c>
      <c r="H86">
        <v>6</v>
      </c>
      <c r="I86">
        <v>3240</v>
      </c>
      <c r="J86">
        <v>6.1422687090493318</v>
      </c>
      <c r="K86">
        <v>3316.8251028866393</v>
      </c>
      <c r="L86">
        <v>6.7017461933633955</v>
      </c>
      <c r="M86">
        <v>3618.9429444162338</v>
      </c>
      <c r="N86">
        <v>5</v>
      </c>
      <c r="O86">
        <v>2700</v>
      </c>
      <c r="P86">
        <v>7.3323585664450039</v>
      </c>
      <c r="Q86">
        <v>3959.4736258803023</v>
      </c>
      <c r="R86">
        <v>4.89002970449424</v>
      </c>
      <c r="S86">
        <v>2640.6160404268894</v>
      </c>
      <c r="T86">
        <v>2.1740234994219669</v>
      </c>
      <c r="U86">
        <v>1173.9726896878622</v>
      </c>
      <c r="V86">
        <v>8.5052361566737105</v>
      </c>
      <c r="W86">
        <v>4592.8275246038038</v>
      </c>
      <c r="X86">
        <v>2.5189393083031599</v>
      </c>
      <c r="Y86">
        <v>1360.2272264837063</v>
      </c>
      <c r="Z86">
        <v>8</v>
      </c>
      <c r="AA86">
        <v>4320</v>
      </c>
      <c r="AB86">
        <v>4.148681274483228</v>
      </c>
      <c r="AC86">
        <v>2240.2878882209429</v>
      </c>
      <c r="AD86">
        <v>5</v>
      </c>
      <c r="AE86">
        <v>2700</v>
      </c>
      <c r="AF86">
        <v>6</v>
      </c>
      <c r="AG86">
        <v>3240</v>
      </c>
      <c r="AH86">
        <v>6</v>
      </c>
      <c r="AI86">
        <v>3240</v>
      </c>
      <c r="AJ86">
        <v>8</v>
      </c>
      <c r="AK86">
        <v>4320</v>
      </c>
      <c r="AL86">
        <v>6</v>
      </c>
      <c r="AM86">
        <v>3240</v>
      </c>
      <c r="AN86">
        <v>5.1726388191825254</v>
      </c>
      <c r="AO86">
        <v>2793.2249623585635</v>
      </c>
      <c r="AP86">
        <v>7.3974188585073728</v>
      </c>
      <c r="AQ86">
        <v>3994.6061835939813</v>
      </c>
      <c r="AR86">
        <v>6.4979998134821395</v>
      </c>
      <c r="AS86">
        <v>3508.9198992803554</v>
      </c>
      <c r="AT86">
        <v>6.5769272225008866</v>
      </c>
      <c r="AU86">
        <v>3551.5407001504786</v>
      </c>
      <c r="AV86">
        <v>6.2544872173149146</v>
      </c>
      <c r="AW86">
        <v>3377.4230973500539</v>
      </c>
      <c r="AX86">
        <v>1.1701995123984834</v>
      </c>
      <c r="AY86">
        <v>631.90773669518103</v>
      </c>
      <c r="AZ86">
        <v>7.4418579816882282</v>
      </c>
      <c r="BA86">
        <v>4018.6033101116432</v>
      </c>
      <c r="BB86">
        <v>4.2057451979174392</v>
      </c>
      <c r="BC86">
        <v>2271.1024068754173</v>
      </c>
      <c r="BD86">
        <v>5</v>
      </c>
      <c r="BE86">
        <v>2700</v>
      </c>
      <c r="BF86">
        <v>7.9148933588504597</v>
      </c>
      <c r="BG86">
        <v>4274.0424137792479</v>
      </c>
      <c r="BH86">
        <v>6.2781655037856705</v>
      </c>
      <c r="BI86">
        <v>3390.2093720442622</v>
      </c>
      <c r="BJ86">
        <v>1.2697368414461871</v>
      </c>
      <c r="BK86">
        <v>685.65789438094112</v>
      </c>
      <c r="BL86">
        <v>8</v>
      </c>
      <c r="BM86">
        <v>4320</v>
      </c>
      <c r="BN86">
        <v>7</v>
      </c>
      <c r="BO86">
        <v>3780</v>
      </c>
      <c r="BP86">
        <v>6</v>
      </c>
      <c r="BQ86">
        <v>3240</v>
      </c>
      <c r="BR86">
        <v>7</v>
      </c>
      <c r="BS86">
        <v>3780</v>
      </c>
      <c r="BT86">
        <v>7.2427640855972957</v>
      </c>
      <c r="BU86">
        <v>3911.0926062225399</v>
      </c>
      <c r="BV86">
        <v>5.1804853568585214</v>
      </c>
      <c r="BW86">
        <v>2797.4620927036017</v>
      </c>
      <c r="BX86">
        <v>5.6181324827482797</v>
      </c>
      <c r="BY86">
        <v>3033.7915406840712</v>
      </c>
      <c r="BZ86">
        <v>2.2800261067373899</v>
      </c>
      <c r="CA86">
        <v>1231.2140976381907</v>
      </c>
      <c r="CB86">
        <v>6.4899703035451246</v>
      </c>
      <c r="CC86">
        <v>3504.5839639143674</v>
      </c>
      <c r="CD86">
        <v>8.6574254084844835</v>
      </c>
      <c r="CE86">
        <v>4675.009720581621</v>
      </c>
      <c r="CF86">
        <v>4.1692123101417948</v>
      </c>
      <c r="CG86">
        <v>2251.3746474765694</v>
      </c>
      <c r="CH86">
        <v>6.2189779855384621</v>
      </c>
      <c r="CI86">
        <v>3358.2481121907695</v>
      </c>
      <c r="CJ86">
        <v>1.1920380403774151</v>
      </c>
      <c r="CK86">
        <v>643.70054180380419</v>
      </c>
      <c r="CL86">
        <v>5.4602894090701923</v>
      </c>
      <c r="CM86">
        <v>2948.5562808979039</v>
      </c>
      <c r="CN86">
        <v>8.6249338715118302</v>
      </c>
      <c r="CO86">
        <v>4657.4642906163881</v>
      </c>
      <c r="CP86">
        <v>5.6051009029415972</v>
      </c>
      <c r="CQ86">
        <v>3026.7544875884623</v>
      </c>
      <c r="CR86">
        <v>2.7656090219950027</v>
      </c>
      <c r="CS86">
        <v>1493.4288718773014</v>
      </c>
      <c r="CT86">
        <v>7.7723984077450439</v>
      </c>
      <c r="CU86">
        <v>4197.095140182324</v>
      </c>
    </row>
    <row r="87" spans="2:99">
      <c r="B87" s="99" t="s">
        <v>131</v>
      </c>
      <c r="C87" s="99" t="s">
        <v>253</v>
      </c>
      <c r="D87">
        <v>5.2320237495702804</v>
      </c>
      <c r="E87">
        <v>5619.1935070384807</v>
      </c>
      <c r="F87">
        <v>5.8372192749591463</v>
      </c>
      <c r="G87">
        <v>6269.1735013061234</v>
      </c>
      <c r="H87">
        <v>3.3350254261545129</v>
      </c>
      <c r="I87">
        <v>3581.817307689947</v>
      </c>
      <c r="J87">
        <v>4.4425169283542516</v>
      </c>
      <c r="K87">
        <v>4771.2631810524663</v>
      </c>
      <c r="L87">
        <v>6.5529786314972247</v>
      </c>
      <c r="M87">
        <v>7037.8990502280194</v>
      </c>
      <c r="N87">
        <v>6.6120187378817645</v>
      </c>
      <c r="O87">
        <v>7101.3081244850155</v>
      </c>
      <c r="P87">
        <v>5.044567314385203</v>
      </c>
      <c r="Q87">
        <v>5417.8652956497081</v>
      </c>
      <c r="R87">
        <v>4.9598098162698685</v>
      </c>
      <c r="S87">
        <v>5326.8357426738385</v>
      </c>
      <c r="T87">
        <v>5.290087787558436</v>
      </c>
      <c r="U87">
        <v>5681.5542838377605</v>
      </c>
      <c r="V87">
        <v>4.6536879823790089</v>
      </c>
      <c r="W87">
        <v>4998.0608930750559</v>
      </c>
      <c r="X87">
        <v>1.6725731055463076</v>
      </c>
      <c r="Y87">
        <v>1796.3435153567343</v>
      </c>
      <c r="Z87">
        <v>8.5466796169457027</v>
      </c>
      <c r="AA87">
        <v>9179.1339085996842</v>
      </c>
      <c r="AB87">
        <v>1.314385131014004</v>
      </c>
      <c r="AC87">
        <v>1411.6496307090404</v>
      </c>
      <c r="AD87">
        <v>7.5505670142316248</v>
      </c>
      <c r="AE87">
        <v>8109.3089732847648</v>
      </c>
      <c r="AF87">
        <v>1.8391311569382847</v>
      </c>
      <c r="AG87">
        <v>1975.2268625517177</v>
      </c>
      <c r="AH87">
        <v>5.6368132147827614</v>
      </c>
      <c r="AI87">
        <v>6053.9373926766857</v>
      </c>
      <c r="AJ87">
        <v>4.8782408520659546</v>
      </c>
      <c r="AK87">
        <v>5239.2306751188353</v>
      </c>
      <c r="AL87">
        <v>3.2637137013682915</v>
      </c>
      <c r="AM87">
        <v>3505.2285152695449</v>
      </c>
      <c r="AN87">
        <v>1.1531510511293068</v>
      </c>
      <c r="AO87">
        <v>1238.4842289128756</v>
      </c>
      <c r="AP87">
        <v>5.3728185495720737</v>
      </c>
      <c r="AQ87">
        <v>5770.4071222404073</v>
      </c>
      <c r="AR87">
        <v>4</v>
      </c>
      <c r="AS87">
        <v>4296</v>
      </c>
      <c r="AT87">
        <v>7.4517428733755953</v>
      </c>
      <c r="AU87">
        <v>8003.1718460053889</v>
      </c>
      <c r="AV87">
        <v>1.5322609836770458</v>
      </c>
      <c r="AW87">
        <v>1645.6482964691472</v>
      </c>
      <c r="AX87">
        <v>4.5277759939220541</v>
      </c>
      <c r="AY87">
        <v>4862.8314174722864</v>
      </c>
      <c r="AZ87">
        <v>6.9830537571779487</v>
      </c>
      <c r="BA87">
        <v>7499.799735209117</v>
      </c>
      <c r="BB87">
        <v>1.8273493121354341</v>
      </c>
      <c r="BC87">
        <v>1962.5731612334562</v>
      </c>
      <c r="BD87">
        <v>8.0643961972700247</v>
      </c>
      <c r="BE87">
        <v>8661.161515868007</v>
      </c>
      <c r="BF87">
        <v>5.1506674080556198</v>
      </c>
      <c r="BG87">
        <v>5531.8167962517355</v>
      </c>
      <c r="BH87">
        <v>6.4713687916663014</v>
      </c>
      <c r="BI87">
        <v>6950.2500822496077</v>
      </c>
      <c r="BJ87">
        <v>1.4797196662427408</v>
      </c>
      <c r="BK87">
        <v>1589.2189215447036</v>
      </c>
      <c r="BL87">
        <v>7.3846609493978432</v>
      </c>
      <c r="BM87">
        <v>7931.1258596532834</v>
      </c>
      <c r="BN87">
        <v>2.356025688290071</v>
      </c>
      <c r="BO87">
        <v>2530.3715892235364</v>
      </c>
      <c r="BP87">
        <v>6.8703995978708505</v>
      </c>
      <c r="BQ87">
        <v>7378.8091681132937</v>
      </c>
      <c r="BR87">
        <v>5</v>
      </c>
      <c r="BS87">
        <v>5370</v>
      </c>
      <c r="BT87">
        <v>6.4921021798971648</v>
      </c>
      <c r="BU87">
        <v>6972.5177412095545</v>
      </c>
      <c r="BV87">
        <v>1.3697466086962944</v>
      </c>
      <c r="BW87">
        <v>1471.1078577398202</v>
      </c>
      <c r="BX87">
        <v>4.8488068265186861</v>
      </c>
      <c r="BY87">
        <v>5207.6185316810688</v>
      </c>
      <c r="BZ87">
        <v>7.6326900279403</v>
      </c>
      <c r="CA87">
        <v>8197.5090900078831</v>
      </c>
      <c r="CB87">
        <v>7.252665943468509</v>
      </c>
      <c r="CC87">
        <v>7789.3632232851787</v>
      </c>
      <c r="CD87">
        <v>1.5583183615078042</v>
      </c>
      <c r="CE87">
        <v>1673.6339202593817</v>
      </c>
      <c r="CF87">
        <v>1.0085435600944346</v>
      </c>
      <c r="CG87">
        <v>1083.1757835414228</v>
      </c>
      <c r="CH87">
        <v>5.288454791153204</v>
      </c>
      <c r="CI87">
        <v>5679.8004456985409</v>
      </c>
      <c r="CJ87">
        <v>8</v>
      </c>
      <c r="CK87">
        <v>8592</v>
      </c>
      <c r="CL87">
        <v>6.6240707289293956</v>
      </c>
      <c r="CM87">
        <v>7114.2519628701712</v>
      </c>
      <c r="CN87">
        <v>4.5537194596526298</v>
      </c>
      <c r="CO87">
        <v>4890.6946996669249</v>
      </c>
      <c r="CP87">
        <v>4.0872993519933187</v>
      </c>
      <c r="CQ87">
        <v>4389.7595040408241</v>
      </c>
      <c r="CR87">
        <v>4.3122243000055622</v>
      </c>
      <c r="CS87">
        <v>4631.3288982059739</v>
      </c>
      <c r="CT87">
        <v>3.5753534722870732</v>
      </c>
      <c r="CU87">
        <v>3839.9296292363165</v>
      </c>
    </row>
    <row r="88" spans="2:99">
      <c r="C88" s="99" t="s">
        <v>254</v>
      </c>
      <c r="D88">
        <v>4.3040630488162499</v>
      </c>
      <c r="E88">
        <v>4271.3521696452462</v>
      </c>
      <c r="F88">
        <v>5.8372192749591463</v>
      </c>
      <c r="G88">
        <v>5792.8564084694563</v>
      </c>
      <c r="H88">
        <v>3.3350254261545129</v>
      </c>
      <c r="I88">
        <v>3309.6792329157383</v>
      </c>
      <c r="J88">
        <v>3.7985222390173736</v>
      </c>
      <c r="K88">
        <v>3769.6534700008415</v>
      </c>
      <c r="L88">
        <v>5.9166576618155782</v>
      </c>
      <c r="M88">
        <v>5871.6910635857794</v>
      </c>
      <c r="N88">
        <v>6.4853400997997177</v>
      </c>
      <c r="O88">
        <v>6436.0515150412393</v>
      </c>
      <c r="P88">
        <v>5.9087665705669039</v>
      </c>
      <c r="Q88">
        <v>5863.8599446305952</v>
      </c>
      <c r="R88">
        <v>4.8377849937268564</v>
      </c>
      <c r="S88">
        <v>4801.0178277745326</v>
      </c>
      <c r="T88">
        <v>4.7996683597022489</v>
      </c>
      <c r="U88">
        <v>4763.1908801685113</v>
      </c>
      <c r="V88">
        <v>4.6536879823790089</v>
      </c>
      <c r="W88">
        <v>4618.3199537129285</v>
      </c>
      <c r="X88">
        <v>1.6725731055463076</v>
      </c>
      <c r="Y88">
        <v>1659.8615499441555</v>
      </c>
      <c r="Z88">
        <v>7.5466796169457018</v>
      </c>
      <c r="AA88">
        <v>7489.3248518569144</v>
      </c>
      <c r="AB88">
        <v>1.7818423641260834</v>
      </c>
      <c r="AC88">
        <v>1768.3003621587252</v>
      </c>
      <c r="AD88">
        <v>8.5505670142316248</v>
      </c>
      <c r="AE88">
        <v>8485.5827049234649</v>
      </c>
      <c r="AF88">
        <v>1.5354375606418746</v>
      </c>
      <c r="AG88">
        <v>1523.7682351809963</v>
      </c>
      <c r="AH88">
        <v>5.6368132147827614</v>
      </c>
      <c r="AI88">
        <v>5593.9734343504124</v>
      </c>
      <c r="AJ88">
        <v>4.8782408520659546</v>
      </c>
      <c r="AK88">
        <v>4841.1662215902534</v>
      </c>
      <c r="AL88">
        <v>3.2637137013682915</v>
      </c>
      <c r="AM88">
        <v>3238.9094772378926</v>
      </c>
      <c r="AN88">
        <v>1.1481296329062687</v>
      </c>
      <c r="AO88">
        <v>1139.4038476961809</v>
      </c>
      <c r="AP88">
        <v>5.3728185495720737</v>
      </c>
      <c r="AQ88">
        <v>5331.9851285953255</v>
      </c>
      <c r="AR88">
        <v>5</v>
      </c>
      <c r="AS88">
        <v>4962</v>
      </c>
      <c r="AT88">
        <v>8.4441965671653119</v>
      </c>
      <c r="AU88">
        <v>8380.0206732548559</v>
      </c>
      <c r="AV88">
        <v>1.5224188714083249</v>
      </c>
      <c r="AW88">
        <v>1510.8484879856217</v>
      </c>
      <c r="AX88">
        <v>4.0549537814839853</v>
      </c>
      <c r="AY88">
        <v>4024.1361327447071</v>
      </c>
      <c r="AZ88">
        <v>6.9830537571779487</v>
      </c>
      <c r="BA88">
        <v>6929.9825486233958</v>
      </c>
      <c r="BB88">
        <v>1.8300388512934582</v>
      </c>
      <c r="BC88">
        <v>1816.1305560236278</v>
      </c>
      <c r="BD88">
        <v>8.0643961972700247</v>
      </c>
      <c r="BE88">
        <v>8003.1067861707725</v>
      </c>
      <c r="BF88">
        <v>5.9036986757314294</v>
      </c>
      <c r="BG88">
        <v>5858.8305657958708</v>
      </c>
      <c r="BH88">
        <v>6.4713687916663014</v>
      </c>
      <c r="BI88">
        <v>6422.1863888496373</v>
      </c>
      <c r="BJ88">
        <v>1.2968010344945917</v>
      </c>
      <c r="BK88">
        <v>1286.9453466324328</v>
      </c>
      <c r="BL88">
        <v>7.3846609493978432</v>
      </c>
      <c r="BM88">
        <v>7328.5375261824192</v>
      </c>
      <c r="BN88">
        <v>2.356025688290071</v>
      </c>
      <c r="BO88">
        <v>2338.1198930590663</v>
      </c>
      <c r="BP88">
        <v>6.8703995978708505</v>
      </c>
      <c r="BQ88">
        <v>6818.1845609270322</v>
      </c>
      <c r="BR88">
        <v>5</v>
      </c>
      <c r="BS88">
        <v>4962</v>
      </c>
      <c r="BT88">
        <v>6.4760285191650304</v>
      </c>
      <c r="BU88">
        <v>6426.810702419376</v>
      </c>
      <c r="BV88">
        <v>1.3671890876878654</v>
      </c>
      <c r="BW88">
        <v>1356.7984506214375</v>
      </c>
      <c r="BX88">
        <v>4.8976724513626939</v>
      </c>
      <c r="BY88">
        <v>4860.4501407323369</v>
      </c>
      <c r="BZ88">
        <v>6.6326900279403</v>
      </c>
      <c r="CA88">
        <v>6582.2815837279541</v>
      </c>
      <c r="CB88">
        <v>7.3046508338777674</v>
      </c>
      <c r="CC88">
        <v>7249.1354875402958</v>
      </c>
      <c r="CD88">
        <v>1.3005682974830581</v>
      </c>
      <c r="CE88">
        <v>1290.6839784221868</v>
      </c>
      <c r="CF88">
        <v>1.0085435600944346</v>
      </c>
      <c r="CG88">
        <v>1000.8786290377169</v>
      </c>
      <c r="CH88">
        <v>4.288454791153204</v>
      </c>
      <c r="CI88">
        <v>4255.8625347404395</v>
      </c>
      <c r="CJ88">
        <v>9</v>
      </c>
      <c r="CK88">
        <v>8931.6</v>
      </c>
      <c r="CL88">
        <v>7.4356584002210395</v>
      </c>
      <c r="CM88">
        <v>7379.1473963793596</v>
      </c>
      <c r="CN88">
        <v>4.6808122624640944</v>
      </c>
      <c r="CO88">
        <v>4645.2380892693673</v>
      </c>
      <c r="CP88">
        <v>4.8625140587349982</v>
      </c>
      <c r="CQ88">
        <v>4825.5589518886118</v>
      </c>
      <c r="CR88">
        <v>4.4479289752055706</v>
      </c>
      <c r="CS88">
        <v>4414.1247149940082</v>
      </c>
      <c r="CT88">
        <v>3.5753534722870732</v>
      </c>
      <c r="CU88">
        <v>3548.1807858976913</v>
      </c>
    </row>
    <row r="89" spans="2:99">
      <c r="C89" s="99" t="s">
        <v>255</v>
      </c>
      <c r="D89">
        <v>5.2320237495702804</v>
      </c>
      <c r="E89">
        <v>5556.4092220436378</v>
      </c>
      <c r="F89">
        <v>5.8372192749591463</v>
      </c>
      <c r="G89">
        <v>6199.126870006613</v>
      </c>
      <c r="H89">
        <v>3.3350254261545129</v>
      </c>
      <c r="I89">
        <v>3541.7970025760928</v>
      </c>
      <c r="J89">
        <v>4.4425169283542516</v>
      </c>
      <c r="K89">
        <v>4717.9529779122149</v>
      </c>
      <c r="L89">
        <v>6.6785552760705942</v>
      </c>
      <c r="M89">
        <v>7092.6257031869709</v>
      </c>
      <c r="N89">
        <v>6.4836507323882469</v>
      </c>
      <c r="O89">
        <v>6885.6370777963184</v>
      </c>
      <c r="P89">
        <v>5.0419821341257078</v>
      </c>
      <c r="Q89">
        <v>5354.5850264415021</v>
      </c>
      <c r="R89">
        <v>5.5574095323422243</v>
      </c>
      <c r="S89">
        <v>5901.9689233474419</v>
      </c>
      <c r="T89">
        <v>4.7996683597022489</v>
      </c>
      <c r="U89">
        <v>5097.2477980037884</v>
      </c>
      <c r="V89">
        <v>4.0154398618660831</v>
      </c>
      <c r="W89">
        <v>4264.3971333017807</v>
      </c>
      <c r="X89">
        <v>1.6757136402838746</v>
      </c>
      <c r="Y89">
        <v>1779.6078859814747</v>
      </c>
      <c r="Z89">
        <v>8.5466796169457027</v>
      </c>
      <c r="AA89">
        <v>9076.5737531963368</v>
      </c>
      <c r="AB89">
        <v>1.314385131014004</v>
      </c>
      <c r="AC89">
        <v>1395.8770091368722</v>
      </c>
      <c r="AD89">
        <v>8.688208767789531</v>
      </c>
      <c r="AE89">
        <v>9226.8777113924825</v>
      </c>
      <c r="AF89">
        <v>1.5655442234927215</v>
      </c>
      <c r="AG89">
        <v>1662.6079653492702</v>
      </c>
      <c r="AH89">
        <v>5.5094505718262088</v>
      </c>
      <c r="AI89">
        <v>5851.0365072794339</v>
      </c>
      <c r="AJ89">
        <v>3.9025926816527639</v>
      </c>
      <c r="AK89">
        <v>4144.5534279152353</v>
      </c>
      <c r="AL89">
        <v>3.2637137013682915</v>
      </c>
      <c r="AM89">
        <v>3466.0639508531258</v>
      </c>
      <c r="AN89">
        <v>1.1531510511293068</v>
      </c>
      <c r="AO89">
        <v>1224.6464162993238</v>
      </c>
      <c r="AP89">
        <v>5.3728185495720737</v>
      </c>
      <c r="AQ89">
        <v>5705.9332996455423</v>
      </c>
      <c r="AR89">
        <v>4</v>
      </c>
      <c r="AS89">
        <v>4248</v>
      </c>
      <c r="AT89">
        <v>7.4517428733755953</v>
      </c>
      <c r="AU89">
        <v>7913.7509315248826</v>
      </c>
      <c r="AV89">
        <v>1.5224188714083249</v>
      </c>
      <c r="AW89">
        <v>1616.8088414356409</v>
      </c>
      <c r="AX89">
        <v>4.5255194584056211</v>
      </c>
      <c r="AY89">
        <v>4806.1016648267696</v>
      </c>
      <c r="AZ89">
        <v>6.8530388722824034</v>
      </c>
      <c r="BA89">
        <v>7277.9272823639121</v>
      </c>
      <c r="BB89">
        <v>2.055095591362857</v>
      </c>
      <c r="BC89">
        <v>2182.5115180273542</v>
      </c>
      <c r="BD89">
        <v>9.0929189589221124</v>
      </c>
      <c r="BE89">
        <v>9656.6799343752828</v>
      </c>
      <c r="BF89">
        <v>5.1555123716371991</v>
      </c>
      <c r="BG89">
        <v>5475.1541386787057</v>
      </c>
      <c r="BH89">
        <v>7.189148361022295</v>
      </c>
      <c r="BI89">
        <v>7634.8755594056774</v>
      </c>
      <c r="BJ89">
        <v>1.2991396933885271</v>
      </c>
      <c r="BK89">
        <v>1379.6863543786158</v>
      </c>
      <c r="BL89">
        <v>7.3846609493978432</v>
      </c>
      <c r="BM89">
        <v>7842.5099282605097</v>
      </c>
      <c r="BN89">
        <v>2.3379509744888645</v>
      </c>
      <c r="BO89">
        <v>2482.9039349071741</v>
      </c>
      <c r="BP89">
        <v>6.8703995978708505</v>
      </c>
      <c r="BQ89">
        <v>7296.3643729388432</v>
      </c>
      <c r="BR89">
        <v>4</v>
      </c>
      <c r="BS89">
        <v>4248</v>
      </c>
      <c r="BT89">
        <v>6.4921021798971648</v>
      </c>
      <c r="BU89">
        <v>6894.6125150507887</v>
      </c>
      <c r="BV89">
        <v>1.3671890876878654</v>
      </c>
      <c r="BW89">
        <v>1451.9548111245131</v>
      </c>
      <c r="BX89">
        <v>4.8994425795131953</v>
      </c>
      <c r="BY89">
        <v>5203.2080194430137</v>
      </c>
      <c r="BZ89">
        <v>6.4745175209552253</v>
      </c>
      <c r="CA89">
        <v>6875.9376072544492</v>
      </c>
      <c r="CB89">
        <v>6.5334556559874386</v>
      </c>
      <c r="CC89">
        <v>6938.5299066586595</v>
      </c>
      <c r="CD89">
        <v>1.3005682974830581</v>
      </c>
      <c r="CE89">
        <v>1381.2035319270078</v>
      </c>
      <c r="CF89">
        <v>1.0085435600944346</v>
      </c>
      <c r="CG89">
        <v>1071.0732608202895</v>
      </c>
      <c r="CH89">
        <v>4.288454791153204</v>
      </c>
      <c r="CI89">
        <v>4554.3389882047031</v>
      </c>
      <c r="CJ89">
        <v>8</v>
      </c>
      <c r="CK89">
        <v>8496</v>
      </c>
      <c r="CL89">
        <v>5.8343779507371227</v>
      </c>
      <c r="CM89">
        <v>6196.109383682824</v>
      </c>
      <c r="CN89">
        <v>4.8123745387253543</v>
      </c>
      <c r="CO89">
        <v>5110.741760126326</v>
      </c>
      <c r="CP89">
        <v>4.7533710730448533</v>
      </c>
      <c r="CQ89">
        <v>5048.0800795736341</v>
      </c>
      <c r="CR89">
        <v>4.367727437683973</v>
      </c>
      <c r="CS89">
        <v>4638.5265388203798</v>
      </c>
      <c r="CT89">
        <v>3.9547971969511191</v>
      </c>
      <c r="CU89">
        <v>4199.9946231620888</v>
      </c>
    </row>
    <row r="90" spans="2:99">
      <c r="C90" s="99" t="s">
        <v>256</v>
      </c>
      <c r="D90">
        <v>5.2320237495702804</v>
      </c>
      <c r="E90">
        <v>5801.2679335235271</v>
      </c>
      <c r="F90">
        <v>6.6796106067476666</v>
      </c>
      <c r="G90">
        <v>7406.352240761812</v>
      </c>
      <c r="H90">
        <v>3.3350254261545129</v>
      </c>
      <c r="I90">
        <v>3697.8761925201238</v>
      </c>
      <c r="J90">
        <v>4.4425169283542516</v>
      </c>
      <c r="K90">
        <v>4925.862770159194</v>
      </c>
      <c r="L90">
        <v>5.9166576618155782</v>
      </c>
      <c r="M90">
        <v>6560.3900154211124</v>
      </c>
      <c r="N90">
        <v>6.4853400997997177</v>
      </c>
      <c r="O90">
        <v>7190.9451026579263</v>
      </c>
      <c r="P90">
        <v>5.8377621472432732</v>
      </c>
      <c r="Q90">
        <v>6472.910668863341</v>
      </c>
      <c r="R90">
        <v>4.8377849937268564</v>
      </c>
      <c r="S90">
        <v>5364.1360010443386</v>
      </c>
      <c r="T90">
        <v>5.290087787558436</v>
      </c>
      <c r="U90">
        <v>5865.6493388447934</v>
      </c>
      <c r="V90">
        <v>4.0154398618660831</v>
      </c>
      <c r="W90">
        <v>4452.3197188371132</v>
      </c>
      <c r="X90">
        <v>1.6757136402838746</v>
      </c>
      <c r="Y90">
        <v>1858.03128434676</v>
      </c>
      <c r="Z90">
        <v>7.5466796169457018</v>
      </c>
      <c r="AA90">
        <v>8367.7583592693936</v>
      </c>
      <c r="AB90">
        <v>1.642981413767505</v>
      </c>
      <c r="AC90">
        <v>1821.7377915854095</v>
      </c>
      <c r="AD90">
        <v>8.688208767789531</v>
      </c>
      <c r="AE90">
        <v>9633.4858817250315</v>
      </c>
      <c r="AF90">
        <v>1.8555986199603602</v>
      </c>
      <c r="AG90">
        <v>2057.4877498120472</v>
      </c>
      <c r="AH90">
        <v>5.6368132147827614</v>
      </c>
      <c r="AI90">
        <v>6250.0984925511257</v>
      </c>
      <c r="AJ90">
        <v>3.9025926816527639</v>
      </c>
      <c r="AK90">
        <v>4327.1947654165842</v>
      </c>
      <c r="AL90">
        <v>3.2637137013682915</v>
      </c>
      <c r="AM90">
        <v>3618.8057520771613</v>
      </c>
      <c r="AN90">
        <v>1.3319524443894226</v>
      </c>
      <c r="AO90">
        <v>1476.8688703389917</v>
      </c>
      <c r="AP90">
        <v>6.3728185495720737</v>
      </c>
      <c r="AQ90">
        <v>7066.181207765515</v>
      </c>
      <c r="AR90">
        <v>4</v>
      </c>
      <c r="AS90">
        <v>4435.2</v>
      </c>
      <c r="AT90">
        <v>7.4517428733755953</v>
      </c>
      <c r="AU90">
        <v>8262.4924979988591</v>
      </c>
      <c r="AV90">
        <v>1.5224188714083249</v>
      </c>
      <c r="AW90">
        <v>1688.0580446175506</v>
      </c>
      <c r="AX90">
        <v>4.5277759939220541</v>
      </c>
      <c r="AY90">
        <v>5020.3980220607737</v>
      </c>
      <c r="AZ90">
        <v>6.2239350618143074</v>
      </c>
      <c r="BA90">
        <v>6901.0991965397034</v>
      </c>
      <c r="BB90">
        <v>1.8300388512934582</v>
      </c>
      <c r="BC90">
        <v>2029.1470783141865</v>
      </c>
      <c r="BD90">
        <v>8.146289145243367</v>
      </c>
      <c r="BE90">
        <v>9032.6054042458454</v>
      </c>
      <c r="BF90">
        <v>5.2169993453701204</v>
      </c>
      <c r="BG90">
        <v>5784.6088741463891</v>
      </c>
      <c r="BH90">
        <v>6.4713687916663014</v>
      </c>
      <c r="BI90">
        <v>7175.453716199595</v>
      </c>
      <c r="BJ90">
        <v>1.4820583251366761</v>
      </c>
      <c r="BK90">
        <v>1643.3062709115463</v>
      </c>
      <c r="BL90">
        <v>8.3846609493978423</v>
      </c>
      <c r="BM90">
        <v>9296.9120606923279</v>
      </c>
      <c r="BN90">
        <v>1.9874543586433349</v>
      </c>
      <c r="BO90">
        <v>2203.6893928637296</v>
      </c>
      <c r="BP90">
        <v>6.8703995978708505</v>
      </c>
      <c r="BQ90">
        <v>7617.8990741191983</v>
      </c>
      <c r="BR90">
        <v>4</v>
      </c>
      <c r="BS90">
        <v>4435.2</v>
      </c>
      <c r="BT90">
        <v>5.560458894712454</v>
      </c>
      <c r="BU90">
        <v>6165.436822457169</v>
      </c>
      <c r="BV90">
        <v>1.5588482130598047</v>
      </c>
      <c r="BW90">
        <v>1728.4508986407113</v>
      </c>
      <c r="BX90">
        <v>4.8852815543091852</v>
      </c>
      <c r="BY90">
        <v>5416.8001874180245</v>
      </c>
      <c r="BZ90">
        <v>6.6326900279403</v>
      </c>
      <c r="CA90">
        <v>7354.3267029802046</v>
      </c>
      <c r="CB90">
        <v>7.3046508338777674</v>
      </c>
      <c r="CC90">
        <v>8099.3968446036679</v>
      </c>
      <c r="CD90">
        <v>1.3123862748423873</v>
      </c>
      <c r="CE90">
        <v>1455.173901545239</v>
      </c>
      <c r="CF90">
        <v>0.88247561508263006</v>
      </c>
      <c r="CG90">
        <v>978.48896200362014</v>
      </c>
      <c r="CH90">
        <v>4.288454791153204</v>
      </c>
      <c r="CI90">
        <v>4755.0386724306727</v>
      </c>
      <c r="CJ90">
        <v>8</v>
      </c>
      <c r="CK90">
        <v>8870.4</v>
      </c>
      <c r="CL90">
        <v>6.6240707289293956</v>
      </c>
      <c r="CM90">
        <v>7344.7696242369138</v>
      </c>
      <c r="CN90">
        <v>4.5537194596526298</v>
      </c>
      <c r="CO90">
        <v>5049.1641368628361</v>
      </c>
      <c r="CP90">
        <v>4.8816545898465193</v>
      </c>
      <c r="CQ90">
        <v>5412.7786092218203</v>
      </c>
      <c r="CR90">
        <v>4.4479289752055706</v>
      </c>
      <c r="CS90">
        <v>4931.8636477079363</v>
      </c>
      <c r="CT90">
        <v>3.5753534722870732</v>
      </c>
      <c r="CU90">
        <v>3964.3519300719067</v>
      </c>
    </row>
    <row r="91" spans="2:99">
      <c r="C91" s="99" t="s">
        <v>257</v>
      </c>
      <c r="D91">
        <v>5.2320237495702804</v>
      </c>
      <c r="E91">
        <v>5945.6717890116661</v>
      </c>
      <c r="F91">
        <v>5.8529857988506793</v>
      </c>
      <c r="G91">
        <v>6651.3330618139107</v>
      </c>
      <c r="H91">
        <v>3.3350254261545129</v>
      </c>
      <c r="I91">
        <v>3789.9228942819882</v>
      </c>
      <c r="J91">
        <v>3.8026576736845659</v>
      </c>
      <c r="K91">
        <v>4321.3401803751403</v>
      </c>
      <c r="L91">
        <v>5.9166576618155782</v>
      </c>
      <c r="M91">
        <v>6723.6897668872225</v>
      </c>
      <c r="N91">
        <v>5.7536355651995974</v>
      </c>
      <c r="O91">
        <v>6538.4314562928221</v>
      </c>
      <c r="P91">
        <v>5.044567314385203</v>
      </c>
      <c r="Q91">
        <v>5732.6462960673443</v>
      </c>
      <c r="R91">
        <v>4.9598098162698685</v>
      </c>
      <c r="S91">
        <v>5636.3278752090782</v>
      </c>
      <c r="T91">
        <v>5.4007750239129857</v>
      </c>
      <c r="U91">
        <v>6137.4407371747166</v>
      </c>
      <c r="V91">
        <v>4.6536879823790089</v>
      </c>
      <c r="W91">
        <v>5288.4510231755048</v>
      </c>
      <c r="X91">
        <v>1.4403638077630496</v>
      </c>
      <c r="Y91">
        <v>1636.8294311419295</v>
      </c>
      <c r="Z91">
        <v>8.5466796169457027</v>
      </c>
      <c r="AA91">
        <v>9712.4467166970953</v>
      </c>
      <c r="AB91">
        <v>1.642981413767505</v>
      </c>
      <c r="AC91">
        <v>1867.0840786053925</v>
      </c>
      <c r="AD91">
        <v>7.5505670142316248</v>
      </c>
      <c r="AE91">
        <v>8580.4643549728171</v>
      </c>
      <c r="AF91">
        <v>1.8361376543974735</v>
      </c>
      <c r="AG91">
        <v>2086.5868304572887</v>
      </c>
      <c r="AH91">
        <v>5.5094505718262088</v>
      </c>
      <c r="AI91">
        <v>6260.9396298233032</v>
      </c>
      <c r="AJ91">
        <v>3.9025926816527639</v>
      </c>
      <c r="AK91">
        <v>4434.9063234302002</v>
      </c>
      <c r="AL91">
        <v>3.2637137013682915</v>
      </c>
      <c r="AM91">
        <v>3708.8842502349262</v>
      </c>
      <c r="AN91">
        <v>1.1481296329062687</v>
      </c>
      <c r="AO91">
        <v>1304.7345148346835</v>
      </c>
      <c r="AP91">
        <v>6.3728185495720737</v>
      </c>
      <c r="AQ91">
        <v>7242.0709997337035</v>
      </c>
      <c r="AR91">
        <v>5</v>
      </c>
      <c r="AS91">
        <v>5681.9999999999991</v>
      </c>
      <c r="AT91">
        <v>7.4517428733755953</v>
      </c>
      <c r="AU91">
        <v>8468.1606013040255</v>
      </c>
      <c r="AV91">
        <v>1.5224188714083249</v>
      </c>
      <c r="AW91">
        <v>1730.0768054684202</v>
      </c>
      <c r="AX91">
        <v>4.0549537814839853</v>
      </c>
      <c r="AY91">
        <v>4608.0494772784004</v>
      </c>
      <c r="AZ91">
        <v>6.2239350618143074</v>
      </c>
      <c r="BA91">
        <v>7072.8798042457784</v>
      </c>
      <c r="BB91">
        <v>2.055095591362857</v>
      </c>
      <c r="BC91">
        <v>2335.4106300247504</v>
      </c>
      <c r="BD91">
        <v>8.146289145243367</v>
      </c>
      <c r="BE91">
        <v>9257.4429846545609</v>
      </c>
      <c r="BF91">
        <v>5.8397892202077184</v>
      </c>
      <c r="BG91">
        <v>6636.33646984405</v>
      </c>
      <c r="BH91">
        <v>7.306865236660955</v>
      </c>
      <c r="BI91">
        <v>8303.521654941509</v>
      </c>
      <c r="BJ91">
        <v>1.4820583251366761</v>
      </c>
      <c r="BK91">
        <v>1684.2110806853186</v>
      </c>
      <c r="BL91">
        <v>7.3846609493978432</v>
      </c>
      <c r="BM91">
        <v>8391.9287028957078</v>
      </c>
      <c r="BN91">
        <v>1.9693796448421284</v>
      </c>
      <c r="BO91">
        <v>2238.0030283985943</v>
      </c>
      <c r="BP91">
        <v>6.8703995978708505</v>
      </c>
      <c r="BQ91">
        <v>7807.5221030204339</v>
      </c>
      <c r="BR91">
        <v>4</v>
      </c>
      <c r="BS91">
        <v>4545.5999999999995</v>
      </c>
      <c r="BT91">
        <v>6.4763336863948586</v>
      </c>
      <c r="BU91">
        <v>7359.705601219116</v>
      </c>
      <c r="BV91">
        <v>1.5614057340682339</v>
      </c>
      <c r="BW91">
        <v>1774.3814761951407</v>
      </c>
      <c r="BX91">
        <v>4.8994425795131953</v>
      </c>
      <c r="BY91">
        <v>5567.7265473587941</v>
      </c>
      <c r="BZ91">
        <v>6.6326900279403</v>
      </c>
      <c r="CA91">
        <v>7537.3889477513558</v>
      </c>
      <c r="CB91">
        <v>6.4814707655781802</v>
      </c>
      <c r="CC91">
        <v>7365.5433780030435</v>
      </c>
      <c r="CD91">
        <v>1.3005682974830581</v>
      </c>
      <c r="CE91">
        <v>1477.9658132597472</v>
      </c>
      <c r="CF91">
        <v>0.88247561508263006</v>
      </c>
      <c r="CG91">
        <v>1002.8452889799007</v>
      </c>
      <c r="CH91">
        <v>5.288454791153204</v>
      </c>
      <c r="CI91">
        <v>6009.8000246665006</v>
      </c>
      <c r="CJ91">
        <v>9</v>
      </c>
      <c r="CK91">
        <v>10227.599999999999</v>
      </c>
      <c r="CL91">
        <v>5.8343779507371227</v>
      </c>
      <c r="CM91">
        <v>6630.187103217665</v>
      </c>
      <c r="CN91">
        <v>4.6584648952151193</v>
      </c>
      <c r="CO91">
        <v>5293.8795069224607</v>
      </c>
      <c r="CP91">
        <v>4.0702855465608554</v>
      </c>
      <c r="CQ91">
        <v>4625.472495111756</v>
      </c>
      <c r="CR91">
        <v>5.066105419846668</v>
      </c>
      <c r="CS91">
        <v>5757.1221991137527</v>
      </c>
      <c r="CT91">
        <v>3.5753534722870732</v>
      </c>
      <c r="CU91">
        <v>4063.0316859070294</v>
      </c>
    </row>
    <row r="92" spans="2:99">
      <c r="C92" s="99" t="s">
        <v>258</v>
      </c>
      <c r="D92">
        <v>5.2320237495702804</v>
      </c>
      <c r="E92">
        <v>4106.0922386627562</v>
      </c>
      <c r="F92">
        <v>5.8372192749591463</v>
      </c>
      <c r="G92">
        <v>4581.049686987938</v>
      </c>
      <c r="H92">
        <v>3.3350254261545129</v>
      </c>
      <c r="I92">
        <v>2617.3279544460615</v>
      </c>
      <c r="J92">
        <v>3.7985222390173736</v>
      </c>
      <c r="K92">
        <v>2981.0802531808345</v>
      </c>
      <c r="L92">
        <v>5.9166576618155782</v>
      </c>
      <c r="M92">
        <v>4643.3929329928651</v>
      </c>
      <c r="N92">
        <v>6.4853400997997177</v>
      </c>
      <c r="O92">
        <v>5089.694910322818</v>
      </c>
      <c r="P92">
        <v>5.8377621472432732</v>
      </c>
      <c r="Q92">
        <v>4581.4757331565206</v>
      </c>
      <c r="R92">
        <v>4.9598098162698685</v>
      </c>
      <c r="S92">
        <v>3892.4587438085928</v>
      </c>
      <c r="T92">
        <v>5.4007750239129857</v>
      </c>
      <c r="U92">
        <v>4238.5282387669113</v>
      </c>
      <c r="V92">
        <v>4.7117654085183176</v>
      </c>
      <c r="W92">
        <v>3697.7934926051753</v>
      </c>
      <c r="X92">
        <v>1.6757136402838746</v>
      </c>
      <c r="Y92">
        <v>1315.1000648947847</v>
      </c>
      <c r="Z92">
        <v>7.5466796169457018</v>
      </c>
      <c r="AA92">
        <v>5922.6341633789862</v>
      </c>
      <c r="AB92">
        <v>1.7972713586103697</v>
      </c>
      <c r="AC92">
        <v>1410.4985622374181</v>
      </c>
      <c r="AD92">
        <v>8.688208767789531</v>
      </c>
      <c r="AE92">
        <v>6818.5062409612237</v>
      </c>
      <c r="AF92">
        <v>1.8391311569382847</v>
      </c>
      <c r="AG92">
        <v>1443.3501319651657</v>
      </c>
      <c r="AH92">
        <v>5.6368132147827614</v>
      </c>
      <c r="AI92">
        <v>4423.7710109615109</v>
      </c>
      <c r="AJ92">
        <v>4.8782408520659546</v>
      </c>
      <c r="AK92">
        <v>3828.443420701361</v>
      </c>
      <c r="AL92">
        <v>3.2637137013682915</v>
      </c>
      <c r="AM92">
        <v>2561.3625128338349</v>
      </c>
      <c r="AN92">
        <v>1.1481296329062687</v>
      </c>
      <c r="AO92">
        <v>901.05213590483959</v>
      </c>
      <c r="AP92">
        <v>6.3728185495720737</v>
      </c>
      <c r="AQ92">
        <v>5001.3879977041634</v>
      </c>
      <c r="AR92">
        <v>5</v>
      </c>
      <c r="AS92">
        <v>3924</v>
      </c>
      <c r="AT92">
        <v>8.4441965671653119</v>
      </c>
      <c r="AU92">
        <v>6627.0054659113366</v>
      </c>
      <c r="AV92">
        <v>1.5322609836770458</v>
      </c>
      <c r="AW92">
        <v>1202.5184199897456</v>
      </c>
      <c r="AX92">
        <v>4.5255194584056211</v>
      </c>
      <c r="AY92">
        <v>3551.6276709567314</v>
      </c>
      <c r="AZ92">
        <v>6.9830537571779487</v>
      </c>
      <c r="BA92">
        <v>5480.3005886332539</v>
      </c>
      <c r="BB92">
        <v>1.8300388512934582</v>
      </c>
      <c r="BC92">
        <v>1436.214490495106</v>
      </c>
      <c r="BD92">
        <v>8.0643961972700247</v>
      </c>
      <c r="BE92">
        <v>6328.9381356175154</v>
      </c>
      <c r="BF92">
        <v>5.2169993453701204</v>
      </c>
      <c r="BG92">
        <v>4094.3010862464703</v>
      </c>
      <c r="BH92">
        <v>7.1845821644250183</v>
      </c>
      <c r="BI92">
        <v>5638.4600826407541</v>
      </c>
      <c r="BJ92">
        <v>1.4797196662427408</v>
      </c>
      <c r="BK92">
        <v>1161.283994067303</v>
      </c>
      <c r="BL92">
        <v>7.4808261867473034</v>
      </c>
      <c r="BM92">
        <v>5870.952391359283</v>
      </c>
      <c r="BN92">
        <v>2.356025688290071</v>
      </c>
      <c r="BO92">
        <v>1849.0089601700477</v>
      </c>
      <c r="BP92">
        <v>6.8703995978708505</v>
      </c>
      <c r="BQ92">
        <v>5391.8896044090434</v>
      </c>
      <c r="BR92">
        <v>4</v>
      </c>
      <c r="BS92">
        <v>3139.2</v>
      </c>
      <c r="BT92">
        <v>6.4763336863948586</v>
      </c>
      <c r="BU92">
        <v>5082.6266770826851</v>
      </c>
      <c r="BV92">
        <v>1.5588482130598047</v>
      </c>
      <c r="BW92">
        <v>1223.3840776093346</v>
      </c>
      <c r="BX92">
        <v>5.4260495470352668</v>
      </c>
      <c r="BY92">
        <v>4258.3636845132769</v>
      </c>
      <c r="BZ92">
        <v>7.6326900279403</v>
      </c>
      <c r="CA92">
        <v>5990.135133927547</v>
      </c>
      <c r="CB92">
        <v>8.0758460117680944</v>
      </c>
      <c r="CC92">
        <v>6337.9239500355998</v>
      </c>
      <c r="CD92">
        <v>1.3123862748423873</v>
      </c>
      <c r="CE92">
        <v>1029.9607484963055</v>
      </c>
      <c r="CF92">
        <v>1.0085435600944346</v>
      </c>
      <c r="CG92">
        <v>791.50498596211219</v>
      </c>
      <c r="CH92">
        <v>5.288454791153204</v>
      </c>
      <c r="CI92">
        <v>4150.379320097034</v>
      </c>
      <c r="CJ92">
        <v>9</v>
      </c>
      <c r="CK92">
        <v>7063.2</v>
      </c>
      <c r="CL92">
        <v>7.4356584002210395</v>
      </c>
      <c r="CM92">
        <v>5835.5047124934717</v>
      </c>
      <c r="CN92">
        <v>4.683046999188992</v>
      </c>
      <c r="CO92">
        <v>3675.2552849635208</v>
      </c>
      <c r="CP92">
        <v>4.7725116041563735</v>
      </c>
      <c r="CQ92">
        <v>3745.4671069419219</v>
      </c>
      <c r="CR92">
        <v>5.066105419846668</v>
      </c>
      <c r="CS92">
        <v>3975.8795334956649</v>
      </c>
      <c r="CT92">
        <v>3.5753534722870732</v>
      </c>
      <c r="CU92">
        <v>2805.937405050895</v>
      </c>
    </row>
    <row r="93" spans="2:99">
      <c r="C93" s="99" t="s">
        <v>259</v>
      </c>
      <c r="D93">
        <v>5.2320237495702804</v>
      </c>
      <c r="E93">
        <v>3628.9316727019468</v>
      </c>
      <c r="F93">
        <v>6.5675263372497836</v>
      </c>
      <c r="G93">
        <v>4555.2362675164504</v>
      </c>
      <c r="H93">
        <v>3.3350254261545129</v>
      </c>
      <c r="I93">
        <v>2313.1736355807702</v>
      </c>
      <c r="J93">
        <v>4.4425169283542516</v>
      </c>
      <c r="K93">
        <v>3081.329741506509</v>
      </c>
      <c r="L93">
        <v>6.6833239692315942</v>
      </c>
      <c r="M93">
        <v>4635.5535050590343</v>
      </c>
      <c r="N93">
        <v>6.4853400997997177</v>
      </c>
      <c r="O93">
        <v>4498.2318932210846</v>
      </c>
      <c r="P93">
        <v>5.0419821341257078</v>
      </c>
      <c r="Q93">
        <v>3497.1188082295912</v>
      </c>
      <c r="R93">
        <v>4.9598098162698685</v>
      </c>
      <c r="S93">
        <v>3440.1240885647808</v>
      </c>
      <c r="T93">
        <v>5.4007750239129857</v>
      </c>
      <c r="U93">
        <v>3745.9775565860468</v>
      </c>
      <c r="V93">
        <v>4.0173930052611837</v>
      </c>
      <c r="W93">
        <v>2786.4637884491572</v>
      </c>
      <c r="X93">
        <v>1.6725731055463076</v>
      </c>
      <c r="Y93">
        <v>1160.096706006919</v>
      </c>
      <c r="Z93">
        <v>8.5466796169457027</v>
      </c>
      <c r="AA93">
        <v>5927.9769823135393</v>
      </c>
      <c r="AB93">
        <v>1.7972713586103697</v>
      </c>
      <c r="AC93">
        <v>1246.5874143321525</v>
      </c>
      <c r="AD93">
        <v>7.688208767789531</v>
      </c>
      <c r="AE93">
        <v>5332.5416013388185</v>
      </c>
      <c r="AF93">
        <v>1.8391311569382847</v>
      </c>
      <c r="AG93">
        <v>1275.6213704523943</v>
      </c>
      <c r="AH93">
        <v>6.6368132147827614</v>
      </c>
      <c r="AI93">
        <v>4603.2936457733231</v>
      </c>
      <c r="AJ93">
        <v>4.8782408520659546</v>
      </c>
      <c r="AK93">
        <v>3383.5478549929462</v>
      </c>
      <c r="AL93">
        <v>4.0796421267103637</v>
      </c>
      <c r="AM93">
        <v>2829.6397790863084</v>
      </c>
      <c r="AN93">
        <v>1.1481296329062687</v>
      </c>
      <c r="AO93">
        <v>796.34271338378801</v>
      </c>
      <c r="AP93">
        <v>6.3728185495720737</v>
      </c>
      <c r="AQ93">
        <v>4420.1869459831905</v>
      </c>
      <c r="AR93">
        <v>5</v>
      </c>
      <c r="AS93">
        <v>3468</v>
      </c>
      <c r="AT93">
        <v>8.4441965671653119</v>
      </c>
      <c r="AU93">
        <v>5856.8947389858604</v>
      </c>
      <c r="AV93">
        <v>1.5224188714083249</v>
      </c>
      <c r="AW93">
        <v>1055.9497292088142</v>
      </c>
      <c r="AX93">
        <v>4.5735480968380315</v>
      </c>
      <c r="AY93">
        <v>3172.2129599668588</v>
      </c>
      <c r="AZ93">
        <v>6.9830537571779487</v>
      </c>
      <c r="BA93">
        <v>4843.446085978625</v>
      </c>
      <c r="BB93">
        <v>1.8300388512934582</v>
      </c>
      <c r="BC93">
        <v>1269.3149472571426</v>
      </c>
      <c r="BD93">
        <v>9.0929189589221124</v>
      </c>
      <c r="BE93">
        <v>6306.8485899083771</v>
      </c>
      <c r="BF93">
        <v>5.9036986757314294</v>
      </c>
      <c r="BG93">
        <v>4094.8054014873196</v>
      </c>
      <c r="BH93">
        <v>6.4759349882635773</v>
      </c>
      <c r="BI93">
        <v>4491.7085078596174</v>
      </c>
      <c r="BJ93">
        <v>1.2991396933885271</v>
      </c>
      <c r="BK93">
        <v>901.08329133428242</v>
      </c>
      <c r="BL93">
        <v>8.4808261867473043</v>
      </c>
      <c r="BM93">
        <v>5882.3010431279308</v>
      </c>
      <c r="BN93">
        <v>2.356025688290071</v>
      </c>
      <c r="BO93">
        <v>1634.1394173979934</v>
      </c>
      <c r="BP93">
        <v>6.8703995978708505</v>
      </c>
      <c r="BQ93">
        <v>4765.3091610832225</v>
      </c>
      <c r="BR93">
        <v>4</v>
      </c>
      <c r="BS93">
        <v>2774.4</v>
      </c>
      <c r="BT93">
        <v>6.5174729427541029</v>
      </c>
      <c r="BU93">
        <v>4520.5192330942464</v>
      </c>
      <c r="BV93">
        <v>1.5588482130598047</v>
      </c>
      <c r="BW93">
        <v>1081.2171205782806</v>
      </c>
      <c r="BX93">
        <v>4.8994425795131953</v>
      </c>
      <c r="BY93">
        <v>3398.2533731503522</v>
      </c>
      <c r="BZ93">
        <v>6.6326900279403</v>
      </c>
      <c r="CA93">
        <v>4600.433803379392</v>
      </c>
      <c r="CB93">
        <v>7.3046508338777674</v>
      </c>
      <c r="CC93">
        <v>5066.50581837762</v>
      </c>
      <c r="CD93">
        <v>1.3005682974830581</v>
      </c>
      <c r="CE93">
        <v>902.07417113424913</v>
      </c>
      <c r="CF93">
        <v>0.88247561508263006</v>
      </c>
      <c r="CG93">
        <v>612.08508662131226</v>
      </c>
      <c r="CH93">
        <v>5.288454791153204</v>
      </c>
      <c r="CI93">
        <v>3668.0722431438626</v>
      </c>
      <c r="CJ93">
        <v>9</v>
      </c>
      <c r="CK93">
        <v>6242.4000000000005</v>
      </c>
      <c r="CL93">
        <v>6.6459656220287666</v>
      </c>
      <c r="CM93">
        <v>4609.6417554391528</v>
      </c>
      <c r="CN93">
        <v>4.6584648952151193</v>
      </c>
      <c r="CO93">
        <v>3231.111251321207</v>
      </c>
      <c r="CP93">
        <v>4.8837813155255763</v>
      </c>
      <c r="CQ93">
        <v>3387.3907204485399</v>
      </c>
      <c r="CR93">
        <v>4.3122243000055622</v>
      </c>
      <c r="CS93">
        <v>2990.9587744838582</v>
      </c>
      <c r="CT93">
        <v>3.9547971969511191</v>
      </c>
      <c r="CU93">
        <v>2743.0473358052964</v>
      </c>
    </row>
    <row r="94" spans="2:99">
      <c r="C94" s="99" t="s">
        <v>260</v>
      </c>
      <c r="D94">
        <v>4.3040630488162499</v>
      </c>
      <c r="E94">
        <v>5133.8864046280223</v>
      </c>
      <c r="F94">
        <v>6.6796106067476666</v>
      </c>
      <c r="G94">
        <v>7967.4395317286162</v>
      </c>
      <c r="H94">
        <v>3.3350254261545129</v>
      </c>
      <c r="I94">
        <v>3978.0183283171027</v>
      </c>
      <c r="J94">
        <v>3.7985222390173736</v>
      </c>
      <c r="K94">
        <v>4530.8773266999233</v>
      </c>
      <c r="L94">
        <v>5.9166576618155782</v>
      </c>
      <c r="M94">
        <v>7057.3892590136211</v>
      </c>
      <c r="N94">
        <v>5.75532493261107</v>
      </c>
      <c r="O94">
        <v>6864.9515796184842</v>
      </c>
      <c r="P94">
        <v>5.8377621472432732</v>
      </c>
      <c r="Q94">
        <v>6963.2826892317762</v>
      </c>
      <c r="R94">
        <v>4.9598098162698685</v>
      </c>
      <c r="S94">
        <v>5916.0611488466993</v>
      </c>
      <c r="T94">
        <v>4.7263181695009964</v>
      </c>
      <c r="U94">
        <v>5637.5523125807886</v>
      </c>
      <c r="V94">
        <v>4.0754704314004933</v>
      </c>
      <c r="W94">
        <v>4861.2211305745086</v>
      </c>
      <c r="X94">
        <v>1.437223273025483</v>
      </c>
      <c r="Y94">
        <v>1714.3199200647962</v>
      </c>
      <c r="Z94">
        <v>8.5466796169457027</v>
      </c>
      <c r="AA94">
        <v>10194.479447092834</v>
      </c>
      <c r="AB94">
        <v>1.4686750758568687</v>
      </c>
      <c r="AC94">
        <v>1751.8356304820729</v>
      </c>
      <c r="AD94">
        <v>7.688208767789531</v>
      </c>
      <c r="AE94">
        <v>9170.4954182193524</v>
      </c>
      <c r="AF94">
        <v>1.8555986199603602</v>
      </c>
      <c r="AG94">
        <v>2213.3580338887177</v>
      </c>
      <c r="AH94">
        <v>5.5094505718262088</v>
      </c>
      <c r="AI94">
        <v>6571.6726420743016</v>
      </c>
      <c r="AJ94">
        <v>3.9025926816527639</v>
      </c>
      <c r="AK94">
        <v>4655.0125506754166</v>
      </c>
      <c r="AL94">
        <v>3.2637137013682915</v>
      </c>
      <c r="AM94">
        <v>3892.9577029920979</v>
      </c>
      <c r="AN94">
        <v>1.1531510511293068</v>
      </c>
      <c r="AO94">
        <v>1375.478573787037</v>
      </c>
      <c r="AP94">
        <v>5.3728185495720737</v>
      </c>
      <c r="AQ94">
        <v>6408.6979659295694</v>
      </c>
      <c r="AR94">
        <v>5</v>
      </c>
      <c r="AS94">
        <v>5964</v>
      </c>
      <c r="AT94">
        <v>7.4517428733755953</v>
      </c>
      <c r="AU94">
        <v>8888.4388993624088</v>
      </c>
      <c r="AV94">
        <v>1.5224188714083249</v>
      </c>
      <c r="AW94">
        <v>1815.9412298158497</v>
      </c>
      <c r="AX94">
        <v>4.0549537814839853</v>
      </c>
      <c r="AY94">
        <v>4836.7488705540973</v>
      </c>
      <c r="AZ94">
        <v>6.9830537571779487</v>
      </c>
      <c r="BA94">
        <v>8329.3865215618571</v>
      </c>
      <c r="BB94">
        <v>1.8300388512934582</v>
      </c>
      <c r="BC94">
        <v>2182.870341822837</v>
      </c>
      <c r="BD94">
        <v>8.146289145243367</v>
      </c>
      <c r="BE94">
        <v>9716.8936924462887</v>
      </c>
      <c r="BF94">
        <v>5.9036986757314294</v>
      </c>
      <c r="BG94">
        <v>7041.9317804124485</v>
      </c>
      <c r="BH94">
        <v>7.3114314332582326</v>
      </c>
      <c r="BI94">
        <v>8721.075413590419</v>
      </c>
      <c r="BJ94">
        <v>1.2968010344945917</v>
      </c>
      <c r="BK94">
        <v>1546.8242739451489</v>
      </c>
      <c r="BL94">
        <v>8.3846609493978423</v>
      </c>
      <c r="BM94">
        <v>10001.223580441745</v>
      </c>
      <c r="BN94">
        <v>1.9874543586433349</v>
      </c>
      <c r="BO94">
        <v>2370.6355589897698</v>
      </c>
      <c r="BP94">
        <v>5.8703995978708505</v>
      </c>
      <c r="BQ94">
        <v>7002.2126403403499</v>
      </c>
      <c r="BR94">
        <v>4</v>
      </c>
      <c r="BS94">
        <v>4771.2</v>
      </c>
      <c r="BT94">
        <v>6.4760285191650304</v>
      </c>
      <c r="BU94">
        <v>7724.6068176600484</v>
      </c>
      <c r="BV94">
        <v>1.3671890876878654</v>
      </c>
      <c r="BW94">
        <v>1630.7831437940858</v>
      </c>
      <c r="BX94">
        <v>4.8994425795131953</v>
      </c>
      <c r="BY94">
        <v>5844.0551088433394</v>
      </c>
      <c r="BZ94">
        <v>6.6326900279403</v>
      </c>
      <c r="CA94">
        <v>7911.47266532719</v>
      </c>
      <c r="CB94">
        <v>7.252665943468509</v>
      </c>
      <c r="CC94">
        <v>8650.9799373692367</v>
      </c>
      <c r="CD94">
        <v>1.5583183615078042</v>
      </c>
      <c r="CE94">
        <v>1858.7621416065087</v>
      </c>
      <c r="CF94">
        <v>0.88247561508263006</v>
      </c>
      <c r="CG94">
        <v>1052.6169136705612</v>
      </c>
      <c r="CH94">
        <v>5.288454791153204</v>
      </c>
      <c r="CI94">
        <v>6308.0688748875418</v>
      </c>
      <c r="CJ94">
        <v>9</v>
      </c>
      <c r="CK94">
        <v>10735.199999999999</v>
      </c>
      <c r="CL94">
        <v>6.6459656220287666</v>
      </c>
      <c r="CM94">
        <v>7927.3077939559125</v>
      </c>
      <c r="CN94">
        <v>4.8101398020004567</v>
      </c>
      <c r="CO94">
        <v>5737.5347558261446</v>
      </c>
      <c r="CP94">
        <v>4.0702855465608554</v>
      </c>
      <c r="CQ94">
        <v>4855.0365999377882</v>
      </c>
      <c r="CR94">
        <v>4.3122243000055622</v>
      </c>
      <c r="CS94">
        <v>5143.6211450466344</v>
      </c>
      <c r="CT94">
        <v>3.9708331919821847</v>
      </c>
      <c r="CU94">
        <v>4736.4098313963495</v>
      </c>
    </row>
    <row r="95" spans="2:99">
      <c r="B95" s="99" t="s">
        <v>132</v>
      </c>
      <c r="C95" s="99" t="s">
        <v>261</v>
      </c>
      <c r="D95">
        <v>8.9042362205325656</v>
      </c>
      <c r="E95">
        <v>2927.7128693111076</v>
      </c>
      <c r="F95">
        <v>6.9405677014903393</v>
      </c>
      <c r="G95">
        <v>2282.0586602500234</v>
      </c>
      <c r="H95">
        <v>8.6044953118736114</v>
      </c>
      <c r="I95">
        <v>2829.1580585440433</v>
      </c>
      <c r="J95">
        <v>7.4366720251624772</v>
      </c>
      <c r="K95">
        <v>2445.1777618734227</v>
      </c>
      <c r="L95">
        <v>6.0337965595741494</v>
      </c>
      <c r="M95">
        <v>1983.9123087879805</v>
      </c>
      <c r="N95">
        <v>7.1221120250328918</v>
      </c>
      <c r="O95">
        <v>2341.7504338308149</v>
      </c>
      <c r="P95">
        <v>6.9692634588452824</v>
      </c>
      <c r="Q95">
        <v>2291.4938252683291</v>
      </c>
      <c r="R95">
        <v>7.7208229268653836</v>
      </c>
      <c r="S95">
        <v>2538.6065783533381</v>
      </c>
      <c r="T95">
        <v>7.0920528584017921</v>
      </c>
      <c r="U95">
        <v>2331.8669798425094</v>
      </c>
      <c r="V95">
        <v>9.3420156701561172</v>
      </c>
      <c r="W95">
        <v>3071.6547523473314</v>
      </c>
      <c r="X95">
        <v>1.6819947097590082</v>
      </c>
      <c r="Y95">
        <v>553.03986056876192</v>
      </c>
      <c r="Z95">
        <v>12.765351463723983</v>
      </c>
      <c r="AA95">
        <v>4197.2475612724456</v>
      </c>
      <c r="AB95">
        <v>3.1270854841086599</v>
      </c>
      <c r="AC95">
        <v>1028.1857071749275</v>
      </c>
      <c r="AD95">
        <v>13.376417535579062</v>
      </c>
      <c r="AE95">
        <v>4398.1660856983954</v>
      </c>
      <c r="AF95">
        <v>2.9005439646763849</v>
      </c>
      <c r="AG95">
        <v>953.69885558559542</v>
      </c>
      <c r="AH95">
        <v>11.146263786608971</v>
      </c>
      <c r="AI95">
        <v>3664.8915330370296</v>
      </c>
      <c r="AJ95">
        <v>12.683426215371483</v>
      </c>
      <c r="AK95">
        <v>4170.3105396141436</v>
      </c>
      <c r="AL95">
        <v>9.7911411041048737</v>
      </c>
      <c r="AM95">
        <v>3219.3271950296826</v>
      </c>
      <c r="AN95">
        <v>2.0722651085450772</v>
      </c>
      <c r="AO95">
        <v>681.36076768962141</v>
      </c>
      <c r="AP95">
        <v>9.9320463739301843</v>
      </c>
      <c r="AQ95">
        <v>3265.6568477482447</v>
      </c>
      <c r="AR95">
        <v>11</v>
      </c>
      <c r="AS95">
        <v>3616.8</v>
      </c>
      <c r="AT95">
        <v>6.9471758565280188</v>
      </c>
      <c r="AU95">
        <v>2284.2314216264126</v>
      </c>
      <c r="AV95">
        <v>2.2344177457688819</v>
      </c>
      <c r="AW95">
        <v>734.67655480880842</v>
      </c>
      <c r="AX95">
        <v>4.6238332707868768</v>
      </c>
      <c r="AY95">
        <v>1520.3163794347251</v>
      </c>
      <c r="AZ95">
        <v>6.6736383833514452</v>
      </c>
      <c r="BA95">
        <v>2194.2923004459553</v>
      </c>
      <c r="BB95">
        <v>1.6049821112240594</v>
      </c>
      <c r="BC95">
        <v>527.7181181704708</v>
      </c>
      <c r="BD95">
        <v>12.178487243878379</v>
      </c>
      <c r="BE95">
        <v>4004.2866057872111</v>
      </c>
      <c r="BF95">
        <v>6.8832979840126081</v>
      </c>
      <c r="BG95">
        <v>2263.2283771433458</v>
      </c>
      <c r="BH95">
        <v>5.307772977009849</v>
      </c>
      <c r="BI95">
        <v>1745.1957548408384</v>
      </c>
      <c r="BJ95">
        <v>2.0425075148508007</v>
      </c>
      <c r="BK95">
        <v>671.57647088294334</v>
      </c>
      <c r="BL95">
        <v>12.865487136145147</v>
      </c>
      <c r="BM95">
        <v>4230.1721703645244</v>
      </c>
      <c r="BN95">
        <v>2.7788211593404277</v>
      </c>
      <c r="BO95">
        <v>913.67639719113265</v>
      </c>
      <c r="BP95">
        <v>10.566719276167531</v>
      </c>
      <c r="BQ95">
        <v>3474.3372980038844</v>
      </c>
      <c r="BR95">
        <v>7</v>
      </c>
      <c r="BS95">
        <v>2301.6</v>
      </c>
      <c r="BT95">
        <v>9.3164328518471127</v>
      </c>
      <c r="BU95">
        <v>3063.2431216873306</v>
      </c>
      <c r="BV95">
        <v>2.1312680681671941</v>
      </c>
      <c r="BW95">
        <v>700.7609408133734</v>
      </c>
      <c r="BX95">
        <v>6.9962417809274973</v>
      </c>
      <c r="BY95">
        <v>2300.3642975689613</v>
      </c>
      <c r="BZ95">
        <v>10.423552562865675</v>
      </c>
      <c r="CA95">
        <v>3427.2640826702341</v>
      </c>
      <c r="CB95">
        <v>9.0549807512954583</v>
      </c>
      <c r="CC95">
        <v>2977.2776710259468</v>
      </c>
      <c r="CD95">
        <v>2.062000512197967</v>
      </c>
      <c r="CE95">
        <v>677.98576841069155</v>
      </c>
      <c r="CF95">
        <v>1.7649512301652601</v>
      </c>
      <c r="CG95">
        <v>580.31596447833749</v>
      </c>
      <c r="CH95">
        <v>9.7932506756713114</v>
      </c>
      <c r="CI95">
        <v>3220.0208221607272</v>
      </c>
      <c r="CJ95">
        <v>9</v>
      </c>
      <c r="CK95">
        <v>2959.2000000000003</v>
      </c>
      <c r="CL95">
        <v>7.5013430795191569</v>
      </c>
      <c r="CM95">
        <v>2466.4416045458988</v>
      </c>
      <c r="CN95">
        <v>7.8184878122536592</v>
      </c>
      <c r="CO95">
        <v>2570.7187926690031</v>
      </c>
      <c r="CP95">
        <v>7.7188862301145376</v>
      </c>
      <c r="CQ95">
        <v>2537.9697924616598</v>
      </c>
      <c r="CR95">
        <v>7.0624333464081666</v>
      </c>
      <c r="CS95">
        <v>2322.1280842990054</v>
      </c>
      <c r="CT95">
        <v>3.2119457426540934</v>
      </c>
      <c r="CU95">
        <v>1056.087760184666</v>
      </c>
    </row>
    <row r="96" spans="2:99">
      <c r="C96" s="99" t="s">
        <v>262</v>
      </c>
      <c r="D96">
        <v>8.9042362205325656</v>
      </c>
      <c r="E96">
        <v>6186.663326026026</v>
      </c>
      <c r="F96">
        <v>6.0981763697018199</v>
      </c>
      <c r="G96">
        <v>4237.0129416688242</v>
      </c>
      <c r="H96">
        <v>9.3581721444660406</v>
      </c>
      <c r="I96">
        <v>6502.0580059750046</v>
      </c>
      <c r="J96">
        <v>7.5474192620284439</v>
      </c>
      <c r="K96">
        <v>5243.9469032573625</v>
      </c>
      <c r="L96">
        <v>6.0337965595741494</v>
      </c>
      <c r="M96">
        <v>4192.2818495921183</v>
      </c>
      <c r="N96">
        <v>6.5187754959262909</v>
      </c>
      <c r="O96">
        <v>4529.245214569587</v>
      </c>
      <c r="P96">
        <v>7.0583641439853855</v>
      </c>
      <c r="Q96">
        <v>4904.1514072410455</v>
      </c>
      <c r="R96">
        <v>6.8765120263851198</v>
      </c>
      <c r="S96">
        <v>4777.800555932381</v>
      </c>
      <c r="T96">
        <v>7.6558224764592309</v>
      </c>
      <c r="U96">
        <v>5319.2654566438732</v>
      </c>
      <c r="V96">
        <v>8.0074420029909561</v>
      </c>
      <c r="W96">
        <v>5563.5707036781159</v>
      </c>
      <c r="X96">
        <v>1.6757136402838746</v>
      </c>
      <c r="Y96">
        <v>1164.285837269236</v>
      </c>
      <c r="Z96">
        <v>11.874687387113124</v>
      </c>
      <c r="AA96">
        <v>8250.5327965661982</v>
      </c>
      <c r="AB96">
        <v>2.8139181958394461</v>
      </c>
      <c r="AC96">
        <v>1955.1103624692471</v>
      </c>
      <c r="AD96">
        <v>11.376417535579062</v>
      </c>
      <c r="AE96">
        <v>7904.3349037203316</v>
      </c>
      <c r="AF96">
        <v>2.9005439646763849</v>
      </c>
      <c r="AG96">
        <v>2015.2979466571521</v>
      </c>
      <c r="AH96">
        <v>10.146263786608971</v>
      </c>
      <c r="AI96">
        <v>7049.6240789359126</v>
      </c>
      <c r="AJ96">
        <v>10.7321298745451</v>
      </c>
      <c r="AK96">
        <v>7456.6838368339349</v>
      </c>
      <c r="AL96">
        <v>8.9752126787628015</v>
      </c>
      <c r="AM96">
        <v>6235.9777692043945</v>
      </c>
      <c r="AN96">
        <v>2.2560879200282313</v>
      </c>
      <c r="AO96">
        <v>1567.5298868356151</v>
      </c>
      <c r="AP96">
        <v>10.025251011323203</v>
      </c>
      <c r="AQ96">
        <v>6965.5444026673604</v>
      </c>
      <c r="AR96">
        <v>10</v>
      </c>
      <c r="AS96">
        <v>6948</v>
      </c>
      <c r="AT96">
        <v>5.9547221627383022</v>
      </c>
      <c r="AU96">
        <v>4137.340958670572</v>
      </c>
      <c r="AV96">
        <v>1.9938040835591226</v>
      </c>
      <c r="AW96">
        <v>1385.2950772568784</v>
      </c>
      <c r="AX96">
        <v>5.5423992694658128</v>
      </c>
      <c r="AY96">
        <v>3850.8590124248467</v>
      </c>
      <c r="AZ96">
        <v>6.8090767834152182</v>
      </c>
      <c r="BA96">
        <v>4730.946549116893</v>
      </c>
      <c r="BB96">
        <v>1.5996030329080109</v>
      </c>
      <c r="BC96">
        <v>1111.4041872644859</v>
      </c>
      <c r="BD96">
        <v>13.125117057557127</v>
      </c>
      <c r="BE96">
        <v>9119.3313315906908</v>
      </c>
      <c r="BF96">
        <v>7.506087858850206</v>
      </c>
      <c r="BG96">
        <v>5215.2298443291229</v>
      </c>
      <c r="BH96">
        <v>6.0930412594344547</v>
      </c>
      <c r="BI96">
        <v>4233.4450670550586</v>
      </c>
      <c r="BJ96">
        <v>2.0401688559568649</v>
      </c>
      <c r="BK96">
        <v>1417.5093211188296</v>
      </c>
      <c r="BL96">
        <v>11.865487136145147</v>
      </c>
      <c r="BM96">
        <v>8244.1404621936472</v>
      </c>
      <c r="BN96">
        <v>2.579999307527153</v>
      </c>
      <c r="BO96">
        <v>1792.5835188698659</v>
      </c>
      <c r="BP96">
        <v>9.3926393565933601</v>
      </c>
      <c r="BQ96">
        <v>6526.0058249610665</v>
      </c>
      <c r="BR96">
        <v>8</v>
      </c>
      <c r="BS96">
        <v>5558.4</v>
      </c>
      <c r="BT96">
        <v>10.074622708506451</v>
      </c>
      <c r="BU96">
        <v>6999.8478578702816</v>
      </c>
      <c r="BV96">
        <v>1.9370514217868255</v>
      </c>
      <c r="BW96">
        <v>1345.8633278574864</v>
      </c>
      <c r="BX96">
        <v>7.5734845014440761</v>
      </c>
      <c r="BY96">
        <v>5262.0570316033436</v>
      </c>
      <c r="BZ96">
        <v>10.423552562865675</v>
      </c>
      <c r="CA96">
        <v>7242.2843206790703</v>
      </c>
      <c r="CB96">
        <v>7.5125903955148026</v>
      </c>
      <c r="CC96">
        <v>5219.7478068036844</v>
      </c>
      <c r="CD96">
        <v>2.0738184895572953</v>
      </c>
      <c r="CE96">
        <v>1440.8890865444087</v>
      </c>
      <c r="CF96">
        <v>1.5128153401416515</v>
      </c>
      <c r="CG96">
        <v>1051.1040983304194</v>
      </c>
      <c r="CH96">
        <v>9.7211369778830097</v>
      </c>
      <c r="CI96">
        <v>6754.245972233115</v>
      </c>
      <c r="CJ96">
        <v>9</v>
      </c>
      <c r="CK96">
        <v>6253.2</v>
      </c>
      <c r="CL96">
        <v>5.8781677369358674</v>
      </c>
      <c r="CM96">
        <v>4084.1509436230403</v>
      </c>
      <c r="CN96">
        <v>7.0647247571466849</v>
      </c>
      <c r="CO96">
        <v>4908.570761265516</v>
      </c>
      <c r="CP96">
        <v>8.2949554965874484</v>
      </c>
      <c r="CQ96">
        <v>5763.3350790289587</v>
      </c>
      <c r="CR96">
        <v>7.4380485346394982</v>
      </c>
      <c r="CS96">
        <v>5167.9561218675226</v>
      </c>
      <c r="CT96">
        <v>2.8164660229589811</v>
      </c>
      <c r="CU96">
        <v>1956.8805927518999</v>
      </c>
    </row>
    <row r="97" spans="2:99">
      <c r="C97" s="99" t="s">
        <v>263</v>
      </c>
      <c r="D97">
        <v>7.976275519778536</v>
      </c>
      <c r="E97">
        <v>3129.8905139610974</v>
      </c>
      <c r="F97">
        <v>7.071046248861677</v>
      </c>
      <c r="G97">
        <v>2774.6785480533217</v>
      </c>
      <c r="H97">
        <v>8.3909499146837483</v>
      </c>
      <c r="I97">
        <v>3292.6087465219025</v>
      </c>
      <c r="J97">
        <v>8.1914139513653215</v>
      </c>
      <c r="K97">
        <v>3214.310834515752</v>
      </c>
      <c r="L97">
        <v>5.903451221839779</v>
      </c>
      <c r="M97">
        <v>2316.5142594499293</v>
      </c>
      <c r="N97">
        <v>7.1221120250328918</v>
      </c>
      <c r="O97">
        <v>2794.7167586229066</v>
      </c>
      <c r="P97">
        <v>6.9692634588452824</v>
      </c>
      <c r="Q97">
        <v>2734.7389812508886</v>
      </c>
      <c r="R97">
        <v>6.8765120263851198</v>
      </c>
      <c r="S97">
        <v>2698.343319153521</v>
      </c>
      <c r="T97">
        <v>7.0946284625520875</v>
      </c>
      <c r="U97">
        <v>2783.9322087054388</v>
      </c>
      <c r="V97">
        <v>8.0655194291302656</v>
      </c>
      <c r="W97">
        <v>3164.9098239907162</v>
      </c>
      <c r="X97">
        <v>1.6788541750214412</v>
      </c>
      <c r="Y97">
        <v>658.78237827841349</v>
      </c>
      <c r="Z97">
        <v>12.765351463723983</v>
      </c>
      <c r="AA97">
        <v>5009.1239143652901</v>
      </c>
      <c r="AB97">
        <v>3.1425144785929469</v>
      </c>
      <c r="AC97">
        <v>1233.1226813998724</v>
      </c>
      <c r="AD97">
        <v>12.514059289136968</v>
      </c>
      <c r="AE97">
        <v>4910.516865057346</v>
      </c>
      <c r="AF97">
        <v>2.6104895682087466</v>
      </c>
      <c r="AG97">
        <v>1024.356106565112</v>
      </c>
      <c r="AH97">
        <v>11.018901143652418</v>
      </c>
      <c r="AI97">
        <v>4323.8168087692084</v>
      </c>
      <c r="AJ97">
        <v>12.683426215371483</v>
      </c>
      <c r="AK97">
        <v>4976.9764469117699</v>
      </c>
      <c r="AL97">
        <v>9.7911411041048737</v>
      </c>
      <c r="AM97">
        <v>3842.0437692507521</v>
      </c>
      <c r="AN97">
        <v>2.2560879200282313</v>
      </c>
      <c r="AO97">
        <v>885.28889981907787</v>
      </c>
      <c r="AP97">
        <v>10.118455648716221</v>
      </c>
      <c r="AQ97">
        <v>3970.4819965562451</v>
      </c>
      <c r="AR97">
        <v>11</v>
      </c>
      <c r="AS97">
        <v>4316.3999999999996</v>
      </c>
      <c r="AT97">
        <v>5.9547221627383022</v>
      </c>
      <c r="AU97">
        <v>2336.6329766585095</v>
      </c>
      <c r="AV97">
        <v>2.2344177457688819</v>
      </c>
      <c r="AW97">
        <v>876.78552343970921</v>
      </c>
      <c r="AX97">
        <v>5.6129932630625579</v>
      </c>
      <c r="AY97">
        <v>2202.5385564257476</v>
      </c>
      <c r="AZ97">
        <v>6.6790618985196728</v>
      </c>
      <c r="BA97">
        <v>2620.8638889791196</v>
      </c>
      <c r="BB97">
        <v>1.5996030329080109</v>
      </c>
      <c r="BC97">
        <v>627.68423011310347</v>
      </c>
      <c r="BD97">
        <v>13.207010005530469</v>
      </c>
      <c r="BE97">
        <v>5182.430726170156</v>
      </c>
      <c r="BF97">
        <v>6.8669933036130901</v>
      </c>
      <c r="BG97">
        <v>2694.6081723377765</v>
      </c>
      <c r="BH97">
        <v>5.9707581871985171</v>
      </c>
      <c r="BI97">
        <v>2342.9255126566982</v>
      </c>
      <c r="BJ97">
        <v>2.0401688559568649</v>
      </c>
      <c r="BK97">
        <v>800.56225907747375</v>
      </c>
      <c r="BL97">
        <v>11.961652373494607</v>
      </c>
      <c r="BM97">
        <v>4693.7523913592831</v>
      </c>
      <c r="BN97">
        <v>2.9485706371738898</v>
      </c>
      <c r="BO97">
        <v>1157.0191180270342</v>
      </c>
      <c r="BP97">
        <v>9.5667192761675306</v>
      </c>
      <c r="BQ97">
        <v>3753.9806439681388</v>
      </c>
      <c r="BR97">
        <v>7</v>
      </c>
      <c r="BS97">
        <v>2746.7999999999997</v>
      </c>
      <c r="BT97">
        <v>9.1587479168240478</v>
      </c>
      <c r="BU97">
        <v>3593.8926825617559</v>
      </c>
      <c r="BV97">
        <v>1.9396089427952545</v>
      </c>
      <c r="BW97">
        <v>761.10254915285782</v>
      </c>
      <c r="BX97">
        <v>8.101861597116649</v>
      </c>
      <c r="BY97">
        <v>3179.1704907085727</v>
      </c>
      <c r="BZ97">
        <v>10.58172506985075</v>
      </c>
      <c r="CA97">
        <v>4152.2689174094339</v>
      </c>
      <c r="CB97">
        <v>8.2837855734051313</v>
      </c>
      <c r="CC97">
        <v>3250.5574590041733</v>
      </c>
      <c r="CD97">
        <v>2.085636466916625</v>
      </c>
      <c r="CE97">
        <v>818.40374961808357</v>
      </c>
      <c r="CF97">
        <v>1.7649512301652601</v>
      </c>
      <c r="CG97">
        <v>692.56686271684805</v>
      </c>
      <c r="CH97">
        <v>9.7211369778830097</v>
      </c>
      <c r="CI97">
        <v>3814.5741501212929</v>
      </c>
      <c r="CJ97">
        <v>8</v>
      </c>
      <c r="CK97">
        <v>3139.2</v>
      </c>
      <c r="CL97">
        <v>6.689755408227513</v>
      </c>
      <c r="CM97">
        <v>2625.0600221884761</v>
      </c>
      <c r="CN97">
        <v>7.189582823233251</v>
      </c>
      <c r="CO97">
        <v>2821.1922998367277</v>
      </c>
      <c r="CP97">
        <v>7.6097432444243926</v>
      </c>
      <c r="CQ97">
        <v>2986.0632491121314</v>
      </c>
      <c r="CR97">
        <v>7.0932670428346336</v>
      </c>
      <c r="CS97">
        <v>2783.3979876083099</v>
      </c>
      <c r="CT97">
        <v>2.8325020179900475</v>
      </c>
      <c r="CU97">
        <v>1111.4737918592946</v>
      </c>
    </row>
    <row r="98" spans="2:99">
      <c r="C98" s="99" t="s">
        <v>264</v>
      </c>
      <c r="D98">
        <v>8.1243305812285698</v>
      </c>
      <c r="E98">
        <v>4270.1481534937366</v>
      </c>
      <c r="F98">
        <v>6.0981763697018199</v>
      </c>
      <c r="G98">
        <v>3205.2014999152766</v>
      </c>
      <c r="H98">
        <v>8.4977226132786789</v>
      </c>
      <c r="I98">
        <v>4466.4030055392741</v>
      </c>
      <c r="J98">
        <v>7.5474192620284439</v>
      </c>
      <c r="K98">
        <v>3966.9235641221503</v>
      </c>
      <c r="L98">
        <v>6.5397721915214273</v>
      </c>
      <c r="M98">
        <v>3437.3042638636625</v>
      </c>
      <c r="N98">
        <v>6.265418219762199</v>
      </c>
      <c r="O98">
        <v>3293.103816307012</v>
      </c>
      <c r="P98">
        <v>7.0583641439853855</v>
      </c>
      <c r="Q98">
        <v>3709.876194078719</v>
      </c>
      <c r="R98">
        <v>7.7208229268653836</v>
      </c>
      <c r="S98">
        <v>4058.0645303604456</v>
      </c>
      <c r="T98">
        <v>7.5451352401046821</v>
      </c>
      <c r="U98">
        <v>3965.7230821990211</v>
      </c>
      <c r="V98">
        <v>7.3691938824780321</v>
      </c>
      <c r="W98">
        <v>3873.2483046304537</v>
      </c>
      <c r="X98">
        <v>1.6788541750214412</v>
      </c>
      <c r="Y98">
        <v>882.40575439126951</v>
      </c>
      <c r="Z98">
        <v>12.874687387113124</v>
      </c>
      <c r="AA98">
        <v>6766.935690666658</v>
      </c>
      <c r="AB98">
        <v>3.1425144785929469</v>
      </c>
      <c r="AC98">
        <v>1651.705609948453</v>
      </c>
      <c r="AD98">
        <v>13.376417535579062</v>
      </c>
      <c r="AE98">
        <v>7030.6450567003549</v>
      </c>
      <c r="AF98">
        <v>2.6104895682087466</v>
      </c>
      <c r="AG98">
        <v>1372.0733170505173</v>
      </c>
      <c r="AH98">
        <v>9.1462637866089711</v>
      </c>
      <c r="AI98">
        <v>4807.2762462416758</v>
      </c>
      <c r="AJ98">
        <v>12.683426215371483</v>
      </c>
      <c r="AK98">
        <v>6666.408818799252</v>
      </c>
      <c r="AL98">
        <v>8.1592842534207275</v>
      </c>
      <c r="AM98">
        <v>4288.5198035979347</v>
      </c>
      <c r="AN98">
        <v>2.0722651085450772</v>
      </c>
      <c r="AO98">
        <v>1089.1825410512927</v>
      </c>
      <c r="AP98">
        <v>9.0252510113232027</v>
      </c>
      <c r="AQ98">
        <v>4743.6719315514756</v>
      </c>
      <c r="AR98">
        <v>11</v>
      </c>
      <c r="AS98">
        <v>5781.6</v>
      </c>
      <c r="AT98">
        <v>6.9471758565280188</v>
      </c>
      <c r="AU98">
        <v>3651.4356301911271</v>
      </c>
      <c r="AV98">
        <v>1.9839619712904013</v>
      </c>
      <c r="AW98">
        <v>1042.7704121102349</v>
      </c>
      <c r="AX98">
        <v>5.0718335925441771</v>
      </c>
      <c r="AY98">
        <v>2665.7557362412194</v>
      </c>
      <c r="AZ98">
        <v>5.9199432031560315</v>
      </c>
      <c r="BA98">
        <v>3111.5221475788103</v>
      </c>
      <c r="BB98">
        <v>1.6049821112240594</v>
      </c>
      <c r="BC98">
        <v>843.57859765936564</v>
      </c>
      <c r="BD98">
        <v>13.125117057557127</v>
      </c>
      <c r="BE98">
        <v>6898.5615254520262</v>
      </c>
      <c r="BF98">
        <v>7.506087858850206</v>
      </c>
      <c r="BG98">
        <v>3945.1997786116685</v>
      </c>
      <c r="BH98">
        <v>5.9707581871985171</v>
      </c>
      <c r="BI98">
        <v>3138.2305031915407</v>
      </c>
      <c r="BJ98">
        <v>2.03783019706293</v>
      </c>
      <c r="BK98">
        <v>1071.083551576276</v>
      </c>
      <c r="BL98">
        <v>11.961652373494607</v>
      </c>
      <c r="BM98">
        <v>6287.044487508766</v>
      </c>
      <c r="BN98">
        <v>2.579999307527153</v>
      </c>
      <c r="BO98">
        <v>1356.0476360362716</v>
      </c>
      <c r="BP98">
        <v>11.21855943701919</v>
      </c>
      <c r="BQ98">
        <v>5896.4748400972867</v>
      </c>
      <c r="BR98">
        <v>6</v>
      </c>
      <c r="BS98">
        <v>3153.6000000000004</v>
      </c>
      <c r="BT98">
        <v>8.4163265536670142</v>
      </c>
      <c r="BU98">
        <v>4423.6212366073833</v>
      </c>
      <c r="BV98">
        <v>2.1287105471587648</v>
      </c>
      <c r="BW98">
        <v>1118.8502635866469</v>
      </c>
      <c r="BX98">
        <v>6.945606027932989</v>
      </c>
      <c r="BY98">
        <v>3650.6105282815793</v>
      </c>
      <c r="BZ98">
        <v>10.423552562865675</v>
      </c>
      <c r="CA98">
        <v>5478.6192270421989</v>
      </c>
      <c r="CB98">
        <v>9.0549807512954583</v>
      </c>
      <c r="CC98">
        <v>4759.2978828808928</v>
      </c>
      <c r="CD98">
        <v>2.062000512197967</v>
      </c>
      <c r="CE98">
        <v>1083.7874692112514</v>
      </c>
      <c r="CF98">
        <v>1.5128153401416515</v>
      </c>
      <c r="CG98">
        <v>795.13574277845203</v>
      </c>
      <c r="CH98">
        <v>9.7211369778830097</v>
      </c>
      <c r="CI98">
        <v>5109.4295955753105</v>
      </c>
      <c r="CJ98">
        <v>9</v>
      </c>
      <c r="CK98">
        <v>4730.4000000000005</v>
      </c>
      <c r="CL98">
        <v>6.689755408227513</v>
      </c>
      <c r="CM98">
        <v>3516.1354425643808</v>
      </c>
      <c r="CN98">
        <v>7.8184878122536592</v>
      </c>
      <c r="CO98">
        <v>4109.3971941205236</v>
      </c>
      <c r="CP98">
        <v>8.2949554965874484</v>
      </c>
      <c r="CQ98">
        <v>4359.828609006363</v>
      </c>
      <c r="CR98">
        <v>8.3387349572162961</v>
      </c>
      <c r="CS98">
        <v>4382.8390935128855</v>
      </c>
      <c r="CT98">
        <v>3.1959097476230278</v>
      </c>
      <c r="CU98">
        <v>1679.7701633506636</v>
      </c>
    </row>
    <row r="99" spans="2:99">
      <c r="C99" s="99" t="s">
        <v>265</v>
      </c>
      <c r="D99">
        <v>5.824243995370411</v>
      </c>
      <c r="E99">
        <v>24510.748430116837</v>
      </c>
      <c r="F99">
        <v>5.1253064905419619</v>
      </c>
      <c r="G99">
        <v>21569.339834796789</v>
      </c>
      <c r="H99">
        <v>6.7768235509039574</v>
      </c>
      <c r="I99">
        <v>28519.584231624212</v>
      </c>
      <c r="J99">
        <v>6.0379354096227544</v>
      </c>
      <c r="K99">
        <v>25410.047377856397</v>
      </c>
      <c r="L99">
        <v>4.8760942389550266</v>
      </c>
      <c r="M99">
        <v>20520.554995218332</v>
      </c>
      <c r="N99">
        <v>5.4053456796685602</v>
      </c>
      <c r="O99">
        <v>22747.856758317168</v>
      </c>
      <c r="P99">
        <v>5.2937731079890398</v>
      </c>
      <c r="Q99">
        <v>22278.314747661072</v>
      </c>
      <c r="R99">
        <v>6.154225948447869</v>
      </c>
      <c r="S99">
        <v>25899.444481448008</v>
      </c>
      <c r="T99">
        <v>5.4960086353657571</v>
      </c>
      <c r="U99">
        <v>23129.402741073249</v>
      </c>
      <c r="V99">
        <v>5.4544495209392556</v>
      </c>
      <c r="W99">
        <v>22954.505363920762</v>
      </c>
      <c r="X99">
        <v>1.437223273025483</v>
      </c>
      <c r="Y99">
        <v>6048.4104222004426</v>
      </c>
      <c r="Z99">
        <v>7.6560155403348418</v>
      </c>
      <c r="AA99">
        <v>32219.575799945145</v>
      </c>
      <c r="AB99">
        <v>2.1104386468795839</v>
      </c>
      <c r="AC99">
        <v>8881.5700015280399</v>
      </c>
      <c r="AD99">
        <v>9.2387757820211558</v>
      </c>
      <c r="AE99">
        <v>38880.46400105783</v>
      </c>
      <c r="AF99">
        <v>1.740326378805831</v>
      </c>
      <c r="AG99">
        <v>7323.9895325664584</v>
      </c>
      <c r="AH99">
        <v>7.8915385006958658</v>
      </c>
      <c r="AI99">
        <v>33210.750626328481</v>
      </c>
      <c r="AJ99">
        <v>8.7808335337187184</v>
      </c>
      <c r="AK99">
        <v>36953.25984330185</v>
      </c>
      <c r="AL99">
        <v>6.5274274027365831</v>
      </c>
      <c r="AM99">
        <v>27470.025481676636</v>
      </c>
      <c r="AN99">
        <v>1.3269310261663847</v>
      </c>
      <c r="AO99">
        <v>5584.2565305186126</v>
      </c>
      <c r="AP99">
        <v>7.8388417365371659</v>
      </c>
      <c r="AQ99">
        <v>32988.981564043002</v>
      </c>
      <c r="AR99">
        <v>7</v>
      </c>
      <c r="AS99">
        <v>29458.799999999996</v>
      </c>
      <c r="AT99">
        <v>4.9622684689485848</v>
      </c>
      <c r="AU99">
        <v>20883.210624723222</v>
      </c>
      <c r="AV99">
        <v>1.2522788723924023</v>
      </c>
      <c r="AW99">
        <v>5270.0904065761852</v>
      </c>
      <c r="AX99">
        <v>4.0849301357849273</v>
      </c>
      <c r="AY99">
        <v>17191.019983437287</v>
      </c>
      <c r="AZ99">
        <v>4.2066087455144725</v>
      </c>
      <c r="BA99">
        <v>17703.092244623105</v>
      </c>
      <c r="BB99">
        <v>1.1468000136111889</v>
      </c>
      <c r="BC99">
        <v>4826.1931772813268</v>
      </c>
      <c r="BD99">
        <v>10.121441720574202</v>
      </c>
      <c r="BE99">
        <v>42595.075336864465</v>
      </c>
      <c r="BF99">
        <v>5.3820804122425674</v>
      </c>
      <c r="BG99">
        <v>22649.947206881618</v>
      </c>
      <c r="BH99">
        <v>4.5443314416810816</v>
      </c>
      <c r="BI99">
        <v>19124.364439170662</v>
      </c>
      <c r="BJ99">
        <v>1.4867356429245469</v>
      </c>
      <c r="BK99">
        <v>6256.7782796836627</v>
      </c>
      <c r="BL99">
        <v>8.7693218987956865</v>
      </c>
      <c r="BM99">
        <v>36904.814278891761</v>
      </c>
      <c r="BN99">
        <v>2.2114279778804171</v>
      </c>
      <c r="BO99">
        <v>9306.5735021119472</v>
      </c>
      <c r="BP99">
        <v>7.2185594370191897</v>
      </c>
      <c r="BQ99">
        <v>30378.585534751553</v>
      </c>
      <c r="BR99">
        <v>5</v>
      </c>
      <c r="BS99">
        <v>21042</v>
      </c>
      <c r="BT99">
        <v>7.3269983334592377</v>
      </c>
      <c r="BU99">
        <v>30834.939786529852</v>
      </c>
      <c r="BV99">
        <v>1.3595165246625784</v>
      </c>
      <c r="BW99">
        <v>5721.3893423899945</v>
      </c>
      <c r="BX99">
        <v>5.7174731679488069</v>
      </c>
      <c r="BY99">
        <v>24061.414079995757</v>
      </c>
      <c r="BZ99">
        <v>8.1072075488955253</v>
      </c>
      <c r="CA99">
        <v>34118.372248771928</v>
      </c>
      <c r="CB99">
        <v>5.8142453685063682</v>
      </c>
      <c r="CC99">
        <v>24468.670208822197</v>
      </c>
      <c r="CD99">
        <v>1.5583183615078042</v>
      </c>
      <c r="CE99">
        <v>6558.0269925694429</v>
      </c>
      <c r="CF99">
        <v>1.1346115051062386</v>
      </c>
      <c r="CG99">
        <v>4774.8990580890941</v>
      </c>
      <c r="CH99">
        <v>6.6490232800947098</v>
      </c>
      <c r="CI99">
        <v>27981.749571950575</v>
      </c>
      <c r="CJ99">
        <v>6</v>
      </c>
      <c r="CK99">
        <v>25250.399999999998</v>
      </c>
      <c r="CL99">
        <v>4.2112026081538323</v>
      </c>
      <c r="CM99">
        <v>17722.425056154585</v>
      </c>
      <c r="CN99">
        <v>5.4122279503220936</v>
      </c>
      <c r="CO99">
        <v>22776.820106135496</v>
      </c>
      <c r="CP99">
        <v>5.4492169536031971</v>
      </c>
      <c r="CQ99">
        <v>22932.484627543694</v>
      </c>
      <c r="CR99">
        <v>4.7699562904583805</v>
      </c>
      <c r="CS99">
        <v>20073.884052765046</v>
      </c>
      <c r="CT99">
        <v>2.0255065835687573</v>
      </c>
      <c r="CU99">
        <v>8524.1419062907571</v>
      </c>
    </row>
    <row r="100" spans="2:99">
      <c r="C100" s="99" t="s">
        <v>266</v>
      </c>
      <c r="D100">
        <v>8.7561811590825318</v>
      </c>
      <c r="E100">
        <v>2837.0026955427402</v>
      </c>
      <c r="F100">
        <v>6.9405677014903393</v>
      </c>
      <c r="G100">
        <v>2248.7439352828701</v>
      </c>
      <c r="H100">
        <v>8.6044953118736114</v>
      </c>
      <c r="I100">
        <v>2787.8564810470502</v>
      </c>
      <c r="J100">
        <v>9.3686560931731115</v>
      </c>
      <c r="K100">
        <v>3035.4445741880882</v>
      </c>
      <c r="L100">
        <v>6.0337965595741494</v>
      </c>
      <c r="M100">
        <v>1954.9500853020245</v>
      </c>
      <c r="N100">
        <v>6.3904074904327723</v>
      </c>
      <c r="O100">
        <v>2070.4920269002182</v>
      </c>
      <c r="P100">
        <v>7.7624582917033536</v>
      </c>
      <c r="Q100">
        <v>2515.0364865118863</v>
      </c>
      <c r="R100">
        <v>7.7208229268653836</v>
      </c>
      <c r="S100">
        <v>2501.5466283043843</v>
      </c>
      <c r="T100">
        <v>6.9813656220472424</v>
      </c>
      <c r="U100">
        <v>2261.9624615433067</v>
      </c>
      <c r="V100">
        <v>8.0655194291302656</v>
      </c>
      <c r="W100">
        <v>2613.2282950382059</v>
      </c>
      <c r="X100">
        <v>1.6788541750214412</v>
      </c>
      <c r="Y100">
        <v>543.94875270694695</v>
      </c>
      <c r="Z100">
        <v>11.874687387113124</v>
      </c>
      <c r="AA100">
        <v>3847.3987134246522</v>
      </c>
      <c r="AB100">
        <v>3.1425144785929469</v>
      </c>
      <c r="AC100">
        <v>1018.1746910641148</v>
      </c>
      <c r="AD100">
        <v>13.376417535579062</v>
      </c>
      <c r="AE100">
        <v>4333.9592815276164</v>
      </c>
      <c r="AF100">
        <v>2.6104895682087466</v>
      </c>
      <c r="AG100">
        <v>845.79862009963392</v>
      </c>
      <c r="AH100">
        <v>9.0189011436524176</v>
      </c>
      <c r="AI100">
        <v>2922.1239705433832</v>
      </c>
      <c r="AJ100">
        <v>11.707778044958291</v>
      </c>
      <c r="AK100">
        <v>3793.3200865664862</v>
      </c>
      <c r="AL100">
        <v>8.9752126787628015</v>
      </c>
      <c r="AM100">
        <v>2907.9689079191476</v>
      </c>
      <c r="AN100">
        <v>2.0722651085450772</v>
      </c>
      <c r="AO100">
        <v>671.41389516860499</v>
      </c>
      <c r="AP100">
        <v>10.932046373930184</v>
      </c>
      <c r="AQ100">
        <v>3541.9830251533799</v>
      </c>
      <c r="AR100">
        <v>10</v>
      </c>
      <c r="AS100">
        <v>3240</v>
      </c>
      <c r="AT100">
        <v>6.9471758565280188</v>
      </c>
      <c r="AU100">
        <v>2250.8849775150779</v>
      </c>
      <c r="AV100">
        <v>1.9839619712904013</v>
      </c>
      <c r="AW100">
        <v>642.80367869809004</v>
      </c>
      <c r="AX100">
        <v>5.0718335925441771</v>
      </c>
      <c r="AY100">
        <v>1643.2740839843134</v>
      </c>
      <c r="AZ100">
        <v>6.8090767834152182</v>
      </c>
      <c r="BA100">
        <v>2206.1408778265309</v>
      </c>
      <c r="BB100">
        <v>1.6022925720660353</v>
      </c>
      <c r="BC100">
        <v>519.14279334939545</v>
      </c>
      <c r="BD100">
        <v>12.178487243878379</v>
      </c>
      <c r="BE100">
        <v>3945.829867016595</v>
      </c>
      <c r="BF100">
        <v>6.1802939732517821</v>
      </c>
      <c r="BG100">
        <v>2002.4152473335773</v>
      </c>
      <c r="BH100">
        <v>6.0930412594344547</v>
      </c>
      <c r="BI100">
        <v>1974.1453680567633</v>
      </c>
      <c r="BJ100">
        <v>1.8572502242087161</v>
      </c>
      <c r="BK100">
        <v>601.749072643624</v>
      </c>
      <c r="BL100">
        <v>10.961652373494607</v>
      </c>
      <c r="BM100">
        <v>3551.5753690122524</v>
      </c>
      <c r="BN100">
        <v>2.579999307527153</v>
      </c>
      <c r="BO100">
        <v>835.91977563879755</v>
      </c>
      <c r="BP100">
        <v>9.3926393565933601</v>
      </c>
      <c r="BQ100">
        <v>3043.2151515362489</v>
      </c>
      <c r="BR100">
        <v>8</v>
      </c>
      <c r="BS100">
        <v>2592</v>
      </c>
      <c r="BT100">
        <v>9.1587479168240478</v>
      </c>
      <c r="BU100">
        <v>2967.4343250509914</v>
      </c>
      <c r="BV100">
        <v>1.9396089427952545</v>
      </c>
      <c r="BW100">
        <v>628.43329746566246</v>
      </c>
      <c r="BX100">
        <v>7.5246188766000701</v>
      </c>
      <c r="BY100">
        <v>2437.9765160184229</v>
      </c>
      <c r="BZ100">
        <v>10.423552562865675</v>
      </c>
      <c r="CA100">
        <v>3377.2310303684785</v>
      </c>
      <c r="CB100">
        <v>9.0549807512954583</v>
      </c>
      <c r="CC100">
        <v>2933.8137634197283</v>
      </c>
      <c r="CD100">
        <v>1.8278864028918789</v>
      </c>
      <c r="CE100">
        <v>592.23519453696872</v>
      </c>
      <c r="CF100">
        <v>1.7649512301652601</v>
      </c>
      <c r="CG100">
        <v>571.8441985735443</v>
      </c>
      <c r="CH100">
        <v>10.865364373459613</v>
      </c>
      <c r="CI100">
        <v>3520.3780570009149</v>
      </c>
      <c r="CJ100">
        <v>8</v>
      </c>
      <c r="CK100">
        <v>2592</v>
      </c>
      <c r="CL100">
        <v>7.5013430795191569</v>
      </c>
      <c r="CM100">
        <v>2430.4351577642069</v>
      </c>
      <c r="CN100">
        <v>7.8184878122536592</v>
      </c>
      <c r="CO100">
        <v>2533.1900511701856</v>
      </c>
      <c r="CP100">
        <v>7.5027269844133055</v>
      </c>
      <c r="CQ100">
        <v>2430.8835429499109</v>
      </c>
      <c r="CR100">
        <v>7.0624333464081666</v>
      </c>
      <c r="CS100">
        <v>2288.2284042362458</v>
      </c>
      <c r="CT100">
        <v>3.2119457426540934</v>
      </c>
      <c r="CU100">
        <v>1040.6704206199263</v>
      </c>
    </row>
    <row r="101" spans="2:99">
      <c r="C101" s="99" t="s">
        <v>267</v>
      </c>
      <c r="D101">
        <v>7.976275519778536</v>
      </c>
      <c r="E101">
        <v>5771.6329661117488</v>
      </c>
      <c r="F101">
        <v>6.9405677014903393</v>
      </c>
      <c r="G101">
        <v>5022.1947887984097</v>
      </c>
      <c r="H101">
        <v>7.7440457806862497</v>
      </c>
      <c r="I101">
        <v>5603.5915269045709</v>
      </c>
      <c r="J101">
        <v>8.8354086407021999</v>
      </c>
      <c r="K101">
        <v>6393.3016924121121</v>
      </c>
      <c r="L101">
        <v>6.0337965595741494</v>
      </c>
      <c r="M101">
        <v>4366.0551905078546</v>
      </c>
      <c r="N101">
        <v>7.1221120250328918</v>
      </c>
      <c r="O101">
        <v>5153.5602613138008</v>
      </c>
      <c r="P101">
        <v>6.9692634588452824</v>
      </c>
      <c r="Q101">
        <v>5042.9590388204469</v>
      </c>
      <c r="R101">
        <v>6.998536848928131</v>
      </c>
      <c r="S101">
        <v>5064.1412638843958</v>
      </c>
      <c r="T101">
        <v>6.9556095805442828</v>
      </c>
      <c r="U101">
        <v>5033.079092481843</v>
      </c>
      <c r="V101">
        <v>8.7037675496431923</v>
      </c>
      <c r="W101">
        <v>6298.0461989218138</v>
      </c>
      <c r="X101">
        <v>1.9110634728046991</v>
      </c>
      <c r="Y101">
        <v>1382.8455289214803</v>
      </c>
      <c r="Z101">
        <v>11.765351463723983</v>
      </c>
      <c r="AA101">
        <v>8513.4083191506743</v>
      </c>
      <c r="AB101">
        <v>2.628770262028008</v>
      </c>
      <c r="AC101">
        <v>1902.1781616034666</v>
      </c>
      <c r="AD101">
        <v>12.376417535579062</v>
      </c>
      <c r="AE101">
        <v>8955.5757287450087</v>
      </c>
      <c r="AF101">
        <v>2.6104895682087466</v>
      </c>
      <c r="AG101">
        <v>1888.950251555849</v>
      </c>
      <c r="AH101">
        <v>10.018901143652418</v>
      </c>
      <c r="AI101">
        <v>7249.6768675468893</v>
      </c>
      <c r="AJ101">
        <v>10.7321298745451</v>
      </c>
      <c r="AK101">
        <v>7765.7691772208345</v>
      </c>
      <c r="AL101">
        <v>8.9752126787628015</v>
      </c>
      <c r="AM101">
        <v>6494.4638943527634</v>
      </c>
      <c r="AN101">
        <v>2.2560879200282313</v>
      </c>
      <c r="AO101">
        <v>1632.5052189324283</v>
      </c>
      <c r="AP101">
        <v>10.932046373930184</v>
      </c>
      <c r="AQ101">
        <v>7910.428756175882</v>
      </c>
      <c r="AR101">
        <v>9</v>
      </c>
      <c r="AS101">
        <v>6512.4000000000005</v>
      </c>
      <c r="AT101">
        <v>5.9547221627383022</v>
      </c>
      <c r="AU101">
        <v>4308.8369569574361</v>
      </c>
      <c r="AV101">
        <v>1.9938040835591226</v>
      </c>
      <c r="AW101">
        <v>1442.7166348633812</v>
      </c>
      <c r="AX101">
        <v>5.0718335925441771</v>
      </c>
      <c r="AY101">
        <v>3669.9787875649668</v>
      </c>
      <c r="AZ101">
        <v>6.8090767834152182</v>
      </c>
      <c r="BA101">
        <v>4927.0479604792517</v>
      </c>
      <c r="BB101">
        <v>1.3799253711546609</v>
      </c>
      <c r="BC101">
        <v>998.51399856751266</v>
      </c>
      <c r="BD101">
        <v>12.096594295905037</v>
      </c>
      <c r="BE101">
        <v>8753.0956325168845</v>
      </c>
      <c r="BF101">
        <v>6.8669933036130901</v>
      </c>
      <c r="BG101">
        <v>4968.9563544944322</v>
      </c>
      <c r="BH101">
        <v>5.9707581871985171</v>
      </c>
      <c r="BI101">
        <v>4320.4406242568475</v>
      </c>
      <c r="BJ101">
        <v>1.8549115653147805</v>
      </c>
      <c r="BK101">
        <v>1342.2140086617753</v>
      </c>
      <c r="BL101">
        <v>11.961652373494607</v>
      </c>
      <c r="BM101">
        <v>8655.4516574606969</v>
      </c>
      <c r="BN101">
        <v>2.579999307527153</v>
      </c>
      <c r="BO101">
        <v>1866.887498926648</v>
      </c>
      <c r="BP101">
        <v>9.3926393565933601</v>
      </c>
      <c r="BQ101">
        <v>6796.5138384309557</v>
      </c>
      <c r="BR101">
        <v>6</v>
      </c>
      <c r="BS101">
        <v>4341.6000000000004</v>
      </c>
      <c r="BT101">
        <v>8.400558060164709</v>
      </c>
      <c r="BU101">
        <v>6078.6438123351836</v>
      </c>
      <c r="BV101">
        <v>1.9396089427952545</v>
      </c>
      <c r="BW101">
        <v>1403.5010310066461</v>
      </c>
      <c r="BX101">
        <v>7.5752546295945784</v>
      </c>
      <c r="BY101">
        <v>5481.4542499746367</v>
      </c>
      <c r="BZ101">
        <v>10.58172506985075</v>
      </c>
      <c r="CA101">
        <v>7656.9362605440028</v>
      </c>
      <c r="CB101">
        <v>7.5125903955148026</v>
      </c>
      <c r="CC101">
        <v>5436.1104101945111</v>
      </c>
      <c r="CD101">
        <v>1.8278864028918789</v>
      </c>
      <c r="CE101">
        <v>1322.6586011325635</v>
      </c>
      <c r="CF101">
        <v>1.5128153401416515</v>
      </c>
      <c r="CG101">
        <v>1094.6731801264991</v>
      </c>
      <c r="CH101">
        <v>9.7932506756713114</v>
      </c>
      <c r="CI101">
        <v>7086.3961889157608</v>
      </c>
      <c r="CJ101">
        <v>8</v>
      </c>
      <c r="CK101">
        <v>5788.8</v>
      </c>
      <c r="CL101">
        <v>6.689755408227513</v>
      </c>
      <c r="CM101">
        <v>4840.7070133934285</v>
      </c>
      <c r="CN101">
        <v>7.8006099184544784</v>
      </c>
      <c r="CO101">
        <v>5644.521336993661</v>
      </c>
      <c r="CP101">
        <v>6.9287844436194534</v>
      </c>
      <c r="CQ101">
        <v>5013.6684234030363</v>
      </c>
      <c r="CR101">
        <v>7.579303523607348</v>
      </c>
      <c r="CS101">
        <v>5484.3840296822773</v>
      </c>
      <c r="CT101">
        <v>3.1959097476230278</v>
      </c>
      <c r="CU101">
        <v>2312.5602933800228</v>
      </c>
    </row>
    <row r="102" spans="2:99">
      <c r="C102" s="99" t="s">
        <v>268</v>
      </c>
      <c r="D102">
        <v>7.8282204583285031</v>
      </c>
      <c r="E102">
        <v>4161.4819956474321</v>
      </c>
      <c r="F102">
        <v>6.9405677014903393</v>
      </c>
      <c r="G102">
        <v>3689.6057901122645</v>
      </c>
      <c r="H102">
        <v>9.2513994458711082</v>
      </c>
      <c r="I102">
        <v>4918.0439454250809</v>
      </c>
      <c r="J102">
        <v>8.8354086407021999</v>
      </c>
      <c r="K102">
        <v>4696.90323339729</v>
      </c>
      <c r="L102">
        <v>6.0337965595741494</v>
      </c>
      <c r="M102">
        <v>3207.5662510696179</v>
      </c>
      <c r="N102">
        <v>6.5187754959262909</v>
      </c>
      <c r="O102">
        <v>3465.3810536344163</v>
      </c>
      <c r="P102">
        <v>6.2651693111273143</v>
      </c>
      <c r="Q102">
        <v>3330.5640057952805</v>
      </c>
      <c r="R102">
        <v>7.8428477494083957</v>
      </c>
      <c r="S102">
        <v>4169.2578635855034</v>
      </c>
      <c r="T102">
        <v>7.6300664349562712</v>
      </c>
      <c r="U102">
        <v>4056.1433168227541</v>
      </c>
      <c r="V102">
        <v>7.4272713086173416</v>
      </c>
      <c r="W102">
        <v>3948.3374276609788</v>
      </c>
      <c r="X102">
        <v>1.6788541750214412</v>
      </c>
      <c r="Y102">
        <v>892.47887944139813</v>
      </c>
      <c r="Z102">
        <v>12.874687387113124</v>
      </c>
      <c r="AA102">
        <v>6844.1838149893365</v>
      </c>
      <c r="AB102">
        <v>3.1270854841086599</v>
      </c>
      <c r="AC102">
        <v>1662.3586433521637</v>
      </c>
      <c r="AD102">
        <v>12.514059289136968</v>
      </c>
      <c r="AE102">
        <v>6652.4739181052128</v>
      </c>
      <c r="AF102">
        <v>2.6104895682087466</v>
      </c>
      <c r="AG102">
        <v>1387.7362544597697</v>
      </c>
      <c r="AH102">
        <v>10.018901143652418</v>
      </c>
      <c r="AI102">
        <v>5326.0478479656258</v>
      </c>
      <c r="AJ102">
        <v>10.7321298745451</v>
      </c>
      <c r="AK102">
        <v>5705.2002413081755</v>
      </c>
      <c r="AL102">
        <v>9.7911411041048737</v>
      </c>
      <c r="AM102">
        <v>5204.9706109421513</v>
      </c>
      <c r="AN102">
        <v>2.2560879200282313</v>
      </c>
      <c r="AO102">
        <v>1199.3363382870077</v>
      </c>
      <c r="AP102">
        <v>11.025251011323203</v>
      </c>
      <c r="AQ102">
        <v>5861.0234376194148</v>
      </c>
      <c r="AR102">
        <v>9</v>
      </c>
      <c r="AS102">
        <v>4784.4000000000005</v>
      </c>
      <c r="AT102">
        <v>5.9547221627383022</v>
      </c>
      <c r="AU102">
        <v>3165.5303017116817</v>
      </c>
      <c r="AV102">
        <v>1.753190421349363</v>
      </c>
      <c r="AW102">
        <v>931.99602798932142</v>
      </c>
      <c r="AX102">
        <v>5.1176056954601536</v>
      </c>
      <c r="AY102">
        <v>2720.5191877066177</v>
      </c>
      <c r="AZ102">
        <v>5.9848759060328458</v>
      </c>
      <c r="BA102">
        <v>3181.5600316470609</v>
      </c>
      <c r="BB102">
        <v>1.3772358319966365</v>
      </c>
      <c r="BC102">
        <v>732.13856828941198</v>
      </c>
      <c r="BD102">
        <v>12.178487243878379</v>
      </c>
      <c r="BE102">
        <v>6474.0838188457465</v>
      </c>
      <c r="BF102">
        <v>6.8669933036130901</v>
      </c>
      <c r="BG102">
        <v>3650.4936402007188</v>
      </c>
      <c r="BH102">
        <v>5.2575448144397994</v>
      </c>
      <c r="BI102">
        <v>2794.9108233561974</v>
      </c>
      <c r="BJ102">
        <v>2.0401688559568649</v>
      </c>
      <c r="BK102">
        <v>1084.5537638266694</v>
      </c>
      <c r="BL102">
        <v>12.057817610844069</v>
      </c>
      <c r="BM102">
        <v>6409.9358419247073</v>
      </c>
      <c r="BN102">
        <v>2.579999307527153</v>
      </c>
      <c r="BO102">
        <v>1371.5276318814347</v>
      </c>
      <c r="BP102">
        <v>10.39263935659336</v>
      </c>
      <c r="BQ102">
        <v>5524.7270819650303</v>
      </c>
      <c r="BR102">
        <v>7</v>
      </c>
      <c r="BS102">
        <v>3721.2000000000003</v>
      </c>
      <c r="BT102">
        <v>10.074622708506451</v>
      </c>
      <c r="BU102">
        <v>5355.6694318420296</v>
      </c>
      <c r="BV102">
        <v>2.1312680681671941</v>
      </c>
      <c r="BW102">
        <v>1132.9821050376804</v>
      </c>
      <c r="BX102">
        <v>6.9473761560834904</v>
      </c>
      <c r="BY102">
        <v>3693.2251645739834</v>
      </c>
      <c r="BZ102">
        <v>11.58172506985075</v>
      </c>
      <c r="CA102">
        <v>6156.8450471326587</v>
      </c>
      <c r="CB102">
        <v>9.0549807512954583</v>
      </c>
      <c r="CC102">
        <v>4813.6277673886661</v>
      </c>
      <c r="CD102">
        <v>2.062000512197967</v>
      </c>
      <c r="CE102">
        <v>1096.1594722844393</v>
      </c>
      <c r="CF102">
        <v>1.5128153401416515</v>
      </c>
      <c r="CG102">
        <v>804.21263481930202</v>
      </c>
      <c r="CH102">
        <v>8.865364373459613</v>
      </c>
      <c r="CI102">
        <v>4712.8277009311305</v>
      </c>
      <c r="CJ102">
        <v>9</v>
      </c>
      <c r="CK102">
        <v>4784.4000000000005</v>
      </c>
      <c r="CL102">
        <v>5.8781677369358674</v>
      </c>
      <c r="CM102">
        <v>3124.8339689551071</v>
      </c>
      <c r="CN102">
        <v>7.6735171156430129</v>
      </c>
      <c r="CO102">
        <v>4079.2416986758258</v>
      </c>
      <c r="CP102">
        <v>7.5027269844133055</v>
      </c>
      <c r="CQ102">
        <v>3988.4496649141133</v>
      </c>
      <c r="CR102">
        <v>7.579303523607348</v>
      </c>
      <c r="CS102">
        <v>4029.1577531496664</v>
      </c>
      <c r="CT102">
        <v>2.8164660229589811</v>
      </c>
      <c r="CU102">
        <v>1497.2333378049943</v>
      </c>
    </row>
    <row r="103" spans="2:99">
      <c r="C103" s="99" t="s">
        <v>269</v>
      </c>
      <c r="D103">
        <v>8.7561811590825318</v>
      </c>
      <c r="E103">
        <v>5159.1419389314269</v>
      </c>
      <c r="F103">
        <v>7.071046248861677</v>
      </c>
      <c r="G103">
        <v>4166.2604498292994</v>
      </c>
      <c r="H103">
        <v>7.7440457806862497</v>
      </c>
      <c r="I103">
        <v>4562.7917739803379</v>
      </c>
      <c r="J103">
        <v>8.0806667144993547</v>
      </c>
      <c r="K103">
        <v>4761.1288281830193</v>
      </c>
      <c r="L103">
        <v>5.903451221839779</v>
      </c>
      <c r="M103">
        <v>3478.3134599079972</v>
      </c>
      <c r="N103">
        <v>7.247101295703466</v>
      </c>
      <c r="O103">
        <v>4269.9920834284812</v>
      </c>
      <c r="P103">
        <v>7.7624582917033536</v>
      </c>
      <c r="Q103">
        <v>4573.6404254716153</v>
      </c>
      <c r="R103">
        <v>7.7208229268653836</v>
      </c>
      <c r="S103">
        <v>4549.1088685090835</v>
      </c>
      <c r="T103">
        <v>6.9556095805442828</v>
      </c>
      <c r="U103">
        <v>4098.2451648566912</v>
      </c>
      <c r="V103">
        <v>8.7037675496431923</v>
      </c>
      <c r="W103">
        <v>5128.2598402497679</v>
      </c>
      <c r="X103">
        <v>1.6819947097590082</v>
      </c>
      <c r="Y103">
        <v>991.03128299000753</v>
      </c>
      <c r="Z103">
        <v>11.874687387113124</v>
      </c>
      <c r="AA103">
        <v>6996.565808487052</v>
      </c>
      <c r="AB103">
        <v>2.9573665447815087</v>
      </c>
      <c r="AC103">
        <v>1742.4803681852648</v>
      </c>
      <c r="AD103">
        <v>11.376417535579062</v>
      </c>
      <c r="AE103">
        <v>6702.9852119631823</v>
      </c>
      <c r="AF103">
        <v>2.9005439646763849</v>
      </c>
      <c r="AG103">
        <v>1709.0005039873258</v>
      </c>
      <c r="AH103">
        <v>10.018901143652418</v>
      </c>
      <c r="AI103">
        <v>5903.1365538400041</v>
      </c>
      <c r="AJ103">
        <v>11.707778044958291</v>
      </c>
      <c r="AK103">
        <v>6898.2228240894237</v>
      </c>
      <c r="AL103">
        <v>8.9752126787628015</v>
      </c>
      <c r="AM103">
        <v>5288.1953103270416</v>
      </c>
      <c r="AN103">
        <v>2.2560879200282313</v>
      </c>
      <c r="AO103">
        <v>1329.2870024806336</v>
      </c>
      <c r="AP103">
        <v>10.118455648716221</v>
      </c>
      <c r="AQ103">
        <v>5961.7940682235967</v>
      </c>
      <c r="AR103">
        <v>11</v>
      </c>
      <c r="AS103">
        <v>6481.1999999999989</v>
      </c>
      <c r="AT103">
        <v>6.9471758565280188</v>
      </c>
      <c r="AU103">
        <v>4093.2760146663081</v>
      </c>
      <c r="AV103">
        <v>1.753190421349363</v>
      </c>
      <c r="AW103">
        <v>1032.9797962590446</v>
      </c>
      <c r="AX103">
        <v>5.0718335925441771</v>
      </c>
      <c r="AY103">
        <v>2988.3243527270288</v>
      </c>
      <c r="AZ103">
        <v>6.6736383833514452</v>
      </c>
      <c r="BA103">
        <v>3932.1077354706713</v>
      </c>
      <c r="BB103">
        <v>1.3799253711546609</v>
      </c>
      <c r="BC103">
        <v>813.05202868432605</v>
      </c>
      <c r="BD103">
        <v>12.260380191851723</v>
      </c>
      <c r="BE103">
        <v>7223.8160090390347</v>
      </c>
      <c r="BF103">
        <v>6.8669933036130901</v>
      </c>
      <c r="BG103">
        <v>4046.0324544888322</v>
      </c>
      <c r="BH103">
        <v>6.0930412594344547</v>
      </c>
      <c r="BI103">
        <v>3590.0199100587802</v>
      </c>
      <c r="BJ103">
        <v>1.8572502242087161</v>
      </c>
      <c r="BK103">
        <v>1094.2918321037755</v>
      </c>
      <c r="BL103">
        <v>11.961652373494607</v>
      </c>
      <c r="BM103">
        <v>7047.8055784630214</v>
      </c>
      <c r="BN103">
        <v>2.579999307527153</v>
      </c>
      <c r="BO103">
        <v>1520.1355919949983</v>
      </c>
      <c r="BP103">
        <v>9.3926393565933601</v>
      </c>
      <c r="BQ103">
        <v>5534.1431089048074</v>
      </c>
      <c r="BR103">
        <v>7</v>
      </c>
      <c r="BS103">
        <v>4124.3999999999996</v>
      </c>
      <c r="BT103">
        <v>9.1587479168240478</v>
      </c>
      <c r="BU103">
        <v>5396.3342725927287</v>
      </c>
      <c r="BV103">
        <v>1.7453922964148862</v>
      </c>
      <c r="BW103">
        <v>1028.3851410476509</v>
      </c>
      <c r="BX103">
        <v>7.5228487484495687</v>
      </c>
      <c r="BY103">
        <v>4432.4624825864857</v>
      </c>
      <c r="BZ103">
        <v>10.423552562865675</v>
      </c>
      <c r="CA103">
        <v>6141.5571700404553</v>
      </c>
      <c r="CB103">
        <v>9.0549807512954583</v>
      </c>
      <c r="CC103">
        <v>5335.194658663283</v>
      </c>
      <c r="CD103">
        <v>2.0738184895572953</v>
      </c>
      <c r="CE103">
        <v>1221.8938540471584</v>
      </c>
      <c r="CF103">
        <v>1.6388832851534558</v>
      </c>
      <c r="CG103">
        <v>965.63003161241602</v>
      </c>
      <c r="CH103">
        <v>8.7932506756713114</v>
      </c>
      <c r="CI103">
        <v>5180.9832981055361</v>
      </c>
      <c r="CJ103">
        <v>9</v>
      </c>
      <c r="CK103">
        <v>5302.7999999999993</v>
      </c>
      <c r="CL103">
        <v>5.9000626300352401</v>
      </c>
      <c r="CM103">
        <v>3476.3169016167631</v>
      </c>
      <c r="CN103">
        <v>7.9455806150651238</v>
      </c>
      <c r="CO103">
        <v>4681.5360983963701</v>
      </c>
      <c r="CP103">
        <v>7.6097432444243926</v>
      </c>
      <c r="CQ103">
        <v>4483.6607196148516</v>
      </c>
      <c r="CR103">
        <v>7.8471481626757402</v>
      </c>
      <c r="CS103">
        <v>4623.5396974485457</v>
      </c>
      <c r="CT103">
        <v>3.1959097476230278</v>
      </c>
      <c r="CU103">
        <v>1883.0300232994878</v>
      </c>
    </row>
    <row r="104" spans="2:99">
      <c r="C104" s="99" t="s">
        <v>270</v>
      </c>
      <c r="D104">
        <v>7.8282204583285031</v>
      </c>
      <c r="E104">
        <v>4950.5666178469455</v>
      </c>
      <c r="F104">
        <v>6.9405677014903393</v>
      </c>
      <c r="G104">
        <v>4389.2150144224906</v>
      </c>
      <c r="H104">
        <v>9.2513994458711082</v>
      </c>
      <c r="I104">
        <v>5850.5850095688884</v>
      </c>
      <c r="J104">
        <v>8.7246614038362331</v>
      </c>
      <c r="K104">
        <v>5517.4758717860341</v>
      </c>
      <c r="L104">
        <v>5.903451221839779</v>
      </c>
      <c r="M104">
        <v>3733.3425526914762</v>
      </c>
      <c r="N104">
        <v>7.2487906631149386</v>
      </c>
      <c r="O104">
        <v>4584.1352153538874</v>
      </c>
      <c r="P104">
        <v>7.0583641439853855</v>
      </c>
      <c r="Q104">
        <v>4463.7094846563577</v>
      </c>
      <c r="R104">
        <v>7.7208229268653836</v>
      </c>
      <c r="S104">
        <v>4882.6484189496687</v>
      </c>
      <c r="T104">
        <v>7.5451352401046821</v>
      </c>
      <c r="U104">
        <v>4771.5435258422003</v>
      </c>
      <c r="V104">
        <v>8.7037675496431923</v>
      </c>
      <c r="W104">
        <v>5504.2625983943544</v>
      </c>
      <c r="X104">
        <v>1.9173445422798332</v>
      </c>
      <c r="Y104">
        <v>1212.5286885377664</v>
      </c>
      <c r="Z104">
        <v>11.765351463723983</v>
      </c>
      <c r="AA104">
        <v>7440.4082656590463</v>
      </c>
      <c r="AB104">
        <v>3.1270854841086599</v>
      </c>
      <c r="AC104">
        <v>1977.5688601503164</v>
      </c>
      <c r="AD104">
        <v>12.376417535579062</v>
      </c>
      <c r="AE104">
        <v>7826.8464495001981</v>
      </c>
      <c r="AF104">
        <v>2.9005439646763849</v>
      </c>
      <c r="AG104">
        <v>1834.3040032613458</v>
      </c>
      <c r="AH104">
        <v>11.146263786608971</v>
      </c>
      <c r="AI104">
        <v>7048.897218651513</v>
      </c>
      <c r="AJ104">
        <v>11.707778044958291</v>
      </c>
      <c r="AK104">
        <v>7403.9988356316226</v>
      </c>
      <c r="AL104">
        <v>8.9752126787628015</v>
      </c>
      <c r="AM104">
        <v>5675.9244980495951</v>
      </c>
      <c r="AN104">
        <v>2.2560879200282313</v>
      </c>
      <c r="AO104">
        <v>1426.7500006258535</v>
      </c>
      <c r="AP104">
        <v>9.9320463739301843</v>
      </c>
      <c r="AQ104">
        <v>6281.0261268734484</v>
      </c>
      <c r="AR104">
        <v>10</v>
      </c>
      <c r="AS104">
        <v>6324</v>
      </c>
      <c r="AT104">
        <v>5.9547221627383022</v>
      </c>
      <c r="AU104">
        <v>3765.7662957157022</v>
      </c>
      <c r="AV104">
        <v>1.753190421349363</v>
      </c>
      <c r="AW104">
        <v>1108.7176224613372</v>
      </c>
      <c r="AX104">
        <v>5.5423992694658128</v>
      </c>
      <c r="AY104">
        <v>3505.0132980101798</v>
      </c>
      <c r="AZ104">
        <v>6.0499580880515769</v>
      </c>
      <c r="BA104">
        <v>3825.9934948838172</v>
      </c>
      <c r="BB104">
        <v>1.6049821112240594</v>
      </c>
      <c r="BC104">
        <v>1014.9906871380952</v>
      </c>
      <c r="BD104">
        <v>13.207010005530469</v>
      </c>
      <c r="BE104">
        <v>8352.1131274974687</v>
      </c>
      <c r="BF104">
        <v>7.506087858850206</v>
      </c>
      <c r="BG104">
        <v>4746.8499619368704</v>
      </c>
      <c r="BH104">
        <v>5.3798278866757361</v>
      </c>
      <c r="BI104">
        <v>3402.2031555337353</v>
      </c>
      <c r="BJ104">
        <v>2.03783019706293</v>
      </c>
      <c r="BK104">
        <v>1288.7238166225968</v>
      </c>
      <c r="BL104">
        <v>12.057817610844069</v>
      </c>
      <c r="BM104">
        <v>7625.3638570977892</v>
      </c>
      <c r="BN104">
        <v>2.579999307527153</v>
      </c>
      <c r="BO104">
        <v>1631.5915620801716</v>
      </c>
      <c r="BP104">
        <v>10.21855943701919</v>
      </c>
      <c r="BQ104">
        <v>6462.2169879709354</v>
      </c>
      <c r="BR104">
        <v>7</v>
      </c>
      <c r="BS104">
        <v>4426.8</v>
      </c>
      <c r="BT104">
        <v>10.074622708506451</v>
      </c>
      <c r="BU104">
        <v>6371.1914008594795</v>
      </c>
      <c r="BV104">
        <v>2.1287105471587648</v>
      </c>
      <c r="BW104">
        <v>1346.1965500232029</v>
      </c>
      <c r="BX104">
        <v>8.1560376064121591</v>
      </c>
      <c r="BY104">
        <v>5157.8781822950496</v>
      </c>
      <c r="BZ104">
        <v>11.423552562865675</v>
      </c>
      <c r="CA104">
        <v>7224.2546407562522</v>
      </c>
      <c r="CB104">
        <v>6.9407566010129553</v>
      </c>
      <c r="CC104">
        <v>4389.3344744805927</v>
      </c>
      <c r="CD104">
        <v>1.8278864028918789</v>
      </c>
      <c r="CE104">
        <v>1155.9553611888241</v>
      </c>
      <c r="CF104">
        <v>1.6388832851534558</v>
      </c>
      <c r="CG104">
        <v>1036.4297895310453</v>
      </c>
      <c r="CH104">
        <v>8.7932506756713114</v>
      </c>
      <c r="CI104">
        <v>5560.8517272945373</v>
      </c>
      <c r="CJ104">
        <v>8</v>
      </c>
      <c r="CK104">
        <v>5059.2</v>
      </c>
      <c r="CL104">
        <v>5.8781677369358674</v>
      </c>
      <c r="CM104">
        <v>3717.3532768382424</v>
      </c>
      <c r="CN104">
        <v>7.8207225489785559</v>
      </c>
      <c r="CO104">
        <v>4945.8249399740389</v>
      </c>
      <c r="CP104">
        <v>7.6118699701034505</v>
      </c>
      <c r="CQ104">
        <v>4813.7465690934223</v>
      </c>
      <c r="CR104">
        <v>7.5848538373751886</v>
      </c>
      <c r="CS104">
        <v>4796.6615667560691</v>
      </c>
      <c r="CT104">
        <v>3.2119457426540934</v>
      </c>
      <c r="CU104">
        <v>2031.2344876544487</v>
      </c>
    </row>
    <row r="105" spans="2:99">
      <c r="C105" s="99" t="s">
        <v>271</v>
      </c>
      <c r="D105">
        <v>7.4236856060322385</v>
      </c>
      <c r="E105">
        <v>4133.50814543875</v>
      </c>
      <c r="F105">
        <v>6.9405677014903393</v>
      </c>
      <c r="G105">
        <v>3864.5080961898207</v>
      </c>
      <c r="H105">
        <v>9.2513994458711082</v>
      </c>
      <c r="I105">
        <v>5151.1792114610325</v>
      </c>
      <c r="J105">
        <v>8.1914139513653215</v>
      </c>
      <c r="K105">
        <v>4560.9792881202102</v>
      </c>
      <c r="L105">
        <v>6.8004628669901646</v>
      </c>
      <c r="M105">
        <v>3786.4977243401231</v>
      </c>
      <c r="N105">
        <v>7.1204226576214191</v>
      </c>
      <c r="O105">
        <v>3964.6513357636059</v>
      </c>
      <c r="P105">
        <v>6.9692634588452824</v>
      </c>
      <c r="Q105">
        <v>3880.485893885053</v>
      </c>
      <c r="R105">
        <v>7.7208229268653836</v>
      </c>
      <c r="S105">
        <v>4298.9542056786449</v>
      </c>
      <c r="T105">
        <v>6.9556095805442828</v>
      </c>
      <c r="U105">
        <v>3872.8834144470566</v>
      </c>
      <c r="V105">
        <v>8.7037675496431923</v>
      </c>
      <c r="W105">
        <v>4846.2577716413289</v>
      </c>
      <c r="X105">
        <v>1.9142040075422659</v>
      </c>
      <c r="Y105">
        <v>1065.8287913995337</v>
      </c>
      <c r="Z105">
        <v>10.765351463723983</v>
      </c>
      <c r="AA105">
        <v>5994.1476950015131</v>
      </c>
      <c r="AB105">
        <v>3.1116564896243739</v>
      </c>
      <c r="AC105">
        <v>1732.5703334228513</v>
      </c>
      <c r="AD105">
        <v>12.514059289136968</v>
      </c>
      <c r="AE105">
        <v>6967.8282121914635</v>
      </c>
      <c r="AF105">
        <v>2.6104895682087466</v>
      </c>
      <c r="AG105">
        <v>1453.52059157863</v>
      </c>
      <c r="AH105">
        <v>10.018901143652418</v>
      </c>
      <c r="AI105">
        <v>5578.5241567856656</v>
      </c>
      <c r="AJ105">
        <v>11.707778044958291</v>
      </c>
      <c r="AK105">
        <v>6518.8908154327755</v>
      </c>
      <c r="AL105">
        <v>9.7911411041048737</v>
      </c>
      <c r="AM105">
        <v>5451.7073667655932</v>
      </c>
      <c r="AN105">
        <v>2.0722651085450772</v>
      </c>
      <c r="AO105">
        <v>1153.8372124378989</v>
      </c>
      <c r="AP105">
        <v>9.9320463739301843</v>
      </c>
      <c r="AQ105">
        <v>5530.1634210043258</v>
      </c>
      <c r="AR105">
        <v>11</v>
      </c>
      <c r="AS105">
        <v>6124.7999999999993</v>
      </c>
      <c r="AT105">
        <v>6.9471758565280188</v>
      </c>
      <c r="AU105">
        <v>3868.1875169148007</v>
      </c>
      <c r="AV105">
        <v>1.753190421349363</v>
      </c>
      <c r="AW105">
        <v>976.1764266073252</v>
      </c>
      <c r="AX105">
        <v>5.5881713723817894</v>
      </c>
      <c r="AY105">
        <v>3111.4938201421801</v>
      </c>
      <c r="AZ105">
        <v>5.9145196879878039</v>
      </c>
      <c r="BA105">
        <v>3293.2045622716091</v>
      </c>
      <c r="BB105">
        <v>1.6022925720660353</v>
      </c>
      <c r="BC105">
        <v>892.1565041263683</v>
      </c>
      <c r="BD105">
        <v>11.313750378172978</v>
      </c>
      <c r="BE105">
        <v>6299.4962105667137</v>
      </c>
      <c r="BF105">
        <v>6.819388528488898</v>
      </c>
      <c r="BG105">
        <v>3797.0355326626182</v>
      </c>
      <c r="BH105">
        <v>6.0930412594344547</v>
      </c>
      <c r="BI105">
        <v>3392.6053732531041</v>
      </c>
      <c r="BJ105">
        <v>2.03783019706293</v>
      </c>
      <c r="BK105">
        <v>1134.6638537246392</v>
      </c>
      <c r="BL105">
        <v>12.057817610844069</v>
      </c>
      <c r="BM105">
        <v>6713.7928457179769</v>
      </c>
      <c r="BN105">
        <v>2.579999307527153</v>
      </c>
      <c r="BO105">
        <v>1436.5436144311186</v>
      </c>
      <c r="BP105">
        <v>11.21855943701919</v>
      </c>
      <c r="BQ105">
        <v>6246.4938945322847</v>
      </c>
      <c r="BR105">
        <v>7</v>
      </c>
      <c r="BS105">
        <v>3897.5999999999995</v>
      </c>
      <c r="BT105">
        <v>10.074622708506451</v>
      </c>
      <c r="BU105">
        <v>5609.5499240963918</v>
      </c>
      <c r="BV105">
        <v>1.9370514217868255</v>
      </c>
      <c r="BW105">
        <v>1078.5502316509044</v>
      </c>
      <c r="BX105">
        <v>7.5246188766000701</v>
      </c>
      <c r="BY105">
        <v>4189.7077904909183</v>
      </c>
      <c r="BZ105">
        <v>10.423552562865675</v>
      </c>
      <c r="CA105">
        <v>5803.8340670036077</v>
      </c>
      <c r="CB105">
        <v>8.2318006829958712</v>
      </c>
      <c r="CC105">
        <v>4583.4666202921007</v>
      </c>
      <c r="CD105">
        <v>2.0738184895572953</v>
      </c>
      <c r="CE105">
        <v>1154.702134985502</v>
      </c>
      <c r="CF105">
        <v>1.5128153401416515</v>
      </c>
      <c r="CG105">
        <v>842.33558139087154</v>
      </c>
      <c r="CH105">
        <v>8.7932506756713114</v>
      </c>
      <c r="CI105">
        <v>4896.0819762137853</v>
      </c>
      <c r="CJ105">
        <v>10</v>
      </c>
      <c r="CK105">
        <v>5568</v>
      </c>
      <c r="CL105">
        <v>7.5013430795191569</v>
      </c>
      <c r="CM105">
        <v>4176.7478266762664</v>
      </c>
      <c r="CN105">
        <v>6.9353972176103218</v>
      </c>
      <c r="CO105">
        <v>3861.6291707654268</v>
      </c>
      <c r="CP105">
        <v>7.6118699701034505</v>
      </c>
      <c r="CQ105">
        <v>4238.2891993536005</v>
      </c>
      <c r="CR105">
        <v>8.4744396324163045</v>
      </c>
      <c r="CS105">
        <v>4718.5679873293975</v>
      </c>
      <c r="CT105">
        <v>3.2119457426540934</v>
      </c>
      <c r="CU105">
        <v>1788.4113895097989</v>
      </c>
    </row>
    <row r="107" spans="2:99">
      <c r="B107" s="102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>
        <f>SUM(D$6:D$19)+SUM(F$6:F$19)+SUM(H$6:H$19)+SUM(J$6:J$19)</f>
        <v>306.04952527965941</v>
      </c>
      <c r="E109">
        <f>SUM(L$6:L$19)+SUM(N$6:N$19)+SUM(P$6:P$19)+SUM(R$6:R$19)</f>
        <v>391.56331995951194</v>
      </c>
      <c r="F109">
        <f>SUM(T$6:T$19)+SUM(V$6:V$19)+SUM(X$6:X$19)+SUM(Z$6:Z$19)</f>
        <v>299.76164649340978</v>
      </c>
      <c r="G109">
        <f>SUM(AB$6:AB$19)+SUM(AD$6:AD$19)+SUM(AF$6:AF$19)+SUM(AH$6:AH$19)</f>
        <v>403.17520523965868</v>
      </c>
      <c r="H109">
        <f>SUM(AJ$6:AJ$19)+SUM(AL$6:AL$19)+SUM(AN$6:AN$19)+SUM(AP$6:AP$19)</f>
        <v>371.19461488361037</v>
      </c>
      <c r="I109">
        <f>SUM(AR$6:AR$19)+SUM(AT$6:AT$19)+SUM(AV$6:AV$19)+SUM(AX$6:AX$19)</f>
        <v>260.80812759790513</v>
      </c>
      <c r="J109">
        <f>SUM(AZ$6:AZ$19)+SUM(BB$6:BB$19)+SUM(BD$6:BD$19)+SUM(BF$6:BF$19)</f>
        <v>294.44814959114245</v>
      </c>
      <c r="K109">
        <f>SUM(BH$6:BH$19)+SUM(BJ$6:BJ$19)+SUM(BL$6:BL$19)+SUM(BN$6:BN$19)</f>
        <v>356.5322971375798</v>
      </c>
      <c r="L109">
        <f>SUM(BP$6:BP$19)+SUM(BR$6:BR$19)+SUM(BT$6:BT$19)+SUM(BV$6:BV$19)</f>
        <v>322.48010610323672</v>
      </c>
      <c r="M109">
        <f>SUM(BX$6:BX$19)+SUM(BZ$6:BZ$19)+SUM(CB$6:CB$19)+SUM(CD$6:CD$19)</f>
        <v>278.16693334820877</v>
      </c>
      <c r="N109">
        <f>SUM(CF$6:CF$19)+SUM(CH$6:CH$19)+SUM(CJ$6:CJ$19)+SUM(CL$6:CL$19)</f>
        <v>484.76419696599646</v>
      </c>
      <c r="O109">
        <f>SUM(CN$6:CN$19)+SUM(CP$6:CP$19)+SUM(CR$6:CR$19)+SUM(CT$6:CT$19)</f>
        <v>369.00548337040584</v>
      </c>
    </row>
    <row r="110" spans="2:99">
      <c r="C110" s="99" t="s">
        <v>127</v>
      </c>
      <c r="D110">
        <f>SUM(D$20:D$36)+SUM(F$20:F$36)+SUM(H$20:H$36)+SUM(J$20:J$36)</f>
        <v>468.44769929142228</v>
      </c>
      <c r="E110">
        <f>SUM(L$20:L$36)+SUM(N$20:N$36)+SUM(P$20:P$36)+SUM(R$20:R$36)</f>
        <v>510.81750809274411</v>
      </c>
      <c r="F110">
        <f>SUM(T$20:T$36)+SUM(V$20:V$36)+SUM(X$20:X$36)+SUM(Z$20:Z$36)</f>
        <v>464.18834488248001</v>
      </c>
      <c r="G110">
        <f>SUM(AB$20:AB$36)+SUM(AD$20:AD$36)+SUM(AF$20:AF$36)+SUM(AH$20:AH$36)</f>
        <v>530.84745773557529</v>
      </c>
      <c r="H110">
        <f>SUM(AJ$20:AJ$36)+SUM(AL$20:AL$36)+SUM(AN$20:AN$36)+SUM(AP$20:AP$36)</f>
        <v>437.46247637506679</v>
      </c>
      <c r="I110">
        <f>SUM(AR$20:AR$36)+SUM(AT$20:AT$36)+SUM(AV$20:AV$36)+SUM(AX$20:AX$36)</f>
        <v>486.46166329030638</v>
      </c>
      <c r="J110">
        <f>SUM(AZ$20:AZ$36)+SUM(BB$20:BB$36)+SUM(BD$20:BD$36)+SUM(BF$20:BF$36)</f>
        <v>538.2031740239313</v>
      </c>
      <c r="K110">
        <f>SUM(BH$20:BH$36)+SUM(BJ$20:BJ$36)+SUM(BL$20:BL$36)+SUM(BN$20:BN$36)</f>
        <v>449.20483960762976</v>
      </c>
      <c r="L110">
        <f>SUM(BP$20:BP$36)+SUM(BR$20:BR$36)+SUM(BT$20:BT$36)+SUM(BV$20:BV$36)</f>
        <v>397.29190676967903</v>
      </c>
      <c r="M110">
        <f>SUM(BX$20:BX$36)+SUM(BZ$20:BZ$36)+SUM(CB$20:CB$36)+SUM(CD$20:CD$36)</f>
        <v>369.89718031988195</v>
      </c>
      <c r="N110">
        <f>SUM(CF$20:CF$36)+SUM(CH$20:CH$36)+SUM(CJ$20:CJ$36)+SUM(CL$20:CL$36)</f>
        <v>544.84602949818543</v>
      </c>
      <c r="O110">
        <f>SUM(CN$20:CN$36)+SUM(CP$20:CP$36)+SUM(CR$20:CR$36)+SUM(CT$20:CT$36)</f>
        <v>433.58353085322472</v>
      </c>
    </row>
    <row r="111" spans="2:99">
      <c r="C111" s="99" t="s">
        <v>128</v>
      </c>
      <c r="D111">
        <f>SUM(D$37:D$48)+SUM(F$37:F$48)+SUM(H$37:H$48)+SUM(J$37:J$48)</f>
        <v>528.08491528855518</v>
      </c>
      <c r="E111">
        <f>SUM(L$37:L$48)+SUM(N$37:N$48)+SUM(P$37:P$48)+SUM(R$37:R$48)</f>
        <v>640.1789233992198</v>
      </c>
      <c r="F111">
        <f>SUM(T$37:T$48)+SUM(V$37:V$48)+SUM(X$37:X$48)+SUM(Z$37:Z$48)</f>
        <v>524.80485842915482</v>
      </c>
      <c r="G111">
        <f>SUM(AB$37:AB$48)+SUM(AD$37:AD$48)+SUM(AF$37:AF$48)+SUM(AH$37:AH$48)</f>
        <v>576.77676169023459</v>
      </c>
      <c r="H111">
        <f>SUM(AJ$37:AJ$48)+SUM(AL$37:AL$48)+SUM(AN$37:AN$48)+SUM(AP$37:AP$48)</f>
        <v>497.07926625143125</v>
      </c>
      <c r="I111">
        <f>SUM(AR$37:AR$48)+SUM(AT$37:AT$48)+SUM(AV$37:AV$48)+SUM(AX$37:AX$48)</f>
        <v>540.65399535106815</v>
      </c>
      <c r="J111">
        <f>SUM(AZ$37:AZ$48)+SUM(BB$37:BB$48)+SUM(BD$37:BD$48)+SUM(BF$37:BF$48)</f>
        <v>694.30810098617451</v>
      </c>
      <c r="K111">
        <f>SUM(BH$37:BH$48)+SUM(BJ$37:BJ$48)+SUM(BL$37:BL$48)+SUM(BN$37:BN$48)</f>
        <v>592.0129432050328</v>
      </c>
      <c r="L111">
        <f>SUM(BP$37:BP$48)+SUM(BR$37:BR$48)+SUM(BT$37:BT$48)+SUM(BV$37:BV$48)</f>
        <v>459.22485518510507</v>
      </c>
      <c r="M111">
        <f>SUM(BX$37:BX$48)+SUM(BZ$37:BZ$48)+SUM(CB$37:CB$48)+SUM(CD$37:CD$48)</f>
        <v>509.67822917760344</v>
      </c>
      <c r="N111">
        <f>SUM(CF$37:CF$48)+SUM(CH$37:CH$48)+SUM(CJ$37:CJ$48)+SUM(CL$37:CL$48)</f>
        <v>697.69264819105956</v>
      </c>
      <c r="O111">
        <f>SUM(CN$37:CN$48)+SUM(CP$37:CP$48)+SUM(CR$37:CR$48)+SUM(CT$37:CT$48)</f>
        <v>597.82288220845294</v>
      </c>
    </row>
    <row r="112" spans="2:99">
      <c r="C112" s="99" t="s">
        <v>129</v>
      </c>
      <c r="D112">
        <f>SUM(D$49:D$70)+SUM(F$49:F$70)+SUM(H$49:H$70)+SUM(J$49:J$70)</f>
        <v>549.47903522683919</v>
      </c>
      <c r="E112">
        <f>SUM(L$49:L$70)+SUM(N$49:N$70)+SUM(P$49:P$70)+SUM(R$49:R$70)</f>
        <v>665.62683545956077</v>
      </c>
      <c r="F112">
        <f>SUM(T$49:T$70)+SUM(V$49:V$70)+SUM(X$49:X$70)+SUM(Z$49:Z$70)</f>
        <v>599.63960818597388</v>
      </c>
      <c r="G112">
        <f>SUM(AB$49:AB$70)+SUM(AD$49:AD$70)+SUM(AF$49:AF$70)+SUM(AH$49:AH$70)</f>
        <v>590.40962332222284</v>
      </c>
      <c r="H112">
        <f>SUM(AJ$49:AJ$70)+SUM(AL$49:AL$70)+SUM(AN$49:AN$70)+SUM(AP$49:AP$70)</f>
        <v>537.08839250344886</v>
      </c>
      <c r="I112">
        <f>SUM(AR$49:AR$70)+SUM(AT$49:AT$70)+SUM(AV$49:AV$70)+SUM(AX$49:AX$70)</f>
        <v>495.94491926790442</v>
      </c>
      <c r="J112">
        <f>SUM(AZ$49:AZ$70)+SUM(BB$49:BB$70)+SUM(BD$49:BD$70)+SUM(BF$49:BF$70)</f>
        <v>582.05848492511313</v>
      </c>
      <c r="K112">
        <f>SUM(BH$49:BH$70)+SUM(BJ$49:BJ$70)+SUM(BL$49:BL$70)+SUM(BN$49:BN$70)</f>
        <v>625.53699529620303</v>
      </c>
      <c r="L112">
        <f>SUM(BP$49:BP$70)+SUM(BR$49:BR$70)+SUM(BT$49:BT$70)+SUM(BV$49:BV$70)</f>
        <v>493.70198468412531</v>
      </c>
      <c r="M112">
        <f>SUM(BX$49:BX$70)+SUM(BZ$49:BZ$70)+SUM(CB$49:CB$70)+SUM(CD$49:CD$70)</f>
        <v>499.58358788436203</v>
      </c>
      <c r="N112">
        <f>SUM(CF$49:CF$70)+SUM(CH$49:CH$70)+SUM(CJ$49:CJ$70)+SUM(CL$49:CL$70)</f>
        <v>667.77772119739677</v>
      </c>
      <c r="O112">
        <f>SUM(CN$49:CN$70)+SUM(CP$49:CP$70)+SUM(CR$49:CR$70)+SUM(CT$49:CT$70)</f>
        <v>605.39325636009448</v>
      </c>
    </row>
    <row r="113" spans="2:15">
      <c r="C113" s="99" t="s">
        <v>130</v>
      </c>
      <c r="D113">
        <f>SUM(D$71:D$86)+SUM(F$71:F$86)+SUM(H$71:H$86)+SUM(J$71:J$86)</f>
        <v>397.19323763819483</v>
      </c>
      <c r="E113">
        <f>SUM(L$71:L$86)+SUM(N$71:N$86)+SUM(P$71:P$86)+SUM(R$71:R$86)</f>
        <v>396.02954230732092</v>
      </c>
      <c r="F113">
        <f>SUM(T$71:T$86)+SUM(V$71:V$86)+SUM(X$71:X$86)+SUM(Z$71:Z$86)</f>
        <v>346.5489489260716</v>
      </c>
      <c r="G113">
        <f>SUM(AB$71:AB$86)+SUM(AD$71:AD$86)+SUM(AF$71:AF$86)+SUM(AH$71:AH$86)</f>
        <v>328.45221285675564</v>
      </c>
      <c r="H113">
        <f>SUM(AJ$71:AJ$86)+SUM(AL$71:AL$86)+SUM(AN$71:AN$86)+SUM(AP$71:AP$86)</f>
        <v>426.81566485674023</v>
      </c>
      <c r="I113">
        <f>SUM(AR$71:AR$86)+SUM(AT$71:AT$86)+SUM(AV$71:AV$86)+SUM(AX$71:AX$86)</f>
        <v>327.95141746738273</v>
      </c>
      <c r="J113">
        <f>SUM(AZ$71:AZ$86)+SUM(BB$71:BB$86)+SUM(BD$71:BD$86)+SUM(BF$71:BF$86)</f>
        <v>398.9767067505619</v>
      </c>
      <c r="K113">
        <f>SUM(BH$71:BH$86)+SUM(BJ$71:BJ$86)+SUM(BL$71:BL$86)+SUM(BN$71:BN$86)</f>
        <v>369.25078200058056</v>
      </c>
      <c r="L113">
        <f>SUM(BP$71:BP$86)+SUM(BR$71:BR$86)+SUM(BT$71:BT$86)+SUM(BV$71:BV$86)</f>
        <v>426.86283463263078</v>
      </c>
      <c r="M113">
        <f>SUM(BX$71:BX$86)+SUM(BZ$71:BZ$86)+SUM(CB$71:CB$86)+SUM(CD$71:CD$86)</f>
        <v>375.35689199235566</v>
      </c>
      <c r="N113">
        <f>SUM(CF$71:CF$86)+SUM(CH$71:CH$86)+SUM(CJ$71:CJ$86)+SUM(CL$71:CL$86)</f>
        <v>278.83515843778321</v>
      </c>
      <c r="O113">
        <f>SUM(CN$71:CN$86)+SUM(CP$71:CP$86)+SUM(CR$71:CR$86)+SUM(CT$71:CT$86)</f>
        <v>410.70955549855603</v>
      </c>
    </row>
    <row r="114" spans="2:15">
      <c r="C114" s="99" t="s">
        <v>131</v>
      </c>
      <c r="D114">
        <f>SUM(D$87:D$94)+SUM(F$87:F$94)+SUM(H$87:H$94)+SUM(J$87:J$94)</f>
        <v>148.77737455787633</v>
      </c>
      <c r="E114">
        <f>SUM(L$87:L$94)+SUM(N$87:N$94)+SUM(P$87:P$94)+SUM(R$87:R$94)</f>
        <v>183.67131706362068</v>
      </c>
      <c r="F114">
        <f>SUM(T$87:T$94)+SUM(V$87:V$94)+SUM(X$87:X$94)+SUM(Z$87:Z$94)</f>
        <v>154.20061230565523</v>
      </c>
      <c r="G114">
        <f>SUM(AB$87:AB$94)+SUM(AD$87:AD$94)+SUM(AF$87:AF$94)+SUM(AH$87:AH$94)</f>
        <v>137.73066606706931</v>
      </c>
      <c r="H114">
        <f>SUM(AJ$87:AJ$94)+SUM(AL$87:AL$94)+SUM(AN$87:AN$94)+SUM(AP$87:AP$94)</f>
        <v>118.41544469714229</v>
      </c>
      <c r="I114">
        <f>SUM(AR$87:AR$94)+SUM(AT$87:AT$94)+SUM(AV$87:AV$94)+SUM(AX$87:AX$94)</f>
        <v>146.63533961012331</v>
      </c>
      <c r="J114">
        <f>SUM(AZ$87:AZ$94)+SUM(BB$87:BB$94)+SUM(BD$87:BD$94)+SUM(BF$87:BF$94)</f>
        <v>180.41287019634865</v>
      </c>
      <c r="K114">
        <f>SUM(BH$87:BH$94)+SUM(BJ$87:BJ$94)+SUM(BL$87:BL$94)+SUM(BN$87:BN$94)</f>
        <v>145.97346615681363</v>
      </c>
      <c r="L114">
        <f>SUM(BP$87:BP$94)+SUM(BR$87:BR$94)+SUM(BT$87:BT$94)+SUM(BV$87:BV$94)</f>
        <v>150.63932163635502</v>
      </c>
      <c r="M114">
        <f>SUM(BX$87:BX$94)+SUM(BZ$87:BZ$94)+SUM(CB$87:CB$94)+SUM(CD$87:CD$94)</f>
        <v>163.01266769835257</v>
      </c>
      <c r="N114">
        <f>SUM(CF$87:CF$94)+SUM(CH$87:CH$94)+SUM(CJ$87:CJ$94)+SUM(CL$87:CL$94)</f>
        <v>168.95186043376654</v>
      </c>
      <c r="O114">
        <f>SUM(CN$87:CN$94)+SUM(CP$87:CP$94)+SUM(CR$87:CR$94)+SUM(CT$87:CT$94)</f>
        <v>139.88210947366267</v>
      </c>
    </row>
    <row r="115" spans="2:15">
      <c r="C115" s="99" t="s">
        <v>132</v>
      </c>
      <c r="D115">
        <f>SUM(D$95:D$105)+SUM(F$95:F$105)+SUM(H$95:H$105)+SUM(J$95:J$105)</f>
        <v>343.68126893523782</v>
      </c>
      <c r="E115">
        <f>SUM(L$95:L$105)+SUM(N$95:N$105)+SUM(P$95:P$105)+SUM(R$95:R$105)</f>
        <v>297.38661626471861</v>
      </c>
      <c r="F115">
        <f>SUM(T$95:T$105)+SUM(V$95:V$105)+SUM(X$95:X$105)+SUM(Z$95:Z$105)</f>
        <v>314.24469000369993</v>
      </c>
      <c r="G115">
        <f>SUM(AB$95:AB$105)+SUM(AD$95:AD$105)+SUM(AF$95:AF$105)+SUM(AH$95:AH$105)</f>
        <v>305.44226658155333</v>
      </c>
      <c r="H115">
        <f>SUM(AJ$95:AJ$105)+SUM(AL$95:AL$105)+SUM(AN$95:AN$105)+SUM(AP$95:AP$105)</f>
        <v>357.55021036779863</v>
      </c>
      <c r="I115">
        <f>SUM(AR$95:AR$105)+SUM(AT$95:AT$105)+SUM(AV$95:AV$105)+SUM(AX$95:AX$105)</f>
        <v>256.56083337089149</v>
      </c>
      <c r="J115">
        <f>SUM(AZ$95:AZ$105)+SUM(BB$95:BB$105)+SUM(BD$95:BD$105)+SUM(BF$95:BF$105)</f>
        <v>295.27527891106143</v>
      </c>
      <c r="K115">
        <f>SUM(BH$95:BH$105)+SUM(BJ$95:BJ$105)+SUM(BL$95:BL$105)+SUM(BN$95:BN$105)</f>
        <v>241.16739415540997</v>
      </c>
      <c r="L115">
        <f>SUM(BP$95:BP$105)+SUM(BR$95:BR$105)+SUM(BT$95:BT$105)+SUM(BV$95:BV$105)</f>
        <v>305.5237191907035</v>
      </c>
      <c r="M115">
        <f>SUM(BX$95:BX$105)+SUM(BZ$95:BZ$105)+SUM(CB$95:CB$105)+SUM(CD$95:CD$105)</f>
        <v>306.50841648341054</v>
      </c>
      <c r="N115">
        <f>SUM(CF$95:CF$105)+SUM(CH$95:CH$105)+SUM(CJ$95:CJ$105)+SUM(CL$95:CL$105)</f>
        <v>282.09978871787342</v>
      </c>
      <c r="O115">
        <f>SUM(CN$95:CN$105)+SUM(CP$95:CP$105)+SUM(CR$95:CR$105)+SUM(CT$95:CT$105)</f>
        <v>277.1896804602182</v>
      </c>
    </row>
    <row r="116" spans="2:15">
      <c r="C116" s="99" t="s">
        <v>278</v>
      </c>
      <c r="D116">
        <f t="shared" ref="D116:O116" si="0">SUM(D$109:D$115)</f>
        <v>2741.7130562177849</v>
      </c>
      <c r="E116">
        <f t="shared" si="0"/>
        <v>3085.2740625466968</v>
      </c>
      <c r="F116">
        <f t="shared" si="0"/>
        <v>2703.3887092264454</v>
      </c>
      <c r="G116">
        <f t="shared" si="0"/>
        <v>2872.8341934930695</v>
      </c>
      <c r="H116">
        <f t="shared" si="0"/>
        <v>2745.6060699352388</v>
      </c>
      <c r="I116">
        <f t="shared" si="0"/>
        <v>2515.0162959555819</v>
      </c>
      <c r="J116">
        <f t="shared" si="0"/>
        <v>2983.6827653843334</v>
      </c>
      <c r="K116">
        <f t="shared" si="0"/>
        <v>2779.6787175592494</v>
      </c>
      <c r="L116">
        <f t="shared" si="0"/>
        <v>2555.7247282018357</v>
      </c>
      <c r="M116">
        <f t="shared" si="0"/>
        <v>2502.2039069041753</v>
      </c>
      <c r="N116">
        <f t="shared" si="0"/>
        <v>3124.9674034420609</v>
      </c>
      <c r="O116">
        <f t="shared" si="0"/>
        <v>2833.5864982246153</v>
      </c>
    </row>
    <row r="118" spans="2:15">
      <c r="B118" s="101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>
        <f>D109*pricing!D33*2000</f>
        <v>1652667.436510161</v>
      </c>
      <c r="E120">
        <f>E109*pricing!E33*2000</f>
        <v>2114441.9277813644</v>
      </c>
      <c r="F120">
        <f>F109*pricing!F33*2000</f>
        <v>1618712.8910644131</v>
      </c>
      <c r="G120">
        <f>G109*pricing!G33*2000</f>
        <v>2177146.1082941568</v>
      </c>
      <c r="H120">
        <f>H109*pricing!H33*2000</f>
        <v>2004450.9203714961</v>
      </c>
      <c r="I120">
        <f>I109*pricing!I33*2000</f>
        <v>1408363.8890286877</v>
      </c>
      <c r="J120">
        <f>J109*pricing!J33*2000</f>
        <v>1590020.0077921692</v>
      </c>
      <c r="K120">
        <f>K109*pricing!K33*2000</f>
        <v>1925274.4045429311</v>
      </c>
      <c r="L120">
        <f>L109*pricing!L33*2000</f>
        <v>1741392.5729574785</v>
      </c>
      <c r="M120">
        <f>M109*pricing!M33*2000</f>
        <v>1502101.4400803274</v>
      </c>
      <c r="N120">
        <f>N109*pricing!N33*2000</f>
        <v>2617726.6636163807</v>
      </c>
      <c r="O120">
        <f>O109*pricing!O33*2000</f>
        <v>1992629.6102001916</v>
      </c>
    </row>
    <row r="121" spans="2:15">
      <c r="C121" s="99" t="s">
        <v>127</v>
      </c>
      <c r="D121">
        <f>D110*pricing!D34*2000</f>
        <v>2248548.9565988267</v>
      </c>
      <c r="E121">
        <f>E110*pricing!E34*2000</f>
        <v>2451924.0388451717</v>
      </c>
      <c r="F121">
        <f>F110*pricing!F34*2000</f>
        <v>2228104.0554359038</v>
      </c>
      <c r="G121">
        <f>G110*pricing!G34*2000</f>
        <v>2548067.7971307612</v>
      </c>
      <c r="H121">
        <f>H110*pricing!H34*2000</f>
        <v>2099819.8866003202</v>
      </c>
      <c r="I121">
        <f>I110*pricing!I34*2000</f>
        <v>2335015.9837934705</v>
      </c>
      <c r="J121">
        <f>J110*pricing!J34*2000</f>
        <v>2583375.2353148703</v>
      </c>
      <c r="K121">
        <f>K110*pricing!K34*2000</f>
        <v>2156183.230116623</v>
      </c>
      <c r="L121">
        <f>L110*pricing!L34*2000</f>
        <v>1907001.1524944594</v>
      </c>
      <c r="M121">
        <f>M110*pricing!M34*2000</f>
        <v>1775506.4655354333</v>
      </c>
      <c r="N121">
        <f>N110*pricing!N34*2000</f>
        <v>2615260.9415912898</v>
      </c>
      <c r="O121">
        <f>O110*pricing!O34*2000</f>
        <v>2081200.9480954784</v>
      </c>
    </row>
    <row r="122" spans="2:15">
      <c r="C122" s="99" t="s">
        <v>128</v>
      </c>
      <c r="D122">
        <f>D111*pricing!D35*2000</f>
        <v>2429190.6103273537</v>
      </c>
      <c r="E122">
        <f>E111*pricing!E35*2000</f>
        <v>2944823.0476364112</v>
      </c>
      <c r="F122">
        <f>F111*pricing!F35*2000</f>
        <v>2414102.3487741118</v>
      </c>
      <c r="G122">
        <f>G111*pricing!G35*2000</f>
        <v>2653173.1037750789</v>
      </c>
      <c r="H122">
        <f>H111*pricing!H35*2000</f>
        <v>2286564.6247565839</v>
      </c>
      <c r="I122">
        <f>I111*pricing!I35*2000</f>
        <v>2487008.3786149137</v>
      </c>
      <c r="J122">
        <f>J111*pricing!J35*2000</f>
        <v>3193817.2645364027</v>
      </c>
      <c r="K122">
        <f>K111*pricing!K35*2000</f>
        <v>2723259.5387431504</v>
      </c>
      <c r="L122">
        <f>L111*pricing!L35*2000</f>
        <v>2112434.3338514832</v>
      </c>
      <c r="M122">
        <f>M111*pricing!M35*2000</f>
        <v>2344519.8542169756</v>
      </c>
      <c r="N122">
        <f>N111*pricing!N35*2000</f>
        <v>3209386.1816788735</v>
      </c>
      <c r="O122">
        <f>O111*pricing!O35*2000</f>
        <v>2749985.2581588835</v>
      </c>
    </row>
    <row r="123" spans="2:15">
      <c r="C123" s="99" t="s">
        <v>129</v>
      </c>
      <c r="D123">
        <f>D112*pricing!D36*2000</f>
        <v>2747395.1761341961</v>
      </c>
      <c r="E123">
        <f>E112*pricing!E36*2000</f>
        <v>3328134.177297804</v>
      </c>
      <c r="F123">
        <f>F112*pricing!F36*2000</f>
        <v>2998198.0409298693</v>
      </c>
      <c r="G123">
        <f>G112*pricing!G36*2000</f>
        <v>2952048.1166111138</v>
      </c>
      <c r="H123">
        <f>H112*pricing!H36*2000</f>
        <v>2685441.9625172443</v>
      </c>
      <c r="I123">
        <f>I112*pricing!I36*2000</f>
        <v>2479724.5963395219</v>
      </c>
      <c r="J123">
        <f>J112*pricing!J36*2000</f>
        <v>2910292.4246255658</v>
      </c>
      <c r="K123">
        <f>K112*pricing!K36*2000</f>
        <v>3127684.9764810149</v>
      </c>
      <c r="L123">
        <f>L112*pricing!L36*2000</f>
        <v>2468509.9234206262</v>
      </c>
      <c r="M123">
        <f>M112*pricing!M36*2000</f>
        <v>2497917.9394218097</v>
      </c>
      <c r="N123">
        <f>N112*pricing!N36*2000</f>
        <v>3338888.6059869835</v>
      </c>
      <c r="O123">
        <f>O112*pricing!O36*2000</f>
        <v>3026966.2818004726</v>
      </c>
    </row>
    <row r="124" spans="2:15">
      <c r="C124" s="99" t="s">
        <v>130</v>
      </c>
      <c r="D124">
        <f>D113*pricing!D37*2000</f>
        <v>2065404.8357186134</v>
      </c>
      <c r="E124">
        <f>E113*pricing!E37*2000</f>
        <v>2059353.619998069</v>
      </c>
      <c r="F124">
        <f>F113*pricing!F37*2000</f>
        <v>1802054.5344155724</v>
      </c>
      <c r="G124">
        <f>G113*pricing!G37*2000</f>
        <v>1707951.5068551293</v>
      </c>
      <c r="H124">
        <f>H113*pricing!H37*2000</f>
        <v>2219441.4572550491</v>
      </c>
      <c r="I124">
        <f>I113*pricing!I37*2000</f>
        <v>1705347.3708303901</v>
      </c>
      <c r="J124">
        <f>J113*pricing!J37*2000</f>
        <v>2074678.8751029221</v>
      </c>
      <c r="K124">
        <f>K113*pricing!K37*2000</f>
        <v>1920104.066403019</v>
      </c>
      <c r="L124">
        <f>L113*pricing!L37*2000</f>
        <v>2219686.7400896801</v>
      </c>
      <c r="M124">
        <f>M113*pricing!M37*2000</f>
        <v>1951855.8383602495</v>
      </c>
      <c r="N124">
        <f>N113*pricing!N37*2000</f>
        <v>1449942.8238764727</v>
      </c>
      <c r="O124">
        <f>O113*pricing!O37*2000</f>
        <v>2135689.6885924917</v>
      </c>
    </row>
    <row r="125" spans="2:15">
      <c r="C125" s="99" t="s">
        <v>131</v>
      </c>
      <c r="D125">
        <f>D114*pricing!D38*2000</f>
        <v>833153.29752410739</v>
      </c>
      <c r="E125">
        <f>E114*pricing!E38*2000</f>
        <v>1028559.3755562756</v>
      </c>
      <c r="F125">
        <f>F114*pricing!F38*2000</f>
        <v>863523.4289116693</v>
      </c>
      <c r="G125">
        <f>G114*pricing!G38*2000</f>
        <v>771291.72997558804</v>
      </c>
      <c r="H125">
        <f>H114*pricing!H38*2000</f>
        <v>663126.49030399672</v>
      </c>
      <c r="I125">
        <f>I114*pricing!I38*2000</f>
        <v>821157.90181669046</v>
      </c>
      <c r="J125">
        <f>J114*pricing!J38*2000</f>
        <v>1010312.0730995523</v>
      </c>
      <c r="K125">
        <f>K114*pricing!K38*2000</f>
        <v>817451.41047815629</v>
      </c>
      <c r="L125">
        <f>L114*pricing!L38*2000</f>
        <v>843580.20116358809</v>
      </c>
      <c r="M125">
        <f>M114*pricing!M38*2000</f>
        <v>912870.93911077431</v>
      </c>
      <c r="N125">
        <f>N114*pricing!N38*2000</f>
        <v>946130.4184290925</v>
      </c>
      <c r="O125">
        <f>O114*pricing!O38*2000</f>
        <v>783339.81305251084</v>
      </c>
    </row>
    <row r="126" spans="2:15">
      <c r="C126" s="99" t="s">
        <v>132</v>
      </c>
      <c r="D126">
        <f>D115*pricing!D39*2000</f>
        <v>1787142.5984632368</v>
      </c>
      <c r="E126">
        <f>E115*pricing!E39*2000</f>
        <v>1546410.4045765367</v>
      </c>
      <c r="F126">
        <f>F115*pricing!F39*2000</f>
        <v>1634072.3880192398</v>
      </c>
      <c r="G126">
        <f>G115*pricing!G39*2000</f>
        <v>1588299.7862240772</v>
      </c>
      <c r="H126">
        <f>H115*pricing!H39*2000</f>
        <v>1859261.093912553</v>
      </c>
      <c r="I126">
        <f>I115*pricing!I39*2000</f>
        <v>1334116.3335286358</v>
      </c>
      <c r="J126">
        <f>J115*pricing!J39*2000</f>
        <v>1535431.4503375194</v>
      </c>
      <c r="K126">
        <f>K115*pricing!K39*2000</f>
        <v>1254070.4496081318</v>
      </c>
      <c r="L126">
        <f>L115*pricing!L39*2000</f>
        <v>1588723.3397916581</v>
      </c>
      <c r="M126">
        <f>M115*pricing!M39*2000</f>
        <v>1593843.765713735</v>
      </c>
      <c r="N126">
        <f>N115*pricing!N39*2000</f>
        <v>1466918.9013329418</v>
      </c>
      <c r="O126">
        <f>O115*pricing!O39*2000</f>
        <v>1441386.3383931348</v>
      </c>
    </row>
    <row r="127" spans="2:15">
      <c r="C127" s="99" t="s">
        <v>278</v>
      </c>
      <c r="D127">
        <f>SUM(D$120:D$126)</f>
        <v>13763502.911276495</v>
      </c>
      <c r="E127">
        <f t="shared" ref="E127:O127" si="1">SUM(E$120:E$126)</f>
        <v>15473646.591691632</v>
      </c>
      <c r="F127">
        <f t="shared" si="1"/>
        <v>13558767.687550779</v>
      </c>
      <c r="G127">
        <f t="shared" si="1"/>
        <v>14397978.148865907</v>
      </c>
      <c r="H127">
        <f t="shared" si="1"/>
        <v>13818106.435717244</v>
      </c>
      <c r="I127">
        <f t="shared" si="1"/>
        <v>12570734.453952311</v>
      </c>
      <c r="J127">
        <f t="shared" si="1"/>
        <v>14897927.330809003</v>
      </c>
      <c r="K127">
        <f t="shared" si="1"/>
        <v>13924028.076373026</v>
      </c>
      <c r="L127">
        <f t="shared" si="1"/>
        <v>12881328.263768975</v>
      </c>
      <c r="M127">
        <f t="shared" si="1"/>
        <v>12578616.242439305</v>
      </c>
      <c r="N127">
        <f t="shared" si="1"/>
        <v>15644254.536512032</v>
      </c>
      <c r="O127">
        <f t="shared" si="1"/>
        <v>14211197.938293165</v>
      </c>
    </row>
    <row r="129" spans="2:15">
      <c r="B129" s="101" t="s">
        <v>280</v>
      </c>
    </row>
    <row r="130" spans="2:15">
      <c r="C130" s="103" t="s">
        <v>277</v>
      </c>
      <c r="D130" s="103" t="s">
        <v>92</v>
      </c>
      <c r="E130" s="103" t="s">
        <v>93</v>
      </c>
      <c r="F130" s="103" t="s">
        <v>94</v>
      </c>
      <c r="G130" s="103" t="s">
        <v>95</v>
      </c>
      <c r="H130" s="103" t="s">
        <v>96</v>
      </c>
      <c r="I130" s="103" t="s">
        <v>97</v>
      </c>
      <c r="J130" s="103" t="s">
        <v>98</v>
      </c>
      <c r="K130" s="103" t="s">
        <v>99</v>
      </c>
      <c r="L130" s="103" t="s">
        <v>100</v>
      </c>
      <c r="M130" s="103" t="s">
        <v>101</v>
      </c>
      <c r="N130" s="103" t="s">
        <v>102</v>
      </c>
      <c r="O130" s="103" t="s">
        <v>103</v>
      </c>
    </row>
    <row r="131" spans="2:15">
      <c r="C131" s="103" t="s">
        <v>126</v>
      </c>
      <c r="D131" s="104">
        <f>SUM(E$6:E$19)+SUM(G$6:G$19)+SUM(I$6:I$19)+SUM(K$6:K$19)</f>
        <v>154304.51647344741</v>
      </c>
      <c r="E131" s="104">
        <f>SUM(M$6:M$19)+SUM(O$6:O$19)+SUM(Q$6:Q$19)+SUM(S$6:S$19)</f>
        <v>197494.60697983642</v>
      </c>
      <c r="F131" s="104">
        <f>SUM(U$6:U$19)+SUM(W$6:W$19)+SUM(Y$6:Y$19)+SUM(AA$6:AA$19)</f>
        <v>150540.02867632441</v>
      </c>
      <c r="G131" s="104">
        <f>SUM(AC$6:AC$19)+SUM(AE$6:AE$19)+SUM(AG$6:AG$19)+SUM(AI$6:AI$19)</f>
        <v>202239.39247710424</v>
      </c>
      <c r="H131" s="104">
        <f>SUM(AK$6:AK$19)+SUM(AM$6:AM$19)+SUM(AO$6:AO$19)+SUM(AQ$6:AQ$19)</f>
        <v>187931.88164995253</v>
      </c>
      <c r="I131" s="104">
        <f>SUM(AS$6:AS$19)+SUM(AU$6:AU$19)+SUM(AW$6:AW$19)+SUM(AY$6:AY$19)</f>
        <v>131702.72928585211</v>
      </c>
      <c r="J131" s="104">
        <f>SUM(BA$6:BA$19)+SUM(BC$6:BC$19)+SUM(BE$6:BE$19)+SUM(BG$6:BG$19)</f>
        <v>148698.22198693146</v>
      </c>
      <c r="K131" s="104">
        <f>SUM(BI$6:BI$19)+SUM(BK$6:BK$19)+SUM(BM$6:BM$19)+SUM(BO$6:BO$19)</f>
        <v>180392.26885012482</v>
      </c>
      <c r="L131" s="104">
        <f>SUM(BQ$6:BQ$19)+SUM(BS$6:BS$19)+SUM(BU$6:BU$19)+SUM(BW$6:BW$19)</f>
        <v>162294.74112752994</v>
      </c>
      <c r="M131" s="104">
        <f>SUM(BY$6:BY$19)+SUM(CA$6:CA$19)+SUM(CC$6:CC$19)+SUM(CE$6:CE$19)</f>
        <v>140244.34697961723</v>
      </c>
      <c r="N131" s="104">
        <f>SUM(CG$6:CG$19)+SUM(CI$6:CI$19)+SUM(CK$6:CK$19)+SUM(CM$6:CM$19)</f>
        <v>243516.29959577898</v>
      </c>
      <c r="O131" s="104">
        <f>SUM(CO$6:CO$19)+SUM(CQ$6:CQ$19)+SUM(CS$6:CS$19)+SUM(CU$6:CU$19)</f>
        <v>185878.49294034619</v>
      </c>
    </row>
    <row r="132" spans="2:15">
      <c r="C132" s="103" t="s">
        <v>127</v>
      </c>
      <c r="D132" s="104">
        <f>SUM(E$20:E$36)+SUM(G$20:G$36)+SUM(I$20:I$36)+SUM(K$20:K$36)</f>
        <v>199341.93632100898</v>
      </c>
      <c r="E132" s="104">
        <f>SUM(M$20:M$36)+SUM(O$20:O$36)+SUM(Q$20:Q$36)+SUM(S$20:S$36)</f>
        <v>216831.76986454969</v>
      </c>
      <c r="F132" s="104">
        <f>SUM(U$20:U$36)+SUM(W$20:W$36)+SUM(Y$20:Y$36)+SUM(AA$20:AA$36)</f>
        <v>198951.85665777052</v>
      </c>
      <c r="G132" s="104">
        <f>SUM(AC$20:AC$36)+SUM(AE$20:AE$36)+SUM(AG$20:AG$36)+SUM(AI$20:AI$36)</f>
        <v>225379.66167595494</v>
      </c>
      <c r="H132" s="104">
        <f>SUM(AK$20:AK$36)+SUM(AM$20:AM$36)+SUM(AO$20:AO$36)+SUM(AQ$20:AQ$36)</f>
        <v>185807.92083171132</v>
      </c>
      <c r="I132" s="104">
        <f>SUM(AS$20:AS$36)+SUM(AU$20:AU$36)+SUM(AW$20:AW$36)+SUM(AY$20:AY$36)</f>
        <v>208381.64769523172</v>
      </c>
      <c r="J132" s="104">
        <f>SUM(BA$20:BA$36)+SUM(BC$20:BC$36)+SUM(BE$20:BE$36)+SUM(BG$20:BG$36)</f>
        <v>228718.6752167074</v>
      </c>
      <c r="K132" s="104">
        <f>SUM(BI$20:BI$36)+SUM(BK$20:BK$36)+SUM(BM$20:BM$36)+SUM(BO$20:BO$36)</f>
        <v>191481.60106714937</v>
      </c>
      <c r="L132" s="104">
        <f>SUM(BQ$20:BQ$36)+SUM(BS$20:BS$36)+SUM(BU$20:BU$36)+SUM(BW$20:BW$36)</f>
        <v>170377.67452872987</v>
      </c>
      <c r="M132" s="104">
        <f>SUM(BY$20:BY$36)+SUM(CA$20:CA$36)+SUM(CC$20:CC$36)+SUM(CE$20:CE$36)</f>
        <v>158932.62275266481</v>
      </c>
      <c r="N132" s="104">
        <f>SUM(CG$20:CG$36)+SUM(CI$20:CI$36)+SUM(CK$20:CK$36)+SUM(CM$20:CM$36)</f>
        <v>233293.25987504923</v>
      </c>
      <c r="O132" s="104">
        <f>SUM(CO$20:CO$36)+SUM(CQ$20:CQ$36)+SUM(CS$20:CS$36)+SUM(CU$20:CU$36)</f>
        <v>185250.14830924902</v>
      </c>
    </row>
    <row r="133" spans="2:15">
      <c r="C133" s="103" t="s">
        <v>128</v>
      </c>
      <c r="D133" s="104">
        <f>SUM(E$37:E$48)+SUM(G$37:G$48)+SUM(I$37:I$48)+SUM(K$37:K$48)</f>
        <v>553323.35201850464</v>
      </c>
      <c r="E133" s="104">
        <f>SUM(M$37:M$48)+SUM(O$37:O$48)+SUM(Q$37:Q$48)+SUM(S$37:S$48)</f>
        <v>671948.62323373044</v>
      </c>
      <c r="F133" s="104">
        <f>SUM(U$37:U$48)+SUM(W$37:W$48)+SUM(Y$37:Y$48)+SUM(AA$37:AA$48)</f>
        <v>549266.60683693085</v>
      </c>
      <c r="G133" s="104">
        <f>SUM(AC$37:AC$48)+SUM(AE$37:AE$48)+SUM(AG$37:AG$48)+SUM(AI$37:AI$48)</f>
        <v>605013.69607806252</v>
      </c>
      <c r="H133" s="104">
        <f>SUM(AK$37:AK$48)+SUM(AM$37:AM$48)+SUM(AO$37:AO$48)+SUM(AQ$37:AQ$48)</f>
        <v>520398.60092537908</v>
      </c>
      <c r="I133" s="104">
        <f>SUM(AS$37:AS$48)+SUM(AU$37:AU$48)+SUM(AW$37:AW$48)+SUM(AY$37:AY$48)</f>
        <v>566157.77308653085</v>
      </c>
      <c r="J133" s="104">
        <f>SUM(BA$37:BA$48)+SUM(BC$37:BC$48)+SUM(BE$37:BE$48)+SUM(BG$37:BG$48)</f>
        <v>725192.94653693517</v>
      </c>
      <c r="K133" s="104">
        <f>SUM(BI$37:BI$48)+SUM(BK$37:BK$48)+SUM(BM$37:BM$48)+SUM(BO$37:BO$48)</f>
        <v>618373.66136285104</v>
      </c>
      <c r="L133" s="104">
        <f>SUM(BQ$37:BQ$48)+SUM(BS$37:BS$48)+SUM(BU$37:BU$48)+SUM(BW$37:BW$48)</f>
        <v>482355.41618509771</v>
      </c>
      <c r="M133" s="104">
        <f>SUM(BY$37:BY$48)+SUM(CA$37:CA$48)+SUM(CC$37:CC$48)+SUM(CE$37:CE$48)</f>
        <v>532767.52634168183</v>
      </c>
      <c r="N133" s="104">
        <f>SUM(CG$37:CG$48)+SUM(CI$37:CI$48)+SUM(CK$37:CK$48)+SUM(CM$37:CM$48)</f>
        <v>732104.18647365086</v>
      </c>
      <c r="O133" s="104">
        <f>SUM(CO$37:CO$48)+SUM(CQ$37:CQ$48)+SUM(CS$37:CS$48)+SUM(CU$37:CU$48)</f>
        <v>627495.83489476843</v>
      </c>
    </row>
    <row r="134" spans="2:15">
      <c r="C134" s="103" t="s">
        <v>129</v>
      </c>
      <c r="D134" s="104">
        <f>SUM(E$49:E$70)+SUM(G$49:G$70)+SUM(I$49:I$70)+SUM(K$49:K$70)</f>
        <v>465141.69330468692</v>
      </c>
      <c r="E134" s="104">
        <f>SUM(M$49:M$70)+SUM(O$49:O$70)+SUM(Q$49:Q$70)+SUM(S$49:S$70)</f>
        <v>559824.75087881647</v>
      </c>
      <c r="F134" s="104">
        <f>SUM(U$49:U$70)+SUM(W$49:W$70)+SUM(Y$49:Y$70)+SUM(AA$49:AA$70)</f>
        <v>495450.34051130561</v>
      </c>
      <c r="G134" s="104">
        <f>SUM(AC$49:AC$70)+SUM(AE$49:AE$70)+SUM(AG$49:AG$70)+SUM(AI$49:AI$70)</f>
        <v>488160.53694000747</v>
      </c>
      <c r="H134" s="104">
        <f>SUM(AK$49:AK$70)+SUM(AM$49:AM$70)+SUM(AO$49:AO$70)+SUM(AQ$49:AQ$70)</f>
        <v>447525.66533534724</v>
      </c>
      <c r="I134" s="104">
        <f>SUM(AS$49:AS$70)+SUM(AU$49:AU$70)+SUM(AW$49:AW$70)+SUM(AY$49:AY$70)</f>
        <v>410860.43963273847</v>
      </c>
      <c r="J134" s="104">
        <f>SUM(BA$49:BA$70)+SUM(BC$49:BC$70)+SUM(BE$49:BE$70)+SUM(BG$49:BG$70)</f>
        <v>481876.91472688026</v>
      </c>
      <c r="K134" s="104">
        <f>SUM(BI$49:BI$70)+SUM(BK$49:BK$70)+SUM(BM$49:BM$70)+SUM(BO$49:BO$70)</f>
        <v>514419.96594653593</v>
      </c>
      <c r="L134" s="104">
        <f>SUM(BQ$49:BQ$70)+SUM(BS$49:BS$70)+SUM(BU$49:BU$70)+SUM(BW$49:BW$70)</f>
        <v>413966.44958299899</v>
      </c>
      <c r="M134" s="104">
        <f>SUM(BY$49:BY$70)+SUM(CA$49:CA$70)+SUM(CC$49:CC$70)+SUM(CE$49:CE$70)</f>
        <v>422923.61660318461</v>
      </c>
      <c r="N134" s="104">
        <f>SUM(CG$49:CG$70)+SUM(CI$49:CI$70)+SUM(CK$49:CK$70)+SUM(CM$49:CM$70)</f>
        <v>551837.33412468189</v>
      </c>
      <c r="O134" s="104">
        <f>SUM(CO$49:CO$70)+SUM(CQ$49:CQ$70)+SUM(CS$49:CS$70)+SUM(CU$49:CU$70)</f>
        <v>508791.03958857991</v>
      </c>
    </row>
    <row r="135" spans="2:15">
      <c r="C135" s="103" t="s">
        <v>130</v>
      </c>
      <c r="D135" s="104">
        <f>SUM(E$71:E$86)+SUM(G$71:G$86)+SUM(I$71:I$86)+SUM(K$71:K$86)</f>
        <v>221112.53420613607</v>
      </c>
      <c r="E135" s="104">
        <f>SUM(M$71:M$86)+SUM(O$71:O$86)+SUM(Q$71:Q$86)+SUM(S$71:S$86)</f>
        <v>222771.5464405698</v>
      </c>
      <c r="F135" s="104">
        <f>SUM(U$71:U$86)+SUM(W$71:W$86)+SUM(Y$71:Y$86)+SUM(AA$71:AA$86)</f>
        <v>194254.64561933046</v>
      </c>
      <c r="G135" s="104">
        <f>SUM(AC$71:AC$86)+SUM(AE$71:AE$86)+SUM(AG$71:AG$86)+SUM(AI$71:AI$86)</f>
        <v>183307.73743817143</v>
      </c>
      <c r="H135" s="104">
        <f>SUM(AK$71:AK$86)+SUM(AM$71:AM$86)+SUM(AO$71:AO$86)+SUM(AQ$71:AQ$86)</f>
        <v>239410.36053360396</v>
      </c>
      <c r="I135" s="104">
        <f>SUM(AS$71:AS$86)+SUM(AU$71:AU$86)+SUM(AW$71:AW$86)+SUM(AY$71:AY$86)</f>
        <v>182038.17164610082</v>
      </c>
      <c r="J135" s="104">
        <f>SUM(BA$71:BA$86)+SUM(BC$71:BC$86)+SUM(BE$71:BE$86)+SUM(BG$71:BG$86)</f>
        <v>223290.37732160831</v>
      </c>
      <c r="K135" s="104">
        <f>SUM(BI$71:BI$86)+SUM(BK$71:BK$86)+SUM(BM$71:BM$86)+SUM(BO$71:BO$86)</f>
        <v>207093.64464828186</v>
      </c>
      <c r="L135" s="104">
        <f>SUM(BQ$71:BQ$86)+SUM(BS$71:BS$86)+SUM(BU$71:BU$86)+SUM(BW$71:BW$86)</f>
        <v>238849.8972856765</v>
      </c>
      <c r="M135" s="104">
        <f>SUM(BY$71:BY$86)+SUM(CA$71:CA$86)+SUM(CC$71:CC$86)+SUM(CE$71:CE$86)</f>
        <v>210144.57087204105</v>
      </c>
      <c r="N135" s="104">
        <f>SUM(CG$71:CG$86)+SUM(CI$71:CI$86)+SUM(CK$71:CK$86)+SUM(CM$71:CM$86)</f>
        <v>155211.74117884575</v>
      </c>
      <c r="O135" s="104">
        <f>SUM(CO$71:CO$86)+SUM(CQ$71:CQ$86)+SUM(CS$71:CS$86)+SUM(CU$71:CU$86)</f>
        <v>228889.19995004142</v>
      </c>
    </row>
    <row r="136" spans="2:15">
      <c r="C136" s="103" t="s">
        <v>131</v>
      </c>
      <c r="D136" s="104">
        <f>SUM(E$87:E$94)+SUM(G$87:G$94)+SUM(I$87:I$94)+SUM(K$87:K$94)</f>
        <v>149414.34495506115</v>
      </c>
      <c r="E136" s="104">
        <f>SUM(M$87:M$94)+SUM(O$87:O$94)+SUM(Q$87:Q$94)+SUM(S$87:S$94)</f>
        <v>184390.55776935001</v>
      </c>
      <c r="F136" s="104">
        <f>SUM(U$87:U$94)+SUM(W$87:W$94)+SUM(Y$87:Y$94)+SUM(AA$87:AA$94)</f>
        <v>154924.68681983685</v>
      </c>
      <c r="G136" s="104">
        <f>SUM(AC$87:AC$94)+SUM(AE$87:AE$94)+SUM(AG$87:AG$94)+SUM(AI$87:AI$94)</f>
        <v>137877.56330121274</v>
      </c>
      <c r="H136" s="104">
        <f>SUM(AK$87:AK$94)+SUM(AM$87:AM$94)+SUM(AO$87:AO$94)+SUM(AQ$87:AQ$94)</f>
        <v>118079.76914918085</v>
      </c>
      <c r="I136" s="104">
        <f>SUM(AS$87:AS$94)+SUM(AU$87:AU$94)+SUM(AW$87:AW$94)+SUM(AY$87:AY$94)</f>
        <v>146527.09172519905</v>
      </c>
      <c r="J136" s="104">
        <f>SUM(BA$87:BA$94)+SUM(BC$87:BC$94)+SUM(BE$87:BE$94)+SUM(BG$87:BG$94)</f>
        <v>181030.45664250373</v>
      </c>
      <c r="K136" s="104">
        <f>SUM(BI$87:BI$94)+SUM(BK$87:BK$94)+SUM(BM$87:BM$94)+SUM(BO$87:BO$94)</f>
        <v>146722.45380685927</v>
      </c>
      <c r="L136" s="104">
        <f>SUM(BQ$87:BQ$94)+SUM(BS$87:BS$94)+SUM(BU$87:BU$94)+SUM(BW$87:BW$94)</f>
        <v>151188.70463144773</v>
      </c>
      <c r="M136" s="104">
        <f>SUM(BY$87:BY$94)+SUM(CA$87:CA$94)+SUM(CC$87:CC$94)+SUM(CE$87:CE$94)</f>
        <v>163372.79788002011</v>
      </c>
      <c r="N136" s="104">
        <f>SUM(CG$87:CG$94)+SUM(CI$87:CI$94)+SUM(CK$87:CK$94)+SUM(CM$87:CM$94)</f>
        <v>169169.34974678169</v>
      </c>
      <c r="O136" s="104">
        <f>SUM(CO$87:CO$94)+SUM(CQ$87:CQ$94)+SUM(CS$87:CS$94)+SUM(CU$87:CU$94)</f>
        <v>140307.47223051946</v>
      </c>
    </row>
    <row r="137" spans="2:15">
      <c r="C137" s="103" t="s">
        <v>132</v>
      </c>
      <c r="D137" s="104">
        <f>SUM(E$95:E$105)+SUM(G$95:G$105)+SUM(I$95:I$105)+SUM(K$95:K$105)</f>
        <v>269216.81713805045</v>
      </c>
      <c r="E137" s="104">
        <f>SUM(M$95:M$105)+SUM(O$95:O$105)+SUM(Q$95:Q$105)+SUM(S$95:S$105)</f>
        <v>237355.06510357308</v>
      </c>
      <c r="F137" s="104">
        <f>SUM(U$95:U$105)+SUM(W$95:W$105)+SUM(Y$95:Y$105)+SUM(AA$95:AA$105)</f>
        <v>240065.44308116502</v>
      </c>
      <c r="G137" s="104">
        <f>SUM(AC$95:AC$105)+SUM(AE$95:AE$105)+SUM(AG$95:AG$105)+SUM(AI$95:AI$105)</f>
        <v>238242.31302657846</v>
      </c>
      <c r="H137" s="104">
        <f>SUM(AK$95:AK$105)+SUM(AM$95:AM$105)+SUM(AO$95:AO$105)+SUM(AQ$95:AQ$105)</f>
        <v>278629.66994428897</v>
      </c>
      <c r="I137" s="104">
        <f>SUM(AS$95:AS$105)+SUM(AU$95:AU$105)+SUM(AW$95:AW$105)+SUM(AY$95:AY$105)</f>
        <v>198847.83503452028</v>
      </c>
      <c r="J137" s="104">
        <f>SUM(BA$95:BA$105)+SUM(BC$95:BC$105)+SUM(BE$95:BE$105)+SUM(BG$95:BG$105)</f>
        <v>233461.46144573425</v>
      </c>
      <c r="K137" s="104">
        <f>SUM(BI$95:BI$105)+SUM(BK$95:BK$105)+SUM(BM$95:BM$105)+SUM(BO$95:BO$105)</f>
        <v>190374.54754853636</v>
      </c>
      <c r="L137" s="104">
        <f>SUM(BQ$95:BQ$105)+SUM(BS$95:BS$105)+SUM(BU$95:BU$105)+SUM(BW$95:BW$105)</f>
        <v>238503.07683718769</v>
      </c>
      <c r="M137" s="104">
        <f>SUM(BY$95:BY$105)+SUM(CA$95:CA$105)+SUM(CC$95:CC$105)+SUM(CE$95:CE$105)</f>
        <v>239915.58423402111</v>
      </c>
      <c r="N137" s="104">
        <f>SUM(CG$95:CG$105)+SUM(CI$95:CI$105)+SUM(CK$95:CK$105)+SUM(CM$95:CM$105)</f>
        <v>214654.89341726986</v>
      </c>
      <c r="O137" s="104">
        <f>SUM(CO$95:CO$105)+SUM(CQ$95:CQ$105)+SUM(CS$95:CS$105)+SUM(CU$95:CU$105)</f>
        <v>212033.26087184544</v>
      </c>
    </row>
    <row r="138" spans="2:15">
      <c r="C138" s="103" t="s">
        <v>278</v>
      </c>
      <c r="D138">
        <f t="shared" ref="D138:O138" si="2">SUM(D$131:D$137)</f>
        <v>2011855.1944168957</v>
      </c>
      <c r="E138">
        <f t="shared" si="2"/>
        <v>2290616.9202704257</v>
      </c>
      <c r="F138">
        <f t="shared" si="2"/>
        <v>1983453.6082026639</v>
      </c>
      <c r="G138">
        <f t="shared" si="2"/>
        <v>2080220.9009370918</v>
      </c>
      <c r="H138">
        <f t="shared" si="2"/>
        <v>1977783.8683694641</v>
      </c>
      <c r="I138">
        <f t="shared" si="2"/>
        <v>1844515.6881061732</v>
      </c>
      <c r="J138">
        <f t="shared" si="2"/>
        <v>2222269.053877301</v>
      </c>
      <c r="K138">
        <f t="shared" si="2"/>
        <v>2048858.1432303386</v>
      </c>
      <c r="L138">
        <f t="shared" si="2"/>
        <v>1857535.9601786686</v>
      </c>
      <c r="M138">
        <f t="shared" si="2"/>
        <v>1868301.0656632306</v>
      </c>
      <c r="N138">
        <f t="shared" si="2"/>
        <v>2299787.0644120583</v>
      </c>
      <c r="O138">
        <f t="shared" si="2"/>
        <v>2088645.44878535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baseColWidth="10" defaultColWidth="8.83203125" defaultRowHeight="12" x14ac:dyDescent="0"/>
  <cols>
    <col min="3" max="3" width="14.5" bestFit="1" customWidth="1"/>
    <col min="4" max="4" width="16.83203125" bestFit="1" customWidth="1"/>
    <col min="5" max="5" width="22.83203125" bestFit="1" customWidth="1"/>
  </cols>
  <sheetData>
    <row r="1" spans="1:5">
      <c r="A1" s="99" t="s">
        <v>167</v>
      </c>
      <c r="B1" s="99" t="s">
        <v>168</v>
      </c>
      <c r="C1" s="99" t="s">
        <v>169</v>
      </c>
      <c r="D1" s="99" t="s">
        <v>170</v>
      </c>
      <c r="E1" s="99" t="s">
        <v>171</v>
      </c>
    </row>
    <row r="2" spans="1:5">
      <c r="A2" s="99" t="s">
        <v>126</v>
      </c>
      <c r="B2" s="99" t="s">
        <v>172</v>
      </c>
      <c r="C2" t="s">
        <v>59</v>
      </c>
      <c r="D2">
        <v>482</v>
      </c>
      <c r="E2">
        <v>578.4</v>
      </c>
    </row>
    <row r="3" spans="1:5">
      <c r="B3" s="99" t="s">
        <v>173</v>
      </c>
      <c r="C3" t="s">
        <v>59</v>
      </c>
      <c r="D3">
        <v>657</v>
      </c>
      <c r="E3">
        <v>788.4</v>
      </c>
    </row>
    <row r="4" spans="1:5">
      <c r="B4" s="99" t="s">
        <v>174</v>
      </c>
      <c r="C4" t="s">
        <v>59</v>
      </c>
      <c r="D4">
        <v>258</v>
      </c>
      <c r="E4">
        <v>309.59999999999997</v>
      </c>
    </row>
    <row r="5" spans="1:5">
      <c r="B5" s="99" t="s">
        <v>175</v>
      </c>
      <c r="C5" t="s">
        <v>59</v>
      </c>
      <c r="D5">
        <v>585</v>
      </c>
      <c r="E5">
        <v>702</v>
      </c>
    </row>
    <row r="6" spans="1:5">
      <c r="B6" s="99" t="s">
        <v>176</v>
      </c>
      <c r="C6" t="s">
        <v>59</v>
      </c>
      <c r="D6">
        <v>454</v>
      </c>
      <c r="E6">
        <v>544.79999999999995</v>
      </c>
    </row>
    <row r="7" spans="1:5">
      <c r="B7" s="99" t="s">
        <v>177</v>
      </c>
      <c r="C7" t="s">
        <v>59</v>
      </c>
      <c r="D7">
        <v>444</v>
      </c>
      <c r="E7">
        <v>532.79999999999995</v>
      </c>
    </row>
    <row r="8" spans="1:5">
      <c r="B8" s="99" t="s">
        <v>178</v>
      </c>
      <c r="C8" t="s">
        <v>59</v>
      </c>
      <c r="D8">
        <v>469</v>
      </c>
      <c r="E8">
        <v>562.79999999999995</v>
      </c>
    </row>
    <row r="9" spans="1:5">
      <c r="B9" s="99" t="s">
        <v>179</v>
      </c>
      <c r="C9" t="s">
        <v>59</v>
      </c>
      <c r="D9">
        <v>71</v>
      </c>
      <c r="E9">
        <v>85.2</v>
      </c>
    </row>
    <row r="10" spans="1:5">
      <c r="B10" s="99" t="s">
        <v>180</v>
      </c>
      <c r="C10" t="s">
        <v>59</v>
      </c>
      <c r="D10">
        <v>407</v>
      </c>
      <c r="E10">
        <v>488.4</v>
      </c>
    </row>
    <row r="11" spans="1:5">
      <c r="B11" s="99" t="s">
        <v>181</v>
      </c>
      <c r="C11" t="s">
        <v>59</v>
      </c>
      <c r="D11">
        <v>636</v>
      </c>
      <c r="E11">
        <v>763.19999999999993</v>
      </c>
    </row>
    <row r="12" spans="1:5">
      <c r="B12" s="99" t="s">
        <v>182</v>
      </c>
      <c r="C12" t="s">
        <v>59</v>
      </c>
      <c r="D12">
        <v>284</v>
      </c>
      <c r="E12">
        <v>340.8</v>
      </c>
    </row>
    <row r="13" spans="1:5">
      <c r="B13" s="99" t="s">
        <v>183</v>
      </c>
      <c r="C13" t="s">
        <v>59</v>
      </c>
      <c r="D13">
        <v>352</v>
      </c>
      <c r="E13">
        <v>422.4</v>
      </c>
    </row>
    <row r="14" spans="1:5">
      <c r="B14" s="99" t="s">
        <v>184</v>
      </c>
      <c r="C14" t="s">
        <v>59</v>
      </c>
      <c r="D14">
        <v>544</v>
      </c>
      <c r="E14">
        <v>652.79999999999995</v>
      </c>
    </row>
    <row r="15" spans="1:5">
      <c r="B15" s="99" t="s">
        <v>185</v>
      </c>
      <c r="C15" t="s">
        <v>59</v>
      </c>
      <c r="D15">
        <v>275</v>
      </c>
      <c r="E15">
        <v>330</v>
      </c>
    </row>
    <row r="16" spans="1:5">
      <c r="A16" s="99" t="s">
        <v>127</v>
      </c>
      <c r="B16" s="99" t="s">
        <v>186</v>
      </c>
      <c r="C16" t="s">
        <v>59</v>
      </c>
      <c r="D16">
        <v>239</v>
      </c>
      <c r="E16">
        <v>286.8</v>
      </c>
    </row>
    <row r="17" spans="2:5">
      <c r="B17" s="99" t="s">
        <v>187</v>
      </c>
      <c r="C17" t="s">
        <v>59</v>
      </c>
      <c r="D17">
        <v>52</v>
      </c>
      <c r="E17">
        <v>62.4</v>
      </c>
    </row>
    <row r="18" spans="2:5">
      <c r="B18" s="99" t="s">
        <v>188</v>
      </c>
      <c r="C18" t="s">
        <v>59</v>
      </c>
      <c r="D18">
        <v>156</v>
      </c>
      <c r="E18">
        <v>187.2</v>
      </c>
    </row>
    <row r="19" spans="2:5">
      <c r="B19" s="99" t="s">
        <v>189</v>
      </c>
      <c r="C19" t="s">
        <v>59</v>
      </c>
      <c r="D19">
        <v>245</v>
      </c>
      <c r="E19">
        <v>294</v>
      </c>
    </row>
    <row r="20" spans="2:5">
      <c r="B20" s="99" t="s">
        <v>190</v>
      </c>
      <c r="C20" t="s">
        <v>59</v>
      </c>
      <c r="D20">
        <v>306</v>
      </c>
      <c r="E20">
        <v>367.2</v>
      </c>
    </row>
    <row r="21" spans="2:5">
      <c r="B21" s="99" t="s">
        <v>191</v>
      </c>
      <c r="C21" t="s">
        <v>59</v>
      </c>
      <c r="D21">
        <v>442</v>
      </c>
      <c r="E21">
        <v>530.4</v>
      </c>
    </row>
    <row r="22" spans="2:5">
      <c r="B22" s="99" t="s">
        <v>192</v>
      </c>
      <c r="C22" t="s">
        <v>59</v>
      </c>
      <c r="D22">
        <v>405</v>
      </c>
      <c r="E22">
        <v>486</v>
      </c>
    </row>
    <row r="23" spans="2:5">
      <c r="B23" s="99" t="s">
        <v>193</v>
      </c>
      <c r="C23" t="s">
        <v>59</v>
      </c>
      <c r="D23">
        <v>356</v>
      </c>
      <c r="E23">
        <v>427.2</v>
      </c>
    </row>
    <row r="24" spans="2:5">
      <c r="B24" s="99" t="s">
        <v>194</v>
      </c>
      <c r="C24" t="s">
        <v>59</v>
      </c>
      <c r="D24">
        <v>615</v>
      </c>
      <c r="E24">
        <v>738</v>
      </c>
    </row>
    <row r="25" spans="2:5">
      <c r="B25" s="99" t="s">
        <v>195</v>
      </c>
      <c r="C25" t="s">
        <v>59</v>
      </c>
      <c r="D25">
        <v>282</v>
      </c>
      <c r="E25">
        <v>338.4</v>
      </c>
    </row>
    <row r="26" spans="2:5">
      <c r="B26" s="99" t="s">
        <v>196</v>
      </c>
      <c r="C26" t="s">
        <v>59</v>
      </c>
      <c r="D26">
        <v>116</v>
      </c>
      <c r="E26">
        <v>139.19999999999999</v>
      </c>
    </row>
    <row r="27" spans="2:5">
      <c r="B27" s="99" t="s">
        <v>197</v>
      </c>
      <c r="C27" t="s">
        <v>59</v>
      </c>
      <c r="D27">
        <v>284</v>
      </c>
      <c r="E27">
        <v>340.8</v>
      </c>
    </row>
    <row r="28" spans="2:5">
      <c r="B28" s="99" t="s">
        <v>198</v>
      </c>
      <c r="C28" t="s">
        <v>59</v>
      </c>
      <c r="D28">
        <v>700</v>
      </c>
      <c r="E28">
        <v>840</v>
      </c>
    </row>
    <row r="29" spans="2:5">
      <c r="B29" s="99" t="s">
        <v>199</v>
      </c>
      <c r="C29" t="s">
        <v>59</v>
      </c>
      <c r="D29">
        <v>395</v>
      </c>
      <c r="E29">
        <v>474</v>
      </c>
    </row>
    <row r="30" spans="2:5">
      <c r="B30" s="99" t="s">
        <v>200</v>
      </c>
      <c r="C30" t="s">
        <v>59</v>
      </c>
      <c r="D30">
        <v>457</v>
      </c>
      <c r="E30">
        <v>548.4</v>
      </c>
    </row>
    <row r="31" spans="2:5">
      <c r="B31" s="99" t="s">
        <v>201</v>
      </c>
      <c r="C31" t="s">
        <v>59</v>
      </c>
      <c r="D31">
        <v>419</v>
      </c>
      <c r="E31">
        <v>502.7999999999999</v>
      </c>
    </row>
    <row r="32" spans="2:5">
      <c r="B32" s="99" t="s">
        <v>202</v>
      </c>
      <c r="C32" t="s">
        <v>59</v>
      </c>
      <c r="D32">
        <v>634</v>
      </c>
      <c r="E32">
        <v>760.8</v>
      </c>
    </row>
    <row r="33" spans="1:5">
      <c r="A33" s="99" t="s">
        <v>128</v>
      </c>
      <c r="B33" s="99" t="s">
        <v>203</v>
      </c>
      <c r="C33" t="s">
        <v>59</v>
      </c>
      <c r="D33">
        <v>717</v>
      </c>
      <c r="E33">
        <v>860.4</v>
      </c>
    </row>
    <row r="34" spans="1:5">
      <c r="B34" s="99" t="s">
        <v>204</v>
      </c>
      <c r="C34" t="s">
        <v>59</v>
      </c>
      <c r="D34">
        <v>1035</v>
      </c>
      <c r="E34">
        <v>1242</v>
      </c>
    </row>
    <row r="35" spans="1:5">
      <c r="B35" s="99" t="s">
        <v>205</v>
      </c>
      <c r="C35" t="s">
        <v>59</v>
      </c>
      <c r="D35">
        <v>1186</v>
      </c>
      <c r="E35">
        <v>1423.2</v>
      </c>
    </row>
    <row r="36" spans="1:5">
      <c r="B36" s="99" t="s">
        <v>206</v>
      </c>
      <c r="C36" t="s">
        <v>59</v>
      </c>
      <c r="D36">
        <v>604</v>
      </c>
      <c r="E36">
        <v>724.8</v>
      </c>
    </row>
    <row r="37" spans="1:5">
      <c r="B37" s="99" t="s">
        <v>207</v>
      </c>
      <c r="C37" t="s">
        <v>59</v>
      </c>
      <c r="D37">
        <v>550</v>
      </c>
      <c r="E37">
        <v>660</v>
      </c>
    </row>
    <row r="38" spans="1:5">
      <c r="B38" s="99" t="s">
        <v>208</v>
      </c>
      <c r="C38" t="s">
        <v>59</v>
      </c>
      <c r="D38">
        <v>705</v>
      </c>
      <c r="E38">
        <v>846</v>
      </c>
    </row>
    <row r="39" spans="1:5">
      <c r="B39" s="99" t="s">
        <v>209</v>
      </c>
      <c r="C39" t="s">
        <v>59</v>
      </c>
      <c r="D39">
        <v>852</v>
      </c>
      <c r="E39">
        <v>1022.4</v>
      </c>
    </row>
    <row r="40" spans="1:5">
      <c r="B40" s="99" t="s">
        <v>210</v>
      </c>
      <c r="C40" t="s">
        <v>59</v>
      </c>
      <c r="D40">
        <v>852</v>
      </c>
      <c r="E40">
        <v>1022.4</v>
      </c>
    </row>
    <row r="41" spans="1:5">
      <c r="B41" s="99" t="s">
        <v>211</v>
      </c>
      <c r="C41" t="s">
        <v>59</v>
      </c>
      <c r="D41">
        <v>1041</v>
      </c>
      <c r="E41">
        <v>1249.2</v>
      </c>
    </row>
    <row r="42" spans="1:5">
      <c r="B42" s="99" t="s">
        <v>212</v>
      </c>
      <c r="C42" t="s">
        <v>59</v>
      </c>
      <c r="D42">
        <v>1010</v>
      </c>
      <c r="E42">
        <v>1212</v>
      </c>
    </row>
    <row r="43" spans="1:5">
      <c r="B43" s="99" t="s">
        <v>213</v>
      </c>
      <c r="C43" t="s">
        <v>59</v>
      </c>
      <c r="D43">
        <v>1273</v>
      </c>
      <c r="E43">
        <v>1527.6</v>
      </c>
    </row>
    <row r="44" spans="1:5">
      <c r="B44" s="99" t="s">
        <v>214</v>
      </c>
      <c r="C44" t="s">
        <v>59</v>
      </c>
      <c r="D44">
        <v>723</v>
      </c>
      <c r="E44">
        <v>867.6</v>
      </c>
    </row>
    <row r="45" spans="1:5">
      <c r="A45" s="99" t="s">
        <v>129</v>
      </c>
      <c r="B45" s="99" t="s">
        <v>215</v>
      </c>
      <c r="C45" t="s">
        <v>22</v>
      </c>
      <c r="D45">
        <v>821</v>
      </c>
      <c r="E45">
        <v>985.19999999999993</v>
      </c>
    </row>
    <row r="46" spans="1:5">
      <c r="B46" s="99" t="s">
        <v>216</v>
      </c>
      <c r="C46" t="s">
        <v>59</v>
      </c>
      <c r="D46">
        <v>235</v>
      </c>
      <c r="E46">
        <v>282</v>
      </c>
    </row>
    <row r="47" spans="1:5">
      <c r="B47" s="99" t="s">
        <v>217</v>
      </c>
      <c r="C47" t="s">
        <v>59</v>
      </c>
      <c r="D47">
        <v>712</v>
      </c>
      <c r="E47">
        <v>854.4</v>
      </c>
    </row>
    <row r="48" spans="1:5">
      <c r="B48" s="99" t="s">
        <v>218</v>
      </c>
      <c r="C48" t="s">
        <v>59</v>
      </c>
      <c r="D48">
        <v>450</v>
      </c>
      <c r="E48">
        <v>540</v>
      </c>
    </row>
    <row r="49" spans="2:5">
      <c r="B49" s="99" t="s">
        <v>219</v>
      </c>
      <c r="C49" t="s">
        <v>59</v>
      </c>
      <c r="D49">
        <v>339</v>
      </c>
      <c r="E49">
        <v>406.8</v>
      </c>
    </row>
    <row r="50" spans="2:5">
      <c r="B50" s="99" t="s">
        <v>220</v>
      </c>
      <c r="C50" t="s">
        <v>59</v>
      </c>
      <c r="D50">
        <v>279</v>
      </c>
      <c r="E50">
        <v>334.8</v>
      </c>
    </row>
    <row r="51" spans="2:5">
      <c r="B51" s="99" t="s">
        <v>221</v>
      </c>
      <c r="C51" t="s">
        <v>59</v>
      </c>
      <c r="D51">
        <v>553</v>
      </c>
      <c r="E51">
        <v>663.6</v>
      </c>
    </row>
    <row r="52" spans="2:5">
      <c r="B52" s="99" t="s">
        <v>222</v>
      </c>
      <c r="C52" t="s">
        <v>46</v>
      </c>
      <c r="D52">
        <v>818</v>
      </c>
      <c r="E52">
        <v>981.59999999999991</v>
      </c>
    </row>
    <row r="53" spans="2:5">
      <c r="B53" s="99" t="s">
        <v>223</v>
      </c>
      <c r="C53" t="s">
        <v>59</v>
      </c>
      <c r="D53">
        <v>1176</v>
      </c>
      <c r="E53">
        <v>1411.2</v>
      </c>
    </row>
    <row r="54" spans="2:5">
      <c r="B54" s="99" t="s">
        <v>224</v>
      </c>
      <c r="C54" t="s">
        <v>22</v>
      </c>
      <c r="D54">
        <v>981</v>
      </c>
      <c r="E54">
        <v>1177.2</v>
      </c>
    </row>
    <row r="55" spans="2:5">
      <c r="B55" s="99" t="s">
        <v>225</v>
      </c>
      <c r="C55" t="s">
        <v>59</v>
      </c>
      <c r="D55">
        <v>253</v>
      </c>
      <c r="E55">
        <v>303.59999999999997</v>
      </c>
    </row>
    <row r="56" spans="2:5">
      <c r="B56" s="99" t="s">
        <v>226</v>
      </c>
      <c r="C56" t="s">
        <v>59</v>
      </c>
      <c r="D56">
        <v>543</v>
      </c>
      <c r="E56">
        <v>651.6</v>
      </c>
    </row>
    <row r="57" spans="2:5">
      <c r="B57" s="99" t="s">
        <v>227</v>
      </c>
      <c r="C57" t="s">
        <v>59</v>
      </c>
      <c r="D57">
        <v>793</v>
      </c>
      <c r="E57">
        <v>951.59999999999991</v>
      </c>
    </row>
    <row r="58" spans="2:5">
      <c r="B58" s="99" t="s">
        <v>228</v>
      </c>
      <c r="C58" t="s">
        <v>46</v>
      </c>
      <c r="D58">
        <v>1391</v>
      </c>
      <c r="E58">
        <v>1669.2</v>
      </c>
    </row>
    <row r="59" spans="2:5">
      <c r="B59" s="99" t="s">
        <v>229</v>
      </c>
      <c r="C59" t="s">
        <v>59</v>
      </c>
      <c r="D59">
        <v>663</v>
      </c>
      <c r="E59">
        <v>795.6</v>
      </c>
    </row>
    <row r="60" spans="2:5">
      <c r="B60" s="99" t="s">
        <v>230</v>
      </c>
      <c r="C60" t="s">
        <v>59</v>
      </c>
      <c r="D60">
        <v>841</v>
      </c>
      <c r="E60">
        <v>1009.1999999999998</v>
      </c>
    </row>
    <row r="61" spans="2:5">
      <c r="B61" s="99" t="s">
        <v>231</v>
      </c>
      <c r="C61" t="s">
        <v>59</v>
      </c>
      <c r="D61">
        <v>855</v>
      </c>
      <c r="E61">
        <v>1026</v>
      </c>
    </row>
    <row r="62" spans="2:5">
      <c r="B62" s="99" t="s">
        <v>232</v>
      </c>
      <c r="C62" t="s">
        <v>59</v>
      </c>
      <c r="D62">
        <v>992</v>
      </c>
      <c r="E62">
        <v>1190.3999999999999</v>
      </c>
    </row>
    <row r="63" spans="2:5">
      <c r="B63" s="99" t="s">
        <v>233</v>
      </c>
      <c r="C63" t="s">
        <v>59</v>
      </c>
      <c r="D63">
        <v>936</v>
      </c>
      <c r="E63">
        <v>1123.2</v>
      </c>
    </row>
    <row r="64" spans="2:5">
      <c r="B64" s="99" t="s">
        <v>234</v>
      </c>
      <c r="C64" t="s">
        <v>59</v>
      </c>
      <c r="D64">
        <v>861</v>
      </c>
      <c r="E64">
        <v>1033.2</v>
      </c>
    </row>
    <row r="65" spans="1:5">
      <c r="B65" s="99" t="s">
        <v>235</v>
      </c>
      <c r="C65" t="s">
        <v>59</v>
      </c>
      <c r="D65">
        <v>632</v>
      </c>
      <c r="E65">
        <v>758.4</v>
      </c>
    </row>
    <row r="66" spans="1:5">
      <c r="B66" s="99" t="s">
        <v>236</v>
      </c>
      <c r="C66" t="s">
        <v>59</v>
      </c>
      <c r="D66">
        <v>446</v>
      </c>
      <c r="E66">
        <v>535.19999999999993</v>
      </c>
    </row>
    <row r="67" spans="1:5">
      <c r="A67" s="99" t="s">
        <v>130</v>
      </c>
      <c r="B67" s="99" t="s">
        <v>237</v>
      </c>
      <c r="C67" t="s">
        <v>22</v>
      </c>
      <c r="D67">
        <v>470</v>
      </c>
      <c r="E67">
        <v>564</v>
      </c>
    </row>
    <row r="68" spans="1:5">
      <c r="B68" s="99" t="s">
        <v>238</v>
      </c>
      <c r="C68" t="s">
        <v>22</v>
      </c>
      <c r="D68">
        <v>62</v>
      </c>
      <c r="E68">
        <v>74.399999999999991</v>
      </c>
    </row>
    <row r="69" spans="1:5">
      <c r="B69" s="99" t="s">
        <v>239</v>
      </c>
      <c r="C69" t="s">
        <v>22</v>
      </c>
      <c r="D69">
        <v>466</v>
      </c>
      <c r="E69">
        <v>559.19999999999993</v>
      </c>
    </row>
    <row r="70" spans="1:5">
      <c r="B70" s="99" t="s">
        <v>240</v>
      </c>
      <c r="C70" t="s">
        <v>22</v>
      </c>
      <c r="D70">
        <v>336</v>
      </c>
      <c r="E70">
        <v>403.2</v>
      </c>
    </row>
    <row r="71" spans="1:5">
      <c r="B71" s="99" t="s">
        <v>241</v>
      </c>
      <c r="C71" t="s">
        <v>22</v>
      </c>
      <c r="D71">
        <v>536</v>
      </c>
      <c r="E71">
        <v>643.19999999999993</v>
      </c>
    </row>
    <row r="72" spans="1:5">
      <c r="B72" s="99" t="s">
        <v>242</v>
      </c>
      <c r="C72" t="s">
        <v>22</v>
      </c>
      <c r="D72">
        <v>649</v>
      </c>
      <c r="E72">
        <v>778.8</v>
      </c>
    </row>
    <row r="73" spans="1:5">
      <c r="B73" s="99" t="s">
        <v>243</v>
      </c>
      <c r="C73" t="s">
        <v>22</v>
      </c>
      <c r="D73">
        <v>232</v>
      </c>
      <c r="E73">
        <v>278.39999999999998</v>
      </c>
    </row>
    <row r="74" spans="1:5">
      <c r="B74" s="99" t="s">
        <v>244</v>
      </c>
      <c r="C74" t="s">
        <v>22</v>
      </c>
      <c r="D74">
        <v>460</v>
      </c>
      <c r="E74">
        <v>552</v>
      </c>
    </row>
    <row r="75" spans="1:5">
      <c r="B75" s="99" t="s">
        <v>245</v>
      </c>
      <c r="C75" t="s">
        <v>22</v>
      </c>
      <c r="D75">
        <v>631</v>
      </c>
      <c r="E75">
        <v>757.19999999999993</v>
      </c>
    </row>
    <row r="76" spans="1:5">
      <c r="B76" s="99" t="s">
        <v>246</v>
      </c>
      <c r="C76" t="s">
        <v>22</v>
      </c>
      <c r="D76">
        <v>671</v>
      </c>
      <c r="E76">
        <v>805.19999999999993</v>
      </c>
    </row>
    <row r="77" spans="1:5">
      <c r="B77" s="99" t="s">
        <v>247</v>
      </c>
      <c r="C77" t="s">
        <v>22</v>
      </c>
      <c r="D77">
        <v>628</v>
      </c>
      <c r="E77">
        <v>753.6</v>
      </c>
    </row>
    <row r="78" spans="1:5">
      <c r="B78" s="99" t="s">
        <v>248</v>
      </c>
      <c r="C78" t="s">
        <v>22</v>
      </c>
      <c r="D78">
        <v>424</v>
      </c>
      <c r="E78">
        <v>508.7999999999999</v>
      </c>
    </row>
    <row r="79" spans="1:5">
      <c r="B79" s="99" t="s">
        <v>249</v>
      </c>
      <c r="C79" t="s">
        <v>22</v>
      </c>
      <c r="D79">
        <v>717</v>
      </c>
      <c r="E79">
        <v>860.4</v>
      </c>
    </row>
    <row r="80" spans="1:5">
      <c r="B80" s="99" t="s">
        <v>250</v>
      </c>
      <c r="C80" t="s">
        <v>22</v>
      </c>
      <c r="D80">
        <v>651</v>
      </c>
      <c r="E80">
        <v>781.19999999999993</v>
      </c>
    </row>
    <row r="81" spans="1:5">
      <c r="B81" s="99" t="s">
        <v>251</v>
      </c>
      <c r="C81" t="s">
        <v>22</v>
      </c>
      <c r="D81">
        <v>125</v>
      </c>
      <c r="E81">
        <v>150</v>
      </c>
    </row>
    <row r="82" spans="1:5">
      <c r="B82" s="99" t="s">
        <v>252</v>
      </c>
      <c r="C82" t="s">
        <v>22</v>
      </c>
      <c r="D82">
        <v>450</v>
      </c>
      <c r="E82">
        <v>540</v>
      </c>
    </row>
    <row r="83" spans="1:5">
      <c r="A83" s="99" t="s">
        <v>131</v>
      </c>
      <c r="B83" s="99" t="s">
        <v>253</v>
      </c>
      <c r="C83" t="s">
        <v>46</v>
      </c>
      <c r="D83">
        <v>895</v>
      </c>
      <c r="E83">
        <v>1074</v>
      </c>
    </row>
    <row r="84" spans="1:5">
      <c r="B84" s="99" t="s">
        <v>254</v>
      </c>
      <c r="C84" t="s">
        <v>46</v>
      </c>
      <c r="D84">
        <v>827</v>
      </c>
      <c r="E84">
        <v>992.4</v>
      </c>
    </row>
    <row r="85" spans="1:5">
      <c r="B85" s="99" t="s">
        <v>255</v>
      </c>
      <c r="C85" t="s">
        <v>46</v>
      </c>
      <c r="D85">
        <v>885</v>
      </c>
      <c r="E85">
        <v>1062</v>
      </c>
    </row>
    <row r="86" spans="1:5">
      <c r="B86" s="99" t="s">
        <v>256</v>
      </c>
      <c r="C86" t="s">
        <v>46</v>
      </c>
      <c r="D86">
        <v>924</v>
      </c>
      <c r="E86">
        <v>1108.8</v>
      </c>
    </row>
    <row r="87" spans="1:5">
      <c r="B87" s="99" t="s">
        <v>257</v>
      </c>
      <c r="C87" t="s">
        <v>46</v>
      </c>
      <c r="D87">
        <v>947</v>
      </c>
      <c r="E87">
        <v>1136.3999999999999</v>
      </c>
    </row>
    <row r="88" spans="1:5">
      <c r="B88" s="99" t="s">
        <v>258</v>
      </c>
      <c r="C88" t="s">
        <v>46</v>
      </c>
      <c r="D88">
        <v>654</v>
      </c>
      <c r="E88">
        <v>784.8</v>
      </c>
    </row>
    <row r="89" spans="1:5">
      <c r="B89" s="99" t="s">
        <v>259</v>
      </c>
      <c r="C89" t="s">
        <v>46</v>
      </c>
      <c r="D89">
        <v>578</v>
      </c>
      <c r="E89">
        <v>693.6</v>
      </c>
    </row>
    <row r="90" spans="1:5">
      <c r="B90" s="99" t="s">
        <v>260</v>
      </c>
      <c r="C90" t="s">
        <v>46</v>
      </c>
      <c r="D90">
        <v>994</v>
      </c>
      <c r="E90">
        <v>1192.8</v>
      </c>
    </row>
    <row r="91" spans="1:5">
      <c r="A91" s="99" t="s">
        <v>132</v>
      </c>
      <c r="B91" s="99" t="s">
        <v>261</v>
      </c>
      <c r="C91" t="s">
        <v>46</v>
      </c>
      <c r="D91">
        <v>274</v>
      </c>
      <c r="E91">
        <v>328.8</v>
      </c>
    </row>
    <row r="92" spans="1:5">
      <c r="B92" s="99" t="s">
        <v>262</v>
      </c>
      <c r="C92" t="s">
        <v>46</v>
      </c>
      <c r="D92">
        <v>579</v>
      </c>
      <c r="E92">
        <v>694.8</v>
      </c>
    </row>
    <row r="93" spans="1:5">
      <c r="B93" s="99" t="s">
        <v>263</v>
      </c>
      <c r="C93" t="s">
        <v>46</v>
      </c>
      <c r="D93">
        <v>327</v>
      </c>
      <c r="E93">
        <v>392.4</v>
      </c>
    </row>
    <row r="94" spans="1:5">
      <c r="B94" s="99" t="s">
        <v>264</v>
      </c>
      <c r="C94" t="s">
        <v>46</v>
      </c>
      <c r="D94">
        <v>438</v>
      </c>
      <c r="E94">
        <v>525.6</v>
      </c>
    </row>
    <row r="95" spans="1:5">
      <c r="B95" s="99" t="s">
        <v>265</v>
      </c>
      <c r="C95" t="s">
        <v>46</v>
      </c>
      <c r="D95">
        <v>3507</v>
      </c>
      <c r="E95">
        <v>4208.3999999999996</v>
      </c>
    </row>
    <row r="96" spans="1:5">
      <c r="B96" s="99" t="s">
        <v>266</v>
      </c>
      <c r="C96" t="s">
        <v>46</v>
      </c>
      <c r="D96">
        <v>270</v>
      </c>
      <c r="E96">
        <v>324</v>
      </c>
    </row>
    <row r="97" spans="2:5">
      <c r="B97" s="99" t="s">
        <v>267</v>
      </c>
      <c r="C97" t="s">
        <v>46</v>
      </c>
      <c r="D97">
        <v>603</v>
      </c>
      <c r="E97">
        <v>723.6</v>
      </c>
    </row>
    <row r="98" spans="2:5">
      <c r="B98" s="99" t="s">
        <v>268</v>
      </c>
      <c r="C98" t="s">
        <v>46</v>
      </c>
      <c r="D98">
        <v>443</v>
      </c>
      <c r="E98">
        <v>531.6</v>
      </c>
    </row>
    <row r="99" spans="2:5">
      <c r="B99" s="99" t="s">
        <v>269</v>
      </c>
      <c r="C99" t="s">
        <v>46</v>
      </c>
      <c r="D99">
        <v>491</v>
      </c>
      <c r="E99">
        <v>589.19999999999993</v>
      </c>
    </row>
    <row r="100" spans="2:5">
      <c r="B100" s="99" t="s">
        <v>270</v>
      </c>
      <c r="C100" t="s">
        <v>46</v>
      </c>
      <c r="D100">
        <v>527</v>
      </c>
      <c r="E100">
        <v>632.4</v>
      </c>
    </row>
    <row r="101" spans="2:5">
      <c r="B101" s="99" t="s">
        <v>271</v>
      </c>
      <c r="C101" t="s">
        <v>46</v>
      </c>
      <c r="D101">
        <v>464</v>
      </c>
      <c r="E101">
        <v>556.79999999999995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P05</vt:lpstr>
      <vt:lpstr>P07</vt:lpstr>
      <vt:lpstr>S15</vt:lpstr>
      <vt:lpstr>S48</vt:lpstr>
      <vt:lpstr>S61</vt:lpstr>
      <vt:lpstr>ORA</vt:lpstr>
      <vt:lpstr>POJ</vt:lpstr>
      <vt:lpstr>ROJ</vt:lpstr>
      <vt:lpstr>FCOJ</vt:lpstr>
      <vt:lpstr>market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Alex</cp:lastModifiedBy>
  <dcterms:created xsi:type="dcterms:W3CDTF">2003-07-09T21:14:27Z</dcterms:created>
  <dcterms:modified xsi:type="dcterms:W3CDTF">2015-01-12T18:14:54Z</dcterms:modified>
</cp:coreProperties>
</file>