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3420" yWindow="200" windowWidth="20000" windowHeight="130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6" i="21" l="1"/>
  <c r="S16" i="21"/>
  <c r="S15" i="21"/>
  <c r="S14" i="21"/>
  <c r="T19" i="21"/>
  <c r="H40" i="21"/>
  <c r="H39" i="21"/>
  <c r="H38" i="21"/>
  <c r="H35" i="21"/>
  <c r="H34" i="21"/>
  <c r="S39" i="21"/>
  <c r="H33" i="21"/>
  <c r="H30" i="21"/>
  <c r="H29" i="21"/>
  <c r="H28" i="21"/>
  <c r="S40" i="21"/>
  <c r="H2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177" i="14"/>
  <c r="AX260" i="14"/>
  <c r="AX175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177" i="14"/>
  <c r="AV175" i="14"/>
  <c r="AV14" i="14"/>
  <c r="AU259" i="14"/>
  <c r="AU181" i="14"/>
  <c r="AU260" i="14"/>
  <c r="AU179" i="14"/>
  <c r="AU177" i="14"/>
  <c r="AU175" i="14"/>
  <c r="AT259" i="14"/>
  <c r="AU14" i="14"/>
  <c r="AT181" i="14"/>
  <c r="AT179" i="14"/>
  <c r="AT260" i="14"/>
  <c r="AT177" i="14"/>
  <c r="AT175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P259" i="14"/>
  <c r="AQ14" i="14"/>
  <c r="AP181" i="14"/>
  <c r="AP179" i="14"/>
  <c r="AP260" i="14"/>
  <c r="AP177" i="14"/>
  <c r="AP175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260" i="14"/>
  <c r="AM177" i="14"/>
  <c r="AM175" i="14"/>
  <c r="AL259" i="14"/>
  <c r="AM14" i="14"/>
  <c r="AL181" i="14"/>
  <c r="AL179" i="14"/>
  <c r="AL177" i="14"/>
  <c r="AL260" i="14"/>
  <c r="AL175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177" i="14"/>
  <c r="AJ175" i="14"/>
  <c r="AI260" i="14"/>
  <c r="AJ14" i="14"/>
  <c r="AI259" i="14"/>
  <c r="AI181" i="14"/>
  <c r="AI179" i="14"/>
  <c r="AI177" i="14"/>
  <c r="AI175" i="14"/>
  <c r="AH259" i="14"/>
  <c r="AI14" i="14"/>
  <c r="AH181" i="14"/>
  <c r="AH179" i="14"/>
  <c r="AH177" i="14"/>
  <c r="AH260" i="14"/>
  <c r="AH175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14" i="14"/>
  <c r="AE259" i="14"/>
  <c r="AE181" i="14"/>
  <c r="AE260" i="14"/>
  <c r="AE179" i="14"/>
  <c r="AE177" i="14"/>
  <c r="AE175" i="14"/>
  <c r="AD259" i="14"/>
  <c r="AE14" i="14"/>
  <c r="AD181" i="14"/>
  <c r="AD179" i="14"/>
  <c r="AD260" i="14"/>
  <c r="AD177" i="14"/>
  <c r="AD175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Z259" i="14"/>
  <c r="AA14" i="14"/>
  <c r="Z181" i="14"/>
  <c r="Z179" i="14"/>
  <c r="Z260" i="14"/>
  <c r="Z177" i="14"/>
  <c r="Z175" i="14"/>
  <c r="Z14" i="14"/>
  <c r="Y259" i="14"/>
  <c r="Y181" i="14"/>
  <c r="Y179" i="14"/>
  <c r="Y177" i="14"/>
  <c r="Y175" i="14"/>
  <c r="Y260" i="14"/>
  <c r="Y14" i="14"/>
  <c r="X259" i="14"/>
  <c r="X181" i="14"/>
  <c r="X179" i="14"/>
  <c r="X177" i="14"/>
  <c r="X175" i="14"/>
  <c r="X260" i="14"/>
  <c r="X14" i="14"/>
  <c r="W259" i="14"/>
  <c r="W181" i="14"/>
  <c r="W179" i="14"/>
  <c r="W260" i="14"/>
  <c r="W177" i="14"/>
  <c r="W175" i="14"/>
  <c r="V259" i="14"/>
  <c r="W14" i="14"/>
  <c r="V181" i="14"/>
  <c r="V179" i="14"/>
  <c r="V177" i="14"/>
  <c r="V260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260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P14" i="14"/>
  <c r="O259" i="14"/>
  <c r="O181" i="14"/>
  <c r="O260" i="14"/>
  <c r="O179" i="14"/>
  <c r="O177" i="14"/>
  <c r="O175" i="14"/>
  <c r="N259" i="14"/>
  <c r="O14" i="14"/>
  <c r="N181" i="14"/>
  <c r="N179" i="14"/>
  <c r="N260" i="14"/>
  <c r="N177" i="14"/>
  <c r="N175" i="14"/>
  <c r="N14" i="14"/>
  <c r="M259" i="14"/>
  <c r="M181" i="14"/>
  <c r="M179" i="14"/>
  <c r="M177" i="14"/>
  <c r="M175" i="14"/>
  <c r="M260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J14" i="14"/>
  <c r="I259" i="14"/>
  <c r="I181" i="14"/>
  <c r="I179" i="14"/>
  <c r="I177" i="14"/>
  <c r="I175" i="14"/>
  <c r="I260" i="14"/>
  <c r="I14" i="14"/>
  <c r="H259" i="14"/>
  <c r="H181" i="14"/>
  <c r="H179" i="14"/>
  <c r="H177" i="14"/>
  <c r="H175" i="14"/>
  <c r="H260" i="14"/>
  <c r="H14" i="14"/>
  <c r="G259" i="14"/>
  <c r="G181" i="14"/>
  <c r="G179" i="14"/>
  <c r="G260" i="14"/>
  <c r="G177" i="14"/>
  <c r="G175" i="14"/>
  <c r="F259" i="14"/>
  <c r="G14" i="14"/>
  <c r="F181" i="14"/>
  <c r="F179" i="14"/>
  <c r="F177" i="14"/>
  <c r="F260" i="14"/>
  <c r="F175" i="14"/>
  <c r="F14" i="14"/>
  <c r="E259" i="14"/>
  <c r="E181" i="14"/>
  <c r="E179" i="14"/>
  <c r="E177" i="14"/>
  <c r="E175" i="14"/>
  <c r="E260" i="14"/>
  <c r="E14" i="14"/>
  <c r="D181" i="14"/>
  <c r="D179" i="14"/>
  <c r="D177" i="14"/>
  <c r="D175" i="14"/>
  <c r="AY260" i="15"/>
  <c r="AZ14" i="15"/>
  <c r="AY259" i="15"/>
  <c r="AY181" i="15"/>
  <c r="AY179" i="15"/>
  <c r="AY177" i="15"/>
  <c r="AY175" i="15"/>
  <c r="AX259" i="15"/>
  <c r="AY14" i="15"/>
  <c r="AX181" i="15"/>
  <c r="AX179" i="15"/>
  <c r="AX177" i="15"/>
  <c r="AX260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60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59" i="15"/>
  <c r="AQ14" i="15"/>
  <c r="AP181" i="15"/>
  <c r="AP179" i="15"/>
  <c r="AP260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260" i="15"/>
  <c r="AM177" i="15"/>
  <c r="AM175" i="15"/>
  <c r="AL259" i="15"/>
  <c r="AM14" i="15"/>
  <c r="AL181" i="15"/>
  <c r="AL179" i="15"/>
  <c r="AL177" i="15"/>
  <c r="AL260" i="15"/>
  <c r="AL175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177" i="15"/>
  <c r="AJ175" i="15"/>
  <c r="AI260" i="15"/>
  <c r="AJ14" i="15"/>
  <c r="AI259" i="15"/>
  <c r="AI181" i="15"/>
  <c r="AI179" i="15"/>
  <c r="AI177" i="15"/>
  <c r="AI175" i="15"/>
  <c r="AH259" i="15"/>
  <c r="AI14" i="15"/>
  <c r="AH181" i="15"/>
  <c r="AH179" i="15"/>
  <c r="AH177" i="15"/>
  <c r="AH260" i="15"/>
  <c r="AH175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E260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Z259" i="15"/>
  <c r="AA14" i="15"/>
  <c r="Z181" i="15"/>
  <c r="Z179" i="15"/>
  <c r="Z260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X260" i="15"/>
  <c r="X14" i="15"/>
  <c r="W259" i="15"/>
  <c r="W181" i="15"/>
  <c r="W179" i="15"/>
  <c r="W260" i="15"/>
  <c r="W177" i="15"/>
  <c r="W175" i="15"/>
  <c r="V259" i="15"/>
  <c r="W14" i="15"/>
  <c r="V181" i="15"/>
  <c r="V179" i="15"/>
  <c r="V177" i="15"/>
  <c r="V260" i="15"/>
  <c r="V175" i="15"/>
  <c r="V14" i="15"/>
  <c r="U259" i="15"/>
  <c r="U181" i="15"/>
  <c r="U179" i="15"/>
  <c r="U177" i="15"/>
  <c r="U175" i="15"/>
  <c r="U260" i="15"/>
  <c r="U14" i="15"/>
  <c r="T259" i="15"/>
  <c r="T181" i="15"/>
  <c r="T179" i="15"/>
  <c r="T177" i="15"/>
  <c r="T175" i="15"/>
  <c r="S260" i="15"/>
  <c r="T14" i="15"/>
  <c r="S259" i="15"/>
  <c r="S181" i="15"/>
  <c r="S179" i="15"/>
  <c r="S177" i="15"/>
  <c r="S175" i="15"/>
  <c r="R259" i="15"/>
  <c r="S14" i="15"/>
  <c r="R181" i="15"/>
  <c r="R179" i="15"/>
  <c r="R177" i="15"/>
  <c r="R260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P14" i="15"/>
  <c r="O259" i="15"/>
  <c r="O181" i="15"/>
  <c r="O260" i="15"/>
  <c r="O179" i="15"/>
  <c r="O177" i="15"/>
  <c r="O175" i="15"/>
  <c r="N259" i="15"/>
  <c r="O14" i="15"/>
  <c r="N181" i="15"/>
  <c r="N179" i="15"/>
  <c r="N260" i="15"/>
  <c r="N177" i="15"/>
  <c r="N175" i="15"/>
  <c r="N14" i="15"/>
  <c r="M259" i="15"/>
  <c r="M181" i="15"/>
  <c r="M179" i="15"/>
  <c r="M177" i="15"/>
  <c r="M175" i="15"/>
  <c r="M260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F14" i="15"/>
  <c r="E259" i="15"/>
  <c r="E181" i="15"/>
  <c r="E179" i="15"/>
  <c r="E177" i="15"/>
  <c r="E175" i="15"/>
  <c r="E260" i="15"/>
  <c r="E14" i="15"/>
  <c r="D181" i="15"/>
  <c r="D179" i="15"/>
  <c r="D177" i="15"/>
  <c r="D175" i="15"/>
  <c r="D260" i="15"/>
  <c r="AZ14" i="16"/>
  <c r="AY259" i="16"/>
  <c r="AY181" i="16"/>
  <c r="AY179" i="16"/>
  <c r="AY260" i="16"/>
  <c r="AY177" i="16"/>
  <c r="AY175" i="16"/>
  <c r="AX259" i="16"/>
  <c r="AY14" i="16"/>
  <c r="AX181" i="16"/>
  <c r="AX179" i="16"/>
  <c r="AX177" i="16"/>
  <c r="AX260" i="16"/>
  <c r="AX175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V14" i="16"/>
  <c r="AU259" i="16"/>
  <c r="AU181" i="16"/>
  <c r="AU260" i="16"/>
  <c r="AU179" i="16"/>
  <c r="AU177" i="16"/>
  <c r="AU175" i="16"/>
  <c r="AT259" i="16"/>
  <c r="AU14" i="16"/>
  <c r="AT181" i="16"/>
  <c r="AT179" i="16"/>
  <c r="AT260" i="16"/>
  <c r="AT177" i="16"/>
  <c r="AT175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260" i="16"/>
  <c r="AQ177" i="16"/>
  <c r="AQ175" i="16"/>
  <c r="AP259" i="16"/>
  <c r="AQ14" i="16"/>
  <c r="AP181" i="16"/>
  <c r="AP179" i="16"/>
  <c r="AP177" i="16"/>
  <c r="AP260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60" i="16"/>
  <c r="AN14" i="16"/>
  <c r="AM259" i="16"/>
  <c r="AM181" i="16"/>
  <c r="AM179" i="16"/>
  <c r="AM177" i="16"/>
  <c r="AM175" i="16"/>
  <c r="AL259" i="16"/>
  <c r="AM14" i="16"/>
  <c r="AL181" i="16"/>
  <c r="AL179" i="16"/>
  <c r="AL177" i="16"/>
  <c r="AL260" i="16"/>
  <c r="AL175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177" i="16"/>
  <c r="AJ175" i="16"/>
  <c r="AI260" i="16"/>
  <c r="AJ14" i="16"/>
  <c r="AI259" i="16"/>
  <c r="AI181" i="16"/>
  <c r="AI179" i="16"/>
  <c r="AI177" i="16"/>
  <c r="AI175" i="16"/>
  <c r="AH259" i="16"/>
  <c r="AI14" i="16"/>
  <c r="AH181" i="16"/>
  <c r="AH179" i="16"/>
  <c r="AH177" i="16"/>
  <c r="AH260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Z259" i="16"/>
  <c r="AA14" i="16"/>
  <c r="Z181" i="16"/>
  <c r="Z179" i="16"/>
  <c r="Z260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X260" i="16"/>
  <c r="X14" i="16"/>
  <c r="W259" i="16"/>
  <c r="W181" i="16"/>
  <c r="W179" i="16"/>
  <c r="W260" i="16"/>
  <c r="W177" i="16"/>
  <c r="W175" i="16"/>
  <c r="V259" i="16"/>
  <c r="W14" i="16"/>
  <c r="V181" i="16"/>
  <c r="V179" i="16"/>
  <c r="V177" i="16"/>
  <c r="V260" i="16"/>
  <c r="V175" i="16"/>
  <c r="V14" i="16"/>
  <c r="U259" i="16"/>
  <c r="U181" i="16"/>
  <c r="U179" i="16"/>
  <c r="U177" i="16"/>
  <c r="U175" i="16"/>
  <c r="U260" i="16"/>
  <c r="U14" i="16"/>
  <c r="T259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177" i="16"/>
  <c r="R260" i="16"/>
  <c r="R175" i="16"/>
  <c r="R14" i="16"/>
  <c r="Q259" i="16"/>
  <c r="Q181" i="16"/>
  <c r="Q179" i="16"/>
  <c r="Q177" i="16"/>
  <c r="Q175" i="16"/>
  <c r="Q260" i="16"/>
  <c r="Q14" i="16"/>
  <c r="P259" i="16"/>
  <c r="P181" i="16"/>
  <c r="P179" i="16"/>
  <c r="P177" i="16"/>
  <c r="P175" i="16"/>
  <c r="P14" i="16"/>
  <c r="O259" i="16"/>
  <c r="O181" i="16"/>
  <c r="O260" i="16"/>
  <c r="O179" i="16"/>
  <c r="O177" i="16"/>
  <c r="O175" i="16"/>
  <c r="N259" i="16"/>
  <c r="O14" i="16"/>
  <c r="N181" i="16"/>
  <c r="N179" i="16"/>
  <c r="N260" i="16"/>
  <c r="N177" i="16"/>
  <c r="N175" i="16"/>
  <c r="N14" i="16"/>
  <c r="M259" i="16"/>
  <c r="M181" i="16"/>
  <c r="M179" i="16"/>
  <c r="M177" i="16"/>
  <c r="M175" i="16"/>
  <c r="M260" i="16"/>
  <c r="M14" i="16"/>
  <c r="L259" i="16"/>
  <c r="L181" i="16"/>
  <c r="L179" i="16"/>
  <c r="L177" i="16"/>
  <c r="L175" i="16"/>
  <c r="L260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177" i="16"/>
  <c r="H175" i="16"/>
  <c r="H260" i="16"/>
  <c r="H14" i="16"/>
  <c r="G259" i="16"/>
  <c r="G181" i="16"/>
  <c r="G179" i="16"/>
  <c r="G260" i="16"/>
  <c r="G177" i="16"/>
  <c r="G175" i="16"/>
  <c r="F259" i="16"/>
  <c r="G14" i="16"/>
  <c r="F181" i="16"/>
  <c r="F179" i="16"/>
  <c r="F177" i="16"/>
  <c r="F260" i="16"/>
  <c r="F175" i="16"/>
  <c r="F14" i="16"/>
  <c r="E259" i="16"/>
  <c r="E181" i="16"/>
  <c r="E179" i="16"/>
  <c r="E177" i="16"/>
  <c r="E175" i="16"/>
  <c r="E260" i="16"/>
  <c r="E14" i="16"/>
  <c r="D181" i="16"/>
  <c r="D179" i="16"/>
  <c r="D177" i="16"/>
  <c r="D175" i="16"/>
  <c r="AY14" i="17"/>
  <c r="AY10" i="17"/>
  <c r="AY15" i="17"/>
  <c r="AY16" i="17"/>
  <c r="AY13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0" i="17"/>
  <c r="AV13" i="17"/>
  <c r="AV17" i="17"/>
  <c r="AV29" i="17"/>
  <c r="AU14" i="17"/>
  <c r="AU10" i="17"/>
  <c r="AU13" i="17"/>
  <c r="AU15" i="17"/>
  <c r="AU16" i="17"/>
  <c r="AU17" i="17"/>
  <c r="AU29" i="17"/>
  <c r="AT14" i="17"/>
  <c r="AT10" i="17"/>
  <c r="AT15" i="17"/>
  <c r="AT16" i="17"/>
  <c r="AT13" i="17"/>
  <c r="AT17" i="17"/>
  <c r="AT29" i="17"/>
  <c r="AS16" i="17"/>
  <c r="AS21" i="17"/>
  <c r="AS33" i="17"/>
  <c r="AS22" i="17"/>
  <c r="AS24" i="17"/>
  <c r="AS23" i="17"/>
  <c r="AS29" i="17"/>
  <c r="AS34" i="17"/>
  <c r="AS39" i="17"/>
  <c r="AS44" i="17"/>
  <c r="AS50" i="17"/>
  <c r="AS45" i="17"/>
  <c r="AS55" i="17"/>
  <c r="AS57" i="17"/>
  <c r="AS56" i="17"/>
  <c r="AS62" i="17"/>
  <c r="AR14" i="17"/>
  <c r="AR15" i="17"/>
  <c r="AR16" i="17"/>
  <c r="AS17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0" i="17"/>
  <c r="AN13" i="17"/>
  <c r="AN16" i="17"/>
  <c r="AN17" i="17"/>
  <c r="AN29" i="17"/>
  <c r="AM14" i="17"/>
  <c r="AM15" i="17"/>
  <c r="AM16" i="17"/>
  <c r="AM10" i="17"/>
  <c r="AM13" i="17"/>
  <c r="AM17" i="17"/>
  <c r="AM29" i="17"/>
  <c r="AL14" i="17"/>
  <c r="AL15" i="17"/>
  <c r="AL10" i="17"/>
  <c r="AL13" i="17"/>
  <c r="AL16" i="17"/>
  <c r="AL17" i="17"/>
  <c r="AL29" i="17"/>
  <c r="AK14" i="17"/>
  <c r="AK15" i="17"/>
  <c r="AK16" i="17"/>
  <c r="AK10" i="17"/>
  <c r="AK13" i="17"/>
  <c r="AK17" i="17"/>
  <c r="AK29" i="17"/>
  <c r="AJ14" i="17"/>
  <c r="AJ15" i="17"/>
  <c r="AJ10" i="17"/>
  <c r="AJ13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0" i="17"/>
  <c r="AH13" i="17"/>
  <c r="AH16" i="17"/>
  <c r="AH17" i="17"/>
  <c r="AH29" i="17"/>
  <c r="AG14" i="17"/>
  <c r="AG15" i="17"/>
  <c r="AG16" i="17"/>
  <c r="AG10" i="17"/>
  <c r="AG13" i="17"/>
  <c r="AG17" i="17"/>
  <c r="AG29" i="17"/>
  <c r="AF14" i="17"/>
  <c r="AF15" i="17"/>
  <c r="AF10" i="17"/>
  <c r="AF13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0" i="17"/>
  <c r="AD13" i="17"/>
  <c r="AD16" i="17"/>
  <c r="AD17" i="17"/>
  <c r="AD29" i="17"/>
  <c r="AC14" i="17"/>
  <c r="AC15" i="17"/>
  <c r="AC16" i="17"/>
  <c r="AC10" i="17"/>
  <c r="AC13" i="17"/>
  <c r="AC17" i="17"/>
  <c r="AC29" i="17"/>
  <c r="AB14" i="17"/>
  <c r="AB15" i="17"/>
  <c r="AB10" i="17"/>
  <c r="AB13" i="17"/>
  <c r="AB16" i="17"/>
  <c r="AB17" i="17"/>
  <c r="AB29" i="17"/>
  <c r="AA14" i="17"/>
  <c r="AA15" i="17"/>
  <c r="AA16" i="17"/>
  <c r="AA10" i="17"/>
  <c r="AA13" i="17"/>
  <c r="AA17" i="17"/>
  <c r="AA29" i="17"/>
  <c r="Z14" i="17"/>
  <c r="Z15" i="17"/>
  <c r="Z10" i="17"/>
  <c r="Z13" i="17"/>
  <c r="Z16" i="17"/>
  <c r="Z17" i="17"/>
  <c r="Z29" i="17"/>
  <c r="Y14" i="17"/>
  <c r="Y15" i="17"/>
  <c r="Y10" i="17"/>
  <c r="Y13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0" i="17"/>
  <c r="W13" i="17"/>
  <c r="W17" i="17"/>
  <c r="W29" i="17"/>
  <c r="V14" i="17"/>
  <c r="V15" i="17"/>
  <c r="V10" i="17"/>
  <c r="V13" i="17"/>
  <c r="V16" i="17"/>
  <c r="V17" i="17"/>
  <c r="V29" i="17"/>
  <c r="U14" i="17"/>
  <c r="U15" i="17"/>
  <c r="U10" i="17"/>
  <c r="U13" i="17"/>
  <c r="U16" i="17"/>
  <c r="U17" i="17"/>
  <c r="U29" i="17"/>
  <c r="T14" i="17"/>
  <c r="T10" i="17"/>
  <c r="T13" i="17"/>
  <c r="T15" i="17"/>
  <c r="T16" i="17"/>
  <c r="T17" i="17"/>
  <c r="T29" i="17"/>
  <c r="S14" i="17"/>
  <c r="S15" i="17"/>
  <c r="S10" i="17"/>
  <c r="S13" i="17"/>
  <c r="S16" i="17"/>
  <c r="S17" i="17"/>
  <c r="S29" i="17"/>
  <c r="R14" i="17"/>
  <c r="R15" i="17"/>
  <c r="R10" i="17"/>
  <c r="R13" i="17"/>
  <c r="R16" i="17"/>
  <c r="R17" i="17"/>
  <c r="R29" i="17"/>
  <c r="Q14" i="17"/>
  <c r="Q15" i="17"/>
  <c r="Q16" i="17"/>
  <c r="Q10" i="17"/>
  <c r="Q13" i="17"/>
  <c r="Q17" i="17"/>
  <c r="Q29" i="17"/>
  <c r="P14" i="17"/>
  <c r="P10" i="17"/>
  <c r="P13" i="17"/>
  <c r="P15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0" i="17"/>
  <c r="N13" i="17"/>
  <c r="N16" i="17"/>
  <c r="N17" i="17"/>
  <c r="N29" i="17"/>
  <c r="M14" i="17"/>
  <c r="M15" i="17"/>
  <c r="M16" i="17"/>
  <c r="M10" i="17"/>
  <c r="M13" i="17"/>
  <c r="M17" i="17"/>
  <c r="M29" i="17"/>
  <c r="L14" i="17"/>
  <c r="L10" i="17"/>
  <c r="L13" i="17"/>
  <c r="L15" i="17"/>
  <c r="L16" i="17"/>
  <c r="L17" i="17"/>
  <c r="L29" i="17"/>
  <c r="K14" i="17"/>
  <c r="K15" i="17"/>
  <c r="K10" i="17"/>
  <c r="K13" i="17"/>
  <c r="K16" i="17"/>
  <c r="K17" i="17"/>
  <c r="K29" i="17"/>
  <c r="J14" i="17"/>
  <c r="J10" i="17"/>
  <c r="J15" i="17"/>
  <c r="J16" i="17"/>
  <c r="J13" i="17"/>
  <c r="J17" i="17"/>
  <c r="J29" i="17"/>
  <c r="I14" i="17"/>
  <c r="I10" i="17"/>
  <c r="I15" i="17"/>
  <c r="I16" i="17"/>
  <c r="I13" i="17"/>
  <c r="I17" i="17"/>
  <c r="I29" i="17"/>
  <c r="H14" i="17"/>
  <c r="H10" i="17"/>
  <c r="H15" i="17"/>
  <c r="H16" i="17"/>
  <c r="H13" i="17"/>
  <c r="H17" i="17"/>
  <c r="H29" i="17"/>
  <c r="G14" i="17"/>
  <c r="G10" i="17"/>
  <c r="G15" i="17"/>
  <c r="G16" i="17"/>
  <c r="G13" i="17"/>
  <c r="G17" i="17"/>
  <c r="G29" i="17"/>
  <c r="F14" i="17"/>
  <c r="F10" i="17"/>
  <c r="F15" i="17"/>
  <c r="F16" i="17"/>
  <c r="F13" i="17"/>
  <c r="F17" i="17"/>
  <c r="F29" i="17"/>
  <c r="E14" i="17"/>
  <c r="E10" i="17"/>
  <c r="E15" i="17"/>
  <c r="E16" i="17"/>
  <c r="E13" i="17"/>
  <c r="E17" i="17"/>
  <c r="E29" i="17"/>
  <c r="D14" i="17"/>
  <c r="D10" i="17"/>
  <c r="D15" i="17"/>
  <c r="D16" i="17"/>
  <c r="D13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5" i="18"/>
  <c r="AX10" i="18"/>
  <c r="AX13" i="18"/>
  <c r="AX16" i="18"/>
  <c r="AX17" i="18"/>
  <c r="AX29" i="18"/>
  <c r="AW14" i="18"/>
  <c r="AW15" i="18"/>
  <c r="AW10" i="18"/>
  <c r="AW13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0" i="18"/>
  <c r="AS13" i="18"/>
  <c r="AS16" i="18"/>
  <c r="AS17" i="18"/>
  <c r="AS29" i="18"/>
  <c r="AR14" i="18"/>
  <c r="AR15" i="18"/>
  <c r="AR16" i="18"/>
  <c r="AR10" i="18"/>
  <c r="AR13" i="18"/>
  <c r="AR17" i="18"/>
  <c r="AR29" i="18"/>
  <c r="AQ14" i="18"/>
  <c r="AQ15" i="18"/>
  <c r="AQ10" i="18"/>
  <c r="AQ13" i="18"/>
  <c r="AQ16" i="18"/>
  <c r="AQ17" i="18"/>
  <c r="AQ29" i="18"/>
  <c r="AP14" i="18"/>
  <c r="AP15" i="18"/>
  <c r="AP10" i="18"/>
  <c r="AP13" i="18"/>
  <c r="AP16" i="18"/>
  <c r="AP17" i="18"/>
  <c r="AP29" i="18"/>
  <c r="AO14" i="18"/>
  <c r="AO15" i="18"/>
  <c r="AO10" i="18"/>
  <c r="AO13" i="18"/>
  <c r="AO16" i="18"/>
  <c r="AO17" i="18"/>
  <c r="AO29" i="18"/>
  <c r="AN14" i="18"/>
  <c r="AN15" i="18"/>
  <c r="AN16" i="18"/>
  <c r="AN10" i="18"/>
  <c r="AN13" i="18"/>
  <c r="AN17" i="18"/>
  <c r="AN29" i="18"/>
  <c r="AM14" i="18"/>
  <c r="AM15" i="18"/>
  <c r="AM10" i="18"/>
  <c r="AM13" i="18"/>
  <c r="AM16" i="18"/>
  <c r="AM17" i="18"/>
  <c r="AM29" i="18"/>
  <c r="AL14" i="18"/>
  <c r="AL15" i="18"/>
  <c r="AL10" i="18"/>
  <c r="AL13" i="18"/>
  <c r="AL16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0" i="18"/>
  <c r="AJ13" i="18"/>
  <c r="AJ17" i="18"/>
  <c r="AJ29" i="18"/>
  <c r="AI14" i="18"/>
  <c r="AI15" i="18"/>
  <c r="AI10" i="18"/>
  <c r="AI13" i="18"/>
  <c r="AI16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7" i="18"/>
  <c r="AF29" i="18"/>
  <c r="AE14" i="18"/>
  <c r="AE10" i="18"/>
  <c r="AE13" i="18"/>
  <c r="AE15" i="18"/>
  <c r="AE16" i="18"/>
  <c r="AE17" i="18"/>
  <c r="AE29" i="18"/>
  <c r="AD14" i="18"/>
  <c r="AD10" i="18"/>
  <c r="AD15" i="18"/>
  <c r="AD16" i="18"/>
  <c r="AD13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0" i="18"/>
  <c r="AA13" i="18"/>
  <c r="AA15" i="18"/>
  <c r="AA16" i="18"/>
  <c r="AA17" i="18"/>
  <c r="AA29" i="18"/>
  <c r="Z14" i="18"/>
  <c r="Z10" i="18"/>
  <c r="Z15" i="18"/>
  <c r="Z16" i="18"/>
  <c r="Z13" i="18"/>
  <c r="Z17" i="18"/>
  <c r="Z29" i="18"/>
  <c r="Y14" i="18"/>
  <c r="Y15" i="18"/>
  <c r="Y16" i="18"/>
  <c r="Y17" i="18"/>
  <c r="Y29" i="18"/>
  <c r="X14" i="18"/>
  <c r="X15" i="18"/>
  <c r="X16" i="18"/>
  <c r="X17" i="18"/>
  <c r="X29" i="18"/>
  <c r="W14" i="18"/>
  <c r="W10" i="18"/>
  <c r="W13" i="18"/>
  <c r="W15" i="18"/>
  <c r="W16" i="18"/>
  <c r="W17" i="18"/>
  <c r="W29" i="18"/>
  <c r="V14" i="18"/>
  <c r="V10" i="18"/>
  <c r="V15" i="18"/>
  <c r="V16" i="18"/>
  <c r="V13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0" i="18"/>
  <c r="S13" i="18"/>
  <c r="S15" i="18"/>
  <c r="S16" i="18"/>
  <c r="S17" i="18"/>
  <c r="S29" i="18"/>
  <c r="R14" i="18"/>
  <c r="R10" i="18"/>
  <c r="R15" i="18"/>
  <c r="R16" i="18"/>
  <c r="R13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5" i="18"/>
  <c r="N16" i="18"/>
  <c r="N13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0" i="18"/>
  <c r="J15" i="18"/>
  <c r="J16" i="18"/>
  <c r="J13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0" i="18"/>
  <c r="F15" i="18"/>
  <c r="F16" i="18"/>
  <c r="F13" i="18"/>
  <c r="F17" i="18"/>
  <c r="F27" i="18"/>
  <c r="F30" i="18"/>
  <c r="F29" i="18"/>
  <c r="E14" i="18"/>
  <c r="E15" i="18"/>
  <c r="E16" i="18"/>
  <c r="E17" i="18"/>
  <c r="E27" i="18"/>
  <c r="E30" i="18"/>
  <c r="E29" i="18"/>
  <c r="D14" i="18"/>
  <c r="D15" i="18"/>
  <c r="D16" i="18"/>
  <c r="D17" i="18"/>
  <c r="D21" i="18"/>
  <c r="D27" i="18"/>
  <c r="D29" i="18"/>
  <c r="D30" i="18"/>
  <c r="AY14" i="19"/>
  <c r="AY15" i="19"/>
  <c r="AY16" i="19"/>
  <c r="AY17" i="19"/>
  <c r="AY29" i="19"/>
  <c r="AX14" i="19"/>
  <c r="AX15" i="19"/>
  <c r="AX16" i="19"/>
  <c r="AX17" i="19"/>
  <c r="AX29" i="19"/>
  <c r="AW14" i="19"/>
  <c r="AW15" i="19"/>
  <c r="AW16" i="19"/>
  <c r="AW17" i="19"/>
  <c r="AW29" i="19"/>
  <c r="AV14" i="19"/>
  <c r="AV15" i="19"/>
  <c r="AV16" i="19"/>
  <c r="AV17" i="19"/>
  <c r="AV29" i="19"/>
  <c r="AU14" i="19"/>
  <c r="AU15" i="19"/>
  <c r="AU16" i="19"/>
  <c r="AU17" i="19"/>
  <c r="AU29" i="19"/>
  <c r="AT14" i="19"/>
  <c r="AT15" i="19"/>
  <c r="AT16" i="19"/>
  <c r="AT17" i="19"/>
  <c r="AT29" i="19"/>
  <c r="AS14" i="19"/>
  <c r="AS15" i="19"/>
  <c r="AS16" i="19"/>
  <c r="AS17" i="19"/>
  <c r="AS29" i="19"/>
  <c r="AR14" i="19"/>
  <c r="AR15" i="19"/>
  <c r="AR16" i="19"/>
  <c r="AR17" i="19"/>
  <c r="AR29" i="19"/>
  <c r="AQ21" i="19"/>
  <c r="AQ55" i="19"/>
  <c r="AQ57" i="19"/>
  <c r="AQ22" i="19"/>
  <c r="AQ23" i="19"/>
  <c r="AQ24" i="19"/>
  <c r="AQ29" i="19"/>
  <c r="AQ34" i="19"/>
  <c r="AQ40" i="19"/>
  <c r="AQ45" i="19"/>
  <c r="AQ51" i="19"/>
  <c r="AQ56" i="19"/>
  <c r="AQ62" i="19"/>
  <c r="AQ61" i="19"/>
  <c r="AP15" i="19"/>
  <c r="AQ16" i="19"/>
  <c r="AP17" i="19"/>
  <c r="AP21" i="19"/>
  <c r="AP55" i="19"/>
  <c r="AP57" i="19"/>
  <c r="AP22" i="19"/>
  <c r="AP24" i="19"/>
  <c r="AP29" i="19"/>
  <c r="AP34" i="19"/>
  <c r="AP40" i="19"/>
  <c r="AP45" i="19"/>
  <c r="AP51" i="19"/>
  <c r="AP56" i="19"/>
  <c r="AP62" i="19"/>
  <c r="AO14" i="19"/>
  <c r="AO15" i="19"/>
  <c r="AP16" i="19"/>
  <c r="AQ17" i="19"/>
  <c r="AO16" i="19"/>
  <c r="AO17" i="19"/>
  <c r="AO29" i="19"/>
  <c r="AN14" i="19"/>
  <c r="AN15" i="19"/>
  <c r="AN16" i="19"/>
  <c r="AN17" i="19"/>
  <c r="AN29" i="19"/>
  <c r="AM14" i="19"/>
  <c r="AM15" i="19"/>
  <c r="AM16" i="19"/>
  <c r="AM17" i="19"/>
  <c r="AM29" i="19"/>
  <c r="AL14" i="19"/>
  <c r="AL10" i="19"/>
  <c r="AL13" i="19"/>
  <c r="AL15" i="19"/>
  <c r="AL16" i="19"/>
  <c r="AL17" i="19"/>
  <c r="AL29" i="19"/>
  <c r="AK14" i="19"/>
  <c r="AK10" i="19"/>
  <c r="AK13" i="19"/>
  <c r="AK15" i="19"/>
  <c r="AK16" i="19"/>
  <c r="AK17" i="19"/>
  <c r="AK29" i="19"/>
  <c r="AJ14" i="19"/>
  <c r="AJ10" i="19"/>
  <c r="AJ13" i="19"/>
  <c r="AJ15" i="19"/>
  <c r="AJ16" i="19"/>
  <c r="AJ17" i="19"/>
  <c r="AJ29" i="19"/>
  <c r="AI14" i="19"/>
  <c r="AI10" i="19"/>
  <c r="AI13" i="19"/>
  <c r="AI15" i="19"/>
  <c r="AI16" i="19"/>
  <c r="AI17" i="19"/>
  <c r="AI29" i="19"/>
  <c r="AH14" i="19"/>
  <c r="AH10" i="19"/>
  <c r="AH13" i="19"/>
  <c r="AH15" i="19"/>
  <c r="AH16" i="19"/>
  <c r="AH17" i="19"/>
  <c r="AH29" i="19"/>
  <c r="AG16" i="19"/>
  <c r="AG21" i="19"/>
  <c r="AG33" i="19"/>
  <c r="AG22" i="19"/>
  <c r="AG24" i="19"/>
  <c r="AG29" i="19"/>
  <c r="AG34" i="19"/>
  <c r="AG40" i="19"/>
  <c r="AG44" i="19"/>
  <c r="AG50" i="19"/>
  <c r="AG45" i="19"/>
  <c r="AG51" i="19"/>
  <c r="AG56" i="19"/>
  <c r="AG62" i="19"/>
  <c r="AF14" i="19"/>
  <c r="AG15" i="19"/>
  <c r="AF15" i="19"/>
  <c r="AF16" i="19"/>
  <c r="AG17" i="19"/>
  <c r="AF17" i="19"/>
  <c r="AF29" i="19"/>
  <c r="AE14" i="19"/>
  <c r="AE10" i="19"/>
  <c r="AE13" i="19"/>
  <c r="AE15" i="19"/>
  <c r="AE16" i="19"/>
  <c r="AE17" i="19"/>
  <c r="AE29" i="19"/>
  <c r="AD14" i="19"/>
  <c r="AD10" i="19"/>
  <c r="AD13" i="19"/>
  <c r="AD15" i="19"/>
  <c r="AD16" i="19"/>
  <c r="AD17" i="19"/>
  <c r="AD29" i="19"/>
  <c r="AC14" i="19"/>
  <c r="AC10" i="19"/>
  <c r="AC13" i="19"/>
  <c r="AC15" i="19"/>
  <c r="AC16" i="19"/>
  <c r="AC17" i="19"/>
  <c r="AC29" i="19"/>
  <c r="AB14" i="19"/>
  <c r="AB10" i="19"/>
  <c r="AB13" i="19"/>
  <c r="AB15" i="19"/>
  <c r="AB16" i="19"/>
  <c r="AB17" i="19"/>
  <c r="AB29" i="19"/>
  <c r="AA14" i="19"/>
  <c r="AA10" i="19"/>
  <c r="AA13" i="19"/>
  <c r="AA15" i="19"/>
  <c r="AA16" i="19"/>
  <c r="AA17" i="19"/>
  <c r="AA29" i="19"/>
  <c r="Z14" i="19"/>
  <c r="Z15" i="19"/>
  <c r="Z16" i="19"/>
  <c r="Z17" i="19"/>
  <c r="Z29" i="19"/>
  <c r="Y14" i="19"/>
  <c r="Y10" i="19"/>
  <c r="Y13" i="19"/>
  <c r="Y15" i="19"/>
  <c r="Y16" i="19"/>
  <c r="Y17" i="19"/>
  <c r="Y29" i="19"/>
  <c r="X14" i="19"/>
  <c r="X10" i="19"/>
  <c r="X15" i="19"/>
  <c r="X16" i="19"/>
  <c r="X13" i="19"/>
  <c r="Y22" i="19"/>
  <c r="X17" i="19"/>
  <c r="X29" i="19"/>
  <c r="W14" i="19"/>
  <c r="W15" i="19"/>
  <c r="W16" i="19"/>
  <c r="W17" i="19"/>
  <c r="W29" i="19"/>
  <c r="V14" i="19"/>
  <c r="V15" i="19"/>
  <c r="V16" i="19"/>
  <c r="V17" i="19"/>
  <c r="V29" i="19"/>
  <c r="U14" i="19"/>
  <c r="U10" i="19"/>
  <c r="U13" i="19"/>
  <c r="U15" i="19"/>
  <c r="U16" i="19"/>
  <c r="U17" i="19"/>
  <c r="U29" i="19"/>
  <c r="T14" i="19"/>
  <c r="T10" i="19"/>
  <c r="T15" i="19"/>
  <c r="T16" i="19"/>
  <c r="T13" i="19"/>
  <c r="U22" i="19"/>
  <c r="T17" i="19"/>
  <c r="T29" i="19"/>
  <c r="S14" i="19"/>
  <c r="S15" i="19"/>
  <c r="S16" i="19"/>
  <c r="S17" i="19"/>
  <c r="S29" i="19"/>
  <c r="R14" i="19"/>
  <c r="R15" i="19"/>
  <c r="R16" i="19"/>
  <c r="R17" i="19"/>
  <c r="R29" i="19"/>
  <c r="Q14" i="19"/>
  <c r="Q10" i="19"/>
  <c r="Q13" i="19"/>
  <c r="Q15" i="19"/>
  <c r="Q16" i="19"/>
  <c r="Q17" i="19"/>
  <c r="Q29" i="19"/>
  <c r="P14" i="19"/>
  <c r="P10" i="19"/>
  <c r="P15" i="19"/>
  <c r="P16" i="19"/>
  <c r="P13" i="19"/>
  <c r="Q22" i="19"/>
  <c r="P17" i="19"/>
  <c r="P29" i="19"/>
  <c r="O14" i="19"/>
  <c r="O15" i="19"/>
  <c r="O16" i="19"/>
  <c r="O17" i="19"/>
  <c r="O29" i="19"/>
  <c r="N14" i="19"/>
  <c r="N15" i="19"/>
  <c r="N16" i="19"/>
  <c r="N17" i="19"/>
  <c r="N29" i="19"/>
  <c r="M14" i="19"/>
  <c r="M10" i="19"/>
  <c r="M13" i="19"/>
  <c r="M15" i="19"/>
  <c r="M16" i="19"/>
  <c r="M17" i="19"/>
  <c r="M29" i="19"/>
  <c r="L14" i="19"/>
  <c r="L10" i="19"/>
  <c r="L15" i="19"/>
  <c r="L16" i="19"/>
  <c r="L13" i="19"/>
  <c r="M22" i="19"/>
  <c r="L17" i="19"/>
  <c r="L29" i="19"/>
  <c r="K16" i="19"/>
  <c r="K21" i="19"/>
  <c r="K23" i="19"/>
  <c r="K22" i="19"/>
  <c r="K24" i="19"/>
  <c r="K29" i="19"/>
  <c r="K34" i="19"/>
  <c r="K40" i="19"/>
  <c r="K44" i="19"/>
  <c r="K50" i="19"/>
  <c r="K45" i="19"/>
  <c r="K46" i="19"/>
  <c r="K51" i="19"/>
  <c r="K56" i="19"/>
  <c r="K62" i="19"/>
  <c r="J14" i="19"/>
  <c r="J15" i="19"/>
  <c r="J16" i="19"/>
  <c r="K17" i="19"/>
  <c r="J17" i="19"/>
  <c r="J29" i="19"/>
  <c r="I14" i="19"/>
  <c r="I10" i="19"/>
  <c r="I15" i="19"/>
  <c r="I16" i="19"/>
  <c r="I13" i="19"/>
  <c r="J22" i="19"/>
  <c r="I17" i="19"/>
  <c r="I29" i="19"/>
  <c r="H14" i="19"/>
  <c r="H15" i="19"/>
  <c r="H16" i="19"/>
  <c r="H17" i="19"/>
  <c r="H29" i="19"/>
  <c r="G14" i="19"/>
  <c r="G15" i="19"/>
  <c r="G16" i="19"/>
  <c r="G17" i="19"/>
  <c r="G29" i="19"/>
  <c r="F14" i="19"/>
  <c r="F10" i="19"/>
  <c r="F13" i="19"/>
  <c r="F15" i="19"/>
  <c r="F16" i="19"/>
  <c r="F17" i="19"/>
  <c r="F29" i="19"/>
  <c r="E14" i="19"/>
  <c r="E10" i="19"/>
  <c r="E15" i="19"/>
  <c r="E16" i="19"/>
  <c r="E13" i="19"/>
  <c r="F22" i="19"/>
  <c r="E17" i="19"/>
  <c r="E27" i="19"/>
  <c r="E30" i="19"/>
  <c r="E29" i="19"/>
  <c r="D14" i="19"/>
  <c r="D15" i="19"/>
  <c r="D16" i="19"/>
  <c r="D17" i="19"/>
  <c r="D27" i="19"/>
  <c r="D29" i="19"/>
  <c r="D30" i="19"/>
  <c r="D34" i="19"/>
  <c r="D40" i="19"/>
  <c r="B21" i="17"/>
  <c r="B21" i="18"/>
  <c r="B21" i="19"/>
  <c r="B22" i="19"/>
  <c r="D22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B22" i="18"/>
  <c r="D22" i="18"/>
  <c r="N22" i="19"/>
  <c r="N21" i="19"/>
  <c r="G22" i="19"/>
  <c r="G21" i="19"/>
  <c r="R22" i="19"/>
  <c r="R21" i="19"/>
  <c r="V22" i="19"/>
  <c r="V21" i="19"/>
  <c r="Z22" i="19"/>
  <c r="Z21" i="19"/>
  <c r="F24" i="19"/>
  <c r="F45" i="19"/>
  <c r="F51" i="19"/>
  <c r="J24" i="19"/>
  <c r="J45" i="19"/>
  <c r="J51" i="19"/>
  <c r="K15" i="19"/>
  <c r="J10" i="19"/>
  <c r="J13" i="19"/>
  <c r="K14" i="19"/>
  <c r="K10" i="19"/>
  <c r="K13" i="19"/>
  <c r="M24" i="19"/>
  <c r="M45" i="19"/>
  <c r="M51" i="19"/>
  <c r="Q24" i="19"/>
  <c r="Q45" i="19"/>
  <c r="Q51" i="19"/>
  <c r="U24" i="19"/>
  <c r="U45" i="19"/>
  <c r="U51" i="19"/>
  <c r="Y24" i="19"/>
  <c r="Y45" i="19"/>
  <c r="Y51" i="19"/>
  <c r="Z10" i="19"/>
  <c r="Z13" i="19"/>
  <c r="AE21" i="19"/>
  <c r="AE22" i="19"/>
  <c r="AL21" i="19"/>
  <c r="AL22" i="19"/>
  <c r="P22" i="18"/>
  <c r="P21" i="18"/>
  <c r="AF22" i="18"/>
  <c r="AF21" i="18"/>
  <c r="AP21" i="18"/>
  <c r="AP22" i="18"/>
  <c r="V21" i="17"/>
  <c r="D21" i="17"/>
  <c r="AX21" i="17"/>
  <c r="B22" i="17"/>
  <c r="AV21" i="17"/>
  <c r="D21" i="19"/>
  <c r="F56" i="19"/>
  <c r="F62" i="19"/>
  <c r="F27" i="19"/>
  <c r="G10" i="19"/>
  <c r="G13" i="19"/>
  <c r="J56" i="19"/>
  <c r="J62" i="19"/>
  <c r="M56" i="19"/>
  <c r="M62" i="19"/>
  <c r="N10" i="19"/>
  <c r="N13" i="19"/>
  <c r="Q56" i="19"/>
  <c r="Q62" i="19"/>
  <c r="R10" i="19"/>
  <c r="R13" i="19"/>
  <c r="U56" i="19"/>
  <c r="U62" i="19"/>
  <c r="V10" i="19"/>
  <c r="V13" i="19"/>
  <c r="Y56" i="19"/>
  <c r="Y62" i="19"/>
  <c r="AB21" i="19"/>
  <c r="AB22" i="19"/>
  <c r="AF21" i="19"/>
  <c r="AF22" i="19"/>
  <c r="AI21" i="19"/>
  <c r="AI22" i="19"/>
  <c r="AM22" i="19"/>
  <c r="AM21" i="19"/>
  <c r="T22" i="18"/>
  <c r="T21" i="18"/>
  <c r="AN21" i="18"/>
  <c r="AN22" i="18"/>
  <c r="AT21" i="18"/>
  <c r="AT22" i="18"/>
  <c r="S21" i="17"/>
  <c r="S22" i="17"/>
  <c r="W21" i="17"/>
  <c r="W22" i="17"/>
  <c r="Z21" i="17"/>
  <c r="D45" i="18"/>
  <c r="D51" i="18"/>
  <c r="D24" i="18"/>
  <c r="D56" i="18"/>
  <c r="D62" i="18"/>
  <c r="D34" i="18"/>
  <c r="D40" i="18"/>
  <c r="D10" i="19"/>
  <c r="F34" i="19"/>
  <c r="F40" i="19"/>
  <c r="H10" i="19"/>
  <c r="H13" i="19"/>
  <c r="J34" i="19"/>
  <c r="J40" i="19"/>
  <c r="M34" i="19"/>
  <c r="M40" i="19"/>
  <c r="O10" i="19"/>
  <c r="O13" i="19"/>
  <c r="Q34" i="19"/>
  <c r="Q40" i="19"/>
  <c r="S10" i="19"/>
  <c r="S13" i="19"/>
  <c r="U34" i="19"/>
  <c r="U40" i="19"/>
  <c r="W10" i="19"/>
  <c r="W13" i="19"/>
  <c r="Y34" i="19"/>
  <c r="Y40" i="19"/>
  <c r="AC21" i="19"/>
  <c r="AC22" i="19"/>
  <c r="AJ21" i="19"/>
  <c r="AJ22" i="19"/>
  <c r="H22" i="18"/>
  <c r="H21" i="18"/>
  <c r="X22" i="18"/>
  <c r="X21" i="18"/>
  <c r="AR21" i="18"/>
  <c r="AR22" i="18"/>
  <c r="D24" i="19"/>
  <c r="D45" i="19"/>
  <c r="D51" i="19"/>
  <c r="D56" i="19"/>
  <c r="D62" i="19"/>
  <c r="F21" i="19"/>
  <c r="J21" i="19"/>
  <c r="K33" i="19"/>
  <c r="K55" i="19"/>
  <c r="M21" i="19"/>
  <c r="Q21" i="19"/>
  <c r="U21" i="19"/>
  <c r="Y21" i="19"/>
  <c r="AD21" i="19"/>
  <c r="AD22" i="19"/>
  <c r="AG35" i="19"/>
  <c r="AG39" i="19"/>
  <c r="AK21" i="19"/>
  <c r="AK22" i="19"/>
  <c r="L22" i="18"/>
  <c r="L21" i="18"/>
  <c r="AB22" i="18"/>
  <c r="AB21" i="18"/>
  <c r="AI21" i="18"/>
  <c r="AI22" i="18"/>
  <c r="AX21" i="18"/>
  <c r="AX22" i="18"/>
  <c r="O21" i="17"/>
  <c r="O22" i="17"/>
  <c r="AG46" i="19"/>
  <c r="AG23" i="19"/>
  <c r="AP61" i="19"/>
  <c r="AP23" i="19"/>
  <c r="D55" i="18"/>
  <c r="G22" i="18"/>
  <c r="K22" i="18"/>
  <c r="O22" i="18"/>
  <c r="S22" i="18"/>
  <c r="W22" i="18"/>
  <c r="AA22" i="18"/>
  <c r="AE22" i="18"/>
  <c r="AY21" i="18"/>
  <c r="AY22" i="18"/>
  <c r="E21" i="17"/>
  <c r="G21" i="17"/>
  <c r="I21" i="17"/>
  <c r="K21" i="17"/>
  <c r="N21" i="17"/>
  <c r="R21" i="17"/>
  <c r="U21" i="17"/>
  <c r="Y21" i="17"/>
  <c r="AW22" i="17"/>
  <c r="AW21" i="17"/>
  <c r="AF10" i="19"/>
  <c r="AF13" i="19"/>
  <c r="AG14" i="19"/>
  <c r="AG10" i="19"/>
  <c r="AG13" i="19"/>
  <c r="AG55" i="19"/>
  <c r="AN10" i="19"/>
  <c r="AN13" i="19"/>
  <c r="AR10" i="19"/>
  <c r="AR13" i="19"/>
  <c r="AT10" i="19"/>
  <c r="AT13" i="19"/>
  <c r="AV10" i="19"/>
  <c r="AV13" i="19"/>
  <c r="AX10" i="19"/>
  <c r="AX13" i="19"/>
  <c r="D10" i="18"/>
  <c r="G27" i="18"/>
  <c r="H10" i="18"/>
  <c r="H13" i="18"/>
  <c r="L10" i="18"/>
  <c r="L13" i="18"/>
  <c r="P10" i="18"/>
  <c r="P13" i="18"/>
  <c r="T10" i="18"/>
  <c r="T13" i="18"/>
  <c r="X10" i="18"/>
  <c r="X13" i="18"/>
  <c r="AB10" i="18"/>
  <c r="AB13" i="18"/>
  <c r="AF10" i="18"/>
  <c r="AF13" i="18"/>
  <c r="AM21" i="18"/>
  <c r="AM22" i="18"/>
  <c r="D44" i="18"/>
  <c r="D33" i="18"/>
  <c r="E10" i="18"/>
  <c r="E13" i="18"/>
  <c r="I10" i="18"/>
  <c r="I13" i="18"/>
  <c r="M10" i="18"/>
  <c r="M13" i="18"/>
  <c r="Q10" i="18"/>
  <c r="Q13" i="18"/>
  <c r="U10" i="18"/>
  <c r="U13" i="18"/>
  <c r="Y10" i="18"/>
  <c r="Y13" i="18"/>
  <c r="AC10" i="18"/>
  <c r="AC13" i="18"/>
  <c r="AG10" i="18"/>
  <c r="AG13" i="18"/>
  <c r="AJ21" i="18"/>
  <c r="AJ22" i="18"/>
  <c r="AQ21" i="18"/>
  <c r="AQ22" i="18"/>
  <c r="F21" i="17"/>
  <c r="H21" i="17"/>
  <c r="J21" i="17"/>
  <c r="L21" i="17"/>
  <c r="M21" i="17"/>
  <c r="Q21" i="17"/>
  <c r="AZ17" i="19"/>
  <c r="AM10" i="19"/>
  <c r="AM13" i="19"/>
  <c r="AO10" i="19"/>
  <c r="AO13" i="19"/>
  <c r="AP14" i="19"/>
  <c r="AP44" i="19"/>
  <c r="AP33" i="19"/>
  <c r="AQ44" i="19"/>
  <c r="AQ33" i="19"/>
  <c r="AS10" i="19"/>
  <c r="AS13" i="19"/>
  <c r="AU10" i="19"/>
  <c r="AU13" i="19"/>
  <c r="AW10" i="19"/>
  <c r="AW13" i="19"/>
  <c r="AY10" i="19"/>
  <c r="AY13" i="19"/>
  <c r="D23" i="18"/>
  <c r="G21" i="18"/>
  <c r="K21" i="18"/>
  <c r="O21" i="18"/>
  <c r="S21" i="18"/>
  <c r="W21" i="18"/>
  <c r="AA21" i="18"/>
  <c r="AE21" i="18"/>
  <c r="AL21" i="18"/>
  <c r="AL22" i="18"/>
  <c r="AU21" i="18"/>
  <c r="AU22" i="18"/>
  <c r="AV21" i="18"/>
  <c r="AV22" i="18"/>
  <c r="U22" i="17"/>
  <c r="AB22" i="17"/>
  <c r="AB21" i="17"/>
  <c r="AD22" i="17"/>
  <c r="AD21" i="17"/>
  <c r="AF22" i="17"/>
  <c r="AF21" i="17"/>
  <c r="AH22" i="17"/>
  <c r="AH21" i="17"/>
  <c r="AJ22" i="17"/>
  <c r="AJ21" i="17"/>
  <c r="AL22" i="17"/>
  <c r="AL21" i="17"/>
  <c r="AN22" i="17"/>
  <c r="AN21" i="17"/>
  <c r="AP22" i="17"/>
  <c r="AP21" i="17"/>
  <c r="AR22" i="17"/>
  <c r="AR21" i="17"/>
  <c r="AS61" i="17"/>
  <c r="AZ17" i="18"/>
  <c r="AK21" i="18"/>
  <c r="AK22" i="18"/>
  <c r="AO21" i="18"/>
  <c r="AO22" i="18"/>
  <c r="AS21" i="18"/>
  <c r="AS22" i="18"/>
  <c r="AW21" i="18"/>
  <c r="AW22" i="18"/>
  <c r="T21" i="17"/>
  <c r="AA22" i="17"/>
  <c r="AS40" i="17"/>
  <c r="AS35" i="17"/>
  <c r="E27" i="17"/>
  <c r="AZ17" i="17"/>
  <c r="P21" i="17"/>
  <c r="BA14" i="15"/>
  <c r="D259" i="15"/>
  <c r="AZ259" i="15"/>
  <c r="S31" i="21"/>
  <c r="T32" i="21"/>
  <c r="G260" i="15"/>
  <c r="K260" i="14"/>
  <c r="T260" i="14"/>
  <c r="X21" i="17"/>
  <c r="AA21" i="17"/>
  <c r="AC21" i="17"/>
  <c r="AE21" i="17"/>
  <c r="AG21" i="17"/>
  <c r="AI21" i="17"/>
  <c r="AK21" i="17"/>
  <c r="AM21" i="17"/>
  <c r="AO21" i="17"/>
  <c r="AQ21" i="17"/>
  <c r="AS51" i="17"/>
  <c r="AS46" i="17"/>
  <c r="AU21" i="17"/>
  <c r="AN260" i="16"/>
  <c r="AS15" i="17"/>
  <c r="AR10" i="17"/>
  <c r="AR13" i="17"/>
  <c r="AS14" i="17"/>
  <c r="AS10" i="17"/>
  <c r="AS13" i="17"/>
  <c r="K260" i="16"/>
  <c r="T260" i="16"/>
  <c r="AA260" i="15"/>
  <c r="AJ260" i="15"/>
  <c r="S7" i="21"/>
  <c r="H7" i="21"/>
  <c r="S8" i="21"/>
  <c r="H8" i="21"/>
  <c r="AQ260" i="14"/>
  <c r="AX10" i="17"/>
  <c r="AX13" i="17"/>
  <c r="D260" i="16"/>
  <c r="BA14" i="16"/>
  <c r="D259" i="16"/>
  <c r="AZ259" i="16"/>
  <c r="AA260" i="16"/>
  <c r="AJ260" i="16"/>
  <c r="K260" i="15"/>
  <c r="T260" i="15"/>
  <c r="AZ260" i="15"/>
  <c r="AQ260" i="15"/>
  <c r="D260" i="14"/>
  <c r="BA14" i="14"/>
  <c r="D259" i="14"/>
  <c r="AZ259" i="14"/>
  <c r="AA260" i="14"/>
  <c r="AJ260" i="14"/>
  <c r="S9" i="21"/>
  <c r="H10" i="21"/>
  <c r="S42" i="21"/>
  <c r="P260" i="16"/>
  <c r="AF260" i="16"/>
  <c r="AV260" i="16"/>
  <c r="P260" i="15"/>
  <c r="AF260" i="15"/>
  <c r="AV260" i="15"/>
  <c r="P260" i="14"/>
  <c r="AF260" i="14"/>
  <c r="AV260" i="14"/>
  <c r="S37" i="21"/>
  <c r="T43" i="21"/>
  <c r="AZ260" i="14"/>
  <c r="AZ260" i="16"/>
  <c r="AT22" i="17"/>
  <c r="AT21" i="17"/>
  <c r="AM23" i="17"/>
  <c r="AM33" i="17"/>
  <c r="AM44" i="17"/>
  <c r="AM55" i="17"/>
  <c r="AE23" i="17"/>
  <c r="AE33" i="17"/>
  <c r="AE44" i="17"/>
  <c r="AE55" i="17"/>
  <c r="X44" i="17"/>
  <c r="X55" i="17"/>
  <c r="X33" i="17"/>
  <c r="X23" i="17"/>
  <c r="F27" i="17"/>
  <c r="E30" i="17"/>
  <c r="AA56" i="17"/>
  <c r="AA62" i="17"/>
  <c r="AA45" i="17"/>
  <c r="AA51" i="17"/>
  <c r="AA34" i="17"/>
  <c r="AA40" i="17"/>
  <c r="AA24" i="17"/>
  <c r="AW44" i="18"/>
  <c r="AW55" i="18"/>
  <c r="AW33" i="18"/>
  <c r="AW23" i="18"/>
  <c r="AO44" i="18"/>
  <c r="AO55" i="18"/>
  <c r="AO23" i="18"/>
  <c r="AO33" i="18"/>
  <c r="AR24" i="17"/>
  <c r="AR34" i="17"/>
  <c r="AR40" i="17"/>
  <c r="AR56" i="17"/>
  <c r="AR62" i="17"/>
  <c r="AR45" i="17"/>
  <c r="AR51" i="17"/>
  <c r="AN56" i="17"/>
  <c r="AN62" i="17"/>
  <c r="AN24" i="17"/>
  <c r="AN45" i="17"/>
  <c r="AN51" i="17"/>
  <c r="AN34" i="17"/>
  <c r="AN40" i="17"/>
  <c r="AJ56" i="17"/>
  <c r="AJ62" i="17"/>
  <c r="AJ24" i="17"/>
  <c r="AJ45" i="17"/>
  <c r="AJ51" i="17"/>
  <c r="AJ34" i="17"/>
  <c r="AJ40" i="17"/>
  <c r="AF56" i="17"/>
  <c r="AF62" i="17"/>
  <c r="AF24" i="17"/>
  <c r="AF45" i="17"/>
  <c r="AF51" i="17"/>
  <c r="AF34" i="17"/>
  <c r="AF40" i="17"/>
  <c r="AB56" i="17"/>
  <c r="AB62" i="17"/>
  <c r="AB24" i="17"/>
  <c r="AB45" i="17"/>
  <c r="AB51" i="17"/>
  <c r="AB34" i="17"/>
  <c r="AB40" i="17"/>
  <c r="AV44" i="18"/>
  <c r="AV55" i="18"/>
  <c r="AV33" i="18"/>
  <c r="AV23" i="18"/>
  <c r="AL44" i="18"/>
  <c r="AL55" i="18"/>
  <c r="AL23" i="18"/>
  <c r="AL33" i="18"/>
  <c r="S33" i="18"/>
  <c r="S55" i="18"/>
  <c r="S23" i="18"/>
  <c r="S44" i="18"/>
  <c r="AV22" i="19"/>
  <c r="AV21" i="19"/>
  <c r="AP35" i="19"/>
  <c r="AP39" i="19"/>
  <c r="M44" i="17"/>
  <c r="M23" i="17"/>
  <c r="M55" i="17"/>
  <c r="M33" i="17"/>
  <c r="J44" i="17"/>
  <c r="J23" i="17"/>
  <c r="J33" i="17"/>
  <c r="J55" i="17"/>
  <c r="F44" i="17"/>
  <c r="F23" i="17"/>
  <c r="F33" i="17"/>
  <c r="F55" i="17"/>
  <c r="AJ44" i="18"/>
  <c r="AJ33" i="18"/>
  <c r="AJ55" i="18"/>
  <c r="AJ23" i="18"/>
  <c r="V22" i="18"/>
  <c r="V21" i="18"/>
  <c r="F22" i="18"/>
  <c r="F21" i="18"/>
  <c r="AM44" i="18"/>
  <c r="AM55" i="18"/>
  <c r="AM23" i="18"/>
  <c r="AM33" i="18"/>
  <c r="U22" i="18"/>
  <c r="U21" i="18"/>
  <c r="G30" i="18"/>
  <c r="H27" i="18"/>
  <c r="AU22" i="19"/>
  <c r="AU21" i="19"/>
  <c r="AH21" i="19"/>
  <c r="AH22" i="19"/>
  <c r="U44" i="17"/>
  <c r="U23" i="17"/>
  <c r="U55" i="17"/>
  <c r="U33" i="17"/>
  <c r="N44" i="17"/>
  <c r="N55" i="17"/>
  <c r="N23" i="17"/>
  <c r="N33" i="17"/>
  <c r="I44" i="17"/>
  <c r="I23" i="17"/>
  <c r="I33" i="17"/>
  <c r="I55" i="17"/>
  <c r="E44" i="17"/>
  <c r="E23" i="17"/>
  <c r="E33" i="17"/>
  <c r="E55" i="17"/>
  <c r="AA24" i="18"/>
  <c r="AA45" i="18"/>
  <c r="AA51" i="18"/>
  <c r="AA34" i="18"/>
  <c r="AA40" i="18"/>
  <c r="AA56" i="18"/>
  <c r="AA62" i="18"/>
  <c r="K24" i="18"/>
  <c r="K45" i="18"/>
  <c r="K51" i="18"/>
  <c r="K34" i="18"/>
  <c r="K40" i="18"/>
  <c r="K56" i="18"/>
  <c r="K62" i="18"/>
  <c r="O34" i="17"/>
  <c r="O40" i="17"/>
  <c r="O24" i="17"/>
  <c r="O56" i="17"/>
  <c r="O62" i="17"/>
  <c r="O45" i="17"/>
  <c r="O51" i="17"/>
  <c r="AI34" i="18"/>
  <c r="AI40" i="18"/>
  <c r="AI45" i="18"/>
  <c r="AI51" i="18"/>
  <c r="AI56" i="18"/>
  <c r="AI62" i="18"/>
  <c r="AI24" i="18"/>
  <c r="L33" i="18"/>
  <c r="L55" i="18"/>
  <c r="L23" i="18"/>
  <c r="L44" i="18"/>
  <c r="Y33" i="19"/>
  <c r="Y55" i="19"/>
  <c r="Y23" i="19"/>
  <c r="Y44" i="19"/>
  <c r="K57" i="19"/>
  <c r="K61" i="19"/>
  <c r="AR34" i="18"/>
  <c r="AR40" i="18"/>
  <c r="AR24" i="18"/>
  <c r="AR56" i="18"/>
  <c r="AR62" i="18"/>
  <c r="AR45" i="18"/>
  <c r="AR51" i="18"/>
  <c r="H33" i="18"/>
  <c r="H55" i="18"/>
  <c r="H23" i="18"/>
  <c r="H44" i="18"/>
  <c r="AC24" i="19"/>
  <c r="AC34" i="19"/>
  <c r="AC40" i="19"/>
  <c r="AC45" i="19"/>
  <c r="AC51" i="19"/>
  <c r="AC56" i="19"/>
  <c r="AC62" i="19"/>
  <c r="D13" i="19"/>
  <c r="W34" i="17"/>
  <c r="W40" i="17"/>
  <c r="W24" i="17"/>
  <c r="W56" i="17"/>
  <c r="W62" i="17"/>
  <c r="W45" i="17"/>
  <c r="W51" i="17"/>
  <c r="AT34" i="18"/>
  <c r="AT40" i="18"/>
  <c r="AT24" i="18"/>
  <c r="AT45" i="18"/>
  <c r="AT51" i="18"/>
  <c r="AT56" i="18"/>
  <c r="AT62" i="18"/>
  <c r="T33" i="18"/>
  <c r="T55" i="18"/>
  <c r="T23" i="18"/>
  <c r="T44" i="18"/>
  <c r="AI24" i="19"/>
  <c r="AI34" i="19"/>
  <c r="AI40" i="19"/>
  <c r="AI45" i="19"/>
  <c r="AI51" i="19"/>
  <c r="AI56" i="19"/>
  <c r="AI62" i="19"/>
  <c r="AB24" i="19"/>
  <c r="AB34" i="19"/>
  <c r="AB40" i="19"/>
  <c r="AB45" i="19"/>
  <c r="AB51" i="19"/>
  <c r="AB56" i="19"/>
  <c r="AB62" i="19"/>
  <c r="AQ22" i="17"/>
  <c r="AO22" i="17"/>
  <c r="AM22" i="17"/>
  <c r="AK22" i="17"/>
  <c r="AI22" i="17"/>
  <c r="AG22" i="17"/>
  <c r="AE22" i="17"/>
  <c r="AU22" i="17"/>
  <c r="D22" i="17"/>
  <c r="V44" i="17"/>
  <c r="V55" i="17"/>
  <c r="V23" i="17"/>
  <c r="V33" i="17"/>
  <c r="AF24" i="18"/>
  <c r="AF45" i="18"/>
  <c r="AF51" i="18"/>
  <c r="AF34" i="18"/>
  <c r="AF40" i="18"/>
  <c r="AF56" i="18"/>
  <c r="AF62" i="18"/>
  <c r="AL33" i="19"/>
  <c r="AL44" i="19"/>
  <c r="AL55" i="19"/>
  <c r="AL23" i="19"/>
  <c r="L22" i="19"/>
  <c r="L21" i="19"/>
  <c r="V33" i="19"/>
  <c r="V55" i="19"/>
  <c r="V23" i="19"/>
  <c r="V44" i="19"/>
  <c r="G33" i="19"/>
  <c r="G55" i="19"/>
  <c r="G23" i="19"/>
  <c r="G44" i="19"/>
  <c r="AY21" i="17"/>
  <c r="AY22" i="17"/>
  <c r="AK23" i="17"/>
  <c r="AK33" i="17"/>
  <c r="AK44" i="17"/>
  <c r="AK55" i="17"/>
  <c r="AC23" i="17"/>
  <c r="AC33" i="17"/>
  <c r="AC44" i="17"/>
  <c r="AC55" i="17"/>
  <c r="P22" i="17"/>
  <c r="AV22" i="17"/>
  <c r="T22" i="17"/>
  <c r="AS34" i="18"/>
  <c r="AS40" i="18"/>
  <c r="AS24" i="18"/>
  <c r="AS56" i="18"/>
  <c r="AS62" i="18"/>
  <c r="AS45" i="18"/>
  <c r="AS51" i="18"/>
  <c r="AK34" i="18"/>
  <c r="AK40" i="18"/>
  <c r="AK24" i="18"/>
  <c r="AK45" i="18"/>
  <c r="AK51" i="18"/>
  <c r="AK56" i="18"/>
  <c r="AK62" i="18"/>
  <c r="AC22" i="17"/>
  <c r="AP23" i="17"/>
  <c r="AP33" i="17"/>
  <c r="AP44" i="17"/>
  <c r="AP55" i="17"/>
  <c r="AL23" i="17"/>
  <c r="AL33" i="17"/>
  <c r="AL44" i="17"/>
  <c r="AL55" i="17"/>
  <c r="AH23" i="17"/>
  <c r="AH33" i="17"/>
  <c r="AH44" i="17"/>
  <c r="AH55" i="17"/>
  <c r="AD23" i="17"/>
  <c r="AD33" i="17"/>
  <c r="AD44" i="17"/>
  <c r="AD55" i="17"/>
  <c r="Y22" i="17"/>
  <c r="AU34" i="18"/>
  <c r="AU40" i="18"/>
  <c r="AU24" i="18"/>
  <c r="AU45" i="18"/>
  <c r="AU51" i="18"/>
  <c r="AU56" i="18"/>
  <c r="AU62" i="18"/>
  <c r="AE33" i="18"/>
  <c r="AE55" i="18"/>
  <c r="AE23" i="18"/>
  <c r="AE44" i="18"/>
  <c r="O33" i="18"/>
  <c r="O55" i="18"/>
  <c r="O23" i="18"/>
  <c r="O44" i="18"/>
  <c r="AT22" i="19"/>
  <c r="AT21" i="19"/>
  <c r="AP46" i="19"/>
  <c r="AP50" i="19"/>
  <c r="Q22" i="17"/>
  <c r="L22" i="17"/>
  <c r="H22" i="17"/>
  <c r="AQ34" i="18"/>
  <c r="AQ40" i="18"/>
  <c r="AQ24" i="18"/>
  <c r="AQ45" i="18"/>
  <c r="AQ51" i="18"/>
  <c r="AQ56" i="18"/>
  <c r="AQ62" i="18"/>
  <c r="AH21" i="18"/>
  <c r="AH22" i="18"/>
  <c r="R22" i="18"/>
  <c r="R21" i="18"/>
  <c r="D35" i="18"/>
  <c r="D39" i="18"/>
  <c r="AG22" i="18"/>
  <c r="AG21" i="18"/>
  <c r="Q22" i="18"/>
  <c r="Q21" i="18"/>
  <c r="AZ10" i="18"/>
  <c r="D13" i="18"/>
  <c r="AS22" i="19"/>
  <c r="AS21" i="19"/>
  <c r="AW33" i="17"/>
  <c r="AW23" i="17"/>
  <c r="AW44" i="17"/>
  <c r="AW55" i="17"/>
  <c r="R22" i="17"/>
  <c r="K22" i="17"/>
  <c r="G22" i="17"/>
  <c r="AY34" i="18"/>
  <c r="AY40" i="18"/>
  <c r="AY24" i="18"/>
  <c r="AY45" i="18"/>
  <c r="AY51" i="18"/>
  <c r="AY56" i="18"/>
  <c r="AY62" i="18"/>
  <c r="W24" i="18"/>
  <c r="W45" i="18"/>
  <c r="W51" i="18"/>
  <c r="W34" i="18"/>
  <c r="W40" i="18"/>
  <c r="W56" i="18"/>
  <c r="W62" i="18"/>
  <c r="G24" i="18"/>
  <c r="G45" i="18"/>
  <c r="G51" i="18"/>
  <c r="G34" i="18"/>
  <c r="G40" i="18"/>
  <c r="G56" i="18"/>
  <c r="G62" i="18"/>
  <c r="O44" i="17"/>
  <c r="O33" i="17"/>
  <c r="O55" i="17"/>
  <c r="O23" i="17"/>
  <c r="AI44" i="18"/>
  <c r="AI23" i="18"/>
  <c r="AI55" i="18"/>
  <c r="AI33" i="18"/>
  <c r="L24" i="18"/>
  <c r="L45" i="18"/>
  <c r="L51" i="18"/>
  <c r="L34" i="18"/>
  <c r="L40" i="18"/>
  <c r="L56" i="18"/>
  <c r="L62" i="18"/>
  <c r="U33" i="19"/>
  <c r="U55" i="19"/>
  <c r="U23" i="19"/>
  <c r="U44" i="19"/>
  <c r="K35" i="19"/>
  <c r="K39" i="19"/>
  <c r="AR44" i="18"/>
  <c r="AR55" i="18"/>
  <c r="AR33" i="18"/>
  <c r="AR23" i="18"/>
  <c r="H24" i="18"/>
  <c r="H45" i="18"/>
  <c r="H51" i="18"/>
  <c r="H34" i="18"/>
  <c r="H40" i="18"/>
  <c r="H56" i="18"/>
  <c r="H62" i="18"/>
  <c r="AC33" i="19"/>
  <c r="AC44" i="19"/>
  <c r="AC55" i="19"/>
  <c r="AC23" i="19"/>
  <c r="T22" i="19"/>
  <c r="T21" i="19"/>
  <c r="W44" i="17"/>
  <c r="W33" i="17"/>
  <c r="W55" i="17"/>
  <c r="W23" i="17"/>
  <c r="AT44" i="18"/>
  <c r="AT55" i="18"/>
  <c r="AT23" i="18"/>
  <c r="AT33" i="18"/>
  <c r="T24" i="18"/>
  <c r="T45" i="18"/>
  <c r="T51" i="18"/>
  <c r="T34" i="18"/>
  <c r="T40" i="18"/>
  <c r="T56" i="18"/>
  <c r="T62" i="18"/>
  <c r="AI33" i="19"/>
  <c r="AI44" i="19"/>
  <c r="AI55" i="19"/>
  <c r="AI23" i="19"/>
  <c r="AB33" i="19"/>
  <c r="AB44" i="19"/>
  <c r="AB55" i="19"/>
  <c r="AB23" i="19"/>
  <c r="S22" i="19"/>
  <c r="S21" i="19"/>
  <c r="D33" i="19"/>
  <c r="D55" i="19"/>
  <c r="D44" i="19"/>
  <c r="D23" i="19"/>
  <c r="AX33" i="17"/>
  <c r="AX44" i="17"/>
  <c r="AX55" i="17"/>
  <c r="AX23" i="17"/>
  <c r="AP34" i="18"/>
  <c r="AP40" i="18"/>
  <c r="AP24" i="18"/>
  <c r="AP45" i="18"/>
  <c r="AP51" i="18"/>
  <c r="AP56" i="18"/>
  <c r="AP62" i="18"/>
  <c r="P33" i="18"/>
  <c r="P55" i="18"/>
  <c r="P23" i="18"/>
  <c r="P44" i="18"/>
  <c r="AE24" i="19"/>
  <c r="AE34" i="19"/>
  <c r="AE40" i="19"/>
  <c r="AE45" i="19"/>
  <c r="AE51" i="19"/>
  <c r="AE56" i="19"/>
  <c r="AE62" i="19"/>
  <c r="V24" i="19"/>
  <c r="V45" i="19"/>
  <c r="V51" i="19"/>
  <c r="V34" i="19"/>
  <c r="V40" i="19"/>
  <c r="V56" i="19"/>
  <c r="V62" i="19"/>
  <c r="G24" i="19"/>
  <c r="G45" i="19"/>
  <c r="G51" i="19"/>
  <c r="G34" i="19"/>
  <c r="G40" i="19"/>
  <c r="G56" i="19"/>
  <c r="G62" i="19"/>
  <c r="T11" i="21"/>
  <c r="T45" i="21"/>
  <c r="AQ23" i="17"/>
  <c r="AQ33" i="17"/>
  <c r="AQ44" i="17"/>
  <c r="AQ55" i="17"/>
  <c r="AI23" i="17"/>
  <c r="AI33" i="17"/>
  <c r="AI44" i="17"/>
  <c r="AI55" i="17"/>
  <c r="AA23" i="17"/>
  <c r="AA33" i="17"/>
  <c r="AA44" i="17"/>
  <c r="AA55" i="17"/>
  <c r="P44" i="17"/>
  <c r="P55" i="17"/>
  <c r="P33" i="17"/>
  <c r="P23" i="17"/>
  <c r="T44" i="17"/>
  <c r="T55" i="17"/>
  <c r="T33" i="17"/>
  <c r="T23" i="17"/>
  <c r="AS44" i="18"/>
  <c r="AS55" i="18"/>
  <c r="AS23" i="18"/>
  <c r="AS33" i="18"/>
  <c r="AK44" i="18"/>
  <c r="AK55" i="18"/>
  <c r="AK33" i="18"/>
  <c r="AK23" i="18"/>
  <c r="AZ10" i="17"/>
  <c r="AP56" i="17"/>
  <c r="AP62" i="17"/>
  <c r="AP24" i="17"/>
  <c r="AP45" i="17"/>
  <c r="AP51" i="17"/>
  <c r="AP34" i="17"/>
  <c r="AP40" i="17"/>
  <c r="AL56" i="17"/>
  <c r="AL62" i="17"/>
  <c r="AL24" i="17"/>
  <c r="AL45" i="17"/>
  <c r="AL51" i="17"/>
  <c r="AL34" i="17"/>
  <c r="AL40" i="17"/>
  <c r="AH56" i="17"/>
  <c r="AH62" i="17"/>
  <c r="AH24" i="17"/>
  <c r="AH45" i="17"/>
  <c r="AH51" i="17"/>
  <c r="AH34" i="17"/>
  <c r="AH40" i="17"/>
  <c r="AD56" i="17"/>
  <c r="AD62" i="17"/>
  <c r="AD24" i="17"/>
  <c r="AD45" i="17"/>
  <c r="AD51" i="17"/>
  <c r="AD34" i="17"/>
  <c r="AD40" i="17"/>
  <c r="U34" i="17"/>
  <c r="U40" i="17"/>
  <c r="U24" i="17"/>
  <c r="U45" i="17"/>
  <c r="U51" i="17"/>
  <c r="U56" i="17"/>
  <c r="U62" i="17"/>
  <c r="AU44" i="18"/>
  <c r="AU55" i="18"/>
  <c r="AU33" i="18"/>
  <c r="AU23" i="18"/>
  <c r="AA33" i="18"/>
  <c r="AA55" i="18"/>
  <c r="AA23" i="18"/>
  <c r="AA44" i="18"/>
  <c r="K33" i="18"/>
  <c r="K55" i="18"/>
  <c r="K23" i="18"/>
  <c r="K44" i="18"/>
  <c r="AQ35" i="19"/>
  <c r="AQ39" i="19"/>
  <c r="AP10" i="19"/>
  <c r="AP13" i="19"/>
  <c r="AQ14" i="19"/>
  <c r="AQ15" i="19"/>
  <c r="Q44" i="17"/>
  <c r="Q23" i="17"/>
  <c r="Q55" i="17"/>
  <c r="Q33" i="17"/>
  <c r="L44" i="17"/>
  <c r="L55" i="17"/>
  <c r="L33" i="17"/>
  <c r="L23" i="17"/>
  <c r="H44" i="17"/>
  <c r="H23" i="17"/>
  <c r="H33" i="17"/>
  <c r="H55" i="17"/>
  <c r="AQ44" i="18"/>
  <c r="AQ55" i="18"/>
  <c r="AQ33" i="18"/>
  <c r="AQ23" i="18"/>
  <c r="AD22" i="18"/>
  <c r="AD21" i="18"/>
  <c r="N22" i="18"/>
  <c r="N21" i="18"/>
  <c r="D46" i="18"/>
  <c r="D50" i="18"/>
  <c r="AC22" i="18"/>
  <c r="AC21" i="18"/>
  <c r="M22" i="18"/>
  <c r="M21" i="18"/>
  <c r="AY22" i="19"/>
  <c r="AY21" i="19"/>
  <c r="AO22" i="19"/>
  <c r="AO21" i="19"/>
  <c r="AW24" i="17"/>
  <c r="AW34" i="17"/>
  <c r="AW40" i="17"/>
  <c r="AW45" i="17"/>
  <c r="AW51" i="17"/>
  <c r="AW56" i="17"/>
  <c r="AW62" i="17"/>
  <c r="R44" i="17"/>
  <c r="R55" i="17"/>
  <c r="R23" i="17"/>
  <c r="R33" i="17"/>
  <c r="K44" i="17"/>
  <c r="K33" i="17"/>
  <c r="K55" i="17"/>
  <c r="K23" i="17"/>
  <c r="G44" i="17"/>
  <c r="G23" i="17"/>
  <c r="G33" i="17"/>
  <c r="G55" i="17"/>
  <c r="AY44" i="18"/>
  <c r="AY55" i="18"/>
  <c r="AY23" i="18"/>
  <c r="AY33" i="18"/>
  <c r="S24" i="18"/>
  <c r="S45" i="18"/>
  <c r="S51" i="18"/>
  <c r="S34" i="18"/>
  <c r="S40" i="18"/>
  <c r="S56" i="18"/>
  <c r="S62" i="18"/>
  <c r="D57" i="18"/>
  <c r="D61" i="18"/>
  <c r="AX34" i="18"/>
  <c r="AX40" i="18"/>
  <c r="AX24" i="18"/>
  <c r="AX45" i="18"/>
  <c r="AX51" i="18"/>
  <c r="AX56" i="18"/>
  <c r="AX62" i="18"/>
  <c r="AB33" i="18"/>
  <c r="AB55" i="18"/>
  <c r="AB23" i="18"/>
  <c r="AB44" i="18"/>
  <c r="AK24" i="19"/>
  <c r="AK34" i="19"/>
  <c r="AK40" i="19"/>
  <c r="AK45" i="19"/>
  <c r="AK51" i="19"/>
  <c r="AK56" i="19"/>
  <c r="AK62" i="19"/>
  <c r="AD24" i="19"/>
  <c r="AD34" i="19"/>
  <c r="AD40" i="19"/>
  <c r="AD45" i="19"/>
  <c r="AD51" i="19"/>
  <c r="AD56" i="19"/>
  <c r="AD62" i="19"/>
  <c r="Q33" i="19"/>
  <c r="Q55" i="19"/>
  <c r="Q23" i="19"/>
  <c r="Q44" i="19"/>
  <c r="J33" i="19"/>
  <c r="J55" i="19"/>
  <c r="J23" i="19"/>
  <c r="J44" i="19"/>
  <c r="X33" i="18"/>
  <c r="X55" i="18"/>
  <c r="X23" i="18"/>
  <c r="X44" i="18"/>
  <c r="AJ24" i="19"/>
  <c r="AJ34" i="19"/>
  <c r="AJ40" i="19"/>
  <c r="AJ45" i="19"/>
  <c r="AJ51" i="19"/>
  <c r="AJ56" i="19"/>
  <c r="AJ62" i="19"/>
  <c r="I22" i="19"/>
  <c r="I21" i="19"/>
  <c r="Z23" i="17"/>
  <c r="Z33" i="17"/>
  <c r="Z44" i="17"/>
  <c r="Z55" i="17"/>
  <c r="S34" i="17"/>
  <c r="S40" i="17"/>
  <c r="S24" i="17"/>
  <c r="S56" i="17"/>
  <c r="S62" i="17"/>
  <c r="S45" i="17"/>
  <c r="S51" i="17"/>
  <c r="AN34" i="18"/>
  <c r="AN40" i="18"/>
  <c r="AN24" i="18"/>
  <c r="AN56" i="18"/>
  <c r="AN62" i="18"/>
  <c r="AN45" i="18"/>
  <c r="AN51" i="18"/>
  <c r="AM55" i="19"/>
  <c r="AM23" i="19"/>
  <c r="AM33" i="19"/>
  <c r="AM44" i="19"/>
  <c r="AF24" i="19"/>
  <c r="AF34" i="19"/>
  <c r="AF40" i="19"/>
  <c r="AF45" i="19"/>
  <c r="AF51" i="19"/>
  <c r="AF56" i="19"/>
  <c r="AF62" i="19"/>
  <c r="H22" i="19"/>
  <c r="H21" i="19"/>
  <c r="AZ21" i="17"/>
  <c r="D44" i="17"/>
  <c r="D23" i="17"/>
  <c r="D55" i="17"/>
  <c r="D33" i="17"/>
  <c r="AP44" i="18"/>
  <c r="AP55" i="18"/>
  <c r="AP23" i="18"/>
  <c r="AP33" i="18"/>
  <c r="P24" i="18"/>
  <c r="P45" i="18"/>
  <c r="P51" i="18"/>
  <c r="P34" i="18"/>
  <c r="P40" i="18"/>
  <c r="P56" i="18"/>
  <c r="P62" i="18"/>
  <c r="AE33" i="19"/>
  <c r="AE44" i="19"/>
  <c r="AE55" i="19"/>
  <c r="AE23" i="19"/>
  <c r="Z33" i="19"/>
  <c r="Z55" i="19"/>
  <c r="Z23" i="19"/>
  <c r="Z44" i="19"/>
  <c r="R33" i="19"/>
  <c r="R55" i="19"/>
  <c r="R23" i="19"/>
  <c r="R44" i="19"/>
  <c r="N33" i="19"/>
  <c r="N55" i="19"/>
  <c r="N23" i="19"/>
  <c r="N44" i="19"/>
  <c r="AX22" i="17"/>
  <c r="AU33" i="17"/>
  <c r="AU44" i="17"/>
  <c r="AU23" i="17"/>
  <c r="AU55" i="17"/>
  <c r="AO23" i="17"/>
  <c r="AO33" i="17"/>
  <c r="AO44" i="17"/>
  <c r="AO55" i="17"/>
  <c r="AG23" i="17"/>
  <c r="AG33" i="17"/>
  <c r="AG44" i="17"/>
  <c r="AG55" i="17"/>
  <c r="X22" i="17"/>
  <c r="AW34" i="18"/>
  <c r="AW40" i="18"/>
  <c r="AW24" i="18"/>
  <c r="AW45" i="18"/>
  <c r="AW51" i="18"/>
  <c r="AW56" i="18"/>
  <c r="AW62" i="18"/>
  <c r="AO34" i="18"/>
  <c r="AO40" i="18"/>
  <c r="AO24" i="18"/>
  <c r="AO45" i="18"/>
  <c r="AO51" i="18"/>
  <c r="AO56" i="18"/>
  <c r="AO62" i="18"/>
  <c r="AR33" i="17"/>
  <c r="AR44" i="17"/>
  <c r="AR55" i="17"/>
  <c r="AR23" i="17"/>
  <c r="AN23" i="17"/>
  <c r="AN33" i="17"/>
  <c r="AN44" i="17"/>
  <c r="AN55" i="17"/>
  <c r="AJ23" i="17"/>
  <c r="AJ33" i="17"/>
  <c r="AJ44" i="17"/>
  <c r="AJ55" i="17"/>
  <c r="AF23" i="17"/>
  <c r="AF33" i="17"/>
  <c r="AF44" i="17"/>
  <c r="AF55" i="17"/>
  <c r="AB23" i="17"/>
  <c r="AB33" i="17"/>
  <c r="AB44" i="17"/>
  <c r="AB55" i="17"/>
  <c r="AV34" i="18"/>
  <c r="AV40" i="18"/>
  <c r="AV24" i="18"/>
  <c r="AV56" i="18"/>
  <c r="AV62" i="18"/>
  <c r="AV45" i="18"/>
  <c r="AV51" i="18"/>
  <c r="AL34" i="18"/>
  <c r="AL40" i="18"/>
  <c r="AL24" i="18"/>
  <c r="AL45" i="18"/>
  <c r="AL51" i="18"/>
  <c r="AL56" i="18"/>
  <c r="AL62" i="18"/>
  <c r="W33" i="18"/>
  <c r="W55" i="18"/>
  <c r="W23" i="18"/>
  <c r="W44" i="18"/>
  <c r="G33" i="18"/>
  <c r="G55" i="18"/>
  <c r="G23" i="18"/>
  <c r="G44" i="18"/>
  <c r="AX22" i="19"/>
  <c r="AX21" i="19"/>
  <c r="AQ46" i="19"/>
  <c r="AQ50" i="19"/>
  <c r="AN22" i="19"/>
  <c r="AN21" i="19"/>
  <c r="M22" i="17"/>
  <c r="J22" i="17"/>
  <c r="F22" i="17"/>
  <c r="AJ34" i="18"/>
  <c r="AJ40" i="18"/>
  <c r="AJ24" i="18"/>
  <c r="AJ56" i="18"/>
  <c r="AJ62" i="18"/>
  <c r="AJ45" i="18"/>
  <c r="AJ51" i="18"/>
  <c r="Z22" i="18"/>
  <c r="Z21" i="18"/>
  <c r="J22" i="18"/>
  <c r="J21" i="18"/>
  <c r="AM34" i="18"/>
  <c r="AM40" i="18"/>
  <c r="AM24" i="18"/>
  <c r="AM56" i="18"/>
  <c r="AM62" i="18"/>
  <c r="AM45" i="18"/>
  <c r="AM51" i="18"/>
  <c r="Y22" i="18"/>
  <c r="Y21" i="18"/>
  <c r="I22" i="18"/>
  <c r="I21" i="18"/>
  <c r="AW22" i="19"/>
  <c r="AW21" i="19"/>
  <c r="AG57" i="19"/>
  <c r="AG61" i="19"/>
  <c r="Y44" i="17"/>
  <c r="Y23" i="17"/>
  <c r="Y55" i="17"/>
  <c r="Y33" i="17"/>
  <c r="N22" i="17"/>
  <c r="I22" i="17"/>
  <c r="E22" i="17"/>
  <c r="AE24" i="18"/>
  <c r="AE45" i="18"/>
  <c r="AE51" i="18"/>
  <c r="AE34" i="18"/>
  <c r="AE40" i="18"/>
  <c r="AE56" i="18"/>
  <c r="AE62" i="18"/>
  <c r="O24" i="18"/>
  <c r="O45" i="18"/>
  <c r="O51" i="18"/>
  <c r="O34" i="18"/>
  <c r="O40" i="18"/>
  <c r="O56" i="18"/>
  <c r="O62" i="18"/>
  <c r="AX44" i="18"/>
  <c r="AX55" i="18"/>
  <c r="AX23" i="18"/>
  <c r="AX33" i="18"/>
  <c r="AB24" i="18"/>
  <c r="AB45" i="18"/>
  <c r="AB51" i="18"/>
  <c r="AB34" i="18"/>
  <c r="AB40" i="18"/>
  <c r="AB56" i="18"/>
  <c r="AB62" i="18"/>
  <c r="AK33" i="19"/>
  <c r="AK44" i="19"/>
  <c r="AK55" i="19"/>
  <c r="AK23" i="19"/>
  <c r="AD33" i="19"/>
  <c r="AD44" i="19"/>
  <c r="AD55" i="19"/>
  <c r="AD23" i="19"/>
  <c r="M33" i="19"/>
  <c r="M55" i="19"/>
  <c r="M23" i="19"/>
  <c r="M44" i="19"/>
  <c r="F33" i="19"/>
  <c r="F55" i="19"/>
  <c r="F23" i="19"/>
  <c r="F44" i="19"/>
  <c r="X24" i="18"/>
  <c r="X45" i="18"/>
  <c r="X51" i="18"/>
  <c r="X34" i="18"/>
  <c r="X40" i="18"/>
  <c r="X56" i="18"/>
  <c r="X62" i="18"/>
  <c r="AJ33" i="19"/>
  <c r="AJ44" i="19"/>
  <c r="AJ55" i="19"/>
  <c r="AJ23" i="19"/>
  <c r="X22" i="19"/>
  <c r="X21" i="19"/>
  <c r="P22" i="19"/>
  <c r="P21" i="19"/>
  <c r="Z22" i="17"/>
  <c r="S44" i="17"/>
  <c r="S33" i="17"/>
  <c r="S55" i="17"/>
  <c r="S23" i="17"/>
  <c r="AN44" i="18"/>
  <c r="AN55" i="18"/>
  <c r="AN33" i="18"/>
  <c r="AN23" i="18"/>
  <c r="AM45" i="19"/>
  <c r="AM51" i="19"/>
  <c r="AM34" i="19"/>
  <c r="AM40" i="19"/>
  <c r="AM24" i="19"/>
  <c r="AM56" i="19"/>
  <c r="AM62" i="19"/>
  <c r="AF33" i="19"/>
  <c r="AF44" i="19"/>
  <c r="AF55" i="19"/>
  <c r="AF23" i="19"/>
  <c r="W22" i="19"/>
  <c r="W21" i="19"/>
  <c r="O22" i="19"/>
  <c r="O21" i="19"/>
  <c r="F30" i="19"/>
  <c r="G27" i="19"/>
  <c r="AV33" i="17"/>
  <c r="AV23" i="17"/>
  <c r="AV55" i="17"/>
  <c r="AV44" i="17"/>
  <c r="V22" i="17"/>
  <c r="AF33" i="18"/>
  <c r="AF55" i="18"/>
  <c r="AF23" i="18"/>
  <c r="AF44" i="18"/>
  <c r="AL24" i="19"/>
  <c r="AL34" i="19"/>
  <c r="AL40" i="19"/>
  <c r="AL45" i="19"/>
  <c r="AL51" i="19"/>
  <c r="AL56" i="19"/>
  <c r="AL62" i="19"/>
  <c r="AA21" i="19"/>
  <c r="AA22" i="19"/>
  <c r="Z24" i="19"/>
  <c r="Z45" i="19"/>
  <c r="Z51" i="19"/>
  <c r="Z34" i="19"/>
  <c r="Z40" i="19"/>
  <c r="Z56" i="19"/>
  <c r="Z62" i="19"/>
  <c r="R24" i="19"/>
  <c r="R45" i="19"/>
  <c r="R51" i="19"/>
  <c r="R34" i="19"/>
  <c r="R40" i="19"/>
  <c r="R56" i="19"/>
  <c r="R62" i="19"/>
  <c r="N24" i="19"/>
  <c r="N45" i="19"/>
  <c r="N51" i="19"/>
  <c r="N34" i="19"/>
  <c r="N40" i="19"/>
  <c r="N56" i="19"/>
  <c r="N62" i="19"/>
  <c r="AA33" i="19"/>
  <c r="AA55" i="19"/>
  <c r="AA23" i="19"/>
  <c r="AA44" i="19"/>
  <c r="AF35" i="18"/>
  <c r="AF39" i="18"/>
  <c r="O33" i="19"/>
  <c r="O55" i="19"/>
  <c r="O44" i="19"/>
  <c r="O23" i="19"/>
  <c r="Z24" i="17"/>
  <c r="Z45" i="17"/>
  <c r="Z51" i="17"/>
  <c r="Z34" i="17"/>
  <c r="Z40" i="17"/>
  <c r="Z56" i="17"/>
  <c r="Z62" i="17"/>
  <c r="X33" i="19"/>
  <c r="X55" i="19"/>
  <c r="X44" i="19"/>
  <c r="X23" i="19"/>
  <c r="AJ50" i="19"/>
  <c r="AJ46" i="19"/>
  <c r="F57" i="19"/>
  <c r="F61" i="19"/>
  <c r="M57" i="19"/>
  <c r="M61" i="19"/>
  <c r="AD50" i="19"/>
  <c r="AD46" i="19"/>
  <c r="AK50" i="19"/>
  <c r="AK46" i="19"/>
  <c r="AX61" i="18"/>
  <c r="AX57" i="18"/>
  <c r="N34" i="17"/>
  <c r="N40" i="17"/>
  <c r="N45" i="17"/>
  <c r="N51" i="17"/>
  <c r="N56" i="17"/>
  <c r="N62" i="17"/>
  <c r="N24" i="17"/>
  <c r="Y50" i="17"/>
  <c r="AW45" i="19"/>
  <c r="AW51" i="19"/>
  <c r="AW34" i="19"/>
  <c r="AW40" i="19"/>
  <c r="AW24" i="19"/>
  <c r="AW56" i="19"/>
  <c r="AW62" i="19"/>
  <c r="Y24" i="18"/>
  <c r="Y45" i="18"/>
  <c r="Y51" i="18"/>
  <c r="Y56" i="18"/>
  <c r="Y62" i="18"/>
  <c r="Y34" i="18"/>
  <c r="Y40" i="18"/>
  <c r="Z24" i="18"/>
  <c r="Z45" i="18"/>
  <c r="Z51" i="18"/>
  <c r="Z34" i="18"/>
  <c r="Z40" i="18"/>
  <c r="Z56" i="18"/>
  <c r="Z62" i="18"/>
  <c r="AN55" i="19"/>
  <c r="AN23" i="19"/>
  <c r="AN33" i="19"/>
  <c r="AN44" i="19"/>
  <c r="AX55" i="19"/>
  <c r="AX23" i="19"/>
  <c r="AX33" i="19"/>
  <c r="AX44" i="19"/>
  <c r="G57" i="18"/>
  <c r="G61" i="18"/>
  <c r="W57" i="18"/>
  <c r="W61" i="18"/>
  <c r="AB39" i="17"/>
  <c r="AB35" i="17"/>
  <c r="AF39" i="17"/>
  <c r="AF35" i="17"/>
  <c r="AJ39" i="17"/>
  <c r="AJ35" i="17"/>
  <c r="AN39" i="17"/>
  <c r="AN35" i="17"/>
  <c r="AR50" i="17"/>
  <c r="AR46" i="17"/>
  <c r="AG50" i="17"/>
  <c r="AO50" i="17"/>
  <c r="N50" i="19"/>
  <c r="N46" i="19"/>
  <c r="R50" i="19"/>
  <c r="R46" i="19"/>
  <c r="Z50" i="19"/>
  <c r="Z46" i="19"/>
  <c r="AP35" i="18"/>
  <c r="AP39" i="18"/>
  <c r="D39" i="17"/>
  <c r="AM35" i="19"/>
  <c r="AM39" i="19"/>
  <c r="Z50" i="17"/>
  <c r="Z46" i="17"/>
  <c r="I24" i="19"/>
  <c r="I45" i="19"/>
  <c r="I51" i="19"/>
  <c r="I34" i="19"/>
  <c r="I40" i="19"/>
  <c r="I56" i="19"/>
  <c r="I62" i="19"/>
  <c r="X35" i="18"/>
  <c r="X39" i="18"/>
  <c r="J57" i="19"/>
  <c r="J61" i="19"/>
  <c r="Q57" i="19"/>
  <c r="Q61" i="19"/>
  <c r="AB57" i="18"/>
  <c r="AB61" i="18"/>
  <c r="AY35" i="18"/>
  <c r="AY39" i="18"/>
  <c r="G61" i="17"/>
  <c r="R39" i="17"/>
  <c r="AO55" i="19"/>
  <c r="AO23" i="19"/>
  <c r="AO33" i="19"/>
  <c r="AO44" i="19"/>
  <c r="M33" i="18"/>
  <c r="M55" i="18"/>
  <c r="M44" i="18"/>
  <c r="M23" i="18"/>
  <c r="AD33" i="18"/>
  <c r="AD55" i="18"/>
  <c r="AD44" i="18"/>
  <c r="AD23" i="18"/>
  <c r="AQ61" i="18"/>
  <c r="AQ57" i="18"/>
  <c r="L61" i="17"/>
  <c r="L57" i="17"/>
  <c r="K57" i="18"/>
  <c r="K61" i="18"/>
  <c r="AA57" i="18"/>
  <c r="AA61" i="18"/>
  <c r="AU61" i="18"/>
  <c r="AU57" i="18"/>
  <c r="AK35" i="18"/>
  <c r="AK39" i="18"/>
  <c r="T39" i="17"/>
  <c r="P39" i="17"/>
  <c r="AA46" i="17"/>
  <c r="AA50" i="17"/>
  <c r="AI50" i="17"/>
  <c r="AQ50" i="17"/>
  <c r="P50" i="18"/>
  <c r="P46" i="18"/>
  <c r="AB57" i="19"/>
  <c r="AB61" i="19"/>
  <c r="AI57" i="19"/>
  <c r="AI61" i="19"/>
  <c r="W61" i="17"/>
  <c r="W57" i="17"/>
  <c r="T24" i="19"/>
  <c r="T45" i="19"/>
  <c r="T51" i="19"/>
  <c r="T34" i="19"/>
  <c r="T40" i="19"/>
  <c r="T56" i="19"/>
  <c r="T62" i="19"/>
  <c r="AC35" i="19"/>
  <c r="AC39" i="19"/>
  <c r="AR46" i="18"/>
  <c r="AR50" i="18"/>
  <c r="AI61" i="18"/>
  <c r="AI57" i="18"/>
  <c r="O61" i="17"/>
  <c r="O57" i="17"/>
  <c r="K34" i="17"/>
  <c r="K40" i="17"/>
  <c r="K24" i="17"/>
  <c r="K45" i="17"/>
  <c r="K51" i="17"/>
  <c r="K56" i="17"/>
  <c r="K62" i="17"/>
  <c r="E22" i="18"/>
  <c r="E21" i="18"/>
  <c r="AG33" i="18"/>
  <c r="AG55" i="18"/>
  <c r="AG44" i="18"/>
  <c r="AG23" i="18"/>
  <c r="R33" i="18"/>
  <c r="R55" i="18"/>
  <c r="R44" i="18"/>
  <c r="R23" i="18"/>
  <c r="H34" i="17"/>
  <c r="H40" i="17"/>
  <c r="H45" i="17"/>
  <c r="H51" i="17"/>
  <c r="H56" i="17"/>
  <c r="H62" i="17"/>
  <c r="H24" i="17"/>
  <c r="AD57" i="17"/>
  <c r="AD61" i="17"/>
  <c r="AH57" i="17"/>
  <c r="AH61" i="17"/>
  <c r="AL57" i="17"/>
  <c r="AL61" i="17"/>
  <c r="AP57" i="17"/>
  <c r="AP61" i="17"/>
  <c r="AC56" i="17"/>
  <c r="AC62" i="17"/>
  <c r="AC45" i="17"/>
  <c r="AC51" i="17"/>
  <c r="AC34" i="17"/>
  <c r="AC40" i="17"/>
  <c r="AC24" i="17"/>
  <c r="AC61" i="17"/>
  <c r="AK61" i="17"/>
  <c r="AY24" i="17"/>
  <c r="AY34" i="17"/>
  <c r="AY40" i="17"/>
  <c r="AY56" i="17"/>
  <c r="AY62" i="17"/>
  <c r="AY45" i="17"/>
  <c r="AY51" i="17"/>
  <c r="G57" i="19"/>
  <c r="G61" i="19"/>
  <c r="V57" i="19"/>
  <c r="V61" i="19"/>
  <c r="V35" i="17"/>
  <c r="V39" i="17"/>
  <c r="AZ22" i="17"/>
  <c r="D34" i="17"/>
  <c r="D40" i="17"/>
  <c r="D24" i="17"/>
  <c r="D56" i="17"/>
  <c r="D62" i="17"/>
  <c r="D45" i="17"/>
  <c r="D51" i="17"/>
  <c r="AI56" i="17"/>
  <c r="AI62" i="17"/>
  <c r="AI45" i="17"/>
  <c r="AI51" i="17"/>
  <c r="AI34" i="17"/>
  <c r="AI40" i="17"/>
  <c r="AI24" i="17"/>
  <c r="AQ56" i="17"/>
  <c r="AQ62" i="17"/>
  <c r="AQ45" i="17"/>
  <c r="AQ51" i="17"/>
  <c r="AQ34" i="17"/>
  <c r="AQ40" i="17"/>
  <c r="AQ24" i="17"/>
  <c r="T35" i="18"/>
  <c r="T39" i="18"/>
  <c r="Y35" i="19"/>
  <c r="Y39" i="19"/>
  <c r="L35" i="18"/>
  <c r="L39" i="18"/>
  <c r="E50" i="17"/>
  <c r="I50" i="17"/>
  <c r="N50" i="17"/>
  <c r="N46" i="17"/>
  <c r="U46" i="17"/>
  <c r="U50" i="17"/>
  <c r="AU45" i="19"/>
  <c r="AU51" i="19"/>
  <c r="AU34" i="19"/>
  <c r="AU40" i="19"/>
  <c r="AU24" i="19"/>
  <c r="AU56" i="19"/>
  <c r="AU62" i="19"/>
  <c r="U24" i="18"/>
  <c r="U45" i="18"/>
  <c r="U51" i="18"/>
  <c r="U56" i="18"/>
  <c r="U62" i="18"/>
  <c r="U34" i="18"/>
  <c r="U40" i="18"/>
  <c r="AM46" i="18"/>
  <c r="AM50" i="18"/>
  <c r="V24" i="18"/>
  <c r="V45" i="18"/>
  <c r="V51" i="18"/>
  <c r="V34" i="18"/>
  <c r="V40" i="18"/>
  <c r="V56" i="18"/>
  <c r="V62" i="18"/>
  <c r="AJ46" i="18"/>
  <c r="AJ50" i="18"/>
  <c r="F50" i="17"/>
  <c r="J50" i="17"/>
  <c r="M50" i="17"/>
  <c r="AV45" i="19"/>
  <c r="AV51" i="19"/>
  <c r="AV24" i="19"/>
  <c r="AV56" i="19"/>
  <c r="AV62" i="19"/>
  <c r="AV34" i="19"/>
  <c r="AV40" i="19"/>
  <c r="S57" i="18"/>
  <c r="S61" i="18"/>
  <c r="AL61" i="18"/>
  <c r="AL57" i="18"/>
  <c r="AV61" i="18"/>
  <c r="AV57" i="18"/>
  <c r="AO61" i="18"/>
  <c r="AO57" i="18"/>
  <c r="AW61" i="18"/>
  <c r="AW57" i="18"/>
  <c r="AE61" i="17"/>
  <c r="AM61" i="17"/>
  <c r="AT33" i="17"/>
  <c r="AT44" i="17"/>
  <c r="AT55" i="17"/>
  <c r="AT23" i="17"/>
  <c r="AZ23" i="17"/>
  <c r="AF50" i="18"/>
  <c r="AF46" i="18"/>
  <c r="V34" i="17"/>
  <c r="V40" i="17"/>
  <c r="V45" i="17"/>
  <c r="V51" i="17"/>
  <c r="V56" i="17"/>
  <c r="V62" i="17"/>
  <c r="V24" i="17"/>
  <c r="AV39" i="17"/>
  <c r="O24" i="19"/>
  <c r="O45" i="19"/>
  <c r="O51" i="19"/>
  <c r="O56" i="19"/>
  <c r="O62" i="19"/>
  <c r="O34" i="19"/>
  <c r="O40" i="19"/>
  <c r="AF57" i="19"/>
  <c r="AF61" i="19"/>
  <c r="AN35" i="18"/>
  <c r="AN39" i="18"/>
  <c r="S61" i="17"/>
  <c r="S57" i="17"/>
  <c r="X24" i="19"/>
  <c r="X45" i="19"/>
  <c r="X51" i="19"/>
  <c r="X34" i="19"/>
  <c r="X40" i="19"/>
  <c r="X56" i="19"/>
  <c r="X62" i="19"/>
  <c r="AJ35" i="19"/>
  <c r="AJ39" i="19"/>
  <c r="F35" i="19"/>
  <c r="F39" i="19"/>
  <c r="M35" i="19"/>
  <c r="M39" i="19"/>
  <c r="AD35" i="19"/>
  <c r="AD39" i="19"/>
  <c r="AK35" i="19"/>
  <c r="AK39" i="19"/>
  <c r="AX46" i="18"/>
  <c r="AX50" i="18"/>
  <c r="Y39" i="17"/>
  <c r="I33" i="18"/>
  <c r="I55" i="18"/>
  <c r="I44" i="18"/>
  <c r="I23" i="18"/>
  <c r="J33" i="18"/>
  <c r="J55" i="18"/>
  <c r="J44" i="18"/>
  <c r="J23" i="18"/>
  <c r="F34" i="17"/>
  <c r="F40" i="17"/>
  <c r="F45" i="17"/>
  <c r="F51" i="17"/>
  <c r="F56" i="17"/>
  <c r="F62" i="17"/>
  <c r="F24" i="17"/>
  <c r="AN45" i="19"/>
  <c r="AN51" i="19"/>
  <c r="AN24" i="19"/>
  <c r="AN56" i="19"/>
  <c r="AN62" i="19"/>
  <c r="AN34" i="19"/>
  <c r="AN40" i="19"/>
  <c r="AX45" i="19"/>
  <c r="AX51" i="19"/>
  <c r="AX24" i="19"/>
  <c r="AX56" i="19"/>
  <c r="AX62" i="19"/>
  <c r="AX34" i="19"/>
  <c r="AX40" i="19"/>
  <c r="G35" i="18"/>
  <c r="G39" i="18"/>
  <c r="W35" i="18"/>
  <c r="W39" i="18"/>
  <c r="AR35" i="17"/>
  <c r="AR39" i="17"/>
  <c r="AG39" i="17"/>
  <c r="AO39" i="17"/>
  <c r="AU50" i="17"/>
  <c r="AU46" i="17"/>
  <c r="AE57" i="19"/>
  <c r="AE61" i="19"/>
  <c r="D61" i="17"/>
  <c r="D57" i="17"/>
  <c r="H33" i="19"/>
  <c r="H55" i="19"/>
  <c r="H44" i="19"/>
  <c r="H23" i="19"/>
  <c r="Z39" i="17"/>
  <c r="Z35" i="17"/>
  <c r="X50" i="18"/>
  <c r="X46" i="18"/>
  <c r="J35" i="19"/>
  <c r="J39" i="19"/>
  <c r="Q35" i="19"/>
  <c r="Q39" i="19"/>
  <c r="AB35" i="18"/>
  <c r="AB39" i="18"/>
  <c r="G39" i="17"/>
  <c r="K61" i="17"/>
  <c r="K57" i="17"/>
  <c r="AO45" i="19"/>
  <c r="AO51" i="19"/>
  <c r="AO34" i="19"/>
  <c r="AO40" i="19"/>
  <c r="AO24" i="19"/>
  <c r="AO56" i="19"/>
  <c r="AO62" i="19"/>
  <c r="M24" i="18"/>
  <c r="M45" i="18"/>
  <c r="M51" i="18"/>
  <c r="M56" i="18"/>
  <c r="M62" i="18"/>
  <c r="M34" i="18"/>
  <c r="M40" i="18"/>
  <c r="AD24" i="18"/>
  <c r="AD45" i="18"/>
  <c r="AD51" i="18"/>
  <c r="AD34" i="18"/>
  <c r="AD40" i="18"/>
  <c r="AD56" i="18"/>
  <c r="AD62" i="18"/>
  <c r="AQ46" i="18"/>
  <c r="AQ50" i="18"/>
  <c r="H50" i="17"/>
  <c r="H46" i="17"/>
  <c r="L50" i="17"/>
  <c r="Q50" i="17"/>
  <c r="K35" i="18"/>
  <c r="K39" i="18"/>
  <c r="AA35" i="18"/>
  <c r="AA39" i="18"/>
  <c r="AU46" i="18"/>
  <c r="AU50" i="18"/>
  <c r="AK61" i="18"/>
  <c r="AK57" i="18"/>
  <c r="AS61" i="18"/>
  <c r="AS57" i="18"/>
  <c r="T61" i="17"/>
  <c r="T57" i="17"/>
  <c r="P61" i="17"/>
  <c r="AA39" i="17"/>
  <c r="AA35" i="17"/>
  <c r="AI39" i="17"/>
  <c r="AI35" i="17"/>
  <c r="AQ39" i="17"/>
  <c r="AQ35" i="17"/>
  <c r="AX61" i="17"/>
  <c r="D50" i="19"/>
  <c r="D46" i="19"/>
  <c r="S33" i="19"/>
  <c r="S55" i="19"/>
  <c r="S44" i="19"/>
  <c r="S23" i="19"/>
  <c r="AB50" i="19"/>
  <c r="AB46" i="19"/>
  <c r="AI50" i="19"/>
  <c r="AI46" i="19"/>
  <c r="AT61" i="18"/>
  <c r="AT57" i="18"/>
  <c r="W35" i="17"/>
  <c r="W39" i="17"/>
  <c r="U57" i="19"/>
  <c r="U61" i="19"/>
  <c r="O35" i="17"/>
  <c r="O39" i="17"/>
  <c r="R34" i="17"/>
  <c r="R40" i="17"/>
  <c r="R45" i="17"/>
  <c r="R51" i="17"/>
  <c r="R56" i="17"/>
  <c r="R62" i="17"/>
  <c r="R24" i="17"/>
  <c r="AW35" i="17"/>
  <c r="AW39" i="17"/>
  <c r="AG24" i="18"/>
  <c r="AG45" i="18"/>
  <c r="AG51" i="18"/>
  <c r="AG56" i="18"/>
  <c r="AG62" i="18"/>
  <c r="AG34" i="18"/>
  <c r="AG40" i="18"/>
  <c r="R24" i="18"/>
  <c r="R45" i="18"/>
  <c r="R51" i="18"/>
  <c r="R34" i="18"/>
  <c r="R40" i="18"/>
  <c r="R56" i="18"/>
  <c r="R62" i="18"/>
  <c r="L34" i="17"/>
  <c r="L40" i="17"/>
  <c r="L24" i="17"/>
  <c r="L56" i="17"/>
  <c r="L62" i="17"/>
  <c r="L45" i="17"/>
  <c r="L51" i="17"/>
  <c r="AT55" i="19"/>
  <c r="AT23" i="19"/>
  <c r="AT33" i="19"/>
  <c r="AT44" i="19"/>
  <c r="O57" i="18"/>
  <c r="O61" i="18"/>
  <c r="AE57" i="18"/>
  <c r="AE61" i="18"/>
  <c r="AD46" i="17"/>
  <c r="AD50" i="17"/>
  <c r="AH46" i="17"/>
  <c r="AH50" i="17"/>
  <c r="AL46" i="17"/>
  <c r="AL50" i="17"/>
  <c r="AP46" i="17"/>
  <c r="AP50" i="17"/>
  <c r="T34" i="17"/>
  <c r="T40" i="17"/>
  <c r="T24" i="17"/>
  <c r="T56" i="17"/>
  <c r="T62" i="17"/>
  <c r="T45" i="17"/>
  <c r="T51" i="17"/>
  <c r="AC46" i="17"/>
  <c r="AC50" i="17"/>
  <c r="AK50" i="17"/>
  <c r="AY33" i="17"/>
  <c r="AY23" i="17"/>
  <c r="AY44" i="17"/>
  <c r="AY55" i="17"/>
  <c r="G35" i="19"/>
  <c r="G39" i="19"/>
  <c r="V35" i="19"/>
  <c r="V39" i="19"/>
  <c r="AL57" i="19"/>
  <c r="AL61" i="19"/>
  <c r="AU24" i="17"/>
  <c r="AU56" i="17"/>
  <c r="AU62" i="17"/>
  <c r="AU45" i="17"/>
  <c r="AU51" i="17"/>
  <c r="AU34" i="17"/>
  <c r="AU40" i="17"/>
  <c r="AK56" i="17"/>
  <c r="AK62" i="17"/>
  <c r="AK45" i="17"/>
  <c r="AK51" i="17"/>
  <c r="AK34" i="17"/>
  <c r="AK40" i="17"/>
  <c r="AK24" i="17"/>
  <c r="T50" i="18"/>
  <c r="T46" i="18"/>
  <c r="E22" i="19"/>
  <c r="E21" i="19"/>
  <c r="H57" i="18"/>
  <c r="H61" i="18"/>
  <c r="Y50" i="19"/>
  <c r="Y46" i="19"/>
  <c r="L50" i="18"/>
  <c r="L46" i="18"/>
  <c r="E61" i="17"/>
  <c r="E57" i="17"/>
  <c r="I61" i="17"/>
  <c r="I57" i="17"/>
  <c r="N35" i="17"/>
  <c r="N39" i="17"/>
  <c r="U35" i="17"/>
  <c r="U39" i="17"/>
  <c r="AH24" i="19"/>
  <c r="AH34" i="19"/>
  <c r="AH40" i="19"/>
  <c r="AH45" i="19"/>
  <c r="AH51" i="19"/>
  <c r="AH56" i="19"/>
  <c r="AH62" i="19"/>
  <c r="I27" i="18"/>
  <c r="H30" i="18"/>
  <c r="AM35" i="18"/>
  <c r="AM39" i="18"/>
  <c r="F33" i="18"/>
  <c r="F55" i="18"/>
  <c r="F44" i="18"/>
  <c r="F23" i="18"/>
  <c r="F61" i="17"/>
  <c r="F57" i="17"/>
  <c r="J61" i="17"/>
  <c r="J57" i="17"/>
  <c r="M39" i="17"/>
  <c r="S35" i="18"/>
  <c r="S39" i="18"/>
  <c r="AL46" i="18"/>
  <c r="AL50" i="18"/>
  <c r="AV46" i="18"/>
  <c r="AV50" i="18"/>
  <c r="AO46" i="18"/>
  <c r="AO50" i="18"/>
  <c r="AW46" i="18"/>
  <c r="AW50" i="18"/>
  <c r="X39" i="17"/>
  <c r="X35" i="17"/>
  <c r="AE50" i="17"/>
  <c r="AM50" i="17"/>
  <c r="AT24" i="17"/>
  <c r="AT34" i="17"/>
  <c r="AT40" i="17"/>
  <c r="AT56" i="17"/>
  <c r="AT62" i="17"/>
  <c r="AT45" i="17"/>
  <c r="AT51" i="17"/>
  <c r="AV50" i="17"/>
  <c r="H27" i="19"/>
  <c r="G30" i="19"/>
  <c r="W33" i="19"/>
  <c r="W55" i="19"/>
  <c r="W44" i="19"/>
  <c r="W23" i="19"/>
  <c r="AF50" i="19"/>
  <c r="AF46" i="19"/>
  <c r="AN61" i="18"/>
  <c r="AN57" i="18"/>
  <c r="S35" i="17"/>
  <c r="S39" i="17"/>
  <c r="P33" i="19"/>
  <c r="P55" i="19"/>
  <c r="P44" i="19"/>
  <c r="P23" i="19"/>
  <c r="F50" i="19"/>
  <c r="F46" i="19"/>
  <c r="M50" i="19"/>
  <c r="M46" i="19"/>
  <c r="AX35" i="18"/>
  <c r="AX39" i="18"/>
  <c r="E34" i="17"/>
  <c r="E40" i="17"/>
  <c r="E45" i="17"/>
  <c r="E51" i="17"/>
  <c r="E56" i="17"/>
  <c r="E62" i="17"/>
  <c r="E24" i="17"/>
  <c r="Y61" i="17"/>
  <c r="Y57" i="17"/>
  <c r="I24" i="18"/>
  <c r="I45" i="18"/>
  <c r="I51" i="18"/>
  <c r="I56" i="18"/>
  <c r="I62" i="18"/>
  <c r="I34" i="18"/>
  <c r="I40" i="18"/>
  <c r="J24" i="18"/>
  <c r="J45" i="18"/>
  <c r="J51" i="18"/>
  <c r="J34" i="18"/>
  <c r="J40" i="18"/>
  <c r="J56" i="18"/>
  <c r="J62" i="18"/>
  <c r="J34" i="17"/>
  <c r="J40" i="17"/>
  <c r="J45" i="17"/>
  <c r="J51" i="17"/>
  <c r="J56" i="17"/>
  <c r="J62" i="17"/>
  <c r="J24" i="17"/>
  <c r="G50" i="18"/>
  <c r="G46" i="18"/>
  <c r="W50" i="18"/>
  <c r="W46" i="18"/>
  <c r="AB57" i="17"/>
  <c r="AB61" i="17"/>
  <c r="AF57" i="17"/>
  <c r="AF61" i="17"/>
  <c r="AJ57" i="17"/>
  <c r="AJ61" i="17"/>
  <c r="AN57" i="17"/>
  <c r="AN61" i="17"/>
  <c r="X34" i="17"/>
  <c r="X40" i="17"/>
  <c r="X24" i="17"/>
  <c r="X56" i="17"/>
  <c r="X62" i="17"/>
  <c r="X45" i="17"/>
  <c r="X51" i="17"/>
  <c r="AU39" i="17"/>
  <c r="AU35" i="17"/>
  <c r="N57" i="19"/>
  <c r="N61" i="19"/>
  <c r="R57" i="19"/>
  <c r="R61" i="19"/>
  <c r="Z57" i="19"/>
  <c r="Z61" i="19"/>
  <c r="AE50" i="19"/>
  <c r="AE46" i="19"/>
  <c r="AP61" i="18"/>
  <c r="AP57" i="18"/>
  <c r="H24" i="19"/>
  <c r="H45" i="19"/>
  <c r="H51" i="19"/>
  <c r="H56" i="19"/>
  <c r="H62" i="19"/>
  <c r="H34" i="19"/>
  <c r="H40" i="19"/>
  <c r="AM57" i="19"/>
  <c r="AM61" i="19"/>
  <c r="J50" i="19"/>
  <c r="J46" i="19"/>
  <c r="Q50" i="19"/>
  <c r="Q46" i="19"/>
  <c r="AB50" i="18"/>
  <c r="AB46" i="18"/>
  <c r="AY61" i="18"/>
  <c r="AY57" i="18"/>
  <c r="K39" i="17"/>
  <c r="R61" i="17"/>
  <c r="R57" i="17"/>
  <c r="AY55" i="19"/>
  <c r="AY23" i="19"/>
  <c r="AY33" i="19"/>
  <c r="AY44" i="19"/>
  <c r="AC33" i="18"/>
  <c r="AC55" i="18"/>
  <c r="AC44" i="18"/>
  <c r="AC23" i="18"/>
  <c r="N33" i="18"/>
  <c r="N55" i="18"/>
  <c r="N44" i="18"/>
  <c r="N23" i="18"/>
  <c r="H61" i="17"/>
  <c r="Q39" i="17"/>
  <c r="K50" i="18"/>
  <c r="K46" i="18"/>
  <c r="AA50" i="18"/>
  <c r="AA46" i="18"/>
  <c r="AK46" i="18"/>
  <c r="AK50" i="18"/>
  <c r="AS46" i="18"/>
  <c r="AS50" i="18"/>
  <c r="T46" i="17"/>
  <c r="T50" i="17"/>
  <c r="P46" i="17"/>
  <c r="P50" i="17"/>
  <c r="P57" i="18"/>
  <c r="P61" i="18"/>
  <c r="AX50" i="17"/>
  <c r="D57" i="19"/>
  <c r="D61" i="19"/>
  <c r="S24" i="19"/>
  <c r="S45" i="19"/>
  <c r="S51" i="19"/>
  <c r="S56" i="19"/>
  <c r="S62" i="19"/>
  <c r="S34" i="19"/>
  <c r="S40" i="19"/>
  <c r="AB35" i="19"/>
  <c r="AB39" i="19"/>
  <c r="AI35" i="19"/>
  <c r="AI39" i="19"/>
  <c r="AT46" i="18"/>
  <c r="AT50" i="18"/>
  <c r="W46" i="17"/>
  <c r="W50" i="17"/>
  <c r="AC57" i="19"/>
  <c r="AC61" i="19"/>
  <c r="AR35" i="18"/>
  <c r="AR39" i="18"/>
  <c r="U35" i="19"/>
  <c r="U39" i="19"/>
  <c r="AI50" i="18"/>
  <c r="AI46" i="18"/>
  <c r="O46" i="17"/>
  <c r="O50" i="17"/>
  <c r="AW57" i="17"/>
  <c r="AW61" i="17"/>
  <c r="AS55" i="19"/>
  <c r="AS23" i="19"/>
  <c r="AS33" i="19"/>
  <c r="AS44" i="19"/>
  <c r="Q33" i="18"/>
  <c r="Q55" i="18"/>
  <c r="Q44" i="18"/>
  <c r="Q23" i="18"/>
  <c r="AH34" i="18"/>
  <c r="AH40" i="18"/>
  <c r="AH45" i="18"/>
  <c r="AH51" i="18"/>
  <c r="AH56" i="18"/>
  <c r="AH62" i="18"/>
  <c r="AH24" i="18"/>
  <c r="Q34" i="17"/>
  <c r="Q40" i="17"/>
  <c r="Q24" i="17"/>
  <c r="Q45" i="17"/>
  <c r="Q51" i="17"/>
  <c r="Q56" i="17"/>
  <c r="Q62" i="17"/>
  <c r="AT45" i="19"/>
  <c r="AT51" i="19"/>
  <c r="AT24" i="19"/>
  <c r="AT56" i="19"/>
  <c r="AT62" i="19"/>
  <c r="AT34" i="19"/>
  <c r="AT40" i="19"/>
  <c r="O35" i="18"/>
  <c r="O39" i="18"/>
  <c r="AE35" i="18"/>
  <c r="AE39" i="18"/>
  <c r="AD39" i="17"/>
  <c r="AD35" i="17"/>
  <c r="AH39" i="17"/>
  <c r="AH35" i="17"/>
  <c r="AL39" i="17"/>
  <c r="AL35" i="17"/>
  <c r="AP39" i="17"/>
  <c r="AP35" i="17"/>
  <c r="AV24" i="17"/>
  <c r="AV34" i="17"/>
  <c r="AV40" i="17"/>
  <c r="AV45" i="17"/>
  <c r="AV51" i="17"/>
  <c r="AV56" i="17"/>
  <c r="AV62" i="17"/>
  <c r="AC39" i="17"/>
  <c r="AK39" i="17"/>
  <c r="AK35" i="17"/>
  <c r="G50" i="19"/>
  <c r="G46" i="19"/>
  <c r="V50" i="19"/>
  <c r="V46" i="19"/>
  <c r="L33" i="19"/>
  <c r="L55" i="19"/>
  <c r="L44" i="19"/>
  <c r="L23" i="19"/>
  <c r="AL50" i="19"/>
  <c r="AL46" i="19"/>
  <c r="V61" i="17"/>
  <c r="V57" i="17"/>
  <c r="AE56" i="17"/>
  <c r="AE62" i="17"/>
  <c r="AE45" i="17"/>
  <c r="AE51" i="17"/>
  <c r="AE34" i="17"/>
  <c r="AE40" i="17"/>
  <c r="AE24" i="17"/>
  <c r="AM56" i="17"/>
  <c r="AM62" i="17"/>
  <c r="AM45" i="17"/>
  <c r="AM51" i="17"/>
  <c r="AM34" i="17"/>
  <c r="AM40" i="17"/>
  <c r="AM24" i="17"/>
  <c r="H35" i="18"/>
  <c r="H39" i="18"/>
  <c r="E39" i="17"/>
  <c r="E35" i="17"/>
  <c r="I39" i="17"/>
  <c r="U61" i="17"/>
  <c r="U57" i="17"/>
  <c r="AH33" i="19"/>
  <c r="AH44" i="19"/>
  <c r="AH55" i="19"/>
  <c r="AH23" i="19"/>
  <c r="F24" i="18"/>
  <c r="F45" i="18"/>
  <c r="F51" i="18"/>
  <c r="F34" i="18"/>
  <c r="F40" i="18"/>
  <c r="F56" i="18"/>
  <c r="F62" i="18"/>
  <c r="AJ61" i="18"/>
  <c r="AJ57" i="18"/>
  <c r="F39" i="17"/>
  <c r="F35" i="17"/>
  <c r="J39" i="17"/>
  <c r="J35" i="17"/>
  <c r="M61" i="17"/>
  <c r="S50" i="18"/>
  <c r="S46" i="18"/>
  <c r="AL35" i="18"/>
  <c r="AL39" i="18"/>
  <c r="AO35" i="18"/>
  <c r="AO39" i="18"/>
  <c r="X61" i="17"/>
  <c r="X57" i="17"/>
  <c r="AE39" i="17"/>
  <c r="AM39" i="17"/>
  <c r="AA24" i="19"/>
  <c r="AA45" i="19"/>
  <c r="AA51" i="19"/>
  <c r="AA56" i="19"/>
  <c r="AA62" i="19"/>
  <c r="AA34" i="19"/>
  <c r="AA40" i="19"/>
  <c r="AF57" i="18"/>
  <c r="AF61" i="18"/>
  <c r="AV57" i="17"/>
  <c r="AV61" i="17"/>
  <c r="W24" i="19"/>
  <c r="W45" i="19"/>
  <c r="W51" i="19"/>
  <c r="W56" i="19"/>
  <c r="W62" i="19"/>
  <c r="W34" i="19"/>
  <c r="W40" i="19"/>
  <c r="AF35" i="19"/>
  <c r="AF39" i="19"/>
  <c r="AN46" i="18"/>
  <c r="AN50" i="18"/>
  <c r="S46" i="17"/>
  <c r="S50" i="17"/>
  <c r="P24" i="19"/>
  <c r="P45" i="19"/>
  <c r="P51" i="19"/>
  <c r="P34" i="19"/>
  <c r="P40" i="19"/>
  <c r="P56" i="19"/>
  <c r="P62" i="19"/>
  <c r="AJ57" i="19"/>
  <c r="AJ61" i="19"/>
  <c r="AD57" i="19"/>
  <c r="AD61" i="19"/>
  <c r="AK57" i="19"/>
  <c r="AK61" i="19"/>
  <c r="I34" i="17"/>
  <c r="I40" i="17"/>
  <c r="I45" i="17"/>
  <c r="I51" i="17"/>
  <c r="I56" i="17"/>
  <c r="I62" i="17"/>
  <c r="I24" i="17"/>
  <c r="AW55" i="19"/>
  <c r="AW23" i="19"/>
  <c r="AW33" i="19"/>
  <c r="AW44" i="19"/>
  <c r="Y33" i="18"/>
  <c r="Y55" i="18"/>
  <c r="Y44" i="18"/>
  <c r="Y23" i="18"/>
  <c r="Z33" i="18"/>
  <c r="Z55" i="18"/>
  <c r="Z44" i="18"/>
  <c r="Z23" i="18"/>
  <c r="M34" i="17"/>
  <c r="M40" i="17"/>
  <c r="M24" i="17"/>
  <c r="M45" i="17"/>
  <c r="M51" i="17"/>
  <c r="M56" i="17"/>
  <c r="M62" i="17"/>
  <c r="AB46" i="17"/>
  <c r="AB50" i="17"/>
  <c r="AF46" i="17"/>
  <c r="AF50" i="17"/>
  <c r="AJ46" i="17"/>
  <c r="AJ50" i="17"/>
  <c r="AN46" i="17"/>
  <c r="AN50" i="17"/>
  <c r="AR57" i="17"/>
  <c r="AR61" i="17"/>
  <c r="AG61" i="17"/>
  <c r="AO61" i="17"/>
  <c r="AU61" i="17"/>
  <c r="AX24" i="17"/>
  <c r="AX45" i="17"/>
  <c r="AX51" i="17"/>
  <c r="AX56" i="17"/>
  <c r="AX62" i="17"/>
  <c r="AX34" i="17"/>
  <c r="AX40" i="17"/>
  <c r="N35" i="19"/>
  <c r="N39" i="19"/>
  <c r="R35" i="19"/>
  <c r="R39" i="19"/>
  <c r="Z35" i="19"/>
  <c r="Z39" i="19"/>
  <c r="AE35" i="19"/>
  <c r="AE39" i="19"/>
  <c r="AP46" i="18"/>
  <c r="AP50" i="18"/>
  <c r="D50" i="17"/>
  <c r="AM46" i="19"/>
  <c r="AM50" i="19"/>
  <c r="Z61" i="17"/>
  <c r="Z57" i="17"/>
  <c r="I33" i="19"/>
  <c r="I55" i="19"/>
  <c r="I44" i="19"/>
  <c r="I23" i="19"/>
  <c r="X57" i="18"/>
  <c r="X61" i="18"/>
  <c r="AY46" i="18"/>
  <c r="AY50" i="18"/>
  <c r="G50" i="17"/>
  <c r="G46" i="17"/>
  <c r="K50" i="17"/>
  <c r="K46" i="17"/>
  <c r="R50" i="17"/>
  <c r="R46" i="17"/>
  <c r="AY45" i="19"/>
  <c r="AY51" i="19"/>
  <c r="AY34" i="19"/>
  <c r="AY40" i="19"/>
  <c r="AY24" i="19"/>
  <c r="AY56" i="19"/>
  <c r="AY62" i="19"/>
  <c r="AC24" i="18"/>
  <c r="AC45" i="18"/>
  <c r="AC51" i="18"/>
  <c r="AC56" i="18"/>
  <c r="AC62" i="18"/>
  <c r="AC34" i="18"/>
  <c r="AC40" i="18"/>
  <c r="N24" i="18"/>
  <c r="N45" i="18"/>
  <c r="N51" i="18"/>
  <c r="N34" i="18"/>
  <c r="N40" i="18"/>
  <c r="N56" i="18"/>
  <c r="N62" i="18"/>
  <c r="AQ35" i="18"/>
  <c r="AQ39" i="18"/>
  <c r="H39" i="17"/>
  <c r="H35" i="17"/>
  <c r="L39" i="17"/>
  <c r="L35" i="17"/>
  <c r="Q61" i="17"/>
  <c r="Q57" i="17"/>
  <c r="AQ10" i="19"/>
  <c r="AU35" i="18"/>
  <c r="AU39" i="18"/>
  <c r="AS35" i="18"/>
  <c r="AS39" i="18"/>
  <c r="AA61" i="17"/>
  <c r="AA57" i="17"/>
  <c r="AI61" i="17"/>
  <c r="AI57" i="17"/>
  <c r="AQ61" i="17"/>
  <c r="AQ57" i="17"/>
  <c r="P35" i="18"/>
  <c r="P39" i="18"/>
  <c r="AX39" i="17"/>
  <c r="D35" i="19"/>
  <c r="D39" i="19"/>
  <c r="AT35" i="18"/>
  <c r="AT39" i="18"/>
  <c r="T33" i="19"/>
  <c r="T55" i="19"/>
  <c r="T44" i="19"/>
  <c r="T23" i="19"/>
  <c r="AC50" i="19"/>
  <c r="AC46" i="19"/>
  <c r="AR61" i="18"/>
  <c r="AR57" i="18"/>
  <c r="U50" i="19"/>
  <c r="U46" i="19"/>
  <c r="AI39" i="18"/>
  <c r="AI35" i="18"/>
  <c r="G34" i="17"/>
  <c r="G40" i="17"/>
  <c r="G45" i="17"/>
  <c r="G51" i="17"/>
  <c r="G56" i="17"/>
  <c r="G62" i="17"/>
  <c r="G24" i="17"/>
  <c r="AW50" i="17"/>
  <c r="AW46" i="17"/>
  <c r="AS45" i="19"/>
  <c r="AS51" i="19"/>
  <c r="AS34" i="19"/>
  <c r="AS40" i="19"/>
  <c r="AS24" i="19"/>
  <c r="AS56" i="19"/>
  <c r="AS62" i="19"/>
  <c r="Q24" i="18"/>
  <c r="Q45" i="18"/>
  <c r="Q51" i="18"/>
  <c r="Q56" i="18"/>
  <c r="Q62" i="18"/>
  <c r="Q34" i="18"/>
  <c r="Q40" i="18"/>
  <c r="AH44" i="18"/>
  <c r="AH23" i="18"/>
  <c r="AH33" i="18"/>
  <c r="AH55" i="18"/>
  <c r="O50" i="18"/>
  <c r="O46" i="18"/>
  <c r="AE50" i="18"/>
  <c r="AE46" i="18"/>
  <c r="Y34" i="17"/>
  <c r="Y40" i="17"/>
  <c r="Y24" i="17"/>
  <c r="Y45" i="17"/>
  <c r="Y51" i="17"/>
  <c r="Y56" i="17"/>
  <c r="Y62" i="17"/>
  <c r="P34" i="17"/>
  <c r="P40" i="17"/>
  <c r="P24" i="17"/>
  <c r="P56" i="17"/>
  <c r="P62" i="17"/>
  <c r="P45" i="17"/>
  <c r="P51" i="17"/>
  <c r="L24" i="19"/>
  <c r="L45" i="19"/>
  <c r="L51" i="19"/>
  <c r="L34" i="19"/>
  <c r="L40" i="19"/>
  <c r="L56" i="19"/>
  <c r="L62" i="19"/>
  <c r="AL35" i="19"/>
  <c r="AL39" i="19"/>
  <c r="V50" i="17"/>
  <c r="AG56" i="17"/>
  <c r="AG62" i="17"/>
  <c r="AG45" i="17"/>
  <c r="AG51" i="17"/>
  <c r="AG34" i="17"/>
  <c r="AG40" i="17"/>
  <c r="AG24" i="17"/>
  <c r="AO56" i="17"/>
  <c r="AO62" i="17"/>
  <c r="AO45" i="17"/>
  <c r="AO51" i="17"/>
  <c r="AO34" i="17"/>
  <c r="AO40" i="17"/>
  <c r="AO24" i="17"/>
  <c r="T57" i="18"/>
  <c r="T61" i="18"/>
  <c r="H50" i="18"/>
  <c r="H46" i="18"/>
  <c r="Y57" i="19"/>
  <c r="Y61" i="19"/>
  <c r="L57" i="18"/>
  <c r="L61" i="18"/>
  <c r="N61" i="17"/>
  <c r="N57" i="17"/>
  <c r="AU55" i="19"/>
  <c r="AU23" i="19"/>
  <c r="AU33" i="19"/>
  <c r="AU44" i="19"/>
  <c r="U33" i="18"/>
  <c r="U55" i="18"/>
  <c r="U44" i="18"/>
  <c r="U23" i="18"/>
  <c r="AM61" i="18"/>
  <c r="AM57" i="18"/>
  <c r="V33" i="18"/>
  <c r="V55" i="18"/>
  <c r="V44" i="18"/>
  <c r="V23" i="18"/>
  <c r="AJ35" i="18"/>
  <c r="AJ39" i="18"/>
  <c r="AV55" i="19"/>
  <c r="AV23" i="19"/>
  <c r="AV33" i="19"/>
  <c r="AV44" i="19"/>
  <c r="AV35" i="18"/>
  <c r="AV39" i="18"/>
  <c r="AW35" i="18"/>
  <c r="AW39" i="18"/>
  <c r="G27" i="17"/>
  <c r="F30" i="17"/>
  <c r="X46" i="17"/>
  <c r="X50" i="17"/>
  <c r="AV35" i="19"/>
  <c r="AV39" i="19"/>
  <c r="V35" i="18"/>
  <c r="V39" i="18"/>
  <c r="U50" i="18"/>
  <c r="U46" i="18"/>
  <c r="AU35" i="19"/>
  <c r="AU39" i="19"/>
  <c r="AH50" i="18"/>
  <c r="AH46" i="18"/>
  <c r="T50" i="19"/>
  <c r="T46" i="19"/>
  <c r="AG57" i="17"/>
  <c r="AW46" i="19"/>
  <c r="AW50" i="19"/>
  <c r="AH57" i="19"/>
  <c r="AH61" i="19"/>
  <c r="L50" i="19"/>
  <c r="L46" i="19"/>
  <c r="Q50" i="18"/>
  <c r="Q46" i="18"/>
  <c r="AS35" i="19"/>
  <c r="AS39" i="19"/>
  <c r="N35" i="18"/>
  <c r="N39" i="18"/>
  <c r="AC35" i="18"/>
  <c r="AC39" i="18"/>
  <c r="AY57" i="19"/>
  <c r="AY61" i="19"/>
  <c r="W57" i="19"/>
  <c r="W61" i="19"/>
  <c r="AV46" i="17"/>
  <c r="AY57" i="17"/>
  <c r="AY61" i="17"/>
  <c r="AT46" i="19"/>
  <c r="AT50" i="19"/>
  <c r="S57" i="19"/>
  <c r="S61" i="19"/>
  <c r="P57" i="17"/>
  <c r="G35" i="17"/>
  <c r="AG35" i="17"/>
  <c r="AM57" i="17"/>
  <c r="J46" i="17"/>
  <c r="I46" i="17"/>
  <c r="AZ24" i="17"/>
  <c r="R35" i="18"/>
  <c r="R39" i="18"/>
  <c r="AG35" i="18"/>
  <c r="AG39" i="18"/>
  <c r="AD57" i="18"/>
  <c r="AD61" i="18"/>
  <c r="M57" i="18"/>
  <c r="M61" i="18"/>
  <c r="G57" i="17"/>
  <c r="AX46" i="19"/>
  <c r="AX50" i="19"/>
  <c r="AN46" i="19"/>
  <c r="AN50" i="19"/>
  <c r="X57" i="19"/>
  <c r="X61" i="19"/>
  <c r="O57" i="19"/>
  <c r="O61" i="19"/>
  <c r="AA50" i="19"/>
  <c r="AA46" i="19"/>
  <c r="U57" i="18"/>
  <c r="U61" i="18"/>
  <c r="V46" i="17"/>
  <c r="AH61" i="18"/>
  <c r="AH57" i="18"/>
  <c r="T57" i="19"/>
  <c r="T61" i="19"/>
  <c r="AQ13" i="19"/>
  <c r="AZ10" i="19"/>
  <c r="I50" i="19"/>
  <c r="I46" i="19"/>
  <c r="D46" i="17"/>
  <c r="AU57" i="17"/>
  <c r="Z50" i="18"/>
  <c r="Z46" i="18"/>
  <c r="Y50" i="18"/>
  <c r="Y46" i="18"/>
  <c r="AW35" i="19"/>
  <c r="AW39" i="19"/>
  <c r="AM35" i="17"/>
  <c r="AH50" i="19"/>
  <c r="AH46" i="19"/>
  <c r="I35" i="17"/>
  <c r="L57" i="19"/>
  <c r="L61" i="19"/>
  <c r="AC35" i="17"/>
  <c r="Q57" i="18"/>
  <c r="Q61" i="18"/>
  <c r="AX46" i="17"/>
  <c r="AY46" i="19"/>
  <c r="AY50" i="19"/>
  <c r="P50" i="19"/>
  <c r="P46" i="19"/>
  <c r="W35" i="19"/>
  <c r="W39" i="19"/>
  <c r="AE46" i="17"/>
  <c r="F50" i="18"/>
  <c r="F46" i="18"/>
  <c r="AY50" i="17"/>
  <c r="AY46" i="17"/>
  <c r="AK46" i="17"/>
  <c r="AT35" i="19"/>
  <c r="AT39" i="19"/>
  <c r="S35" i="19"/>
  <c r="S39" i="19"/>
  <c r="AX57" i="17"/>
  <c r="L46" i="17"/>
  <c r="H50" i="19"/>
  <c r="H46" i="19"/>
  <c r="J50" i="18"/>
  <c r="J46" i="18"/>
  <c r="I50" i="18"/>
  <c r="I46" i="18"/>
  <c r="Y35" i="17"/>
  <c r="AV35" i="17"/>
  <c r="AT57" i="17"/>
  <c r="AT61" i="17"/>
  <c r="AK57" i="17"/>
  <c r="E33" i="18"/>
  <c r="E55" i="18"/>
  <c r="E44" i="18"/>
  <c r="E23" i="18"/>
  <c r="AZ23" i="18"/>
  <c r="AZ21" i="18"/>
  <c r="AQ46" i="17"/>
  <c r="T35" i="17"/>
  <c r="AD35" i="18"/>
  <c r="AD39" i="18"/>
  <c r="M35" i="18"/>
  <c r="M39" i="18"/>
  <c r="AO57" i="19"/>
  <c r="AO61" i="19"/>
  <c r="D35" i="17"/>
  <c r="AG46" i="17"/>
  <c r="AX35" i="19"/>
  <c r="AX39" i="19"/>
  <c r="AN35" i="19"/>
  <c r="AN39" i="19"/>
  <c r="Y46" i="17"/>
  <c r="X35" i="19"/>
  <c r="X39" i="19"/>
  <c r="O35" i="19"/>
  <c r="O39" i="19"/>
  <c r="H27" i="17"/>
  <c r="G30" i="17"/>
  <c r="AV57" i="19"/>
  <c r="AV61" i="19"/>
  <c r="V50" i="18"/>
  <c r="V46" i="18"/>
  <c r="U35" i="18"/>
  <c r="U39" i="18"/>
  <c r="AU57" i="19"/>
  <c r="AU61" i="19"/>
  <c r="AH39" i="18"/>
  <c r="AH35" i="18"/>
  <c r="T35" i="19"/>
  <c r="T39" i="19"/>
  <c r="I57" i="19"/>
  <c r="I61" i="19"/>
  <c r="AO57" i="17"/>
  <c r="Z57" i="18"/>
  <c r="Z61" i="18"/>
  <c r="Y57" i="18"/>
  <c r="Y61" i="18"/>
  <c r="M57" i="17"/>
  <c r="AH35" i="19"/>
  <c r="AH39" i="19"/>
  <c r="L35" i="19"/>
  <c r="L39" i="19"/>
  <c r="Q35" i="18"/>
  <c r="Q39" i="18"/>
  <c r="AS57" i="19"/>
  <c r="AS61" i="19"/>
  <c r="Q35" i="17"/>
  <c r="N50" i="18"/>
  <c r="N46" i="18"/>
  <c r="AC50" i="18"/>
  <c r="AC46" i="18"/>
  <c r="AY35" i="19"/>
  <c r="AY39" i="19"/>
  <c r="P57" i="19"/>
  <c r="P61" i="19"/>
  <c r="F57" i="18"/>
  <c r="F61" i="18"/>
  <c r="E33" i="19"/>
  <c r="E55" i="19"/>
  <c r="E44" i="19"/>
  <c r="E23" i="19"/>
  <c r="H57" i="19"/>
  <c r="H61" i="19"/>
  <c r="AO35" i="17"/>
  <c r="J57" i="18"/>
  <c r="J61" i="18"/>
  <c r="I57" i="18"/>
  <c r="I61" i="18"/>
  <c r="AT50" i="17"/>
  <c r="AT46" i="17"/>
  <c r="AE57" i="17"/>
  <c r="F46" i="17"/>
  <c r="E46" i="17"/>
  <c r="R50" i="18"/>
  <c r="R46" i="18"/>
  <c r="AG50" i="18"/>
  <c r="AG46" i="18"/>
  <c r="E24" i="18"/>
  <c r="AZ24" i="18"/>
  <c r="E45" i="18"/>
  <c r="E51" i="18"/>
  <c r="E56" i="18"/>
  <c r="E62" i="18"/>
  <c r="E34" i="18"/>
  <c r="E40" i="18"/>
  <c r="AZ22" i="18"/>
  <c r="P35" i="17"/>
  <c r="AO46" i="19"/>
  <c r="AO50" i="19"/>
  <c r="AA57" i="19"/>
  <c r="AA61" i="19"/>
  <c r="AV46" i="19"/>
  <c r="AV50" i="19"/>
  <c r="V57" i="18"/>
  <c r="V61" i="18"/>
  <c r="AU46" i="19"/>
  <c r="AU50" i="19"/>
  <c r="AX35" i="17"/>
  <c r="I35" i="19"/>
  <c r="I39" i="19"/>
  <c r="Z35" i="18"/>
  <c r="Z39" i="18"/>
  <c r="Y35" i="18"/>
  <c r="Y39" i="18"/>
  <c r="AW57" i="19"/>
  <c r="AW61" i="19"/>
  <c r="AE35" i="17"/>
  <c r="AS46" i="19"/>
  <c r="AS50" i="19"/>
  <c r="H57" i="17"/>
  <c r="N57" i="18"/>
  <c r="N61" i="18"/>
  <c r="AC57" i="18"/>
  <c r="AC61" i="18"/>
  <c r="K35" i="17"/>
  <c r="P35" i="19"/>
  <c r="P39" i="19"/>
  <c r="W50" i="19"/>
  <c r="W46" i="19"/>
  <c r="H30" i="19"/>
  <c r="I27" i="19"/>
  <c r="AM46" i="17"/>
  <c r="M35" i="17"/>
  <c r="F35" i="18"/>
  <c r="F39" i="18"/>
  <c r="I30" i="18"/>
  <c r="J27" i="18"/>
  <c r="E24" i="19"/>
  <c r="E45" i="19"/>
  <c r="E51" i="19"/>
  <c r="E34" i="19"/>
  <c r="E40" i="19"/>
  <c r="E56" i="19"/>
  <c r="E62" i="19"/>
  <c r="AY39" i="17"/>
  <c r="AY35" i="17"/>
  <c r="AT57" i="19"/>
  <c r="AT61" i="19"/>
  <c r="S50" i="19"/>
  <c r="S46" i="19"/>
  <c r="Q46" i="17"/>
  <c r="H35" i="19"/>
  <c r="H39" i="19"/>
  <c r="J35" i="18"/>
  <c r="J39" i="18"/>
  <c r="I35" i="18"/>
  <c r="I39" i="18"/>
  <c r="AT35" i="17"/>
  <c r="AT39" i="17"/>
  <c r="M46" i="17"/>
  <c r="AC57" i="17"/>
  <c r="R57" i="18"/>
  <c r="R61" i="18"/>
  <c r="AG57" i="18"/>
  <c r="AG61" i="18"/>
  <c r="AI46" i="17"/>
  <c r="AD50" i="18"/>
  <c r="AD46" i="18"/>
  <c r="M50" i="18"/>
  <c r="M46" i="18"/>
  <c r="AO35" i="19"/>
  <c r="AO39" i="19"/>
  <c r="R35" i="17"/>
  <c r="AO46" i="17"/>
  <c r="AX57" i="19"/>
  <c r="AX61" i="19"/>
  <c r="AN57" i="19"/>
  <c r="AN61" i="19"/>
  <c r="X50" i="19"/>
  <c r="X46" i="19"/>
  <c r="O50" i="19"/>
  <c r="O46" i="19"/>
  <c r="AA35" i="19"/>
  <c r="AA39" i="19"/>
  <c r="I27" i="17"/>
  <c r="H30" i="17"/>
  <c r="E35" i="18"/>
  <c r="E39" i="18"/>
  <c r="J30" i="18"/>
  <c r="K27" i="18"/>
  <c r="E50" i="19"/>
  <c r="E46" i="19"/>
  <c r="E57" i="19"/>
  <c r="E61" i="19"/>
  <c r="E50" i="18"/>
  <c r="E46" i="18"/>
  <c r="I30" i="19"/>
  <c r="J27" i="19"/>
  <c r="E35" i="19"/>
  <c r="E39" i="19"/>
  <c r="E57" i="18"/>
  <c r="E61" i="18"/>
  <c r="AR22" i="19"/>
  <c r="AR21" i="19"/>
  <c r="AR55" i="19"/>
  <c r="AR23" i="19"/>
  <c r="AZ23" i="19"/>
  <c r="AR33" i="19"/>
  <c r="AR44" i="19"/>
  <c r="AZ21" i="19"/>
  <c r="J27" i="17"/>
  <c r="I30" i="17"/>
  <c r="AR45" i="19"/>
  <c r="AR51" i="19"/>
  <c r="AR24" i="19"/>
  <c r="AZ24" i="19"/>
  <c r="AR56" i="19"/>
  <c r="AR62" i="19"/>
  <c r="AR34" i="19"/>
  <c r="AR40" i="19"/>
  <c r="AZ22" i="19"/>
  <c r="K27" i="19"/>
  <c r="J30" i="19"/>
  <c r="K30" i="18"/>
  <c r="L27" i="18"/>
  <c r="M27" i="18"/>
  <c r="L30" i="18"/>
  <c r="AR46" i="19"/>
  <c r="AR50" i="19"/>
  <c r="AR35" i="19"/>
  <c r="AR39" i="19"/>
  <c r="K27" i="17"/>
  <c r="J30" i="17"/>
  <c r="K30" i="19"/>
  <c r="L27" i="19"/>
  <c r="AR57" i="19"/>
  <c r="AR61" i="19"/>
  <c r="L27" i="17"/>
  <c r="K30" i="17"/>
  <c r="L30" i="19"/>
  <c r="M27" i="19"/>
  <c r="M30" i="18"/>
  <c r="N27" i="18"/>
  <c r="M30" i="19"/>
  <c r="N27" i="19"/>
  <c r="N30" i="18"/>
  <c r="O27" i="18"/>
  <c r="M27" i="17"/>
  <c r="L30" i="17"/>
  <c r="N27" i="17"/>
  <c r="M30" i="17"/>
  <c r="O30" i="18"/>
  <c r="P27" i="18"/>
  <c r="O27" i="19"/>
  <c r="N30" i="19"/>
  <c r="O30" i="19"/>
  <c r="P27" i="19"/>
  <c r="Q27" i="18"/>
  <c r="P30" i="18"/>
  <c r="O27" i="17"/>
  <c r="N30" i="17"/>
  <c r="P30" i="19"/>
  <c r="Q27" i="19"/>
  <c r="Q30" i="18"/>
  <c r="R27" i="18"/>
  <c r="P27" i="17"/>
  <c r="O30" i="17"/>
  <c r="Q30" i="19"/>
  <c r="R27" i="19"/>
  <c r="Q27" i="17"/>
  <c r="P30" i="17"/>
  <c r="R30" i="18"/>
  <c r="S27" i="18"/>
  <c r="R27" i="17"/>
  <c r="Q30" i="17"/>
  <c r="S30" i="18"/>
  <c r="T27" i="18"/>
  <c r="S27" i="19"/>
  <c r="R30" i="19"/>
  <c r="S30" i="19"/>
  <c r="T27" i="19"/>
  <c r="S27" i="17"/>
  <c r="R30" i="17"/>
  <c r="U27" i="18"/>
  <c r="T30" i="18"/>
  <c r="T30" i="19"/>
  <c r="U27" i="19"/>
  <c r="T27" i="17"/>
  <c r="S30" i="17"/>
  <c r="U30" i="18"/>
  <c r="V27" i="18"/>
  <c r="U30" i="19"/>
  <c r="V27" i="19"/>
  <c r="U27" i="17"/>
  <c r="T30" i="17"/>
  <c r="V30" i="18"/>
  <c r="W27" i="18"/>
  <c r="W30" i="18"/>
  <c r="X27" i="18"/>
  <c r="W27" i="19"/>
  <c r="V30" i="19"/>
  <c r="V27" i="17"/>
  <c r="U30" i="17"/>
  <c r="Y27" i="18"/>
  <c r="X30" i="18"/>
  <c r="W30" i="19"/>
  <c r="X27" i="19"/>
  <c r="W27" i="17"/>
  <c r="V30" i="17"/>
  <c r="X27" i="17"/>
  <c r="W30" i="17"/>
  <c r="Y30" i="18"/>
  <c r="Z27" i="18"/>
  <c r="X30" i="19"/>
  <c r="Y27" i="19"/>
  <c r="Z30" i="18"/>
  <c r="AA27" i="18"/>
  <c r="Y30" i="19"/>
  <c r="Z27" i="19"/>
  <c r="Y27" i="17"/>
  <c r="X30" i="17"/>
  <c r="Z27" i="17"/>
  <c r="Y30" i="17"/>
  <c r="AA27" i="19"/>
  <c r="Z30" i="19"/>
  <c r="AA30" i="18"/>
  <c r="AB27" i="18"/>
  <c r="AC27" i="18"/>
  <c r="AB30" i="18"/>
  <c r="AB27" i="19"/>
  <c r="AA30" i="19"/>
  <c r="Z30" i="17"/>
  <c r="AA27" i="17"/>
  <c r="AA30" i="17"/>
  <c r="AB27" i="17"/>
  <c r="AC27" i="19"/>
  <c r="AB30" i="19"/>
  <c r="AC30" i="18"/>
  <c r="AD27" i="18"/>
  <c r="AB30" i="17"/>
  <c r="AC27" i="17"/>
  <c r="AD27" i="19"/>
  <c r="AC30" i="19"/>
  <c r="AD30" i="18"/>
  <c r="AE27" i="18"/>
  <c r="AC30" i="17"/>
  <c r="AD27" i="17"/>
  <c r="AE27" i="19"/>
  <c r="AD30" i="19"/>
  <c r="AE30" i="18"/>
  <c r="AF27" i="18"/>
  <c r="AG27" i="18"/>
  <c r="AF30" i="18"/>
  <c r="AF27" i="19"/>
  <c r="AE30" i="19"/>
  <c r="AD30" i="17"/>
  <c r="AE27" i="17"/>
  <c r="AG27" i="19"/>
  <c r="AF30" i="19"/>
  <c r="AE30" i="17"/>
  <c r="AF27" i="17"/>
  <c r="AH27" i="18"/>
  <c r="AG30" i="18"/>
  <c r="AF30" i="17"/>
  <c r="AG27" i="17"/>
  <c r="AI27" i="18"/>
  <c r="AH30" i="18"/>
  <c r="AH27" i="19"/>
  <c r="AG30" i="19"/>
  <c r="AI27" i="19"/>
  <c r="AH30" i="19"/>
  <c r="AJ27" i="18"/>
  <c r="AI30" i="18"/>
  <c r="AG30" i="17"/>
  <c r="AH27" i="17"/>
  <c r="AK27" i="18"/>
  <c r="AJ30" i="18"/>
  <c r="AH30" i="17"/>
  <c r="AI27" i="17"/>
  <c r="AJ27" i="19"/>
  <c r="AI30" i="19"/>
  <c r="AI30" i="17"/>
  <c r="AJ27" i="17"/>
  <c r="AK27" i="19"/>
  <c r="AJ30" i="19"/>
  <c r="AL27" i="18"/>
  <c r="AK30" i="18"/>
  <c r="AJ30" i="17"/>
  <c r="AK27" i="17"/>
  <c r="AM27" i="18"/>
  <c r="AL30" i="18"/>
  <c r="AL27" i="19"/>
  <c r="AK30" i="19"/>
  <c r="AK30" i="17"/>
  <c r="AL27" i="17"/>
  <c r="AM27" i="19"/>
  <c r="AL30" i="19"/>
  <c r="AN27" i="18"/>
  <c r="AM30" i="18"/>
  <c r="AO27" i="18"/>
  <c r="AN30" i="18"/>
  <c r="AN27" i="19"/>
  <c r="AM30" i="19"/>
  <c r="AL30" i="17"/>
  <c r="AM27" i="17"/>
  <c r="AO27" i="19"/>
  <c r="AN30" i="19"/>
  <c r="AM30" i="17"/>
  <c r="AN27" i="17"/>
  <c r="AP27" i="18"/>
  <c r="AO30" i="18"/>
  <c r="AN30" i="17"/>
  <c r="AO27" i="17"/>
  <c r="AQ27" i="18"/>
  <c r="AP30" i="18"/>
  <c r="AP27" i="19"/>
  <c r="AO30" i="19"/>
  <c r="AQ27" i="19"/>
  <c r="AP30" i="19"/>
  <c r="AR27" i="18"/>
  <c r="AQ30" i="18"/>
  <c r="AO30" i="17"/>
  <c r="AP27" i="17"/>
  <c r="AR27" i="19"/>
  <c r="AQ30" i="19"/>
  <c r="AS27" i="18"/>
  <c r="AR30" i="18"/>
  <c r="AP30" i="17"/>
  <c r="AQ27" i="17"/>
  <c r="AS27" i="19"/>
  <c r="AR30" i="19"/>
  <c r="AT27" i="18"/>
  <c r="AS30" i="18"/>
  <c r="AQ30" i="17"/>
  <c r="AR27" i="17"/>
  <c r="AR30" i="17"/>
  <c r="AS27" i="17"/>
  <c r="AU27" i="18"/>
  <c r="AT30" i="18"/>
  <c r="AT27" i="19"/>
  <c r="AS30" i="19"/>
  <c r="AU27" i="19"/>
  <c r="AT30" i="19"/>
  <c r="AV27" i="18"/>
  <c r="AU30" i="18"/>
  <c r="AS30" i="17"/>
  <c r="AT27" i="17"/>
  <c r="AT30" i="17"/>
  <c r="AU27" i="17"/>
  <c r="AV27" i="19"/>
  <c r="AU30" i="19"/>
  <c r="AW27" i="18"/>
  <c r="AV30" i="18"/>
  <c r="AX27" i="18"/>
  <c r="AW30" i="18"/>
  <c r="AW27" i="19"/>
  <c r="AV30" i="19"/>
  <c r="AV27" i="17"/>
  <c r="AU30" i="17"/>
  <c r="AV30" i="17"/>
  <c r="AW27" i="17"/>
  <c r="AX27" i="19"/>
  <c r="AW30" i="19"/>
  <c r="AY27" i="18"/>
  <c r="AY30" i="18"/>
  <c r="AZ30" i="18"/>
  <c r="AX30" i="18"/>
  <c r="AY27" i="19"/>
  <c r="AY30" i="19"/>
  <c r="AZ30" i="19"/>
  <c r="AX30" i="19"/>
  <c r="AX27" i="17"/>
  <c r="AW30" i="17"/>
  <c r="AX30" i="17"/>
  <c r="AY27" i="17"/>
  <c r="AY30" i="17"/>
  <c r="AZ30" i="17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<sst xmlns="http://schemas.openxmlformats.org/spreadsheetml/2006/main" count="2771" uniqueCount="415">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</sst>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7" applyFill="1"/>
    <xf numFmtId="0" fontId="4" fillId="0" borderId="0" xfId="7"/>
    <xf numFmtId="0" fontId="4" fillId="0" borderId="0" xfId="7" applyFill="1"/>
    <xf numFmtId="0" fontId="1" fillId="0" borderId="0" xfId="7" applyFont="1"/>
    <xf numFmtId="0" fontId="2" fillId="0" borderId="0" xfId="7" applyFont="1"/>
    <xf numFmtId="0" fontId="2" fillId="0" borderId="0" xfId="7" applyFont="1" applyFill="1"/>
    <xf numFmtId="0" fontId="4" fillId="6" borderId="0" xfId="7" applyFill="1"/>
    <xf numFmtId="0" fontId="4" fillId="0" borderId="0" xfId="7" applyFill="1" applyBorder="1"/>
    <xf numFmtId="0" fontId="4" fillId="0" borderId="5" xfId="7" applyBorder="1"/>
    <xf numFmtId="0" fontId="4" fillId="0" borderId="11" xfId="7" applyBorder="1"/>
    <xf numFmtId="0" fontId="4" fillId="0" borderId="6" xfId="7" applyBorder="1"/>
    <xf numFmtId="0" fontId="4" fillId="0" borderId="0" xfId="7" applyBorder="1"/>
    <xf numFmtId="0" fontId="4" fillId="0" borderId="0" xfId="7" applyAlignment="1"/>
    <xf numFmtId="0" fontId="4" fillId="0" borderId="0" xfId="7" applyAlignment="1">
      <alignment horizontal="center"/>
    </xf>
    <xf numFmtId="0" fontId="4" fillId="0" borderId="0" xfId="7" applyBorder="1" applyAlignment="1">
      <alignment horizontal="right"/>
    </xf>
    <xf numFmtId="0" fontId="4" fillId="0" borderId="8" xfId="7" applyFill="1" applyBorder="1"/>
    <xf numFmtId="0" fontId="4" fillId="5" borderId="13" xfId="7" applyFill="1" applyBorder="1" applyAlignment="1">
      <alignment horizontal="right"/>
    </xf>
    <xf numFmtId="0" fontId="4" fillId="7" borderId="8" xfId="7" applyFill="1" applyBorder="1"/>
    <xf numFmtId="0" fontId="4" fillId="0" borderId="13" xfId="7" applyBorder="1"/>
    <xf numFmtId="0" fontId="4" fillId="5" borderId="0" xfId="7" applyFill="1" applyAlignment="1">
      <alignment horizontal="right"/>
    </xf>
    <xf numFmtId="0" fontId="4" fillId="7" borderId="0" xfId="7" applyFill="1" applyBorder="1"/>
    <xf numFmtId="0" fontId="4" fillId="2" borderId="0" xfId="7" applyFill="1" applyBorder="1"/>
    <xf numFmtId="0" fontId="4" fillId="7" borderId="13" xfId="7" applyFill="1" applyBorder="1"/>
    <xf numFmtId="0" fontId="4" fillId="5" borderId="9" xfId="7" applyFill="1" applyBorder="1" applyAlignment="1">
      <alignment horizontal="right"/>
    </xf>
    <xf numFmtId="0" fontId="4" fillId="7" borderId="9" xfId="7" applyFill="1" applyBorder="1"/>
    <xf numFmtId="0" fontId="4" fillId="0" borderId="9" xfId="7" applyBorder="1"/>
    <xf numFmtId="0" fontId="4" fillId="0" borderId="8" xfId="7" applyBorder="1"/>
    <xf numFmtId="0" fontId="4" fillId="5" borderId="1" xfId="7" applyFill="1" applyBorder="1" applyAlignment="1">
      <alignment horizontal="right"/>
    </xf>
    <xf numFmtId="0" fontId="4" fillId="3" borderId="0" xfId="7" applyFill="1" applyBorder="1"/>
    <xf numFmtId="0" fontId="4" fillId="0" borderId="3" xfId="7" applyBorder="1"/>
    <xf numFmtId="0" fontId="4" fillId="8" borderId="8" xfId="7" applyFill="1" applyBorder="1"/>
    <xf numFmtId="0" fontId="4" fillId="8" borderId="0" xfId="7" applyFill="1" applyBorder="1"/>
    <xf numFmtId="0" fontId="4" fillId="5" borderId="6" xfId="7" applyFill="1" applyBorder="1" applyAlignment="1">
      <alignment horizontal="right"/>
    </xf>
    <xf numFmtId="0" fontId="4" fillId="9" borderId="8" xfId="7" applyFill="1" applyBorder="1" applyAlignment="1">
      <alignment horizontal="right"/>
    </xf>
    <xf numFmtId="0" fontId="4" fillId="5" borderId="13" xfId="7" applyFill="1" applyBorder="1"/>
    <xf numFmtId="10" fontId="4" fillId="0" borderId="13" xfId="7" applyNumberFormat="1" applyBorder="1"/>
    <xf numFmtId="0" fontId="4" fillId="5" borderId="9" xfId="7" applyFill="1" applyBorder="1"/>
    <xf numFmtId="0" fontId="4" fillId="5" borderId="8" xfId="7" applyFill="1" applyBorder="1"/>
    <xf numFmtId="0" fontId="4" fillId="6" borderId="9" xfId="7" applyFill="1" applyBorder="1"/>
    <xf numFmtId="0" fontId="4" fillId="0" borderId="9" xfId="7" applyFill="1" applyBorder="1"/>
    <xf numFmtId="0" fontId="4" fillId="0" borderId="10" xfId="7" applyFill="1" applyBorder="1"/>
    <xf numFmtId="0" fontId="4" fillId="6" borderId="8" xfId="7" applyFill="1" applyBorder="1"/>
    <xf numFmtId="0" fontId="4" fillId="0" borderId="15" xfId="7" applyFill="1" applyBorder="1"/>
    <xf numFmtId="0" fontId="4" fillId="0" borderId="0" xfId="7" applyFill="1" applyBorder="1" applyAlignment="1">
      <alignment horizontal="left"/>
    </xf>
    <xf numFmtId="0" fontId="4" fillId="7" borderId="13" xfId="7" applyFill="1" applyBorder="1" applyAlignment="1">
      <alignment horizontal="right"/>
    </xf>
    <xf numFmtId="0" fontId="4" fillId="0" borderId="13" xfId="7" applyFill="1" applyBorder="1"/>
    <xf numFmtId="0" fontId="4" fillId="0" borderId="9" xfId="7" applyFont="1" applyFill="1" applyBorder="1"/>
    <xf numFmtId="0" fontId="4" fillId="0" borderId="0" xfId="7" applyFont="1" applyFill="1" applyBorder="1" applyAlignment="1">
      <alignment horizontal="right"/>
    </xf>
    <xf numFmtId="0" fontId="4" fillId="0" borderId="0" xfId="7" applyFont="1" applyFill="1" applyBorder="1"/>
    <xf numFmtId="0" fontId="4" fillId="0" borderId="0" xfId="7" applyFont="1" applyFill="1" applyBorder="1" applyAlignment="1"/>
    <xf numFmtId="0" fontId="4" fillId="5" borderId="13" xfId="7" applyFont="1" applyFill="1" applyBorder="1" applyAlignment="1">
      <alignment horizontal="right"/>
    </xf>
    <xf numFmtId="0" fontId="4" fillId="7" borderId="13" xfId="7" applyFont="1" applyFill="1" applyBorder="1" applyAlignment="1"/>
    <xf numFmtId="0" fontId="4" fillId="0" borderId="5" xfId="7" applyFill="1" applyBorder="1"/>
    <xf numFmtId="0" fontId="1" fillId="0" borderId="0" xfId="7" applyFont="1" applyBorder="1"/>
    <xf numFmtId="0" fontId="4" fillId="0" borderId="9" xfId="7" applyFill="1" applyBorder="1" applyAlignment="1">
      <alignment horizontal="right"/>
    </xf>
    <xf numFmtId="10" fontId="4" fillId="5" borderId="13" xfId="7" applyNumberFormat="1" applyFill="1" applyBorder="1"/>
    <xf numFmtId="0" fontId="4" fillId="5" borderId="0" xfId="7" applyFill="1" applyBorder="1" applyAlignment="1">
      <alignment horizontal="right"/>
    </xf>
    <xf numFmtId="10" fontId="4" fillId="0" borderId="0" xfId="7" applyNumberFormat="1" applyFill="1" applyBorder="1"/>
    <xf numFmtId="0" fontId="4" fillId="0" borderId="12" xfId="7" applyFill="1" applyBorder="1"/>
    <xf numFmtId="0" fontId="4" fillId="5" borderId="8" xfId="7" applyFill="1" applyBorder="1" applyAlignment="1">
      <alignment horizontal="right"/>
    </xf>
    <xf numFmtId="10" fontId="4" fillId="0" borderId="8" xfId="7" applyNumberFormat="1" applyFill="1" applyBorder="1"/>
    <xf numFmtId="0" fontId="4" fillId="6" borderId="9" xfId="7" applyFill="1" applyBorder="1" applyAlignment="1">
      <alignment horizontal="right"/>
    </xf>
    <xf numFmtId="0" fontId="4" fillId="6" borderId="8" xfId="7" applyFill="1" applyBorder="1" applyAlignment="1">
      <alignment horizontal="right"/>
    </xf>
    <xf numFmtId="0" fontId="4" fillId="0" borderId="8" xfId="7" applyNumberFormat="1" applyFill="1" applyBorder="1"/>
    <xf numFmtId="0" fontId="1" fillId="0" borderId="0" xfId="7" applyFont="1" applyFill="1" applyBorder="1" applyAlignment="1"/>
    <xf numFmtId="0" fontId="4" fillId="0" borderId="2" xfId="7" applyBorder="1"/>
    <xf numFmtId="0" fontId="4" fillId="5" borderId="0" xfId="7" applyFill="1" applyBorder="1"/>
    <xf numFmtId="0" fontId="4" fillId="0" borderId="7" xfId="7" applyBorder="1"/>
    <xf numFmtId="0" fontId="4" fillId="0" borderId="4" xfId="7" applyBorder="1"/>
    <xf numFmtId="0" fontId="4" fillId="0" borderId="3" xfId="7" applyFill="1" applyBorder="1"/>
    <xf numFmtId="0" fontId="4" fillId="6" borderId="13" xfId="7" applyFill="1" applyBorder="1" applyAlignment="1">
      <alignment horizontal="right"/>
    </xf>
    <xf numFmtId="0" fontId="4" fillId="10" borderId="0" xfId="7" applyFill="1"/>
    <xf numFmtId="0" fontId="4" fillId="10" borderId="0" xfId="7" applyFont="1" applyFill="1"/>
    <xf numFmtId="0" fontId="4" fillId="0" borderId="0" xfId="7" applyFont="1" applyFill="1"/>
    <xf numFmtId="0" fontId="4" fillId="5" borderId="0" xfId="7" applyFont="1" applyFill="1"/>
    <xf numFmtId="0" fontId="2" fillId="0" borderId="0" xfId="7" applyNumberFormat="1" applyFont="1" applyFill="1" applyAlignment="1"/>
    <xf numFmtId="0" fontId="4" fillId="0" borderId="0" xfId="7" applyNumberFormat="1" applyAlignment="1"/>
    <xf numFmtId="0" fontId="4" fillId="6" borderId="0" xfId="7" applyNumberFormat="1" applyFill="1" applyAlignment="1"/>
    <xf numFmtId="0" fontId="5" fillId="2" borderId="0" xfId="0" applyNumberFormat="1" applyFont="1" applyFill="1" applyBorder="1" applyAlignment="1"/>
    <xf numFmtId="0" fontId="4" fillId="0" borderId="0" xfId="7" applyAlignment="1">
      <alignment horizontal="right"/>
    </xf>
    <xf numFmtId="0" fontId="4" fillId="6" borderId="0" xfId="7" applyFill="1" applyBorder="1"/>
    <xf numFmtId="0" fontId="4" fillId="0" borderId="0" xfId="7" applyNumberFormat="1"/>
    <xf numFmtId="0" fontId="9" fillId="0" borderId="0" xfId="7" applyFont="1"/>
    <xf numFmtId="0" fontId="10" fillId="0" borderId="0" xfId="7" applyFont="1"/>
    <xf numFmtId="0" fontId="11" fillId="0" borderId="0" xfId="7" applyFont="1"/>
    <xf numFmtId="0" fontId="12" fillId="0" borderId="0" xfId="7" applyFont="1"/>
    <xf numFmtId="0" fontId="13" fillId="0" borderId="0" xfId="7" applyFont="1"/>
    <xf numFmtId="0" fontId="14" fillId="0" borderId="0" xfId="7" applyNumberFormat="1" applyFont="1" applyAlignment="1">
      <alignment horizontal="left"/>
    </xf>
    <xf numFmtId="1" fontId="4" fillId="0" borderId="10" xfId="7" applyNumberFormat="1" applyBorder="1"/>
    <xf numFmtId="164" fontId="4" fillId="0" borderId="10" xfId="7" applyNumberFormat="1" applyBorder="1"/>
    <xf numFmtId="1" fontId="4" fillId="0" borderId="12" xfId="7" applyNumberFormat="1" applyBorder="1"/>
    <xf numFmtId="164" fontId="4" fillId="0" borderId="12" xfId="7" applyNumberFormat="1" applyBorder="1"/>
    <xf numFmtId="1" fontId="4" fillId="0" borderId="15" xfId="7" applyNumberFormat="1" applyBorder="1"/>
    <xf numFmtId="164" fontId="4" fillId="0" borderId="15" xfId="7" applyNumberFormat="1" applyBorder="1"/>
    <xf numFmtId="164" fontId="4" fillId="0" borderId="13" xfId="7" applyNumberFormat="1" applyBorder="1"/>
    <xf numFmtId="1" fontId="4" fillId="0" borderId="5" xfId="7" applyNumberFormat="1" applyBorder="1"/>
    <xf numFmtId="1" fontId="4" fillId="0" borderId="10" xfId="7" applyNumberFormat="1" applyFill="1" applyBorder="1"/>
    <xf numFmtId="1" fontId="4" fillId="0" borderId="12" xfId="7" applyNumberFormat="1" applyFill="1" applyBorder="1"/>
    <xf numFmtId="1" fontId="4" fillId="0" borderId="15" xfId="7" applyNumberFormat="1" applyFill="1" applyBorder="1"/>
    <xf numFmtId="0" fontId="4" fillId="0" borderId="9" xfId="7" applyBorder="1" applyAlignment="1">
      <alignment horizontal="right"/>
    </xf>
    <xf numFmtId="164" fontId="4" fillId="0" borderId="0" xfId="7" applyNumberFormat="1"/>
    <xf numFmtId="0" fontId="15" fillId="0" borderId="0" xfId="7" applyFont="1"/>
    <xf numFmtId="164" fontId="4" fillId="0" borderId="27" xfId="7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7" applyFont="1" applyAlignment="1">
      <alignment horizontal="center"/>
    </xf>
  </cellXfs>
  <cellStyles count="8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  <cellStyle name="Normal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2017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337</v>
      </c>
      <c r="D8">
        <v>3</v>
      </c>
      <c r="E8" t="s">
        <v>338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I20" sqref="I20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2" workbookViewId="0">
      <selection activeCell="Q35" sqref="Q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1061.069</v>
      </c>
      <c r="P31" s="63">
        <f>O31+M31+K31+I31+G31</f>
        <v>9061.0689999999995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1061.069</v>
      </c>
      <c r="P32" s="63">
        <f>O32+M32+K32+I32</f>
        <v>9061.0689999999995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1061.069</v>
      </c>
      <c r="P33" s="63">
        <f>O33+M33+K33</f>
        <v>2206.3689999999997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1061.069</v>
      </c>
      <c r="P34" s="63">
        <f>O34+M34</f>
        <v>3061.069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1061.069</v>
      </c>
      <c r="P35" s="65">
        <f>O35</f>
        <v>1061.069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16262.2045658647</v>
      </c>
      <c r="P40" s="63">
        <f>O40+M40</f>
        <v>36262.204565864697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16262.2045658647</v>
      </c>
      <c r="P41" s="64">
        <f>O41</f>
        <v>16262.2045658647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8.3333333333333357</v>
      </c>
      <c r="D47" s="91">
        <v>8.3333333333333357</v>
      </c>
      <c r="E47" s="91">
        <v>8.3333333333333357</v>
      </c>
      <c r="F47" s="91">
        <v>8.3333333333333357</v>
      </c>
      <c r="G47" s="91">
        <v>8.3333333333333357</v>
      </c>
      <c r="H47" s="91">
        <v>8.3333333333333357</v>
      </c>
      <c r="I47" s="91">
        <v>8.3333333333333357</v>
      </c>
      <c r="J47" s="91">
        <v>8.3333333333333357</v>
      </c>
      <c r="K47" s="91">
        <v>8.3333333333333357</v>
      </c>
      <c r="L47" s="91">
        <v>8.3333333333333357</v>
      </c>
      <c r="M47" s="91">
        <v>8.3333333333333357</v>
      </c>
      <c r="N47" s="91">
        <v>8.3333333333333357</v>
      </c>
      <c r="O47" s="33">
        <f>SUM(C47:N47)</f>
        <v>100.00000000000006</v>
      </c>
      <c r="P47" s="30" t="s">
        <v>339</v>
      </c>
    </row>
    <row r="48" spans="2:17">
      <c r="B48" s="37" t="s">
        <v>113</v>
      </c>
      <c r="C48" s="91">
        <v>8.3333333333333357</v>
      </c>
      <c r="D48" s="91">
        <v>8.3333333333333357</v>
      </c>
      <c r="E48" s="91">
        <v>8.3333333333333357</v>
      </c>
      <c r="F48" s="91">
        <v>8.3333333333333357</v>
      </c>
      <c r="G48" s="91">
        <v>8.3333333333333357</v>
      </c>
      <c r="H48" s="91">
        <v>8.3333333333333357</v>
      </c>
      <c r="I48" s="91">
        <v>8.3333333333333357</v>
      </c>
      <c r="J48" s="91">
        <v>8.3333333333333357</v>
      </c>
      <c r="K48" s="91">
        <v>8.3333333333333357</v>
      </c>
      <c r="L48" s="91">
        <v>8.3333333333333357</v>
      </c>
      <c r="M48" s="91">
        <v>8.3333333333333357</v>
      </c>
      <c r="N48" s="91">
        <v>8.3333333333333357</v>
      </c>
      <c r="O48" s="33">
        <f>SUM(C48:N48)</f>
        <v>100.00000000000006</v>
      </c>
      <c r="P48" s="30" t="s">
        <v>339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65.855660584646856</v>
      </c>
      <c r="E9" s="92">
        <v>0</v>
      </c>
      <c r="F9" s="92">
        <v>0</v>
      </c>
      <c r="G9" s="92">
        <v>34.144339415353137</v>
      </c>
      <c r="H9" s="92">
        <v>0</v>
      </c>
      <c r="I9" s="96">
        <f>SUM($C$9:$H$9)</f>
        <v>100</v>
      </c>
      <c r="J9" s="55" t="s">
        <v>339</v>
      </c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21.376752382218335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78.623247617781658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176" t="s">
        <v>339</v>
      </c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414</v>
      </c>
      <c r="D3" s="180"/>
      <c r="E3" s="180"/>
      <c r="F3" s="180"/>
      <c r="G3" s="180"/>
    </row>
    <row r="5" spans="1:20" ht="15">
      <c r="A5" s="181" t="s">
        <v>353</v>
      </c>
      <c r="B5" s="182"/>
      <c r="G5" s="183"/>
      <c r="L5" s="181" t="s">
        <v>354</v>
      </c>
      <c r="M5" s="182"/>
      <c r="R5" s="183"/>
    </row>
    <row r="6" spans="1:20">
      <c r="A6" s="184" t="s">
        <v>355</v>
      </c>
      <c r="B6" s="182"/>
      <c r="G6" s="185"/>
      <c r="H6" s="109"/>
      <c r="L6" s="184" t="s">
        <v>356</v>
      </c>
      <c r="M6" s="182"/>
      <c r="S6" s="124"/>
    </row>
    <row r="7" spans="1:20">
      <c r="A7" s="182"/>
      <c r="B7" s="182" t="s">
        <v>357</v>
      </c>
      <c r="G7" s="185"/>
      <c r="H7" s="186">
        <f>SUM(ORA!$D$116:$O$116)</f>
        <v>66839</v>
      </c>
      <c r="L7" s="182"/>
      <c r="M7" s="182" t="s">
        <v>357</v>
      </c>
      <c r="S7" s="187">
        <f>SUM(ORA!$D$127:$O$127)</f>
        <v>285720600</v>
      </c>
    </row>
    <row r="8" spans="1:20">
      <c r="A8" s="182"/>
      <c r="B8" s="182" t="s">
        <v>358</v>
      </c>
      <c r="G8" s="185"/>
      <c r="H8" s="188">
        <f>SUM(POJ!$D$116:$O$116)</f>
        <v>45131.431807338595</v>
      </c>
      <c r="L8" s="182"/>
      <c r="M8" s="182" t="s">
        <v>358</v>
      </c>
      <c r="S8" s="189">
        <f>SUM(POJ!$D$127:$O$127)</f>
        <v>315920022.65137023</v>
      </c>
    </row>
    <row r="9" spans="1:20">
      <c r="A9" s="182"/>
      <c r="B9" s="182" t="s">
        <v>359</v>
      </c>
      <c r="G9" s="185"/>
      <c r="H9" s="188">
        <f>SUM(ROJ!$D$116:$O$116)</f>
        <v>27141.559293917086</v>
      </c>
      <c r="L9" s="182"/>
      <c r="M9" s="182" t="s">
        <v>359</v>
      </c>
      <c r="S9" s="189">
        <f>SUM(ROJ!$D$127:$O$127)</f>
        <v>206275850.63376987</v>
      </c>
    </row>
    <row r="10" spans="1:20">
      <c r="A10" s="182"/>
      <c r="B10" s="182" t="s">
        <v>360</v>
      </c>
      <c r="G10" s="185"/>
      <c r="H10" s="190">
        <f>SUM(FCOJ!$D$116:$O$116)</f>
        <v>37591.703968982656</v>
      </c>
      <c r="L10" s="182"/>
      <c r="M10" s="182" t="s">
        <v>360</v>
      </c>
      <c r="S10" s="191">
        <f>SUM(FCOJ!$D$127:$O$127)</f>
        <v>188699205.64077008</v>
      </c>
    </row>
    <row r="11" spans="1:20">
      <c r="A11" s="182"/>
      <c r="B11" s="182"/>
      <c r="G11" s="185"/>
      <c r="M11" s="182" t="s">
        <v>361</v>
      </c>
      <c r="T11" s="192">
        <f>SUM($S$7:$S$10)</f>
        <v>996615678.92591023</v>
      </c>
    </row>
    <row r="12" spans="1:20">
      <c r="A12" s="184" t="s">
        <v>362</v>
      </c>
      <c r="B12" s="182"/>
      <c r="G12" s="185"/>
    </row>
    <row r="13" spans="1:20">
      <c r="A13" s="182"/>
      <c r="B13" s="182" t="s">
        <v>363</v>
      </c>
      <c r="G13" s="185"/>
      <c r="H13" s="193">
        <f>SUM(grove!$C$48:$AX$53)</f>
        <v>156616.89054812407</v>
      </c>
      <c r="L13" s="184" t="s">
        <v>364</v>
      </c>
      <c r="M13" s="182"/>
    </row>
    <row r="14" spans="1:20">
      <c r="A14" s="182"/>
      <c r="B14" s="182" t="s">
        <v>365</v>
      </c>
      <c r="G14" s="185"/>
      <c r="H14" s="186">
        <f>raw_materials!$P$30</f>
        <v>8000</v>
      </c>
      <c r="L14" s="182"/>
      <c r="M14" s="182" t="s">
        <v>366</v>
      </c>
      <c r="S14" s="187">
        <f>SUM(grove!$C$58:$AX$63)</f>
        <v>207348956.12389743</v>
      </c>
    </row>
    <row r="15" spans="1:20">
      <c r="A15" s="182"/>
      <c r="B15" s="182" t="s">
        <v>367</v>
      </c>
      <c r="G15" s="185"/>
      <c r="H15" s="190">
        <f>raw_materials!$P$36</f>
        <v>11000</v>
      </c>
      <c r="L15" s="182"/>
      <c r="M15" s="182" t="s">
        <v>368</v>
      </c>
      <c r="S15" s="189">
        <f>(raw_materials!D30*raw_materials!E30+raw_materials!F30*raw_materials!G30+raw_materials!H30*raw_materials!I30+raw_materials!J30*raw_materials!K30+raw_materials!L30*raw_materials!M30)*2000</f>
        <v>11802303.378843235</v>
      </c>
    </row>
    <row r="16" spans="1:20">
      <c r="A16" s="182"/>
      <c r="B16" s="182" t="s">
        <v>369</v>
      </c>
      <c r="G16" s="185"/>
      <c r="H16" s="194">
        <v>44563.363091670537</v>
      </c>
      <c r="L16" s="182"/>
      <c r="M16" s="182" t="s">
        <v>370</v>
      </c>
      <c r="S16" s="189">
        <f>(raw_materials!D36*raw_materials!E36+raw_materials!F36*raw_materials!G36+raw_materials!H36*raw_materials!I36+raw_materials!J36*raw_materials!K36+raw_materials!L36*raw_materials!M36)*2000</f>
        <v>20495419.105642766</v>
      </c>
    </row>
    <row r="17" spans="1:21">
      <c r="A17" s="182"/>
      <c r="B17" s="182" t="s">
        <v>371</v>
      </c>
      <c r="G17" s="185"/>
      <c r="H17" s="195">
        <v>51450.203603095375</v>
      </c>
      <c r="L17" s="182"/>
      <c r="M17" s="182" t="s">
        <v>372</v>
      </c>
      <c r="S17" s="189">
        <v>33366500.63380786</v>
      </c>
    </row>
    <row r="18" spans="1:21">
      <c r="A18" s="182"/>
      <c r="B18" s="182" t="s">
        <v>373</v>
      </c>
      <c r="G18" s="185"/>
      <c r="H18" s="196">
        <v>25452.432520751907</v>
      </c>
      <c r="L18" s="182"/>
      <c r="M18" s="182" t="s">
        <v>374</v>
      </c>
      <c r="S18" s="191">
        <v>2766060.0000000005</v>
      </c>
    </row>
    <row r="19" spans="1:21">
      <c r="A19" s="182"/>
      <c r="B19" s="182" t="s">
        <v>375</v>
      </c>
      <c r="G19" s="185"/>
      <c r="H19" s="195">
        <v>0</v>
      </c>
      <c r="L19" s="182"/>
      <c r="M19" s="182" t="s">
        <v>376</v>
      </c>
      <c r="S19" s="197" t="s">
        <v>377</v>
      </c>
      <c r="T19" s="198">
        <f>SUM($S$14:$S$18)</f>
        <v>275779239.24219131</v>
      </c>
      <c r="U19" s="99" t="s">
        <v>378</v>
      </c>
    </row>
    <row r="20" spans="1:21">
      <c r="A20" s="182"/>
      <c r="B20" s="182" t="s">
        <v>379</v>
      </c>
      <c r="G20" s="185"/>
      <c r="H20" s="190">
        <v>2423.5850398117782</v>
      </c>
      <c r="L20" s="182"/>
      <c r="M20" s="182"/>
    </row>
    <row r="21" spans="1:21">
      <c r="A21" s="182"/>
      <c r="B21" s="182"/>
      <c r="G21" s="185"/>
      <c r="L21" s="184" t="s">
        <v>380</v>
      </c>
      <c r="M21" s="182"/>
      <c r="S21" s="124"/>
    </row>
    <row r="22" spans="1:21">
      <c r="A22" s="184" t="s">
        <v>381</v>
      </c>
      <c r="B22" s="182"/>
      <c r="G22" s="185"/>
      <c r="L22" s="182"/>
      <c r="M22" s="182" t="s">
        <v>382</v>
      </c>
      <c r="S22" s="189">
        <v>89126726.183341086</v>
      </c>
    </row>
    <row r="23" spans="1:21">
      <c r="A23" s="182"/>
      <c r="B23" s="182" t="s">
        <v>383</v>
      </c>
      <c r="G23" s="185"/>
      <c r="H23" s="186">
        <f>SUM(raw_materials!$O$31:$O$35)</f>
        <v>5305.3449999999993</v>
      </c>
      <c r="L23" s="182"/>
      <c r="M23" s="182" t="s">
        <v>384</v>
      </c>
      <c r="S23" s="189">
        <v>51450203.603095397</v>
      </c>
    </row>
    <row r="24" spans="1:21">
      <c r="A24" s="182"/>
      <c r="B24" s="182" t="s">
        <v>385</v>
      </c>
      <c r="G24" s="185"/>
      <c r="H24" s="190">
        <f>SUM(raw_materials!$O$37:$O$41)</f>
        <v>32524.409131729401</v>
      </c>
      <c r="L24" s="182"/>
      <c r="M24" s="182" t="s">
        <v>386</v>
      </c>
      <c r="S24" s="191">
        <v>16544081.138488743</v>
      </c>
    </row>
    <row r="25" spans="1:21">
      <c r="A25" s="182"/>
      <c r="B25" s="182"/>
      <c r="G25" s="185"/>
      <c r="L25" s="182"/>
      <c r="M25" s="182" t="s">
        <v>387</v>
      </c>
      <c r="S25" s="197" t="s">
        <v>377</v>
      </c>
      <c r="T25" s="198">
        <f>SUM($S$22:$S$24)</f>
        <v>157121010.92492524</v>
      </c>
      <c r="U25" s="99" t="s">
        <v>378</v>
      </c>
    </row>
    <row r="26" spans="1:21">
      <c r="A26" s="184" t="s">
        <v>388</v>
      </c>
      <c r="B26" s="182"/>
      <c r="G26" s="185"/>
      <c r="L26" s="182"/>
      <c r="M26" s="182"/>
    </row>
    <row r="27" spans="1:21">
      <c r="A27" s="182"/>
      <c r="B27" s="182" t="s">
        <v>389</v>
      </c>
      <c r="G27" s="185"/>
      <c r="H27" s="186">
        <f>SUMIF(facilities!$C$6:$C$15,"&gt;0",facilities!$C$6:$C$15)</f>
        <v>0</v>
      </c>
      <c r="L27" s="184" t="s">
        <v>390</v>
      </c>
      <c r="M27" s="182"/>
    </row>
    <row r="28" spans="1:21">
      <c r="A28" s="182"/>
      <c r="B28" s="182" t="s">
        <v>391</v>
      </c>
      <c r="G28" s="185"/>
      <c r="H28" s="188">
        <f>SUMIF(facilities!$C$36:$C$106,"&gt;0",facilities!$C$36:$C$106)</f>
        <v>0</v>
      </c>
      <c r="L28" s="182"/>
      <c r="M28" s="182" t="s">
        <v>392</v>
      </c>
      <c r="S28" s="187">
        <v>8538984</v>
      </c>
    </row>
    <row r="29" spans="1:21">
      <c r="A29" s="182"/>
      <c r="B29" s="182" t="s">
        <v>393</v>
      </c>
      <c r="G29" s="185"/>
      <c r="H29" s="188">
        <f>SUMIF(facilities!$C$6:$C$15,"&lt;0",facilities!$C$6:$C$15)</f>
        <v>-200</v>
      </c>
      <c r="L29" s="182"/>
      <c r="M29" s="182" t="s">
        <v>394</v>
      </c>
      <c r="S29" s="189">
        <v>30704781.154689137</v>
      </c>
    </row>
    <row r="30" spans="1:21">
      <c r="A30" s="182"/>
      <c r="B30" s="182" t="s">
        <v>395</v>
      </c>
      <c r="G30" s="185"/>
      <c r="H30" s="190">
        <f>SUMIF(facilities!$C$36:$C$106,"&lt;0",facilities!$C$36:$C$106)</f>
        <v>-3000</v>
      </c>
      <c r="L30" s="182"/>
      <c r="M30" s="182" t="s">
        <v>396</v>
      </c>
      <c r="S30" s="189">
        <v>8862263.8826424461</v>
      </c>
    </row>
    <row r="31" spans="1:21">
      <c r="L31" s="182"/>
      <c r="M31" s="182" t="s">
        <v>397</v>
      </c>
      <c r="S31" s="191">
        <f>SUM(ORA!D138:O138)+SUM(POJ!D138:O138)+SUM(ROJ!D138:O138)+SUM(FCOJ!D138:O138)</f>
        <v>119880044.71027762</v>
      </c>
    </row>
    <row r="32" spans="1:21">
      <c r="A32" s="184" t="s">
        <v>398</v>
      </c>
      <c r="B32" s="182"/>
      <c r="G32" s="185"/>
      <c r="L32" s="182"/>
      <c r="M32" s="182" t="s">
        <v>399</v>
      </c>
      <c r="S32" s="112" t="s">
        <v>377</v>
      </c>
      <c r="T32" s="198">
        <f>SUM($S$28:$S$31)</f>
        <v>167986073.7476092</v>
      </c>
      <c r="U32" s="99" t="s">
        <v>378</v>
      </c>
    </row>
    <row r="33" spans="1:21">
      <c r="A33" s="182"/>
      <c r="B33" s="182" t="s">
        <v>400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401</v>
      </c>
      <c r="G34" s="185"/>
      <c r="H34" s="188">
        <f>COUNTIF(facilities!$H$36:$H$106,"=new")</f>
        <v>0</v>
      </c>
      <c r="L34" s="184" t="s">
        <v>402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403</v>
      </c>
      <c r="S35" s="187">
        <v>34972500</v>
      </c>
    </row>
    <row r="36" spans="1:21">
      <c r="L36" s="182"/>
      <c r="M36" s="182" t="s">
        <v>404</v>
      </c>
      <c r="S36" s="189">
        <f>H33*12000000-H38*70/100*12000000</f>
        <v>-8400000</v>
      </c>
    </row>
    <row r="37" spans="1:21">
      <c r="A37" s="184" t="s">
        <v>405</v>
      </c>
      <c r="L37" s="182"/>
      <c r="M37" s="182" t="s">
        <v>406</v>
      </c>
      <c r="S37" s="189">
        <f>H27*8000+H29*70/100*8000</f>
        <v>-1120000</v>
      </c>
    </row>
    <row r="38" spans="1:21">
      <c r="B38" s="182" t="s">
        <v>400</v>
      </c>
      <c r="H38" s="186">
        <f>COUNTIF(facilities!$H$6:$H$15,"=sold")</f>
        <v>1</v>
      </c>
      <c r="L38" s="182"/>
      <c r="M38" s="182" t="s">
        <v>407</v>
      </c>
      <c r="S38" s="189">
        <v>34850000</v>
      </c>
    </row>
    <row r="39" spans="1:21">
      <c r="B39" s="182" t="s">
        <v>401</v>
      </c>
      <c r="H39" s="188">
        <f>COUNTIF(facilities!$H$36:$H$106,"=sold")</f>
        <v>0</v>
      </c>
      <c r="L39" s="182"/>
      <c r="M39" s="182" t="s">
        <v>408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409</v>
      </c>
      <c r="S40" s="189">
        <f>H28*6000+H30*80/100*6000</f>
        <v>-14400000</v>
      </c>
    </row>
    <row r="41" spans="1:21">
      <c r="L41" s="182"/>
      <c r="M41" s="182" t="s">
        <v>410</v>
      </c>
      <c r="S41" s="189">
        <v>8770</v>
      </c>
    </row>
    <row r="42" spans="1:21">
      <c r="L42" s="182"/>
      <c r="M42" s="182" t="s">
        <v>411</v>
      </c>
      <c r="S42" s="191">
        <f>H35*100000-H40*60/100*100000</f>
        <v>0</v>
      </c>
    </row>
    <row r="43" spans="1:21">
      <c r="L43" s="182"/>
      <c r="M43" s="182" t="s">
        <v>412</v>
      </c>
      <c r="S43" s="177" t="s">
        <v>377</v>
      </c>
      <c r="T43" s="198">
        <f>SUM($S$35:$S$42)</f>
        <v>45911270</v>
      </c>
      <c r="U43" s="99" t="s">
        <v>378</v>
      </c>
    </row>
    <row r="44" spans="1:21">
      <c r="L44" s="182"/>
      <c r="S44" s="109"/>
    </row>
    <row r="45" spans="1:21" ht="13" thickBot="1">
      <c r="L45" s="199" t="s">
        <v>413</v>
      </c>
      <c r="M45" s="182"/>
      <c r="T45" s="200">
        <f>$T$11-$T$19-$T$25-$T$32-$T$43</f>
        <v>349818085.01118451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9" customWidth="1"/>
    <col min="2" max="2" width="15.6640625" style="99" customWidth="1"/>
    <col min="3" max="16384" width="8.83203125" style="99"/>
  </cols>
  <sheetData>
    <row r="2" spans="2:14">
      <c r="B2" s="101" t="s">
        <v>313</v>
      </c>
    </row>
    <row r="3" spans="2:14">
      <c r="B3" s="102" t="s">
        <v>314</v>
      </c>
    </row>
    <row r="4" spans="2:14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>
      <c r="B5" s="170" t="s">
        <v>104</v>
      </c>
      <c r="C5" s="99">
        <v>0.602688958846055</v>
      </c>
      <c r="D5" s="99">
        <v>0.68977893538756296</v>
      </c>
      <c r="E5" s="99">
        <v>0.7116834601276063</v>
      </c>
      <c r="F5" s="99">
        <v>0.5946895278116453</v>
      </c>
      <c r="G5" s="99">
        <v>0.68550851806525182</v>
      </c>
      <c r="H5" s="99">
        <v>0.76060428420813364</v>
      </c>
      <c r="I5" s="99">
        <v>0.69622255818652767</v>
      </c>
      <c r="J5" s="99">
        <v>0.52452012452078756</v>
      </c>
      <c r="K5" s="99">
        <v>0.67312515983804333</v>
      </c>
      <c r="L5" s="99">
        <v>0.59924767053461847</v>
      </c>
      <c r="M5" s="99">
        <v>0.60745169295672996</v>
      </c>
      <c r="N5" s="99">
        <v>0.57682872562392118</v>
      </c>
    </row>
    <row r="6" spans="2:14">
      <c r="B6" s="170" t="s">
        <v>105</v>
      </c>
      <c r="C6" s="99">
        <v>0.78001087529536639</v>
      </c>
      <c r="D6" s="99">
        <v>0.66975373485509204</v>
      </c>
      <c r="E6" s="99">
        <v>0.67732812999256453</v>
      </c>
      <c r="F6" s="99">
        <v>0.70596178303637647</v>
      </c>
      <c r="G6" s="99">
        <v>0.73646330038241326</v>
      </c>
      <c r="H6" s="99">
        <v>0.69234599073388892</v>
      </c>
      <c r="I6" s="99">
        <v>0.76588047335067444</v>
      </c>
      <c r="J6" s="99">
        <v>0.67353427134629895</v>
      </c>
      <c r="K6" s="99">
        <v>0.72286521147421856</v>
      </c>
      <c r="L6" s="99">
        <v>0.71493043732919548</v>
      </c>
      <c r="M6" s="99">
        <v>0.64686993144653337</v>
      </c>
      <c r="N6" s="99">
        <v>0.68147467726397137</v>
      </c>
    </row>
    <row r="7" spans="2:14">
      <c r="B7" s="170" t="s">
        <v>106</v>
      </c>
      <c r="C7" s="99">
        <v>0.74302941762489283</v>
      </c>
      <c r="D7" s="99">
        <v>0.72439910846876865</v>
      </c>
      <c r="E7" s="99">
        <v>0.81807333885227018</v>
      </c>
      <c r="F7" s="99">
        <v>0.7409288730990895</v>
      </c>
      <c r="G7" s="99">
        <v>0.8815909580234722</v>
      </c>
      <c r="H7" s="99">
        <v>0.69718616569664482</v>
      </c>
      <c r="I7" s="99">
        <v>0.69281455597337038</v>
      </c>
      <c r="J7" s="99">
        <v>0.76250564731671</v>
      </c>
      <c r="K7" s="99">
        <v>0.75344006700572941</v>
      </c>
      <c r="L7" s="99">
        <v>0.73182546428455253</v>
      </c>
      <c r="M7" s="99">
        <v>0.71584941521283418</v>
      </c>
      <c r="N7" s="99">
        <v>0.72057080403761109</v>
      </c>
    </row>
    <row r="8" spans="2:14">
      <c r="B8" s="170" t="s">
        <v>107</v>
      </c>
      <c r="C8" s="99">
        <v>0.70406273715186951</v>
      </c>
      <c r="D8" s="99">
        <v>1.0413603251044783</v>
      </c>
      <c r="E8" s="99">
        <v>0.79891983258954302</v>
      </c>
      <c r="F8" s="99">
        <v>0.76731572786220625</v>
      </c>
      <c r="G8" s="99">
        <v>0.70881241548375107</v>
      </c>
      <c r="H8" s="99">
        <v>0.78950822860039949</v>
      </c>
      <c r="I8" s="99">
        <v>0.68444411931836213</v>
      </c>
      <c r="J8" s="99">
        <v>0.70096673088761374</v>
      </c>
      <c r="K8" s="99">
        <v>0.71134910133541185</v>
      </c>
      <c r="L8" s="99">
        <v>0.67427345597339883</v>
      </c>
      <c r="M8" s="99">
        <v>0.64298099046376411</v>
      </c>
      <c r="N8" s="99">
        <v>0.71071770891598973</v>
      </c>
    </row>
    <row r="9" spans="2:14">
      <c r="B9" s="170" t="s">
        <v>108</v>
      </c>
      <c r="C9" s="99">
        <v>2.0403349077701569</v>
      </c>
      <c r="D9" s="99">
        <v>2.0799369907379153</v>
      </c>
      <c r="E9" s="99">
        <v>2.0678629195690155</v>
      </c>
      <c r="F9" s="99">
        <v>2.0776385998725893</v>
      </c>
      <c r="G9" s="99">
        <v>2.0464011585712432</v>
      </c>
      <c r="H9" s="99">
        <v>2.0895946836471557</v>
      </c>
      <c r="I9" s="99">
        <v>2.0803205049037934</v>
      </c>
      <c r="J9" s="99">
        <v>2.0409738516807558</v>
      </c>
      <c r="K9" s="99">
        <v>2.0792713797092439</v>
      </c>
      <c r="L9" s="99">
        <v>2.0473560905456543</v>
      </c>
      <c r="M9" s="99">
        <v>2.062920073270798</v>
      </c>
      <c r="N9" s="99">
        <v>2.0505237793922424</v>
      </c>
    </row>
    <row r="10" spans="2:14">
      <c r="B10" s="170" t="s">
        <v>109</v>
      </c>
      <c r="C10" s="99">
        <v>0.69357569813728337</v>
      </c>
      <c r="D10" s="99">
        <v>0.63058083057403569</v>
      </c>
      <c r="E10" s="99">
        <v>0.69983276724815369</v>
      </c>
      <c r="F10" s="99">
        <v>0.64502495527267456</v>
      </c>
      <c r="G10" s="99">
        <v>0.66935439705848698</v>
      </c>
      <c r="H10" s="99">
        <v>0.66039805412292485</v>
      </c>
      <c r="I10" s="99">
        <v>0.66392113566398625</v>
      </c>
      <c r="J10" s="99">
        <v>0.61713973283767698</v>
      </c>
      <c r="K10" s="99">
        <v>0.68487041592597964</v>
      </c>
      <c r="L10" s="99">
        <v>0.64326894283294678</v>
      </c>
      <c r="M10" s="99">
        <v>0.65205163359642027</v>
      </c>
      <c r="N10" s="99">
        <v>0.66751874685287482</v>
      </c>
    </row>
    <row r="11" spans="2:14">
      <c r="B11" s="171"/>
      <c r="C11" s="100"/>
      <c r="D11" s="100"/>
      <c r="E11" s="100"/>
      <c r="F11" s="100"/>
      <c r="G11" s="100"/>
    </row>
    <row r="12" spans="2:14">
      <c r="B12" s="103" t="s">
        <v>315</v>
      </c>
      <c r="C12" s="100"/>
      <c r="D12" s="100"/>
      <c r="E12" s="100"/>
      <c r="F12" s="100"/>
      <c r="G12" s="100"/>
    </row>
    <row r="13" spans="2:14">
      <c r="B13" s="170" t="s">
        <v>316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>
      <c r="B14" s="169" t="s">
        <v>317</v>
      </c>
      <c r="C14" s="100">
        <v>0.32739731483535339</v>
      </c>
      <c r="D14" s="100">
        <v>0.32861257228595314</v>
      </c>
      <c r="E14" s="100">
        <v>0.32982441022414066</v>
      </c>
      <c r="F14" s="100">
        <v>0.3310294187593868</v>
      </c>
      <c r="G14" s="100">
        <v>0.33222420721785434</v>
      </c>
      <c r="H14" s="99">
        <v>0.33340541368313481</v>
      </c>
      <c r="I14" s="99">
        <v>0.33456971445606687</v>
      </c>
      <c r="J14" s="99">
        <v>0.33571383340701827</v>
      </c>
      <c r="K14" s="99">
        <v>0.33683455119431632</v>
      </c>
      <c r="L14" s="99">
        <v>0.33792871432288668</v>
      </c>
      <c r="M14" s="99">
        <v>0.33899324401761299</v>
      </c>
      <c r="N14" s="99">
        <v>0.34002514488644664</v>
      </c>
    </row>
    <row r="15" spans="2:14">
      <c r="B15" s="169" t="s">
        <v>318</v>
      </c>
      <c r="C15" s="99">
        <v>1.1904617820182022</v>
      </c>
      <c r="D15" s="99">
        <v>1.1936180989210179</v>
      </c>
      <c r="E15" s="99">
        <v>1.1967655345247965</v>
      </c>
      <c r="F15" s="99">
        <v>1.1998952325208527</v>
      </c>
      <c r="G15" s="99">
        <v>1.2029983865108895</v>
      </c>
      <c r="H15" s="99">
        <v>1.2060662647865916</v>
      </c>
      <c r="I15" s="99">
        <v>1.2090902348990593</v>
      </c>
      <c r="J15" s="99">
        <v>1.2120617879489399</v>
      </c>
      <c r="K15" s="99">
        <v>1.2149725625289181</v>
      </c>
      <c r="L15" s="99">
        <v>1.2178143682511875</v>
      </c>
      <c r="M15" s="99">
        <v>1.2205792087937042</v>
      </c>
      <c r="N15" s="99">
        <v>1.2232593044003779</v>
      </c>
    </row>
    <row r="16" spans="2:14">
      <c r="B16" s="100"/>
    </row>
    <row r="17" spans="2:14">
      <c r="B17" s="102" t="s">
        <v>319</v>
      </c>
    </row>
    <row r="18" spans="2:14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>
      <c r="B19" s="172" t="s">
        <v>104</v>
      </c>
      <c r="C19" s="99">
        <f>C5</f>
        <v>0.602688958846055</v>
      </c>
      <c r="D19" s="99">
        <f t="shared" ref="D19:N20" si="0">D5</f>
        <v>0.68977893538756296</v>
      </c>
      <c r="E19" s="99">
        <f t="shared" si="0"/>
        <v>0.7116834601276063</v>
      </c>
      <c r="F19" s="99">
        <f t="shared" si="0"/>
        <v>0.5946895278116453</v>
      </c>
      <c r="G19" s="99">
        <f t="shared" si="0"/>
        <v>0.68550851806525182</v>
      </c>
      <c r="H19" s="99">
        <f t="shared" si="0"/>
        <v>0.76060428420813364</v>
      </c>
      <c r="I19" s="99">
        <f t="shared" si="0"/>
        <v>0.69622255818652767</v>
      </c>
      <c r="J19" s="99">
        <f t="shared" si="0"/>
        <v>0.52452012452078756</v>
      </c>
      <c r="K19" s="99">
        <f t="shared" si="0"/>
        <v>0.67312515983804333</v>
      </c>
      <c r="L19" s="99">
        <f t="shared" si="0"/>
        <v>0.59924767053461847</v>
      </c>
      <c r="M19" s="99">
        <f t="shared" si="0"/>
        <v>0.60745169295672996</v>
      </c>
      <c r="N19" s="99">
        <f t="shared" si="0"/>
        <v>0.57682872562392118</v>
      </c>
    </row>
    <row r="20" spans="2:14">
      <c r="B20" s="172" t="s">
        <v>105</v>
      </c>
      <c r="C20" s="99">
        <f>C6</f>
        <v>0.78001087529536639</v>
      </c>
      <c r="D20" s="99">
        <f t="shared" si="0"/>
        <v>0.66975373485509204</v>
      </c>
      <c r="E20" s="99">
        <f t="shared" si="0"/>
        <v>0.67732812999256453</v>
      </c>
      <c r="F20" s="99">
        <f t="shared" si="0"/>
        <v>0.70596178303637647</v>
      </c>
      <c r="G20" s="99">
        <f t="shared" si="0"/>
        <v>0.73646330038241326</v>
      </c>
      <c r="H20" s="99">
        <f t="shared" si="0"/>
        <v>0.69234599073388892</v>
      </c>
      <c r="I20" s="99">
        <f t="shared" si="0"/>
        <v>0.76588047335067444</v>
      </c>
      <c r="J20" s="99">
        <f t="shared" si="0"/>
        <v>0.67353427134629895</v>
      </c>
      <c r="K20" s="99">
        <f t="shared" si="0"/>
        <v>0.72286521147421856</v>
      </c>
      <c r="L20" s="99">
        <f t="shared" si="0"/>
        <v>0.71493043732919548</v>
      </c>
      <c r="M20" s="99">
        <f t="shared" si="0"/>
        <v>0.64686993144653337</v>
      </c>
      <c r="N20" s="99">
        <f t="shared" si="0"/>
        <v>0.68147467726397137</v>
      </c>
    </row>
    <row r="21" spans="2:14">
      <c r="B21" s="172" t="s">
        <v>106</v>
      </c>
      <c r="C21" s="99">
        <f t="shared" ref="C21:N22" si="1">C7</f>
        <v>0.74302941762489283</v>
      </c>
      <c r="D21" s="99">
        <f t="shared" si="1"/>
        <v>0.72439910846876865</v>
      </c>
      <c r="E21" s="99">
        <f t="shared" si="1"/>
        <v>0.81807333885227018</v>
      </c>
      <c r="F21" s="99">
        <f t="shared" si="1"/>
        <v>0.7409288730990895</v>
      </c>
      <c r="G21" s="99">
        <f t="shared" si="1"/>
        <v>0.8815909580234722</v>
      </c>
      <c r="H21" s="99">
        <f t="shared" si="1"/>
        <v>0.69718616569664482</v>
      </c>
      <c r="I21" s="99">
        <f t="shared" si="1"/>
        <v>0.69281455597337038</v>
      </c>
      <c r="J21" s="99">
        <f t="shared" si="1"/>
        <v>0.76250564731671</v>
      </c>
      <c r="K21" s="99">
        <f t="shared" si="1"/>
        <v>0.75344006700572941</v>
      </c>
      <c r="L21" s="99">
        <f t="shared" si="1"/>
        <v>0.73182546428455253</v>
      </c>
      <c r="M21" s="99">
        <f t="shared" si="1"/>
        <v>0.71584941521283418</v>
      </c>
      <c r="N21" s="99">
        <f t="shared" si="1"/>
        <v>0.72057080403761109</v>
      </c>
    </row>
    <row r="22" spans="2:14">
      <c r="B22" s="172" t="s">
        <v>107</v>
      </c>
      <c r="C22" s="99">
        <f t="shared" si="1"/>
        <v>0.70406273715186951</v>
      </c>
      <c r="D22" s="99">
        <f t="shared" si="1"/>
        <v>1.0413603251044783</v>
      </c>
      <c r="E22" s="99">
        <f t="shared" si="1"/>
        <v>0.79891983258954302</v>
      </c>
      <c r="F22" s="99">
        <f t="shared" si="1"/>
        <v>0.76731572786220625</v>
      </c>
      <c r="G22" s="99">
        <f t="shared" si="1"/>
        <v>0.70881241548375107</v>
      </c>
      <c r="H22" s="99">
        <f t="shared" si="1"/>
        <v>0.78950822860039949</v>
      </c>
      <c r="I22" s="99">
        <f t="shared" si="1"/>
        <v>0.68444411931836213</v>
      </c>
      <c r="J22" s="99">
        <f t="shared" si="1"/>
        <v>0.70096673088761374</v>
      </c>
      <c r="K22" s="99">
        <f t="shared" si="1"/>
        <v>0.71134910133541185</v>
      </c>
      <c r="L22" s="99">
        <f t="shared" si="1"/>
        <v>0.67427345597339883</v>
      </c>
      <c r="M22" s="99">
        <f t="shared" si="1"/>
        <v>0.64298099046376411</v>
      </c>
      <c r="N22" s="99">
        <f t="shared" si="1"/>
        <v>0.71071770891598973</v>
      </c>
    </row>
    <row r="23" spans="2:14">
      <c r="B23" s="172" t="s">
        <v>108</v>
      </c>
      <c r="C23" s="99">
        <f>C9*C14</f>
        <v>0.66800017016878777</v>
      </c>
      <c r="D23" s="99">
        <f t="shared" ref="D23:N24" si="2">D9*D14</f>
        <v>0.68349344471909101</v>
      </c>
      <c r="E23" s="99">
        <f t="shared" si="2"/>
        <v>0.68203166787122016</v>
      </c>
      <c r="F23" s="99">
        <f t="shared" si="2"/>
        <v>0.68775949810788939</v>
      </c>
      <c r="G23" s="99">
        <f t="shared" si="2"/>
        <v>0.67986400255602986</v>
      </c>
      <c r="H23" s="99">
        <f t="shared" si="2"/>
        <v>0.6966821799314592</v>
      </c>
      <c r="I23" s="99">
        <f t="shared" si="2"/>
        <v>0.69601223730276296</v>
      </c>
      <c r="J23" s="99">
        <f t="shared" si="2"/>
        <v>0.68518315563123366</v>
      </c>
      <c r="K23" s="99">
        <f t="shared" si="2"/>
        <v>0.7003704419955501</v>
      </c>
      <c r="L23" s="99">
        <f t="shared" si="2"/>
        <v>0.6918604114392245</v>
      </c>
      <c r="M23" s="99">
        <f t="shared" si="2"/>
        <v>0.69931596778711969</v>
      </c>
      <c r="N23" s="99">
        <f t="shared" si="2"/>
        <v>0.69722964518095132</v>
      </c>
    </row>
    <row r="24" spans="2:14">
      <c r="B24" s="172" t="s">
        <v>109</v>
      </c>
      <c r="C24" s="99">
        <f>C10*C15</f>
        <v>0.82567536156902899</v>
      </c>
      <c r="D24" s="99">
        <f t="shared" si="2"/>
        <v>0.75267269220581701</v>
      </c>
      <c r="E24" s="99">
        <f t="shared" si="2"/>
        <v>0.8375357357737041</v>
      </c>
      <c r="F24" s="99">
        <f t="shared" si="2"/>
        <v>0.77396236868865842</v>
      </c>
      <c r="G24" s="99">
        <f t="shared" si="2"/>
        <v>0.80523225966532919</v>
      </c>
      <c r="H24" s="99">
        <f t="shared" si="2"/>
        <v>0.79648381440836935</v>
      </c>
      <c r="I24" s="99">
        <f t="shared" si="2"/>
        <v>0.80274056187441933</v>
      </c>
      <c r="J24" s="99">
        <f t="shared" si="2"/>
        <v>0.74801148799756589</v>
      </c>
      <c r="K24" s="99">
        <f t="shared" si="2"/>
        <v>0.83209876423783335</v>
      </c>
      <c r="L24" s="99">
        <f t="shared" si="2"/>
        <v>0.78338216123171434</v>
      </c>
      <c r="M24" s="99">
        <f t="shared" si="2"/>
        <v>0.79588066702776095</v>
      </c>
      <c r="N24" s="99">
        <f t="shared" si="2"/>
        <v>0.8165485179494596</v>
      </c>
    </row>
    <row r="25" spans="2:14">
      <c r="B25" s="171"/>
    </row>
    <row r="26" spans="2:14">
      <c r="B26" s="103" t="s">
        <v>320</v>
      </c>
    </row>
    <row r="27" spans="2:14">
      <c r="B27" s="98" t="s">
        <v>321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>
      <c r="B28" s="98" t="s">
        <v>104</v>
      </c>
      <c r="C28" s="99">
        <f>IF(C19&lt;=raw_materials!$D17,raw_materials!$C17,IF(C19&lt;=raw_materials!$F17,raw_materials!$E17,IF(C19&lt;=raw_materials!$H17,raw_materials!$G17,0)))</f>
        <v>1</v>
      </c>
      <c r="D28" s="99">
        <f>IF(D19&lt;=raw_materials!$D17,raw_materials!$C17,IF(D19&lt;=raw_materials!$F17,raw_materials!$E17,IF(D19&lt;=raw_materials!$H17,raw_materials!$G17,0)))</f>
        <v>1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1</v>
      </c>
      <c r="G28" s="99">
        <f>IF(G19&lt;=raw_materials!$D17,raw_materials!$C17,IF(G19&lt;=raw_materials!$F17,raw_materials!$E17,IF(G19&lt;=raw_materials!$H17,raw_materials!$G17,0)))</f>
        <v>1</v>
      </c>
      <c r="H28" s="99">
        <f>IF(H19&lt;=raw_materials!$D17,raw_materials!$C17,IF(H19&lt;=raw_materials!$F17,raw_materials!$E17,IF(H19&lt;=raw_materials!$H17,raw_materials!$G17,0)))</f>
        <v>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1</v>
      </c>
      <c r="L28" s="99">
        <f>IF(L19&lt;=raw_materials!$D17,raw_materials!$C17,IF(L19&lt;=raw_materials!$F17,raw_materials!$E17,IF(L19&lt;=raw_materials!$H17,raw_materials!$G17,0)))</f>
        <v>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</v>
      </c>
    </row>
    <row r="29" spans="2:14">
      <c r="B29" s="98" t="s">
        <v>105</v>
      </c>
      <c r="C29" s="99">
        <f>IF(C20&lt;=raw_materials!$D18,raw_materials!$C18,IF(C20&lt;=raw_materials!$F18,raw_materials!$E18,IF(C20&lt;=raw_materials!$H18,raw_materials!$G18,0)))</f>
        <v>0.8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1</v>
      </c>
      <c r="G29" s="99">
        <f>IF(G20&lt;=raw_materials!$D18,raw_materials!$C18,IF(G20&lt;=raw_materials!$F18,raw_materials!$E18,IF(G20&lt;=raw_materials!$H18,raw_materials!$G18,0)))</f>
        <v>1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1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</v>
      </c>
      <c r="F30" s="99">
        <f>IF(F21&lt;=raw_materials!$D19,raw_materials!$C19,IF(F21&lt;=raw_materials!$F19,raw_materials!$E19,IF(F21&lt;=raw_materials!$H19,raw_materials!$G19,0)))</f>
        <v>1</v>
      </c>
      <c r="G30" s="99">
        <f>IF(G21&lt;=raw_materials!$D19,raw_materials!$C19,IF(G21&lt;=raw_materials!$F19,raw_materials!$E19,IF(G21&lt;=raw_materials!$H19,raw_materials!$G19,0)))</f>
        <v>0.8</v>
      </c>
      <c r="H30" s="99">
        <f>IF(H21&lt;=raw_materials!$D19,raw_materials!$C19,IF(H21&lt;=raw_materials!$F19,raw_materials!$E19,IF(H21&lt;=raw_materials!$H19,raw_materials!$G19,0)))</f>
        <v>1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1</v>
      </c>
      <c r="K30" s="99">
        <f>IF(K21&lt;=raw_materials!$D19,raw_materials!$C19,IF(K21&lt;=raw_materials!$F19,raw_materials!$E19,IF(K21&lt;=raw_materials!$H19,raw_materials!$G19,0)))</f>
        <v>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1</v>
      </c>
    </row>
    <row r="31" spans="2:14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0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1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</v>
      </c>
    </row>
    <row r="32" spans="2:14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>
      <c r="B33" s="98" t="s">
        <v>109</v>
      </c>
      <c r="C33" s="99">
        <f>IF(C24&lt;=raw_materials!$D22,raw_materials!$C22,IF(C24&lt;=raw_materials!$F22,raw_materials!$E22,IF(C24&lt;=raw_materials!$H22,raw_materials!$G22,0)))</f>
        <v>0</v>
      </c>
      <c r="D33" s="99">
        <f>IF(D24&lt;=raw_materials!$D22,raw_materials!$C22,IF(D24&lt;=raw_materials!$F22,raw_materials!$E22,IF(D24&lt;=raw_materials!$H22,raw_materials!$G22,0)))</f>
        <v>0.8</v>
      </c>
      <c r="E33" s="99">
        <f>IF(E24&lt;=raw_materials!$D22,raw_materials!$C22,IF(E24&lt;=raw_materials!$F22,raw_materials!$E22,IF(E24&lt;=raw_materials!$H22,raw_materials!$G22,0)))</f>
        <v>0</v>
      </c>
      <c r="F33" s="99">
        <f>IF(F24&lt;=raw_materials!$D22,raw_materials!$C22,IF(F24&lt;=raw_materials!$F22,raw_materials!$E22,IF(F24&lt;=raw_materials!$H22,raw_materials!$G22,0)))</f>
        <v>0.8</v>
      </c>
      <c r="G33" s="99">
        <f>IF(G24&lt;=raw_materials!$D22,raw_materials!$C22,IF(G24&lt;=raw_materials!$F22,raw_materials!$E22,IF(G24&lt;=raw_materials!$H22,raw_materials!$G22,0)))</f>
        <v>0</v>
      </c>
      <c r="H33" s="99">
        <f>IF(H24&lt;=raw_materials!$D22,raw_materials!$C22,IF(H24&lt;=raw_materials!$F22,raw_materials!$E22,IF(H24&lt;=raw_materials!$H22,raw_materials!$G22,0)))</f>
        <v>0.8</v>
      </c>
      <c r="I33" s="99">
        <f>IF(I24&lt;=raw_materials!$D22,raw_materials!$C22,IF(I24&lt;=raw_materials!$F22,raw_materials!$E22,IF(I24&lt;=raw_materials!$H22,raw_materials!$G22,0)))</f>
        <v>0.8</v>
      </c>
      <c r="J33" s="99">
        <f>IF(J24&lt;=raw_materials!$D22,raw_materials!$C22,IF(J24&lt;=raw_materials!$F22,raw_materials!$E22,IF(J24&lt;=raw_materials!$H22,raw_materials!$G22,0)))</f>
        <v>0.8</v>
      </c>
      <c r="K33" s="99">
        <f>IF(K24&lt;=raw_materials!$D22,raw_materials!$C22,IF(K24&lt;=raw_materials!$F22,raw_materials!$E22,IF(K24&lt;=raw_materials!$H22,raw_materials!$G22,0)))</f>
        <v>0</v>
      </c>
      <c r="L33" s="99">
        <f>IF(L24&lt;=raw_materials!$D22,raw_materials!$C22,IF(L24&lt;=raw_materials!$F22,raw_materials!$E22,IF(L24&lt;=raw_materials!$H22,raw_materials!$G22,0)))</f>
        <v>0.8</v>
      </c>
      <c r="M33" s="99">
        <f>IF(M24&lt;=raw_materials!$D22,raw_materials!$C22,IF(M24&lt;=raw_materials!$F22,raw_materials!$E22,IF(M24&lt;=raw_materials!$H22,raw_materials!$G22,0)))</f>
        <v>0.8</v>
      </c>
      <c r="N33" s="99">
        <f>IF(N24&lt;=raw_materials!$D22,raw_materials!$C22,IF(N24&lt;=raw_materials!$F22,raw_materials!$E22,IF(N24&lt;=raw_materials!$H22,raw_materials!$G22,0)))</f>
        <v>0</v>
      </c>
    </row>
    <row r="35" spans="2:50">
      <c r="B35" s="102" t="s">
        <v>322</v>
      </c>
    </row>
    <row r="36" spans="2:50">
      <c r="B36" s="169" t="s">
        <v>274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>
      <c r="B37" s="169" t="s">
        <v>323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>
      <c r="B38" s="169" t="s">
        <v>104</v>
      </c>
      <c r="C38" s="99">
        <v>25054.902514011505</v>
      </c>
      <c r="D38" s="99">
        <v>25109.81675262624</v>
      </c>
      <c r="E38" s="99">
        <v>25164.733912812586</v>
      </c>
      <c r="F38" s="99">
        <v>25219.64518704552</v>
      </c>
      <c r="G38" s="99">
        <v>25274.541764850626</v>
      </c>
      <c r="H38" s="99">
        <v>25329.41483434946</v>
      </c>
      <c r="I38" s="99">
        <v>25384.255583806131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17998.489817313352</v>
      </c>
      <c r="P38" s="99">
        <v>18036.547499616488</v>
      </c>
      <c r="Q38" s="99">
        <v>25820.761922544945</v>
      </c>
      <c r="R38" s="99">
        <v>25874.916053205223</v>
      </c>
      <c r="S38" s="99">
        <v>25928.950094808049</v>
      </c>
      <c r="T38" s="99">
        <v>25982.855339308269</v>
      </c>
      <c r="U38" s="99">
        <v>9736.5526894727391</v>
      </c>
      <c r="V38" s="99">
        <v>12326.467826618082</v>
      </c>
      <c r="W38" s="99">
        <v>9216.4691735403849</v>
      </c>
      <c r="X38" s="99">
        <v>8616.060872455917</v>
      </c>
      <c r="Y38" s="99">
        <v>26250.146217950878</v>
      </c>
      <c r="Z38" s="99">
        <v>26303.096964916222</v>
      </c>
      <c r="AA38" s="99">
        <v>26355.858567616488</v>
      </c>
      <c r="AB38" s="99">
        <v>26408.422510375025</v>
      </c>
      <c r="AC38" s="99">
        <v>26460.780308405316</v>
      </c>
      <c r="AD38" s="99">
        <v>2651.2923509318134</v>
      </c>
      <c r="AE38" s="99">
        <v>26564.8436946238</v>
      </c>
      <c r="AF38" s="99">
        <v>26616.532481229282</v>
      </c>
      <c r="AG38" s="99">
        <v>26667.981522929855</v>
      </c>
      <c r="AH38" s="99">
        <v>26719.182511895149</v>
      </c>
      <c r="AI38" s="99">
        <v>26770.127180149142</v>
      </c>
      <c r="AJ38" s="99">
        <v>26820.807301044035</v>
      </c>
      <c r="AK38" s="99">
        <v>26871.21469072756</v>
      </c>
      <c r="AL38" s="99">
        <v>26921.341209603564</v>
      </c>
      <c r="AM38" s="99">
        <v>26971.178763785614</v>
      </c>
      <c r="AN38" s="99">
        <v>27020.719306543244</v>
      </c>
      <c r="AO38" s="99">
        <v>27069.954839740756</v>
      </c>
      <c r="AP38" s="99">
        <v>27118.877415268147</v>
      </c>
      <c r="AQ38" s="99">
        <v>27167.47913646403</v>
      </c>
      <c r="AR38" s="99">
        <v>27215.752159530173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>
      <c r="B39" s="169" t="s">
        <v>105</v>
      </c>
      <c r="C39" s="99">
        <v>15032.941508406904</v>
      </c>
      <c r="D39" s="99">
        <v>15065.890051575743</v>
      </c>
      <c r="E39" s="99">
        <v>10569.188243381284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15263.433121904818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15427.276986268587</v>
      </c>
      <c r="P39" s="99">
        <v>15459.897856814132</v>
      </c>
      <c r="Q39" s="99">
        <v>15492.457153526968</v>
      </c>
      <c r="R39" s="99">
        <v>15524.949631923135</v>
      </c>
      <c r="S39" s="99">
        <v>15557.370056884829</v>
      </c>
      <c r="T39" s="99">
        <v>15589.713203584963</v>
      </c>
      <c r="U39" s="99">
        <v>15621.973858410449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15876.468185043188</v>
      </c>
      <c r="AD39" s="99">
        <v>6363.1016422363518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16062.076308089485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16212.431583925947</v>
      </c>
      <c r="AO39" s="99">
        <v>16241.972903844453</v>
      </c>
      <c r="AP39" s="99">
        <v>16271.326449160888</v>
      </c>
      <c r="AQ39" s="99">
        <v>16300.487481878417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16443.241393938872</v>
      </c>
      <c r="AW39" s="99">
        <v>16471.149688083475</v>
      </c>
      <c r="AX39" s="99">
        <v>16498.833238615145</v>
      </c>
    </row>
    <row r="40" spans="2:50">
      <c r="B40" s="169" t="s">
        <v>106</v>
      </c>
      <c r="C40" s="99">
        <v>5010.9805028023011</v>
      </c>
      <c r="D40" s="99">
        <v>5021.9633505252477</v>
      </c>
      <c r="E40" s="99">
        <v>5032.946782562517</v>
      </c>
      <c r="F40" s="99">
        <v>5043.9290374091042</v>
      </c>
      <c r="G40" s="99">
        <v>5054.9083529701256</v>
      </c>
      <c r="H40" s="99">
        <v>5065.8829668698918</v>
      </c>
      <c r="I40" s="99">
        <v>5076.851116761226</v>
      </c>
      <c r="J40" s="99">
        <v>5087.8110406349388</v>
      </c>
      <c r="K40" s="99">
        <v>509.87609771294279</v>
      </c>
      <c r="L40" s="99">
        <v>5109.6991658403376</v>
      </c>
      <c r="M40" s="99">
        <v>5120.6238476302397</v>
      </c>
      <c r="N40" s="99">
        <v>5131.5332649382435</v>
      </c>
      <c r="O40" s="99">
        <v>5142.4256620895294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5196.5710678616542</v>
      </c>
      <c r="U40" s="99">
        <v>2082.9298477880602</v>
      </c>
      <c r="V40" s="99">
        <v>2087.2195759845399</v>
      </c>
      <c r="W40" s="99">
        <v>5228.7422998615266</v>
      </c>
      <c r="X40" s="99">
        <v>5239.40297435511</v>
      </c>
      <c r="Y40" s="99">
        <v>5250.0292435901756</v>
      </c>
      <c r="Z40" s="99">
        <v>5260.6193929832443</v>
      </c>
      <c r="AA40" s="99">
        <v>5271.1717135232975</v>
      </c>
      <c r="AB40" s="99">
        <v>5281.6845020750052</v>
      </c>
      <c r="AC40" s="99">
        <v>5292.156061681063</v>
      </c>
      <c r="AD40" s="99">
        <v>5302.5847018636268</v>
      </c>
      <c r="AE40" s="99">
        <v>5312.9687389247601</v>
      </c>
      <c r="AF40" s="99">
        <v>5323.3064962458566</v>
      </c>
      <c r="AG40" s="99">
        <v>5333.5963045859717</v>
      </c>
      <c r="AH40" s="99">
        <v>5343.8365023790293</v>
      </c>
      <c r="AI40" s="99">
        <v>5354.0254360298286</v>
      </c>
      <c r="AJ40" s="99">
        <v>5364.1614602088066</v>
      </c>
      <c r="AK40" s="99">
        <v>5374.2429381455113</v>
      </c>
      <c r="AL40" s="99">
        <v>5384.2682419207131</v>
      </c>
      <c r="AM40" s="99">
        <v>5394.2357527571221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5443.150431906035</v>
      </c>
      <c r="AS40" s="99">
        <v>5452.7377389875128</v>
      </c>
      <c r="AT40" s="99">
        <v>5462.2562017647024</v>
      </c>
      <c r="AU40" s="99">
        <v>5471.7042848759638</v>
      </c>
      <c r="AV40" s="99">
        <v>5481.0804646462902</v>
      </c>
      <c r="AW40" s="99">
        <v>5490.3832293611586</v>
      </c>
      <c r="AX40" s="99">
        <v>5499.611079538382</v>
      </c>
    </row>
    <row r="41" spans="2:50">
      <c r="B41" s="169" t="s">
        <v>107</v>
      </c>
      <c r="C41" s="99">
        <v>3006.5883016813805</v>
      </c>
      <c r="D41" s="99">
        <v>3013.1780103151486</v>
      </c>
      <c r="E41" s="99">
        <v>3019.7680695375102</v>
      </c>
      <c r="F41" s="99">
        <v>3026.3574224454624</v>
      </c>
      <c r="G41" s="99">
        <v>303.29450117820755</v>
      </c>
      <c r="H41" s="99">
        <v>303.95297801219351</v>
      </c>
      <c r="I41" s="99">
        <v>3046.1106700567357</v>
      </c>
      <c r="J41" s="99">
        <v>2136.8806370666744</v>
      </c>
      <c r="K41" s="99">
        <v>2141.4796103943595</v>
      </c>
      <c r="L41" s="99">
        <v>1226.3277998016811</v>
      </c>
      <c r="M41" s="99">
        <v>3072.3743085781439</v>
      </c>
      <c r="N41" s="99">
        <v>3078.9199589629461</v>
      </c>
      <c r="O41" s="99">
        <v>3085.4553972537178</v>
      </c>
      <c r="P41" s="99">
        <v>2164.3856999539785</v>
      </c>
      <c r="Q41" s="99">
        <v>2168.9440014937754</v>
      </c>
      <c r="R41" s="99">
        <v>2173.4929484692389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2196.071765941841</v>
      </c>
      <c r="X41" s="99">
        <v>2200.549249229146</v>
      </c>
      <c r="Y41" s="99">
        <v>2205.0122823078736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3187.7812433548561</v>
      </c>
      <c r="AF41" s="99">
        <v>3193.9838977475138</v>
      </c>
      <c r="AG41" s="99">
        <v>3200.1577827515825</v>
      </c>
      <c r="AH41" s="99">
        <v>3206.3019014274178</v>
      </c>
      <c r="AI41" s="99">
        <v>3212.4152616178967</v>
      </c>
      <c r="AJ41" s="99">
        <v>3218.496876125284</v>
      </c>
      <c r="AK41" s="99">
        <v>2257.1820340211148</v>
      </c>
      <c r="AL41" s="99">
        <v>3230.5609451524278</v>
      </c>
      <c r="AM41" s="99">
        <v>3236.5414516542737</v>
      </c>
      <c r="AN41" s="99">
        <v>3242.486316785189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2298.1157996479046</v>
      </c>
      <c r="AV41" s="99">
        <v>2302.0537951514416</v>
      </c>
      <c r="AW41" s="99">
        <v>3294.2299376166952</v>
      </c>
      <c r="AX41" s="99">
        <v>3299.7666477230291</v>
      </c>
    </row>
    <row r="42" spans="2:50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>
      <c r="B45" s="102" t="s">
        <v>324</v>
      </c>
    </row>
    <row r="46" spans="2:50">
      <c r="B46" s="98" t="s">
        <v>274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>
      <c r="B47" s="98" t="s">
        <v>325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>
      <c r="B48" s="98" t="s">
        <v>104</v>
      </c>
      <c r="C48" s="99">
        <v>2523.9358306006779</v>
      </c>
      <c r="D48" s="99">
        <v>2523.9358306006779</v>
      </c>
      <c r="E48" s="99">
        <v>2523.9358306006779</v>
      </c>
      <c r="F48" s="99">
        <v>2523.9358306006779</v>
      </c>
      <c r="G48" s="99">
        <v>2523.9358306006779</v>
      </c>
      <c r="H48" s="99">
        <v>2523.9358306006779</v>
      </c>
      <c r="I48" s="99">
        <v>2523.9358306006779</v>
      </c>
      <c r="J48" s="99">
        <v>2523.9358306006779</v>
      </c>
      <c r="K48" s="99">
        <v>2523.9358306006779</v>
      </c>
      <c r="L48" s="99">
        <v>2523.9358306006779</v>
      </c>
      <c r="M48" s="99">
        <v>2523.9358306006779</v>
      </c>
      <c r="N48" s="99">
        <v>2523.9358306006779</v>
      </c>
      <c r="O48" s="99">
        <v>2523.9358306006779</v>
      </c>
      <c r="P48" s="99">
        <v>2523.9358306006779</v>
      </c>
      <c r="Q48" s="99">
        <v>2523.9358306006779</v>
      </c>
      <c r="R48" s="99">
        <v>2523.9358306006779</v>
      </c>
      <c r="S48" s="99">
        <v>2523.9358306006779</v>
      </c>
      <c r="T48" s="99">
        <v>2523.9358306006779</v>
      </c>
      <c r="U48" s="99">
        <v>2523.9358306006779</v>
      </c>
      <c r="V48" s="99">
        <v>2523.9358306006779</v>
      </c>
      <c r="W48" s="99">
        <v>2523.9358306006779</v>
      </c>
      <c r="X48" s="99">
        <v>2523.9358306006779</v>
      </c>
      <c r="Y48" s="99">
        <v>2523.9358306006779</v>
      </c>
      <c r="Z48" s="99">
        <v>2523.9358306006779</v>
      </c>
      <c r="AA48" s="99">
        <v>2523.9358306006779</v>
      </c>
      <c r="AB48" s="99">
        <v>2523.9358306006779</v>
      </c>
      <c r="AC48" s="99">
        <v>2523.9358306006779</v>
      </c>
      <c r="AD48" s="99">
        <v>2523.9358306006779</v>
      </c>
      <c r="AE48" s="99">
        <v>2523.9358306006779</v>
      </c>
      <c r="AF48" s="99">
        <v>2523.9358306006779</v>
      </c>
      <c r="AG48" s="99">
        <v>2523.9358306006779</v>
      </c>
      <c r="AH48" s="99">
        <v>2523.9358306006779</v>
      </c>
      <c r="AI48" s="99">
        <v>2523.9358306006779</v>
      </c>
      <c r="AJ48" s="99">
        <v>2523.9358306006779</v>
      </c>
      <c r="AK48" s="99">
        <v>2523.9358306006779</v>
      </c>
      <c r="AL48" s="99">
        <v>2523.9358306006779</v>
      </c>
      <c r="AM48" s="99">
        <v>2523.9358306006779</v>
      </c>
      <c r="AN48" s="99">
        <v>2523.9358306006779</v>
      </c>
      <c r="AO48" s="99">
        <v>2523.9358306006779</v>
      </c>
      <c r="AP48" s="99">
        <v>2523.9358306006779</v>
      </c>
      <c r="AQ48" s="99">
        <v>2523.9358306006779</v>
      </c>
      <c r="AR48" s="99">
        <v>2523.9358306006779</v>
      </c>
      <c r="AS48" s="99">
        <v>2523.9358306006779</v>
      </c>
      <c r="AT48" s="99">
        <v>2523.9358306006779</v>
      </c>
      <c r="AU48" s="99">
        <v>2523.9358306006779</v>
      </c>
      <c r="AV48" s="99">
        <v>2523.9358306006779</v>
      </c>
      <c r="AW48" s="99">
        <v>2523.9358306006779</v>
      </c>
      <c r="AX48" s="99">
        <v>2523.9358306006779</v>
      </c>
    </row>
    <row r="49" spans="2:51">
      <c r="B49" s="98" t="s">
        <v>105</v>
      </c>
      <c r="C49" s="99">
        <v>8.9852221214321173E-6</v>
      </c>
      <c r="D49" s="99">
        <v>8.9852221214321173E-6</v>
      </c>
      <c r="E49" s="99">
        <v>8.9852221214321173E-6</v>
      </c>
      <c r="F49" s="99">
        <v>8.9852221214321173E-6</v>
      </c>
      <c r="G49" s="99">
        <v>1.1231527651790147E-5</v>
      </c>
      <c r="H49" s="99">
        <v>1.1231527651790147E-5</v>
      </c>
      <c r="I49" s="99">
        <v>1.1231527651790147E-5</v>
      </c>
      <c r="J49" s="99">
        <v>1.1231527651790147E-5</v>
      </c>
      <c r="K49" s="99">
        <v>1.1231527651790147E-5</v>
      </c>
      <c r="L49" s="99">
        <v>1.1231527651790147E-5</v>
      </c>
      <c r="M49" s="99">
        <v>1.1231527651790147E-5</v>
      </c>
      <c r="N49" s="99">
        <v>1.1231527651790147E-5</v>
      </c>
      <c r="O49" s="99">
        <v>1.1231527651790147E-5</v>
      </c>
      <c r="P49" s="99">
        <v>1.1231527651790147E-5</v>
      </c>
      <c r="Q49" s="99">
        <v>1.1231527651790147E-5</v>
      </c>
      <c r="R49" s="99">
        <v>1.1231527651790147E-5</v>
      </c>
      <c r="S49" s="99">
        <v>1.1231527651790147E-5</v>
      </c>
      <c r="T49" s="99">
        <v>1.1231527651790147E-5</v>
      </c>
      <c r="U49" s="99">
        <v>1.1231527651790147E-5</v>
      </c>
      <c r="V49" s="99">
        <v>1.1231527651790147E-5</v>
      </c>
      <c r="W49" s="99">
        <v>1.1231527651790147E-5</v>
      </c>
      <c r="X49" s="99">
        <v>1.1231527651790147E-5</v>
      </c>
      <c r="Y49" s="99">
        <v>1.1231527651790147E-5</v>
      </c>
      <c r="Z49" s="99">
        <v>1.1231527651790147E-5</v>
      </c>
      <c r="AA49" s="99">
        <v>1.1231527651790147E-5</v>
      </c>
      <c r="AB49" s="99">
        <v>1.1231527651790147E-5</v>
      </c>
      <c r="AC49" s="99">
        <v>1.1231527651790147E-5</v>
      </c>
      <c r="AD49" s="99">
        <v>1.1231527651790147E-5</v>
      </c>
      <c r="AE49" s="99">
        <v>1.1231527651790147E-5</v>
      </c>
      <c r="AF49" s="99">
        <v>1.1231527651790147E-5</v>
      </c>
      <c r="AG49" s="99">
        <v>1.1231527651790147E-5</v>
      </c>
      <c r="AH49" s="99">
        <v>1.1231527651790147E-5</v>
      </c>
      <c r="AI49" s="99">
        <v>1.1231527651790147E-5</v>
      </c>
      <c r="AJ49" s="99">
        <v>1.1231527651790147E-5</v>
      </c>
      <c r="AK49" s="99">
        <v>1.1231527651790147E-5</v>
      </c>
      <c r="AL49" s="99">
        <v>1.1231527651790147E-5</v>
      </c>
      <c r="AM49" s="99">
        <v>1.1231527651790147E-5</v>
      </c>
      <c r="AN49" s="99">
        <v>1.1231527651790147E-5</v>
      </c>
      <c r="AO49" s="99">
        <v>1.1231527651790147E-5</v>
      </c>
      <c r="AP49" s="99">
        <v>1.1231527651790147E-5</v>
      </c>
      <c r="AQ49" s="99">
        <v>1.1231527651790147E-5</v>
      </c>
      <c r="AR49" s="99">
        <v>1.1231527651790147E-5</v>
      </c>
      <c r="AS49" s="99">
        <v>1.1231527651790147E-5</v>
      </c>
      <c r="AT49" s="99">
        <v>1.1231527651790147E-5</v>
      </c>
      <c r="AU49" s="99">
        <v>1.1231527651790147E-5</v>
      </c>
      <c r="AV49" s="99">
        <v>1.1231527651790147E-5</v>
      </c>
      <c r="AW49" s="99">
        <v>1.1231527651790147E-5</v>
      </c>
      <c r="AX49" s="99">
        <v>1.1231527651790147E-5</v>
      </c>
    </row>
    <row r="50" spans="2:51">
      <c r="B50" s="98" t="s">
        <v>106</v>
      </c>
      <c r="C50" s="99">
        <v>192.48063735372148</v>
      </c>
      <c r="D50" s="99">
        <v>192.48063735372148</v>
      </c>
      <c r="E50" s="99">
        <v>192.48063735372148</v>
      </c>
      <c r="F50" s="99">
        <v>192.48063735372148</v>
      </c>
      <c r="G50" s="99">
        <v>192.48063735372148</v>
      </c>
      <c r="H50" s="99">
        <v>192.48063735372148</v>
      </c>
      <c r="I50" s="99">
        <v>192.48063735372148</v>
      </c>
      <c r="J50" s="99">
        <v>192.48063735372148</v>
      </c>
      <c r="K50" s="99">
        <v>192.48063735372148</v>
      </c>
      <c r="L50" s="99">
        <v>192.48063735372148</v>
      </c>
      <c r="M50" s="99">
        <v>192.48063735372148</v>
      </c>
      <c r="N50" s="99">
        <v>192.48063735372148</v>
      </c>
      <c r="O50" s="99">
        <v>192.48063735372148</v>
      </c>
      <c r="P50" s="99">
        <v>192.48063735372148</v>
      </c>
      <c r="Q50" s="99">
        <v>192.48063735372148</v>
      </c>
      <c r="R50" s="99">
        <v>192.48063735372148</v>
      </c>
      <c r="S50" s="99">
        <v>153.98450988297719</v>
      </c>
      <c r="T50" s="99">
        <v>153.98450988297719</v>
      </c>
      <c r="U50" s="99">
        <v>153.98450988297719</v>
      </c>
      <c r="V50" s="99">
        <v>153.98450988297719</v>
      </c>
      <c r="W50" s="99">
        <v>192.48063735372148</v>
      </c>
      <c r="X50" s="99">
        <v>192.48063735372148</v>
      </c>
      <c r="Y50" s="99">
        <v>192.48063735372148</v>
      </c>
      <c r="Z50" s="99">
        <v>192.48063735372148</v>
      </c>
      <c r="AA50" s="99">
        <v>192.48063735372148</v>
      </c>
      <c r="AB50" s="99">
        <v>192.48063735372148</v>
      </c>
      <c r="AC50" s="99">
        <v>192.48063735372148</v>
      </c>
      <c r="AD50" s="99">
        <v>192.48063735372148</v>
      </c>
      <c r="AE50" s="99">
        <v>192.48063735372148</v>
      </c>
      <c r="AF50" s="99">
        <v>192.48063735372148</v>
      </c>
      <c r="AG50" s="99">
        <v>192.48063735372148</v>
      </c>
      <c r="AH50" s="99">
        <v>192.48063735372148</v>
      </c>
      <c r="AI50" s="99">
        <v>192.48063735372148</v>
      </c>
      <c r="AJ50" s="99">
        <v>192.48063735372148</v>
      </c>
      <c r="AK50" s="99">
        <v>192.48063735372148</v>
      </c>
      <c r="AL50" s="99">
        <v>192.48063735372148</v>
      </c>
      <c r="AM50" s="99">
        <v>192.48063735372148</v>
      </c>
      <c r="AN50" s="99">
        <v>192.48063735372148</v>
      </c>
      <c r="AO50" s="99">
        <v>192.48063735372148</v>
      </c>
      <c r="AP50" s="99">
        <v>192.48063735372148</v>
      </c>
      <c r="AQ50" s="99">
        <v>192.48063735372148</v>
      </c>
      <c r="AR50" s="99">
        <v>192.48063735372148</v>
      </c>
      <c r="AS50" s="99">
        <v>192.48063735372148</v>
      </c>
      <c r="AT50" s="99">
        <v>192.48063735372148</v>
      </c>
      <c r="AU50" s="99">
        <v>192.48063735372148</v>
      </c>
      <c r="AV50" s="99">
        <v>192.48063735372148</v>
      </c>
      <c r="AW50" s="99">
        <v>192.48063735372148</v>
      </c>
      <c r="AX50" s="99">
        <v>192.48063735372148</v>
      </c>
      <c r="AY50" s="111"/>
    </row>
    <row r="51" spans="2:51">
      <c r="B51" s="98" t="s">
        <v>107</v>
      </c>
      <c r="C51" s="99">
        <v>599.61100150152959</v>
      </c>
      <c r="D51" s="99">
        <v>599.61100150152959</v>
      </c>
      <c r="E51" s="99">
        <v>599.61100150152959</v>
      </c>
      <c r="F51" s="99">
        <v>599.61100150152959</v>
      </c>
      <c r="G51" s="99">
        <v>0</v>
      </c>
      <c r="H51" s="99">
        <v>0</v>
      </c>
      <c r="I51" s="99">
        <v>0</v>
      </c>
      <c r="J51" s="99">
        <v>0</v>
      </c>
      <c r="K51" s="99">
        <v>599.61100150152959</v>
      </c>
      <c r="L51" s="99">
        <v>599.61100150152959</v>
      </c>
      <c r="M51" s="99">
        <v>599.61100150152959</v>
      </c>
      <c r="N51" s="99">
        <v>599.61100150152959</v>
      </c>
      <c r="O51" s="99">
        <v>599.61100150152959</v>
      </c>
      <c r="P51" s="99">
        <v>599.61100150152959</v>
      </c>
      <c r="Q51" s="99">
        <v>599.61100150152959</v>
      </c>
      <c r="R51" s="99">
        <v>599.61100150152959</v>
      </c>
      <c r="S51" s="99">
        <v>599.61100150152959</v>
      </c>
      <c r="T51" s="99">
        <v>599.61100150152959</v>
      </c>
      <c r="U51" s="99">
        <v>599.61100150152959</v>
      </c>
      <c r="V51" s="99">
        <v>599.61100150152959</v>
      </c>
      <c r="W51" s="99">
        <v>599.61100150152959</v>
      </c>
      <c r="X51" s="99">
        <v>599.61100150152959</v>
      </c>
      <c r="Y51" s="99">
        <v>599.61100150152959</v>
      </c>
      <c r="Z51" s="99">
        <v>599.61100150152959</v>
      </c>
      <c r="AA51" s="99">
        <v>599.61100150152959</v>
      </c>
      <c r="AB51" s="99">
        <v>599.61100150152959</v>
      </c>
      <c r="AC51" s="99">
        <v>599.61100150152959</v>
      </c>
      <c r="AD51" s="99">
        <v>599.61100150152959</v>
      </c>
      <c r="AE51" s="99">
        <v>599.61100150152959</v>
      </c>
      <c r="AF51" s="99">
        <v>599.61100150152959</v>
      </c>
      <c r="AG51" s="99">
        <v>599.61100150152959</v>
      </c>
      <c r="AH51" s="99">
        <v>599.61100150152959</v>
      </c>
      <c r="AI51" s="99">
        <v>599.61100150152959</v>
      </c>
      <c r="AJ51" s="99">
        <v>599.61100150152959</v>
      </c>
      <c r="AK51" s="99">
        <v>599.61100150152959</v>
      </c>
      <c r="AL51" s="99">
        <v>599.61100150152959</v>
      </c>
      <c r="AM51" s="99">
        <v>599.61100150152959</v>
      </c>
      <c r="AN51" s="99">
        <v>599.61100150152959</v>
      </c>
      <c r="AO51" s="99">
        <v>599.61100150152959</v>
      </c>
      <c r="AP51" s="99">
        <v>599.61100150152959</v>
      </c>
      <c r="AQ51" s="99">
        <v>599.61100150152959</v>
      </c>
      <c r="AR51" s="99">
        <v>599.61100150152959</v>
      </c>
      <c r="AS51" s="99">
        <v>599.61100150152959</v>
      </c>
      <c r="AT51" s="99">
        <v>599.61100150152959</v>
      </c>
      <c r="AU51" s="99">
        <v>599.61100150152959</v>
      </c>
      <c r="AV51" s="99">
        <v>599.61100150152959</v>
      </c>
      <c r="AW51" s="99">
        <v>599.61100150152959</v>
      </c>
      <c r="AX51" s="99">
        <v>599.61100150152959</v>
      </c>
      <c r="AY51" s="110"/>
    </row>
    <row r="52" spans="2:51">
      <c r="B52" s="98" t="s">
        <v>108</v>
      </c>
      <c r="C52" s="99">
        <v>0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0</v>
      </c>
      <c r="N52" s="99">
        <v>0</v>
      </c>
      <c r="O52" s="99">
        <v>0</v>
      </c>
      <c r="P52" s="99">
        <v>0</v>
      </c>
      <c r="Q52" s="99">
        <v>0</v>
      </c>
      <c r="R52" s="99">
        <v>0</v>
      </c>
      <c r="S52" s="99">
        <v>0</v>
      </c>
      <c r="T52" s="99">
        <v>0</v>
      </c>
      <c r="U52" s="99">
        <v>0</v>
      </c>
      <c r="V52" s="99">
        <v>0</v>
      </c>
      <c r="W52" s="99">
        <v>0</v>
      </c>
      <c r="X52" s="99">
        <v>0</v>
      </c>
      <c r="Y52" s="99">
        <v>0</v>
      </c>
      <c r="Z52" s="99">
        <v>0</v>
      </c>
      <c r="AA52" s="99">
        <v>0</v>
      </c>
      <c r="AB52" s="99">
        <v>0</v>
      </c>
      <c r="AC52" s="99">
        <v>0</v>
      </c>
      <c r="AD52" s="99">
        <v>0</v>
      </c>
      <c r="AE52" s="99">
        <v>0</v>
      </c>
      <c r="AF52" s="99">
        <v>0</v>
      </c>
      <c r="AG52" s="99">
        <v>0</v>
      </c>
      <c r="AH52" s="99">
        <v>0</v>
      </c>
      <c r="AI52" s="99">
        <v>0</v>
      </c>
      <c r="AJ52" s="99">
        <v>0</v>
      </c>
      <c r="AK52" s="99">
        <v>0</v>
      </c>
      <c r="AL52" s="99">
        <v>0</v>
      </c>
      <c r="AM52" s="99">
        <v>0</v>
      </c>
      <c r="AN52" s="99">
        <v>0</v>
      </c>
      <c r="AO52" s="99">
        <v>0</v>
      </c>
      <c r="AP52" s="99">
        <v>0</v>
      </c>
      <c r="AQ52" s="99">
        <v>0</v>
      </c>
      <c r="AR52" s="99">
        <v>0</v>
      </c>
      <c r="AS52" s="99">
        <v>0</v>
      </c>
      <c r="AT52" s="99">
        <v>0</v>
      </c>
      <c r="AU52" s="99">
        <v>0</v>
      </c>
      <c r="AV52" s="99">
        <v>0</v>
      </c>
      <c r="AW52" s="99">
        <v>0</v>
      </c>
      <c r="AX52" s="99">
        <v>0</v>
      </c>
    </row>
    <row r="53" spans="2:51">
      <c r="B53" s="98" t="s">
        <v>109</v>
      </c>
      <c r="C53" s="99">
        <v>0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0</v>
      </c>
      <c r="N53" s="99">
        <v>0</v>
      </c>
      <c r="O53" s="99">
        <v>0</v>
      </c>
      <c r="P53" s="99">
        <v>0</v>
      </c>
      <c r="Q53" s="99">
        <v>0</v>
      </c>
      <c r="R53" s="99">
        <v>0</v>
      </c>
      <c r="S53" s="99">
        <v>0</v>
      </c>
      <c r="T53" s="99">
        <v>0</v>
      </c>
      <c r="U53" s="99">
        <v>0</v>
      </c>
      <c r="V53" s="99">
        <v>0</v>
      </c>
      <c r="W53" s="99">
        <v>0</v>
      </c>
      <c r="X53" s="99">
        <v>0</v>
      </c>
      <c r="Y53" s="99">
        <v>0</v>
      </c>
      <c r="Z53" s="99">
        <v>0</v>
      </c>
      <c r="AA53" s="99">
        <v>0</v>
      </c>
      <c r="AB53" s="99">
        <v>0</v>
      </c>
      <c r="AC53" s="99">
        <v>0</v>
      </c>
      <c r="AD53" s="99">
        <v>0</v>
      </c>
      <c r="AE53" s="99">
        <v>0</v>
      </c>
      <c r="AF53" s="99">
        <v>0</v>
      </c>
      <c r="AG53" s="99">
        <v>0</v>
      </c>
      <c r="AH53" s="99">
        <v>0</v>
      </c>
      <c r="AI53" s="99">
        <v>0</v>
      </c>
      <c r="AJ53" s="99">
        <v>0</v>
      </c>
      <c r="AK53" s="99">
        <v>0</v>
      </c>
      <c r="AL53" s="99">
        <v>0</v>
      </c>
      <c r="AM53" s="99">
        <v>0</v>
      </c>
      <c r="AN53" s="99">
        <v>0</v>
      </c>
      <c r="AO53" s="99">
        <v>0</v>
      </c>
      <c r="AP53" s="99">
        <v>0</v>
      </c>
      <c r="AQ53" s="99">
        <v>0</v>
      </c>
      <c r="AR53" s="99">
        <v>0</v>
      </c>
      <c r="AS53" s="99">
        <v>0</v>
      </c>
      <c r="AT53" s="99">
        <v>0</v>
      </c>
      <c r="AU53" s="99">
        <v>0</v>
      </c>
      <c r="AV53" s="99">
        <v>0</v>
      </c>
      <c r="AW53" s="99">
        <v>0</v>
      </c>
      <c r="AX53" s="99">
        <v>0</v>
      </c>
    </row>
    <row r="55" spans="2:51">
      <c r="B55" s="173" t="s">
        <v>326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>
      <c r="B56" s="104" t="s">
        <v>274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>
      <c r="B57" s="104" t="s">
        <v>325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>
      <c r="B58" s="104" t="s">
        <v>104</v>
      </c>
      <c r="C58" s="99">
        <v>3042296.5158779509</v>
      </c>
      <c r="D58" s="99">
        <v>3042296.5158779509</v>
      </c>
      <c r="E58" s="99">
        <v>3042296.5158779509</v>
      </c>
      <c r="F58" s="99">
        <v>3042296.5158779509</v>
      </c>
      <c r="G58" s="99">
        <v>3481915.5404365202</v>
      </c>
      <c r="H58" s="99">
        <v>3481915.5404365202</v>
      </c>
      <c r="I58" s="99">
        <v>3481915.5404365202</v>
      </c>
      <c r="J58" s="99">
        <v>3481915.5404365202</v>
      </c>
      <c r="K58" s="99">
        <v>3592486.7701238692</v>
      </c>
      <c r="L58" s="99">
        <v>3592486.7701238692</v>
      </c>
      <c r="M58" s="99">
        <v>3592486.7701238692</v>
      </c>
      <c r="N58" s="99">
        <v>3592486.7701238692</v>
      </c>
      <c r="O58" s="99">
        <v>3001916.4146536202</v>
      </c>
      <c r="P58" s="99">
        <v>3001916.4146536202</v>
      </c>
      <c r="Q58" s="99">
        <v>3001916.4146536202</v>
      </c>
      <c r="R58" s="99">
        <v>3001916.4146536202</v>
      </c>
      <c r="S58" s="99">
        <v>3460359.0218537226</v>
      </c>
      <c r="T58" s="99">
        <v>3460359.0218537226</v>
      </c>
      <c r="U58" s="99">
        <v>3460359.0218537226</v>
      </c>
      <c r="V58" s="99">
        <v>3460359.0218537226</v>
      </c>
      <c r="W58" s="99">
        <v>3839432.8116425797</v>
      </c>
      <c r="X58" s="99">
        <v>3839432.8116425797</v>
      </c>
      <c r="Y58" s="99">
        <v>3839432.8116425797</v>
      </c>
      <c r="Z58" s="99">
        <v>3839432.8116425797</v>
      </c>
      <c r="AA58" s="99">
        <v>3514442.1213588854</v>
      </c>
      <c r="AB58" s="99">
        <v>3514442.1213588854</v>
      </c>
      <c r="AC58" s="99">
        <v>3514442.1213588854</v>
      </c>
      <c r="AD58" s="99">
        <v>3514442.1213588854</v>
      </c>
      <c r="AE58" s="99">
        <v>2647710.2722982899</v>
      </c>
      <c r="AF58" s="99">
        <v>2647710.2722982899</v>
      </c>
      <c r="AG58" s="99">
        <v>2647710.2722982899</v>
      </c>
      <c r="AH58" s="99">
        <v>2647710.2722982899</v>
      </c>
      <c r="AI58" s="99">
        <v>3397849.4187880917</v>
      </c>
      <c r="AJ58" s="99">
        <v>3397849.4187880917</v>
      </c>
      <c r="AK58" s="99">
        <v>3397849.4187880917</v>
      </c>
      <c r="AL58" s="99">
        <v>3397849.4187880917</v>
      </c>
      <c r="AM58" s="99">
        <v>3024925.3341326276</v>
      </c>
      <c r="AN58" s="99">
        <v>3024925.3341326276</v>
      </c>
      <c r="AO58" s="99">
        <v>3024925.3341326276</v>
      </c>
      <c r="AP58" s="99">
        <v>3024925.3341326276</v>
      </c>
      <c r="AQ58" s="99">
        <v>3066338.1864250647</v>
      </c>
      <c r="AR58" s="99">
        <v>3066338.1864250647</v>
      </c>
      <c r="AS58" s="99">
        <v>3066338.1864250647</v>
      </c>
      <c r="AT58" s="99">
        <v>3066338.1864250647</v>
      </c>
      <c r="AU58" s="99">
        <v>2911757.377443884</v>
      </c>
      <c r="AV58" s="99">
        <v>2911757.377443884</v>
      </c>
      <c r="AW58" s="99">
        <v>2911757.377443884</v>
      </c>
      <c r="AX58" s="99">
        <v>2911757.377443884</v>
      </c>
    </row>
    <row r="59" spans="2:51">
      <c r="B59" s="104" t="s">
        <v>105</v>
      </c>
      <c r="C59" s="99">
        <v>1.4017141943323109E-2</v>
      </c>
      <c r="D59" s="99">
        <v>1.4017141943323109E-2</v>
      </c>
      <c r="E59" s="99">
        <v>1.4017141943323109E-2</v>
      </c>
      <c r="F59" s="99">
        <v>1.4017141943323109E-2</v>
      </c>
      <c r="G59" s="99">
        <v>1.5044715185829385E-2</v>
      </c>
      <c r="H59" s="99">
        <v>1.5044715185829385E-2</v>
      </c>
      <c r="I59" s="99">
        <v>1.5044715185829385E-2</v>
      </c>
      <c r="J59" s="99">
        <v>1.5044715185829385E-2</v>
      </c>
      <c r="K59" s="99">
        <v>1.52148592426936E-2</v>
      </c>
      <c r="L59" s="99">
        <v>1.52148592426936E-2</v>
      </c>
      <c r="M59" s="99">
        <v>1.52148592426936E-2</v>
      </c>
      <c r="N59" s="99">
        <v>1.52148592426936E-2</v>
      </c>
      <c r="O59" s="99">
        <v>1.5858058574560279E-2</v>
      </c>
      <c r="P59" s="99">
        <v>1.5858058574560279E-2</v>
      </c>
      <c r="Q59" s="99">
        <v>1.5858058574560279E-2</v>
      </c>
      <c r="R59" s="99">
        <v>1.5858058574560279E-2</v>
      </c>
      <c r="S59" s="99">
        <v>1.6543215845547417E-2</v>
      </c>
      <c r="T59" s="99">
        <v>1.6543215845547417E-2</v>
      </c>
      <c r="U59" s="99">
        <v>1.6543215845547417E-2</v>
      </c>
      <c r="V59" s="99">
        <v>1.6543215845547417E-2</v>
      </c>
      <c r="W59" s="99">
        <v>1.5552206279067435E-2</v>
      </c>
      <c r="X59" s="99">
        <v>1.5552206279067435E-2</v>
      </c>
      <c r="Y59" s="99">
        <v>1.5552206279067435E-2</v>
      </c>
      <c r="Z59" s="99">
        <v>1.5552206279067435E-2</v>
      </c>
      <c r="AA59" s="99">
        <v>1.720401542880845E-2</v>
      </c>
      <c r="AB59" s="99">
        <v>1.720401542880845E-2</v>
      </c>
      <c r="AC59" s="99">
        <v>1.720401542880845E-2</v>
      </c>
      <c r="AD59" s="99">
        <v>1.720401542880845E-2</v>
      </c>
      <c r="AE59" s="99">
        <v>1.5129637586108569E-2</v>
      </c>
      <c r="AF59" s="99">
        <v>1.5129637586108569E-2</v>
      </c>
      <c r="AG59" s="99">
        <v>1.5129637586108569E-2</v>
      </c>
      <c r="AH59" s="99">
        <v>1.5129637586108569E-2</v>
      </c>
      <c r="AI59" s="99">
        <v>1.6237761222379635E-2</v>
      </c>
      <c r="AJ59" s="99">
        <v>1.6237761222379635E-2</v>
      </c>
      <c r="AK59" s="99">
        <v>1.6237761222379635E-2</v>
      </c>
      <c r="AL59" s="99">
        <v>1.6237761222379635E-2</v>
      </c>
      <c r="AM59" s="99">
        <v>1.6059521951938563E-2</v>
      </c>
      <c r="AN59" s="99">
        <v>1.6059521951938563E-2</v>
      </c>
      <c r="AO59" s="99">
        <v>1.6059521951938563E-2</v>
      </c>
      <c r="AP59" s="99">
        <v>1.6059521951938563E-2</v>
      </c>
      <c r="AQ59" s="99">
        <v>1.4530675044306671E-2</v>
      </c>
      <c r="AR59" s="99">
        <v>1.4530675044306671E-2</v>
      </c>
      <c r="AS59" s="99">
        <v>1.4530675044306671E-2</v>
      </c>
      <c r="AT59" s="99">
        <v>1.4530675044306671E-2</v>
      </c>
      <c r="AU59" s="99">
        <v>1.5308003363370123E-2</v>
      </c>
      <c r="AV59" s="99">
        <v>1.5308003363370123E-2</v>
      </c>
      <c r="AW59" s="99">
        <v>1.5308003363370123E-2</v>
      </c>
      <c r="AX59" s="99">
        <v>1.5308003363370123E-2</v>
      </c>
    </row>
    <row r="60" spans="2:51">
      <c r="B60" s="104" t="s">
        <v>106</v>
      </c>
      <c r="C60" s="99">
        <v>286037.5517540077</v>
      </c>
      <c r="D60" s="99">
        <v>286037.5517540077</v>
      </c>
      <c r="E60" s="99">
        <v>286037.5517540077</v>
      </c>
      <c r="F60" s="99">
        <v>286037.5517540077</v>
      </c>
      <c r="G60" s="99">
        <v>278865.60419307236</v>
      </c>
      <c r="H60" s="99">
        <v>278865.60419307236</v>
      </c>
      <c r="I60" s="99">
        <v>278865.60419307236</v>
      </c>
      <c r="J60" s="99">
        <v>278865.60419307236</v>
      </c>
      <c r="K60" s="99">
        <v>314926.55532874388</v>
      </c>
      <c r="L60" s="99">
        <v>314926.55532874388</v>
      </c>
      <c r="M60" s="99">
        <v>314926.55532874388</v>
      </c>
      <c r="N60" s="99">
        <v>314926.55532874388</v>
      </c>
      <c r="O60" s="99">
        <v>285228.92345577473</v>
      </c>
      <c r="P60" s="99">
        <v>285228.92345577473</v>
      </c>
      <c r="Q60" s="99">
        <v>285228.92345577473</v>
      </c>
      <c r="R60" s="99">
        <v>285228.92345577473</v>
      </c>
      <c r="S60" s="99">
        <v>271502.70317701739</v>
      </c>
      <c r="T60" s="99">
        <v>271502.70317701739</v>
      </c>
      <c r="U60" s="99">
        <v>271502.70317701739</v>
      </c>
      <c r="V60" s="99">
        <v>271502.70317701739</v>
      </c>
      <c r="W60" s="99">
        <v>268389.67505497491</v>
      </c>
      <c r="X60" s="99">
        <v>268389.67505497491</v>
      </c>
      <c r="Y60" s="99">
        <v>268389.67505497491</v>
      </c>
      <c r="Z60" s="99">
        <v>268389.67505497491</v>
      </c>
      <c r="AA60" s="99">
        <v>266706.77460337977</v>
      </c>
      <c r="AB60" s="99">
        <v>266706.77460337977</v>
      </c>
      <c r="AC60" s="99">
        <v>266706.77460337977</v>
      </c>
      <c r="AD60" s="99">
        <v>266706.77460337977</v>
      </c>
      <c r="AE60" s="99">
        <v>293535.14596266462</v>
      </c>
      <c r="AF60" s="99">
        <v>293535.14596266462</v>
      </c>
      <c r="AG60" s="99">
        <v>293535.14596266462</v>
      </c>
      <c r="AH60" s="99">
        <v>293535.14596266462</v>
      </c>
      <c r="AI60" s="99">
        <v>290045.24861018686</v>
      </c>
      <c r="AJ60" s="99">
        <v>290045.24861018686</v>
      </c>
      <c r="AK60" s="99">
        <v>290045.24861018686</v>
      </c>
      <c r="AL60" s="99">
        <v>290045.24861018686</v>
      </c>
      <c r="AM60" s="99">
        <v>281724.46359434759</v>
      </c>
      <c r="AN60" s="99">
        <v>281724.46359434759</v>
      </c>
      <c r="AO60" s="99">
        <v>281724.46359434759</v>
      </c>
      <c r="AP60" s="99">
        <v>281724.46359434759</v>
      </c>
      <c r="AQ60" s="99">
        <v>275574.30337891023</v>
      </c>
      <c r="AR60" s="99">
        <v>275574.30337891023</v>
      </c>
      <c r="AS60" s="99">
        <v>275574.30337891023</v>
      </c>
      <c r="AT60" s="99">
        <v>275574.30337891023</v>
      </c>
      <c r="AU60" s="99">
        <v>277391.85523928585</v>
      </c>
      <c r="AV60" s="99">
        <v>277391.85523928585</v>
      </c>
      <c r="AW60" s="99">
        <v>277391.85523928585</v>
      </c>
      <c r="AX60" s="99">
        <v>277391.85523928585</v>
      </c>
    </row>
    <row r="61" spans="2:51">
      <c r="B61" s="104" t="s">
        <v>107</v>
      </c>
      <c r="C61" s="99">
        <v>844327.52588708128</v>
      </c>
      <c r="D61" s="99">
        <v>844327.52588708128</v>
      </c>
      <c r="E61" s="99">
        <v>844327.52588708128</v>
      </c>
      <c r="F61" s="99">
        <v>844327.52588708128</v>
      </c>
      <c r="G61" s="99">
        <v>0</v>
      </c>
      <c r="H61" s="99">
        <v>0</v>
      </c>
      <c r="I61" s="99">
        <v>0</v>
      </c>
      <c r="J61" s="99">
        <v>0</v>
      </c>
      <c r="K61" s="99">
        <v>958082.24187690055</v>
      </c>
      <c r="L61" s="99">
        <v>958082.24187690055</v>
      </c>
      <c r="M61" s="99">
        <v>958082.24187690055</v>
      </c>
      <c r="N61" s="99">
        <v>958082.24187690055</v>
      </c>
      <c r="O61" s="99">
        <v>920181.90410266526</v>
      </c>
      <c r="P61" s="99">
        <v>920181.90410266526</v>
      </c>
      <c r="Q61" s="99">
        <v>920181.90410266526</v>
      </c>
      <c r="R61" s="99">
        <v>920181.90410266526</v>
      </c>
      <c r="S61" s="99">
        <v>850023.4446498605</v>
      </c>
      <c r="T61" s="99">
        <v>850023.4446498605</v>
      </c>
      <c r="U61" s="99">
        <v>850023.4446498605</v>
      </c>
      <c r="V61" s="99">
        <v>850023.4446498605</v>
      </c>
      <c r="W61" s="99">
        <v>946795.63928956818</v>
      </c>
      <c r="X61" s="99">
        <v>946795.63928956818</v>
      </c>
      <c r="Y61" s="99">
        <v>946795.63928956818</v>
      </c>
      <c r="Z61" s="99">
        <v>946795.63928956818</v>
      </c>
      <c r="AA61" s="99">
        <v>820800.44771263096</v>
      </c>
      <c r="AB61" s="99">
        <v>820800.44771263096</v>
      </c>
      <c r="AC61" s="99">
        <v>820800.44771263096</v>
      </c>
      <c r="AD61" s="99">
        <v>820800.44771263096</v>
      </c>
      <c r="AE61" s="99">
        <v>840614.72705355054</v>
      </c>
      <c r="AF61" s="99">
        <v>840614.72705355054</v>
      </c>
      <c r="AG61" s="99">
        <v>840614.72705355054</v>
      </c>
      <c r="AH61" s="99">
        <v>840614.72705355054</v>
      </c>
      <c r="AI61" s="99">
        <v>853065.49413787865</v>
      </c>
      <c r="AJ61" s="99">
        <v>853065.49413787865</v>
      </c>
      <c r="AK61" s="99">
        <v>853065.49413787865</v>
      </c>
      <c r="AL61" s="99">
        <v>853065.49413787865</v>
      </c>
      <c r="AM61" s="99">
        <v>808603.56444421434</v>
      </c>
      <c r="AN61" s="99">
        <v>808603.56444421434</v>
      </c>
      <c r="AO61" s="99">
        <v>808603.56444421434</v>
      </c>
      <c r="AP61" s="99">
        <v>808603.56444421434</v>
      </c>
      <c r="AQ61" s="99">
        <v>771076.95127684611</v>
      </c>
      <c r="AR61" s="99">
        <v>771076.95127684611</v>
      </c>
      <c r="AS61" s="99">
        <v>771076.95127684611</v>
      </c>
      <c r="AT61" s="99">
        <v>771076.95127684611</v>
      </c>
      <c r="AU61" s="99">
        <v>852308.31445597834</v>
      </c>
      <c r="AV61" s="99">
        <v>852308.31445597834</v>
      </c>
      <c r="AW61" s="99">
        <v>852308.31445597834</v>
      </c>
      <c r="AX61" s="99">
        <v>852308.31445597834</v>
      </c>
    </row>
    <row r="62" spans="2:51">
      <c r="B62" s="104" t="s">
        <v>108</v>
      </c>
      <c r="C62" s="99">
        <v>0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0</v>
      </c>
      <c r="N62" s="99">
        <v>0</v>
      </c>
      <c r="O62" s="99">
        <v>0</v>
      </c>
      <c r="P62" s="99">
        <v>0</v>
      </c>
      <c r="Q62" s="99">
        <v>0</v>
      </c>
      <c r="R62" s="99">
        <v>0</v>
      </c>
      <c r="S62" s="99">
        <v>0</v>
      </c>
      <c r="T62" s="99">
        <v>0</v>
      </c>
      <c r="U62" s="99">
        <v>0</v>
      </c>
      <c r="V62" s="99">
        <v>0</v>
      </c>
      <c r="W62" s="99">
        <v>0</v>
      </c>
      <c r="X62" s="99">
        <v>0</v>
      </c>
      <c r="Y62" s="99">
        <v>0</v>
      </c>
      <c r="Z62" s="99">
        <v>0</v>
      </c>
      <c r="AA62" s="99">
        <v>0</v>
      </c>
      <c r="AB62" s="99">
        <v>0</v>
      </c>
      <c r="AC62" s="99">
        <v>0</v>
      </c>
      <c r="AD62" s="99">
        <v>0</v>
      </c>
      <c r="AE62" s="99">
        <v>0</v>
      </c>
      <c r="AF62" s="99">
        <v>0</v>
      </c>
      <c r="AG62" s="99">
        <v>0</v>
      </c>
      <c r="AH62" s="99">
        <v>0</v>
      </c>
      <c r="AI62" s="99">
        <v>0</v>
      </c>
      <c r="AJ62" s="99">
        <v>0</v>
      </c>
      <c r="AK62" s="99">
        <v>0</v>
      </c>
      <c r="AL62" s="99">
        <v>0</v>
      </c>
      <c r="AM62" s="99">
        <v>0</v>
      </c>
      <c r="AN62" s="99">
        <v>0</v>
      </c>
      <c r="AO62" s="99">
        <v>0</v>
      </c>
      <c r="AP62" s="99">
        <v>0</v>
      </c>
      <c r="AQ62" s="99">
        <v>0</v>
      </c>
      <c r="AR62" s="99">
        <v>0</v>
      </c>
      <c r="AS62" s="99">
        <v>0</v>
      </c>
      <c r="AT62" s="99">
        <v>0</v>
      </c>
      <c r="AU62" s="99">
        <v>0</v>
      </c>
      <c r="AV62" s="99">
        <v>0</v>
      </c>
      <c r="AW62" s="99">
        <v>0</v>
      </c>
      <c r="AX62" s="99">
        <v>0</v>
      </c>
    </row>
    <row r="63" spans="2:51">
      <c r="B63" s="104" t="s">
        <v>109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</v>
      </c>
      <c r="K63" s="99">
        <v>0</v>
      </c>
      <c r="L63" s="99">
        <v>0</v>
      </c>
      <c r="M63" s="99">
        <v>0</v>
      </c>
      <c r="N63" s="99">
        <v>0</v>
      </c>
      <c r="O63" s="99">
        <v>0</v>
      </c>
      <c r="P63" s="99">
        <v>0</v>
      </c>
      <c r="Q63" s="99">
        <v>0</v>
      </c>
      <c r="R63" s="99">
        <v>0</v>
      </c>
      <c r="S63" s="99">
        <v>0</v>
      </c>
      <c r="T63" s="99">
        <v>0</v>
      </c>
      <c r="U63" s="99">
        <v>0</v>
      </c>
      <c r="V63" s="99">
        <v>0</v>
      </c>
      <c r="W63" s="99">
        <v>0</v>
      </c>
      <c r="X63" s="99">
        <v>0</v>
      </c>
      <c r="Y63" s="99">
        <v>0</v>
      </c>
      <c r="Z63" s="99">
        <v>0</v>
      </c>
      <c r="AA63" s="99">
        <v>0</v>
      </c>
      <c r="AB63" s="99">
        <v>0</v>
      </c>
      <c r="AC63" s="99">
        <v>0</v>
      </c>
      <c r="AD63" s="99">
        <v>0</v>
      </c>
      <c r="AE63" s="99">
        <v>0</v>
      </c>
      <c r="AF63" s="99">
        <v>0</v>
      </c>
      <c r="AG63" s="99">
        <v>0</v>
      </c>
      <c r="AH63" s="99">
        <v>0</v>
      </c>
      <c r="AI63" s="99">
        <v>0</v>
      </c>
      <c r="AJ63" s="99">
        <v>0</v>
      </c>
      <c r="AK63" s="99">
        <v>0</v>
      </c>
      <c r="AL63" s="99">
        <v>0</v>
      </c>
      <c r="AM63" s="99">
        <v>0</v>
      </c>
      <c r="AN63" s="99">
        <v>0</v>
      </c>
      <c r="AO63" s="99">
        <v>0</v>
      </c>
      <c r="AP63" s="99">
        <v>0</v>
      </c>
      <c r="AQ63" s="99">
        <v>0</v>
      </c>
      <c r="AR63" s="99">
        <v>0</v>
      </c>
      <c r="AS63" s="99">
        <v>0</v>
      </c>
      <c r="AT63" s="99">
        <v>0</v>
      </c>
      <c r="AU63" s="99">
        <v>0</v>
      </c>
      <c r="AV63" s="99">
        <v>0</v>
      </c>
      <c r="AW63" s="99">
        <v>0</v>
      </c>
      <c r="AX63" s="99">
        <v>0</v>
      </c>
    </row>
    <row r="64" spans="2:51">
      <c r="B64" s="100"/>
    </row>
    <row r="65" spans="1:14">
      <c r="B65" s="103" t="s">
        <v>327</v>
      </c>
    </row>
    <row r="66" spans="1:14">
      <c r="B66" s="98" t="s">
        <v>328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>
      <c r="B67" s="98" t="s">
        <v>329</v>
      </c>
      <c r="C67" s="99">
        <v>666.66666666666686</v>
      </c>
      <c r="D67" s="99">
        <v>666.66666666666686</v>
      </c>
      <c r="E67" s="99">
        <v>666.66666666666686</v>
      </c>
      <c r="F67" s="99">
        <v>666.66666666666686</v>
      </c>
      <c r="G67" s="99">
        <v>666.66666666666686</v>
      </c>
      <c r="H67" s="99">
        <v>666.66666666666686</v>
      </c>
      <c r="I67" s="99">
        <v>666.66666666666686</v>
      </c>
      <c r="J67" s="99">
        <v>666.66666666666686</v>
      </c>
      <c r="K67" s="99">
        <v>666.66666666666686</v>
      </c>
      <c r="L67" s="99">
        <v>666.66666666666686</v>
      </c>
      <c r="M67" s="99">
        <v>666.66666666666686</v>
      </c>
      <c r="N67" s="99">
        <v>666.66666666666686</v>
      </c>
    </row>
    <row r="68" spans="1:14">
      <c r="B68" s="98" t="s">
        <v>330</v>
      </c>
      <c r="C68" s="99">
        <v>916.66666666666686</v>
      </c>
      <c r="D68" s="99">
        <v>916.66666666666686</v>
      </c>
      <c r="E68" s="99">
        <v>916.66666666666686</v>
      </c>
      <c r="F68" s="99">
        <v>916.66666666666686</v>
      </c>
      <c r="G68" s="99">
        <v>916.66666666666686</v>
      </c>
      <c r="H68" s="99">
        <v>916.66666666666686</v>
      </c>
      <c r="I68" s="99">
        <v>916.66666666666686</v>
      </c>
      <c r="J68" s="99">
        <v>916.66666666666686</v>
      </c>
      <c r="K68" s="99">
        <v>916.66666666666686</v>
      </c>
      <c r="L68" s="99">
        <v>916.66666666666686</v>
      </c>
      <c r="M68" s="99">
        <v>916.66666666666686</v>
      </c>
      <c r="N68" s="99">
        <v>916.66666666666686</v>
      </c>
    </row>
    <row r="70" spans="1:14">
      <c r="B70" s="103" t="s">
        <v>331</v>
      </c>
    </row>
    <row r="71" spans="1:14">
      <c r="A71" s="104" t="s">
        <v>121</v>
      </c>
      <c r="B71" s="104" t="s">
        <v>332</v>
      </c>
      <c r="C71" s="104" t="s">
        <v>22</v>
      </c>
      <c r="D71" s="104" t="s">
        <v>46</v>
      </c>
      <c r="E71" s="104" t="s">
        <v>59</v>
      </c>
    </row>
    <row r="72" spans="1:14">
      <c r="A72" s="104" t="s">
        <v>104</v>
      </c>
      <c r="B72" s="104" t="s">
        <v>92</v>
      </c>
      <c r="C72" s="99">
        <v>0</v>
      </c>
      <c r="D72" s="99">
        <v>0</v>
      </c>
      <c r="E72" s="99">
        <v>230505.00000000006</v>
      </c>
    </row>
    <row r="73" spans="1:14">
      <c r="B73" s="104" t="s">
        <v>93</v>
      </c>
      <c r="C73" s="99">
        <v>0</v>
      </c>
      <c r="D73" s="99">
        <v>0</v>
      </c>
      <c r="E73" s="99">
        <v>230505.00000000006</v>
      </c>
    </row>
    <row r="74" spans="1:14">
      <c r="B74" s="104" t="s">
        <v>94</v>
      </c>
      <c r="C74" s="99">
        <v>0</v>
      </c>
      <c r="D74" s="99">
        <v>0</v>
      </c>
      <c r="E74" s="99">
        <v>230505.00000000006</v>
      </c>
    </row>
    <row r="75" spans="1:14">
      <c r="B75" s="104" t="s">
        <v>95</v>
      </c>
      <c r="C75" s="99">
        <v>0</v>
      </c>
      <c r="D75" s="99">
        <v>0</v>
      </c>
      <c r="E75" s="99">
        <v>230505.00000000006</v>
      </c>
    </row>
    <row r="76" spans="1:14">
      <c r="B76" s="104" t="s">
        <v>96</v>
      </c>
      <c r="C76" s="99">
        <v>0</v>
      </c>
      <c r="D76" s="99">
        <v>0</v>
      </c>
      <c r="E76" s="99">
        <v>230505.00000000006</v>
      </c>
    </row>
    <row r="77" spans="1:14">
      <c r="B77" s="104" t="s">
        <v>97</v>
      </c>
      <c r="C77" s="99">
        <v>0</v>
      </c>
      <c r="D77" s="99">
        <v>0</v>
      </c>
      <c r="E77" s="99">
        <v>230505.00000000006</v>
      </c>
    </row>
    <row r="78" spans="1:14">
      <c r="B78" s="104" t="s">
        <v>98</v>
      </c>
      <c r="C78" s="99">
        <v>0</v>
      </c>
      <c r="D78" s="99">
        <v>0</v>
      </c>
      <c r="E78" s="99">
        <v>230505.00000000006</v>
      </c>
    </row>
    <row r="79" spans="1:14">
      <c r="B79" s="104" t="s">
        <v>99</v>
      </c>
      <c r="C79" s="99">
        <v>0</v>
      </c>
      <c r="D79" s="99">
        <v>0</v>
      </c>
      <c r="E79" s="99">
        <v>230505.00000000006</v>
      </c>
    </row>
    <row r="80" spans="1:14">
      <c r="B80" s="104" t="s">
        <v>100</v>
      </c>
      <c r="C80" s="99">
        <v>0</v>
      </c>
      <c r="D80" s="99">
        <v>0</v>
      </c>
      <c r="E80" s="99">
        <v>230505.00000000006</v>
      </c>
    </row>
    <row r="81" spans="2:50">
      <c r="B81" s="104" t="s">
        <v>101</v>
      </c>
      <c r="C81" s="99">
        <v>0</v>
      </c>
      <c r="D81" s="99">
        <v>0</v>
      </c>
      <c r="E81" s="99">
        <v>230505.00000000006</v>
      </c>
    </row>
    <row r="82" spans="2:50">
      <c r="B82" s="104" t="s">
        <v>102</v>
      </c>
      <c r="C82" s="99">
        <v>0</v>
      </c>
      <c r="D82" s="99">
        <v>0</v>
      </c>
      <c r="E82" s="99">
        <v>230505.00000000006</v>
      </c>
    </row>
    <row r="83" spans="2:50">
      <c r="B83" s="104" t="s">
        <v>103</v>
      </c>
      <c r="C83" s="99">
        <v>0</v>
      </c>
      <c r="D83" s="99">
        <v>0</v>
      </c>
      <c r="E83" s="99">
        <v>230505.00000000006</v>
      </c>
    </row>
    <row r="85" spans="2:50">
      <c r="B85" s="102" t="s">
        <v>333</v>
      </c>
    </row>
    <row r="86" spans="2:50">
      <c r="B86" s="98" t="s">
        <v>274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>
      <c r="B87" s="98" t="s">
        <v>334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>
      <c r="B88" s="98" t="s">
        <v>104</v>
      </c>
      <c r="C88" s="99">
        <f>C48+$C$67/4</f>
        <v>2690.6024972673445</v>
      </c>
      <c r="D88" s="99">
        <f>D48+$C$67/4</f>
        <v>2690.6024972673445</v>
      </c>
      <c r="E88" s="99">
        <f>E48+$C$67/4</f>
        <v>2690.6024972673445</v>
      </c>
      <c r="F88" s="99">
        <f>F48+$C$67/4</f>
        <v>2690.6024972673445</v>
      </c>
      <c r="G88" s="99">
        <f>G48+$D$67/4</f>
        <v>2690.6024972673445</v>
      </c>
      <c r="H88" s="99">
        <f>H48+$D$67/4</f>
        <v>2690.6024972673445</v>
      </c>
      <c r="I88" s="99">
        <f>I48+$D$67/4</f>
        <v>2690.6024972673445</v>
      </c>
      <c r="J88" s="99">
        <f>J48+$D$67/4</f>
        <v>2690.6024972673445</v>
      </c>
      <c r="K88" s="99">
        <f>K48+$E$67/4</f>
        <v>2690.6024972673445</v>
      </c>
      <c r="L88" s="99">
        <f>L48+$E$67/4</f>
        <v>2690.6024972673445</v>
      </c>
      <c r="M88" s="99">
        <f>M48+$E$67/4</f>
        <v>2690.6024972673445</v>
      </c>
      <c r="N88" s="99">
        <f>N48+$E$67/4</f>
        <v>2690.6024972673445</v>
      </c>
      <c r="O88" s="99">
        <f>O48+$F$67/4</f>
        <v>2690.6024972673445</v>
      </c>
      <c r="P88" s="99">
        <f>P48+$F$67/4</f>
        <v>2690.6024972673445</v>
      </c>
      <c r="Q88" s="99">
        <f>Q48+$F$67/4</f>
        <v>2690.6024972673445</v>
      </c>
      <c r="R88" s="99">
        <f>R48+$F$67/4</f>
        <v>2690.6024972673445</v>
      </c>
      <c r="S88" s="99">
        <f>S48+$G$67/4</f>
        <v>2690.6024972673445</v>
      </c>
      <c r="T88" s="99">
        <f>T48+$G$67/4</f>
        <v>2690.6024972673445</v>
      </c>
      <c r="U88" s="99">
        <f>U48+$G$67/4</f>
        <v>2690.6024972673445</v>
      </c>
      <c r="V88" s="99">
        <f>V48+$G$67/4</f>
        <v>2690.6024972673445</v>
      </c>
      <c r="W88" s="99">
        <f>W48+$H$67/4</f>
        <v>2690.6024972673445</v>
      </c>
      <c r="X88" s="99">
        <f>X48+$H$67/4</f>
        <v>2690.6024972673445</v>
      </c>
      <c r="Y88" s="99">
        <f>Y48+$H$67/4</f>
        <v>2690.6024972673445</v>
      </c>
      <c r="Z88" s="99">
        <f>Z48+$H$67/4</f>
        <v>2690.6024972673445</v>
      </c>
      <c r="AA88" s="99">
        <f>AA48+$I$67/4</f>
        <v>2690.6024972673445</v>
      </c>
      <c r="AB88" s="99">
        <f>AB48+$I$67/4</f>
        <v>2690.6024972673445</v>
      </c>
      <c r="AC88" s="99">
        <f>AC48+$I$67/4</f>
        <v>2690.6024972673445</v>
      </c>
      <c r="AD88" s="99">
        <f>AD48+$I$67/4</f>
        <v>2690.6024972673445</v>
      </c>
      <c r="AE88" s="99">
        <f>AE48+$J$67/4</f>
        <v>2690.6024972673445</v>
      </c>
      <c r="AF88" s="99">
        <f>AF48+$J$67/4</f>
        <v>2690.6024972673445</v>
      </c>
      <c r="AG88" s="99">
        <f>AG48+$J$67/4</f>
        <v>2690.6024972673445</v>
      </c>
      <c r="AH88" s="99">
        <f>AH48+$J$67/4</f>
        <v>2690.6024972673445</v>
      </c>
      <c r="AI88" s="99">
        <f>AI48+$K$67/4</f>
        <v>2690.6024972673445</v>
      </c>
      <c r="AJ88" s="99">
        <f>AJ48+$K$67/4</f>
        <v>2690.6024972673445</v>
      </c>
      <c r="AK88" s="99">
        <f>AK48+$K$67/4</f>
        <v>2690.6024972673445</v>
      </c>
      <c r="AL88" s="99">
        <f>AL48+$K$67/4</f>
        <v>2690.6024972673445</v>
      </c>
      <c r="AM88" s="99">
        <f>AM48+$L$67/4</f>
        <v>2690.6024972673445</v>
      </c>
      <c r="AN88" s="99">
        <f>AN48+$L$67/4</f>
        <v>2690.6024972673445</v>
      </c>
      <c r="AO88" s="99">
        <f>AO48+$L$67/4</f>
        <v>2690.6024972673445</v>
      </c>
      <c r="AP88" s="99">
        <f>AP48+$L$67/4</f>
        <v>2690.6024972673445</v>
      </c>
      <c r="AQ88" s="99">
        <f>AQ48+$M$67/4</f>
        <v>2690.6024972673445</v>
      </c>
      <c r="AR88" s="99">
        <f>AR48+$M$67/4</f>
        <v>2690.6024972673445</v>
      </c>
      <c r="AS88" s="99">
        <f>AS48+$M$67/4</f>
        <v>2690.6024972673445</v>
      </c>
      <c r="AT88" s="99">
        <f>AT48+$M$67/4</f>
        <v>2690.6024972673445</v>
      </c>
      <c r="AU88" s="99">
        <f>AU48+$N$67/4</f>
        <v>2690.6024972673445</v>
      </c>
      <c r="AV88" s="99">
        <f>AV48+$N$67/4</f>
        <v>2690.6024972673445</v>
      </c>
      <c r="AW88" s="99">
        <f>AW48+$N$67/4</f>
        <v>2690.6024972673445</v>
      </c>
      <c r="AX88" s="99">
        <f>AX48+$N$67/4</f>
        <v>2690.6024972673445</v>
      </c>
    </row>
    <row r="89" spans="2:50">
      <c r="B89" s="98" t="s">
        <v>105</v>
      </c>
      <c r="C89" s="99">
        <f>C49</f>
        <v>8.9852221214321173E-6</v>
      </c>
      <c r="D89" s="99">
        <f t="shared" ref="D89:AX93" si="3">D49</f>
        <v>8.9852221214321173E-6</v>
      </c>
      <c r="E89" s="99">
        <f t="shared" si="3"/>
        <v>8.9852221214321173E-6</v>
      </c>
      <c r="F89" s="99">
        <f t="shared" si="3"/>
        <v>8.9852221214321173E-6</v>
      </c>
      <c r="G89" s="99">
        <f t="shared" si="3"/>
        <v>1.1231527651790147E-5</v>
      </c>
      <c r="H89" s="99">
        <f t="shared" si="3"/>
        <v>1.1231527651790147E-5</v>
      </c>
      <c r="I89" s="99">
        <f t="shared" si="3"/>
        <v>1.1231527651790147E-5</v>
      </c>
      <c r="J89" s="99">
        <f t="shared" si="3"/>
        <v>1.1231527651790147E-5</v>
      </c>
      <c r="K89" s="99">
        <f t="shared" si="3"/>
        <v>1.1231527651790147E-5</v>
      </c>
      <c r="L89" s="99">
        <f t="shared" si="3"/>
        <v>1.1231527651790147E-5</v>
      </c>
      <c r="M89" s="99">
        <f t="shared" si="3"/>
        <v>1.1231527651790147E-5</v>
      </c>
      <c r="N89" s="99">
        <f t="shared" si="3"/>
        <v>1.1231527651790147E-5</v>
      </c>
      <c r="O89" s="99">
        <f t="shared" si="3"/>
        <v>1.1231527651790147E-5</v>
      </c>
      <c r="P89" s="99">
        <f t="shared" si="3"/>
        <v>1.1231527651790147E-5</v>
      </c>
      <c r="Q89" s="99">
        <f t="shared" si="3"/>
        <v>1.1231527651790147E-5</v>
      </c>
      <c r="R89" s="99">
        <f t="shared" si="3"/>
        <v>1.1231527651790147E-5</v>
      </c>
      <c r="S89" s="99">
        <f t="shared" si="3"/>
        <v>1.1231527651790147E-5</v>
      </c>
      <c r="T89" s="99">
        <f t="shared" si="3"/>
        <v>1.1231527651790147E-5</v>
      </c>
      <c r="U89" s="99">
        <f t="shared" si="3"/>
        <v>1.1231527651790147E-5</v>
      </c>
      <c r="V89" s="99">
        <f t="shared" si="3"/>
        <v>1.1231527651790147E-5</v>
      </c>
      <c r="W89" s="99">
        <f t="shared" si="3"/>
        <v>1.1231527651790147E-5</v>
      </c>
      <c r="X89" s="99">
        <f t="shared" si="3"/>
        <v>1.1231527651790147E-5</v>
      </c>
      <c r="Y89" s="99">
        <f t="shared" si="3"/>
        <v>1.1231527651790147E-5</v>
      </c>
      <c r="Z89" s="99">
        <f t="shared" si="3"/>
        <v>1.1231527651790147E-5</v>
      </c>
      <c r="AA89" s="99">
        <f t="shared" si="3"/>
        <v>1.1231527651790147E-5</v>
      </c>
      <c r="AB89" s="99">
        <f t="shared" si="3"/>
        <v>1.1231527651790147E-5</v>
      </c>
      <c r="AC89" s="99">
        <f t="shared" si="3"/>
        <v>1.1231527651790147E-5</v>
      </c>
      <c r="AD89" s="99">
        <f t="shared" si="3"/>
        <v>1.1231527651790147E-5</v>
      </c>
      <c r="AE89" s="99">
        <f t="shared" si="3"/>
        <v>1.1231527651790147E-5</v>
      </c>
      <c r="AF89" s="99">
        <f t="shared" si="3"/>
        <v>1.1231527651790147E-5</v>
      </c>
      <c r="AG89" s="99">
        <f t="shared" si="3"/>
        <v>1.1231527651790147E-5</v>
      </c>
      <c r="AH89" s="99">
        <f t="shared" si="3"/>
        <v>1.1231527651790147E-5</v>
      </c>
      <c r="AI89" s="99">
        <f t="shared" si="3"/>
        <v>1.1231527651790147E-5</v>
      </c>
      <c r="AJ89" s="99">
        <f t="shared" si="3"/>
        <v>1.1231527651790147E-5</v>
      </c>
      <c r="AK89" s="99">
        <f t="shared" si="3"/>
        <v>1.1231527651790147E-5</v>
      </c>
      <c r="AL89" s="99">
        <f t="shared" si="3"/>
        <v>1.1231527651790147E-5</v>
      </c>
      <c r="AM89" s="99">
        <f t="shared" si="3"/>
        <v>1.1231527651790147E-5</v>
      </c>
      <c r="AN89" s="99">
        <f t="shared" si="3"/>
        <v>1.1231527651790147E-5</v>
      </c>
      <c r="AO89" s="99">
        <f t="shared" si="3"/>
        <v>1.1231527651790147E-5</v>
      </c>
      <c r="AP89" s="99">
        <f t="shared" si="3"/>
        <v>1.1231527651790147E-5</v>
      </c>
      <c r="AQ89" s="99">
        <f t="shared" si="3"/>
        <v>1.1231527651790147E-5</v>
      </c>
      <c r="AR89" s="99">
        <f t="shared" si="3"/>
        <v>1.1231527651790147E-5</v>
      </c>
      <c r="AS89" s="99">
        <f t="shared" si="3"/>
        <v>1.1231527651790147E-5</v>
      </c>
      <c r="AT89" s="99">
        <f t="shared" si="3"/>
        <v>1.1231527651790147E-5</v>
      </c>
      <c r="AU89" s="99">
        <f t="shared" si="3"/>
        <v>1.1231527651790147E-5</v>
      </c>
      <c r="AV89" s="99">
        <f t="shared" si="3"/>
        <v>1.1231527651790147E-5</v>
      </c>
      <c r="AW89" s="99">
        <f t="shared" si="3"/>
        <v>1.1231527651790147E-5</v>
      </c>
      <c r="AX89" s="99">
        <f t="shared" si="3"/>
        <v>1.1231527651790147E-5</v>
      </c>
    </row>
    <row r="90" spans="2:50">
      <c r="B90" s="98" t="s">
        <v>106</v>
      </c>
      <c r="C90" s="99">
        <f t="shared" ref="C90:R93" si="4">C50</f>
        <v>192.48063735372148</v>
      </c>
      <c r="D90" s="99">
        <f t="shared" si="4"/>
        <v>192.48063735372148</v>
      </c>
      <c r="E90" s="99">
        <f t="shared" si="4"/>
        <v>192.48063735372148</v>
      </c>
      <c r="F90" s="99">
        <f t="shared" si="4"/>
        <v>192.48063735372148</v>
      </c>
      <c r="G90" s="99">
        <f t="shared" si="4"/>
        <v>192.48063735372148</v>
      </c>
      <c r="H90" s="99">
        <f t="shared" si="4"/>
        <v>192.48063735372148</v>
      </c>
      <c r="I90" s="99">
        <f t="shared" si="4"/>
        <v>192.48063735372148</v>
      </c>
      <c r="J90" s="99">
        <f t="shared" si="4"/>
        <v>192.48063735372148</v>
      </c>
      <c r="K90" s="99">
        <f t="shared" si="4"/>
        <v>192.48063735372148</v>
      </c>
      <c r="L90" s="99">
        <f t="shared" si="4"/>
        <v>192.48063735372148</v>
      </c>
      <c r="M90" s="99">
        <f t="shared" si="4"/>
        <v>192.48063735372148</v>
      </c>
      <c r="N90" s="99">
        <f t="shared" si="4"/>
        <v>192.48063735372148</v>
      </c>
      <c r="O90" s="99">
        <f t="shared" si="4"/>
        <v>192.48063735372148</v>
      </c>
      <c r="P90" s="99">
        <f t="shared" si="4"/>
        <v>192.48063735372148</v>
      </c>
      <c r="Q90" s="99">
        <f t="shared" si="4"/>
        <v>192.48063735372148</v>
      </c>
      <c r="R90" s="99">
        <f t="shared" si="4"/>
        <v>192.48063735372148</v>
      </c>
      <c r="S90" s="99">
        <f t="shared" si="3"/>
        <v>153.98450988297719</v>
      </c>
      <c r="T90" s="99">
        <f t="shared" si="3"/>
        <v>153.98450988297719</v>
      </c>
      <c r="U90" s="99">
        <f t="shared" si="3"/>
        <v>153.98450988297719</v>
      </c>
      <c r="V90" s="99">
        <f t="shared" si="3"/>
        <v>153.98450988297719</v>
      </c>
      <c r="W90" s="99">
        <f t="shared" si="3"/>
        <v>192.48063735372148</v>
      </c>
      <c r="X90" s="99">
        <f t="shared" si="3"/>
        <v>192.48063735372148</v>
      </c>
      <c r="Y90" s="99">
        <f t="shared" si="3"/>
        <v>192.48063735372148</v>
      </c>
      <c r="Z90" s="99">
        <f t="shared" si="3"/>
        <v>192.48063735372148</v>
      </c>
      <c r="AA90" s="99">
        <f t="shared" si="3"/>
        <v>192.48063735372148</v>
      </c>
      <c r="AB90" s="99">
        <f t="shared" si="3"/>
        <v>192.48063735372148</v>
      </c>
      <c r="AC90" s="99">
        <f t="shared" si="3"/>
        <v>192.48063735372148</v>
      </c>
      <c r="AD90" s="99">
        <f t="shared" si="3"/>
        <v>192.48063735372148</v>
      </c>
      <c r="AE90" s="99">
        <f t="shared" si="3"/>
        <v>192.48063735372148</v>
      </c>
      <c r="AF90" s="99">
        <f t="shared" si="3"/>
        <v>192.48063735372148</v>
      </c>
      <c r="AG90" s="99">
        <f t="shared" si="3"/>
        <v>192.48063735372148</v>
      </c>
      <c r="AH90" s="99">
        <f t="shared" si="3"/>
        <v>192.48063735372148</v>
      </c>
      <c r="AI90" s="99">
        <f t="shared" si="3"/>
        <v>192.48063735372148</v>
      </c>
      <c r="AJ90" s="99">
        <f t="shared" si="3"/>
        <v>192.48063735372148</v>
      </c>
      <c r="AK90" s="99">
        <f t="shared" si="3"/>
        <v>192.48063735372148</v>
      </c>
      <c r="AL90" s="99">
        <f t="shared" si="3"/>
        <v>192.48063735372148</v>
      </c>
      <c r="AM90" s="99">
        <f t="shared" si="3"/>
        <v>192.48063735372148</v>
      </c>
      <c r="AN90" s="99">
        <f t="shared" si="3"/>
        <v>192.48063735372148</v>
      </c>
      <c r="AO90" s="99">
        <f t="shared" si="3"/>
        <v>192.48063735372148</v>
      </c>
      <c r="AP90" s="99">
        <f t="shared" si="3"/>
        <v>192.48063735372148</v>
      </c>
      <c r="AQ90" s="99">
        <f t="shared" si="3"/>
        <v>192.48063735372148</v>
      </c>
      <c r="AR90" s="99">
        <f t="shared" si="3"/>
        <v>192.48063735372148</v>
      </c>
      <c r="AS90" s="99">
        <f t="shared" si="3"/>
        <v>192.48063735372148</v>
      </c>
      <c r="AT90" s="99">
        <f t="shared" si="3"/>
        <v>192.48063735372148</v>
      </c>
      <c r="AU90" s="99">
        <f t="shared" si="3"/>
        <v>192.48063735372148</v>
      </c>
      <c r="AV90" s="99">
        <f t="shared" si="3"/>
        <v>192.48063735372148</v>
      </c>
      <c r="AW90" s="99">
        <f t="shared" si="3"/>
        <v>192.48063735372148</v>
      </c>
      <c r="AX90" s="99">
        <f t="shared" si="3"/>
        <v>192.48063735372148</v>
      </c>
    </row>
    <row r="91" spans="2:50">
      <c r="B91" s="98" t="s">
        <v>107</v>
      </c>
      <c r="C91" s="99">
        <f t="shared" si="4"/>
        <v>599.61100150152959</v>
      </c>
      <c r="D91" s="99">
        <f t="shared" si="3"/>
        <v>599.61100150152959</v>
      </c>
      <c r="E91" s="99">
        <f t="shared" si="3"/>
        <v>599.61100150152959</v>
      </c>
      <c r="F91" s="99">
        <f t="shared" si="3"/>
        <v>599.61100150152959</v>
      </c>
      <c r="G91" s="99">
        <f t="shared" si="3"/>
        <v>0</v>
      </c>
      <c r="H91" s="99">
        <f t="shared" si="3"/>
        <v>0</v>
      </c>
      <c r="I91" s="99">
        <f t="shared" si="3"/>
        <v>0</v>
      </c>
      <c r="J91" s="99">
        <f t="shared" si="3"/>
        <v>0</v>
      </c>
      <c r="K91" s="99">
        <f t="shared" si="3"/>
        <v>599.61100150152959</v>
      </c>
      <c r="L91" s="99">
        <f t="shared" si="3"/>
        <v>599.61100150152959</v>
      </c>
      <c r="M91" s="99">
        <f t="shared" si="3"/>
        <v>599.61100150152959</v>
      </c>
      <c r="N91" s="99">
        <f t="shared" si="3"/>
        <v>599.61100150152959</v>
      </c>
      <c r="O91" s="99">
        <f t="shared" si="3"/>
        <v>599.61100150152959</v>
      </c>
      <c r="P91" s="99">
        <f t="shared" si="3"/>
        <v>599.61100150152959</v>
      </c>
      <c r="Q91" s="99">
        <f t="shared" si="3"/>
        <v>599.61100150152959</v>
      </c>
      <c r="R91" s="99">
        <f t="shared" si="3"/>
        <v>599.61100150152959</v>
      </c>
      <c r="S91" s="99">
        <f t="shared" si="3"/>
        <v>599.61100150152959</v>
      </c>
      <c r="T91" s="99">
        <f t="shared" si="3"/>
        <v>599.61100150152959</v>
      </c>
      <c r="U91" s="99">
        <f t="shared" si="3"/>
        <v>599.61100150152959</v>
      </c>
      <c r="V91" s="99">
        <f t="shared" si="3"/>
        <v>599.61100150152959</v>
      </c>
      <c r="W91" s="99">
        <f t="shared" si="3"/>
        <v>599.61100150152959</v>
      </c>
      <c r="X91" s="99">
        <f t="shared" si="3"/>
        <v>599.61100150152959</v>
      </c>
      <c r="Y91" s="99">
        <f t="shared" si="3"/>
        <v>599.61100150152959</v>
      </c>
      <c r="Z91" s="99">
        <f t="shared" si="3"/>
        <v>599.61100150152959</v>
      </c>
      <c r="AA91" s="99">
        <f t="shared" si="3"/>
        <v>599.61100150152959</v>
      </c>
      <c r="AB91" s="99">
        <f t="shared" si="3"/>
        <v>599.61100150152959</v>
      </c>
      <c r="AC91" s="99">
        <f t="shared" si="3"/>
        <v>599.61100150152959</v>
      </c>
      <c r="AD91" s="99">
        <f t="shared" si="3"/>
        <v>599.61100150152959</v>
      </c>
      <c r="AE91" s="99">
        <f t="shared" si="3"/>
        <v>599.61100150152959</v>
      </c>
      <c r="AF91" s="99">
        <f t="shared" si="3"/>
        <v>599.61100150152959</v>
      </c>
      <c r="AG91" s="99">
        <f t="shared" si="3"/>
        <v>599.61100150152959</v>
      </c>
      <c r="AH91" s="99">
        <f t="shared" si="3"/>
        <v>599.61100150152959</v>
      </c>
      <c r="AI91" s="99">
        <f t="shared" si="3"/>
        <v>599.61100150152959</v>
      </c>
      <c r="AJ91" s="99">
        <f t="shared" si="3"/>
        <v>599.61100150152959</v>
      </c>
      <c r="AK91" s="99">
        <f t="shared" si="3"/>
        <v>599.61100150152959</v>
      </c>
      <c r="AL91" s="99">
        <f t="shared" si="3"/>
        <v>599.61100150152959</v>
      </c>
      <c r="AM91" s="99">
        <f t="shared" si="3"/>
        <v>599.61100150152959</v>
      </c>
      <c r="AN91" s="99">
        <f t="shared" si="3"/>
        <v>599.61100150152959</v>
      </c>
      <c r="AO91" s="99">
        <f t="shared" si="3"/>
        <v>599.61100150152959</v>
      </c>
      <c r="AP91" s="99">
        <f t="shared" si="3"/>
        <v>599.61100150152959</v>
      </c>
      <c r="AQ91" s="99">
        <f t="shared" si="3"/>
        <v>599.61100150152959</v>
      </c>
      <c r="AR91" s="99">
        <f t="shared" si="3"/>
        <v>599.61100150152959</v>
      </c>
      <c r="AS91" s="99">
        <f t="shared" si="3"/>
        <v>599.61100150152959</v>
      </c>
      <c r="AT91" s="99">
        <f t="shared" si="3"/>
        <v>599.61100150152959</v>
      </c>
      <c r="AU91" s="99">
        <f t="shared" si="3"/>
        <v>599.61100150152959</v>
      </c>
      <c r="AV91" s="99">
        <f t="shared" si="3"/>
        <v>599.61100150152959</v>
      </c>
      <c r="AW91" s="99">
        <f t="shared" si="3"/>
        <v>599.61100150152959</v>
      </c>
      <c r="AX91" s="99">
        <f t="shared" si="3"/>
        <v>599.61100150152959</v>
      </c>
    </row>
    <row r="92" spans="2:50">
      <c r="B92" s="98" t="s">
        <v>108</v>
      </c>
      <c r="C92" s="99">
        <f t="shared" si="4"/>
        <v>0</v>
      </c>
      <c r="D92" s="99">
        <f t="shared" si="4"/>
        <v>0</v>
      </c>
      <c r="E92" s="99">
        <f t="shared" si="4"/>
        <v>0</v>
      </c>
      <c r="F92" s="99">
        <f t="shared" si="4"/>
        <v>0</v>
      </c>
      <c r="G92" s="99">
        <f t="shared" si="4"/>
        <v>0</v>
      </c>
      <c r="H92" s="99">
        <f t="shared" si="4"/>
        <v>0</v>
      </c>
      <c r="I92" s="99">
        <f t="shared" si="4"/>
        <v>0</v>
      </c>
      <c r="J92" s="99">
        <f t="shared" si="4"/>
        <v>0</v>
      </c>
      <c r="K92" s="99">
        <f t="shared" si="4"/>
        <v>0</v>
      </c>
      <c r="L92" s="99">
        <f t="shared" si="4"/>
        <v>0</v>
      </c>
      <c r="M92" s="99">
        <f t="shared" si="4"/>
        <v>0</v>
      </c>
      <c r="N92" s="99">
        <f t="shared" si="4"/>
        <v>0</v>
      </c>
      <c r="O92" s="99">
        <f t="shared" si="4"/>
        <v>0</v>
      </c>
      <c r="P92" s="99">
        <f t="shared" si="4"/>
        <v>0</v>
      </c>
      <c r="Q92" s="99">
        <f t="shared" si="4"/>
        <v>0</v>
      </c>
      <c r="R92" s="99">
        <f t="shared" si="4"/>
        <v>0</v>
      </c>
      <c r="S92" s="99">
        <f t="shared" si="3"/>
        <v>0</v>
      </c>
      <c r="T92" s="99">
        <f t="shared" si="3"/>
        <v>0</v>
      </c>
      <c r="U92" s="99">
        <f t="shared" si="3"/>
        <v>0</v>
      </c>
      <c r="V92" s="99">
        <f t="shared" si="3"/>
        <v>0</v>
      </c>
      <c r="W92" s="99">
        <f t="shared" si="3"/>
        <v>0</v>
      </c>
      <c r="X92" s="99">
        <f t="shared" si="3"/>
        <v>0</v>
      </c>
      <c r="Y92" s="99">
        <f t="shared" si="3"/>
        <v>0</v>
      </c>
      <c r="Z92" s="99">
        <f t="shared" si="3"/>
        <v>0</v>
      </c>
      <c r="AA92" s="99">
        <f t="shared" si="3"/>
        <v>0</v>
      </c>
      <c r="AB92" s="99">
        <f t="shared" si="3"/>
        <v>0</v>
      </c>
      <c r="AC92" s="99">
        <f t="shared" si="3"/>
        <v>0</v>
      </c>
      <c r="AD92" s="99">
        <f t="shared" si="3"/>
        <v>0</v>
      </c>
      <c r="AE92" s="99">
        <f t="shared" si="3"/>
        <v>0</v>
      </c>
      <c r="AF92" s="99">
        <f t="shared" si="3"/>
        <v>0</v>
      </c>
      <c r="AG92" s="99">
        <f t="shared" si="3"/>
        <v>0</v>
      </c>
      <c r="AH92" s="99">
        <f t="shared" si="3"/>
        <v>0</v>
      </c>
      <c r="AI92" s="99">
        <f t="shared" si="3"/>
        <v>0</v>
      </c>
      <c r="AJ92" s="99">
        <f t="shared" si="3"/>
        <v>0</v>
      </c>
      <c r="AK92" s="99">
        <f t="shared" si="3"/>
        <v>0</v>
      </c>
      <c r="AL92" s="99">
        <f t="shared" si="3"/>
        <v>0</v>
      </c>
      <c r="AM92" s="99">
        <f t="shared" si="3"/>
        <v>0</v>
      </c>
      <c r="AN92" s="99">
        <f t="shared" si="3"/>
        <v>0</v>
      </c>
      <c r="AO92" s="99">
        <f t="shared" si="3"/>
        <v>0</v>
      </c>
      <c r="AP92" s="99">
        <f t="shared" si="3"/>
        <v>0</v>
      </c>
      <c r="AQ92" s="99">
        <f t="shared" si="3"/>
        <v>0</v>
      </c>
      <c r="AR92" s="99">
        <f t="shared" si="3"/>
        <v>0</v>
      </c>
      <c r="AS92" s="99">
        <f t="shared" si="3"/>
        <v>0</v>
      </c>
      <c r="AT92" s="99">
        <f t="shared" si="3"/>
        <v>0</v>
      </c>
      <c r="AU92" s="99">
        <f t="shared" si="3"/>
        <v>0</v>
      </c>
      <c r="AV92" s="99">
        <f t="shared" si="3"/>
        <v>0</v>
      </c>
      <c r="AW92" s="99">
        <f t="shared" si="3"/>
        <v>0</v>
      </c>
      <c r="AX92" s="99">
        <f t="shared" si="3"/>
        <v>0</v>
      </c>
    </row>
    <row r="93" spans="2:50">
      <c r="B93" s="98" t="s">
        <v>109</v>
      </c>
      <c r="C93" s="99">
        <f t="shared" si="4"/>
        <v>0</v>
      </c>
      <c r="D93" s="99">
        <f t="shared" si="4"/>
        <v>0</v>
      </c>
      <c r="E93" s="99">
        <f t="shared" si="4"/>
        <v>0</v>
      </c>
      <c r="F93" s="99">
        <f t="shared" si="4"/>
        <v>0</v>
      </c>
      <c r="G93" s="99">
        <f t="shared" si="4"/>
        <v>0</v>
      </c>
      <c r="H93" s="99">
        <f t="shared" si="4"/>
        <v>0</v>
      </c>
      <c r="I93" s="99">
        <f t="shared" si="4"/>
        <v>0</v>
      </c>
      <c r="J93" s="99">
        <f t="shared" si="4"/>
        <v>0</v>
      </c>
      <c r="K93" s="99">
        <f t="shared" si="4"/>
        <v>0</v>
      </c>
      <c r="L93" s="99">
        <f t="shared" si="4"/>
        <v>0</v>
      </c>
      <c r="M93" s="99">
        <f t="shared" si="4"/>
        <v>0</v>
      </c>
      <c r="N93" s="99">
        <f t="shared" si="4"/>
        <v>0</v>
      </c>
      <c r="O93" s="99">
        <f t="shared" si="4"/>
        <v>0</v>
      </c>
      <c r="P93" s="99">
        <f t="shared" si="4"/>
        <v>0</v>
      </c>
      <c r="Q93" s="99">
        <f t="shared" si="4"/>
        <v>0</v>
      </c>
      <c r="R93" s="99">
        <f t="shared" si="4"/>
        <v>0</v>
      </c>
      <c r="S93" s="99">
        <f t="shared" si="3"/>
        <v>0</v>
      </c>
      <c r="T93" s="99">
        <f t="shared" si="3"/>
        <v>0</v>
      </c>
      <c r="U93" s="99">
        <f t="shared" si="3"/>
        <v>0</v>
      </c>
      <c r="V93" s="99">
        <f t="shared" si="3"/>
        <v>0</v>
      </c>
      <c r="W93" s="99">
        <f t="shared" si="3"/>
        <v>0</v>
      </c>
      <c r="X93" s="99">
        <f t="shared" si="3"/>
        <v>0</v>
      </c>
      <c r="Y93" s="99">
        <f t="shared" si="3"/>
        <v>0</v>
      </c>
      <c r="Z93" s="99">
        <f t="shared" si="3"/>
        <v>0</v>
      </c>
      <c r="AA93" s="99">
        <f t="shared" si="3"/>
        <v>0</v>
      </c>
      <c r="AB93" s="99">
        <f t="shared" si="3"/>
        <v>0</v>
      </c>
      <c r="AC93" s="99">
        <f t="shared" si="3"/>
        <v>0</v>
      </c>
      <c r="AD93" s="99">
        <f t="shared" si="3"/>
        <v>0</v>
      </c>
      <c r="AE93" s="99">
        <f t="shared" si="3"/>
        <v>0</v>
      </c>
      <c r="AF93" s="99">
        <f t="shared" si="3"/>
        <v>0</v>
      </c>
      <c r="AG93" s="99">
        <f t="shared" si="3"/>
        <v>0</v>
      </c>
      <c r="AH93" s="99">
        <f t="shared" si="3"/>
        <v>0</v>
      </c>
      <c r="AI93" s="99">
        <f t="shared" si="3"/>
        <v>0</v>
      </c>
      <c r="AJ93" s="99">
        <f t="shared" si="3"/>
        <v>0</v>
      </c>
      <c r="AK93" s="99">
        <f t="shared" si="3"/>
        <v>0</v>
      </c>
      <c r="AL93" s="99">
        <f t="shared" si="3"/>
        <v>0</v>
      </c>
      <c r="AM93" s="99">
        <f t="shared" si="3"/>
        <v>0</v>
      </c>
      <c r="AN93" s="99">
        <f t="shared" si="3"/>
        <v>0</v>
      </c>
      <c r="AO93" s="99">
        <f t="shared" si="3"/>
        <v>0</v>
      </c>
      <c r="AP93" s="99">
        <f t="shared" si="3"/>
        <v>0</v>
      </c>
      <c r="AQ93" s="99">
        <f t="shared" si="3"/>
        <v>0</v>
      </c>
      <c r="AR93" s="99">
        <f t="shared" si="3"/>
        <v>0</v>
      </c>
      <c r="AS93" s="99">
        <f t="shared" si="3"/>
        <v>0</v>
      </c>
      <c r="AT93" s="99">
        <f t="shared" si="3"/>
        <v>0</v>
      </c>
      <c r="AU93" s="99">
        <f t="shared" si="3"/>
        <v>0</v>
      </c>
      <c r="AV93" s="99">
        <f t="shared" si="3"/>
        <v>0</v>
      </c>
      <c r="AW93" s="99">
        <f t="shared" si="3"/>
        <v>0</v>
      </c>
      <c r="AX93" s="99">
        <f t="shared" si="3"/>
        <v>0</v>
      </c>
    </row>
    <row r="94" spans="2:50">
      <c r="B94" s="100"/>
    </row>
    <row r="95" spans="2:50">
      <c r="B95" s="173" t="s">
        <v>335</v>
      </c>
    </row>
    <row r="96" spans="2:50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>
      <c r="A97" s="175" t="s">
        <v>121</v>
      </c>
      <c r="B97" s="175" t="s">
        <v>336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>
      <c r="A98" s="104" t="s">
        <v>104</v>
      </c>
      <c r="B98" s="104" t="s">
        <v>5</v>
      </c>
      <c r="C98" s="99">
        <v>0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99">
        <v>0</v>
      </c>
      <c r="L98" s="99">
        <v>0</v>
      </c>
      <c r="M98" s="99">
        <v>0</v>
      </c>
      <c r="N98" s="99">
        <v>0</v>
      </c>
      <c r="O98" s="99">
        <v>0</v>
      </c>
      <c r="P98" s="99">
        <v>0</v>
      </c>
      <c r="Q98" s="99">
        <v>0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0</v>
      </c>
      <c r="Y98" s="99">
        <v>0</v>
      </c>
      <c r="Z98" s="99">
        <v>0</v>
      </c>
      <c r="AA98" s="99">
        <v>0</v>
      </c>
      <c r="AB98" s="99">
        <v>0</v>
      </c>
      <c r="AC98" s="99">
        <v>0</v>
      </c>
      <c r="AD98" s="99">
        <v>0</v>
      </c>
      <c r="AE98" s="99">
        <v>0</v>
      </c>
      <c r="AF98" s="99">
        <v>0</v>
      </c>
      <c r="AG98" s="99">
        <v>0</v>
      </c>
      <c r="AH98" s="99">
        <v>0</v>
      </c>
      <c r="AI98" s="99">
        <v>0</v>
      </c>
      <c r="AJ98" s="99">
        <v>0</v>
      </c>
      <c r="AK98" s="99">
        <v>0</v>
      </c>
      <c r="AL98" s="99">
        <v>0</v>
      </c>
      <c r="AM98" s="99">
        <v>0</v>
      </c>
      <c r="AN98" s="99">
        <v>0</v>
      </c>
      <c r="AO98" s="99">
        <v>0</v>
      </c>
      <c r="AP98" s="99">
        <v>0</v>
      </c>
      <c r="AQ98" s="99">
        <v>0</v>
      </c>
      <c r="AR98" s="99">
        <v>0</v>
      </c>
      <c r="AS98" s="99">
        <v>0</v>
      </c>
      <c r="AT98" s="99">
        <v>0</v>
      </c>
      <c r="AU98" s="99">
        <v>0</v>
      </c>
      <c r="AV98" s="99">
        <v>0</v>
      </c>
      <c r="AW98" s="99">
        <v>0</v>
      </c>
      <c r="AX98" s="99">
        <v>0</v>
      </c>
    </row>
    <row r="99" spans="1:50">
      <c r="B99" s="104" t="s">
        <v>10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0</v>
      </c>
      <c r="N99" s="99">
        <v>0</v>
      </c>
      <c r="O99" s="99">
        <v>0</v>
      </c>
      <c r="P99" s="99">
        <v>0</v>
      </c>
      <c r="Q99" s="99">
        <v>0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0</v>
      </c>
      <c r="AA99" s="99">
        <v>0</v>
      </c>
      <c r="AB99" s="99">
        <v>0</v>
      </c>
      <c r="AC99" s="99">
        <v>0</v>
      </c>
      <c r="AD99" s="99">
        <v>0</v>
      </c>
      <c r="AE99" s="99">
        <v>0</v>
      </c>
      <c r="AF99" s="99">
        <v>0</v>
      </c>
      <c r="AG99" s="99">
        <v>0</v>
      </c>
      <c r="AH99" s="99">
        <v>0</v>
      </c>
      <c r="AI99" s="99">
        <v>0</v>
      </c>
      <c r="AJ99" s="99">
        <v>0</v>
      </c>
      <c r="AK99" s="99">
        <v>0</v>
      </c>
      <c r="AL99" s="99">
        <v>0</v>
      </c>
      <c r="AM99" s="99">
        <v>0</v>
      </c>
      <c r="AN99" s="99">
        <v>0</v>
      </c>
      <c r="AO99" s="99">
        <v>0</v>
      </c>
      <c r="AP99" s="99">
        <v>0</v>
      </c>
      <c r="AQ99" s="99">
        <v>0</v>
      </c>
      <c r="AR99" s="99">
        <v>0</v>
      </c>
      <c r="AS99" s="99">
        <v>0</v>
      </c>
      <c r="AT99" s="99">
        <v>0</v>
      </c>
      <c r="AU99" s="99">
        <v>0</v>
      </c>
      <c r="AV99" s="99">
        <v>0</v>
      </c>
      <c r="AW99" s="99">
        <v>0</v>
      </c>
      <c r="AX99" s="99">
        <v>0</v>
      </c>
    </row>
    <row r="100" spans="1:50">
      <c r="B100" s="104" t="s">
        <v>12</v>
      </c>
      <c r="C100" s="99">
        <v>414539.61344121036</v>
      </c>
      <c r="D100" s="99">
        <v>414539.61344121036</v>
      </c>
      <c r="E100" s="99">
        <v>414539.61344121036</v>
      </c>
      <c r="F100" s="99">
        <v>414539.61344121036</v>
      </c>
      <c r="G100" s="99">
        <v>414539.61344121036</v>
      </c>
      <c r="H100" s="99">
        <v>414539.61344121036</v>
      </c>
      <c r="I100" s="99">
        <v>414539.61344121036</v>
      </c>
      <c r="J100" s="99">
        <v>414539.61344121036</v>
      </c>
      <c r="K100" s="99">
        <v>414539.61344121036</v>
      </c>
      <c r="L100" s="99">
        <v>414539.61344121036</v>
      </c>
      <c r="M100" s="99">
        <v>414539.61344121036</v>
      </c>
      <c r="N100" s="99">
        <v>414539.61344121036</v>
      </c>
      <c r="O100" s="99">
        <v>414539.61344121036</v>
      </c>
      <c r="P100" s="99">
        <v>414539.61344121036</v>
      </c>
      <c r="Q100" s="99">
        <v>414539.61344121036</v>
      </c>
      <c r="R100" s="99">
        <v>414539.61344121036</v>
      </c>
      <c r="S100" s="99">
        <v>414539.61344121036</v>
      </c>
      <c r="T100" s="99">
        <v>414539.61344121036</v>
      </c>
      <c r="U100" s="99">
        <v>414539.61344121036</v>
      </c>
      <c r="V100" s="99">
        <v>414539.61344121036</v>
      </c>
      <c r="W100" s="99">
        <v>414539.61344121036</v>
      </c>
      <c r="X100" s="99">
        <v>414539.61344121036</v>
      </c>
      <c r="Y100" s="99">
        <v>414539.61344121036</v>
      </c>
      <c r="Z100" s="99">
        <v>414539.61344121036</v>
      </c>
      <c r="AA100" s="99">
        <v>414539.61344121036</v>
      </c>
      <c r="AB100" s="99">
        <v>414539.61344121036</v>
      </c>
      <c r="AC100" s="99">
        <v>414539.61344121036</v>
      </c>
      <c r="AD100" s="99">
        <v>414539.61344121036</v>
      </c>
      <c r="AE100" s="99">
        <v>414539.61344121036</v>
      </c>
      <c r="AF100" s="99">
        <v>414539.61344121036</v>
      </c>
      <c r="AG100" s="99">
        <v>414539.61344121036</v>
      </c>
      <c r="AH100" s="99">
        <v>414539.61344121036</v>
      </c>
      <c r="AI100" s="99">
        <v>414539.61344121036</v>
      </c>
      <c r="AJ100" s="99">
        <v>414539.61344121036</v>
      </c>
      <c r="AK100" s="99">
        <v>414539.61344121036</v>
      </c>
      <c r="AL100" s="99">
        <v>414539.61344121036</v>
      </c>
      <c r="AM100" s="99">
        <v>414539.61344121036</v>
      </c>
      <c r="AN100" s="99">
        <v>414539.61344121036</v>
      </c>
      <c r="AO100" s="99">
        <v>414539.61344121036</v>
      </c>
      <c r="AP100" s="99">
        <v>414539.61344121036</v>
      </c>
      <c r="AQ100" s="99">
        <v>414539.61344121036</v>
      </c>
      <c r="AR100" s="99">
        <v>414539.61344121036</v>
      </c>
      <c r="AS100" s="99">
        <v>414539.61344121036</v>
      </c>
      <c r="AT100" s="99">
        <v>414539.61344121036</v>
      </c>
      <c r="AU100" s="99">
        <v>414539.61344121036</v>
      </c>
      <c r="AV100" s="99">
        <v>414539.61344121036</v>
      </c>
      <c r="AW100" s="99">
        <v>414539.61344121036</v>
      </c>
      <c r="AX100" s="99">
        <v>414539.61344121036</v>
      </c>
    </row>
    <row r="101" spans="1:50">
      <c r="B101" s="104" t="s">
        <v>22</v>
      </c>
      <c r="C101" s="99">
        <v>0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0</v>
      </c>
      <c r="K101" s="99">
        <v>0</v>
      </c>
      <c r="L101" s="99">
        <v>0</v>
      </c>
      <c r="M101" s="99">
        <v>0</v>
      </c>
      <c r="N101" s="99">
        <v>0</v>
      </c>
      <c r="O101" s="99">
        <v>0</v>
      </c>
      <c r="P101" s="99">
        <v>0</v>
      </c>
      <c r="Q101" s="99">
        <v>0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0</v>
      </c>
      <c r="Y101" s="99">
        <v>0</v>
      </c>
      <c r="Z101" s="99">
        <v>0</v>
      </c>
      <c r="AA101" s="99">
        <v>0</v>
      </c>
      <c r="AB101" s="99">
        <v>0</v>
      </c>
      <c r="AC101" s="99">
        <v>0</v>
      </c>
      <c r="AD101" s="99">
        <v>0</v>
      </c>
      <c r="AE101" s="99">
        <v>0</v>
      </c>
      <c r="AF101" s="99">
        <v>0</v>
      </c>
      <c r="AG101" s="99">
        <v>0</v>
      </c>
      <c r="AH101" s="99">
        <v>0</v>
      </c>
      <c r="AI101" s="99">
        <v>0</v>
      </c>
      <c r="AJ101" s="99">
        <v>0</v>
      </c>
      <c r="AK101" s="99">
        <v>0</v>
      </c>
      <c r="AL101" s="99">
        <v>0</v>
      </c>
      <c r="AM101" s="99">
        <v>0</v>
      </c>
      <c r="AN101" s="99">
        <v>0</v>
      </c>
      <c r="AO101" s="99">
        <v>0</v>
      </c>
      <c r="AP101" s="99">
        <v>0</v>
      </c>
      <c r="AQ101" s="99">
        <v>0</v>
      </c>
      <c r="AR101" s="99">
        <v>0</v>
      </c>
      <c r="AS101" s="99">
        <v>0</v>
      </c>
      <c r="AT101" s="99">
        <v>0</v>
      </c>
      <c r="AU101" s="99">
        <v>0</v>
      </c>
      <c r="AV101" s="99">
        <v>0</v>
      </c>
      <c r="AW101" s="99">
        <v>0</v>
      </c>
      <c r="AX101" s="99">
        <v>0</v>
      </c>
    </row>
    <row r="102" spans="1:50">
      <c r="B102" s="104" t="s">
        <v>46</v>
      </c>
      <c r="C102" s="99">
        <v>0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</v>
      </c>
      <c r="K102" s="99">
        <v>0</v>
      </c>
      <c r="L102" s="99">
        <v>0</v>
      </c>
      <c r="M102" s="99">
        <v>0</v>
      </c>
      <c r="N102" s="99">
        <v>0</v>
      </c>
      <c r="O102" s="99">
        <v>0</v>
      </c>
      <c r="P102" s="99">
        <v>0</v>
      </c>
      <c r="Q102" s="99">
        <v>0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0</v>
      </c>
      <c r="Y102" s="99">
        <v>0</v>
      </c>
      <c r="Z102" s="99">
        <v>0</v>
      </c>
      <c r="AA102" s="99">
        <v>0</v>
      </c>
      <c r="AB102" s="99">
        <v>0</v>
      </c>
      <c r="AC102" s="99">
        <v>0</v>
      </c>
      <c r="AD102" s="99">
        <v>0</v>
      </c>
      <c r="AE102" s="99">
        <v>0</v>
      </c>
      <c r="AF102" s="99">
        <v>0</v>
      </c>
      <c r="AG102" s="99">
        <v>0</v>
      </c>
      <c r="AH102" s="99">
        <v>0</v>
      </c>
      <c r="AI102" s="99">
        <v>0</v>
      </c>
      <c r="AJ102" s="99">
        <v>0</v>
      </c>
      <c r="AK102" s="99">
        <v>0</v>
      </c>
      <c r="AL102" s="99">
        <v>0</v>
      </c>
      <c r="AM102" s="99">
        <v>0</v>
      </c>
      <c r="AN102" s="99">
        <v>0</v>
      </c>
      <c r="AO102" s="99">
        <v>0</v>
      </c>
      <c r="AP102" s="99">
        <v>0</v>
      </c>
      <c r="AQ102" s="99">
        <v>0</v>
      </c>
      <c r="AR102" s="99">
        <v>0</v>
      </c>
      <c r="AS102" s="99">
        <v>0</v>
      </c>
      <c r="AT102" s="99">
        <v>0</v>
      </c>
      <c r="AU102" s="99">
        <v>0</v>
      </c>
      <c r="AV102" s="99">
        <v>0</v>
      </c>
      <c r="AW102" s="99">
        <v>0</v>
      </c>
      <c r="AX102" s="99">
        <v>0</v>
      </c>
    </row>
    <row r="103" spans="1:50">
      <c r="B103" s="104" t="s">
        <v>59</v>
      </c>
      <c r="C103" s="99">
        <v>268466.26127266255</v>
      </c>
      <c r="D103" s="99">
        <v>268466.26127266255</v>
      </c>
      <c r="E103" s="99">
        <v>268466.26127266255</v>
      </c>
      <c r="F103" s="99">
        <v>268466.26127266255</v>
      </c>
      <c r="G103" s="99">
        <v>268466.26127266255</v>
      </c>
      <c r="H103" s="99">
        <v>268466.26127266255</v>
      </c>
      <c r="I103" s="99">
        <v>268466.26127266255</v>
      </c>
      <c r="J103" s="99">
        <v>268466.26127266255</v>
      </c>
      <c r="K103" s="99">
        <v>268466.26127266255</v>
      </c>
      <c r="L103" s="99">
        <v>268466.26127266255</v>
      </c>
      <c r="M103" s="99">
        <v>268466.26127266255</v>
      </c>
      <c r="N103" s="99">
        <v>268466.26127266255</v>
      </c>
      <c r="O103" s="99">
        <v>268466.26127266255</v>
      </c>
      <c r="P103" s="99">
        <v>268466.26127266255</v>
      </c>
      <c r="Q103" s="99">
        <v>268466.26127266255</v>
      </c>
      <c r="R103" s="99">
        <v>268466.26127266255</v>
      </c>
      <c r="S103" s="99">
        <v>268466.26127266255</v>
      </c>
      <c r="T103" s="99">
        <v>268466.26127266255</v>
      </c>
      <c r="U103" s="99">
        <v>268466.26127266255</v>
      </c>
      <c r="V103" s="99">
        <v>268466.26127266255</v>
      </c>
      <c r="W103" s="99">
        <v>268466.26127266255</v>
      </c>
      <c r="X103" s="99">
        <v>268466.26127266255</v>
      </c>
      <c r="Y103" s="99">
        <v>268466.26127266255</v>
      </c>
      <c r="Z103" s="99">
        <v>268466.26127266255</v>
      </c>
      <c r="AA103" s="99">
        <v>268466.26127266255</v>
      </c>
      <c r="AB103" s="99">
        <v>268466.26127266255</v>
      </c>
      <c r="AC103" s="99">
        <v>268466.26127266255</v>
      </c>
      <c r="AD103" s="99">
        <v>268466.26127266255</v>
      </c>
      <c r="AE103" s="99">
        <v>268466.26127266255</v>
      </c>
      <c r="AF103" s="99">
        <v>268466.26127266255</v>
      </c>
      <c r="AG103" s="99">
        <v>268466.26127266255</v>
      </c>
      <c r="AH103" s="99">
        <v>268466.26127266255</v>
      </c>
      <c r="AI103" s="99">
        <v>268466.26127266255</v>
      </c>
      <c r="AJ103" s="99">
        <v>268466.26127266255</v>
      </c>
      <c r="AK103" s="99">
        <v>268466.26127266255</v>
      </c>
      <c r="AL103" s="99">
        <v>268466.26127266255</v>
      </c>
      <c r="AM103" s="99">
        <v>268466.26127266255</v>
      </c>
      <c r="AN103" s="99">
        <v>268466.26127266255</v>
      </c>
      <c r="AO103" s="99">
        <v>268466.26127266255</v>
      </c>
      <c r="AP103" s="99">
        <v>268466.26127266255</v>
      </c>
      <c r="AQ103" s="99">
        <v>268466.26127266255</v>
      </c>
      <c r="AR103" s="99">
        <v>268466.26127266255</v>
      </c>
      <c r="AS103" s="99">
        <v>268466.26127266255</v>
      </c>
      <c r="AT103" s="99">
        <v>268466.26127266255</v>
      </c>
      <c r="AU103" s="99">
        <v>268466.26127266255</v>
      </c>
      <c r="AV103" s="99">
        <v>268466.26127266255</v>
      </c>
      <c r="AW103" s="99">
        <v>268466.26127266255</v>
      </c>
      <c r="AX103" s="99">
        <v>268466.26127266255</v>
      </c>
    </row>
    <row r="104" spans="1:50">
      <c r="B104" s="99" t="s">
        <v>278</v>
      </c>
      <c r="C104" s="104">
        <f>SUM(C$98:C$103)</f>
        <v>683005.87471387291</v>
      </c>
      <c r="D104" s="104">
        <f t="shared" ref="D104:AX104" si="5">SUM(D$98:D$103)</f>
        <v>683005.87471387291</v>
      </c>
      <c r="E104" s="104">
        <f t="shared" si="5"/>
        <v>683005.87471387291</v>
      </c>
      <c r="F104" s="104">
        <f t="shared" si="5"/>
        <v>683005.87471387291</v>
      </c>
      <c r="G104" s="104">
        <f t="shared" si="5"/>
        <v>683005.87471387291</v>
      </c>
      <c r="H104" s="104">
        <f t="shared" si="5"/>
        <v>683005.87471387291</v>
      </c>
      <c r="I104" s="104">
        <f t="shared" si="5"/>
        <v>683005.87471387291</v>
      </c>
      <c r="J104" s="104">
        <f t="shared" si="5"/>
        <v>683005.87471387291</v>
      </c>
      <c r="K104" s="104">
        <f t="shared" si="5"/>
        <v>683005.87471387291</v>
      </c>
      <c r="L104" s="104">
        <f t="shared" si="5"/>
        <v>683005.87471387291</v>
      </c>
      <c r="M104" s="104">
        <f t="shared" si="5"/>
        <v>683005.87471387291</v>
      </c>
      <c r="N104" s="104">
        <f t="shared" si="5"/>
        <v>683005.87471387291</v>
      </c>
      <c r="O104" s="104">
        <f t="shared" si="5"/>
        <v>683005.87471387291</v>
      </c>
      <c r="P104" s="104">
        <f t="shared" si="5"/>
        <v>683005.87471387291</v>
      </c>
      <c r="Q104" s="104">
        <f t="shared" si="5"/>
        <v>683005.87471387291</v>
      </c>
      <c r="R104" s="104">
        <f t="shared" si="5"/>
        <v>683005.87471387291</v>
      </c>
      <c r="S104" s="104">
        <f t="shared" si="5"/>
        <v>683005.87471387291</v>
      </c>
      <c r="T104" s="104">
        <f t="shared" si="5"/>
        <v>683005.87471387291</v>
      </c>
      <c r="U104" s="104">
        <f t="shared" si="5"/>
        <v>683005.87471387291</v>
      </c>
      <c r="V104" s="104">
        <f t="shared" si="5"/>
        <v>683005.87471387291</v>
      </c>
      <c r="W104" s="104">
        <f t="shared" si="5"/>
        <v>683005.87471387291</v>
      </c>
      <c r="X104" s="104">
        <f t="shared" si="5"/>
        <v>683005.87471387291</v>
      </c>
      <c r="Y104" s="104">
        <f t="shared" si="5"/>
        <v>683005.87471387291</v>
      </c>
      <c r="Z104" s="104">
        <f t="shared" si="5"/>
        <v>683005.87471387291</v>
      </c>
      <c r="AA104" s="104">
        <f t="shared" si="5"/>
        <v>683005.87471387291</v>
      </c>
      <c r="AB104" s="104">
        <f t="shared" si="5"/>
        <v>683005.87471387291</v>
      </c>
      <c r="AC104" s="104">
        <f t="shared" si="5"/>
        <v>683005.87471387291</v>
      </c>
      <c r="AD104" s="104">
        <f t="shared" si="5"/>
        <v>683005.87471387291</v>
      </c>
      <c r="AE104" s="104">
        <f t="shared" si="5"/>
        <v>683005.87471387291</v>
      </c>
      <c r="AF104" s="104">
        <f t="shared" si="5"/>
        <v>683005.87471387291</v>
      </c>
      <c r="AG104" s="104">
        <f t="shared" si="5"/>
        <v>683005.87471387291</v>
      </c>
      <c r="AH104" s="104">
        <f t="shared" si="5"/>
        <v>683005.87471387291</v>
      </c>
      <c r="AI104" s="104">
        <f t="shared" si="5"/>
        <v>683005.87471387291</v>
      </c>
      <c r="AJ104" s="104">
        <f t="shared" si="5"/>
        <v>683005.87471387291</v>
      </c>
      <c r="AK104" s="104">
        <f t="shared" si="5"/>
        <v>683005.87471387291</v>
      </c>
      <c r="AL104" s="104">
        <f t="shared" si="5"/>
        <v>683005.87471387291</v>
      </c>
      <c r="AM104" s="104">
        <f t="shared" si="5"/>
        <v>683005.87471387291</v>
      </c>
      <c r="AN104" s="104">
        <f t="shared" si="5"/>
        <v>683005.87471387291</v>
      </c>
      <c r="AO104" s="104">
        <f t="shared" si="5"/>
        <v>683005.87471387291</v>
      </c>
      <c r="AP104" s="104">
        <f t="shared" si="5"/>
        <v>683005.87471387291</v>
      </c>
      <c r="AQ104" s="104">
        <f t="shared" si="5"/>
        <v>683005.87471387291</v>
      </c>
      <c r="AR104" s="104">
        <f t="shared" si="5"/>
        <v>683005.87471387291</v>
      </c>
      <c r="AS104" s="104">
        <f t="shared" si="5"/>
        <v>683005.87471387291</v>
      </c>
      <c r="AT104" s="104">
        <f t="shared" si="5"/>
        <v>683005.87471387291</v>
      </c>
      <c r="AU104" s="104">
        <f t="shared" si="5"/>
        <v>683005.87471387291</v>
      </c>
      <c r="AV104" s="104">
        <f t="shared" si="5"/>
        <v>683005.87471387291</v>
      </c>
      <c r="AW104" s="104">
        <f t="shared" si="5"/>
        <v>683005.87471387291</v>
      </c>
      <c r="AX104" s="104">
        <f t="shared" si="5"/>
        <v>683005.87471387291</v>
      </c>
    </row>
    <row r="105" spans="1:50">
      <c r="A105" s="104" t="s">
        <v>105</v>
      </c>
      <c r="B105" s="104" t="s">
        <v>5</v>
      </c>
      <c r="C105" s="99">
        <v>0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0</v>
      </c>
      <c r="K105" s="99">
        <v>0</v>
      </c>
      <c r="L105" s="99">
        <v>0</v>
      </c>
      <c r="M105" s="99">
        <v>0</v>
      </c>
      <c r="N105" s="99">
        <v>0</v>
      </c>
      <c r="O105" s="99">
        <v>0</v>
      </c>
      <c r="P105" s="99">
        <v>0</v>
      </c>
      <c r="Q105" s="99">
        <v>0</v>
      </c>
      <c r="R105" s="99">
        <v>0</v>
      </c>
      <c r="S105" s="99">
        <v>0</v>
      </c>
      <c r="T105" s="99">
        <v>0</v>
      </c>
      <c r="U105" s="99">
        <v>0</v>
      </c>
      <c r="V105" s="99">
        <v>0</v>
      </c>
      <c r="W105" s="99">
        <v>0</v>
      </c>
      <c r="X105" s="99">
        <v>0</v>
      </c>
      <c r="Y105" s="99">
        <v>0</v>
      </c>
      <c r="Z105" s="99">
        <v>0</v>
      </c>
      <c r="AA105" s="99">
        <v>0</v>
      </c>
      <c r="AB105" s="99">
        <v>0</v>
      </c>
      <c r="AC105" s="99">
        <v>0</v>
      </c>
      <c r="AD105" s="99">
        <v>0</v>
      </c>
      <c r="AE105" s="99">
        <v>0</v>
      </c>
      <c r="AF105" s="99">
        <v>0</v>
      </c>
      <c r="AG105" s="99">
        <v>0</v>
      </c>
      <c r="AH105" s="99">
        <v>0</v>
      </c>
      <c r="AI105" s="99">
        <v>0</v>
      </c>
      <c r="AJ105" s="99">
        <v>0</v>
      </c>
      <c r="AK105" s="99">
        <v>0</v>
      </c>
      <c r="AL105" s="99">
        <v>0</v>
      </c>
      <c r="AM105" s="99">
        <v>0</v>
      </c>
      <c r="AN105" s="99">
        <v>0</v>
      </c>
      <c r="AO105" s="99">
        <v>0</v>
      </c>
      <c r="AP105" s="99">
        <v>0</v>
      </c>
      <c r="AQ105" s="99">
        <v>0</v>
      </c>
      <c r="AR105" s="99">
        <v>0</v>
      </c>
      <c r="AS105" s="99">
        <v>0</v>
      </c>
      <c r="AT105" s="99">
        <v>0</v>
      </c>
      <c r="AU105" s="99">
        <v>0</v>
      </c>
      <c r="AV105" s="99">
        <v>0</v>
      </c>
      <c r="AW105" s="99">
        <v>0</v>
      </c>
      <c r="AX105" s="99">
        <v>0</v>
      </c>
    </row>
    <row r="106" spans="1:50">
      <c r="B106" s="104" t="s">
        <v>10</v>
      </c>
      <c r="C106" s="99">
        <v>0</v>
      </c>
      <c r="D106" s="99">
        <v>0</v>
      </c>
      <c r="E106" s="99">
        <v>0</v>
      </c>
      <c r="F106" s="99">
        <v>0</v>
      </c>
      <c r="G106" s="99">
        <v>0</v>
      </c>
      <c r="H106" s="99">
        <v>0</v>
      </c>
      <c r="I106" s="99">
        <v>0</v>
      </c>
      <c r="J106" s="99">
        <v>0</v>
      </c>
      <c r="K106" s="99">
        <v>0</v>
      </c>
      <c r="L106" s="99">
        <v>0</v>
      </c>
      <c r="M106" s="99">
        <v>0</v>
      </c>
      <c r="N106" s="99">
        <v>0</v>
      </c>
      <c r="O106" s="99">
        <v>0</v>
      </c>
      <c r="P106" s="99">
        <v>0</v>
      </c>
      <c r="Q106" s="99">
        <v>0</v>
      </c>
      <c r="R106" s="99">
        <v>0</v>
      </c>
      <c r="S106" s="99">
        <v>0</v>
      </c>
      <c r="T106" s="99">
        <v>0</v>
      </c>
      <c r="U106" s="99">
        <v>0</v>
      </c>
      <c r="V106" s="99">
        <v>0</v>
      </c>
      <c r="W106" s="99">
        <v>0</v>
      </c>
      <c r="X106" s="99">
        <v>0</v>
      </c>
      <c r="Y106" s="99">
        <v>0</v>
      </c>
      <c r="Z106" s="99">
        <v>0</v>
      </c>
      <c r="AA106" s="99">
        <v>0</v>
      </c>
      <c r="AB106" s="99">
        <v>0</v>
      </c>
      <c r="AC106" s="99">
        <v>0</v>
      </c>
      <c r="AD106" s="99">
        <v>0</v>
      </c>
      <c r="AE106" s="99">
        <v>0</v>
      </c>
      <c r="AF106" s="99">
        <v>0</v>
      </c>
      <c r="AG106" s="99">
        <v>0</v>
      </c>
      <c r="AH106" s="99">
        <v>0</v>
      </c>
      <c r="AI106" s="99">
        <v>0</v>
      </c>
      <c r="AJ106" s="99">
        <v>0</v>
      </c>
      <c r="AK106" s="99">
        <v>0</v>
      </c>
      <c r="AL106" s="99">
        <v>0</v>
      </c>
      <c r="AM106" s="99">
        <v>0</v>
      </c>
      <c r="AN106" s="99">
        <v>0</v>
      </c>
      <c r="AO106" s="99">
        <v>0</v>
      </c>
      <c r="AP106" s="99">
        <v>0</v>
      </c>
      <c r="AQ106" s="99">
        <v>0</v>
      </c>
      <c r="AR106" s="99">
        <v>0</v>
      </c>
      <c r="AS106" s="99">
        <v>0</v>
      </c>
      <c r="AT106" s="99">
        <v>0</v>
      </c>
      <c r="AU106" s="99">
        <v>0</v>
      </c>
      <c r="AV106" s="99">
        <v>0</v>
      </c>
      <c r="AW106" s="99">
        <v>0</v>
      </c>
      <c r="AX106" s="99">
        <v>0</v>
      </c>
    </row>
    <row r="107" spans="1:50">
      <c r="B107" s="104" t="s">
        <v>12</v>
      </c>
      <c r="C107" s="99">
        <v>4.329080018105994E-3</v>
      </c>
      <c r="D107" s="99">
        <v>4.329080018105994E-3</v>
      </c>
      <c r="E107" s="99">
        <v>4.329080018105994E-3</v>
      </c>
      <c r="F107" s="99">
        <v>4.329080018105994E-3</v>
      </c>
      <c r="G107" s="99">
        <v>5.4113500226324928E-3</v>
      </c>
      <c r="H107" s="99">
        <v>5.4113500226324928E-3</v>
      </c>
      <c r="I107" s="99">
        <v>5.4113500226324928E-3</v>
      </c>
      <c r="J107" s="99">
        <v>5.4113500226324928E-3</v>
      </c>
      <c r="K107" s="99">
        <v>5.4113500226324928E-3</v>
      </c>
      <c r="L107" s="99">
        <v>5.4113500226324928E-3</v>
      </c>
      <c r="M107" s="99">
        <v>5.4113500226324928E-3</v>
      </c>
      <c r="N107" s="99">
        <v>5.4113500226324928E-3</v>
      </c>
      <c r="O107" s="99">
        <v>5.4113500226324928E-3</v>
      </c>
      <c r="P107" s="99">
        <v>5.4113500226324928E-3</v>
      </c>
      <c r="Q107" s="99">
        <v>5.4113500226324928E-3</v>
      </c>
      <c r="R107" s="99">
        <v>5.4113500226324928E-3</v>
      </c>
      <c r="S107" s="99">
        <v>5.4113500226324928E-3</v>
      </c>
      <c r="T107" s="99">
        <v>5.4113500226324928E-3</v>
      </c>
      <c r="U107" s="99">
        <v>5.4113500226324928E-3</v>
      </c>
      <c r="V107" s="99">
        <v>5.4113500226324928E-3</v>
      </c>
      <c r="W107" s="99">
        <v>5.4113500226324928E-3</v>
      </c>
      <c r="X107" s="99">
        <v>5.4113500226324928E-3</v>
      </c>
      <c r="Y107" s="99">
        <v>5.4113500226324928E-3</v>
      </c>
      <c r="Z107" s="99">
        <v>5.4113500226324928E-3</v>
      </c>
      <c r="AA107" s="99">
        <v>5.4113500226324928E-3</v>
      </c>
      <c r="AB107" s="99">
        <v>5.4113500226324928E-3</v>
      </c>
      <c r="AC107" s="99">
        <v>5.4113500226324928E-3</v>
      </c>
      <c r="AD107" s="99">
        <v>5.4113500226324928E-3</v>
      </c>
      <c r="AE107" s="99">
        <v>5.4113500226324928E-3</v>
      </c>
      <c r="AF107" s="99">
        <v>5.4113500226324928E-3</v>
      </c>
      <c r="AG107" s="99">
        <v>5.4113500226324928E-3</v>
      </c>
      <c r="AH107" s="99">
        <v>5.4113500226324928E-3</v>
      </c>
      <c r="AI107" s="99">
        <v>5.4113500226324928E-3</v>
      </c>
      <c r="AJ107" s="99">
        <v>5.4113500226324928E-3</v>
      </c>
      <c r="AK107" s="99">
        <v>5.4113500226324928E-3</v>
      </c>
      <c r="AL107" s="99">
        <v>5.4113500226324928E-3</v>
      </c>
      <c r="AM107" s="99">
        <v>5.4113500226324928E-3</v>
      </c>
      <c r="AN107" s="99">
        <v>5.4113500226324928E-3</v>
      </c>
      <c r="AO107" s="99">
        <v>5.4113500226324928E-3</v>
      </c>
      <c r="AP107" s="99">
        <v>5.4113500226324928E-3</v>
      </c>
      <c r="AQ107" s="99">
        <v>5.4113500226324928E-3</v>
      </c>
      <c r="AR107" s="99">
        <v>5.4113500226324928E-3</v>
      </c>
      <c r="AS107" s="99">
        <v>5.4113500226324928E-3</v>
      </c>
      <c r="AT107" s="99">
        <v>5.4113500226324928E-3</v>
      </c>
      <c r="AU107" s="99">
        <v>5.4113500226324928E-3</v>
      </c>
      <c r="AV107" s="99">
        <v>5.4113500226324928E-3</v>
      </c>
      <c r="AW107" s="99">
        <v>5.4113500226324928E-3</v>
      </c>
      <c r="AX107" s="99">
        <v>5.4113500226324928E-3</v>
      </c>
    </row>
    <row r="108" spans="1:50">
      <c r="B108" s="104" t="s">
        <v>22</v>
      </c>
      <c r="C108" s="99">
        <v>0</v>
      </c>
      <c r="D108" s="99">
        <v>0</v>
      </c>
      <c r="E108" s="99">
        <v>0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9">
        <v>0</v>
      </c>
      <c r="O108" s="99">
        <v>0</v>
      </c>
      <c r="P108" s="99">
        <v>0</v>
      </c>
      <c r="Q108" s="99">
        <v>0</v>
      </c>
      <c r="R108" s="99">
        <v>0</v>
      </c>
      <c r="S108" s="99">
        <v>0</v>
      </c>
      <c r="T108" s="99">
        <v>0</v>
      </c>
      <c r="U108" s="99">
        <v>0</v>
      </c>
      <c r="V108" s="99">
        <v>0</v>
      </c>
      <c r="W108" s="99">
        <v>0</v>
      </c>
      <c r="X108" s="99">
        <v>0</v>
      </c>
      <c r="Y108" s="99">
        <v>0</v>
      </c>
      <c r="Z108" s="99">
        <v>0</v>
      </c>
      <c r="AA108" s="99">
        <v>0</v>
      </c>
      <c r="AB108" s="99">
        <v>0</v>
      </c>
      <c r="AC108" s="99">
        <v>0</v>
      </c>
      <c r="AD108" s="99">
        <v>0</v>
      </c>
      <c r="AE108" s="99">
        <v>0</v>
      </c>
      <c r="AF108" s="99">
        <v>0</v>
      </c>
      <c r="AG108" s="99">
        <v>0</v>
      </c>
      <c r="AH108" s="99">
        <v>0</v>
      </c>
      <c r="AI108" s="99">
        <v>0</v>
      </c>
      <c r="AJ108" s="99">
        <v>0</v>
      </c>
      <c r="AK108" s="99">
        <v>0</v>
      </c>
      <c r="AL108" s="99">
        <v>0</v>
      </c>
      <c r="AM108" s="99">
        <v>0</v>
      </c>
      <c r="AN108" s="99">
        <v>0</v>
      </c>
      <c r="AO108" s="99">
        <v>0</v>
      </c>
      <c r="AP108" s="99">
        <v>0</v>
      </c>
      <c r="AQ108" s="99">
        <v>0</v>
      </c>
      <c r="AR108" s="99">
        <v>0</v>
      </c>
      <c r="AS108" s="99">
        <v>0</v>
      </c>
      <c r="AT108" s="99">
        <v>0</v>
      </c>
      <c r="AU108" s="99">
        <v>0</v>
      </c>
      <c r="AV108" s="99">
        <v>0</v>
      </c>
      <c r="AW108" s="99">
        <v>0</v>
      </c>
      <c r="AX108" s="99">
        <v>0</v>
      </c>
    </row>
    <row r="109" spans="1:50">
      <c r="B109" s="104" t="s">
        <v>46</v>
      </c>
      <c r="C109" s="99">
        <v>0</v>
      </c>
      <c r="D109" s="99">
        <v>0</v>
      </c>
      <c r="E109" s="99">
        <v>0</v>
      </c>
      <c r="F109" s="99">
        <v>0</v>
      </c>
      <c r="G109" s="99">
        <v>0</v>
      </c>
      <c r="H109" s="99">
        <v>0</v>
      </c>
      <c r="I109" s="99">
        <v>0</v>
      </c>
      <c r="J109" s="99">
        <v>0</v>
      </c>
      <c r="K109" s="99">
        <v>0</v>
      </c>
      <c r="L109" s="99">
        <v>0</v>
      </c>
      <c r="M109" s="99">
        <v>0</v>
      </c>
      <c r="N109" s="99">
        <v>0</v>
      </c>
      <c r="O109" s="99">
        <v>0</v>
      </c>
      <c r="P109" s="99">
        <v>0</v>
      </c>
      <c r="Q109" s="99">
        <v>0</v>
      </c>
      <c r="R109" s="99">
        <v>0</v>
      </c>
      <c r="S109" s="99">
        <v>0</v>
      </c>
      <c r="T109" s="99">
        <v>0</v>
      </c>
      <c r="U109" s="99">
        <v>0</v>
      </c>
      <c r="V109" s="99">
        <v>0</v>
      </c>
      <c r="W109" s="99">
        <v>0</v>
      </c>
      <c r="X109" s="99">
        <v>0</v>
      </c>
      <c r="Y109" s="99">
        <v>0</v>
      </c>
      <c r="Z109" s="99">
        <v>0</v>
      </c>
      <c r="AA109" s="99">
        <v>0</v>
      </c>
      <c r="AB109" s="99">
        <v>0</v>
      </c>
      <c r="AC109" s="99">
        <v>0</v>
      </c>
      <c r="AD109" s="99">
        <v>0</v>
      </c>
      <c r="AE109" s="99">
        <v>0</v>
      </c>
      <c r="AF109" s="99">
        <v>0</v>
      </c>
      <c r="AG109" s="99">
        <v>0</v>
      </c>
      <c r="AH109" s="99">
        <v>0</v>
      </c>
      <c r="AI109" s="99">
        <v>0</v>
      </c>
      <c r="AJ109" s="99">
        <v>0</v>
      </c>
      <c r="AK109" s="99">
        <v>0</v>
      </c>
      <c r="AL109" s="99">
        <v>0</v>
      </c>
      <c r="AM109" s="99">
        <v>0</v>
      </c>
      <c r="AN109" s="99">
        <v>0</v>
      </c>
      <c r="AO109" s="99">
        <v>0</v>
      </c>
      <c r="AP109" s="99">
        <v>0</v>
      </c>
      <c r="AQ109" s="99">
        <v>0</v>
      </c>
      <c r="AR109" s="99">
        <v>0</v>
      </c>
      <c r="AS109" s="99">
        <v>0</v>
      </c>
      <c r="AT109" s="99">
        <v>0</v>
      </c>
      <c r="AU109" s="99">
        <v>0</v>
      </c>
      <c r="AV109" s="99">
        <v>0</v>
      </c>
      <c r="AW109" s="99">
        <v>0</v>
      </c>
      <c r="AX109" s="99">
        <v>0</v>
      </c>
    </row>
    <row r="110" spans="1:50">
      <c r="B110" s="104" t="s">
        <v>59</v>
      </c>
      <c r="C110" s="99">
        <v>0</v>
      </c>
      <c r="D110" s="99">
        <v>0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9">
        <v>0</v>
      </c>
      <c r="O110" s="99">
        <v>0</v>
      </c>
      <c r="P110" s="99">
        <v>0</v>
      </c>
      <c r="Q110" s="99">
        <v>0</v>
      </c>
      <c r="R110" s="99">
        <v>0</v>
      </c>
      <c r="S110" s="99">
        <v>0</v>
      </c>
      <c r="T110" s="99">
        <v>0</v>
      </c>
      <c r="U110" s="99">
        <v>0</v>
      </c>
      <c r="V110" s="99">
        <v>0</v>
      </c>
      <c r="W110" s="99">
        <v>0</v>
      </c>
      <c r="X110" s="99">
        <v>0</v>
      </c>
      <c r="Y110" s="99">
        <v>0</v>
      </c>
      <c r="Z110" s="99">
        <v>0</v>
      </c>
      <c r="AA110" s="99">
        <v>0</v>
      </c>
      <c r="AB110" s="99">
        <v>0</v>
      </c>
      <c r="AC110" s="99">
        <v>0</v>
      </c>
      <c r="AD110" s="99">
        <v>0</v>
      </c>
      <c r="AE110" s="99">
        <v>0</v>
      </c>
      <c r="AF110" s="99">
        <v>0</v>
      </c>
      <c r="AG110" s="99">
        <v>0</v>
      </c>
      <c r="AH110" s="99">
        <v>0</v>
      </c>
      <c r="AI110" s="99">
        <v>0</v>
      </c>
      <c r="AJ110" s="99">
        <v>0</v>
      </c>
      <c r="AK110" s="99">
        <v>0</v>
      </c>
      <c r="AL110" s="99">
        <v>0</v>
      </c>
      <c r="AM110" s="99">
        <v>0</v>
      </c>
      <c r="AN110" s="99">
        <v>0</v>
      </c>
      <c r="AO110" s="99">
        <v>0</v>
      </c>
      <c r="AP110" s="99">
        <v>0</v>
      </c>
      <c r="AQ110" s="99">
        <v>0</v>
      </c>
      <c r="AR110" s="99">
        <v>0</v>
      </c>
      <c r="AS110" s="99">
        <v>0</v>
      </c>
      <c r="AT110" s="99">
        <v>0</v>
      </c>
      <c r="AU110" s="99">
        <v>0</v>
      </c>
      <c r="AV110" s="99">
        <v>0</v>
      </c>
      <c r="AW110" s="99">
        <v>0</v>
      </c>
      <c r="AX110" s="99">
        <v>0</v>
      </c>
    </row>
    <row r="111" spans="1:50">
      <c r="B111" s="100" t="s">
        <v>278</v>
      </c>
      <c r="C111" s="104">
        <f>SUM(C$105:C$110)</f>
        <v>4.329080018105994E-3</v>
      </c>
      <c r="D111" s="104">
        <f t="shared" ref="D111:AX111" si="6">SUM(D$105:D$110)</f>
        <v>4.329080018105994E-3</v>
      </c>
      <c r="E111" s="104">
        <f t="shared" si="6"/>
        <v>4.329080018105994E-3</v>
      </c>
      <c r="F111" s="104">
        <f t="shared" si="6"/>
        <v>4.329080018105994E-3</v>
      </c>
      <c r="G111" s="104">
        <f t="shared" si="6"/>
        <v>5.4113500226324928E-3</v>
      </c>
      <c r="H111" s="104">
        <f t="shared" si="6"/>
        <v>5.4113500226324928E-3</v>
      </c>
      <c r="I111" s="104">
        <f t="shared" si="6"/>
        <v>5.4113500226324928E-3</v>
      </c>
      <c r="J111" s="104">
        <f t="shared" si="6"/>
        <v>5.4113500226324928E-3</v>
      </c>
      <c r="K111" s="104">
        <f t="shared" si="6"/>
        <v>5.4113500226324928E-3</v>
      </c>
      <c r="L111" s="104">
        <f t="shared" si="6"/>
        <v>5.4113500226324928E-3</v>
      </c>
      <c r="M111" s="104">
        <f t="shared" si="6"/>
        <v>5.4113500226324928E-3</v>
      </c>
      <c r="N111" s="104">
        <f t="shared" si="6"/>
        <v>5.4113500226324928E-3</v>
      </c>
      <c r="O111" s="104">
        <f t="shared" si="6"/>
        <v>5.4113500226324928E-3</v>
      </c>
      <c r="P111" s="104">
        <f t="shared" si="6"/>
        <v>5.4113500226324928E-3</v>
      </c>
      <c r="Q111" s="104">
        <f t="shared" si="6"/>
        <v>5.4113500226324928E-3</v>
      </c>
      <c r="R111" s="104">
        <f t="shared" si="6"/>
        <v>5.4113500226324928E-3</v>
      </c>
      <c r="S111" s="104">
        <f t="shared" si="6"/>
        <v>5.4113500226324928E-3</v>
      </c>
      <c r="T111" s="104">
        <f t="shared" si="6"/>
        <v>5.4113500226324928E-3</v>
      </c>
      <c r="U111" s="104">
        <f t="shared" si="6"/>
        <v>5.4113500226324928E-3</v>
      </c>
      <c r="V111" s="104">
        <f t="shared" si="6"/>
        <v>5.4113500226324928E-3</v>
      </c>
      <c r="W111" s="104">
        <f t="shared" si="6"/>
        <v>5.4113500226324928E-3</v>
      </c>
      <c r="X111" s="104">
        <f t="shared" si="6"/>
        <v>5.4113500226324928E-3</v>
      </c>
      <c r="Y111" s="104">
        <f t="shared" si="6"/>
        <v>5.4113500226324928E-3</v>
      </c>
      <c r="Z111" s="104">
        <f t="shared" si="6"/>
        <v>5.4113500226324928E-3</v>
      </c>
      <c r="AA111" s="104">
        <f t="shared" si="6"/>
        <v>5.4113500226324928E-3</v>
      </c>
      <c r="AB111" s="104">
        <f t="shared" si="6"/>
        <v>5.4113500226324928E-3</v>
      </c>
      <c r="AC111" s="104">
        <f t="shared" si="6"/>
        <v>5.4113500226324928E-3</v>
      </c>
      <c r="AD111" s="104">
        <f t="shared" si="6"/>
        <v>5.4113500226324928E-3</v>
      </c>
      <c r="AE111" s="104">
        <f t="shared" si="6"/>
        <v>5.4113500226324928E-3</v>
      </c>
      <c r="AF111" s="104">
        <f t="shared" si="6"/>
        <v>5.4113500226324928E-3</v>
      </c>
      <c r="AG111" s="104">
        <f t="shared" si="6"/>
        <v>5.4113500226324928E-3</v>
      </c>
      <c r="AH111" s="104">
        <f t="shared" si="6"/>
        <v>5.4113500226324928E-3</v>
      </c>
      <c r="AI111" s="104">
        <f t="shared" si="6"/>
        <v>5.4113500226324928E-3</v>
      </c>
      <c r="AJ111" s="104">
        <f t="shared" si="6"/>
        <v>5.4113500226324928E-3</v>
      </c>
      <c r="AK111" s="104">
        <f t="shared" si="6"/>
        <v>5.4113500226324928E-3</v>
      </c>
      <c r="AL111" s="104">
        <f t="shared" si="6"/>
        <v>5.4113500226324928E-3</v>
      </c>
      <c r="AM111" s="104">
        <f t="shared" si="6"/>
        <v>5.4113500226324928E-3</v>
      </c>
      <c r="AN111" s="104">
        <f t="shared" si="6"/>
        <v>5.4113500226324928E-3</v>
      </c>
      <c r="AO111" s="104">
        <f t="shared" si="6"/>
        <v>5.4113500226324928E-3</v>
      </c>
      <c r="AP111" s="104">
        <f t="shared" si="6"/>
        <v>5.4113500226324928E-3</v>
      </c>
      <c r="AQ111" s="104">
        <f t="shared" si="6"/>
        <v>5.4113500226324928E-3</v>
      </c>
      <c r="AR111" s="104">
        <f t="shared" si="6"/>
        <v>5.4113500226324928E-3</v>
      </c>
      <c r="AS111" s="104">
        <f t="shared" si="6"/>
        <v>5.4113500226324928E-3</v>
      </c>
      <c r="AT111" s="104">
        <f t="shared" si="6"/>
        <v>5.4113500226324928E-3</v>
      </c>
      <c r="AU111" s="104">
        <f t="shared" si="6"/>
        <v>5.4113500226324928E-3</v>
      </c>
      <c r="AV111" s="104">
        <f t="shared" si="6"/>
        <v>5.4113500226324928E-3</v>
      </c>
      <c r="AW111" s="104">
        <f t="shared" si="6"/>
        <v>5.4113500226324928E-3</v>
      </c>
      <c r="AX111" s="104">
        <f t="shared" si="6"/>
        <v>5.4113500226324928E-3</v>
      </c>
    </row>
    <row r="112" spans="1:50">
      <c r="A112" s="104" t="s">
        <v>106</v>
      </c>
      <c r="B112" s="104" t="s">
        <v>5</v>
      </c>
      <c r="C112" s="99">
        <v>0</v>
      </c>
      <c r="D112" s="99">
        <v>0</v>
      </c>
      <c r="E112" s="99">
        <v>0</v>
      </c>
      <c r="F112" s="99">
        <v>0</v>
      </c>
      <c r="G112" s="99">
        <v>0</v>
      </c>
      <c r="H112" s="99">
        <v>0</v>
      </c>
      <c r="I112" s="99">
        <v>0</v>
      </c>
      <c r="J112" s="99">
        <v>0</v>
      </c>
      <c r="K112" s="99">
        <v>0</v>
      </c>
      <c r="L112" s="99">
        <v>0</v>
      </c>
      <c r="M112" s="99">
        <v>0</v>
      </c>
      <c r="N112" s="99">
        <v>0</v>
      </c>
      <c r="O112" s="99">
        <v>0</v>
      </c>
      <c r="P112" s="99">
        <v>0</v>
      </c>
      <c r="Q112" s="99">
        <v>0</v>
      </c>
      <c r="R112" s="99">
        <v>0</v>
      </c>
      <c r="S112" s="99">
        <v>0</v>
      </c>
      <c r="T112" s="99">
        <v>0</v>
      </c>
      <c r="U112" s="99">
        <v>0</v>
      </c>
      <c r="V112" s="99">
        <v>0</v>
      </c>
      <c r="W112" s="99">
        <v>0</v>
      </c>
      <c r="X112" s="99">
        <v>0</v>
      </c>
      <c r="Y112" s="99">
        <v>0</v>
      </c>
      <c r="Z112" s="99">
        <v>0</v>
      </c>
      <c r="AA112" s="99">
        <v>0</v>
      </c>
      <c r="AB112" s="99">
        <v>0</v>
      </c>
      <c r="AC112" s="99">
        <v>0</v>
      </c>
      <c r="AD112" s="99">
        <v>0</v>
      </c>
      <c r="AE112" s="99">
        <v>0</v>
      </c>
      <c r="AF112" s="99">
        <v>0</v>
      </c>
      <c r="AG112" s="99">
        <v>0</v>
      </c>
      <c r="AH112" s="99">
        <v>0</v>
      </c>
      <c r="AI112" s="99">
        <v>0</v>
      </c>
      <c r="AJ112" s="99">
        <v>0</v>
      </c>
      <c r="AK112" s="99">
        <v>0</v>
      </c>
      <c r="AL112" s="99">
        <v>0</v>
      </c>
      <c r="AM112" s="99">
        <v>0</v>
      </c>
      <c r="AN112" s="99">
        <v>0</v>
      </c>
      <c r="AO112" s="99">
        <v>0</v>
      </c>
      <c r="AP112" s="99">
        <v>0</v>
      </c>
      <c r="AQ112" s="99">
        <v>0</v>
      </c>
      <c r="AR112" s="99">
        <v>0</v>
      </c>
      <c r="AS112" s="99">
        <v>0</v>
      </c>
      <c r="AT112" s="99">
        <v>0</v>
      </c>
      <c r="AU112" s="99">
        <v>0</v>
      </c>
      <c r="AV112" s="99">
        <v>0</v>
      </c>
      <c r="AW112" s="99">
        <v>0</v>
      </c>
      <c r="AX112" s="99">
        <v>0</v>
      </c>
    </row>
    <row r="113" spans="1:50">
      <c r="B113" s="104" t="s">
        <v>10</v>
      </c>
      <c r="C113" s="99">
        <v>0</v>
      </c>
      <c r="D113" s="99">
        <v>0</v>
      </c>
      <c r="E113" s="99">
        <v>0</v>
      </c>
      <c r="F113" s="99">
        <v>0</v>
      </c>
      <c r="G113" s="99">
        <v>0</v>
      </c>
      <c r="H113" s="99">
        <v>0</v>
      </c>
      <c r="I113" s="99">
        <v>0</v>
      </c>
      <c r="J113" s="99">
        <v>0</v>
      </c>
      <c r="K113" s="99">
        <v>0</v>
      </c>
      <c r="L113" s="99">
        <v>0</v>
      </c>
      <c r="M113" s="99">
        <v>0</v>
      </c>
      <c r="N113" s="99">
        <v>0</v>
      </c>
      <c r="O113" s="99">
        <v>0</v>
      </c>
      <c r="P113" s="99">
        <v>0</v>
      </c>
      <c r="Q113" s="99">
        <v>0</v>
      </c>
      <c r="R113" s="99">
        <v>0</v>
      </c>
      <c r="S113" s="99">
        <v>0</v>
      </c>
      <c r="T113" s="99">
        <v>0</v>
      </c>
      <c r="U113" s="99">
        <v>0</v>
      </c>
      <c r="V113" s="99">
        <v>0</v>
      </c>
      <c r="W113" s="99">
        <v>0</v>
      </c>
      <c r="X113" s="99">
        <v>0</v>
      </c>
      <c r="Y113" s="99">
        <v>0</v>
      </c>
      <c r="Z113" s="99">
        <v>0</v>
      </c>
      <c r="AA113" s="99">
        <v>0</v>
      </c>
      <c r="AB113" s="99">
        <v>0</v>
      </c>
      <c r="AC113" s="99">
        <v>0</v>
      </c>
      <c r="AD113" s="99">
        <v>0</v>
      </c>
      <c r="AE113" s="99">
        <v>0</v>
      </c>
      <c r="AF113" s="99">
        <v>0</v>
      </c>
      <c r="AG113" s="99">
        <v>0</v>
      </c>
      <c r="AH113" s="99">
        <v>0</v>
      </c>
      <c r="AI113" s="99">
        <v>0</v>
      </c>
      <c r="AJ113" s="99">
        <v>0</v>
      </c>
      <c r="AK113" s="99">
        <v>0</v>
      </c>
      <c r="AL113" s="99">
        <v>0</v>
      </c>
      <c r="AM113" s="99">
        <v>0</v>
      </c>
      <c r="AN113" s="99">
        <v>0</v>
      </c>
      <c r="AO113" s="99">
        <v>0</v>
      </c>
      <c r="AP113" s="99">
        <v>0</v>
      </c>
      <c r="AQ113" s="99">
        <v>0</v>
      </c>
      <c r="AR113" s="99">
        <v>0</v>
      </c>
      <c r="AS113" s="99">
        <v>0</v>
      </c>
      <c r="AT113" s="99">
        <v>0</v>
      </c>
      <c r="AU113" s="99">
        <v>0</v>
      </c>
      <c r="AV113" s="99">
        <v>0</v>
      </c>
      <c r="AW113" s="99">
        <v>0</v>
      </c>
      <c r="AX113" s="99">
        <v>0</v>
      </c>
    </row>
    <row r="114" spans="1:50">
      <c r="B114" s="104" t="s">
        <v>12</v>
      </c>
      <c r="C114" s="99">
        <v>651.78605230274661</v>
      </c>
      <c r="D114" s="99">
        <v>651.78605230274661</v>
      </c>
      <c r="E114" s="99">
        <v>651.78605230274661</v>
      </c>
      <c r="F114" s="99">
        <v>651.78605230274661</v>
      </c>
      <c r="G114" s="99">
        <v>651.78605230274661</v>
      </c>
      <c r="H114" s="99">
        <v>651.78605230274661</v>
      </c>
      <c r="I114" s="99">
        <v>651.78605230274661</v>
      </c>
      <c r="J114" s="99">
        <v>651.78605230274661</v>
      </c>
      <c r="K114" s="99">
        <v>651.78605230274661</v>
      </c>
      <c r="L114" s="99">
        <v>651.78605230274661</v>
      </c>
      <c r="M114" s="99">
        <v>651.78605230274661</v>
      </c>
      <c r="N114" s="99">
        <v>651.78605230274661</v>
      </c>
      <c r="O114" s="99">
        <v>651.78605230274661</v>
      </c>
      <c r="P114" s="99">
        <v>651.78605230274661</v>
      </c>
      <c r="Q114" s="99">
        <v>651.78605230274661</v>
      </c>
      <c r="R114" s="99">
        <v>651.78605230274661</v>
      </c>
      <c r="S114" s="99">
        <v>521.42884184219736</v>
      </c>
      <c r="T114" s="99">
        <v>521.42884184219736</v>
      </c>
      <c r="U114" s="99">
        <v>521.42884184219736</v>
      </c>
      <c r="V114" s="99">
        <v>521.42884184219736</v>
      </c>
      <c r="W114" s="99">
        <v>651.78605230274661</v>
      </c>
      <c r="X114" s="99">
        <v>651.78605230274661</v>
      </c>
      <c r="Y114" s="99">
        <v>651.78605230274661</v>
      </c>
      <c r="Z114" s="99">
        <v>651.78605230274661</v>
      </c>
      <c r="AA114" s="99">
        <v>651.78605230274661</v>
      </c>
      <c r="AB114" s="99">
        <v>651.78605230274661</v>
      </c>
      <c r="AC114" s="99">
        <v>651.78605230274661</v>
      </c>
      <c r="AD114" s="99">
        <v>651.78605230274661</v>
      </c>
      <c r="AE114" s="99">
        <v>651.78605230274661</v>
      </c>
      <c r="AF114" s="99">
        <v>651.78605230274661</v>
      </c>
      <c r="AG114" s="99">
        <v>651.78605230274661</v>
      </c>
      <c r="AH114" s="99">
        <v>651.78605230274661</v>
      </c>
      <c r="AI114" s="99">
        <v>651.78605230274661</v>
      </c>
      <c r="AJ114" s="99">
        <v>651.78605230274661</v>
      </c>
      <c r="AK114" s="99">
        <v>651.78605230274661</v>
      </c>
      <c r="AL114" s="99">
        <v>651.78605230274661</v>
      </c>
      <c r="AM114" s="99">
        <v>651.78605230274661</v>
      </c>
      <c r="AN114" s="99">
        <v>651.78605230274661</v>
      </c>
      <c r="AO114" s="99">
        <v>651.78605230274661</v>
      </c>
      <c r="AP114" s="99">
        <v>651.78605230274661</v>
      </c>
      <c r="AQ114" s="99">
        <v>651.78605230274661</v>
      </c>
      <c r="AR114" s="99">
        <v>651.78605230274661</v>
      </c>
      <c r="AS114" s="99">
        <v>651.78605230274661</v>
      </c>
      <c r="AT114" s="99">
        <v>651.78605230274661</v>
      </c>
      <c r="AU114" s="99">
        <v>651.78605230274661</v>
      </c>
      <c r="AV114" s="99">
        <v>651.78605230274661</v>
      </c>
      <c r="AW114" s="99">
        <v>651.78605230274661</v>
      </c>
      <c r="AX114" s="99">
        <v>651.78605230274661</v>
      </c>
    </row>
    <row r="115" spans="1:50">
      <c r="B115" s="104" t="s">
        <v>22</v>
      </c>
      <c r="C115" s="99">
        <v>4010.9696908750134</v>
      </c>
      <c r="D115" s="99">
        <v>4010.9696908750134</v>
      </c>
      <c r="E115" s="99">
        <v>4010.9696908750134</v>
      </c>
      <c r="F115" s="99">
        <v>4010.9696908750134</v>
      </c>
      <c r="G115" s="99">
        <v>4010.9696908750134</v>
      </c>
      <c r="H115" s="99">
        <v>4010.9696908750134</v>
      </c>
      <c r="I115" s="99">
        <v>4010.9696908750134</v>
      </c>
      <c r="J115" s="99">
        <v>4010.9696908750134</v>
      </c>
      <c r="K115" s="99">
        <v>4010.9696908750134</v>
      </c>
      <c r="L115" s="99">
        <v>4010.9696908750134</v>
      </c>
      <c r="M115" s="99">
        <v>4010.9696908750134</v>
      </c>
      <c r="N115" s="99">
        <v>4010.9696908750134</v>
      </c>
      <c r="O115" s="99">
        <v>4010.9696908750134</v>
      </c>
      <c r="P115" s="99">
        <v>4010.9696908750134</v>
      </c>
      <c r="Q115" s="99">
        <v>4010.9696908750134</v>
      </c>
      <c r="R115" s="99">
        <v>4010.9696908750134</v>
      </c>
      <c r="S115" s="99">
        <v>3208.7757527000117</v>
      </c>
      <c r="T115" s="99">
        <v>3208.7757527000117</v>
      </c>
      <c r="U115" s="99">
        <v>3208.7757527000117</v>
      </c>
      <c r="V115" s="99">
        <v>3208.7757527000117</v>
      </c>
      <c r="W115" s="99">
        <v>4010.9696908750134</v>
      </c>
      <c r="X115" s="99">
        <v>4010.9696908750134</v>
      </c>
      <c r="Y115" s="99">
        <v>4010.9696908750134</v>
      </c>
      <c r="Z115" s="99">
        <v>4010.9696908750134</v>
      </c>
      <c r="AA115" s="99">
        <v>4010.9696908750134</v>
      </c>
      <c r="AB115" s="99">
        <v>4010.9696908750134</v>
      </c>
      <c r="AC115" s="99">
        <v>4010.9696908750134</v>
      </c>
      <c r="AD115" s="99">
        <v>4010.9696908750134</v>
      </c>
      <c r="AE115" s="99">
        <v>4010.9696908750134</v>
      </c>
      <c r="AF115" s="99">
        <v>4010.9696908750134</v>
      </c>
      <c r="AG115" s="99">
        <v>4010.9696908750134</v>
      </c>
      <c r="AH115" s="99">
        <v>4010.9696908750134</v>
      </c>
      <c r="AI115" s="99">
        <v>4010.9696908750134</v>
      </c>
      <c r="AJ115" s="99">
        <v>4010.9696908750134</v>
      </c>
      <c r="AK115" s="99">
        <v>4010.9696908750134</v>
      </c>
      <c r="AL115" s="99">
        <v>4010.9696908750134</v>
      </c>
      <c r="AM115" s="99">
        <v>4010.9696908750134</v>
      </c>
      <c r="AN115" s="99">
        <v>4010.9696908750134</v>
      </c>
      <c r="AO115" s="99">
        <v>4010.9696908750134</v>
      </c>
      <c r="AP115" s="99">
        <v>4010.9696908750134</v>
      </c>
      <c r="AQ115" s="99">
        <v>4010.9696908750134</v>
      </c>
      <c r="AR115" s="99">
        <v>4010.9696908750134</v>
      </c>
      <c r="AS115" s="99">
        <v>4010.9696908750134</v>
      </c>
      <c r="AT115" s="99">
        <v>4010.9696908750134</v>
      </c>
      <c r="AU115" s="99">
        <v>4010.9696908750134</v>
      </c>
      <c r="AV115" s="99">
        <v>4010.9696908750134</v>
      </c>
      <c r="AW115" s="99">
        <v>4010.9696908750134</v>
      </c>
      <c r="AX115" s="99">
        <v>4010.9696908750134</v>
      </c>
    </row>
    <row r="116" spans="1:50">
      <c r="B116" s="104" t="s">
        <v>46</v>
      </c>
      <c r="C116" s="99">
        <v>0</v>
      </c>
      <c r="D116" s="99">
        <v>0</v>
      </c>
      <c r="E116" s="99">
        <v>0</v>
      </c>
      <c r="F116" s="99">
        <v>0</v>
      </c>
      <c r="G116" s="99">
        <v>0</v>
      </c>
      <c r="H116" s="99">
        <v>0</v>
      </c>
      <c r="I116" s="99">
        <v>0</v>
      </c>
      <c r="J116" s="99">
        <v>0</v>
      </c>
      <c r="K116" s="99">
        <v>0</v>
      </c>
      <c r="L116" s="99">
        <v>0</v>
      </c>
      <c r="M116" s="99">
        <v>0</v>
      </c>
      <c r="N116" s="99">
        <v>0</v>
      </c>
      <c r="O116" s="99">
        <v>0</v>
      </c>
      <c r="P116" s="99">
        <v>0</v>
      </c>
      <c r="Q116" s="99">
        <v>0</v>
      </c>
      <c r="R116" s="99">
        <v>0</v>
      </c>
      <c r="S116" s="99">
        <v>0</v>
      </c>
      <c r="T116" s="99">
        <v>0</v>
      </c>
      <c r="U116" s="99">
        <v>0</v>
      </c>
      <c r="V116" s="99">
        <v>0</v>
      </c>
      <c r="W116" s="99">
        <v>0</v>
      </c>
      <c r="X116" s="99">
        <v>0</v>
      </c>
      <c r="Y116" s="99">
        <v>0</v>
      </c>
      <c r="Z116" s="99">
        <v>0</v>
      </c>
      <c r="AA116" s="99">
        <v>0</v>
      </c>
      <c r="AB116" s="99">
        <v>0</v>
      </c>
      <c r="AC116" s="99">
        <v>0</v>
      </c>
      <c r="AD116" s="99">
        <v>0</v>
      </c>
      <c r="AE116" s="99">
        <v>0</v>
      </c>
      <c r="AF116" s="99">
        <v>0</v>
      </c>
      <c r="AG116" s="99">
        <v>0</v>
      </c>
      <c r="AH116" s="99">
        <v>0</v>
      </c>
      <c r="AI116" s="99">
        <v>0</v>
      </c>
      <c r="AJ116" s="99">
        <v>0</v>
      </c>
      <c r="AK116" s="99">
        <v>0</v>
      </c>
      <c r="AL116" s="99">
        <v>0</v>
      </c>
      <c r="AM116" s="99">
        <v>0</v>
      </c>
      <c r="AN116" s="99">
        <v>0</v>
      </c>
      <c r="AO116" s="99">
        <v>0</v>
      </c>
      <c r="AP116" s="99">
        <v>0</v>
      </c>
      <c r="AQ116" s="99">
        <v>0</v>
      </c>
      <c r="AR116" s="99">
        <v>0</v>
      </c>
      <c r="AS116" s="99">
        <v>0</v>
      </c>
      <c r="AT116" s="99">
        <v>0</v>
      </c>
      <c r="AU116" s="99">
        <v>0</v>
      </c>
      <c r="AV116" s="99">
        <v>0</v>
      </c>
      <c r="AW116" s="99">
        <v>0</v>
      </c>
      <c r="AX116" s="99">
        <v>0</v>
      </c>
    </row>
    <row r="117" spans="1:50">
      <c r="B117" s="104" t="s">
        <v>59</v>
      </c>
      <c r="C117" s="99">
        <v>0</v>
      </c>
      <c r="D117" s="99">
        <v>0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9">
        <v>0</v>
      </c>
      <c r="O117" s="99">
        <v>0</v>
      </c>
      <c r="P117" s="99">
        <v>0</v>
      </c>
      <c r="Q117" s="99">
        <v>0</v>
      </c>
      <c r="R117" s="99">
        <v>0</v>
      </c>
      <c r="S117" s="99">
        <v>0</v>
      </c>
      <c r="T117" s="99">
        <v>0</v>
      </c>
      <c r="U117" s="99">
        <v>0</v>
      </c>
      <c r="V117" s="99">
        <v>0</v>
      </c>
      <c r="W117" s="99">
        <v>0</v>
      </c>
      <c r="X117" s="99">
        <v>0</v>
      </c>
      <c r="Y117" s="99">
        <v>0</v>
      </c>
      <c r="Z117" s="99">
        <v>0</v>
      </c>
      <c r="AA117" s="99">
        <v>0</v>
      </c>
      <c r="AB117" s="99">
        <v>0</v>
      </c>
      <c r="AC117" s="99">
        <v>0</v>
      </c>
      <c r="AD117" s="99">
        <v>0</v>
      </c>
      <c r="AE117" s="99">
        <v>0</v>
      </c>
      <c r="AF117" s="99">
        <v>0</v>
      </c>
      <c r="AG117" s="99">
        <v>0</v>
      </c>
      <c r="AH117" s="99">
        <v>0</v>
      </c>
      <c r="AI117" s="99">
        <v>0</v>
      </c>
      <c r="AJ117" s="99">
        <v>0</v>
      </c>
      <c r="AK117" s="99">
        <v>0</v>
      </c>
      <c r="AL117" s="99">
        <v>0</v>
      </c>
      <c r="AM117" s="99">
        <v>0</v>
      </c>
      <c r="AN117" s="99">
        <v>0</v>
      </c>
      <c r="AO117" s="99">
        <v>0</v>
      </c>
      <c r="AP117" s="99">
        <v>0</v>
      </c>
      <c r="AQ117" s="99">
        <v>0</v>
      </c>
      <c r="AR117" s="99">
        <v>0</v>
      </c>
      <c r="AS117" s="99">
        <v>0</v>
      </c>
      <c r="AT117" s="99">
        <v>0</v>
      </c>
      <c r="AU117" s="99">
        <v>0</v>
      </c>
      <c r="AV117" s="99">
        <v>0</v>
      </c>
      <c r="AW117" s="99">
        <v>0</v>
      </c>
      <c r="AX117" s="99">
        <v>0</v>
      </c>
    </row>
    <row r="118" spans="1:50">
      <c r="B118" s="99" t="s">
        <v>278</v>
      </c>
      <c r="C118" s="104">
        <f>SUM(C$112:C$117)</f>
        <v>4662.7557431777605</v>
      </c>
      <c r="D118" s="104">
        <f t="shared" ref="D118:AX118" si="7">SUM(D$112:D$117)</f>
        <v>4662.7557431777605</v>
      </c>
      <c r="E118" s="104">
        <f t="shared" si="7"/>
        <v>4662.7557431777605</v>
      </c>
      <c r="F118" s="104">
        <f t="shared" si="7"/>
        <v>4662.7557431777605</v>
      </c>
      <c r="G118" s="104">
        <f t="shared" si="7"/>
        <v>4662.7557431777605</v>
      </c>
      <c r="H118" s="104">
        <f t="shared" si="7"/>
        <v>4662.7557431777605</v>
      </c>
      <c r="I118" s="104">
        <f t="shared" si="7"/>
        <v>4662.7557431777605</v>
      </c>
      <c r="J118" s="104">
        <f t="shared" si="7"/>
        <v>4662.7557431777605</v>
      </c>
      <c r="K118" s="104">
        <f t="shared" si="7"/>
        <v>4662.7557431777605</v>
      </c>
      <c r="L118" s="104">
        <f t="shared" si="7"/>
        <v>4662.7557431777605</v>
      </c>
      <c r="M118" s="104">
        <f t="shared" si="7"/>
        <v>4662.7557431777605</v>
      </c>
      <c r="N118" s="104">
        <f t="shared" si="7"/>
        <v>4662.7557431777605</v>
      </c>
      <c r="O118" s="104">
        <f t="shared" si="7"/>
        <v>4662.7557431777605</v>
      </c>
      <c r="P118" s="104">
        <f t="shared" si="7"/>
        <v>4662.7557431777605</v>
      </c>
      <c r="Q118" s="104">
        <f t="shared" si="7"/>
        <v>4662.7557431777605</v>
      </c>
      <c r="R118" s="104">
        <f t="shared" si="7"/>
        <v>4662.7557431777605</v>
      </c>
      <c r="S118" s="104">
        <f t="shared" si="7"/>
        <v>3730.2045945422092</v>
      </c>
      <c r="T118" s="104">
        <f t="shared" si="7"/>
        <v>3730.2045945422092</v>
      </c>
      <c r="U118" s="104">
        <f t="shared" si="7"/>
        <v>3730.2045945422092</v>
      </c>
      <c r="V118" s="104">
        <f t="shared" si="7"/>
        <v>3730.2045945422092</v>
      </c>
      <c r="W118" s="104">
        <f t="shared" si="7"/>
        <v>4662.7557431777605</v>
      </c>
      <c r="X118" s="104">
        <f t="shared" si="7"/>
        <v>4662.7557431777605</v>
      </c>
      <c r="Y118" s="104">
        <f t="shared" si="7"/>
        <v>4662.7557431777605</v>
      </c>
      <c r="Z118" s="104">
        <f t="shared" si="7"/>
        <v>4662.7557431777605</v>
      </c>
      <c r="AA118" s="104">
        <f t="shared" si="7"/>
        <v>4662.7557431777605</v>
      </c>
      <c r="AB118" s="104">
        <f t="shared" si="7"/>
        <v>4662.7557431777605</v>
      </c>
      <c r="AC118" s="104">
        <f t="shared" si="7"/>
        <v>4662.7557431777605</v>
      </c>
      <c r="AD118" s="104">
        <f t="shared" si="7"/>
        <v>4662.7557431777605</v>
      </c>
      <c r="AE118" s="104">
        <f t="shared" si="7"/>
        <v>4662.7557431777605</v>
      </c>
      <c r="AF118" s="104">
        <f t="shared" si="7"/>
        <v>4662.7557431777605</v>
      </c>
      <c r="AG118" s="104">
        <f t="shared" si="7"/>
        <v>4662.7557431777605</v>
      </c>
      <c r="AH118" s="104">
        <f t="shared" si="7"/>
        <v>4662.7557431777605</v>
      </c>
      <c r="AI118" s="104">
        <f t="shared" si="7"/>
        <v>4662.7557431777605</v>
      </c>
      <c r="AJ118" s="104">
        <f t="shared" si="7"/>
        <v>4662.7557431777605</v>
      </c>
      <c r="AK118" s="104">
        <f t="shared" si="7"/>
        <v>4662.7557431777605</v>
      </c>
      <c r="AL118" s="104">
        <f t="shared" si="7"/>
        <v>4662.7557431777605</v>
      </c>
      <c r="AM118" s="104">
        <f t="shared" si="7"/>
        <v>4662.7557431777605</v>
      </c>
      <c r="AN118" s="104">
        <f t="shared" si="7"/>
        <v>4662.7557431777605</v>
      </c>
      <c r="AO118" s="104">
        <f t="shared" si="7"/>
        <v>4662.7557431777605</v>
      </c>
      <c r="AP118" s="104">
        <f t="shared" si="7"/>
        <v>4662.7557431777605</v>
      </c>
      <c r="AQ118" s="104">
        <f t="shared" si="7"/>
        <v>4662.7557431777605</v>
      </c>
      <c r="AR118" s="104">
        <f t="shared" si="7"/>
        <v>4662.7557431777605</v>
      </c>
      <c r="AS118" s="104">
        <f t="shared" si="7"/>
        <v>4662.7557431777605</v>
      </c>
      <c r="AT118" s="104">
        <f t="shared" si="7"/>
        <v>4662.7557431777605</v>
      </c>
      <c r="AU118" s="104">
        <f t="shared" si="7"/>
        <v>4662.7557431777605</v>
      </c>
      <c r="AV118" s="104">
        <f t="shared" si="7"/>
        <v>4662.7557431777605</v>
      </c>
      <c r="AW118" s="104">
        <f t="shared" si="7"/>
        <v>4662.7557431777605</v>
      </c>
      <c r="AX118" s="104">
        <f t="shared" si="7"/>
        <v>4662.7557431777605</v>
      </c>
    </row>
    <row r="119" spans="1:50">
      <c r="A119" s="104" t="s">
        <v>107</v>
      </c>
      <c r="B119" s="104" t="s">
        <v>5</v>
      </c>
      <c r="C119" s="99">
        <v>0</v>
      </c>
      <c r="D119" s="99">
        <v>0</v>
      </c>
      <c r="E119" s="99">
        <v>0</v>
      </c>
      <c r="F119" s="99">
        <v>0</v>
      </c>
      <c r="G119" s="99">
        <v>0</v>
      </c>
      <c r="H119" s="99">
        <v>0</v>
      </c>
      <c r="I119" s="99">
        <v>0</v>
      </c>
      <c r="J119" s="99">
        <v>0</v>
      </c>
      <c r="K119" s="99">
        <v>0</v>
      </c>
      <c r="L119" s="99">
        <v>0</v>
      </c>
      <c r="M119" s="99">
        <v>0</v>
      </c>
      <c r="N119" s="99">
        <v>0</v>
      </c>
      <c r="O119" s="99">
        <v>0</v>
      </c>
      <c r="P119" s="99">
        <v>0</v>
      </c>
      <c r="Q119" s="99">
        <v>0</v>
      </c>
      <c r="R119" s="99">
        <v>0</v>
      </c>
      <c r="S119" s="99">
        <v>0</v>
      </c>
      <c r="T119" s="99">
        <v>0</v>
      </c>
      <c r="U119" s="99">
        <v>0</v>
      </c>
      <c r="V119" s="99">
        <v>0</v>
      </c>
      <c r="W119" s="99">
        <v>0</v>
      </c>
      <c r="X119" s="99">
        <v>0</v>
      </c>
      <c r="Y119" s="99">
        <v>0</v>
      </c>
      <c r="Z119" s="99">
        <v>0</v>
      </c>
      <c r="AA119" s="99">
        <v>0</v>
      </c>
      <c r="AB119" s="99">
        <v>0</v>
      </c>
      <c r="AC119" s="99">
        <v>0</v>
      </c>
      <c r="AD119" s="99">
        <v>0</v>
      </c>
      <c r="AE119" s="99">
        <v>0</v>
      </c>
      <c r="AF119" s="99">
        <v>0</v>
      </c>
      <c r="AG119" s="99">
        <v>0</v>
      </c>
      <c r="AH119" s="99">
        <v>0</v>
      </c>
      <c r="AI119" s="99">
        <v>0</v>
      </c>
      <c r="AJ119" s="99">
        <v>0</v>
      </c>
      <c r="AK119" s="99">
        <v>0</v>
      </c>
      <c r="AL119" s="99">
        <v>0</v>
      </c>
      <c r="AM119" s="99">
        <v>0</v>
      </c>
      <c r="AN119" s="99">
        <v>0</v>
      </c>
      <c r="AO119" s="99">
        <v>0</v>
      </c>
      <c r="AP119" s="99">
        <v>0</v>
      </c>
      <c r="AQ119" s="99">
        <v>0</v>
      </c>
      <c r="AR119" s="99">
        <v>0</v>
      </c>
      <c r="AS119" s="99">
        <v>0</v>
      </c>
      <c r="AT119" s="99">
        <v>0</v>
      </c>
      <c r="AU119" s="99">
        <v>0</v>
      </c>
      <c r="AV119" s="99">
        <v>0</v>
      </c>
      <c r="AW119" s="99">
        <v>0</v>
      </c>
      <c r="AX119" s="99">
        <v>0</v>
      </c>
    </row>
    <row r="120" spans="1:50">
      <c r="B120" s="104" t="s">
        <v>10</v>
      </c>
      <c r="C120" s="99">
        <v>7644.8339365156698</v>
      </c>
      <c r="D120" s="99">
        <v>7644.8339365156698</v>
      </c>
      <c r="E120" s="99">
        <v>7644.8339365156698</v>
      </c>
      <c r="F120" s="99">
        <v>7644.8339365156698</v>
      </c>
      <c r="G120" s="99">
        <v>0</v>
      </c>
      <c r="H120" s="99">
        <v>0</v>
      </c>
      <c r="I120" s="99">
        <v>0</v>
      </c>
      <c r="J120" s="99">
        <v>0</v>
      </c>
      <c r="K120" s="99">
        <v>7644.8339365156698</v>
      </c>
      <c r="L120" s="99">
        <v>7644.8339365156698</v>
      </c>
      <c r="M120" s="99">
        <v>7644.8339365156698</v>
      </c>
      <c r="N120" s="99">
        <v>7644.8339365156698</v>
      </c>
      <c r="O120" s="99">
        <v>7644.8339365156698</v>
      </c>
      <c r="P120" s="99">
        <v>7644.8339365156698</v>
      </c>
      <c r="Q120" s="99">
        <v>7644.8339365156698</v>
      </c>
      <c r="R120" s="99">
        <v>7644.8339365156698</v>
      </c>
      <c r="S120" s="99">
        <v>7644.8339365156698</v>
      </c>
      <c r="T120" s="99">
        <v>7644.8339365156698</v>
      </c>
      <c r="U120" s="99">
        <v>7644.8339365156698</v>
      </c>
      <c r="V120" s="99">
        <v>7644.8339365156698</v>
      </c>
      <c r="W120" s="99">
        <v>7644.8339365156698</v>
      </c>
      <c r="X120" s="99">
        <v>7644.8339365156698</v>
      </c>
      <c r="Y120" s="99">
        <v>7644.8339365156698</v>
      </c>
      <c r="Z120" s="99">
        <v>7644.8339365156698</v>
      </c>
      <c r="AA120" s="99">
        <v>7644.8339365156698</v>
      </c>
      <c r="AB120" s="99">
        <v>7644.8339365156698</v>
      </c>
      <c r="AC120" s="99">
        <v>7644.8339365156698</v>
      </c>
      <c r="AD120" s="99">
        <v>7644.8339365156698</v>
      </c>
      <c r="AE120" s="99">
        <v>7644.8339365156698</v>
      </c>
      <c r="AF120" s="99">
        <v>7644.8339365156698</v>
      </c>
      <c r="AG120" s="99">
        <v>7644.8339365156698</v>
      </c>
      <c r="AH120" s="99">
        <v>7644.8339365156698</v>
      </c>
      <c r="AI120" s="99">
        <v>7644.8339365156698</v>
      </c>
      <c r="AJ120" s="99">
        <v>7644.8339365156698</v>
      </c>
      <c r="AK120" s="99">
        <v>7644.8339365156698</v>
      </c>
      <c r="AL120" s="99">
        <v>7644.8339365156698</v>
      </c>
      <c r="AM120" s="99">
        <v>7644.8339365156698</v>
      </c>
      <c r="AN120" s="99">
        <v>7644.8339365156698</v>
      </c>
      <c r="AO120" s="99">
        <v>7644.8339365156698</v>
      </c>
      <c r="AP120" s="99">
        <v>7644.8339365156698</v>
      </c>
      <c r="AQ120" s="99">
        <v>7644.8339365156698</v>
      </c>
      <c r="AR120" s="99">
        <v>7644.8339365156698</v>
      </c>
      <c r="AS120" s="99">
        <v>7644.8339365156698</v>
      </c>
      <c r="AT120" s="99">
        <v>7644.8339365156698</v>
      </c>
      <c r="AU120" s="99">
        <v>7644.8339365156698</v>
      </c>
      <c r="AV120" s="99">
        <v>7644.8339365156698</v>
      </c>
      <c r="AW120" s="99">
        <v>7644.8339365156698</v>
      </c>
      <c r="AX120" s="99">
        <v>7644.8339365156698</v>
      </c>
    </row>
    <row r="121" spans="1:50">
      <c r="B121" s="104" t="s">
        <v>12</v>
      </c>
      <c r="C121" s="99">
        <v>0</v>
      </c>
      <c r="D121" s="99">
        <v>0</v>
      </c>
      <c r="E121" s="99">
        <v>0</v>
      </c>
      <c r="F121" s="99">
        <v>0</v>
      </c>
      <c r="G121" s="99">
        <v>0</v>
      </c>
      <c r="H121" s="99">
        <v>0</v>
      </c>
      <c r="I121" s="99">
        <v>0</v>
      </c>
      <c r="J121" s="99">
        <v>0</v>
      </c>
      <c r="K121" s="99">
        <v>0</v>
      </c>
      <c r="L121" s="99">
        <v>0</v>
      </c>
      <c r="M121" s="99">
        <v>0</v>
      </c>
      <c r="N121" s="99">
        <v>0</v>
      </c>
      <c r="O121" s="99">
        <v>0</v>
      </c>
      <c r="P121" s="99">
        <v>0</v>
      </c>
      <c r="Q121" s="99">
        <v>0</v>
      </c>
      <c r="R121" s="99">
        <v>0</v>
      </c>
      <c r="S121" s="99">
        <v>0</v>
      </c>
      <c r="T121" s="99">
        <v>0</v>
      </c>
      <c r="U121" s="99">
        <v>0</v>
      </c>
      <c r="V121" s="99">
        <v>0</v>
      </c>
      <c r="W121" s="99">
        <v>0</v>
      </c>
      <c r="X121" s="99">
        <v>0</v>
      </c>
      <c r="Y121" s="99">
        <v>0</v>
      </c>
      <c r="Z121" s="99">
        <v>0</v>
      </c>
      <c r="AA121" s="99">
        <v>0</v>
      </c>
      <c r="AB121" s="99">
        <v>0</v>
      </c>
      <c r="AC121" s="99">
        <v>0</v>
      </c>
      <c r="AD121" s="99">
        <v>0</v>
      </c>
      <c r="AE121" s="99">
        <v>0</v>
      </c>
      <c r="AF121" s="99">
        <v>0</v>
      </c>
      <c r="AG121" s="99">
        <v>0</v>
      </c>
      <c r="AH121" s="99">
        <v>0</v>
      </c>
      <c r="AI121" s="99">
        <v>0</v>
      </c>
      <c r="AJ121" s="99">
        <v>0</v>
      </c>
      <c r="AK121" s="99">
        <v>0</v>
      </c>
      <c r="AL121" s="99">
        <v>0</v>
      </c>
      <c r="AM121" s="99">
        <v>0</v>
      </c>
      <c r="AN121" s="99">
        <v>0</v>
      </c>
      <c r="AO121" s="99">
        <v>0</v>
      </c>
      <c r="AP121" s="99">
        <v>0</v>
      </c>
      <c r="AQ121" s="99">
        <v>0</v>
      </c>
      <c r="AR121" s="99">
        <v>0</v>
      </c>
      <c r="AS121" s="99">
        <v>0</v>
      </c>
      <c r="AT121" s="99">
        <v>0</v>
      </c>
      <c r="AU121" s="99">
        <v>0</v>
      </c>
      <c r="AV121" s="99">
        <v>0</v>
      </c>
      <c r="AW121" s="99">
        <v>0</v>
      </c>
      <c r="AX121" s="99">
        <v>0</v>
      </c>
    </row>
    <row r="122" spans="1:50">
      <c r="B122" s="104" t="s">
        <v>22</v>
      </c>
      <c r="C122" s="99">
        <v>0</v>
      </c>
      <c r="D122" s="99">
        <v>0</v>
      </c>
      <c r="E122" s="99">
        <v>0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0</v>
      </c>
      <c r="M122" s="99">
        <v>0</v>
      </c>
      <c r="N122" s="99">
        <v>0</v>
      </c>
      <c r="O122" s="99">
        <v>0</v>
      </c>
      <c r="P122" s="99">
        <v>0</v>
      </c>
      <c r="Q122" s="99">
        <v>0</v>
      </c>
      <c r="R122" s="99">
        <v>0</v>
      </c>
      <c r="S122" s="99">
        <v>0</v>
      </c>
      <c r="T122" s="99">
        <v>0</v>
      </c>
      <c r="U122" s="99">
        <v>0</v>
      </c>
      <c r="V122" s="99">
        <v>0</v>
      </c>
      <c r="W122" s="99">
        <v>0</v>
      </c>
      <c r="X122" s="99">
        <v>0</v>
      </c>
      <c r="Y122" s="99">
        <v>0</v>
      </c>
      <c r="Z122" s="99">
        <v>0</v>
      </c>
      <c r="AA122" s="99">
        <v>0</v>
      </c>
      <c r="AB122" s="99">
        <v>0</v>
      </c>
      <c r="AC122" s="99">
        <v>0</v>
      </c>
      <c r="AD122" s="99">
        <v>0</v>
      </c>
      <c r="AE122" s="99">
        <v>0</v>
      </c>
      <c r="AF122" s="99">
        <v>0</v>
      </c>
      <c r="AG122" s="99">
        <v>0</v>
      </c>
      <c r="AH122" s="99">
        <v>0</v>
      </c>
      <c r="AI122" s="99">
        <v>0</v>
      </c>
      <c r="AJ122" s="99">
        <v>0</v>
      </c>
      <c r="AK122" s="99">
        <v>0</v>
      </c>
      <c r="AL122" s="99">
        <v>0</v>
      </c>
      <c r="AM122" s="99">
        <v>0</v>
      </c>
      <c r="AN122" s="99">
        <v>0</v>
      </c>
      <c r="AO122" s="99">
        <v>0</v>
      </c>
      <c r="AP122" s="99">
        <v>0</v>
      </c>
      <c r="AQ122" s="99">
        <v>0</v>
      </c>
      <c r="AR122" s="99">
        <v>0</v>
      </c>
      <c r="AS122" s="99">
        <v>0</v>
      </c>
      <c r="AT122" s="99">
        <v>0</v>
      </c>
      <c r="AU122" s="99">
        <v>0</v>
      </c>
      <c r="AV122" s="99">
        <v>0</v>
      </c>
      <c r="AW122" s="99">
        <v>0</v>
      </c>
      <c r="AX122" s="99">
        <v>0</v>
      </c>
    </row>
    <row r="123" spans="1:50">
      <c r="B123" s="104" t="s">
        <v>46</v>
      </c>
      <c r="C123" s="99">
        <v>585.536996400014</v>
      </c>
      <c r="D123" s="99">
        <v>585.536996400014</v>
      </c>
      <c r="E123" s="99">
        <v>585.536996400014</v>
      </c>
      <c r="F123" s="99">
        <v>585.536996400014</v>
      </c>
      <c r="G123" s="99">
        <v>0</v>
      </c>
      <c r="H123" s="99">
        <v>0</v>
      </c>
      <c r="I123" s="99">
        <v>0</v>
      </c>
      <c r="J123" s="99">
        <v>0</v>
      </c>
      <c r="K123" s="99">
        <v>585.536996400014</v>
      </c>
      <c r="L123" s="99">
        <v>585.536996400014</v>
      </c>
      <c r="M123" s="99">
        <v>585.536996400014</v>
      </c>
      <c r="N123" s="99">
        <v>585.536996400014</v>
      </c>
      <c r="O123" s="99">
        <v>585.536996400014</v>
      </c>
      <c r="P123" s="99">
        <v>585.536996400014</v>
      </c>
      <c r="Q123" s="99">
        <v>585.536996400014</v>
      </c>
      <c r="R123" s="99">
        <v>585.536996400014</v>
      </c>
      <c r="S123" s="99">
        <v>585.536996400014</v>
      </c>
      <c r="T123" s="99">
        <v>585.536996400014</v>
      </c>
      <c r="U123" s="99">
        <v>585.536996400014</v>
      </c>
      <c r="V123" s="99">
        <v>585.536996400014</v>
      </c>
      <c r="W123" s="99">
        <v>585.536996400014</v>
      </c>
      <c r="X123" s="99">
        <v>585.536996400014</v>
      </c>
      <c r="Y123" s="99">
        <v>585.536996400014</v>
      </c>
      <c r="Z123" s="99">
        <v>585.536996400014</v>
      </c>
      <c r="AA123" s="99">
        <v>585.536996400014</v>
      </c>
      <c r="AB123" s="99">
        <v>585.536996400014</v>
      </c>
      <c r="AC123" s="99">
        <v>585.536996400014</v>
      </c>
      <c r="AD123" s="99">
        <v>585.536996400014</v>
      </c>
      <c r="AE123" s="99">
        <v>585.536996400014</v>
      </c>
      <c r="AF123" s="99">
        <v>585.536996400014</v>
      </c>
      <c r="AG123" s="99">
        <v>585.536996400014</v>
      </c>
      <c r="AH123" s="99">
        <v>585.536996400014</v>
      </c>
      <c r="AI123" s="99">
        <v>585.536996400014</v>
      </c>
      <c r="AJ123" s="99">
        <v>585.536996400014</v>
      </c>
      <c r="AK123" s="99">
        <v>585.536996400014</v>
      </c>
      <c r="AL123" s="99">
        <v>585.536996400014</v>
      </c>
      <c r="AM123" s="99">
        <v>585.536996400014</v>
      </c>
      <c r="AN123" s="99">
        <v>585.536996400014</v>
      </c>
      <c r="AO123" s="99">
        <v>585.536996400014</v>
      </c>
      <c r="AP123" s="99">
        <v>585.536996400014</v>
      </c>
      <c r="AQ123" s="99">
        <v>585.536996400014</v>
      </c>
      <c r="AR123" s="99">
        <v>585.536996400014</v>
      </c>
      <c r="AS123" s="99">
        <v>585.536996400014</v>
      </c>
      <c r="AT123" s="99">
        <v>585.536996400014</v>
      </c>
      <c r="AU123" s="99">
        <v>585.536996400014</v>
      </c>
      <c r="AV123" s="99">
        <v>585.536996400014</v>
      </c>
      <c r="AW123" s="99">
        <v>585.536996400014</v>
      </c>
      <c r="AX123" s="99">
        <v>585.536996400014</v>
      </c>
    </row>
    <row r="124" spans="1:50">
      <c r="B124" s="104" t="s">
        <v>59</v>
      </c>
      <c r="C124" s="99">
        <v>0</v>
      </c>
      <c r="D124" s="99">
        <v>0</v>
      </c>
      <c r="E124" s="99">
        <v>0</v>
      </c>
      <c r="F124" s="99">
        <v>0</v>
      </c>
      <c r="G124" s="99">
        <v>0</v>
      </c>
      <c r="H124" s="99">
        <v>0</v>
      </c>
      <c r="I124" s="99">
        <v>0</v>
      </c>
      <c r="J124" s="99">
        <v>0</v>
      </c>
      <c r="K124" s="99">
        <v>0</v>
      </c>
      <c r="L124" s="99">
        <v>0</v>
      </c>
      <c r="M124" s="99">
        <v>0</v>
      </c>
      <c r="N124" s="99">
        <v>0</v>
      </c>
      <c r="O124" s="99">
        <v>0</v>
      </c>
      <c r="P124" s="99">
        <v>0</v>
      </c>
      <c r="Q124" s="99">
        <v>0</v>
      </c>
      <c r="R124" s="99">
        <v>0</v>
      </c>
      <c r="S124" s="99">
        <v>0</v>
      </c>
      <c r="T124" s="99">
        <v>0</v>
      </c>
      <c r="U124" s="99">
        <v>0</v>
      </c>
      <c r="V124" s="99">
        <v>0</v>
      </c>
      <c r="W124" s="99">
        <v>0</v>
      </c>
      <c r="X124" s="99">
        <v>0</v>
      </c>
      <c r="Y124" s="99">
        <v>0</v>
      </c>
      <c r="Z124" s="99">
        <v>0</v>
      </c>
      <c r="AA124" s="99">
        <v>0</v>
      </c>
      <c r="AB124" s="99">
        <v>0</v>
      </c>
      <c r="AC124" s="99">
        <v>0</v>
      </c>
      <c r="AD124" s="99">
        <v>0</v>
      </c>
      <c r="AE124" s="99">
        <v>0</v>
      </c>
      <c r="AF124" s="99">
        <v>0</v>
      </c>
      <c r="AG124" s="99">
        <v>0</v>
      </c>
      <c r="AH124" s="99">
        <v>0</v>
      </c>
      <c r="AI124" s="99">
        <v>0</v>
      </c>
      <c r="AJ124" s="99">
        <v>0</v>
      </c>
      <c r="AK124" s="99">
        <v>0</v>
      </c>
      <c r="AL124" s="99">
        <v>0</v>
      </c>
      <c r="AM124" s="99">
        <v>0</v>
      </c>
      <c r="AN124" s="99">
        <v>0</v>
      </c>
      <c r="AO124" s="99">
        <v>0</v>
      </c>
      <c r="AP124" s="99">
        <v>0</v>
      </c>
      <c r="AQ124" s="99">
        <v>0</v>
      </c>
      <c r="AR124" s="99">
        <v>0</v>
      </c>
      <c r="AS124" s="99">
        <v>0</v>
      </c>
      <c r="AT124" s="99">
        <v>0</v>
      </c>
      <c r="AU124" s="99">
        <v>0</v>
      </c>
      <c r="AV124" s="99">
        <v>0</v>
      </c>
      <c r="AW124" s="99">
        <v>0</v>
      </c>
      <c r="AX124" s="99">
        <v>0</v>
      </c>
    </row>
    <row r="125" spans="1:50">
      <c r="B125" s="99" t="s">
        <v>278</v>
      </c>
      <c r="C125" s="104">
        <f>SUM(C$119:C$124)</f>
        <v>8230.3709329156845</v>
      </c>
      <c r="D125" s="104">
        <f t="shared" ref="D125:AX125" si="8">SUM(D$119:D$124)</f>
        <v>8230.3709329156845</v>
      </c>
      <c r="E125" s="104">
        <f t="shared" si="8"/>
        <v>8230.3709329156845</v>
      </c>
      <c r="F125" s="104">
        <f t="shared" si="8"/>
        <v>8230.3709329156845</v>
      </c>
      <c r="G125" s="104">
        <f t="shared" si="8"/>
        <v>0</v>
      </c>
      <c r="H125" s="104">
        <f t="shared" si="8"/>
        <v>0</v>
      </c>
      <c r="I125" s="104">
        <f t="shared" si="8"/>
        <v>0</v>
      </c>
      <c r="J125" s="104">
        <f t="shared" si="8"/>
        <v>0</v>
      </c>
      <c r="K125" s="104">
        <f t="shared" si="8"/>
        <v>8230.3709329156845</v>
      </c>
      <c r="L125" s="104">
        <f t="shared" si="8"/>
        <v>8230.3709329156845</v>
      </c>
      <c r="M125" s="104">
        <f t="shared" si="8"/>
        <v>8230.3709329156845</v>
      </c>
      <c r="N125" s="104">
        <f t="shared" si="8"/>
        <v>8230.3709329156845</v>
      </c>
      <c r="O125" s="104">
        <f t="shared" si="8"/>
        <v>8230.3709329156845</v>
      </c>
      <c r="P125" s="104">
        <f t="shared" si="8"/>
        <v>8230.3709329156845</v>
      </c>
      <c r="Q125" s="104">
        <f t="shared" si="8"/>
        <v>8230.3709329156845</v>
      </c>
      <c r="R125" s="104">
        <f t="shared" si="8"/>
        <v>8230.3709329156845</v>
      </c>
      <c r="S125" s="104">
        <f t="shared" si="8"/>
        <v>8230.3709329156845</v>
      </c>
      <c r="T125" s="104">
        <f t="shared" si="8"/>
        <v>8230.3709329156845</v>
      </c>
      <c r="U125" s="104">
        <f t="shared" si="8"/>
        <v>8230.3709329156845</v>
      </c>
      <c r="V125" s="104">
        <f t="shared" si="8"/>
        <v>8230.3709329156845</v>
      </c>
      <c r="W125" s="104">
        <f t="shared" si="8"/>
        <v>8230.3709329156845</v>
      </c>
      <c r="X125" s="104">
        <f t="shared" si="8"/>
        <v>8230.3709329156845</v>
      </c>
      <c r="Y125" s="104">
        <f t="shared" si="8"/>
        <v>8230.3709329156845</v>
      </c>
      <c r="Z125" s="104">
        <f t="shared" si="8"/>
        <v>8230.3709329156845</v>
      </c>
      <c r="AA125" s="104">
        <f t="shared" si="8"/>
        <v>8230.3709329156845</v>
      </c>
      <c r="AB125" s="104">
        <f t="shared" si="8"/>
        <v>8230.3709329156845</v>
      </c>
      <c r="AC125" s="104">
        <f t="shared" si="8"/>
        <v>8230.3709329156845</v>
      </c>
      <c r="AD125" s="104">
        <f t="shared" si="8"/>
        <v>8230.3709329156845</v>
      </c>
      <c r="AE125" s="104">
        <f t="shared" si="8"/>
        <v>8230.3709329156845</v>
      </c>
      <c r="AF125" s="104">
        <f t="shared" si="8"/>
        <v>8230.3709329156845</v>
      </c>
      <c r="AG125" s="104">
        <f t="shared" si="8"/>
        <v>8230.3709329156845</v>
      </c>
      <c r="AH125" s="104">
        <f t="shared" si="8"/>
        <v>8230.3709329156845</v>
      </c>
      <c r="AI125" s="104">
        <f t="shared" si="8"/>
        <v>8230.3709329156845</v>
      </c>
      <c r="AJ125" s="104">
        <f t="shared" si="8"/>
        <v>8230.3709329156845</v>
      </c>
      <c r="AK125" s="104">
        <f t="shared" si="8"/>
        <v>8230.3709329156845</v>
      </c>
      <c r="AL125" s="104">
        <f t="shared" si="8"/>
        <v>8230.3709329156845</v>
      </c>
      <c r="AM125" s="104">
        <f t="shared" si="8"/>
        <v>8230.3709329156845</v>
      </c>
      <c r="AN125" s="104">
        <f t="shared" si="8"/>
        <v>8230.3709329156845</v>
      </c>
      <c r="AO125" s="104">
        <f t="shared" si="8"/>
        <v>8230.3709329156845</v>
      </c>
      <c r="AP125" s="104">
        <f t="shared" si="8"/>
        <v>8230.3709329156845</v>
      </c>
      <c r="AQ125" s="104">
        <f t="shared" si="8"/>
        <v>8230.3709329156845</v>
      </c>
      <c r="AR125" s="104">
        <f t="shared" si="8"/>
        <v>8230.3709329156845</v>
      </c>
      <c r="AS125" s="104">
        <f t="shared" si="8"/>
        <v>8230.3709329156845</v>
      </c>
      <c r="AT125" s="104">
        <f t="shared" si="8"/>
        <v>8230.3709329156845</v>
      </c>
      <c r="AU125" s="104">
        <f t="shared" si="8"/>
        <v>8230.3709329156845</v>
      </c>
      <c r="AV125" s="104">
        <f t="shared" si="8"/>
        <v>8230.3709329156845</v>
      </c>
      <c r="AW125" s="104">
        <f t="shared" si="8"/>
        <v>8230.3709329156845</v>
      </c>
      <c r="AX125" s="104">
        <f t="shared" si="8"/>
        <v>8230.3709329156845</v>
      </c>
    </row>
    <row r="126" spans="1:50">
      <c r="A126" s="104" t="s">
        <v>108</v>
      </c>
      <c r="B126" s="104" t="s">
        <v>5</v>
      </c>
      <c r="C126" s="99">
        <v>0</v>
      </c>
      <c r="D126" s="99">
        <v>0</v>
      </c>
      <c r="E126" s="99">
        <v>0</v>
      </c>
      <c r="F126" s="99">
        <v>0</v>
      </c>
      <c r="G126" s="99">
        <v>0</v>
      </c>
      <c r="H126" s="99">
        <v>0</v>
      </c>
      <c r="I126" s="99">
        <v>0</v>
      </c>
      <c r="J126" s="99">
        <v>0</v>
      </c>
      <c r="K126" s="99">
        <v>0</v>
      </c>
      <c r="L126" s="99">
        <v>0</v>
      </c>
      <c r="M126" s="99">
        <v>0</v>
      </c>
      <c r="N126" s="99">
        <v>0</v>
      </c>
      <c r="O126" s="99">
        <v>0</v>
      </c>
      <c r="P126" s="99">
        <v>0</v>
      </c>
      <c r="Q126" s="99">
        <v>0</v>
      </c>
      <c r="R126" s="99">
        <v>0</v>
      </c>
      <c r="S126" s="99">
        <v>0</v>
      </c>
      <c r="T126" s="99">
        <v>0</v>
      </c>
      <c r="U126" s="99">
        <v>0</v>
      </c>
      <c r="V126" s="99">
        <v>0</v>
      </c>
      <c r="W126" s="99">
        <v>0</v>
      </c>
      <c r="X126" s="99">
        <v>0</v>
      </c>
      <c r="Y126" s="99">
        <v>0</v>
      </c>
      <c r="Z126" s="99">
        <v>0</v>
      </c>
      <c r="AA126" s="99">
        <v>0</v>
      </c>
      <c r="AB126" s="99">
        <v>0</v>
      </c>
      <c r="AC126" s="99">
        <v>0</v>
      </c>
      <c r="AD126" s="99">
        <v>0</v>
      </c>
      <c r="AE126" s="99">
        <v>0</v>
      </c>
      <c r="AF126" s="99">
        <v>0</v>
      </c>
      <c r="AG126" s="99">
        <v>0</v>
      </c>
      <c r="AH126" s="99">
        <v>0</v>
      </c>
      <c r="AI126" s="99">
        <v>0</v>
      </c>
      <c r="AJ126" s="99">
        <v>0</v>
      </c>
      <c r="AK126" s="99">
        <v>0</v>
      </c>
      <c r="AL126" s="99">
        <v>0</v>
      </c>
      <c r="AM126" s="99">
        <v>0</v>
      </c>
      <c r="AN126" s="99">
        <v>0</v>
      </c>
      <c r="AO126" s="99">
        <v>0</v>
      </c>
      <c r="AP126" s="99">
        <v>0</v>
      </c>
      <c r="AQ126" s="99">
        <v>0</v>
      </c>
      <c r="AR126" s="99">
        <v>0</v>
      </c>
      <c r="AS126" s="99">
        <v>0</v>
      </c>
      <c r="AT126" s="99">
        <v>0</v>
      </c>
      <c r="AU126" s="99">
        <v>0</v>
      </c>
      <c r="AV126" s="99">
        <v>0</v>
      </c>
      <c r="AW126" s="99">
        <v>0</v>
      </c>
      <c r="AX126" s="99">
        <v>0</v>
      </c>
    </row>
    <row r="127" spans="1:50">
      <c r="B127" s="104" t="s">
        <v>10</v>
      </c>
      <c r="C127" s="99">
        <v>0</v>
      </c>
      <c r="D127" s="99">
        <v>0</v>
      </c>
      <c r="E127" s="99">
        <v>0</v>
      </c>
      <c r="F127" s="99">
        <v>0</v>
      </c>
      <c r="G127" s="99">
        <v>0</v>
      </c>
      <c r="H127" s="99">
        <v>0</v>
      </c>
      <c r="I127" s="99">
        <v>0</v>
      </c>
      <c r="J127" s="99">
        <v>0</v>
      </c>
      <c r="K127" s="99">
        <v>0</v>
      </c>
      <c r="L127" s="99">
        <v>0</v>
      </c>
      <c r="M127" s="99">
        <v>0</v>
      </c>
      <c r="N127" s="99">
        <v>0</v>
      </c>
      <c r="O127" s="99">
        <v>0</v>
      </c>
      <c r="P127" s="99">
        <v>0</v>
      </c>
      <c r="Q127" s="99">
        <v>0</v>
      </c>
      <c r="R127" s="99">
        <v>0</v>
      </c>
      <c r="S127" s="99">
        <v>0</v>
      </c>
      <c r="T127" s="99">
        <v>0</v>
      </c>
      <c r="U127" s="99">
        <v>0</v>
      </c>
      <c r="V127" s="99">
        <v>0</v>
      </c>
      <c r="W127" s="99">
        <v>0</v>
      </c>
      <c r="X127" s="99">
        <v>0</v>
      </c>
      <c r="Y127" s="99">
        <v>0</v>
      </c>
      <c r="Z127" s="99">
        <v>0</v>
      </c>
      <c r="AA127" s="99">
        <v>0</v>
      </c>
      <c r="AB127" s="99">
        <v>0</v>
      </c>
      <c r="AC127" s="99">
        <v>0</v>
      </c>
      <c r="AD127" s="99">
        <v>0</v>
      </c>
      <c r="AE127" s="99">
        <v>0</v>
      </c>
      <c r="AF127" s="99">
        <v>0</v>
      </c>
      <c r="AG127" s="99">
        <v>0</v>
      </c>
      <c r="AH127" s="99">
        <v>0</v>
      </c>
      <c r="AI127" s="99">
        <v>0</v>
      </c>
      <c r="AJ127" s="99">
        <v>0</v>
      </c>
      <c r="AK127" s="99">
        <v>0</v>
      </c>
      <c r="AL127" s="99">
        <v>0</v>
      </c>
      <c r="AM127" s="99">
        <v>0</v>
      </c>
      <c r="AN127" s="99">
        <v>0</v>
      </c>
      <c r="AO127" s="99">
        <v>0</v>
      </c>
      <c r="AP127" s="99">
        <v>0</v>
      </c>
      <c r="AQ127" s="99">
        <v>0</v>
      </c>
      <c r="AR127" s="99">
        <v>0</v>
      </c>
      <c r="AS127" s="99">
        <v>0</v>
      </c>
      <c r="AT127" s="99">
        <v>0</v>
      </c>
      <c r="AU127" s="99">
        <v>0</v>
      </c>
      <c r="AV127" s="99">
        <v>0</v>
      </c>
      <c r="AW127" s="99">
        <v>0</v>
      </c>
      <c r="AX127" s="99">
        <v>0</v>
      </c>
    </row>
    <row r="128" spans="1:50">
      <c r="B128" s="104" t="s">
        <v>12</v>
      </c>
      <c r="C128" s="99">
        <v>0</v>
      </c>
      <c r="D128" s="99">
        <v>0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9">
        <v>0</v>
      </c>
      <c r="O128" s="99">
        <v>0</v>
      </c>
      <c r="P128" s="99">
        <v>0</v>
      </c>
      <c r="Q128" s="99">
        <v>0</v>
      </c>
      <c r="R128" s="99">
        <v>0</v>
      </c>
      <c r="S128" s="99">
        <v>0</v>
      </c>
      <c r="T128" s="99">
        <v>0</v>
      </c>
      <c r="U128" s="99">
        <v>0</v>
      </c>
      <c r="V128" s="99">
        <v>0</v>
      </c>
      <c r="W128" s="99">
        <v>0</v>
      </c>
      <c r="X128" s="99">
        <v>0</v>
      </c>
      <c r="Y128" s="99">
        <v>0</v>
      </c>
      <c r="Z128" s="99">
        <v>0</v>
      </c>
      <c r="AA128" s="99">
        <v>0</v>
      </c>
      <c r="AB128" s="99">
        <v>0</v>
      </c>
      <c r="AC128" s="99">
        <v>0</v>
      </c>
      <c r="AD128" s="99">
        <v>0</v>
      </c>
      <c r="AE128" s="99">
        <v>0</v>
      </c>
      <c r="AF128" s="99">
        <v>0</v>
      </c>
      <c r="AG128" s="99">
        <v>0</v>
      </c>
      <c r="AH128" s="99">
        <v>0</v>
      </c>
      <c r="AI128" s="99">
        <v>0</v>
      </c>
      <c r="AJ128" s="99">
        <v>0</v>
      </c>
      <c r="AK128" s="99">
        <v>0</v>
      </c>
      <c r="AL128" s="99">
        <v>0</v>
      </c>
      <c r="AM128" s="99">
        <v>0</v>
      </c>
      <c r="AN128" s="99">
        <v>0</v>
      </c>
      <c r="AO128" s="99">
        <v>0</v>
      </c>
      <c r="AP128" s="99">
        <v>0</v>
      </c>
      <c r="AQ128" s="99">
        <v>0</v>
      </c>
      <c r="AR128" s="99">
        <v>0</v>
      </c>
      <c r="AS128" s="99">
        <v>0</v>
      </c>
      <c r="AT128" s="99">
        <v>0</v>
      </c>
      <c r="AU128" s="99">
        <v>0</v>
      </c>
      <c r="AV128" s="99">
        <v>0</v>
      </c>
      <c r="AW128" s="99">
        <v>0</v>
      </c>
      <c r="AX128" s="99">
        <v>0</v>
      </c>
    </row>
    <row r="129" spans="1:50">
      <c r="B129" s="104" t="s">
        <v>22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1:50">
      <c r="B130" s="104" t="s">
        <v>46</v>
      </c>
      <c r="C130" s="99">
        <v>0</v>
      </c>
      <c r="D130" s="99">
        <v>0</v>
      </c>
      <c r="E130" s="99">
        <v>0</v>
      </c>
      <c r="F130" s="99">
        <v>0</v>
      </c>
      <c r="G130" s="99">
        <v>0</v>
      </c>
      <c r="H130" s="99">
        <v>0</v>
      </c>
      <c r="I130" s="99">
        <v>0</v>
      </c>
      <c r="J130" s="99">
        <v>0</v>
      </c>
      <c r="K130" s="99">
        <v>0</v>
      </c>
      <c r="L130" s="99">
        <v>0</v>
      </c>
      <c r="M130" s="99">
        <v>0</v>
      </c>
      <c r="N130" s="99">
        <v>0</v>
      </c>
      <c r="O130" s="99">
        <v>0</v>
      </c>
      <c r="P130" s="99">
        <v>0</v>
      </c>
      <c r="Q130" s="99">
        <v>0</v>
      </c>
      <c r="R130" s="99">
        <v>0</v>
      </c>
      <c r="S130" s="99">
        <v>0</v>
      </c>
      <c r="T130" s="99">
        <v>0</v>
      </c>
      <c r="U130" s="99">
        <v>0</v>
      </c>
      <c r="V130" s="99">
        <v>0</v>
      </c>
      <c r="W130" s="99">
        <v>0</v>
      </c>
      <c r="X130" s="99">
        <v>0</v>
      </c>
      <c r="Y130" s="99">
        <v>0</v>
      </c>
      <c r="Z130" s="99">
        <v>0</v>
      </c>
      <c r="AA130" s="99">
        <v>0</v>
      </c>
      <c r="AB130" s="99">
        <v>0</v>
      </c>
      <c r="AC130" s="99">
        <v>0</v>
      </c>
      <c r="AD130" s="99">
        <v>0</v>
      </c>
      <c r="AE130" s="99">
        <v>0</v>
      </c>
      <c r="AF130" s="99">
        <v>0</v>
      </c>
      <c r="AG130" s="99">
        <v>0</v>
      </c>
      <c r="AH130" s="99">
        <v>0</v>
      </c>
      <c r="AI130" s="99">
        <v>0</v>
      </c>
      <c r="AJ130" s="99">
        <v>0</v>
      </c>
      <c r="AK130" s="99">
        <v>0</v>
      </c>
      <c r="AL130" s="99">
        <v>0</v>
      </c>
      <c r="AM130" s="99">
        <v>0</v>
      </c>
      <c r="AN130" s="99">
        <v>0</v>
      </c>
      <c r="AO130" s="99">
        <v>0</v>
      </c>
      <c r="AP130" s="99">
        <v>0</v>
      </c>
      <c r="AQ130" s="99">
        <v>0</v>
      </c>
      <c r="AR130" s="99">
        <v>0</v>
      </c>
      <c r="AS130" s="99">
        <v>0</v>
      </c>
      <c r="AT130" s="99">
        <v>0</v>
      </c>
      <c r="AU130" s="99">
        <v>0</v>
      </c>
      <c r="AV130" s="99">
        <v>0</v>
      </c>
      <c r="AW130" s="99">
        <v>0</v>
      </c>
      <c r="AX130" s="99">
        <v>0</v>
      </c>
    </row>
    <row r="131" spans="1:50">
      <c r="B131" s="104" t="s">
        <v>59</v>
      </c>
      <c r="C131" s="99">
        <v>0</v>
      </c>
      <c r="D131" s="99">
        <v>0</v>
      </c>
      <c r="E131" s="99">
        <v>0</v>
      </c>
      <c r="F131" s="99">
        <v>0</v>
      </c>
      <c r="G131" s="99">
        <v>0</v>
      </c>
      <c r="H131" s="99">
        <v>0</v>
      </c>
      <c r="I131" s="99">
        <v>0</v>
      </c>
      <c r="J131" s="99">
        <v>0</v>
      </c>
      <c r="K131" s="99">
        <v>0</v>
      </c>
      <c r="L131" s="99">
        <v>0</v>
      </c>
      <c r="M131" s="99">
        <v>0</v>
      </c>
      <c r="N131" s="99">
        <v>0</v>
      </c>
      <c r="O131" s="99">
        <v>0</v>
      </c>
      <c r="P131" s="99">
        <v>0</v>
      </c>
      <c r="Q131" s="99">
        <v>0</v>
      </c>
      <c r="R131" s="99">
        <v>0</v>
      </c>
      <c r="S131" s="99">
        <v>0</v>
      </c>
      <c r="T131" s="99">
        <v>0</v>
      </c>
      <c r="U131" s="99">
        <v>0</v>
      </c>
      <c r="V131" s="99">
        <v>0</v>
      </c>
      <c r="W131" s="99">
        <v>0</v>
      </c>
      <c r="X131" s="99">
        <v>0</v>
      </c>
      <c r="Y131" s="99">
        <v>0</v>
      </c>
      <c r="Z131" s="99">
        <v>0</v>
      </c>
      <c r="AA131" s="99">
        <v>0</v>
      </c>
      <c r="AB131" s="99">
        <v>0</v>
      </c>
      <c r="AC131" s="99">
        <v>0</v>
      </c>
      <c r="AD131" s="99">
        <v>0</v>
      </c>
      <c r="AE131" s="99">
        <v>0</v>
      </c>
      <c r="AF131" s="99">
        <v>0</v>
      </c>
      <c r="AG131" s="99">
        <v>0</v>
      </c>
      <c r="AH131" s="99">
        <v>0</v>
      </c>
      <c r="AI131" s="99">
        <v>0</v>
      </c>
      <c r="AJ131" s="99">
        <v>0</v>
      </c>
      <c r="AK131" s="99">
        <v>0</v>
      </c>
      <c r="AL131" s="99">
        <v>0</v>
      </c>
      <c r="AM131" s="99">
        <v>0</v>
      </c>
      <c r="AN131" s="99">
        <v>0</v>
      </c>
      <c r="AO131" s="99">
        <v>0</v>
      </c>
      <c r="AP131" s="99">
        <v>0</v>
      </c>
      <c r="AQ131" s="99">
        <v>0</v>
      </c>
      <c r="AR131" s="99">
        <v>0</v>
      </c>
      <c r="AS131" s="99">
        <v>0</v>
      </c>
      <c r="AT131" s="99">
        <v>0</v>
      </c>
      <c r="AU131" s="99">
        <v>0</v>
      </c>
      <c r="AV131" s="99">
        <v>0</v>
      </c>
      <c r="AW131" s="99">
        <v>0</v>
      </c>
      <c r="AX131" s="99">
        <v>0</v>
      </c>
    </row>
    <row r="132" spans="1:50">
      <c r="B132" s="99" t="s">
        <v>278</v>
      </c>
      <c r="C132" s="104">
        <f>SUM(C$126:C$131)</f>
        <v>0</v>
      </c>
      <c r="D132" s="104">
        <f t="shared" ref="D132:AX132" si="9">SUM(D$126:D$131)</f>
        <v>0</v>
      </c>
      <c r="E132" s="104">
        <f t="shared" si="9"/>
        <v>0</v>
      </c>
      <c r="F132" s="104">
        <f t="shared" si="9"/>
        <v>0</v>
      </c>
      <c r="G132" s="104">
        <f t="shared" si="9"/>
        <v>0</v>
      </c>
      <c r="H132" s="104">
        <f t="shared" si="9"/>
        <v>0</v>
      </c>
      <c r="I132" s="104">
        <f t="shared" si="9"/>
        <v>0</v>
      </c>
      <c r="J132" s="104">
        <f t="shared" si="9"/>
        <v>0</v>
      </c>
      <c r="K132" s="104">
        <f t="shared" si="9"/>
        <v>0</v>
      </c>
      <c r="L132" s="104">
        <f t="shared" si="9"/>
        <v>0</v>
      </c>
      <c r="M132" s="104">
        <f t="shared" si="9"/>
        <v>0</v>
      </c>
      <c r="N132" s="104">
        <f t="shared" si="9"/>
        <v>0</v>
      </c>
      <c r="O132" s="104">
        <f t="shared" si="9"/>
        <v>0</v>
      </c>
      <c r="P132" s="104">
        <f t="shared" si="9"/>
        <v>0</v>
      </c>
      <c r="Q132" s="104">
        <f t="shared" si="9"/>
        <v>0</v>
      </c>
      <c r="R132" s="104">
        <f t="shared" si="9"/>
        <v>0</v>
      </c>
      <c r="S132" s="104">
        <f t="shared" si="9"/>
        <v>0</v>
      </c>
      <c r="T132" s="104">
        <f t="shared" si="9"/>
        <v>0</v>
      </c>
      <c r="U132" s="104">
        <f t="shared" si="9"/>
        <v>0</v>
      </c>
      <c r="V132" s="104">
        <f t="shared" si="9"/>
        <v>0</v>
      </c>
      <c r="W132" s="104">
        <f t="shared" si="9"/>
        <v>0</v>
      </c>
      <c r="X132" s="104">
        <f t="shared" si="9"/>
        <v>0</v>
      </c>
      <c r="Y132" s="104">
        <f t="shared" si="9"/>
        <v>0</v>
      </c>
      <c r="Z132" s="104">
        <f t="shared" si="9"/>
        <v>0</v>
      </c>
      <c r="AA132" s="104">
        <f t="shared" si="9"/>
        <v>0</v>
      </c>
      <c r="AB132" s="104">
        <f t="shared" si="9"/>
        <v>0</v>
      </c>
      <c r="AC132" s="104">
        <f t="shared" si="9"/>
        <v>0</v>
      </c>
      <c r="AD132" s="104">
        <f t="shared" si="9"/>
        <v>0</v>
      </c>
      <c r="AE132" s="104">
        <f t="shared" si="9"/>
        <v>0</v>
      </c>
      <c r="AF132" s="104">
        <f t="shared" si="9"/>
        <v>0</v>
      </c>
      <c r="AG132" s="104">
        <f t="shared" si="9"/>
        <v>0</v>
      </c>
      <c r="AH132" s="104">
        <f t="shared" si="9"/>
        <v>0</v>
      </c>
      <c r="AI132" s="104">
        <f t="shared" si="9"/>
        <v>0</v>
      </c>
      <c r="AJ132" s="104">
        <f t="shared" si="9"/>
        <v>0</v>
      </c>
      <c r="AK132" s="104">
        <f t="shared" si="9"/>
        <v>0</v>
      </c>
      <c r="AL132" s="104">
        <f t="shared" si="9"/>
        <v>0</v>
      </c>
      <c r="AM132" s="104">
        <f t="shared" si="9"/>
        <v>0</v>
      </c>
      <c r="AN132" s="104">
        <f t="shared" si="9"/>
        <v>0</v>
      </c>
      <c r="AO132" s="104">
        <f t="shared" si="9"/>
        <v>0</v>
      </c>
      <c r="AP132" s="104">
        <f t="shared" si="9"/>
        <v>0</v>
      </c>
      <c r="AQ132" s="104">
        <f t="shared" si="9"/>
        <v>0</v>
      </c>
      <c r="AR132" s="104">
        <f t="shared" si="9"/>
        <v>0</v>
      </c>
      <c r="AS132" s="104">
        <f t="shared" si="9"/>
        <v>0</v>
      </c>
      <c r="AT132" s="104">
        <f t="shared" si="9"/>
        <v>0</v>
      </c>
      <c r="AU132" s="104">
        <f t="shared" si="9"/>
        <v>0</v>
      </c>
      <c r="AV132" s="104">
        <f t="shared" si="9"/>
        <v>0</v>
      </c>
      <c r="AW132" s="104">
        <f t="shared" si="9"/>
        <v>0</v>
      </c>
      <c r="AX132" s="104">
        <f t="shared" si="9"/>
        <v>0</v>
      </c>
    </row>
    <row r="133" spans="1:50">
      <c r="A133" s="104" t="s">
        <v>109</v>
      </c>
      <c r="B133" s="104" t="s">
        <v>5</v>
      </c>
      <c r="C133" s="99">
        <v>0</v>
      </c>
      <c r="D133" s="99">
        <v>0</v>
      </c>
      <c r="E133" s="99">
        <v>0</v>
      </c>
      <c r="F133" s="99">
        <v>0</v>
      </c>
      <c r="G133" s="99">
        <v>0</v>
      </c>
      <c r="H133" s="99">
        <v>0</v>
      </c>
      <c r="I133" s="99">
        <v>0</v>
      </c>
      <c r="J133" s="99">
        <v>0</v>
      </c>
      <c r="K133" s="99">
        <v>0</v>
      </c>
      <c r="L133" s="99">
        <v>0</v>
      </c>
      <c r="M133" s="99">
        <v>0</v>
      </c>
      <c r="N133" s="99">
        <v>0</v>
      </c>
      <c r="O133" s="99">
        <v>0</v>
      </c>
      <c r="P133" s="99">
        <v>0</v>
      </c>
      <c r="Q133" s="99">
        <v>0</v>
      </c>
      <c r="R133" s="99">
        <v>0</v>
      </c>
      <c r="S133" s="99">
        <v>0</v>
      </c>
      <c r="T133" s="99">
        <v>0</v>
      </c>
      <c r="U133" s="99">
        <v>0</v>
      </c>
      <c r="V133" s="99">
        <v>0</v>
      </c>
      <c r="W133" s="99">
        <v>0</v>
      </c>
      <c r="X133" s="99">
        <v>0</v>
      </c>
      <c r="Y133" s="99">
        <v>0</v>
      </c>
      <c r="Z133" s="99">
        <v>0</v>
      </c>
      <c r="AA133" s="99">
        <v>0</v>
      </c>
      <c r="AB133" s="99">
        <v>0</v>
      </c>
      <c r="AC133" s="99">
        <v>0</v>
      </c>
      <c r="AD133" s="99">
        <v>0</v>
      </c>
      <c r="AE133" s="99">
        <v>0</v>
      </c>
      <c r="AF133" s="99">
        <v>0</v>
      </c>
      <c r="AG133" s="99">
        <v>0</v>
      </c>
      <c r="AH133" s="99">
        <v>0</v>
      </c>
      <c r="AI133" s="99">
        <v>0</v>
      </c>
      <c r="AJ133" s="99">
        <v>0</v>
      </c>
      <c r="AK133" s="99">
        <v>0</v>
      </c>
      <c r="AL133" s="99">
        <v>0</v>
      </c>
      <c r="AM133" s="99">
        <v>0</v>
      </c>
      <c r="AN133" s="99">
        <v>0</v>
      </c>
      <c r="AO133" s="99">
        <v>0</v>
      </c>
      <c r="AP133" s="99">
        <v>0</v>
      </c>
      <c r="AQ133" s="99">
        <v>0</v>
      </c>
      <c r="AR133" s="99">
        <v>0</v>
      </c>
      <c r="AS133" s="99">
        <v>0</v>
      </c>
      <c r="AT133" s="99">
        <v>0</v>
      </c>
      <c r="AU133" s="99">
        <v>0</v>
      </c>
      <c r="AV133" s="99">
        <v>0</v>
      </c>
      <c r="AW133" s="99">
        <v>0</v>
      </c>
      <c r="AX133" s="99">
        <v>0</v>
      </c>
    </row>
    <row r="134" spans="1:50">
      <c r="B134" s="104" t="s">
        <v>10</v>
      </c>
      <c r="C134" s="99">
        <v>0</v>
      </c>
      <c r="D134" s="99">
        <v>0</v>
      </c>
      <c r="E134" s="99">
        <v>0</v>
      </c>
      <c r="F134" s="99">
        <v>0</v>
      </c>
      <c r="G134" s="99">
        <v>0</v>
      </c>
      <c r="H134" s="99">
        <v>0</v>
      </c>
      <c r="I134" s="99">
        <v>0</v>
      </c>
      <c r="J134" s="99">
        <v>0</v>
      </c>
      <c r="K134" s="99">
        <v>0</v>
      </c>
      <c r="L134" s="99">
        <v>0</v>
      </c>
      <c r="M134" s="99">
        <v>0</v>
      </c>
      <c r="N134" s="99">
        <v>0</v>
      </c>
      <c r="O134" s="99">
        <v>0</v>
      </c>
      <c r="P134" s="99">
        <v>0</v>
      </c>
      <c r="Q134" s="99">
        <v>0</v>
      </c>
      <c r="R134" s="99">
        <v>0</v>
      </c>
      <c r="S134" s="99">
        <v>0</v>
      </c>
      <c r="T134" s="99">
        <v>0</v>
      </c>
      <c r="U134" s="99">
        <v>0</v>
      </c>
      <c r="V134" s="99">
        <v>0</v>
      </c>
      <c r="W134" s="99">
        <v>0</v>
      </c>
      <c r="X134" s="99">
        <v>0</v>
      </c>
      <c r="Y134" s="99">
        <v>0</v>
      </c>
      <c r="Z134" s="99">
        <v>0</v>
      </c>
      <c r="AA134" s="99">
        <v>0</v>
      </c>
      <c r="AB134" s="99">
        <v>0</v>
      </c>
      <c r="AC134" s="99">
        <v>0</v>
      </c>
      <c r="AD134" s="99">
        <v>0</v>
      </c>
      <c r="AE134" s="99">
        <v>0</v>
      </c>
      <c r="AF134" s="99">
        <v>0</v>
      </c>
      <c r="AG134" s="99">
        <v>0</v>
      </c>
      <c r="AH134" s="99">
        <v>0</v>
      </c>
      <c r="AI134" s="99">
        <v>0</v>
      </c>
      <c r="AJ134" s="99">
        <v>0</v>
      </c>
      <c r="AK134" s="99">
        <v>0</v>
      </c>
      <c r="AL134" s="99">
        <v>0</v>
      </c>
      <c r="AM134" s="99">
        <v>0</v>
      </c>
      <c r="AN134" s="99">
        <v>0</v>
      </c>
      <c r="AO134" s="99">
        <v>0</v>
      </c>
      <c r="AP134" s="99">
        <v>0</v>
      </c>
      <c r="AQ134" s="99">
        <v>0</v>
      </c>
      <c r="AR134" s="99">
        <v>0</v>
      </c>
      <c r="AS134" s="99">
        <v>0</v>
      </c>
      <c r="AT134" s="99">
        <v>0</v>
      </c>
      <c r="AU134" s="99">
        <v>0</v>
      </c>
      <c r="AV134" s="99">
        <v>0</v>
      </c>
      <c r="AW134" s="99">
        <v>0</v>
      </c>
      <c r="AX134" s="99">
        <v>0</v>
      </c>
    </row>
    <row r="135" spans="1:50">
      <c r="B135" s="104" t="s">
        <v>12</v>
      </c>
      <c r="C135" s="99">
        <v>0</v>
      </c>
      <c r="D135" s="99">
        <v>0</v>
      </c>
      <c r="E135" s="99">
        <v>0</v>
      </c>
      <c r="F135" s="99">
        <v>0</v>
      </c>
      <c r="G135" s="99">
        <v>0</v>
      </c>
      <c r="H135" s="99">
        <v>0</v>
      </c>
      <c r="I135" s="99">
        <v>0</v>
      </c>
      <c r="J135" s="99">
        <v>0</v>
      </c>
      <c r="K135" s="99">
        <v>0</v>
      </c>
      <c r="L135" s="99">
        <v>0</v>
      </c>
      <c r="M135" s="99">
        <v>0</v>
      </c>
      <c r="N135" s="99">
        <v>0</v>
      </c>
      <c r="O135" s="99">
        <v>0</v>
      </c>
      <c r="P135" s="99">
        <v>0</v>
      </c>
      <c r="Q135" s="99">
        <v>0</v>
      </c>
      <c r="R135" s="99">
        <v>0</v>
      </c>
      <c r="S135" s="99">
        <v>0</v>
      </c>
      <c r="T135" s="99">
        <v>0</v>
      </c>
      <c r="U135" s="99">
        <v>0</v>
      </c>
      <c r="V135" s="99">
        <v>0</v>
      </c>
      <c r="W135" s="99">
        <v>0</v>
      </c>
      <c r="X135" s="99">
        <v>0</v>
      </c>
      <c r="Y135" s="99">
        <v>0</v>
      </c>
      <c r="Z135" s="99">
        <v>0</v>
      </c>
      <c r="AA135" s="99">
        <v>0</v>
      </c>
      <c r="AB135" s="99">
        <v>0</v>
      </c>
      <c r="AC135" s="99">
        <v>0</v>
      </c>
      <c r="AD135" s="99">
        <v>0</v>
      </c>
      <c r="AE135" s="99">
        <v>0</v>
      </c>
      <c r="AF135" s="99">
        <v>0</v>
      </c>
      <c r="AG135" s="99">
        <v>0</v>
      </c>
      <c r="AH135" s="99">
        <v>0</v>
      </c>
      <c r="AI135" s="99">
        <v>0</v>
      </c>
      <c r="AJ135" s="99">
        <v>0</v>
      </c>
      <c r="AK135" s="99">
        <v>0</v>
      </c>
      <c r="AL135" s="99">
        <v>0</v>
      </c>
      <c r="AM135" s="99">
        <v>0</v>
      </c>
      <c r="AN135" s="99">
        <v>0</v>
      </c>
      <c r="AO135" s="99">
        <v>0</v>
      </c>
      <c r="AP135" s="99">
        <v>0</v>
      </c>
      <c r="AQ135" s="99">
        <v>0</v>
      </c>
      <c r="AR135" s="99">
        <v>0</v>
      </c>
      <c r="AS135" s="99">
        <v>0</v>
      </c>
      <c r="AT135" s="99">
        <v>0</v>
      </c>
      <c r="AU135" s="99">
        <v>0</v>
      </c>
      <c r="AV135" s="99">
        <v>0</v>
      </c>
      <c r="AW135" s="99">
        <v>0</v>
      </c>
      <c r="AX135" s="99">
        <v>0</v>
      </c>
    </row>
    <row r="136" spans="1:50">
      <c r="B136" s="104" t="s">
        <v>22</v>
      </c>
      <c r="C136" s="99">
        <v>0</v>
      </c>
      <c r="D136" s="99">
        <v>0</v>
      </c>
      <c r="E136" s="99">
        <v>0</v>
      </c>
      <c r="F136" s="99">
        <v>0</v>
      </c>
      <c r="G136" s="99">
        <v>0</v>
      </c>
      <c r="H136" s="99">
        <v>0</v>
      </c>
      <c r="I136" s="99">
        <v>0</v>
      </c>
      <c r="J136" s="99">
        <v>0</v>
      </c>
      <c r="K136" s="99">
        <v>0</v>
      </c>
      <c r="L136" s="99">
        <v>0</v>
      </c>
      <c r="M136" s="99">
        <v>0</v>
      </c>
      <c r="N136" s="99">
        <v>0</v>
      </c>
      <c r="O136" s="99">
        <v>0</v>
      </c>
      <c r="P136" s="99">
        <v>0</v>
      </c>
      <c r="Q136" s="99">
        <v>0</v>
      </c>
      <c r="R136" s="99">
        <v>0</v>
      </c>
      <c r="S136" s="99">
        <v>0</v>
      </c>
      <c r="T136" s="99">
        <v>0</v>
      </c>
      <c r="U136" s="99">
        <v>0</v>
      </c>
      <c r="V136" s="99">
        <v>0</v>
      </c>
      <c r="W136" s="99">
        <v>0</v>
      </c>
      <c r="X136" s="99">
        <v>0</v>
      </c>
      <c r="Y136" s="99">
        <v>0</v>
      </c>
      <c r="Z136" s="99">
        <v>0</v>
      </c>
      <c r="AA136" s="99">
        <v>0</v>
      </c>
      <c r="AB136" s="99">
        <v>0</v>
      </c>
      <c r="AC136" s="99">
        <v>0</v>
      </c>
      <c r="AD136" s="99">
        <v>0</v>
      </c>
      <c r="AE136" s="99">
        <v>0</v>
      </c>
      <c r="AF136" s="99">
        <v>0</v>
      </c>
      <c r="AG136" s="99">
        <v>0</v>
      </c>
      <c r="AH136" s="99">
        <v>0</v>
      </c>
      <c r="AI136" s="99">
        <v>0</v>
      </c>
      <c r="AJ136" s="99">
        <v>0</v>
      </c>
      <c r="AK136" s="99">
        <v>0</v>
      </c>
      <c r="AL136" s="99">
        <v>0</v>
      </c>
      <c r="AM136" s="99">
        <v>0</v>
      </c>
      <c r="AN136" s="99">
        <v>0</v>
      </c>
      <c r="AO136" s="99">
        <v>0</v>
      </c>
      <c r="AP136" s="99">
        <v>0</v>
      </c>
      <c r="AQ136" s="99">
        <v>0</v>
      </c>
      <c r="AR136" s="99">
        <v>0</v>
      </c>
      <c r="AS136" s="99">
        <v>0</v>
      </c>
      <c r="AT136" s="99">
        <v>0</v>
      </c>
      <c r="AU136" s="99">
        <v>0</v>
      </c>
      <c r="AV136" s="99">
        <v>0</v>
      </c>
      <c r="AW136" s="99">
        <v>0</v>
      </c>
      <c r="AX136" s="99">
        <v>0</v>
      </c>
    </row>
    <row r="137" spans="1:50">
      <c r="B137" s="104" t="s">
        <v>46</v>
      </c>
      <c r="C137" s="99">
        <v>0</v>
      </c>
      <c r="D137" s="99">
        <v>0</v>
      </c>
      <c r="E137" s="99">
        <v>0</v>
      </c>
      <c r="F137" s="99">
        <v>0</v>
      </c>
      <c r="G137" s="99">
        <v>0</v>
      </c>
      <c r="H137" s="99">
        <v>0</v>
      </c>
      <c r="I137" s="99">
        <v>0</v>
      </c>
      <c r="J137" s="99">
        <v>0</v>
      </c>
      <c r="K137" s="99">
        <v>0</v>
      </c>
      <c r="L137" s="99">
        <v>0</v>
      </c>
      <c r="M137" s="99">
        <v>0</v>
      </c>
      <c r="N137" s="99">
        <v>0</v>
      </c>
      <c r="O137" s="99">
        <v>0</v>
      </c>
      <c r="P137" s="99">
        <v>0</v>
      </c>
      <c r="Q137" s="99">
        <v>0</v>
      </c>
      <c r="R137" s="99">
        <v>0</v>
      </c>
      <c r="S137" s="99">
        <v>0</v>
      </c>
      <c r="T137" s="99">
        <v>0</v>
      </c>
      <c r="U137" s="99">
        <v>0</v>
      </c>
      <c r="V137" s="99">
        <v>0</v>
      </c>
      <c r="W137" s="99">
        <v>0</v>
      </c>
      <c r="X137" s="99">
        <v>0</v>
      </c>
      <c r="Y137" s="99">
        <v>0</v>
      </c>
      <c r="Z137" s="99">
        <v>0</v>
      </c>
      <c r="AA137" s="99">
        <v>0</v>
      </c>
      <c r="AB137" s="99">
        <v>0</v>
      </c>
      <c r="AC137" s="99">
        <v>0</v>
      </c>
      <c r="AD137" s="99">
        <v>0</v>
      </c>
      <c r="AE137" s="99">
        <v>0</v>
      </c>
      <c r="AF137" s="99">
        <v>0</v>
      </c>
      <c r="AG137" s="99">
        <v>0</v>
      </c>
      <c r="AH137" s="99">
        <v>0</v>
      </c>
      <c r="AI137" s="99">
        <v>0</v>
      </c>
      <c r="AJ137" s="99">
        <v>0</v>
      </c>
      <c r="AK137" s="99">
        <v>0</v>
      </c>
      <c r="AL137" s="99">
        <v>0</v>
      </c>
      <c r="AM137" s="99">
        <v>0</v>
      </c>
      <c r="AN137" s="99">
        <v>0</v>
      </c>
      <c r="AO137" s="99">
        <v>0</v>
      </c>
      <c r="AP137" s="99">
        <v>0</v>
      </c>
      <c r="AQ137" s="99">
        <v>0</v>
      </c>
      <c r="AR137" s="99">
        <v>0</v>
      </c>
      <c r="AS137" s="99">
        <v>0</v>
      </c>
      <c r="AT137" s="99">
        <v>0</v>
      </c>
      <c r="AU137" s="99">
        <v>0</v>
      </c>
      <c r="AV137" s="99">
        <v>0</v>
      </c>
      <c r="AW137" s="99">
        <v>0</v>
      </c>
      <c r="AX137" s="99">
        <v>0</v>
      </c>
    </row>
    <row r="138" spans="1:50">
      <c r="B138" s="104" t="s">
        <v>59</v>
      </c>
      <c r="C138" s="99">
        <v>0</v>
      </c>
      <c r="D138" s="99">
        <v>0</v>
      </c>
      <c r="E138" s="99">
        <v>0</v>
      </c>
      <c r="F138" s="99">
        <v>0</v>
      </c>
      <c r="G138" s="99">
        <v>0</v>
      </c>
      <c r="H138" s="99">
        <v>0</v>
      </c>
      <c r="I138" s="99">
        <v>0</v>
      </c>
      <c r="J138" s="99">
        <v>0</v>
      </c>
      <c r="K138" s="99">
        <v>0</v>
      </c>
      <c r="L138" s="99">
        <v>0</v>
      </c>
      <c r="M138" s="99">
        <v>0</v>
      </c>
      <c r="N138" s="99">
        <v>0</v>
      </c>
      <c r="O138" s="99">
        <v>0</v>
      </c>
      <c r="P138" s="99">
        <v>0</v>
      </c>
      <c r="Q138" s="99">
        <v>0</v>
      </c>
      <c r="R138" s="99">
        <v>0</v>
      </c>
      <c r="S138" s="99">
        <v>0</v>
      </c>
      <c r="T138" s="99">
        <v>0</v>
      </c>
      <c r="U138" s="99">
        <v>0</v>
      </c>
      <c r="V138" s="99">
        <v>0</v>
      </c>
      <c r="W138" s="99">
        <v>0</v>
      </c>
      <c r="X138" s="99">
        <v>0</v>
      </c>
      <c r="Y138" s="99">
        <v>0</v>
      </c>
      <c r="Z138" s="99">
        <v>0</v>
      </c>
      <c r="AA138" s="99">
        <v>0</v>
      </c>
      <c r="AB138" s="99">
        <v>0</v>
      </c>
      <c r="AC138" s="99">
        <v>0</v>
      </c>
      <c r="AD138" s="99">
        <v>0</v>
      </c>
      <c r="AE138" s="99">
        <v>0</v>
      </c>
      <c r="AF138" s="99">
        <v>0</v>
      </c>
      <c r="AG138" s="99">
        <v>0</v>
      </c>
      <c r="AH138" s="99">
        <v>0</v>
      </c>
      <c r="AI138" s="99">
        <v>0</v>
      </c>
      <c r="AJ138" s="99">
        <v>0</v>
      </c>
      <c r="AK138" s="99">
        <v>0</v>
      </c>
      <c r="AL138" s="99">
        <v>0</v>
      </c>
      <c r="AM138" s="99">
        <v>0</v>
      </c>
      <c r="AN138" s="99">
        <v>0</v>
      </c>
      <c r="AO138" s="99">
        <v>0</v>
      </c>
      <c r="AP138" s="99">
        <v>0</v>
      </c>
      <c r="AQ138" s="99">
        <v>0</v>
      </c>
      <c r="AR138" s="99">
        <v>0</v>
      </c>
      <c r="AS138" s="99">
        <v>0</v>
      </c>
      <c r="AT138" s="99">
        <v>0</v>
      </c>
      <c r="AU138" s="99">
        <v>0</v>
      </c>
      <c r="AV138" s="99">
        <v>0</v>
      </c>
      <c r="AW138" s="99">
        <v>0</v>
      </c>
      <c r="AX138" s="99">
        <v>0</v>
      </c>
    </row>
    <row r="139" spans="1:50">
      <c r="B139" s="99" t="s">
        <v>278</v>
      </c>
      <c r="C139" s="104">
        <f>SUM(C$133:C$138)</f>
        <v>0</v>
      </c>
      <c r="D139" s="104">
        <f t="shared" ref="D139:AX139" si="10">SUM(D$133:D$138)</f>
        <v>0</v>
      </c>
      <c r="E139" s="104">
        <f t="shared" si="10"/>
        <v>0</v>
      </c>
      <c r="F139" s="104">
        <f t="shared" si="10"/>
        <v>0</v>
      </c>
      <c r="G139" s="104">
        <f t="shared" si="10"/>
        <v>0</v>
      </c>
      <c r="H139" s="104">
        <f t="shared" si="10"/>
        <v>0</v>
      </c>
      <c r="I139" s="104">
        <f t="shared" si="10"/>
        <v>0</v>
      </c>
      <c r="J139" s="104">
        <f t="shared" si="10"/>
        <v>0</v>
      </c>
      <c r="K139" s="104">
        <f t="shared" si="10"/>
        <v>0</v>
      </c>
      <c r="L139" s="104">
        <f t="shared" si="10"/>
        <v>0</v>
      </c>
      <c r="M139" s="104">
        <f t="shared" si="10"/>
        <v>0</v>
      </c>
      <c r="N139" s="104">
        <f t="shared" si="10"/>
        <v>0</v>
      </c>
      <c r="O139" s="104">
        <f t="shared" si="10"/>
        <v>0</v>
      </c>
      <c r="P139" s="104">
        <f t="shared" si="10"/>
        <v>0</v>
      </c>
      <c r="Q139" s="104">
        <f t="shared" si="10"/>
        <v>0</v>
      </c>
      <c r="R139" s="104">
        <f t="shared" si="10"/>
        <v>0</v>
      </c>
      <c r="S139" s="104">
        <f t="shared" si="10"/>
        <v>0</v>
      </c>
      <c r="T139" s="104">
        <f t="shared" si="10"/>
        <v>0</v>
      </c>
      <c r="U139" s="104">
        <f t="shared" si="10"/>
        <v>0</v>
      </c>
      <c r="V139" s="104">
        <f t="shared" si="10"/>
        <v>0</v>
      </c>
      <c r="W139" s="104">
        <f t="shared" si="10"/>
        <v>0</v>
      </c>
      <c r="X139" s="104">
        <f t="shared" si="10"/>
        <v>0</v>
      </c>
      <c r="Y139" s="104">
        <f t="shared" si="10"/>
        <v>0</v>
      </c>
      <c r="Z139" s="104">
        <f t="shared" si="10"/>
        <v>0</v>
      </c>
      <c r="AA139" s="104">
        <f t="shared" si="10"/>
        <v>0</v>
      </c>
      <c r="AB139" s="104">
        <f t="shared" si="10"/>
        <v>0</v>
      </c>
      <c r="AC139" s="104">
        <f t="shared" si="10"/>
        <v>0</v>
      </c>
      <c r="AD139" s="104">
        <f t="shared" si="10"/>
        <v>0</v>
      </c>
      <c r="AE139" s="104">
        <f t="shared" si="10"/>
        <v>0</v>
      </c>
      <c r="AF139" s="104">
        <f t="shared" si="10"/>
        <v>0</v>
      </c>
      <c r="AG139" s="104">
        <f t="shared" si="10"/>
        <v>0</v>
      </c>
      <c r="AH139" s="104">
        <f t="shared" si="10"/>
        <v>0</v>
      </c>
      <c r="AI139" s="104">
        <f t="shared" si="10"/>
        <v>0</v>
      </c>
      <c r="AJ139" s="104">
        <f t="shared" si="10"/>
        <v>0</v>
      </c>
      <c r="AK139" s="104">
        <f t="shared" si="10"/>
        <v>0</v>
      </c>
      <c r="AL139" s="104">
        <f t="shared" si="10"/>
        <v>0</v>
      </c>
      <c r="AM139" s="104">
        <f t="shared" si="10"/>
        <v>0</v>
      </c>
      <c r="AN139" s="104">
        <f t="shared" si="10"/>
        <v>0</v>
      </c>
      <c r="AO139" s="104">
        <f t="shared" si="10"/>
        <v>0</v>
      </c>
      <c r="AP139" s="104">
        <f t="shared" si="10"/>
        <v>0</v>
      </c>
      <c r="AQ139" s="104">
        <f t="shared" si="10"/>
        <v>0</v>
      </c>
      <c r="AR139" s="104">
        <f t="shared" si="10"/>
        <v>0</v>
      </c>
      <c r="AS139" s="104">
        <f t="shared" si="10"/>
        <v>0</v>
      </c>
      <c r="AT139" s="104">
        <f t="shared" si="10"/>
        <v>0</v>
      </c>
      <c r="AU139" s="104">
        <f t="shared" si="10"/>
        <v>0</v>
      </c>
      <c r="AV139" s="104">
        <f t="shared" si="10"/>
        <v>0</v>
      </c>
      <c r="AW139" s="104">
        <f t="shared" si="10"/>
        <v>0</v>
      </c>
      <c r="AX139" s="104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5</v>
      </c>
      <c r="E2" s="109"/>
    </row>
    <row r="3" spans="1:52">
      <c r="A3" s="99" t="s">
        <v>286</v>
      </c>
      <c r="B3" s="106">
        <v>200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0</v>
      </c>
      <c r="E7" s="143">
        <v>0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143">
        <v>0</v>
      </c>
      <c r="AU7" s="143">
        <v>0</v>
      </c>
      <c r="AV7" s="143">
        <v>0</v>
      </c>
      <c r="AW7" s="143">
        <v>0</v>
      </c>
      <c r="AX7" s="143">
        <v>0</v>
      </c>
      <c r="AY7" s="143">
        <v>0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0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0</v>
      </c>
      <c r="D13" s="137">
        <f t="shared" ref="D13:AY13" si="1">D$7-D$10</f>
        <v>0</v>
      </c>
      <c r="E13" s="137">
        <f t="shared" si="1"/>
        <v>0</v>
      </c>
      <c r="F13" s="137">
        <f t="shared" si="1"/>
        <v>0</v>
      </c>
      <c r="G13" s="137">
        <f t="shared" si="1"/>
        <v>0</v>
      </c>
      <c r="H13" s="137">
        <f t="shared" si="1"/>
        <v>0</v>
      </c>
      <c r="I13" s="137">
        <f t="shared" si="1"/>
        <v>0</v>
      </c>
      <c r="J13" s="137">
        <f t="shared" si="1"/>
        <v>0</v>
      </c>
      <c r="K13" s="137">
        <f t="shared" si="1"/>
        <v>0</v>
      </c>
      <c r="L13" s="137">
        <f t="shared" si="1"/>
        <v>0</v>
      </c>
      <c r="M13" s="137">
        <f t="shared" si="1"/>
        <v>0</v>
      </c>
      <c r="N13" s="137">
        <f t="shared" si="1"/>
        <v>0</v>
      </c>
      <c r="O13" s="137">
        <f t="shared" si="1"/>
        <v>0</v>
      </c>
      <c r="P13" s="137">
        <f t="shared" si="1"/>
        <v>0</v>
      </c>
      <c r="Q13" s="137">
        <f t="shared" si="1"/>
        <v>0</v>
      </c>
      <c r="R13" s="137">
        <f t="shared" si="1"/>
        <v>0</v>
      </c>
      <c r="S13" s="137">
        <f t="shared" si="1"/>
        <v>0</v>
      </c>
      <c r="T13" s="137">
        <f t="shared" si="1"/>
        <v>0</v>
      </c>
      <c r="U13" s="137">
        <f t="shared" si="1"/>
        <v>0</v>
      </c>
      <c r="V13" s="137">
        <f t="shared" si="1"/>
        <v>0</v>
      </c>
      <c r="W13" s="137">
        <f t="shared" si="1"/>
        <v>0</v>
      </c>
      <c r="X13" s="137">
        <f t="shared" si="1"/>
        <v>0</v>
      </c>
      <c r="Y13" s="137">
        <f t="shared" si="1"/>
        <v>0</v>
      </c>
      <c r="Z13" s="137">
        <f t="shared" si="1"/>
        <v>0</v>
      </c>
      <c r="AA13" s="137">
        <f t="shared" si="1"/>
        <v>0</v>
      </c>
      <c r="AB13" s="137">
        <f t="shared" si="1"/>
        <v>0</v>
      </c>
      <c r="AC13" s="137">
        <f t="shared" si="1"/>
        <v>0</v>
      </c>
      <c r="AD13" s="137">
        <f t="shared" si="1"/>
        <v>0</v>
      </c>
      <c r="AE13" s="137">
        <f t="shared" si="1"/>
        <v>0</v>
      </c>
      <c r="AF13" s="137">
        <f t="shared" si="1"/>
        <v>0</v>
      </c>
      <c r="AG13" s="137">
        <f t="shared" si="1"/>
        <v>0</v>
      </c>
      <c r="AH13" s="137">
        <f t="shared" si="1"/>
        <v>0</v>
      </c>
      <c r="AI13" s="137">
        <f t="shared" si="1"/>
        <v>0</v>
      </c>
      <c r="AJ13" s="137">
        <f t="shared" si="1"/>
        <v>0</v>
      </c>
      <c r="AK13" s="137">
        <f t="shared" si="1"/>
        <v>0</v>
      </c>
      <c r="AL13" s="137">
        <f t="shared" si="1"/>
        <v>0</v>
      </c>
      <c r="AM13" s="137">
        <f t="shared" si="1"/>
        <v>0</v>
      </c>
      <c r="AN13" s="137">
        <f t="shared" si="1"/>
        <v>0</v>
      </c>
      <c r="AO13" s="137">
        <f t="shared" si="1"/>
        <v>0</v>
      </c>
      <c r="AP13" s="137">
        <f t="shared" si="1"/>
        <v>0</v>
      </c>
      <c r="AQ13" s="137">
        <f t="shared" si="1"/>
        <v>0</v>
      </c>
      <c r="AR13" s="137">
        <f t="shared" si="1"/>
        <v>0</v>
      </c>
      <c r="AS13" s="137">
        <f t="shared" si="1"/>
        <v>0</v>
      </c>
      <c r="AT13" s="137">
        <f t="shared" si="1"/>
        <v>0</v>
      </c>
      <c r="AU13" s="137">
        <f t="shared" si="1"/>
        <v>0</v>
      </c>
      <c r="AV13" s="137">
        <f t="shared" si="1"/>
        <v>0</v>
      </c>
      <c r="AW13" s="137">
        <f t="shared" si="1"/>
        <v>0</v>
      </c>
      <c r="AX13" s="137">
        <f t="shared" si="1"/>
        <v>0</v>
      </c>
      <c r="AY13" s="137">
        <f t="shared" si="1"/>
        <v>0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 t="s">
        <v>340</v>
      </c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 t="s">
        <v>340</v>
      </c>
      <c r="AG20" s="116"/>
      <c r="AH20" s="116"/>
      <c r="AI20" s="116"/>
      <c r="AJ20" s="116"/>
      <c r="AK20" s="116"/>
      <c r="AL20" s="116"/>
      <c r="AM20" s="116"/>
      <c r="AN20" s="116"/>
      <c r="AO20" s="116" t="s">
        <v>340</v>
      </c>
      <c r="AP20" s="116" t="s">
        <v>340</v>
      </c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shipping_manufacturing!$C$19/100</f>
        <v>0</v>
      </c>
      <c r="C21" s="155" t="s">
        <v>293</v>
      </c>
      <c r="D21" s="105">
        <f>IF(C$20="Yes",0,SUM(C$13:C$16)*$B$21)</f>
        <v>0</v>
      </c>
      <c r="E21" s="105">
        <f t="shared" ref="E21:AY21" si="3">IF(D$20="Yes",0,SUM(D$13:D$16)*$B$21)</f>
        <v>0</v>
      </c>
      <c r="F21" s="105">
        <f t="shared" si="3"/>
        <v>0</v>
      </c>
      <c r="G21" s="105">
        <f t="shared" si="3"/>
        <v>0</v>
      </c>
      <c r="H21" s="105">
        <f t="shared" si="3"/>
        <v>0</v>
      </c>
      <c r="I21" s="105">
        <f t="shared" si="3"/>
        <v>0</v>
      </c>
      <c r="J21" s="105">
        <f t="shared" si="3"/>
        <v>0</v>
      </c>
      <c r="K21" s="105">
        <f t="shared" si="3"/>
        <v>0</v>
      </c>
      <c r="L21" s="105">
        <f t="shared" si="3"/>
        <v>0</v>
      </c>
      <c r="M21" s="105">
        <f t="shared" si="3"/>
        <v>0</v>
      </c>
      <c r="N21" s="105">
        <f t="shared" si="3"/>
        <v>0</v>
      </c>
      <c r="O21" s="105">
        <f t="shared" si="3"/>
        <v>0</v>
      </c>
      <c r="P21" s="105">
        <f t="shared" si="3"/>
        <v>0</v>
      </c>
      <c r="Q21" s="105">
        <f t="shared" si="3"/>
        <v>0</v>
      </c>
      <c r="R21" s="105">
        <f t="shared" si="3"/>
        <v>0</v>
      </c>
      <c r="S21" s="105">
        <f t="shared" si="3"/>
        <v>0</v>
      </c>
      <c r="T21" s="105">
        <f t="shared" si="3"/>
        <v>0</v>
      </c>
      <c r="U21" s="105">
        <f t="shared" si="3"/>
        <v>0</v>
      </c>
      <c r="V21" s="105">
        <f t="shared" si="3"/>
        <v>0</v>
      </c>
      <c r="W21" s="105">
        <f t="shared" si="3"/>
        <v>0</v>
      </c>
      <c r="X21" s="105">
        <f t="shared" si="3"/>
        <v>0</v>
      </c>
      <c r="Y21" s="105">
        <f t="shared" si="3"/>
        <v>0</v>
      </c>
      <c r="Z21" s="105">
        <f t="shared" si="3"/>
        <v>0</v>
      </c>
      <c r="AA21" s="105">
        <f t="shared" si="3"/>
        <v>0</v>
      </c>
      <c r="AB21" s="105">
        <f t="shared" si="3"/>
        <v>0</v>
      </c>
      <c r="AC21" s="105">
        <f t="shared" si="3"/>
        <v>0</v>
      </c>
      <c r="AD21" s="105">
        <f t="shared" si="3"/>
        <v>0</v>
      </c>
      <c r="AE21" s="105">
        <f t="shared" si="3"/>
        <v>0</v>
      </c>
      <c r="AF21" s="105">
        <f t="shared" si="3"/>
        <v>0</v>
      </c>
      <c r="AG21" s="105">
        <f t="shared" si="3"/>
        <v>0</v>
      </c>
      <c r="AH21" s="105">
        <f t="shared" si="3"/>
        <v>0</v>
      </c>
      <c r="AI21" s="105">
        <f t="shared" si="3"/>
        <v>0</v>
      </c>
      <c r="AJ21" s="105">
        <f t="shared" si="3"/>
        <v>0</v>
      </c>
      <c r="AK21" s="105">
        <f t="shared" si="3"/>
        <v>0</v>
      </c>
      <c r="AL21" s="105">
        <f t="shared" si="3"/>
        <v>0</v>
      </c>
      <c r="AM21" s="105">
        <f t="shared" si="3"/>
        <v>0</v>
      </c>
      <c r="AN21" s="105">
        <f t="shared" si="3"/>
        <v>0</v>
      </c>
      <c r="AO21" s="105">
        <f t="shared" si="3"/>
        <v>0</v>
      </c>
      <c r="AP21" s="105">
        <f t="shared" si="3"/>
        <v>0</v>
      </c>
      <c r="AQ21" s="105">
        <f t="shared" si="3"/>
        <v>0</v>
      </c>
      <c r="AR21" s="105">
        <f t="shared" si="3"/>
        <v>0</v>
      </c>
      <c r="AS21" s="105">
        <f t="shared" si="3"/>
        <v>0</v>
      </c>
      <c r="AT21" s="105">
        <f t="shared" si="3"/>
        <v>0</v>
      </c>
      <c r="AU21" s="105">
        <f t="shared" si="3"/>
        <v>0</v>
      </c>
      <c r="AV21" s="105">
        <f t="shared" si="3"/>
        <v>0</v>
      </c>
      <c r="AW21" s="105">
        <f t="shared" si="3"/>
        <v>0</v>
      </c>
      <c r="AX21" s="105">
        <f t="shared" si="3"/>
        <v>0</v>
      </c>
      <c r="AY21" s="105">
        <f t="shared" si="3"/>
        <v>0</v>
      </c>
      <c r="AZ21" s="156">
        <f>SUM($D21:$AY21)</f>
        <v>0</v>
      </c>
    </row>
    <row r="22" spans="1:52" s="109" customFormat="1">
      <c r="A22" s="157" t="s">
        <v>123</v>
      </c>
      <c r="B22" s="158">
        <f>1-$B$21</f>
        <v>1</v>
      </c>
      <c r="C22" s="158" t="s">
        <v>293</v>
      </c>
      <c r="D22" s="113">
        <f>IF(C$20="Yes",0,SUM(C$13:C$16)*$B$22)</f>
        <v>0</v>
      </c>
      <c r="E22" s="113">
        <f t="shared" ref="E22:AY22" si="4">IF(D$20="Yes",0,SUM(D$13:D$16)*$B$22)</f>
        <v>0</v>
      </c>
      <c r="F22" s="113">
        <f t="shared" si="4"/>
        <v>0</v>
      </c>
      <c r="G22" s="113">
        <f t="shared" si="4"/>
        <v>0</v>
      </c>
      <c r="H22" s="113">
        <f t="shared" si="4"/>
        <v>0</v>
      </c>
      <c r="I22" s="113">
        <f t="shared" si="4"/>
        <v>0</v>
      </c>
      <c r="J22" s="113">
        <f t="shared" si="4"/>
        <v>0</v>
      </c>
      <c r="K22" s="113">
        <f t="shared" si="4"/>
        <v>0</v>
      </c>
      <c r="L22" s="113">
        <f t="shared" si="4"/>
        <v>0</v>
      </c>
      <c r="M22" s="113">
        <f t="shared" si="4"/>
        <v>0</v>
      </c>
      <c r="N22" s="113">
        <f t="shared" si="4"/>
        <v>0</v>
      </c>
      <c r="O22" s="113">
        <f t="shared" si="4"/>
        <v>0</v>
      </c>
      <c r="P22" s="113">
        <f t="shared" si="4"/>
        <v>0</v>
      </c>
      <c r="Q22" s="113">
        <f t="shared" si="4"/>
        <v>0</v>
      </c>
      <c r="R22" s="113">
        <f t="shared" si="4"/>
        <v>0</v>
      </c>
      <c r="S22" s="113">
        <f t="shared" si="4"/>
        <v>0</v>
      </c>
      <c r="T22" s="113">
        <f t="shared" si="4"/>
        <v>0</v>
      </c>
      <c r="U22" s="113">
        <f t="shared" si="4"/>
        <v>0</v>
      </c>
      <c r="V22" s="113">
        <f t="shared" si="4"/>
        <v>0</v>
      </c>
      <c r="W22" s="113">
        <f t="shared" si="4"/>
        <v>0</v>
      </c>
      <c r="X22" s="113">
        <f t="shared" si="4"/>
        <v>0</v>
      </c>
      <c r="Y22" s="113">
        <f t="shared" si="4"/>
        <v>0</v>
      </c>
      <c r="Z22" s="113">
        <f t="shared" si="4"/>
        <v>0</v>
      </c>
      <c r="AA22" s="113">
        <f t="shared" si="4"/>
        <v>0</v>
      </c>
      <c r="AB22" s="113">
        <f t="shared" si="4"/>
        <v>0</v>
      </c>
      <c r="AC22" s="113">
        <f t="shared" si="4"/>
        <v>0</v>
      </c>
      <c r="AD22" s="113">
        <f t="shared" si="4"/>
        <v>0</v>
      </c>
      <c r="AE22" s="113">
        <f t="shared" si="4"/>
        <v>0</v>
      </c>
      <c r="AF22" s="113">
        <f t="shared" si="4"/>
        <v>0</v>
      </c>
      <c r="AG22" s="113">
        <f t="shared" si="4"/>
        <v>0</v>
      </c>
      <c r="AH22" s="113">
        <f t="shared" si="4"/>
        <v>0</v>
      </c>
      <c r="AI22" s="113">
        <f t="shared" si="4"/>
        <v>0</v>
      </c>
      <c r="AJ22" s="113">
        <f t="shared" si="4"/>
        <v>0</v>
      </c>
      <c r="AK22" s="113">
        <f t="shared" si="4"/>
        <v>0</v>
      </c>
      <c r="AL22" s="113">
        <f t="shared" si="4"/>
        <v>0</v>
      </c>
      <c r="AM22" s="113">
        <f t="shared" si="4"/>
        <v>0</v>
      </c>
      <c r="AN22" s="113">
        <f t="shared" si="4"/>
        <v>0</v>
      </c>
      <c r="AO22" s="113">
        <f t="shared" si="4"/>
        <v>0</v>
      </c>
      <c r="AP22" s="113">
        <f t="shared" si="4"/>
        <v>0</v>
      </c>
      <c r="AQ22" s="113">
        <f t="shared" si="4"/>
        <v>0</v>
      </c>
      <c r="AR22" s="113">
        <f t="shared" si="4"/>
        <v>0</v>
      </c>
      <c r="AS22" s="113">
        <f t="shared" si="4"/>
        <v>0</v>
      </c>
      <c r="AT22" s="113">
        <f t="shared" si="4"/>
        <v>0</v>
      </c>
      <c r="AU22" s="113">
        <f t="shared" si="4"/>
        <v>0</v>
      </c>
      <c r="AV22" s="113">
        <f t="shared" si="4"/>
        <v>0</v>
      </c>
      <c r="AW22" s="113">
        <f t="shared" si="4"/>
        <v>0</v>
      </c>
      <c r="AX22" s="113">
        <f t="shared" si="4"/>
        <v>0</v>
      </c>
      <c r="AY22" s="113">
        <f t="shared" si="4"/>
        <v>0</v>
      </c>
      <c r="AZ22" s="140">
        <f t="shared" ref="AZ22:AZ30" si="5">SUM($D22:$AY22)</f>
        <v>0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0</v>
      </c>
      <c r="E23" s="99">
        <f t="shared" ref="E23:AY23" si="6">E$21*$B$23</f>
        <v>0</v>
      </c>
      <c r="F23" s="99">
        <f t="shared" si="6"/>
        <v>0</v>
      </c>
      <c r="G23" s="99">
        <f t="shared" si="6"/>
        <v>0</v>
      </c>
      <c r="H23" s="99">
        <f t="shared" si="6"/>
        <v>0</v>
      </c>
      <c r="I23" s="99">
        <f t="shared" si="6"/>
        <v>0</v>
      </c>
      <c r="J23" s="99">
        <f t="shared" si="6"/>
        <v>0</v>
      </c>
      <c r="K23" s="99">
        <f t="shared" si="6"/>
        <v>0</v>
      </c>
      <c r="L23" s="99">
        <f t="shared" si="6"/>
        <v>0</v>
      </c>
      <c r="M23" s="99">
        <f t="shared" si="6"/>
        <v>0</v>
      </c>
      <c r="N23" s="99">
        <f t="shared" si="6"/>
        <v>0</v>
      </c>
      <c r="O23" s="99">
        <f t="shared" si="6"/>
        <v>0</v>
      </c>
      <c r="P23" s="99">
        <f t="shared" si="6"/>
        <v>0</v>
      </c>
      <c r="Q23" s="99">
        <f t="shared" si="6"/>
        <v>0</v>
      </c>
      <c r="R23" s="99">
        <f t="shared" si="6"/>
        <v>0</v>
      </c>
      <c r="S23" s="99">
        <f t="shared" si="6"/>
        <v>0</v>
      </c>
      <c r="T23" s="99">
        <f t="shared" si="6"/>
        <v>0</v>
      </c>
      <c r="U23" s="99">
        <f t="shared" si="6"/>
        <v>0</v>
      </c>
      <c r="V23" s="99">
        <f t="shared" si="6"/>
        <v>0</v>
      </c>
      <c r="W23" s="99">
        <f t="shared" si="6"/>
        <v>0</v>
      </c>
      <c r="X23" s="99">
        <f t="shared" si="6"/>
        <v>0</v>
      </c>
      <c r="Y23" s="99">
        <f t="shared" si="6"/>
        <v>0</v>
      </c>
      <c r="Z23" s="99">
        <f t="shared" si="6"/>
        <v>0</v>
      </c>
      <c r="AA23" s="99">
        <f t="shared" si="6"/>
        <v>0</v>
      </c>
      <c r="AB23" s="99">
        <f t="shared" si="6"/>
        <v>0</v>
      </c>
      <c r="AC23" s="99">
        <f t="shared" si="6"/>
        <v>0</v>
      </c>
      <c r="AD23" s="99">
        <f t="shared" si="6"/>
        <v>0</v>
      </c>
      <c r="AE23" s="99">
        <f t="shared" si="6"/>
        <v>0</v>
      </c>
      <c r="AF23" s="99">
        <f t="shared" si="6"/>
        <v>0</v>
      </c>
      <c r="AG23" s="99">
        <f t="shared" si="6"/>
        <v>0</v>
      </c>
      <c r="AH23" s="99">
        <f t="shared" si="6"/>
        <v>0</v>
      </c>
      <c r="AI23" s="99">
        <f t="shared" si="6"/>
        <v>0</v>
      </c>
      <c r="AJ23" s="99">
        <f t="shared" si="6"/>
        <v>0</v>
      </c>
      <c r="AK23" s="99">
        <f t="shared" si="6"/>
        <v>0</v>
      </c>
      <c r="AL23" s="99">
        <f t="shared" si="6"/>
        <v>0</v>
      </c>
      <c r="AM23" s="99">
        <f t="shared" si="6"/>
        <v>0</v>
      </c>
      <c r="AN23" s="99">
        <f t="shared" si="6"/>
        <v>0</v>
      </c>
      <c r="AO23" s="99">
        <f t="shared" si="6"/>
        <v>0</v>
      </c>
      <c r="AP23" s="99">
        <f t="shared" si="6"/>
        <v>0</v>
      </c>
      <c r="AQ23" s="99">
        <f t="shared" si="6"/>
        <v>0</v>
      </c>
      <c r="AR23" s="99">
        <f t="shared" si="6"/>
        <v>0</v>
      </c>
      <c r="AS23" s="99">
        <f t="shared" si="6"/>
        <v>0</v>
      </c>
      <c r="AT23" s="99">
        <f t="shared" si="6"/>
        <v>0</v>
      </c>
      <c r="AU23" s="99">
        <f t="shared" si="6"/>
        <v>0</v>
      </c>
      <c r="AV23" s="99">
        <f t="shared" si="6"/>
        <v>0</v>
      </c>
      <c r="AW23" s="99">
        <f t="shared" si="6"/>
        <v>0</v>
      </c>
      <c r="AX23" s="99">
        <f t="shared" si="6"/>
        <v>0</v>
      </c>
      <c r="AY23" s="99">
        <f t="shared" si="6"/>
        <v>0</v>
      </c>
      <c r="AZ23" s="138">
        <f t="shared" si="5"/>
        <v>0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0</v>
      </c>
      <c r="E24" s="105">
        <f t="shared" ref="E24:AY24" si="7">E$22*$B$24</f>
        <v>0</v>
      </c>
      <c r="F24" s="105">
        <f t="shared" si="7"/>
        <v>0</v>
      </c>
      <c r="G24" s="105">
        <f t="shared" si="7"/>
        <v>0</v>
      </c>
      <c r="H24" s="105">
        <f t="shared" si="7"/>
        <v>0</v>
      </c>
      <c r="I24" s="105">
        <f t="shared" si="7"/>
        <v>0</v>
      </c>
      <c r="J24" s="105">
        <f t="shared" si="7"/>
        <v>0</v>
      </c>
      <c r="K24" s="105">
        <f t="shared" si="7"/>
        <v>0</v>
      </c>
      <c r="L24" s="105">
        <f t="shared" si="7"/>
        <v>0</v>
      </c>
      <c r="M24" s="105">
        <f t="shared" si="7"/>
        <v>0</v>
      </c>
      <c r="N24" s="105">
        <f t="shared" si="7"/>
        <v>0</v>
      </c>
      <c r="O24" s="105">
        <f t="shared" si="7"/>
        <v>0</v>
      </c>
      <c r="P24" s="105">
        <f t="shared" si="7"/>
        <v>0</v>
      </c>
      <c r="Q24" s="105">
        <f t="shared" si="7"/>
        <v>0</v>
      </c>
      <c r="R24" s="105">
        <f t="shared" si="7"/>
        <v>0</v>
      </c>
      <c r="S24" s="105">
        <f t="shared" si="7"/>
        <v>0</v>
      </c>
      <c r="T24" s="105">
        <f t="shared" si="7"/>
        <v>0</v>
      </c>
      <c r="U24" s="105">
        <f t="shared" si="7"/>
        <v>0</v>
      </c>
      <c r="V24" s="105">
        <f t="shared" si="7"/>
        <v>0</v>
      </c>
      <c r="W24" s="105">
        <f t="shared" si="7"/>
        <v>0</v>
      </c>
      <c r="X24" s="105">
        <f t="shared" si="7"/>
        <v>0</v>
      </c>
      <c r="Y24" s="105">
        <f t="shared" si="7"/>
        <v>0</v>
      </c>
      <c r="Z24" s="105">
        <f t="shared" si="7"/>
        <v>0</v>
      </c>
      <c r="AA24" s="105">
        <f t="shared" si="7"/>
        <v>0</v>
      </c>
      <c r="AB24" s="105">
        <f t="shared" si="7"/>
        <v>0</v>
      </c>
      <c r="AC24" s="105">
        <f t="shared" si="7"/>
        <v>0</v>
      </c>
      <c r="AD24" s="105">
        <f t="shared" si="7"/>
        <v>0</v>
      </c>
      <c r="AE24" s="105">
        <f t="shared" si="7"/>
        <v>0</v>
      </c>
      <c r="AF24" s="105">
        <f t="shared" si="7"/>
        <v>0</v>
      </c>
      <c r="AG24" s="105">
        <f t="shared" si="7"/>
        <v>0</v>
      </c>
      <c r="AH24" s="105">
        <f t="shared" si="7"/>
        <v>0</v>
      </c>
      <c r="AI24" s="105">
        <f t="shared" si="7"/>
        <v>0</v>
      </c>
      <c r="AJ24" s="105">
        <f t="shared" si="7"/>
        <v>0</v>
      </c>
      <c r="AK24" s="105">
        <f t="shared" si="7"/>
        <v>0</v>
      </c>
      <c r="AL24" s="105">
        <f t="shared" si="7"/>
        <v>0</v>
      </c>
      <c r="AM24" s="105">
        <f t="shared" si="7"/>
        <v>0</v>
      </c>
      <c r="AN24" s="105">
        <f t="shared" si="7"/>
        <v>0</v>
      </c>
      <c r="AO24" s="105">
        <f t="shared" si="7"/>
        <v>0</v>
      </c>
      <c r="AP24" s="105">
        <f t="shared" si="7"/>
        <v>0</v>
      </c>
      <c r="AQ24" s="105">
        <f t="shared" si="7"/>
        <v>0</v>
      </c>
      <c r="AR24" s="105">
        <f t="shared" si="7"/>
        <v>0</v>
      </c>
      <c r="AS24" s="105">
        <f t="shared" si="7"/>
        <v>0</v>
      </c>
      <c r="AT24" s="105">
        <f t="shared" si="7"/>
        <v>0</v>
      </c>
      <c r="AU24" s="105">
        <f t="shared" si="7"/>
        <v>0</v>
      </c>
      <c r="AV24" s="105">
        <f t="shared" si="7"/>
        <v>0</v>
      </c>
      <c r="AW24" s="105">
        <f t="shared" si="7"/>
        <v>0</v>
      </c>
      <c r="AX24" s="105">
        <f t="shared" si="7"/>
        <v>0</v>
      </c>
      <c r="AY24" s="105">
        <f t="shared" si="7"/>
        <v>0</v>
      </c>
      <c r="AZ24" s="140">
        <f t="shared" si="5"/>
        <v>0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0</v>
      </c>
      <c r="D27" s="123">
        <f>C$27-C$28+C$29</f>
        <v>0</v>
      </c>
      <c r="E27" s="123">
        <f t="shared" ref="E27:AY27" si="8">D27-D28+D29</f>
        <v>0</v>
      </c>
      <c r="F27" s="123">
        <f t="shared" si="8"/>
        <v>0</v>
      </c>
      <c r="G27" s="123">
        <f t="shared" si="8"/>
        <v>0</v>
      </c>
      <c r="H27" s="123">
        <f t="shared" si="8"/>
        <v>0</v>
      </c>
      <c r="I27" s="123">
        <f t="shared" si="8"/>
        <v>0</v>
      </c>
      <c r="J27" s="123">
        <f t="shared" si="8"/>
        <v>0</v>
      </c>
      <c r="K27" s="123">
        <f t="shared" si="8"/>
        <v>0</v>
      </c>
      <c r="L27" s="123">
        <f t="shared" si="8"/>
        <v>0</v>
      </c>
      <c r="M27" s="123">
        <f t="shared" si="8"/>
        <v>0</v>
      </c>
      <c r="N27" s="123">
        <f t="shared" si="8"/>
        <v>0</v>
      </c>
      <c r="O27" s="123">
        <f t="shared" si="8"/>
        <v>0</v>
      </c>
      <c r="P27" s="123">
        <f t="shared" si="8"/>
        <v>0</v>
      </c>
      <c r="Q27" s="123">
        <f t="shared" si="8"/>
        <v>0</v>
      </c>
      <c r="R27" s="123">
        <f t="shared" si="8"/>
        <v>0</v>
      </c>
      <c r="S27" s="123">
        <f t="shared" si="8"/>
        <v>0</v>
      </c>
      <c r="T27" s="123">
        <f t="shared" si="8"/>
        <v>0</v>
      </c>
      <c r="U27" s="123">
        <f t="shared" si="8"/>
        <v>0</v>
      </c>
      <c r="V27" s="123">
        <f t="shared" si="8"/>
        <v>0</v>
      </c>
      <c r="W27" s="123">
        <f t="shared" si="8"/>
        <v>0</v>
      </c>
      <c r="X27" s="123">
        <f t="shared" si="8"/>
        <v>0</v>
      </c>
      <c r="Y27" s="123">
        <f t="shared" si="8"/>
        <v>0</v>
      </c>
      <c r="Z27" s="123">
        <f t="shared" si="8"/>
        <v>0</v>
      </c>
      <c r="AA27" s="123">
        <f t="shared" si="8"/>
        <v>0</v>
      </c>
      <c r="AB27" s="123">
        <f t="shared" si="8"/>
        <v>0</v>
      </c>
      <c r="AC27" s="123">
        <f t="shared" si="8"/>
        <v>0</v>
      </c>
      <c r="AD27" s="123">
        <f t="shared" si="8"/>
        <v>0</v>
      </c>
      <c r="AE27" s="123">
        <f t="shared" si="8"/>
        <v>0</v>
      </c>
      <c r="AF27" s="123">
        <f t="shared" si="8"/>
        <v>0</v>
      </c>
      <c r="AG27" s="123">
        <f t="shared" si="8"/>
        <v>0</v>
      </c>
      <c r="AH27" s="123">
        <f t="shared" si="8"/>
        <v>0</v>
      </c>
      <c r="AI27" s="123">
        <f t="shared" si="8"/>
        <v>0</v>
      </c>
      <c r="AJ27" s="123">
        <f t="shared" si="8"/>
        <v>0</v>
      </c>
      <c r="AK27" s="123">
        <f t="shared" si="8"/>
        <v>0</v>
      </c>
      <c r="AL27" s="123">
        <f t="shared" si="8"/>
        <v>0</v>
      </c>
      <c r="AM27" s="123">
        <f t="shared" si="8"/>
        <v>0</v>
      </c>
      <c r="AN27" s="123">
        <f t="shared" si="8"/>
        <v>0</v>
      </c>
      <c r="AO27" s="123">
        <f t="shared" si="8"/>
        <v>0</v>
      </c>
      <c r="AP27" s="123">
        <f t="shared" si="8"/>
        <v>0</v>
      </c>
      <c r="AQ27" s="123">
        <f t="shared" si="8"/>
        <v>0</v>
      </c>
      <c r="AR27" s="123">
        <f t="shared" si="8"/>
        <v>0</v>
      </c>
      <c r="AS27" s="123">
        <f t="shared" si="8"/>
        <v>0</v>
      </c>
      <c r="AT27" s="123">
        <f t="shared" si="8"/>
        <v>0</v>
      </c>
      <c r="AU27" s="123">
        <f t="shared" si="8"/>
        <v>0</v>
      </c>
      <c r="AV27" s="123">
        <f t="shared" si="8"/>
        <v>0</v>
      </c>
      <c r="AW27" s="123">
        <f t="shared" si="8"/>
        <v>0</v>
      </c>
      <c r="AX27" s="123">
        <f t="shared" si="8"/>
        <v>0</v>
      </c>
      <c r="AY27" s="163">
        <f t="shared" si="8"/>
        <v>0</v>
      </c>
      <c r="AZ27" s="105"/>
    </row>
    <row r="28" spans="1:52">
      <c r="B28" s="164" t="s">
        <v>310</v>
      </c>
      <c r="C28" s="109">
        <v>0</v>
      </c>
      <c r="D28" s="109">
        <v>0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>
        <v>0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  <c r="AN28" s="109">
        <v>0</v>
      </c>
      <c r="AO28" s="109">
        <v>0</v>
      </c>
      <c r="AP28" s="109">
        <v>0</v>
      </c>
      <c r="AQ28" s="109">
        <v>0</v>
      </c>
      <c r="AR28" s="109">
        <v>0</v>
      </c>
      <c r="AS28" s="109">
        <v>0</v>
      </c>
      <c r="AT28" s="109">
        <v>0</v>
      </c>
      <c r="AU28" s="109">
        <v>0</v>
      </c>
      <c r="AV28" s="109">
        <v>0</v>
      </c>
      <c r="AW28" s="109">
        <v>0</v>
      </c>
      <c r="AX28" s="109">
        <v>0</v>
      </c>
      <c r="AY28" s="165">
        <v>0</v>
      </c>
      <c r="AZ28" s="105"/>
    </row>
    <row r="29" spans="1:52">
      <c r="B29" s="135" t="s">
        <v>311</v>
      </c>
      <c r="C29" s="124">
        <v>0</v>
      </c>
      <c r="D29" s="124">
        <f>C$28</f>
        <v>0</v>
      </c>
      <c r="E29" s="124">
        <f t="shared" ref="E29:AY29" si="9">D$28</f>
        <v>0</v>
      </c>
      <c r="F29" s="124">
        <f t="shared" si="9"/>
        <v>0</v>
      </c>
      <c r="G29" s="124">
        <f t="shared" si="9"/>
        <v>0</v>
      </c>
      <c r="H29" s="124">
        <f t="shared" si="9"/>
        <v>0</v>
      </c>
      <c r="I29" s="124">
        <f t="shared" si="9"/>
        <v>0</v>
      </c>
      <c r="J29" s="124">
        <f t="shared" si="9"/>
        <v>0</v>
      </c>
      <c r="K29" s="124">
        <f t="shared" si="9"/>
        <v>0</v>
      </c>
      <c r="L29" s="124">
        <f t="shared" si="9"/>
        <v>0</v>
      </c>
      <c r="M29" s="124">
        <f t="shared" si="9"/>
        <v>0</v>
      </c>
      <c r="N29" s="124">
        <f t="shared" si="9"/>
        <v>0</v>
      </c>
      <c r="O29" s="124">
        <f t="shared" si="9"/>
        <v>0</v>
      </c>
      <c r="P29" s="124">
        <f t="shared" si="9"/>
        <v>0</v>
      </c>
      <c r="Q29" s="124">
        <f t="shared" si="9"/>
        <v>0</v>
      </c>
      <c r="R29" s="124">
        <f t="shared" si="9"/>
        <v>0</v>
      </c>
      <c r="S29" s="124">
        <f t="shared" si="9"/>
        <v>0</v>
      </c>
      <c r="T29" s="124">
        <f t="shared" si="9"/>
        <v>0</v>
      </c>
      <c r="U29" s="124">
        <f t="shared" si="9"/>
        <v>0</v>
      </c>
      <c r="V29" s="124">
        <f t="shared" si="9"/>
        <v>0</v>
      </c>
      <c r="W29" s="124">
        <f t="shared" si="9"/>
        <v>0</v>
      </c>
      <c r="X29" s="124">
        <f t="shared" si="9"/>
        <v>0</v>
      </c>
      <c r="Y29" s="124">
        <f t="shared" si="9"/>
        <v>0</v>
      </c>
      <c r="Z29" s="124">
        <f t="shared" si="9"/>
        <v>0</v>
      </c>
      <c r="AA29" s="124">
        <f t="shared" si="9"/>
        <v>0</v>
      </c>
      <c r="AB29" s="124">
        <f t="shared" si="9"/>
        <v>0</v>
      </c>
      <c r="AC29" s="124">
        <f t="shared" si="9"/>
        <v>0</v>
      </c>
      <c r="AD29" s="124">
        <f t="shared" si="9"/>
        <v>0</v>
      </c>
      <c r="AE29" s="124">
        <f t="shared" si="9"/>
        <v>0</v>
      </c>
      <c r="AF29" s="124">
        <f t="shared" si="9"/>
        <v>0</v>
      </c>
      <c r="AG29" s="124">
        <f t="shared" si="9"/>
        <v>0</v>
      </c>
      <c r="AH29" s="124">
        <f t="shared" si="9"/>
        <v>0</v>
      </c>
      <c r="AI29" s="124">
        <f t="shared" si="9"/>
        <v>0</v>
      </c>
      <c r="AJ29" s="124">
        <f t="shared" si="9"/>
        <v>0</v>
      </c>
      <c r="AK29" s="124">
        <f t="shared" si="9"/>
        <v>0</v>
      </c>
      <c r="AL29" s="124">
        <f t="shared" si="9"/>
        <v>0</v>
      </c>
      <c r="AM29" s="124">
        <f t="shared" si="9"/>
        <v>0</v>
      </c>
      <c r="AN29" s="124">
        <f t="shared" si="9"/>
        <v>0</v>
      </c>
      <c r="AO29" s="124">
        <f t="shared" si="9"/>
        <v>0</v>
      </c>
      <c r="AP29" s="124">
        <f t="shared" si="9"/>
        <v>0</v>
      </c>
      <c r="AQ29" s="124">
        <f t="shared" si="9"/>
        <v>0</v>
      </c>
      <c r="AR29" s="124">
        <f t="shared" si="9"/>
        <v>0</v>
      </c>
      <c r="AS29" s="124">
        <f t="shared" si="9"/>
        <v>0</v>
      </c>
      <c r="AT29" s="124">
        <f t="shared" si="9"/>
        <v>0</v>
      </c>
      <c r="AU29" s="124">
        <f t="shared" si="9"/>
        <v>0</v>
      </c>
      <c r="AV29" s="124">
        <f t="shared" si="9"/>
        <v>0</v>
      </c>
      <c r="AW29" s="124">
        <f t="shared" si="9"/>
        <v>0</v>
      </c>
      <c r="AX29" s="124">
        <f t="shared" si="9"/>
        <v>0</v>
      </c>
      <c r="AY29" s="166">
        <f t="shared" si="9"/>
        <v>0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0</v>
      </c>
      <c r="E30" s="116">
        <f t="shared" ref="E30:AY30" si="10">E$27*$B$30</f>
        <v>0</v>
      </c>
      <c r="F30" s="116">
        <f t="shared" si="10"/>
        <v>0</v>
      </c>
      <c r="G30" s="116">
        <f t="shared" si="10"/>
        <v>0</v>
      </c>
      <c r="H30" s="116">
        <f t="shared" si="10"/>
        <v>0</v>
      </c>
      <c r="I30" s="116">
        <f t="shared" si="10"/>
        <v>0</v>
      </c>
      <c r="J30" s="116">
        <f t="shared" si="10"/>
        <v>0</v>
      </c>
      <c r="K30" s="116">
        <f t="shared" si="10"/>
        <v>0</v>
      </c>
      <c r="L30" s="116">
        <f t="shared" si="10"/>
        <v>0</v>
      </c>
      <c r="M30" s="116">
        <f t="shared" si="10"/>
        <v>0</v>
      </c>
      <c r="N30" s="116">
        <f t="shared" si="10"/>
        <v>0</v>
      </c>
      <c r="O30" s="116">
        <f t="shared" si="10"/>
        <v>0</v>
      </c>
      <c r="P30" s="116">
        <f t="shared" si="10"/>
        <v>0</v>
      </c>
      <c r="Q30" s="116">
        <f t="shared" si="10"/>
        <v>0</v>
      </c>
      <c r="R30" s="116">
        <f>R$27*$B$30</f>
        <v>0</v>
      </c>
      <c r="S30" s="116">
        <f t="shared" si="10"/>
        <v>0</v>
      </c>
      <c r="T30" s="116">
        <f t="shared" si="10"/>
        <v>0</v>
      </c>
      <c r="U30" s="116">
        <f t="shared" si="10"/>
        <v>0</v>
      </c>
      <c r="V30" s="116">
        <f t="shared" si="10"/>
        <v>0</v>
      </c>
      <c r="W30" s="116">
        <f t="shared" si="10"/>
        <v>0</v>
      </c>
      <c r="X30" s="116">
        <f t="shared" si="10"/>
        <v>0</v>
      </c>
      <c r="Y30" s="116">
        <f t="shared" si="10"/>
        <v>0</v>
      </c>
      <c r="Z30" s="116">
        <f t="shared" si="10"/>
        <v>0</v>
      </c>
      <c r="AA30" s="116">
        <f t="shared" si="10"/>
        <v>0</v>
      </c>
      <c r="AB30" s="116">
        <f t="shared" si="10"/>
        <v>0</v>
      </c>
      <c r="AC30" s="116">
        <f t="shared" si="10"/>
        <v>0</v>
      </c>
      <c r="AD30" s="116">
        <f t="shared" si="10"/>
        <v>0</v>
      </c>
      <c r="AE30" s="116">
        <f>AE$27*$B$30</f>
        <v>0</v>
      </c>
      <c r="AF30" s="116">
        <f t="shared" si="10"/>
        <v>0</v>
      </c>
      <c r="AG30" s="116">
        <f t="shared" si="10"/>
        <v>0</v>
      </c>
      <c r="AH30" s="116">
        <f t="shared" si="10"/>
        <v>0</v>
      </c>
      <c r="AI30" s="116">
        <f t="shared" si="10"/>
        <v>0</v>
      </c>
      <c r="AJ30" s="116">
        <f t="shared" si="10"/>
        <v>0</v>
      </c>
      <c r="AK30" s="116">
        <f t="shared" si="10"/>
        <v>0</v>
      </c>
      <c r="AL30" s="116">
        <f t="shared" si="10"/>
        <v>0</v>
      </c>
      <c r="AM30" s="116">
        <f t="shared" si="10"/>
        <v>0</v>
      </c>
      <c r="AN30" s="116">
        <f t="shared" si="10"/>
        <v>0</v>
      </c>
      <c r="AO30" s="116">
        <f t="shared" si="10"/>
        <v>0</v>
      </c>
      <c r="AP30" s="116">
        <f t="shared" si="10"/>
        <v>0</v>
      </c>
      <c r="AQ30" s="116">
        <f t="shared" si="10"/>
        <v>0</v>
      </c>
      <c r="AR30" s="116">
        <f t="shared" si="10"/>
        <v>0</v>
      </c>
      <c r="AS30" s="116">
        <f t="shared" si="10"/>
        <v>0</v>
      </c>
      <c r="AT30" s="116">
        <f t="shared" si="10"/>
        <v>0</v>
      </c>
      <c r="AU30" s="116">
        <f t="shared" si="10"/>
        <v>0</v>
      </c>
      <c r="AV30" s="116">
        <f t="shared" si="10"/>
        <v>0</v>
      </c>
      <c r="AW30" s="116">
        <f t="shared" si="10"/>
        <v>0</v>
      </c>
      <c r="AX30" s="116">
        <f t="shared" si="10"/>
        <v>0</v>
      </c>
      <c r="AY30" s="116">
        <f t="shared" si="10"/>
        <v>0</v>
      </c>
      <c r="AZ30" s="140">
        <f t="shared" si="5"/>
        <v>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D$21*shipping_manufacturing!$D$27/100</f>
        <v>0</v>
      </c>
      <c r="E33" s="123">
        <f>E$21*shipping_manufacturing!$D$27/100</f>
        <v>0</v>
      </c>
      <c r="F33" s="123">
        <f>F$21*shipping_manufacturing!$D$27/100</f>
        <v>0</v>
      </c>
      <c r="G33" s="123">
        <f>G$21*shipping_manufacturing!$D$27/100</f>
        <v>0</v>
      </c>
      <c r="H33" s="123">
        <f>H$21*shipping_manufacturing!$D$27/100</f>
        <v>0</v>
      </c>
      <c r="I33" s="123">
        <f>I$21*shipping_manufacturing!$D$27/100</f>
        <v>0</v>
      </c>
      <c r="J33" s="123">
        <f>J$21*shipping_manufacturing!$D$27/100</f>
        <v>0</v>
      </c>
      <c r="K33" s="123">
        <f>K$21*shipping_manufacturing!$D$27/100</f>
        <v>0</v>
      </c>
      <c r="L33" s="123">
        <f>L$21*shipping_manufacturing!$D$27/100</f>
        <v>0</v>
      </c>
      <c r="M33" s="123">
        <f>M$21*shipping_manufacturing!$D$27/100</f>
        <v>0</v>
      </c>
      <c r="N33" s="123">
        <f>N$21*shipping_manufacturing!$D$27/100</f>
        <v>0</v>
      </c>
      <c r="O33" s="123">
        <f>O$21*shipping_manufacturing!$D$27/100</f>
        <v>0</v>
      </c>
      <c r="P33" s="123">
        <f>P$21*shipping_manufacturing!$D$27/100</f>
        <v>0</v>
      </c>
      <c r="Q33" s="123">
        <f>Q$21*shipping_manufacturing!$D$27/100</f>
        <v>0</v>
      </c>
      <c r="R33" s="123">
        <f>R$21*shipping_manufacturing!$D$27/100</f>
        <v>0</v>
      </c>
      <c r="S33" s="123">
        <f>S$21*shipping_manufacturing!$D$27/100</f>
        <v>0</v>
      </c>
      <c r="T33" s="123">
        <f>T$21*shipping_manufacturing!$D$27/100</f>
        <v>0</v>
      </c>
      <c r="U33" s="123">
        <f>U$21*shipping_manufacturing!$D$27/100</f>
        <v>0</v>
      </c>
      <c r="V33" s="123">
        <f>V$21*shipping_manufacturing!$D$27/100</f>
        <v>0</v>
      </c>
      <c r="W33" s="123">
        <f>W$21*shipping_manufacturing!$D$27/100</f>
        <v>0</v>
      </c>
      <c r="X33" s="123">
        <f>X$21*shipping_manufacturing!$D$27/100</f>
        <v>0</v>
      </c>
      <c r="Y33" s="123">
        <f>Y$21*shipping_manufacturing!$D$27/100</f>
        <v>0</v>
      </c>
      <c r="Z33" s="123">
        <f>Z$21*shipping_manufacturing!$D$27/100</f>
        <v>0</v>
      </c>
      <c r="AA33" s="123">
        <f>AA$21*shipping_manufacturing!$D$27/100</f>
        <v>0</v>
      </c>
      <c r="AB33" s="123">
        <f>AB$21*shipping_manufacturing!$D$27/100</f>
        <v>0</v>
      </c>
      <c r="AC33" s="123">
        <f>AC$21*shipping_manufacturing!$D$27/100</f>
        <v>0</v>
      </c>
      <c r="AD33" s="123">
        <f>AD$21*shipping_manufacturing!$D$27/100</f>
        <v>0</v>
      </c>
      <c r="AE33" s="123">
        <f>AE$21*shipping_manufacturing!$D$27/100</f>
        <v>0</v>
      </c>
      <c r="AF33" s="123">
        <f>AF$21*shipping_manufacturing!$D$27/100</f>
        <v>0</v>
      </c>
      <c r="AG33" s="123">
        <f>AG$21*shipping_manufacturing!$D$27/100</f>
        <v>0</v>
      </c>
      <c r="AH33" s="123">
        <f>AH$21*shipping_manufacturing!$D$27/100</f>
        <v>0</v>
      </c>
      <c r="AI33" s="123">
        <f>AI$21*shipping_manufacturing!$D$27/100</f>
        <v>0</v>
      </c>
      <c r="AJ33" s="123">
        <f>AJ$21*shipping_manufacturing!$D$27/100</f>
        <v>0</v>
      </c>
      <c r="AK33" s="123">
        <f>AK$21*shipping_manufacturing!$D$27/100</f>
        <v>0</v>
      </c>
      <c r="AL33" s="123">
        <f>AL$21*shipping_manufacturing!$D$27/100</f>
        <v>0</v>
      </c>
      <c r="AM33" s="123">
        <f>AM$21*shipping_manufacturing!$D$27/100</f>
        <v>0</v>
      </c>
      <c r="AN33" s="123">
        <f>AN$21*shipping_manufacturing!$D$27/100</f>
        <v>0</v>
      </c>
      <c r="AO33" s="123">
        <f>AO$21*shipping_manufacturing!$D$27/100</f>
        <v>0</v>
      </c>
      <c r="AP33" s="123">
        <f>AP$21*shipping_manufacturing!$D$27/100</f>
        <v>0</v>
      </c>
      <c r="AQ33" s="123">
        <f>AQ$21*shipping_manufacturing!$D$27/100</f>
        <v>0</v>
      </c>
      <c r="AR33" s="123">
        <f>AR$21*shipping_manufacturing!$D$27/100</f>
        <v>0</v>
      </c>
      <c r="AS33" s="123">
        <f>AS$21*shipping_manufacturing!$D$27/100</f>
        <v>0</v>
      </c>
      <c r="AT33" s="123">
        <f>AT$21*shipping_manufacturing!$D$27/100</f>
        <v>0</v>
      </c>
      <c r="AU33" s="123">
        <f>AU$21*shipping_manufacturing!$D$27/100</f>
        <v>0</v>
      </c>
      <c r="AV33" s="123">
        <f>AV$21*shipping_manufacturing!$D$27/100</f>
        <v>0</v>
      </c>
      <c r="AW33" s="123">
        <f>AW$21*shipping_manufacturing!$D$27/100</f>
        <v>0</v>
      </c>
      <c r="AX33" s="123">
        <f>AX$21*shipping_manufacturing!$D$27/100</f>
        <v>0</v>
      </c>
      <c r="AY33" s="123">
        <f>AY$21*shipping_manufacturing!$D$27/100</f>
        <v>0</v>
      </c>
    </row>
    <row r="34" spans="1:52">
      <c r="A34" s="112" t="s">
        <v>341</v>
      </c>
      <c r="B34" s="164" t="s">
        <v>343</v>
      </c>
      <c r="C34" s="109"/>
      <c r="D34" s="109">
        <f>D$22*shipping_manufacturing!$E$27/100</f>
        <v>0</v>
      </c>
      <c r="E34" s="109">
        <f>E$22*shipping_manufacturing!$E$27/100</f>
        <v>0</v>
      </c>
      <c r="F34" s="109">
        <f>F$22*shipping_manufacturing!$E$27/100</f>
        <v>0</v>
      </c>
      <c r="G34" s="109">
        <f>G$22*shipping_manufacturing!$E$27/100</f>
        <v>0</v>
      </c>
      <c r="H34" s="109">
        <f>H$22*shipping_manufacturing!$E$27/100</f>
        <v>0</v>
      </c>
      <c r="I34" s="109">
        <f>I$22*shipping_manufacturing!$E$27/100</f>
        <v>0</v>
      </c>
      <c r="J34" s="109">
        <f>J$22*shipping_manufacturing!$E$27/100</f>
        <v>0</v>
      </c>
      <c r="K34" s="109">
        <f>K$22*shipping_manufacturing!$E$27/100</f>
        <v>0</v>
      </c>
      <c r="L34" s="109">
        <f>L$22*shipping_manufacturing!$E$27/100</f>
        <v>0</v>
      </c>
      <c r="M34" s="109">
        <f>M$22*shipping_manufacturing!$E$27/100</f>
        <v>0</v>
      </c>
      <c r="N34" s="109">
        <f>N$22*shipping_manufacturing!$E$27/100</f>
        <v>0</v>
      </c>
      <c r="O34" s="109">
        <f>O$22*shipping_manufacturing!$E$27/100</f>
        <v>0</v>
      </c>
      <c r="P34" s="109">
        <f>P$22*shipping_manufacturing!$E$27/100</f>
        <v>0</v>
      </c>
      <c r="Q34" s="109">
        <f>Q$22*shipping_manufacturing!$E$27/100</f>
        <v>0</v>
      </c>
      <c r="R34" s="109">
        <f>R$22*shipping_manufacturing!$E$27/100</f>
        <v>0</v>
      </c>
      <c r="S34" s="109">
        <f>S$22*shipping_manufacturing!$E$27/100</f>
        <v>0</v>
      </c>
      <c r="T34" s="109">
        <f>T$22*shipping_manufacturing!$E$27/100</f>
        <v>0</v>
      </c>
      <c r="U34" s="109">
        <f>U$22*shipping_manufacturing!$E$27/100</f>
        <v>0</v>
      </c>
      <c r="V34" s="109">
        <f>V$22*shipping_manufacturing!$E$27/100</f>
        <v>0</v>
      </c>
      <c r="W34" s="109">
        <f>W$22*shipping_manufacturing!$E$27/100</f>
        <v>0</v>
      </c>
      <c r="X34" s="109">
        <f>X$22*shipping_manufacturing!$E$27/100</f>
        <v>0</v>
      </c>
      <c r="Y34" s="109">
        <f>Y$22*shipping_manufacturing!$E$27/100</f>
        <v>0</v>
      </c>
      <c r="Z34" s="109">
        <f>Z$22*shipping_manufacturing!$E$27/100</f>
        <v>0</v>
      </c>
      <c r="AA34" s="109">
        <f>AA$22*shipping_manufacturing!$E$27/100</f>
        <v>0</v>
      </c>
      <c r="AB34" s="109">
        <f>AB$22*shipping_manufacturing!$E$27/100</f>
        <v>0</v>
      </c>
      <c r="AC34" s="109">
        <f>AC$22*shipping_manufacturing!$E$27/100</f>
        <v>0</v>
      </c>
      <c r="AD34" s="109">
        <f>AD$22*shipping_manufacturing!$E$27/100</f>
        <v>0</v>
      </c>
      <c r="AE34" s="109">
        <f>AE$22*shipping_manufacturing!$E$27/100</f>
        <v>0</v>
      </c>
      <c r="AF34" s="109">
        <f>AF$22*shipping_manufacturing!$E$27/100</f>
        <v>0</v>
      </c>
      <c r="AG34" s="109">
        <f>AG$22*shipping_manufacturing!$E$27/100</f>
        <v>0</v>
      </c>
      <c r="AH34" s="109">
        <f>AH$22*shipping_manufacturing!$E$27/100</f>
        <v>0</v>
      </c>
      <c r="AI34" s="109">
        <f>AI$22*shipping_manufacturing!$E$27/100</f>
        <v>0</v>
      </c>
      <c r="AJ34" s="109">
        <f>AJ$22*shipping_manufacturing!$E$27/100</f>
        <v>0</v>
      </c>
      <c r="AK34" s="109">
        <f>AK$22*shipping_manufacturing!$E$27/100</f>
        <v>0</v>
      </c>
      <c r="AL34" s="109">
        <f>AL$22*shipping_manufacturing!$E$27/100</f>
        <v>0</v>
      </c>
      <c r="AM34" s="109">
        <f>AM$22*shipping_manufacturing!$E$27/100</f>
        <v>0</v>
      </c>
      <c r="AN34" s="109">
        <f>AN$22*shipping_manufacturing!$E$27/100</f>
        <v>0</v>
      </c>
      <c r="AO34" s="109">
        <f>AO$22*shipping_manufacturing!$E$27/100</f>
        <v>0</v>
      </c>
      <c r="AP34" s="109">
        <f>AP$22*shipping_manufacturing!$E$27/100</f>
        <v>0</v>
      </c>
      <c r="AQ34" s="109">
        <f>AQ$22*shipping_manufacturing!$E$27/100</f>
        <v>0</v>
      </c>
      <c r="AR34" s="109">
        <f>AR$22*shipping_manufacturing!$E$27/100</f>
        <v>0</v>
      </c>
      <c r="AS34" s="109">
        <f>AS$22*shipping_manufacturing!$E$27/100</f>
        <v>0</v>
      </c>
      <c r="AT34" s="109">
        <f>AT$22*shipping_manufacturing!$E$27/100</f>
        <v>0</v>
      </c>
      <c r="AU34" s="109">
        <f>AU$22*shipping_manufacturing!$E$27/100</f>
        <v>0</v>
      </c>
      <c r="AV34" s="109">
        <f>AV$22*shipping_manufacturing!$E$27/100</f>
        <v>0</v>
      </c>
      <c r="AW34" s="109">
        <f>AW$22*shipping_manufacturing!$E$27/100</f>
        <v>0</v>
      </c>
      <c r="AX34" s="109">
        <f>AX$22*shipping_manufacturing!$E$27/100</f>
        <v>0</v>
      </c>
      <c r="AY34" s="109">
        <f>AY$22*shipping_manufacturing!$E$27/100</f>
        <v>0</v>
      </c>
    </row>
    <row r="35" spans="1:52">
      <c r="A35" s="109">
        <v>1335</v>
      </c>
      <c r="B35" s="164" t="s">
        <v>344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0</v>
      </c>
      <c r="G35" s="109">
        <f t="shared" si="11"/>
        <v>0</v>
      </c>
      <c r="H35" s="109">
        <f t="shared" si="11"/>
        <v>0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</v>
      </c>
      <c r="N35" s="109">
        <f t="shared" si="11"/>
        <v>0</v>
      </c>
      <c r="O35" s="109">
        <f t="shared" si="11"/>
        <v>0</v>
      </c>
      <c r="P35" s="109">
        <f t="shared" si="11"/>
        <v>0</v>
      </c>
      <c r="Q35" s="109">
        <f t="shared" si="11"/>
        <v>0</v>
      </c>
      <c r="R35" s="109">
        <f t="shared" si="11"/>
        <v>0</v>
      </c>
      <c r="S35" s="109">
        <f t="shared" si="11"/>
        <v>0</v>
      </c>
      <c r="T35" s="109">
        <f t="shared" si="11"/>
        <v>0</v>
      </c>
      <c r="U35" s="109">
        <f t="shared" si="11"/>
        <v>0</v>
      </c>
      <c r="V35" s="109">
        <f t="shared" si="11"/>
        <v>0</v>
      </c>
      <c r="W35" s="109">
        <f t="shared" si="11"/>
        <v>0</v>
      </c>
      <c r="X35" s="109">
        <f t="shared" si="11"/>
        <v>0</v>
      </c>
      <c r="Y35" s="109">
        <f t="shared" si="11"/>
        <v>0</v>
      </c>
      <c r="Z35" s="109">
        <f t="shared" si="11"/>
        <v>0</v>
      </c>
      <c r="AA35" s="109">
        <f t="shared" si="11"/>
        <v>0</v>
      </c>
      <c r="AB35" s="109">
        <f t="shared" si="11"/>
        <v>0</v>
      </c>
      <c r="AC35" s="109">
        <f t="shared" si="11"/>
        <v>0</v>
      </c>
      <c r="AD35" s="109">
        <f t="shared" si="11"/>
        <v>0</v>
      </c>
      <c r="AE35" s="109">
        <f t="shared" si="11"/>
        <v>0</v>
      </c>
      <c r="AF35" s="109">
        <f t="shared" si="11"/>
        <v>0</v>
      </c>
      <c r="AG35" s="109">
        <f t="shared" si="11"/>
        <v>0</v>
      </c>
      <c r="AH35" s="109">
        <f t="shared" si="11"/>
        <v>0</v>
      </c>
      <c r="AI35" s="109">
        <f t="shared" si="11"/>
        <v>0</v>
      </c>
      <c r="AJ35" s="109">
        <f t="shared" si="11"/>
        <v>0</v>
      </c>
      <c r="AK35" s="109">
        <f t="shared" si="11"/>
        <v>0</v>
      </c>
      <c r="AL35" s="109">
        <f t="shared" si="11"/>
        <v>0</v>
      </c>
      <c r="AM35" s="109">
        <f t="shared" si="11"/>
        <v>0</v>
      </c>
      <c r="AN35" s="109">
        <f t="shared" si="11"/>
        <v>0</v>
      </c>
      <c r="AO35" s="109">
        <f t="shared" si="11"/>
        <v>0</v>
      </c>
      <c r="AP35" s="109">
        <f t="shared" si="11"/>
        <v>0</v>
      </c>
      <c r="AQ35" s="109">
        <f t="shared" si="11"/>
        <v>0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0</v>
      </c>
      <c r="AV35" s="109">
        <f t="shared" si="11"/>
        <v>0</v>
      </c>
      <c r="AW35" s="109">
        <f t="shared" si="11"/>
        <v>0</v>
      </c>
      <c r="AX35" s="109">
        <f t="shared" si="11"/>
        <v>0</v>
      </c>
      <c r="AY35" s="109">
        <f t="shared" si="11"/>
        <v>0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>
      <c r="A39" s="109"/>
      <c r="B39" s="164" t="s">
        <v>348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>
      <c r="A40" s="109"/>
      <c r="B40" s="164" t="s">
        <v>349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0</v>
      </c>
      <c r="G40" s="109">
        <f t="shared" si="13"/>
        <v>0</v>
      </c>
      <c r="H40" s="109">
        <f t="shared" si="13"/>
        <v>0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</v>
      </c>
      <c r="O40" s="109">
        <f t="shared" si="13"/>
        <v>0</v>
      </c>
      <c r="P40" s="109">
        <f t="shared" si="13"/>
        <v>0</v>
      </c>
      <c r="Q40" s="109">
        <f t="shared" si="13"/>
        <v>0</v>
      </c>
      <c r="R40" s="109">
        <f t="shared" si="13"/>
        <v>0</v>
      </c>
      <c r="S40" s="109">
        <f t="shared" si="13"/>
        <v>0</v>
      </c>
      <c r="T40" s="109">
        <f t="shared" si="13"/>
        <v>0</v>
      </c>
      <c r="U40" s="109">
        <f t="shared" si="13"/>
        <v>0</v>
      </c>
      <c r="V40" s="109">
        <f t="shared" si="13"/>
        <v>0</v>
      </c>
      <c r="W40" s="109">
        <f t="shared" si="13"/>
        <v>0</v>
      </c>
      <c r="X40" s="109">
        <f t="shared" si="13"/>
        <v>0</v>
      </c>
      <c r="Y40" s="109">
        <f t="shared" si="13"/>
        <v>0</v>
      </c>
      <c r="Z40" s="109">
        <f t="shared" si="13"/>
        <v>0</v>
      </c>
      <c r="AA40" s="109">
        <f t="shared" si="13"/>
        <v>0</v>
      </c>
      <c r="AB40" s="109">
        <f t="shared" si="13"/>
        <v>0</v>
      </c>
      <c r="AC40" s="109">
        <f t="shared" si="13"/>
        <v>0</v>
      </c>
      <c r="AD40" s="109">
        <f t="shared" si="13"/>
        <v>0</v>
      </c>
      <c r="AE40" s="109">
        <f t="shared" si="13"/>
        <v>0</v>
      </c>
      <c r="AF40" s="109">
        <f t="shared" si="13"/>
        <v>0</v>
      </c>
      <c r="AG40" s="109">
        <f t="shared" si="13"/>
        <v>0</v>
      </c>
      <c r="AH40" s="109">
        <f t="shared" si="13"/>
        <v>0</v>
      </c>
      <c r="AI40" s="109">
        <f t="shared" si="13"/>
        <v>0</v>
      </c>
      <c r="AJ40" s="109">
        <f t="shared" si="13"/>
        <v>0</v>
      </c>
      <c r="AK40" s="109">
        <f t="shared" si="13"/>
        <v>0</v>
      </c>
      <c r="AL40" s="109">
        <f t="shared" si="13"/>
        <v>0</v>
      </c>
      <c r="AM40" s="109">
        <f t="shared" si="13"/>
        <v>0</v>
      </c>
      <c r="AN40" s="109">
        <f t="shared" si="13"/>
        <v>0</v>
      </c>
      <c r="AO40" s="109">
        <f t="shared" si="13"/>
        <v>0</v>
      </c>
      <c r="AP40" s="109">
        <f t="shared" si="13"/>
        <v>0</v>
      </c>
      <c r="AQ40" s="109">
        <f t="shared" si="13"/>
        <v>0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0</v>
      </c>
      <c r="AV40" s="109">
        <f t="shared" si="13"/>
        <v>0</v>
      </c>
      <c r="AW40" s="109">
        <f t="shared" si="13"/>
        <v>0</v>
      </c>
      <c r="AX40" s="109">
        <f t="shared" si="13"/>
        <v>0</v>
      </c>
      <c r="AY40" s="109">
        <f t="shared" si="13"/>
        <v>0</v>
      </c>
    </row>
    <row r="41" spans="1:52">
      <c r="A41" s="109"/>
      <c r="B41" s="164" t="s">
        <v>350</v>
      </c>
      <c r="C41" s="109"/>
      <c r="D41" s="109">
        <v>2</v>
      </c>
      <c r="E41" s="109">
        <v>3</v>
      </c>
      <c r="F41" s="109">
        <v>2</v>
      </c>
      <c r="G41" s="109">
        <v>1</v>
      </c>
      <c r="H41" s="109">
        <v>3</v>
      </c>
      <c r="I41" s="109">
        <v>3</v>
      </c>
      <c r="J41" s="109">
        <v>1</v>
      </c>
      <c r="K41" s="109">
        <v>1</v>
      </c>
      <c r="L41" s="109">
        <v>2</v>
      </c>
      <c r="M41" s="109">
        <v>2</v>
      </c>
      <c r="N41" s="109">
        <v>1</v>
      </c>
      <c r="O41" s="109">
        <v>1</v>
      </c>
      <c r="P41" s="109">
        <v>2</v>
      </c>
      <c r="Q41" s="109">
        <v>2</v>
      </c>
      <c r="R41" s="109">
        <v>3</v>
      </c>
      <c r="S41" s="109">
        <v>1</v>
      </c>
      <c r="T41" s="109">
        <v>2</v>
      </c>
      <c r="U41" s="109">
        <v>2</v>
      </c>
      <c r="V41" s="109">
        <v>2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2</v>
      </c>
      <c r="AC41" s="109">
        <v>1</v>
      </c>
      <c r="AD41" s="109">
        <v>2</v>
      </c>
      <c r="AE41" s="109">
        <v>2</v>
      </c>
      <c r="AF41" s="109">
        <v>3</v>
      </c>
      <c r="AG41" s="109">
        <v>2</v>
      </c>
      <c r="AH41" s="109">
        <v>1</v>
      </c>
      <c r="AI41" s="109">
        <v>1</v>
      </c>
      <c r="AJ41" s="109">
        <v>2</v>
      </c>
      <c r="AK41" s="109">
        <v>2</v>
      </c>
      <c r="AL41" s="109">
        <v>1</v>
      </c>
      <c r="AM41" s="109">
        <v>2</v>
      </c>
      <c r="AN41" s="109">
        <v>2</v>
      </c>
      <c r="AO41" s="109">
        <v>2</v>
      </c>
      <c r="AP41" s="109">
        <v>1</v>
      </c>
      <c r="AQ41" s="109">
        <v>2</v>
      </c>
      <c r="AR41" s="109">
        <v>1</v>
      </c>
      <c r="AS41" s="109">
        <v>3</v>
      </c>
      <c r="AT41" s="109">
        <v>1</v>
      </c>
      <c r="AU41" s="109">
        <v>3</v>
      </c>
      <c r="AV41" s="109">
        <v>2</v>
      </c>
      <c r="AW41" s="109">
        <v>1</v>
      </c>
      <c r="AX41" s="109">
        <v>2</v>
      </c>
      <c r="AY41" s="109">
        <v>1</v>
      </c>
    </row>
    <row r="42" spans="1:52">
      <c r="A42" s="109"/>
      <c r="B42" s="178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>
      <c r="A43" s="109"/>
      <c r="B43" s="178" t="s">
        <v>352</v>
      </c>
      <c r="C43" s="109"/>
      <c r="D43" s="109">
        <v>0</v>
      </c>
      <c r="E43" s="109">
        <v>0</v>
      </c>
      <c r="F43" s="109">
        <v>0</v>
      </c>
      <c r="G43" s="109">
        <v>0</v>
      </c>
      <c r="H43" s="109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09">
        <v>0</v>
      </c>
      <c r="AN43" s="109">
        <v>0</v>
      </c>
      <c r="AO43" s="109">
        <v>0</v>
      </c>
      <c r="AP43" s="109">
        <v>0</v>
      </c>
      <c r="AQ43" s="109">
        <v>0</v>
      </c>
      <c r="AR43" s="109">
        <v>0</v>
      </c>
      <c r="AS43" s="109">
        <v>0</v>
      </c>
      <c r="AT43" s="109">
        <v>0</v>
      </c>
      <c r="AU43" s="109">
        <v>0</v>
      </c>
      <c r="AV43" s="109">
        <v>0</v>
      </c>
      <c r="AW43" s="109">
        <v>0</v>
      </c>
      <c r="AX43" s="109">
        <v>0</v>
      </c>
      <c r="AY43" s="109">
        <v>0</v>
      </c>
      <c r="AZ43" s="99">
        <f>SUM($D$43:$AY$43)</f>
        <v>0</v>
      </c>
    </row>
    <row r="44" spans="1:52">
      <c r="A44" s="134" t="s">
        <v>46</v>
      </c>
      <c r="B44" s="134" t="s">
        <v>342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0</v>
      </c>
      <c r="G44" s="123">
        <f>G$21*shipping_manufacturing!$D$28/100</f>
        <v>0</v>
      </c>
      <c r="H44" s="123">
        <f>H$21*shipping_manufacturing!$D$28/100</f>
        <v>0</v>
      </c>
      <c r="I44" s="123">
        <f>I$21*shipping_manufacturing!$D$28/100</f>
        <v>0</v>
      </c>
      <c r="J44" s="123">
        <f>J$21*shipping_manufacturing!$D$28/100</f>
        <v>0</v>
      </c>
      <c r="K44" s="123">
        <f>K$21*shipping_manufacturing!$D$28/100</f>
        <v>0</v>
      </c>
      <c r="L44" s="123">
        <f>L$21*shipping_manufacturing!$D$28/100</f>
        <v>0</v>
      </c>
      <c r="M44" s="123">
        <f>M$21*shipping_manufacturing!$D$28/100</f>
        <v>0</v>
      </c>
      <c r="N44" s="123">
        <f>N$21*shipping_manufacturing!$D$28/100</f>
        <v>0</v>
      </c>
      <c r="O44" s="123">
        <f>O$21*shipping_manufacturing!$D$28/100</f>
        <v>0</v>
      </c>
      <c r="P44" s="123">
        <f>P$21*shipping_manufacturing!$D$28/100</f>
        <v>0</v>
      </c>
      <c r="Q44" s="123">
        <f>Q$21*shipping_manufacturing!$D$28/100</f>
        <v>0</v>
      </c>
      <c r="R44" s="123">
        <f>R$21*shipping_manufacturing!$D$28/100</f>
        <v>0</v>
      </c>
      <c r="S44" s="123">
        <f>S$21*shipping_manufacturing!$D$28/100</f>
        <v>0</v>
      </c>
      <c r="T44" s="123">
        <f>T$21*shipping_manufacturing!$D$28/100</f>
        <v>0</v>
      </c>
      <c r="U44" s="123">
        <f>U$21*shipping_manufacturing!$D$28/100</f>
        <v>0</v>
      </c>
      <c r="V44" s="123">
        <f>V$21*shipping_manufacturing!$D$28/100</f>
        <v>0</v>
      </c>
      <c r="W44" s="123">
        <f>W$21*shipping_manufacturing!$D$28/100</f>
        <v>0</v>
      </c>
      <c r="X44" s="123">
        <f>X$21*shipping_manufacturing!$D$28/100</f>
        <v>0</v>
      </c>
      <c r="Y44" s="123">
        <f>Y$21*shipping_manufacturing!$D$28/100</f>
        <v>0</v>
      </c>
      <c r="Z44" s="123">
        <f>Z$21*shipping_manufacturing!$D$28/100</f>
        <v>0</v>
      </c>
      <c r="AA44" s="123">
        <f>AA$21*shipping_manufacturing!$D$28/100</f>
        <v>0</v>
      </c>
      <c r="AB44" s="123">
        <f>AB$21*shipping_manufacturing!$D$28/100</f>
        <v>0</v>
      </c>
      <c r="AC44" s="123">
        <f>AC$21*shipping_manufacturing!$D$28/100</f>
        <v>0</v>
      </c>
      <c r="AD44" s="123">
        <f>AD$21*shipping_manufacturing!$D$28/100</f>
        <v>0</v>
      </c>
      <c r="AE44" s="123">
        <f>AE$21*shipping_manufacturing!$D$28/100</f>
        <v>0</v>
      </c>
      <c r="AF44" s="123">
        <f>AF$21*shipping_manufacturing!$D$28/100</f>
        <v>0</v>
      </c>
      <c r="AG44" s="123">
        <f>AG$21*shipping_manufacturing!$D$28/100</f>
        <v>0</v>
      </c>
      <c r="AH44" s="123">
        <f>AH$21*shipping_manufacturing!$D$28/100</f>
        <v>0</v>
      </c>
      <c r="AI44" s="123">
        <f>AI$21*shipping_manufacturing!$D$28/100</f>
        <v>0</v>
      </c>
      <c r="AJ44" s="123">
        <f>AJ$21*shipping_manufacturing!$D$28/100</f>
        <v>0</v>
      </c>
      <c r="AK44" s="123">
        <f>AK$21*shipping_manufacturing!$D$28/100</f>
        <v>0</v>
      </c>
      <c r="AL44" s="123">
        <f>AL$21*shipping_manufacturing!$D$28/100</f>
        <v>0</v>
      </c>
      <c r="AM44" s="123">
        <f>AM$21*shipping_manufacturing!$D$28/100</f>
        <v>0</v>
      </c>
      <c r="AN44" s="123">
        <f>AN$21*shipping_manufacturing!$D$28/100</f>
        <v>0</v>
      </c>
      <c r="AO44" s="123">
        <f>AO$21*shipping_manufacturing!$D$28/100</f>
        <v>0</v>
      </c>
      <c r="AP44" s="123">
        <f>AP$21*shipping_manufacturing!$D$28/100</f>
        <v>0</v>
      </c>
      <c r="AQ44" s="123">
        <f>AQ$21*shipping_manufacturing!$D$28/100</f>
        <v>0</v>
      </c>
      <c r="AR44" s="123">
        <f>AR$21*shipping_manufacturing!$D$28/100</f>
        <v>0</v>
      </c>
      <c r="AS44" s="123">
        <f>AS$21*shipping_manufacturing!$D$28/100</f>
        <v>0</v>
      </c>
      <c r="AT44" s="123">
        <f>AT$21*shipping_manufacturing!$D$28/100</f>
        <v>0</v>
      </c>
      <c r="AU44" s="123">
        <f>AU$21*shipping_manufacturing!$D$28/100</f>
        <v>0</v>
      </c>
      <c r="AV44" s="123">
        <f>AV$21*shipping_manufacturing!$D$28/100</f>
        <v>0</v>
      </c>
      <c r="AW44" s="123">
        <f>AW$21*shipping_manufacturing!$D$28/100</f>
        <v>0</v>
      </c>
      <c r="AX44" s="123">
        <f>AX$21*shipping_manufacturing!$D$28/100</f>
        <v>0</v>
      </c>
      <c r="AY44" s="123">
        <f>AY$21*shipping_manufacturing!$D$28/100</f>
        <v>0</v>
      </c>
    </row>
    <row r="45" spans="1:52">
      <c r="A45" s="112" t="s">
        <v>341</v>
      </c>
      <c r="B45" s="164" t="s">
        <v>343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>
      <c r="A46" s="109">
        <v>2334</v>
      </c>
      <c r="B46" s="164" t="s">
        <v>344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345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346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347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348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349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350</v>
      </c>
      <c r="C52" s="109"/>
      <c r="D52" s="109">
        <v>2</v>
      </c>
      <c r="E52" s="109">
        <v>3</v>
      </c>
      <c r="F52" s="109">
        <v>2</v>
      </c>
      <c r="G52" s="109">
        <v>2</v>
      </c>
      <c r="H52" s="109">
        <v>2</v>
      </c>
      <c r="I52" s="109">
        <v>3</v>
      </c>
      <c r="J52" s="109">
        <v>3</v>
      </c>
      <c r="K52" s="109">
        <v>2</v>
      </c>
      <c r="L52" s="109">
        <v>3</v>
      </c>
      <c r="M52" s="109">
        <v>2</v>
      </c>
      <c r="N52" s="109">
        <v>2</v>
      </c>
      <c r="O52" s="109">
        <v>2</v>
      </c>
      <c r="P52" s="109">
        <v>3</v>
      </c>
      <c r="Q52" s="109">
        <v>2</v>
      </c>
      <c r="R52" s="109">
        <v>3</v>
      </c>
      <c r="S52" s="109">
        <v>2</v>
      </c>
      <c r="T52" s="109">
        <v>2</v>
      </c>
      <c r="U52" s="109">
        <v>2</v>
      </c>
      <c r="V52" s="109">
        <v>2</v>
      </c>
      <c r="W52" s="109">
        <v>2</v>
      </c>
      <c r="X52" s="109">
        <v>3</v>
      </c>
      <c r="Y52" s="109">
        <v>2</v>
      </c>
      <c r="Z52" s="109">
        <v>2</v>
      </c>
      <c r="AA52" s="109">
        <v>2</v>
      </c>
      <c r="AB52" s="109">
        <v>2</v>
      </c>
      <c r="AC52" s="109">
        <v>4</v>
      </c>
      <c r="AD52" s="109">
        <v>2</v>
      </c>
      <c r="AE52" s="109">
        <v>3</v>
      </c>
      <c r="AF52" s="109">
        <v>4</v>
      </c>
      <c r="AG52" s="109">
        <v>2</v>
      </c>
      <c r="AH52" s="109">
        <v>2</v>
      </c>
      <c r="AI52" s="109">
        <v>2</v>
      </c>
      <c r="AJ52" s="109">
        <v>3</v>
      </c>
      <c r="AK52" s="109">
        <v>3</v>
      </c>
      <c r="AL52" s="109">
        <v>3</v>
      </c>
      <c r="AM52" s="109">
        <v>3</v>
      </c>
      <c r="AN52" s="109">
        <v>3</v>
      </c>
      <c r="AO52" s="109">
        <v>4</v>
      </c>
      <c r="AP52" s="109">
        <v>3</v>
      </c>
      <c r="AQ52" s="109">
        <v>2</v>
      </c>
      <c r="AR52" s="109">
        <v>2</v>
      </c>
      <c r="AS52" s="109">
        <v>2</v>
      </c>
      <c r="AT52" s="109">
        <v>3</v>
      </c>
      <c r="AU52" s="109">
        <v>2</v>
      </c>
      <c r="AV52" s="109">
        <v>3</v>
      </c>
      <c r="AW52" s="109">
        <v>4</v>
      </c>
      <c r="AX52" s="109">
        <v>2</v>
      </c>
      <c r="AY52" s="109">
        <v>2</v>
      </c>
    </row>
    <row r="53" spans="1:52">
      <c r="A53" s="109"/>
      <c r="B53" s="178" t="s">
        <v>351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09"/>
      <c r="B54" s="178" t="s">
        <v>352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>
      <c r="A55" s="134" t="s">
        <v>59</v>
      </c>
      <c r="B55" s="134" t="s">
        <v>342</v>
      </c>
      <c r="C55" s="123"/>
      <c r="D55" s="123">
        <f>D$21*shipping_manufacturing!$D$29/100</f>
        <v>0</v>
      </c>
      <c r="E55" s="123">
        <f>E$21*shipping_manufacturing!$D$29/100</f>
        <v>0</v>
      </c>
      <c r="F55" s="123">
        <f>F$21*shipping_manufacturing!$D$29/100</f>
        <v>0</v>
      </c>
      <c r="G55" s="123">
        <f>G$21*shipping_manufacturing!$D$29/100</f>
        <v>0</v>
      </c>
      <c r="H55" s="123">
        <f>H$21*shipping_manufacturing!$D$29/100</f>
        <v>0</v>
      </c>
      <c r="I55" s="123">
        <f>I$21*shipping_manufacturing!$D$29/100</f>
        <v>0</v>
      </c>
      <c r="J55" s="123">
        <f>J$21*shipping_manufacturing!$D$29/100</f>
        <v>0</v>
      </c>
      <c r="K55" s="123">
        <f>K$21*shipping_manufacturing!$D$29/100</f>
        <v>0</v>
      </c>
      <c r="L55" s="123">
        <f>L$21*shipping_manufacturing!$D$29/100</f>
        <v>0</v>
      </c>
      <c r="M55" s="123">
        <f>M$21*shipping_manufacturing!$D$29/100</f>
        <v>0</v>
      </c>
      <c r="N55" s="123">
        <f>N$21*shipping_manufacturing!$D$29/100</f>
        <v>0</v>
      </c>
      <c r="O55" s="123">
        <f>O$21*shipping_manufacturing!$D$29/100</f>
        <v>0</v>
      </c>
      <c r="P55" s="123">
        <f>P$21*shipping_manufacturing!$D$29/100</f>
        <v>0</v>
      </c>
      <c r="Q55" s="123">
        <f>Q$21*shipping_manufacturing!$D$29/100</f>
        <v>0</v>
      </c>
      <c r="R55" s="123">
        <f>R$21*shipping_manufacturing!$D$29/100</f>
        <v>0</v>
      </c>
      <c r="S55" s="123">
        <f>S$21*shipping_manufacturing!$D$29/100</f>
        <v>0</v>
      </c>
      <c r="T55" s="123">
        <f>T$21*shipping_manufacturing!$D$29/100</f>
        <v>0</v>
      </c>
      <c r="U55" s="123">
        <f>U$21*shipping_manufacturing!$D$29/100</f>
        <v>0</v>
      </c>
      <c r="V55" s="123">
        <f>V$21*shipping_manufacturing!$D$29/100</f>
        <v>0</v>
      </c>
      <c r="W55" s="123">
        <f>W$21*shipping_manufacturing!$D$29/100</f>
        <v>0</v>
      </c>
      <c r="X55" s="123">
        <f>X$21*shipping_manufacturing!$D$29/100</f>
        <v>0</v>
      </c>
      <c r="Y55" s="123">
        <f>Y$21*shipping_manufacturing!$D$29/100</f>
        <v>0</v>
      </c>
      <c r="Z55" s="123">
        <f>Z$21*shipping_manufacturing!$D$29/100</f>
        <v>0</v>
      </c>
      <c r="AA55" s="123">
        <f>AA$21*shipping_manufacturing!$D$29/100</f>
        <v>0</v>
      </c>
      <c r="AB55" s="123">
        <f>AB$21*shipping_manufacturing!$D$29/100</f>
        <v>0</v>
      </c>
      <c r="AC55" s="123">
        <f>AC$21*shipping_manufacturing!$D$29/100</f>
        <v>0</v>
      </c>
      <c r="AD55" s="123">
        <f>AD$21*shipping_manufacturing!$D$29/100</f>
        <v>0</v>
      </c>
      <c r="AE55" s="123">
        <f>AE$21*shipping_manufacturing!$D$29/100</f>
        <v>0</v>
      </c>
      <c r="AF55" s="123">
        <f>AF$21*shipping_manufacturing!$D$29/100</f>
        <v>0</v>
      </c>
      <c r="AG55" s="123">
        <f>AG$21*shipping_manufacturing!$D$29/100</f>
        <v>0</v>
      </c>
      <c r="AH55" s="123">
        <f>AH$21*shipping_manufacturing!$D$29/100</f>
        <v>0</v>
      </c>
      <c r="AI55" s="123">
        <f>AI$21*shipping_manufacturing!$D$29/100</f>
        <v>0</v>
      </c>
      <c r="AJ55" s="123">
        <f>AJ$21*shipping_manufacturing!$D$29/100</f>
        <v>0</v>
      </c>
      <c r="AK55" s="123">
        <f>AK$21*shipping_manufacturing!$D$29/100</f>
        <v>0</v>
      </c>
      <c r="AL55" s="123">
        <f>AL$21*shipping_manufacturing!$D$29/100</f>
        <v>0</v>
      </c>
      <c r="AM55" s="123">
        <f>AM$21*shipping_manufacturing!$D$29/100</f>
        <v>0</v>
      </c>
      <c r="AN55" s="123">
        <f>AN$21*shipping_manufacturing!$D$29/100</f>
        <v>0</v>
      </c>
      <c r="AO55" s="123">
        <f>AO$21*shipping_manufacturing!$D$29/100</f>
        <v>0</v>
      </c>
      <c r="AP55" s="123">
        <f>AP$21*shipping_manufacturing!$D$29/100</f>
        <v>0</v>
      </c>
      <c r="AQ55" s="123">
        <f>AQ$21*shipping_manufacturing!$D$29/100</f>
        <v>0</v>
      </c>
      <c r="AR55" s="123">
        <f>AR$21*shipping_manufacturing!$D$29/100</f>
        <v>0</v>
      </c>
      <c r="AS55" s="123">
        <f>AS$21*shipping_manufacturing!$D$29/100</f>
        <v>0</v>
      </c>
      <c r="AT55" s="123">
        <f>AT$21*shipping_manufacturing!$D$29/100</f>
        <v>0</v>
      </c>
      <c r="AU55" s="123">
        <f>AU$21*shipping_manufacturing!$D$29/100</f>
        <v>0</v>
      </c>
      <c r="AV55" s="123">
        <f>AV$21*shipping_manufacturing!$D$29/100</f>
        <v>0</v>
      </c>
      <c r="AW55" s="123">
        <f>AW$21*shipping_manufacturing!$D$29/100</f>
        <v>0</v>
      </c>
      <c r="AX55" s="123">
        <f>AX$21*shipping_manufacturing!$D$29/100</f>
        <v>0</v>
      </c>
      <c r="AY55" s="123">
        <f>AY$21*shipping_manufacturing!$D$29/100</f>
        <v>0</v>
      </c>
    </row>
    <row r="56" spans="1:52">
      <c r="A56" s="112" t="s">
        <v>341</v>
      </c>
      <c r="B56" s="164" t="s">
        <v>343</v>
      </c>
      <c r="C56" s="109"/>
      <c r="D56" s="109">
        <f>D$22*shipping_manufacturing!$E$29/100</f>
        <v>0</v>
      </c>
      <c r="E56" s="109">
        <f>E$22*shipping_manufacturing!$E$29/100</f>
        <v>0</v>
      </c>
      <c r="F56" s="109">
        <f>F$22*shipping_manufacturing!$E$29/100</f>
        <v>0</v>
      </c>
      <c r="G56" s="109">
        <f>G$22*shipping_manufacturing!$E$29/100</f>
        <v>0</v>
      </c>
      <c r="H56" s="109">
        <f>H$22*shipping_manufacturing!$E$29/100</f>
        <v>0</v>
      </c>
      <c r="I56" s="109">
        <f>I$22*shipping_manufacturing!$E$29/100</f>
        <v>0</v>
      </c>
      <c r="J56" s="109">
        <f>J$22*shipping_manufacturing!$E$29/100</f>
        <v>0</v>
      </c>
      <c r="K56" s="109">
        <f>K$22*shipping_manufacturing!$E$29/100</f>
        <v>0</v>
      </c>
      <c r="L56" s="109">
        <f>L$22*shipping_manufacturing!$E$29/100</f>
        <v>0</v>
      </c>
      <c r="M56" s="109">
        <f>M$22*shipping_manufacturing!$E$29/100</f>
        <v>0</v>
      </c>
      <c r="N56" s="109">
        <f>N$22*shipping_manufacturing!$E$29/100</f>
        <v>0</v>
      </c>
      <c r="O56" s="109">
        <f>O$22*shipping_manufacturing!$E$29/100</f>
        <v>0</v>
      </c>
      <c r="P56" s="109">
        <f>P$22*shipping_manufacturing!$E$29/100</f>
        <v>0</v>
      </c>
      <c r="Q56" s="109">
        <f>Q$22*shipping_manufacturing!$E$29/100</f>
        <v>0</v>
      </c>
      <c r="R56" s="109">
        <f>R$22*shipping_manufacturing!$E$29/100</f>
        <v>0</v>
      </c>
      <c r="S56" s="109">
        <f>S$22*shipping_manufacturing!$E$29/100</f>
        <v>0</v>
      </c>
      <c r="T56" s="109">
        <f>T$22*shipping_manufacturing!$E$29/100</f>
        <v>0</v>
      </c>
      <c r="U56" s="109">
        <f>U$22*shipping_manufacturing!$E$29/100</f>
        <v>0</v>
      </c>
      <c r="V56" s="109">
        <f>V$22*shipping_manufacturing!$E$29/100</f>
        <v>0</v>
      </c>
      <c r="W56" s="109">
        <f>W$22*shipping_manufacturing!$E$29/100</f>
        <v>0</v>
      </c>
      <c r="X56" s="109">
        <f>X$22*shipping_manufacturing!$E$29/100</f>
        <v>0</v>
      </c>
      <c r="Y56" s="109">
        <f>Y$22*shipping_manufacturing!$E$29/100</f>
        <v>0</v>
      </c>
      <c r="Z56" s="109">
        <f>Z$22*shipping_manufacturing!$E$29/100</f>
        <v>0</v>
      </c>
      <c r="AA56" s="109">
        <f>AA$22*shipping_manufacturing!$E$29/100</f>
        <v>0</v>
      </c>
      <c r="AB56" s="109">
        <f>AB$22*shipping_manufacturing!$E$29/100</f>
        <v>0</v>
      </c>
      <c r="AC56" s="109">
        <f>AC$22*shipping_manufacturing!$E$29/100</f>
        <v>0</v>
      </c>
      <c r="AD56" s="109">
        <f>AD$22*shipping_manufacturing!$E$29/100</f>
        <v>0</v>
      </c>
      <c r="AE56" s="109">
        <f>AE$22*shipping_manufacturing!$E$29/100</f>
        <v>0</v>
      </c>
      <c r="AF56" s="109">
        <f>AF$22*shipping_manufacturing!$E$29/100</f>
        <v>0</v>
      </c>
      <c r="AG56" s="109">
        <f>AG$22*shipping_manufacturing!$E$29/100</f>
        <v>0</v>
      </c>
      <c r="AH56" s="109">
        <f>AH$22*shipping_manufacturing!$E$29/100</f>
        <v>0</v>
      </c>
      <c r="AI56" s="109">
        <f>AI$22*shipping_manufacturing!$E$29/100</f>
        <v>0</v>
      </c>
      <c r="AJ56" s="109">
        <f>AJ$22*shipping_manufacturing!$E$29/100</f>
        <v>0</v>
      </c>
      <c r="AK56" s="109">
        <f>AK$22*shipping_manufacturing!$E$29/100</f>
        <v>0</v>
      </c>
      <c r="AL56" s="109">
        <f>AL$22*shipping_manufacturing!$E$29/100</f>
        <v>0</v>
      </c>
      <c r="AM56" s="109">
        <f>AM$22*shipping_manufacturing!$E$29/100</f>
        <v>0</v>
      </c>
      <c r="AN56" s="109">
        <f>AN$22*shipping_manufacturing!$E$29/100</f>
        <v>0</v>
      </c>
      <c r="AO56" s="109">
        <f>AO$22*shipping_manufacturing!$E$29/100</f>
        <v>0</v>
      </c>
      <c r="AP56" s="109">
        <f>AP$22*shipping_manufacturing!$E$29/100</f>
        <v>0</v>
      </c>
      <c r="AQ56" s="109">
        <f>AQ$22*shipping_manufacturing!$E$29/100</f>
        <v>0</v>
      </c>
      <c r="AR56" s="109">
        <f>AR$22*shipping_manufacturing!$E$29/100</f>
        <v>0</v>
      </c>
      <c r="AS56" s="109">
        <f>AS$22*shipping_manufacturing!$E$29/100</f>
        <v>0</v>
      </c>
      <c r="AT56" s="109">
        <f>AT$22*shipping_manufacturing!$E$29/100</f>
        <v>0</v>
      </c>
      <c r="AU56" s="109">
        <f>AU$22*shipping_manufacturing!$E$29/100</f>
        <v>0</v>
      </c>
      <c r="AV56" s="109">
        <f>AV$22*shipping_manufacturing!$E$29/100</f>
        <v>0</v>
      </c>
      <c r="AW56" s="109">
        <f>AW$22*shipping_manufacturing!$E$29/100</f>
        <v>0</v>
      </c>
      <c r="AX56" s="109">
        <f>AX$22*shipping_manufacturing!$E$29/100</f>
        <v>0</v>
      </c>
      <c r="AY56" s="109">
        <f>AY$22*shipping_manufacturing!$E$29/100</f>
        <v>0</v>
      </c>
    </row>
    <row r="57" spans="1:52">
      <c r="A57" s="109">
        <v>718</v>
      </c>
      <c r="B57" s="164" t="s">
        <v>344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>
      <c r="A58" s="109"/>
      <c r="B58" s="164" t="s">
        <v>345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>
      <c r="A59" s="109"/>
      <c r="B59" s="164" t="s">
        <v>346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>
      <c r="A60" s="109"/>
      <c r="B60" s="164" t="s">
        <v>347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>
      <c r="A61" s="109"/>
      <c r="B61" s="164" t="s">
        <v>348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>
      <c r="A62" s="109"/>
      <c r="B62" s="164" t="s">
        <v>349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>
      <c r="A63" s="109"/>
      <c r="B63" s="164" t="s">
        <v>350</v>
      </c>
      <c r="C63" s="109"/>
      <c r="D63" s="109">
        <v>2</v>
      </c>
      <c r="E63" s="109">
        <v>2</v>
      </c>
      <c r="F63" s="109">
        <v>1</v>
      </c>
      <c r="G63" s="109">
        <v>1</v>
      </c>
      <c r="H63" s="109">
        <v>1</v>
      </c>
      <c r="I63" s="109">
        <v>1</v>
      </c>
      <c r="J63" s="109">
        <v>2</v>
      </c>
      <c r="K63" s="109">
        <v>1</v>
      </c>
      <c r="L63" s="109">
        <v>1</v>
      </c>
      <c r="M63" s="109">
        <v>1</v>
      </c>
      <c r="N63" s="109">
        <v>3</v>
      </c>
      <c r="O63" s="109">
        <v>2</v>
      </c>
      <c r="P63" s="109">
        <v>2</v>
      </c>
      <c r="Q63" s="109">
        <v>1</v>
      </c>
      <c r="R63" s="109">
        <v>2</v>
      </c>
      <c r="S63" s="109">
        <v>1</v>
      </c>
      <c r="T63" s="109">
        <v>1</v>
      </c>
      <c r="U63" s="109">
        <v>2</v>
      </c>
      <c r="V63" s="109">
        <v>1</v>
      </c>
      <c r="W63" s="109">
        <v>1</v>
      </c>
      <c r="X63" s="109">
        <v>2</v>
      </c>
      <c r="Y63" s="109">
        <v>1</v>
      </c>
      <c r="Z63" s="109">
        <v>3</v>
      </c>
      <c r="AA63" s="109">
        <v>1</v>
      </c>
      <c r="AB63" s="109">
        <v>1</v>
      </c>
      <c r="AC63" s="109">
        <v>1</v>
      </c>
      <c r="AD63" s="109">
        <v>3</v>
      </c>
      <c r="AE63" s="109">
        <v>1</v>
      </c>
      <c r="AF63" s="109">
        <v>2</v>
      </c>
      <c r="AG63" s="109">
        <v>3</v>
      </c>
      <c r="AH63" s="109">
        <v>1</v>
      </c>
      <c r="AI63" s="109">
        <v>1</v>
      </c>
      <c r="AJ63" s="109">
        <v>2</v>
      </c>
      <c r="AK63" s="109">
        <v>1</v>
      </c>
      <c r="AL63" s="109">
        <v>1</v>
      </c>
      <c r="AM63" s="109">
        <v>2</v>
      </c>
      <c r="AN63" s="109">
        <v>1</v>
      </c>
      <c r="AO63" s="109">
        <v>1</v>
      </c>
      <c r="AP63" s="109">
        <v>2</v>
      </c>
      <c r="AQ63" s="109">
        <v>1</v>
      </c>
      <c r="AR63" s="109">
        <v>2</v>
      </c>
      <c r="AS63" s="109">
        <v>2</v>
      </c>
      <c r="AT63" s="109">
        <v>1</v>
      </c>
      <c r="AU63" s="109">
        <v>3</v>
      </c>
      <c r="AV63" s="109">
        <v>1</v>
      </c>
      <c r="AW63" s="109">
        <v>2</v>
      </c>
      <c r="AX63" s="109">
        <v>1</v>
      </c>
      <c r="AY63" s="109">
        <v>1</v>
      </c>
    </row>
    <row r="64" spans="1:52">
      <c r="A64" s="109"/>
      <c r="B64" s="178" t="s">
        <v>351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>
      <c r="A65" s="124"/>
      <c r="B65" s="139" t="s">
        <v>352</v>
      </c>
      <c r="C65" s="124"/>
      <c r="D65" s="124">
        <v>0</v>
      </c>
      <c r="E65" s="124">
        <v>0</v>
      </c>
      <c r="F65" s="124">
        <v>0</v>
      </c>
      <c r="G65" s="124">
        <v>0</v>
      </c>
      <c r="H65" s="124">
        <v>0</v>
      </c>
      <c r="I65" s="124">
        <v>0</v>
      </c>
      <c r="J65" s="124">
        <v>0</v>
      </c>
      <c r="K65" s="124">
        <v>0</v>
      </c>
      <c r="L65" s="124">
        <v>0</v>
      </c>
      <c r="M65" s="124">
        <v>0</v>
      </c>
      <c r="N65" s="124">
        <v>0</v>
      </c>
      <c r="O65" s="124">
        <v>0</v>
      </c>
      <c r="P65" s="124">
        <v>0</v>
      </c>
      <c r="Q65" s="124">
        <v>0</v>
      </c>
      <c r="R65" s="124">
        <v>0</v>
      </c>
      <c r="S65" s="124">
        <v>0</v>
      </c>
      <c r="T65" s="124">
        <v>0</v>
      </c>
      <c r="U65" s="124">
        <v>0</v>
      </c>
      <c r="V65" s="124">
        <v>0</v>
      </c>
      <c r="W65" s="124">
        <v>0</v>
      </c>
      <c r="X65" s="124">
        <v>0</v>
      </c>
      <c r="Y65" s="124">
        <v>0</v>
      </c>
      <c r="Z65" s="124">
        <v>0</v>
      </c>
      <c r="AA65" s="124">
        <v>0</v>
      </c>
      <c r="AB65" s="124">
        <v>0</v>
      </c>
      <c r="AC65" s="124">
        <v>0</v>
      </c>
      <c r="AD65" s="124">
        <v>0</v>
      </c>
      <c r="AE65" s="124">
        <v>0</v>
      </c>
      <c r="AF65" s="124">
        <v>0</v>
      </c>
      <c r="AG65" s="124">
        <v>0</v>
      </c>
      <c r="AH65" s="124">
        <v>0</v>
      </c>
      <c r="AI65" s="124">
        <v>0</v>
      </c>
      <c r="AJ65" s="124">
        <v>0</v>
      </c>
      <c r="AK65" s="124">
        <v>0</v>
      </c>
      <c r="AL65" s="124">
        <v>0</v>
      </c>
      <c r="AM65" s="124">
        <v>0</v>
      </c>
      <c r="AN65" s="124">
        <v>0</v>
      </c>
      <c r="AO65" s="124">
        <v>0</v>
      </c>
      <c r="AP65" s="124">
        <v>0</v>
      </c>
      <c r="AQ65" s="124">
        <v>0</v>
      </c>
      <c r="AR65" s="124">
        <v>0</v>
      </c>
      <c r="AS65" s="124">
        <v>0</v>
      </c>
      <c r="AT65" s="124">
        <v>0</v>
      </c>
      <c r="AU65" s="124">
        <v>0</v>
      </c>
      <c r="AV65" s="124">
        <v>0</v>
      </c>
      <c r="AW65" s="124">
        <v>0</v>
      </c>
      <c r="AX65" s="124">
        <v>0</v>
      </c>
      <c r="AY65" s="124">
        <v>0</v>
      </c>
      <c r="AZ65" s="99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10</v>
      </c>
      <c r="E2" s="109"/>
    </row>
    <row r="3" spans="1:52">
      <c r="A3" s="99" t="s">
        <v>286</v>
      </c>
      <c r="B3" s="106">
        <v>600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394.87778597704909</v>
      </c>
      <c r="E7" s="143">
        <v>394.87778597704909</v>
      </c>
      <c r="F7" s="143">
        <v>394.87778597704909</v>
      </c>
      <c r="G7" s="143">
        <v>394.87778597704909</v>
      </c>
      <c r="H7" s="143">
        <v>0</v>
      </c>
      <c r="I7" s="143">
        <v>0</v>
      </c>
      <c r="J7" s="143">
        <v>0</v>
      </c>
      <c r="K7" s="143">
        <v>0</v>
      </c>
      <c r="L7" s="143">
        <v>394.87778597704909</v>
      </c>
      <c r="M7" s="143">
        <v>394.87778597704909</v>
      </c>
      <c r="N7" s="143">
        <v>394.87778597704909</v>
      </c>
      <c r="O7" s="143">
        <v>394.87778597704909</v>
      </c>
      <c r="P7" s="143">
        <v>394.87778597704909</v>
      </c>
      <c r="Q7" s="143">
        <v>394.87778597704909</v>
      </c>
      <c r="R7" s="143">
        <v>394.87778597704909</v>
      </c>
      <c r="S7" s="143">
        <v>394.87778597704909</v>
      </c>
      <c r="T7" s="143">
        <v>394.87778597704909</v>
      </c>
      <c r="U7" s="143">
        <v>394.87778597704909</v>
      </c>
      <c r="V7" s="143">
        <v>394.87778597704909</v>
      </c>
      <c r="W7" s="143">
        <v>394.87778597704909</v>
      </c>
      <c r="X7" s="143">
        <v>394.87778597704909</v>
      </c>
      <c r="Y7" s="143">
        <v>394.87778597704909</v>
      </c>
      <c r="Z7" s="143">
        <v>394.87778597704909</v>
      </c>
      <c r="AA7" s="143">
        <v>394.87778597704909</v>
      </c>
      <c r="AB7" s="143">
        <v>394.87778597704909</v>
      </c>
      <c r="AC7" s="143">
        <v>394.87778597704909</v>
      </c>
      <c r="AD7" s="143">
        <v>394.87778597704909</v>
      </c>
      <c r="AE7" s="143">
        <v>394.87778597704909</v>
      </c>
      <c r="AF7" s="143">
        <v>394.87778597704909</v>
      </c>
      <c r="AG7" s="143">
        <v>394.87778597704909</v>
      </c>
      <c r="AH7" s="143">
        <v>394.87778597704909</v>
      </c>
      <c r="AI7" s="143">
        <v>394.87778597704909</v>
      </c>
      <c r="AJ7" s="143">
        <v>394.87778597704909</v>
      </c>
      <c r="AK7" s="143">
        <v>394.87778597704909</v>
      </c>
      <c r="AL7" s="143">
        <v>394.87778597704909</v>
      </c>
      <c r="AM7" s="143">
        <v>394.87778597704909</v>
      </c>
      <c r="AN7" s="143">
        <v>394.87778597704909</v>
      </c>
      <c r="AO7" s="143">
        <v>394.87778597704909</v>
      </c>
      <c r="AP7" s="143">
        <v>394.87778597704909</v>
      </c>
      <c r="AQ7" s="143">
        <v>394.87778597704909</v>
      </c>
      <c r="AR7" s="143">
        <v>394.87778597704909</v>
      </c>
      <c r="AS7" s="143">
        <v>394.87778597704909</v>
      </c>
      <c r="AT7" s="143">
        <v>394.87778597704909</v>
      </c>
      <c r="AU7" s="143">
        <v>394.87778597704909</v>
      </c>
      <c r="AV7" s="143">
        <v>394.87778597704909</v>
      </c>
      <c r="AW7" s="143">
        <v>394.87778597704909</v>
      </c>
      <c r="AX7" s="143">
        <v>394.87778597704909</v>
      </c>
      <c r="AY7" s="143">
        <v>394.87778597704909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0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500</v>
      </c>
      <c r="D13" s="137">
        <f t="shared" ref="D13:AY13" si="1">D$7-D$10</f>
        <v>394.87778597704909</v>
      </c>
      <c r="E13" s="137">
        <f t="shared" si="1"/>
        <v>394.87778597704909</v>
      </c>
      <c r="F13" s="137">
        <f t="shared" si="1"/>
        <v>394.87778597704909</v>
      </c>
      <c r="G13" s="137">
        <f t="shared" si="1"/>
        <v>394.87778597704909</v>
      </c>
      <c r="H13" s="137">
        <f t="shared" si="1"/>
        <v>0</v>
      </c>
      <c r="I13" s="137">
        <f t="shared" si="1"/>
        <v>0</v>
      </c>
      <c r="J13" s="137">
        <f t="shared" si="1"/>
        <v>0</v>
      </c>
      <c r="K13" s="137">
        <f t="shared" si="1"/>
        <v>0</v>
      </c>
      <c r="L13" s="137">
        <f t="shared" si="1"/>
        <v>394.87778597704909</v>
      </c>
      <c r="M13" s="137">
        <f t="shared" si="1"/>
        <v>394.87778597704909</v>
      </c>
      <c r="N13" s="137">
        <f t="shared" si="1"/>
        <v>394.87778597704909</v>
      </c>
      <c r="O13" s="137">
        <f t="shared" si="1"/>
        <v>394.87778597704909</v>
      </c>
      <c r="P13" s="137">
        <f t="shared" si="1"/>
        <v>394.87778597704909</v>
      </c>
      <c r="Q13" s="137">
        <f t="shared" si="1"/>
        <v>394.87778597704909</v>
      </c>
      <c r="R13" s="137">
        <f t="shared" si="1"/>
        <v>394.87778597704909</v>
      </c>
      <c r="S13" s="137">
        <f t="shared" si="1"/>
        <v>394.87778597704909</v>
      </c>
      <c r="T13" s="137">
        <f t="shared" si="1"/>
        <v>394.87778597704909</v>
      </c>
      <c r="U13" s="137">
        <f t="shared" si="1"/>
        <v>394.87778597704909</v>
      </c>
      <c r="V13" s="137">
        <f t="shared" si="1"/>
        <v>394.87778597704909</v>
      </c>
      <c r="W13" s="137">
        <f t="shared" si="1"/>
        <v>394.87778597704909</v>
      </c>
      <c r="X13" s="137">
        <f t="shared" si="1"/>
        <v>394.87778597704909</v>
      </c>
      <c r="Y13" s="137">
        <f t="shared" si="1"/>
        <v>394.87778597704909</v>
      </c>
      <c r="Z13" s="137">
        <f t="shared" si="1"/>
        <v>394.87778597704909</v>
      </c>
      <c r="AA13" s="137">
        <f t="shared" si="1"/>
        <v>394.87778597704909</v>
      </c>
      <c r="AB13" s="137">
        <f t="shared" si="1"/>
        <v>394.87778597704909</v>
      </c>
      <c r="AC13" s="137">
        <f t="shared" si="1"/>
        <v>394.87778597704909</v>
      </c>
      <c r="AD13" s="137">
        <f t="shared" si="1"/>
        <v>394.87778597704909</v>
      </c>
      <c r="AE13" s="137">
        <f t="shared" si="1"/>
        <v>394.87778597704909</v>
      </c>
      <c r="AF13" s="137">
        <f t="shared" si="1"/>
        <v>394.87778597704909</v>
      </c>
      <c r="AG13" s="137">
        <f t="shared" si="1"/>
        <v>394.87778597704909</v>
      </c>
      <c r="AH13" s="137">
        <f t="shared" si="1"/>
        <v>394.87778597704909</v>
      </c>
      <c r="AI13" s="137">
        <f t="shared" si="1"/>
        <v>394.87778597704909</v>
      </c>
      <c r="AJ13" s="137">
        <f t="shared" si="1"/>
        <v>394.87778597704909</v>
      </c>
      <c r="AK13" s="137">
        <f t="shared" si="1"/>
        <v>394.87778597704909</v>
      </c>
      <c r="AL13" s="137">
        <f t="shared" si="1"/>
        <v>394.87778597704909</v>
      </c>
      <c r="AM13" s="137">
        <f t="shared" si="1"/>
        <v>394.87778597704909</v>
      </c>
      <c r="AN13" s="137">
        <f t="shared" si="1"/>
        <v>394.87778597704909</v>
      </c>
      <c r="AO13" s="137">
        <f t="shared" si="1"/>
        <v>394.87778597704909</v>
      </c>
      <c r="AP13" s="137">
        <f t="shared" si="1"/>
        <v>394.87778597704909</v>
      </c>
      <c r="AQ13" s="137">
        <f t="shared" si="1"/>
        <v>394.87778597704909</v>
      </c>
      <c r="AR13" s="137">
        <f t="shared" si="1"/>
        <v>394.87778597704909</v>
      </c>
      <c r="AS13" s="137">
        <f t="shared" si="1"/>
        <v>394.87778597704909</v>
      </c>
      <c r="AT13" s="137">
        <f t="shared" si="1"/>
        <v>394.87778597704909</v>
      </c>
      <c r="AU13" s="137">
        <f t="shared" si="1"/>
        <v>394.87778597704909</v>
      </c>
      <c r="AV13" s="137">
        <f t="shared" si="1"/>
        <v>394.87778597704909</v>
      </c>
      <c r="AW13" s="137">
        <f t="shared" si="1"/>
        <v>394.87778597704909</v>
      </c>
      <c r="AX13" s="137">
        <f t="shared" si="1"/>
        <v>394.87778597704909</v>
      </c>
      <c r="AY13" s="137">
        <f t="shared" si="1"/>
        <v>394.87778597704909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shipping_manufacturing!$E$19/100</f>
        <v>0.39994246954977231</v>
      </c>
      <c r="C21" s="155" t="s">
        <v>293</v>
      </c>
      <c r="D21" s="105">
        <f>IF(C$20="Yes",0,SUM(C$13:C$16)*$B$21)</f>
        <v>199.97123477488614</v>
      </c>
      <c r="E21" s="105">
        <f t="shared" ref="E21:AY21" si="3">IF(D$20="Yes",0,SUM(D$13:D$16)*$B$21)</f>
        <v>157.92839689400745</v>
      </c>
      <c r="F21" s="105">
        <f t="shared" si="3"/>
        <v>157.92839689400745</v>
      </c>
      <c r="G21" s="105">
        <f t="shared" si="3"/>
        <v>157.92839689400745</v>
      </c>
      <c r="H21" s="105">
        <f t="shared" si="3"/>
        <v>157.92839689400745</v>
      </c>
      <c r="I21" s="105">
        <f t="shared" si="3"/>
        <v>0</v>
      </c>
      <c r="J21" s="105">
        <f t="shared" si="3"/>
        <v>0</v>
      </c>
      <c r="K21" s="105">
        <f t="shared" si="3"/>
        <v>0</v>
      </c>
      <c r="L21" s="105">
        <f t="shared" si="3"/>
        <v>0</v>
      </c>
      <c r="M21" s="105">
        <f t="shared" si="3"/>
        <v>157.92839689400745</v>
      </c>
      <c r="N21" s="105">
        <f t="shared" si="3"/>
        <v>157.92839689400745</v>
      </c>
      <c r="O21" s="105">
        <f t="shared" si="3"/>
        <v>157.92839689400745</v>
      </c>
      <c r="P21" s="105">
        <f t="shared" si="3"/>
        <v>157.92839689400745</v>
      </c>
      <c r="Q21" s="105">
        <f t="shared" si="3"/>
        <v>157.92839689400745</v>
      </c>
      <c r="R21" s="105">
        <f t="shared" si="3"/>
        <v>157.92839689400745</v>
      </c>
      <c r="S21" s="105">
        <f t="shared" si="3"/>
        <v>157.92839689400745</v>
      </c>
      <c r="T21" s="105">
        <f t="shared" si="3"/>
        <v>157.92839689400745</v>
      </c>
      <c r="U21" s="105">
        <f t="shared" si="3"/>
        <v>157.92839689400745</v>
      </c>
      <c r="V21" s="105">
        <f t="shared" si="3"/>
        <v>157.92839689400745</v>
      </c>
      <c r="W21" s="105">
        <f t="shared" si="3"/>
        <v>157.92839689400745</v>
      </c>
      <c r="X21" s="105">
        <f t="shared" si="3"/>
        <v>157.92839689400745</v>
      </c>
      <c r="Y21" s="105">
        <f t="shared" si="3"/>
        <v>157.92839689400745</v>
      </c>
      <c r="Z21" s="105">
        <f t="shared" si="3"/>
        <v>157.92839689400745</v>
      </c>
      <c r="AA21" s="105">
        <f t="shared" si="3"/>
        <v>157.92839689400745</v>
      </c>
      <c r="AB21" s="105">
        <f t="shared" si="3"/>
        <v>157.92839689400745</v>
      </c>
      <c r="AC21" s="105">
        <f t="shared" si="3"/>
        <v>157.92839689400745</v>
      </c>
      <c r="AD21" s="105">
        <f t="shared" si="3"/>
        <v>157.92839689400745</v>
      </c>
      <c r="AE21" s="105">
        <f t="shared" si="3"/>
        <v>157.92839689400745</v>
      </c>
      <c r="AF21" s="105">
        <f t="shared" si="3"/>
        <v>157.92839689400745</v>
      </c>
      <c r="AG21" s="105">
        <f t="shared" si="3"/>
        <v>157.92839689400745</v>
      </c>
      <c r="AH21" s="105">
        <f t="shared" si="3"/>
        <v>157.92839689400745</v>
      </c>
      <c r="AI21" s="105">
        <f t="shared" si="3"/>
        <v>157.92839689400745</v>
      </c>
      <c r="AJ21" s="105">
        <f t="shared" si="3"/>
        <v>157.92839689400745</v>
      </c>
      <c r="AK21" s="105">
        <f t="shared" si="3"/>
        <v>157.92839689400745</v>
      </c>
      <c r="AL21" s="105">
        <f t="shared" si="3"/>
        <v>157.92839689400745</v>
      </c>
      <c r="AM21" s="105">
        <f t="shared" si="3"/>
        <v>157.92839689400745</v>
      </c>
      <c r="AN21" s="105">
        <f t="shared" si="3"/>
        <v>157.92839689400745</v>
      </c>
      <c r="AO21" s="105">
        <f t="shared" si="3"/>
        <v>157.92839689400745</v>
      </c>
      <c r="AP21" s="105">
        <f t="shared" si="3"/>
        <v>157.92839689400745</v>
      </c>
      <c r="AQ21" s="105">
        <f t="shared" si="3"/>
        <v>157.92839689400745</v>
      </c>
      <c r="AR21" s="105">
        <f t="shared" si="3"/>
        <v>157.92839689400745</v>
      </c>
      <c r="AS21" s="105">
        <f t="shared" si="3"/>
        <v>157.92839689400745</v>
      </c>
      <c r="AT21" s="105">
        <f t="shared" si="3"/>
        <v>157.92839689400745</v>
      </c>
      <c r="AU21" s="105">
        <f t="shared" si="3"/>
        <v>157.92839689400745</v>
      </c>
      <c r="AV21" s="105">
        <f t="shared" si="3"/>
        <v>157.92839689400745</v>
      </c>
      <c r="AW21" s="105">
        <f t="shared" si="3"/>
        <v>157.92839689400745</v>
      </c>
      <c r="AX21" s="105">
        <f t="shared" si="3"/>
        <v>157.92839689400745</v>
      </c>
      <c r="AY21" s="105">
        <f t="shared" si="3"/>
        <v>157.92839689400745</v>
      </c>
      <c r="AZ21" s="156">
        <f>SUM($D21:$AY21)</f>
        <v>6990.8923012172027</v>
      </c>
    </row>
    <row r="22" spans="1:52" s="109" customFormat="1">
      <c r="A22" s="157" t="s">
        <v>123</v>
      </c>
      <c r="B22" s="158">
        <f>1-$B$21</f>
        <v>0.60005753045022769</v>
      </c>
      <c r="C22" s="158" t="s">
        <v>293</v>
      </c>
      <c r="D22" s="113">
        <f>IF(C$20="Yes",0,SUM(C$13:C$16)*$B$22)</f>
        <v>300.02876522511383</v>
      </c>
      <c r="E22" s="113">
        <f t="shared" ref="E22:AY22" si="4">IF(D$20="Yes",0,SUM(D$13:D$16)*$B$22)</f>
        <v>236.94938908304164</v>
      </c>
      <c r="F22" s="113">
        <f t="shared" si="4"/>
        <v>236.94938908304164</v>
      </c>
      <c r="G22" s="113">
        <f t="shared" si="4"/>
        <v>236.94938908304164</v>
      </c>
      <c r="H22" s="113">
        <f t="shared" si="4"/>
        <v>236.94938908304164</v>
      </c>
      <c r="I22" s="113">
        <f t="shared" si="4"/>
        <v>0</v>
      </c>
      <c r="J22" s="113">
        <f t="shared" si="4"/>
        <v>0</v>
      </c>
      <c r="K22" s="113">
        <f t="shared" si="4"/>
        <v>0</v>
      </c>
      <c r="L22" s="113">
        <f t="shared" si="4"/>
        <v>0</v>
      </c>
      <c r="M22" s="113">
        <f t="shared" si="4"/>
        <v>236.94938908304164</v>
      </c>
      <c r="N22" s="113">
        <f t="shared" si="4"/>
        <v>236.94938908304164</v>
      </c>
      <c r="O22" s="113">
        <f t="shared" si="4"/>
        <v>236.94938908304164</v>
      </c>
      <c r="P22" s="113">
        <f t="shared" si="4"/>
        <v>236.94938908304164</v>
      </c>
      <c r="Q22" s="113">
        <f t="shared" si="4"/>
        <v>236.94938908304164</v>
      </c>
      <c r="R22" s="113">
        <f t="shared" si="4"/>
        <v>236.94938908304164</v>
      </c>
      <c r="S22" s="113">
        <f t="shared" si="4"/>
        <v>236.94938908304164</v>
      </c>
      <c r="T22" s="113">
        <f t="shared" si="4"/>
        <v>236.94938908304164</v>
      </c>
      <c r="U22" s="113">
        <f t="shared" si="4"/>
        <v>236.94938908304164</v>
      </c>
      <c r="V22" s="113">
        <f t="shared" si="4"/>
        <v>236.94938908304164</v>
      </c>
      <c r="W22" s="113">
        <f t="shared" si="4"/>
        <v>236.94938908304164</v>
      </c>
      <c r="X22" s="113">
        <f t="shared" si="4"/>
        <v>236.94938908304164</v>
      </c>
      <c r="Y22" s="113">
        <f t="shared" si="4"/>
        <v>236.94938908304164</v>
      </c>
      <c r="Z22" s="113">
        <f t="shared" si="4"/>
        <v>236.94938908304164</v>
      </c>
      <c r="AA22" s="113">
        <f t="shared" si="4"/>
        <v>236.94938908304164</v>
      </c>
      <c r="AB22" s="113">
        <f t="shared" si="4"/>
        <v>236.94938908304164</v>
      </c>
      <c r="AC22" s="113">
        <f t="shared" si="4"/>
        <v>236.94938908304164</v>
      </c>
      <c r="AD22" s="113">
        <f t="shared" si="4"/>
        <v>236.94938908304164</v>
      </c>
      <c r="AE22" s="113">
        <f t="shared" si="4"/>
        <v>236.94938908304164</v>
      </c>
      <c r="AF22" s="113">
        <f t="shared" si="4"/>
        <v>236.94938908304164</v>
      </c>
      <c r="AG22" s="113">
        <f t="shared" si="4"/>
        <v>236.94938908304164</v>
      </c>
      <c r="AH22" s="113">
        <f t="shared" si="4"/>
        <v>236.94938908304164</v>
      </c>
      <c r="AI22" s="113">
        <f t="shared" si="4"/>
        <v>236.94938908304164</v>
      </c>
      <c r="AJ22" s="113">
        <f t="shared" si="4"/>
        <v>236.94938908304164</v>
      </c>
      <c r="AK22" s="113">
        <f t="shared" si="4"/>
        <v>236.94938908304164</v>
      </c>
      <c r="AL22" s="113">
        <f t="shared" si="4"/>
        <v>236.94938908304164</v>
      </c>
      <c r="AM22" s="113">
        <f t="shared" si="4"/>
        <v>236.94938908304164</v>
      </c>
      <c r="AN22" s="113">
        <f t="shared" si="4"/>
        <v>236.94938908304164</v>
      </c>
      <c r="AO22" s="113">
        <f t="shared" si="4"/>
        <v>236.94938908304164</v>
      </c>
      <c r="AP22" s="113">
        <f t="shared" si="4"/>
        <v>236.94938908304164</v>
      </c>
      <c r="AQ22" s="113">
        <f t="shared" si="4"/>
        <v>236.94938908304164</v>
      </c>
      <c r="AR22" s="113">
        <f t="shared" si="4"/>
        <v>236.94938908304164</v>
      </c>
      <c r="AS22" s="113">
        <f t="shared" si="4"/>
        <v>236.94938908304164</v>
      </c>
      <c r="AT22" s="113">
        <f t="shared" si="4"/>
        <v>236.94938908304164</v>
      </c>
      <c r="AU22" s="113">
        <f t="shared" si="4"/>
        <v>236.94938908304164</v>
      </c>
      <c r="AV22" s="113">
        <f t="shared" si="4"/>
        <v>236.94938908304164</v>
      </c>
      <c r="AW22" s="113">
        <f t="shared" si="4"/>
        <v>236.94938908304164</v>
      </c>
      <c r="AX22" s="113">
        <f t="shared" si="4"/>
        <v>236.94938908304164</v>
      </c>
      <c r="AY22" s="113">
        <f t="shared" si="4"/>
        <v>236.94938908304164</v>
      </c>
      <c r="AZ22" s="140">
        <f t="shared" ref="AZ22:AZ30" si="5">SUM($D22:$AY22)</f>
        <v>10488.852495795907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399942.46954977227</v>
      </c>
      <c r="E23" s="99">
        <f t="shared" ref="E23:AY23" si="6">E$21*$B$23</f>
        <v>315856.79378801491</v>
      </c>
      <c r="F23" s="99">
        <f t="shared" si="6"/>
        <v>315856.79378801491</v>
      </c>
      <c r="G23" s="99">
        <f t="shared" si="6"/>
        <v>315856.79378801491</v>
      </c>
      <c r="H23" s="99">
        <f t="shared" si="6"/>
        <v>315856.79378801491</v>
      </c>
      <c r="I23" s="99">
        <f t="shared" si="6"/>
        <v>0</v>
      </c>
      <c r="J23" s="99">
        <f t="shared" si="6"/>
        <v>0</v>
      </c>
      <c r="K23" s="99">
        <f t="shared" si="6"/>
        <v>0</v>
      </c>
      <c r="L23" s="99">
        <f t="shared" si="6"/>
        <v>0</v>
      </c>
      <c r="M23" s="99">
        <f t="shared" si="6"/>
        <v>315856.79378801491</v>
      </c>
      <c r="N23" s="99">
        <f t="shared" si="6"/>
        <v>315856.79378801491</v>
      </c>
      <c r="O23" s="99">
        <f t="shared" si="6"/>
        <v>315856.79378801491</v>
      </c>
      <c r="P23" s="99">
        <f t="shared" si="6"/>
        <v>315856.79378801491</v>
      </c>
      <c r="Q23" s="99">
        <f t="shared" si="6"/>
        <v>315856.79378801491</v>
      </c>
      <c r="R23" s="99">
        <f t="shared" si="6"/>
        <v>315856.79378801491</v>
      </c>
      <c r="S23" s="99">
        <f t="shared" si="6"/>
        <v>315856.79378801491</v>
      </c>
      <c r="T23" s="99">
        <f t="shared" si="6"/>
        <v>315856.79378801491</v>
      </c>
      <c r="U23" s="99">
        <f t="shared" si="6"/>
        <v>315856.79378801491</v>
      </c>
      <c r="V23" s="99">
        <f t="shared" si="6"/>
        <v>315856.79378801491</v>
      </c>
      <c r="W23" s="99">
        <f t="shared" si="6"/>
        <v>315856.79378801491</v>
      </c>
      <c r="X23" s="99">
        <f t="shared" si="6"/>
        <v>315856.79378801491</v>
      </c>
      <c r="Y23" s="99">
        <f t="shared" si="6"/>
        <v>315856.79378801491</v>
      </c>
      <c r="Z23" s="99">
        <f t="shared" si="6"/>
        <v>315856.79378801491</v>
      </c>
      <c r="AA23" s="99">
        <f t="shared" si="6"/>
        <v>315856.79378801491</v>
      </c>
      <c r="AB23" s="99">
        <f t="shared" si="6"/>
        <v>315856.79378801491</v>
      </c>
      <c r="AC23" s="99">
        <f t="shared" si="6"/>
        <v>315856.79378801491</v>
      </c>
      <c r="AD23" s="99">
        <f t="shared" si="6"/>
        <v>315856.79378801491</v>
      </c>
      <c r="AE23" s="99">
        <f t="shared" si="6"/>
        <v>315856.79378801491</v>
      </c>
      <c r="AF23" s="99">
        <f t="shared" si="6"/>
        <v>315856.79378801491</v>
      </c>
      <c r="AG23" s="99">
        <f t="shared" si="6"/>
        <v>315856.79378801491</v>
      </c>
      <c r="AH23" s="99">
        <f t="shared" si="6"/>
        <v>315856.79378801491</v>
      </c>
      <c r="AI23" s="99">
        <f t="shared" si="6"/>
        <v>315856.79378801491</v>
      </c>
      <c r="AJ23" s="99">
        <f t="shared" si="6"/>
        <v>315856.79378801491</v>
      </c>
      <c r="AK23" s="99">
        <f t="shared" si="6"/>
        <v>315856.79378801491</v>
      </c>
      <c r="AL23" s="99">
        <f t="shared" si="6"/>
        <v>315856.79378801491</v>
      </c>
      <c r="AM23" s="99">
        <f t="shared" si="6"/>
        <v>315856.79378801491</v>
      </c>
      <c r="AN23" s="99">
        <f t="shared" si="6"/>
        <v>315856.79378801491</v>
      </c>
      <c r="AO23" s="99">
        <f t="shared" si="6"/>
        <v>315856.79378801491</v>
      </c>
      <c r="AP23" s="99">
        <f t="shared" si="6"/>
        <v>315856.79378801491</v>
      </c>
      <c r="AQ23" s="99">
        <f t="shared" si="6"/>
        <v>315856.79378801491</v>
      </c>
      <c r="AR23" s="99">
        <f t="shared" si="6"/>
        <v>315856.79378801491</v>
      </c>
      <c r="AS23" s="99">
        <f t="shared" si="6"/>
        <v>315856.79378801491</v>
      </c>
      <c r="AT23" s="99">
        <f t="shared" si="6"/>
        <v>315856.79378801491</v>
      </c>
      <c r="AU23" s="99">
        <f t="shared" si="6"/>
        <v>315856.79378801491</v>
      </c>
      <c r="AV23" s="99">
        <f t="shared" si="6"/>
        <v>315856.79378801491</v>
      </c>
      <c r="AW23" s="99">
        <f t="shared" si="6"/>
        <v>315856.79378801491</v>
      </c>
      <c r="AX23" s="99">
        <f t="shared" si="6"/>
        <v>315856.79378801491</v>
      </c>
      <c r="AY23" s="99">
        <f t="shared" si="6"/>
        <v>315856.79378801491</v>
      </c>
      <c r="AZ23" s="138">
        <f t="shared" si="5"/>
        <v>13981784.60243443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300028.76522511384</v>
      </c>
      <c r="E24" s="105">
        <f t="shared" ref="E24:AY24" si="7">E$22*$B$24</f>
        <v>236949.38908304163</v>
      </c>
      <c r="F24" s="105">
        <f t="shared" si="7"/>
        <v>236949.38908304163</v>
      </c>
      <c r="G24" s="105">
        <f t="shared" si="7"/>
        <v>236949.38908304163</v>
      </c>
      <c r="H24" s="105">
        <f t="shared" si="7"/>
        <v>236949.38908304163</v>
      </c>
      <c r="I24" s="105">
        <f t="shared" si="7"/>
        <v>0</v>
      </c>
      <c r="J24" s="105">
        <f t="shared" si="7"/>
        <v>0</v>
      </c>
      <c r="K24" s="105">
        <f t="shared" si="7"/>
        <v>0</v>
      </c>
      <c r="L24" s="105">
        <f t="shared" si="7"/>
        <v>0</v>
      </c>
      <c r="M24" s="105">
        <f t="shared" si="7"/>
        <v>236949.38908304163</v>
      </c>
      <c r="N24" s="105">
        <f t="shared" si="7"/>
        <v>236949.38908304163</v>
      </c>
      <c r="O24" s="105">
        <f t="shared" si="7"/>
        <v>236949.38908304163</v>
      </c>
      <c r="P24" s="105">
        <f t="shared" si="7"/>
        <v>236949.38908304163</v>
      </c>
      <c r="Q24" s="105">
        <f t="shared" si="7"/>
        <v>236949.38908304163</v>
      </c>
      <c r="R24" s="105">
        <f t="shared" si="7"/>
        <v>236949.38908304163</v>
      </c>
      <c r="S24" s="105">
        <f t="shared" si="7"/>
        <v>236949.38908304163</v>
      </c>
      <c r="T24" s="105">
        <f t="shared" si="7"/>
        <v>236949.38908304163</v>
      </c>
      <c r="U24" s="105">
        <f t="shared" si="7"/>
        <v>236949.38908304163</v>
      </c>
      <c r="V24" s="105">
        <f t="shared" si="7"/>
        <v>236949.38908304163</v>
      </c>
      <c r="W24" s="105">
        <f t="shared" si="7"/>
        <v>236949.38908304163</v>
      </c>
      <c r="X24" s="105">
        <f t="shared" si="7"/>
        <v>236949.38908304163</v>
      </c>
      <c r="Y24" s="105">
        <f t="shared" si="7"/>
        <v>236949.38908304163</v>
      </c>
      <c r="Z24" s="105">
        <f t="shared" si="7"/>
        <v>236949.38908304163</v>
      </c>
      <c r="AA24" s="105">
        <f t="shared" si="7"/>
        <v>236949.38908304163</v>
      </c>
      <c r="AB24" s="105">
        <f t="shared" si="7"/>
        <v>236949.38908304163</v>
      </c>
      <c r="AC24" s="105">
        <f t="shared" si="7"/>
        <v>236949.38908304163</v>
      </c>
      <c r="AD24" s="105">
        <f t="shared" si="7"/>
        <v>236949.38908304163</v>
      </c>
      <c r="AE24" s="105">
        <f t="shared" si="7"/>
        <v>236949.38908304163</v>
      </c>
      <c r="AF24" s="105">
        <f t="shared" si="7"/>
        <v>236949.38908304163</v>
      </c>
      <c r="AG24" s="105">
        <f t="shared" si="7"/>
        <v>236949.38908304163</v>
      </c>
      <c r="AH24" s="105">
        <f t="shared" si="7"/>
        <v>236949.38908304163</v>
      </c>
      <c r="AI24" s="105">
        <f t="shared" si="7"/>
        <v>236949.38908304163</v>
      </c>
      <c r="AJ24" s="105">
        <f t="shared" si="7"/>
        <v>236949.38908304163</v>
      </c>
      <c r="AK24" s="105">
        <f t="shared" si="7"/>
        <v>236949.38908304163</v>
      </c>
      <c r="AL24" s="105">
        <f t="shared" si="7"/>
        <v>236949.38908304163</v>
      </c>
      <c r="AM24" s="105">
        <f t="shared" si="7"/>
        <v>236949.38908304163</v>
      </c>
      <c r="AN24" s="105">
        <f t="shared" si="7"/>
        <v>236949.38908304163</v>
      </c>
      <c r="AO24" s="105">
        <f t="shared" si="7"/>
        <v>236949.38908304163</v>
      </c>
      <c r="AP24" s="105">
        <f t="shared" si="7"/>
        <v>236949.38908304163</v>
      </c>
      <c r="AQ24" s="105">
        <f t="shared" si="7"/>
        <v>236949.38908304163</v>
      </c>
      <c r="AR24" s="105">
        <f t="shared" si="7"/>
        <v>236949.38908304163</v>
      </c>
      <c r="AS24" s="105">
        <f t="shared" si="7"/>
        <v>236949.38908304163</v>
      </c>
      <c r="AT24" s="105">
        <f t="shared" si="7"/>
        <v>236949.38908304163</v>
      </c>
      <c r="AU24" s="105">
        <f t="shared" si="7"/>
        <v>236949.38908304163</v>
      </c>
      <c r="AV24" s="105">
        <f t="shared" si="7"/>
        <v>236949.38908304163</v>
      </c>
      <c r="AW24" s="105">
        <f t="shared" si="7"/>
        <v>236949.38908304163</v>
      </c>
      <c r="AX24" s="105">
        <f t="shared" si="7"/>
        <v>236949.38908304163</v>
      </c>
      <c r="AY24" s="105">
        <f t="shared" si="7"/>
        <v>236949.38908304163</v>
      </c>
      <c r="AZ24" s="140">
        <f t="shared" si="5"/>
        <v>10488852.495795902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8</v>
      </c>
      <c r="D27" s="123">
        <f>C$27-C$28+C$29</f>
        <v>14</v>
      </c>
      <c r="E27" s="123">
        <f t="shared" ref="E27:AY27" si="8">D27-D28+D29</f>
        <v>8</v>
      </c>
      <c r="F27" s="123">
        <f t="shared" si="8"/>
        <v>14</v>
      </c>
      <c r="G27" s="123">
        <f t="shared" si="8"/>
        <v>8</v>
      </c>
      <c r="H27" s="123">
        <f t="shared" si="8"/>
        <v>14</v>
      </c>
      <c r="I27" s="123">
        <f t="shared" si="8"/>
        <v>8</v>
      </c>
      <c r="J27" s="123">
        <f t="shared" si="8"/>
        <v>22</v>
      </c>
      <c r="K27" s="123">
        <f t="shared" si="8"/>
        <v>22</v>
      </c>
      <c r="L27" s="123">
        <f t="shared" si="8"/>
        <v>22</v>
      </c>
      <c r="M27" s="123">
        <f t="shared" si="8"/>
        <v>22</v>
      </c>
      <c r="N27" s="123">
        <f t="shared" si="8"/>
        <v>7</v>
      </c>
      <c r="O27" s="123">
        <f t="shared" si="8"/>
        <v>15</v>
      </c>
      <c r="P27" s="123">
        <f t="shared" si="8"/>
        <v>7</v>
      </c>
      <c r="Q27" s="123">
        <f t="shared" si="8"/>
        <v>15</v>
      </c>
      <c r="R27" s="123">
        <f t="shared" si="8"/>
        <v>7</v>
      </c>
      <c r="S27" s="123">
        <f t="shared" si="8"/>
        <v>15</v>
      </c>
      <c r="T27" s="123">
        <f t="shared" si="8"/>
        <v>7</v>
      </c>
      <c r="U27" s="123">
        <f t="shared" si="8"/>
        <v>15</v>
      </c>
      <c r="V27" s="123">
        <f t="shared" si="8"/>
        <v>7</v>
      </c>
      <c r="W27" s="123">
        <f t="shared" si="8"/>
        <v>15</v>
      </c>
      <c r="X27" s="123">
        <f t="shared" si="8"/>
        <v>7</v>
      </c>
      <c r="Y27" s="123">
        <f t="shared" si="8"/>
        <v>15</v>
      </c>
      <c r="Z27" s="123">
        <f t="shared" si="8"/>
        <v>7</v>
      </c>
      <c r="AA27" s="123">
        <f t="shared" si="8"/>
        <v>15</v>
      </c>
      <c r="AB27" s="123">
        <f t="shared" si="8"/>
        <v>7</v>
      </c>
      <c r="AC27" s="123">
        <f t="shared" si="8"/>
        <v>15</v>
      </c>
      <c r="AD27" s="123">
        <f t="shared" si="8"/>
        <v>7</v>
      </c>
      <c r="AE27" s="123">
        <f t="shared" si="8"/>
        <v>15</v>
      </c>
      <c r="AF27" s="123">
        <f t="shared" si="8"/>
        <v>7</v>
      </c>
      <c r="AG27" s="123">
        <f t="shared" si="8"/>
        <v>15</v>
      </c>
      <c r="AH27" s="123">
        <f t="shared" si="8"/>
        <v>7</v>
      </c>
      <c r="AI27" s="123">
        <f t="shared" si="8"/>
        <v>15</v>
      </c>
      <c r="AJ27" s="123">
        <f t="shared" si="8"/>
        <v>7</v>
      </c>
      <c r="AK27" s="123">
        <f t="shared" si="8"/>
        <v>15</v>
      </c>
      <c r="AL27" s="123">
        <f t="shared" si="8"/>
        <v>7</v>
      </c>
      <c r="AM27" s="123">
        <f t="shared" si="8"/>
        <v>15</v>
      </c>
      <c r="AN27" s="123">
        <f t="shared" si="8"/>
        <v>7</v>
      </c>
      <c r="AO27" s="123">
        <f t="shared" si="8"/>
        <v>15</v>
      </c>
      <c r="AP27" s="123">
        <f t="shared" si="8"/>
        <v>7</v>
      </c>
      <c r="AQ27" s="123">
        <f t="shared" si="8"/>
        <v>15</v>
      </c>
      <c r="AR27" s="123">
        <f t="shared" si="8"/>
        <v>7</v>
      </c>
      <c r="AS27" s="123">
        <f t="shared" si="8"/>
        <v>15</v>
      </c>
      <c r="AT27" s="123">
        <f t="shared" si="8"/>
        <v>7</v>
      </c>
      <c r="AU27" s="123">
        <f t="shared" si="8"/>
        <v>15</v>
      </c>
      <c r="AV27" s="123">
        <f t="shared" si="8"/>
        <v>7</v>
      </c>
      <c r="AW27" s="123">
        <f t="shared" si="8"/>
        <v>15</v>
      </c>
      <c r="AX27" s="123">
        <f t="shared" si="8"/>
        <v>7</v>
      </c>
      <c r="AY27" s="163">
        <f t="shared" si="8"/>
        <v>15</v>
      </c>
      <c r="AZ27" s="105"/>
    </row>
    <row r="28" spans="1:52">
      <c r="B28" s="164" t="s">
        <v>310</v>
      </c>
      <c r="C28" s="109">
        <v>8</v>
      </c>
      <c r="D28" s="109">
        <v>14</v>
      </c>
      <c r="E28" s="109">
        <v>8</v>
      </c>
      <c r="F28" s="109">
        <v>14</v>
      </c>
      <c r="G28" s="109">
        <v>8</v>
      </c>
      <c r="H28" s="109">
        <v>14</v>
      </c>
      <c r="I28" s="109">
        <v>0</v>
      </c>
      <c r="J28" s="109">
        <v>0</v>
      </c>
      <c r="K28" s="109">
        <v>0</v>
      </c>
      <c r="L28" s="109">
        <v>0</v>
      </c>
      <c r="M28" s="109">
        <v>15</v>
      </c>
      <c r="N28" s="109">
        <v>7</v>
      </c>
      <c r="O28" s="109">
        <v>15</v>
      </c>
      <c r="P28" s="109">
        <v>7</v>
      </c>
      <c r="Q28" s="109">
        <v>15</v>
      </c>
      <c r="R28" s="109">
        <v>7</v>
      </c>
      <c r="S28" s="109">
        <v>15</v>
      </c>
      <c r="T28" s="109">
        <v>7</v>
      </c>
      <c r="U28" s="109">
        <v>15</v>
      </c>
      <c r="V28" s="109">
        <v>7</v>
      </c>
      <c r="W28" s="109">
        <v>15</v>
      </c>
      <c r="X28" s="109">
        <v>7</v>
      </c>
      <c r="Y28" s="109">
        <v>15</v>
      </c>
      <c r="Z28" s="109">
        <v>7</v>
      </c>
      <c r="AA28" s="109">
        <v>15</v>
      </c>
      <c r="AB28" s="109">
        <v>7</v>
      </c>
      <c r="AC28" s="109">
        <v>15</v>
      </c>
      <c r="AD28" s="109">
        <v>7</v>
      </c>
      <c r="AE28" s="109">
        <v>15</v>
      </c>
      <c r="AF28" s="109">
        <v>7</v>
      </c>
      <c r="AG28" s="109">
        <v>15</v>
      </c>
      <c r="AH28" s="109">
        <v>7</v>
      </c>
      <c r="AI28" s="109">
        <v>15</v>
      </c>
      <c r="AJ28" s="109">
        <v>7</v>
      </c>
      <c r="AK28" s="109">
        <v>15</v>
      </c>
      <c r="AL28" s="109">
        <v>7</v>
      </c>
      <c r="AM28" s="109">
        <v>15</v>
      </c>
      <c r="AN28" s="109">
        <v>7</v>
      </c>
      <c r="AO28" s="109">
        <v>15</v>
      </c>
      <c r="AP28" s="109">
        <v>7</v>
      </c>
      <c r="AQ28" s="109">
        <v>15</v>
      </c>
      <c r="AR28" s="109">
        <v>7</v>
      </c>
      <c r="AS28" s="109">
        <v>15</v>
      </c>
      <c r="AT28" s="109">
        <v>7</v>
      </c>
      <c r="AU28" s="109">
        <v>15</v>
      </c>
      <c r="AV28" s="109">
        <v>7</v>
      </c>
      <c r="AW28" s="109">
        <v>15</v>
      </c>
      <c r="AX28" s="109">
        <v>7</v>
      </c>
      <c r="AY28" s="165">
        <v>15</v>
      </c>
      <c r="AZ28" s="105"/>
    </row>
    <row r="29" spans="1:52">
      <c r="B29" s="135" t="s">
        <v>311</v>
      </c>
      <c r="C29" s="124">
        <v>14</v>
      </c>
      <c r="D29" s="124">
        <f>C$28</f>
        <v>8</v>
      </c>
      <c r="E29" s="124">
        <f t="shared" ref="E29:AY29" si="9">D$28</f>
        <v>14</v>
      </c>
      <c r="F29" s="124">
        <f t="shared" si="9"/>
        <v>8</v>
      </c>
      <c r="G29" s="124">
        <f t="shared" si="9"/>
        <v>14</v>
      </c>
      <c r="H29" s="124">
        <f t="shared" si="9"/>
        <v>8</v>
      </c>
      <c r="I29" s="124">
        <f t="shared" si="9"/>
        <v>14</v>
      </c>
      <c r="J29" s="124">
        <f t="shared" si="9"/>
        <v>0</v>
      </c>
      <c r="K29" s="124">
        <f t="shared" si="9"/>
        <v>0</v>
      </c>
      <c r="L29" s="124">
        <f t="shared" si="9"/>
        <v>0</v>
      </c>
      <c r="M29" s="124">
        <f t="shared" si="9"/>
        <v>0</v>
      </c>
      <c r="N29" s="124">
        <f t="shared" si="9"/>
        <v>15</v>
      </c>
      <c r="O29" s="124">
        <f t="shared" si="9"/>
        <v>7</v>
      </c>
      <c r="P29" s="124">
        <f t="shared" si="9"/>
        <v>15</v>
      </c>
      <c r="Q29" s="124">
        <f t="shared" si="9"/>
        <v>7</v>
      </c>
      <c r="R29" s="124">
        <f t="shared" si="9"/>
        <v>15</v>
      </c>
      <c r="S29" s="124">
        <f t="shared" si="9"/>
        <v>7</v>
      </c>
      <c r="T29" s="124">
        <f t="shared" si="9"/>
        <v>15</v>
      </c>
      <c r="U29" s="124">
        <f t="shared" si="9"/>
        <v>7</v>
      </c>
      <c r="V29" s="124">
        <f t="shared" si="9"/>
        <v>15</v>
      </c>
      <c r="W29" s="124">
        <f t="shared" si="9"/>
        <v>7</v>
      </c>
      <c r="X29" s="124">
        <f t="shared" si="9"/>
        <v>15</v>
      </c>
      <c r="Y29" s="124">
        <f t="shared" si="9"/>
        <v>7</v>
      </c>
      <c r="Z29" s="124">
        <f t="shared" si="9"/>
        <v>15</v>
      </c>
      <c r="AA29" s="124">
        <f t="shared" si="9"/>
        <v>7</v>
      </c>
      <c r="AB29" s="124">
        <f t="shared" si="9"/>
        <v>15</v>
      </c>
      <c r="AC29" s="124">
        <f t="shared" si="9"/>
        <v>7</v>
      </c>
      <c r="AD29" s="124">
        <f t="shared" si="9"/>
        <v>15</v>
      </c>
      <c r="AE29" s="124">
        <f t="shared" si="9"/>
        <v>7</v>
      </c>
      <c r="AF29" s="124">
        <f t="shared" si="9"/>
        <v>15</v>
      </c>
      <c r="AG29" s="124">
        <f t="shared" si="9"/>
        <v>7</v>
      </c>
      <c r="AH29" s="124">
        <f t="shared" si="9"/>
        <v>15</v>
      </c>
      <c r="AI29" s="124">
        <f t="shared" si="9"/>
        <v>7</v>
      </c>
      <c r="AJ29" s="124">
        <f t="shared" si="9"/>
        <v>15</v>
      </c>
      <c r="AK29" s="124">
        <f t="shared" si="9"/>
        <v>7</v>
      </c>
      <c r="AL29" s="124">
        <f t="shared" si="9"/>
        <v>15</v>
      </c>
      <c r="AM29" s="124">
        <f t="shared" si="9"/>
        <v>7</v>
      </c>
      <c r="AN29" s="124">
        <f t="shared" si="9"/>
        <v>15</v>
      </c>
      <c r="AO29" s="124">
        <f t="shared" si="9"/>
        <v>7</v>
      </c>
      <c r="AP29" s="124">
        <f t="shared" si="9"/>
        <v>15</v>
      </c>
      <c r="AQ29" s="124">
        <f t="shared" si="9"/>
        <v>7</v>
      </c>
      <c r="AR29" s="124">
        <f t="shared" si="9"/>
        <v>15</v>
      </c>
      <c r="AS29" s="124">
        <f t="shared" si="9"/>
        <v>7</v>
      </c>
      <c r="AT29" s="124">
        <f t="shared" si="9"/>
        <v>15</v>
      </c>
      <c r="AU29" s="124">
        <f t="shared" si="9"/>
        <v>7</v>
      </c>
      <c r="AV29" s="124">
        <f t="shared" si="9"/>
        <v>15</v>
      </c>
      <c r="AW29" s="124">
        <f t="shared" si="9"/>
        <v>7</v>
      </c>
      <c r="AX29" s="124">
        <f t="shared" si="9"/>
        <v>15</v>
      </c>
      <c r="AY29" s="166">
        <f t="shared" si="9"/>
        <v>7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140</v>
      </c>
      <c r="E30" s="116">
        <f t="shared" ref="E30:AY30" si="10">E$27*$B$30</f>
        <v>80</v>
      </c>
      <c r="F30" s="116">
        <f t="shared" si="10"/>
        <v>140</v>
      </c>
      <c r="G30" s="116">
        <f t="shared" si="10"/>
        <v>80</v>
      </c>
      <c r="H30" s="116">
        <f t="shared" si="10"/>
        <v>140</v>
      </c>
      <c r="I30" s="116">
        <f t="shared" si="10"/>
        <v>80</v>
      </c>
      <c r="J30" s="116">
        <f t="shared" si="10"/>
        <v>220</v>
      </c>
      <c r="K30" s="116">
        <f t="shared" si="10"/>
        <v>220</v>
      </c>
      <c r="L30" s="116">
        <f t="shared" si="10"/>
        <v>220</v>
      </c>
      <c r="M30" s="116">
        <f t="shared" si="10"/>
        <v>220</v>
      </c>
      <c r="N30" s="116">
        <f t="shared" si="10"/>
        <v>70</v>
      </c>
      <c r="O30" s="116">
        <f t="shared" si="10"/>
        <v>150</v>
      </c>
      <c r="P30" s="116">
        <f t="shared" si="10"/>
        <v>70</v>
      </c>
      <c r="Q30" s="116">
        <f t="shared" si="10"/>
        <v>150</v>
      </c>
      <c r="R30" s="116">
        <f>R$27*$B$30</f>
        <v>70</v>
      </c>
      <c r="S30" s="116">
        <f t="shared" si="10"/>
        <v>150</v>
      </c>
      <c r="T30" s="116">
        <f t="shared" si="10"/>
        <v>70</v>
      </c>
      <c r="U30" s="116">
        <f t="shared" si="10"/>
        <v>150</v>
      </c>
      <c r="V30" s="116">
        <f t="shared" si="10"/>
        <v>70</v>
      </c>
      <c r="W30" s="116">
        <f t="shared" si="10"/>
        <v>150</v>
      </c>
      <c r="X30" s="116">
        <f t="shared" si="10"/>
        <v>70</v>
      </c>
      <c r="Y30" s="116">
        <f t="shared" si="10"/>
        <v>150</v>
      </c>
      <c r="Z30" s="116">
        <f t="shared" si="10"/>
        <v>70</v>
      </c>
      <c r="AA30" s="116">
        <f t="shared" si="10"/>
        <v>150</v>
      </c>
      <c r="AB30" s="116">
        <f t="shared" si="10"/>
        <v>70</v>
      </c>
      <c r="AC30" s="116">
        <f t="shared" si="10"/>
        <v>150</v>
      </c>
      <c r="AD30" s="116">
        <f t="shared" si="10"/>
        <v>70</v>
      </c>
      <c r="AE30" s="116">
        <f>AE$27*$B$30</f>
        <v>150</v>
      </c>
      <c r="AF30" s="116">
        <f t="shared" si="10"/>
        <v>70</v>
      </c>
      <c r="AG30" s="116">
        <f t="shared" si="10"/>
        <v>150</v>
      </c>
      <c r="AH30" s="116">
        <f t="shared" si="10"/>
        <v>70</v>
      </c>
      <c r="AI30" s="116">
        <f t="shared" si="10"/>
        <v>150</v>
      </c>
      <c r="AJ30" s="116">
        <f t="shared" si="10"/>
        <v>70</v>
      </c>
      <c r="AK30" s="116">
        <f t="shared" si="10"/>
        <v>150</v>
      </c>
      <c r="AL30" s="116">
        <f t="shared" si="10"/>
        <v>70</v>
      </c>
      <c r="AM30" s="116">
        <f t="shared" si="10"/>
        <v>150</v>
      </c>
      <c r="AN30" s="116">
        <f t="shared" si="10"/>
        <v>70</v>
      </c>
      <c r="AO30" s="116">
        <f t="shared" si="10"/>
        <v>150</v>
      </c>
      <c r="AP30" s="116">
        <f t="shared" si="10"/>
        <v>70</v>
      </c>
      <c r="AQ30" s="116">
        <f t="shared" si="10"/>
        <v>150</v>
      </c>
      <c r="AR30" s="116">
        <f t="shared" si="10"/>
        <v>70</v>
      </c>
      <c r="AS30" s="116">
        <f t="shared" si="10"/>
        <v>150</v>
      </c>
      <c r="AT30" s="116">
        <f t="shared" si="10"/>
        <v>70</v>
      </c>
      <c r="AU30" s="116">
        <f t="shared" si="10"/>
        <v>150</v>
      </c>
      <c r="AV30" s="116">
        <f t="shared" si="10"/>
        <v>70</v>
      </c>
      <c r="AW30" s="116">
        <f t="shared" si="10"/>
        <v>150</v>
      </c>
      <c r="AX30" s="116">
        <f t="shared" si="10"/>
        <v>70</v>
      </c>
      <c r="AY30" s="116">
        <f t="shared" si="10"/>
        <v>150</v>
      </c>
      <c r="AZ30" s="140">
        <f t="shared" si="5"/>
        <v>5720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D$21*shipping_manufacturing!$F$27/100</f>
        <v>0</v>
      </c>
      <c r="E33" s="123">
        <f>E$21*shipping_manufacturing!$F$27/100</f>
        <v>0</v>
      </c>
      <c r="F33" s="123">
        <f>F$21*shipping_manufacturing!$F$27/100</f>
        <v>0</v>
      </c>
      <c r="G33" s="123">
        <f>G$21*shipping_manufacturing!$F$27/100</f>
        <v>0</v>
      </c>
      <c r="H33" s="123">
        <f>H$21*shipping_manufacturing!$F$27/100</f>
        <v>0</v>
      </c>
      <c r="I33" s="123">
        <f>I$21*shipping_manufacturing!$F$27/100</f>
        <v>0</v>
      </c>
      <c r="J33" s="123">
        <f>J$21*shipping_manufacturing!$F$27/100</f>
        <v>0</v>
      </c>
      <c r="K33" s="123">
        <f>K$21*shipping_manufacturing!$F$27/100</f>
        <v>0</v>
      </c>
      <c r="L33" s="123">
        <f>L$21*shipping_manufacturing!$F$27/100</f>
        <v>0</v>
      </c>
      <c r="M33" s="123">
        <f>M$21*shipping_manufacturing!$F$27/100</f>
        <v>0</v>
      </c>
      <c r="N33" s="123">
        <f>N$21*shipping_manufacturing!$F$27/100</f>
        <v>0</v>
      </c>
      <c r="O33" s="123">
        <f>O$21*shipping_manufacturing!$F$27/100</f>
        <v>0</v>
      </c>
      <c r="P33" s="123">
        <f>P$21*shipping_manufacturing!$F$27/100</f>
        <v>0</v>
      </c>
      <c r="Q33" s="123">
        <f>Q$21*shipping_manufacturing!$F$27/100</f>
        <v>0</v>
      </c>
      <c r="R33" s="123">
        <f>R$21*shipping_manufacturing!$F$27/100</f>
        <v>0</v>
      </c>
      <c r="S33" s="123">
        <f>S$21*shipping_manufacturing!$F$27/100</f>
        <v>0</v>
      </c>
      <c r="T33" s="123">
        <f>T$21*shipping_manufacturing!$F$27/100</f>
        <v>0</v>
      </c>
      <c r="U33" s="123">
        <f>U$21*shipping_manufacturing!$F$27/100</f>
        <v>0</v>
      </c>
      <c r="V33" s="123">
        <f>V$21*shipping_manufacturing!$F$27/100</f>
        <v>0</v>
      </c>
      <c r="W33" s="123">
        <f>W$21*shipping_manufacturing!$F$27/100</f>
        <v>0</v>
      </c>
      <c r="X33" s="123">
        <f>X$21*shipping_manufacturing!$F$27/100</f>
        <v>0</v>
      </c>
      <c r="Y33" s="123">
        <f>Y$21*shipping_manufacturing!$F$27/100</f>
        <v>0</v>
      </c>
      <c r="Z33" s="123">
        <f>Z$21*shipping_manufacturing!$F$27/100</f>
        <v>0</v>
      </c>
      <c r="AA33" s="123">
        <f>AA$21*shipping_manufacturing!$F$27/100</f>
        <v>0</v>
      </c>
      <c r="AB33" s="123">
        <f>AB$21*shipping_manufacturing!$F$27/100</f>
        <v>0</v>
      </c>
      <c r="AC33" s="123">
        <f>AC$21*shipping_manufacturing!$F$27/100</f>
        <v>0</v>
      </c>
      <c r="AD33" s="123">
        <f>AD$21*shipping_manufacturing!$F$27/100</f>
        <v>0</v>
      </c>
      <c r="AE33" s="123">
        <f>AE$21*shipping_manufacturing!$F$27/100</f>
        <v>0</v>
      </c>
      <c r="AF33" s="123">
        <f>AF$21*shipping_manufacturing!$F$27/100</f>
        <v>0</v>
      </c>
      <c r="AG33" s="123">
        <f>AG$21*shipping_manufacturing!$F$27/100</f>
        <v>0</v>
      </c>
      <c r="AH33" s="123">
        <f>AH$21*shipping_manufacturing!$F$27/100</f>
        <v>0</v>
      </c>
      <c r="AI33" s="123">
        <f>AI$21*shipping_manufacturing!$F$27/100</f>
        <v>0</v>
      </c>
      <c r="AJ33" s="123">
        <f>AJ$21*shipping_manufacturing!$F$27/100</f>
        <v>0</v>
      </c>
      <c r="AK33" s="123">
        <f>AK$21*shipping_manufacturing!$F$27/100</f>
        <v>0</v>
      </c>
      <c r="AL33" s="123">
        <f>AL$21*shipping_manufacturing!$F$27/100</f>
        <v>0</v>
      </c>
      <c r="AM33" s="123">
        <f>AM$21*shipping_manufacturing!$F$27/100</f>
        <v>0</v>
      </c>
      <c r="AN33" s="123">
        <f>AN$21*shipping_manufacturing!$F$27/100</f>
        <v>0</v>
      </c>
      <c r="AO33" s="123">
        <f>AO$21*shipping_manufacturing!$F$27/100</f>
        <v>0</v>
      </c>
      <c r="AP33" s="123">
        <f>AP$21*shipping_manufacturing!$F$27/100</f>
        <v>0</v>
      </c>
      <c r="AQ33" s="123">
        <f>AQ$21*shipping_manufacturing!$F$27/100</f>
        <v>0</v>
      </c>
      <c r="AR33" s="123">
        <f>AR$21*shipping_manufacturing!$F$27/100</f>
        <v>0</v>
      </c>
      <c r="AS33" s="123">
        <f>AS$21*shipping_manufacturing!$F$27/100</f>
        <v>0</v>
      </c>
      <c r="AT33" s="123">
        <f>AT$21*shipping_manufacturing!$F$27/100</f>
        <v>0</v>
      </c>
      <c r="AU33" s="123">
        <f>AU$21*shipping_manufacturing!$F$27/100</f>
        <v>0</v>
      </c>
      <c r="AV33" s="123">
        <f>AV$21*shipping_manufacturing!$F$27/100</f>
        <v>0</v>
      </c>
      <c r="AW33" s="123">
        <f>AW$21*shipping_manufacturing!$F$27/100</f>
        <v>0</v>
      </c>
      <c r="AX33" s="123">
        <f>AX$21*shipping_manufacturing!$F$27/100</f>
        <v>0</v>
      </c>
      <c r="AY33" s="123">
        <f>AY$21*shipping_manufacturing!$F$27/100</f>
        <v>0</v>
      </c>
    </row>
    <row r="34" spans="1:52">
      <c r="A34" s="112" t="s">
        <v>341</v>
      </c>
      <c r="B34" s="164" t="s">
        <v>343</v>
      </c>
      <c r="C34" s="109"/>
      <c r="D34" s="109">
        <f>D$22*shipping_manufacturing!$G$27/100</f>
        <v>0.70269852698755897</v>
      </c>
      <c r="E34" s="109">
        <f>E$22*shipping_manufacturing!$G$27/100</f>
        <v>0.55496007709236206</v>
      </c>
      <c r="F34" s="109">
        <f>F$22*shipping_manufacturing!$G$27/100</f>
        <v>0.55496007709236206</v>
      </c>
      <c r="G34" s="109">
        <f>G$22*shipping_manufacturing!$G$27/100</f>
        <v>0.55496007709236206</v>
      </c>
      <c r="H34" s="109">
        <f>H$22*shipping_manufacturing!$G$27/100</f>
        <v>0.55496007709236206</v>
      </c>
      <c r="I34" s="109">
        <f>I$22*shipping_manufacturing!$G$27/100</f>
        <v>0</v>
      </c>
      <c r="J34" s="109">
        <f>J$22*shipping_manufacturing!$G$27/100</f>
        <v>0</v>
      </c>
      <c r="K34" s="109">
        <f>K$22*shipping_manufacturing!$G$27/100</f>
        <v>0</v>
      </c>
      <c r="L34" s="109">
        <f>L$22*shipping_manufacturing!$G$27/100</f>
        <v>0</v>
      </c>
      <c r="M34" s="109">
        <f>M$22*shipping_manufacturing!$G$27/100</f>
        <v>0.55496007709236206</v>
      </c>
      <c r="N34" s="109">
        <f>N$22*shipping_manufacturing!$G$27/100</f>
        <v>0.55496007709236206</v>
      </c>
      <c r="O34" s="109">
        <f>O$22*shipping_manufacturing!$G$27/100</f>
        <v>0.55496007709236206</v>
      </c>
      <c r="P34" s="109">
        <f>P$22*shipping_manufacturing!$G$27/100</f>
        <v>0.55496007709236206</v>
      </c>
      <c r="Q34" s="109">
        <f>Q$22*shipping_manufacturing!$G$27/100</f>
        <v>0.55496007709236206</v>
      </c>
      <c r="R34" s="109">
        <f>R$22*shipping_manufacturing!$G$27/100</f>
        <v>0.55496007709236206</v>
      </c>
      <c r="S34" s="109">
        <f>S$22*shipping_manufacturing!$G$27/100</f>
        <v>0.55496007709236206</v>
      </c>
      <c r="T34" s="109">
        <f>T$22*shipping_manufacturing!$G$27/100</f>
        <v>0.55496007709236206</v>
      </c>
      <c r="U34" s="109">
        <f>U$22*shipping_manufacturing!$G$27/100</f>
        <v>0.55496007709236206</v>
      </c>
      <c r="V34" s="109">
        <f>V$22*shipping_manufacturing!$G$27/100</f>
        <v>0.55496007709236206</v>
      </c>
      <c r="W34" s="109">
        <f>W$22*shipping_manufacturing!$G$27/100</f>
        <v>0.55496007709236206</v>
      </c>
      <c r="X34" s="109">
        <f>X$22*shipping_manufacturing!$G$27/100</f>
        <v>0.55496007709236206</v>
      </c>
      <c r="Y34" s="109">
        <f>Y$22*shipping_manufacturing!$G$27/100</f>
        <v>0.55496007709236206</v>
      </c>
      <c r="Z34" s="109">
        <f>Z$22*shipping_manufacturing!$G$27/100</f>
        <v>0.55496007709236206</v>
      </c>
      <c r="AA34" s="109">
        <f>AA$22*shipping_manufacturing!$G$27/100</f>
        <v>0.55496007709236206</v>
      </c>
      <c r="AB34" s="109">
        <f>AB$22*shipping_manufacturing!$G$27/100</f>
        <v>0.55496007709236206</v>
      </c>
      <c r="AC34" s="109">
        <f>AC$22*shipping_manufacturing!$G$27/100</f>
        <v>0.55496007709236206</v>
      </c>
      <c r="AD34" s="109">
        <f>AD$22*shipping_manufacturing!$G$27/100</f>
        <v>0.55496007709236206</v>
      </c>
      <c r="AE34" s="109">
        <f>AE$22*shipping_manufacturing!$G$27/100</f>
        <v>0.55496007709236206</v>
      </c>
      <c r="AF34" s="109">
        <f>AF$22*shipping_manufacturing!$G$27/100</f>
        <v>0.55496007709236206</v>
      </c>
      <c r="AG34" s="109">
        <f>AG$22*shipping_manufacturing!$G$27/100</f>
        <v>0.55496007709236206</v>
      </c>
      <c r="AH34" s="109">
        <f>AH$22*shipping_manufacturing!$G$27/100</f>
        <v>0.55496007709236206</v>
      </c>
      <c r="AI34" s="109">
        <f>AI$22*shipping_manufacturing!$G$27/100</f>
        <v>0.55496007709236206</v>
      </c>
      <c r="AJ34" s="109">
        <f>AJ$22*shipping_manufacturing!$G$27/100</f>
        <v>0.55496007709236206</v>
      </c>
      <c r="AK34" s="109">
        <f>AK$22*shipping_manufacturing!$G$27/100</f>
        <v>0.55496007709236206</v>
      </c>
      <c r="AL34" s="109">
        <f>AL$22*shipping_manufacturing!$G$27/100</f>
        <v>0.55496007709236206</v>
      </c>
      <c r="AM34" s="109">
        <f>AM$22*shipping_manufacturing!$G$27/100</f>
        <v>0.55496007709236206</v>
      </c>
      <c r="AN34" s="109">
        <f>AN$22*shipping_manufacturing!$G$27/100</f>
        <v>0.55496007709236206</v>
      </c>
      <c r="AO34" s="109">
        <f>AO$22*shipping_manufacturing!$G$27/100</f>
        <v>0.55496007709236206</v>
      </c>
      <c r="AP34" s="109">
        <f>AP$22*shipping_manufacturing!$G$27/100</f>
        <v>0.55496007709236206</v>
      </c>
      <c r="AQ34" s="109">
        <f>AQ$22*shipping_manufacturing!$G$27/100</f>
        <v>0.55496007709236206</v>
      </c>
      <c r="AR34" s="109">
        <f>AR$22*shipping_manufacturing!$G$27/100</f>
        <v>0.55496007709236206</v>
      </c>
      <c r="AS34" s="109">
        <f>AS$22*shipping_manufacturing!$G$27/100</f>
        <v>0.55496007709236206</v>
      </c>
      <c r="AT34" s="109">
        <f>AT$22*shipping_manufacturing!$G$27/100</f>
        <v>0.55496007709236206</v>
      </c>
      <c r="AU34" s="109">
        <f>AU$22*shipping_manufacturing!$G$27/100</f>
        <v>0.55496007709236206</v>
      </c>
      <c r="AV34" s="109">
        <f>AV$22*shipping_manufacturing!$G$27/100</f>
        <v>0.55496007709236206</v>
      </c>
      <c r="AW34" s="109">
        <f>AW$22*shipping_manufacturing!$G$27/100</f>
        <v>0.55496007709236206</v>
      </c>
      <c r="AX34" s="109">
        <f>AX$22*shipping_manufacturing!$G$27/100</f>
        <v>0.55496007709236206</v>
      </c>
      <c r="AY34" s="109">
        <f>AY$22*shipping_manufacturing!$G$27/100</f>
        <v>0.55496007709236206</v>
      </c>
    </row>
    <row r="35" spans="1:52">
      <c r="A35" s="109">
        <v>1225</v>
      </c>
      <c r="B35" s="164" t="s">
        <v>344</v>
      </c>
      <c r="C35" s="109"/>
      <c r="D35" s="109">
        <f>SUM(D33:D34)</f>
        <v>0.70269852698755897</v>
      </c>
      <c r="E35" s="109">
        <f t="shared" ref="E35:AY35" si="11">SUM(E33:E34)</f>
        <v>0.55496007709236206</v>
      </c>
      <c r="F35" s="109">
        <f t="shared" si="11"/>
        <v>0.55496007709236206</v>
      </c>
      <c r="G35" s="109">
        <f t="shared" si="11"/>
        <v>0.55496007709236206</v>
      </c>
      <c r="H35" s="109">
        <f t="shared" si="11"/>
        <v>0.55496007709236206</v>
      </c>
      <c r="I35" s="109">
        <f t="shared" si="11"/>
        <v>0</v>
      </c>
      <c r="J35" s="109">
        <f t="shared" si="11"/>
        <v>0</v>
      </c>
      <c r="K35" s="109">
        <f t="shared" si="11"/>
        <v>0</v>
      </c>
      <c r="L35" s="109">
        <f t="shared" si="11"/>
        <v>0</v>
      </c>
      <c r="M35" s="109">
        <f t="shared" si="11"/>
        <v>0.55496007709236206</v>
      </c>
      <c r="N35" s="109">
        <f t="shared" si="11"/>
        <v>0.55496007709236206</v>
      </c>
      <c r="O35" s="109">
        <f t="shared" si="11"/>
        <v>0.55496007709236206</v>
      </c>
      <c r="P35" s="109">
        <f t="shared" si="11"/>
        <v>0.55496007709236206</v>
      </c>
      <c r="Q35" s="109">
        <f t="shared" si="11"/>
        <v>0.55496007709236206</v>
      </c>
      <c r="R35" s="109">
        <f t="shared" si="11"/>
        <v>0.55496007709236206</v>
      </c>
      <c r="S35" s="109">
        <f t="shared" si="11"/>
        <v>0.55496007709236206</v>
      </c>
      <c r="T35" s="109">
        <f t="shared" si="11"/>
        <v>0.55496007709236206</v>
      </c>
      <c r="U35" s="109">
        <f t="shared" si="11"/>
        <v>0.55496007709236206</v>
      </c>
      <c r="V35" s="109">
        <f t="shared" si="11"/>
        <v>0.55496007709236206</v>
      </c>
      <c r="W35" s="109">
        <f t="shared" si="11"/>
        <v>0.55496007709236206</v>
      </c>
      <c r="X35" s="109">
        <f t="shared" si="11"/>
        <v>0.55496007709236206</v>
      </c>
      <c r="Y35" s="109">
        <f t="shared" si="11"/>
        <v>0.55496007709236206</v>
      </c>
      <c r="Z35" s="109">
        <f t="shared" si="11"/>
        <v>0.55496007709236206</v>
      </c>
      <c r="AA35" s="109">
        <f t="shared" si="11"/>
        <v>0.55496007709236206</v>
      </c>
      <c r="AB35" s="109">
        <f t="shared" si="11"/>
        <v>0.55496007709236206</v>
      </c>
      <c r="AC35" s="109">
        <f t="shared" si="11"/>
        <v>0.55496007709236206</v>
      </c>
      <c r="AD35" s="109">
        <f t="shared" si="11"/>
        <v>0.55496007709236206</v>
      </c>
      <c r="AE35" s="109">
        <f t="shared" si="11"/>
        <v>0.55496007709236206</v>
      </c>
      <c r="AF35" s="109">
        <f t="shared" si="11"/>
        <v>0.55496007709236206</v>
      </c>
      <c r="AG35" s="109">
        <f t="shared" si="11"/>
        <v>0.55496007709236206</v>
      </c>
      <c r="AH35" s="109">
        <f t="shared" si="11"/>
        <v>0.55496007709236206</v>
      </c>
      <c r="AI35" s="109">
        <f t="shared" si="11"/>
        <v>0.55496007709236206</v>
      </c>
      <c r="AJ35" s="109">
        <f t="shared" si="11"/>
        <v>0.55496007709236206</v>
      </c>
      <c r="AK35" s="109">
        <f t="shared" si="11"/>
        <v>0.55496007709236206</v>
      </c>
      <c r="AL35" s="109">
        <f t="shared" si="11"/>
        <v>0.55496007709236206</v>
      </c>
      <c r="AM35" s="109">
        <f t="shared" si="11"/>
        <v>0.55496007709236206</v>
      </c>
      <c r="AN35" s="109">
        <f t="shared" si="11"/>
        <v>0.55496007709236206</v>
      </c>
      <c r="AO35" s="109">
        <f t="shared" si="11"/>
        <v>0.55496007709236206</v>
      </c>
      <c r="AP35" s="109">
        <f t="shared" si="11"/>
        <v>0.55496007709236206</v>
      </c>
      <c r="AQ35" s="109">
        <f t="shared" si="11"/>
        <v>0.55496007709236206</v>
      </c>
      <c r="AR35" s="109">
        <f t="shared" si="11"/>
        <v>0.55496007709236206</v>
      </c>
      <c r="AS35" s="109">
        <f t="shared" si="11"/>
        <v>0.55496007709236206</v>
      </c>
      <c r="AT35" s="109">
        <f t="shared" si="11"/>
        <v>0.55496007709236206</v>
      </c>
      <c r="AU35" s="109">
        <f t="shared" si="11"/>
        <v>0.55496007709236206</v>
      </c>
      <c r="AV35" s="109">
        <f t="shared" si="11"/>
        <v>0.55496007709236206</v>
      </c>
      <c r="AW35" s="109">
        <f t="shared" si="11"/>
        <v>0.55496007709236206</v>
      </c>
      <c r="AX35" s="109">
        <f t="shared" si="11"/>
        <v>0.55496007709236206</v>
      </c>
      <c r="AY35" s="109">
        <f t="shared" si="11"/>
        <v>0.55496007709236206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>
        <v>0</v>
      </c>
      <c r="N36" s="109"/>
      <c r="O36" s="109">
        <v>0</v>
      </c>
      <c r="P36" s="109"/>
      <c r="Q36" s="109">
        <v>0</v>
      </c>
      <c r="R36" s="109"/>
      <c r="S36" s="109">
        <v>0</v>
      </c>
      <c r="T36" s="109"/>
      <c r="U36" s="109">
        <v>0</v>
      </c>
      <c r="V36" s="109"/>
      <c r="W36" s="109">
        <v>0</v>
      </c>
      <c r="X36" s="109"/>
      <c r="Y36" s="109">
        <v>0</v>
      </c>
      <c r="Z36" s="109"/>
      <c r="AA36" s="109">
        <v>0</v>
      </c>
      <c r="AB36" s="109"/>
      <c r="AC36" s="109">
        <v>0</v>
      </c>
      <c r="AD36" s="109"/>
      <c r="AE36" s="109">
        <v>0</v>
      </c>
      <c r="AF36" s="109"/>
      <c r="AG36" s="109">
        <v>0</v>
      </c>
      <c r="AH36" s="109"/>
      <c r="AI36" s="109">
        <v>0</v>
      </c>
      <c r="AJ36" s="109"/>
      <c r="AK36" s="109">
        <v>0</v>
      </c>
      <c r="AL36" s="109"/>
      <c r="AM36" s="109">
        <v>0</v>
      </c>
      <c r="AN36" s="109"/>
      <c r="AO36" s="109">
        <v>0</v>
      </c>
      <c r="AP36" s="109"/>
      <c r="AQ36" s="109">
        <v>0</v>
      </c>
      <c r="AR36" s="109"/>
      <c r="AS36" s="109">
        <v>0</v>
      </c>
      <c r="AT36" s="109"/>
      <c r="AU36" s="109">
        <v>0</v>
      </c>
      <c r="AV36" s="109"/>
      <c r="AW36" s="109">
        <v>0</v>
      </c>
      <c r="AX36" s="109"/>
      <c r="AY36" s="109">
        <v>0</v>
      </c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>
        <v>0.55496007709236206</v>
      </c>
      <c r="N37" s="109"/>
      <c r="O37" s="109">
        <v>0.55496007709236206</v>
      </c>
      <c r="P37" s="109"/>
      <c r="Q37" s="109">
        <v>0.55496007709236206</v>
      </c>
      <c r="R37" s="109"/>
      <c r="S37" s="109">
        <v>0.55496007709236206</v>
      </c>
      <c r="T37" s="109"/>
      <c r="U37" s="109">
        <v>0.55496007709236206</v>
      </c>
      <c r="V37" s="109"/>
      <c r="W37" s="109">
        <v>0.55496007709236206</v>
      </c>
      <c r="X37" s="109"/>
      <c r="Y37" s="109">
        <v>0.55496007709236206</v>
      </c>
      <c r="Z37" s="109"/>
      <c r="AA37" s="109">
        <v>0.55496007709236206</v>
      </c>
      <c r="AB37" s="109"/>
      <c r="AC37" s="109">
        <v>0.55496007709236206</v>
      </c>
      <c r="AD37" s="109"/>
      <c r="AE37" s="109">
        <v>0.55496007709236206</v>
      </c>
      <c r="AF37" s="109"/>
      <c r="AG37" s="109">
        <v>0.55496007709236206</v>
      </c>
      <c r="AH37" s="109"/>
      <c r="AI37" s="109">
        <v>0.55496007709236206</v>
      </c>
      <c r="AJ37" s="109"/>
      <c r="AK37" s="109">
        <v>0.55496007709236206</v>
      </c>
      <c r="AL37" s="109"/>
      <c r="AM37" s="109">
        <v>0.55496007709236206</v>
      </c>
      <c r="AN37" s="109"/>
      <c r="AO37" s="109">
        <v>0.55496007709236206</v>
      </c>
      <c r="AP37" s="109"/>
      <c r="AQ37" s="109">
        <v>0.55496007709236206</v>
      </c>
      <c r="AR37" s="109"/>
      <c r="AS37" s="109">
        <v>0.55496007709236206</v>
      </c>
      <c r="AT37" s="109"/>
      <c r="AU37" s="109">
        <v>0.55496007709236206</v>
      </c>
      <c r="AV37" s="109"/>
      <c r="AW37" s="109">
        <v>0.55496007709236206</v>
      </c>
      <c r="AX37" s="109"/>
      <c r="AY37" s="109">
        <v>0.55496007709236206</v>
      </c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>
        <v>1</v>
      </c>
      <c r="N38" s="109"/>
      <c r="O38" s="109">
        <v>1</v>
      </c>
      <c r="P38" s="109"/>
      <c r="Q38" s="109">
        <v>1</v>
      </c>
      <c r="R38" s="109"/>
      <c r="S38" s="109">
        <v>1</v>
      </c>
      <c r="T38" s="109"/>
      <c r="U38" s="109">
        <v>1</v>
      </c>
      <c r="V38" s="109"/>
      <c r="W38" s="109">
        <v>1</v>
      </c>
      <c r="X38" s="109"/>
      <c r="Y38" s="109">
        <v>1</v>
      </c>
      <c r="Z38" s="109"/>
      <c r="AA38" s="109">
        <v>1</v>
      </c>
      <c r="AB38" s="109"/>
      <c r="AC38" s="109">
        <v>1</v>
      </c>
      <c r="AD38" s="109"/>
      <c r="AE38" s="109">
        <v>1</v>
      </c>
      <c r="AF38" s="109"/>
      <c r="AG38" s="109">
        <v>1</v>
      </c>
      <c r="AH38" s="109"/>
      <c r="AI38" s="109">
        <v>1</v>
      </c>
      <c r="AJ38" s="109"/>
      <c r="AK38" s="109">
        <v>1</v>
      </c>
      <c r="AL38" s="109"/>
      <c r="AM38" s="109">
        <v>1</v>
      </c>
      <c r="AN38" s="109"/>
      <c r="AO38" s="109">
        <v>1</v>
      </c>
      <c r="AP38" s="109"/>
      <c r="AQ38" s="109">
        <v>1</v>
      </c>
      <c r="AR38" s="109"/>
      <c r="AS38" s="109">
        <v>1</v>
      </c>
      <c r="AT38" s="109"/>
      <c r="AU38" s="109">
        <v>1</v>
      </c>
      <c r="AV38" s="109"/>
      <c r="AW38" s="109">
        <v>1</v>
      </c>
      <c r="AX38" s="109"/>
      <c r="AY38" s="109">
        <v>1</v>
      </c>
    </row>
    <row r="39" spans="1:52">
      <c r="A39" s="109"/>
      <c r="B39" s="164" t="s">
        <v>348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0</v>
      </c>
      <c r="G39" s="109">
        <f t="shared" si="12"/>
        <v>0</v>
      </c>
      <c r="H39" s="109">
        <f t="shared" si="12"/>
        <v>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0</v>
      </c>
      <c r="M39" s="109">
        <f t="shared" si="12"/>
        <v>0</v>
      </c>
      <c r="N39" s="109">
        <f t="shared" si="12"/>
        <v>0</v>
      </c>
      <c r="O39" s="109">
        <f t="shared" si="12"/>
        <v>0</v>
      </c>
      <c r="P39" s="109">
        <f t="shared" si="12"/>
        <v>0</v>
      </c>
      <c r="Q39" s="109">
        <f t="shared" si="12"/>
        <v>0</v>
      </c>
      <c r="R39" s="109">
        <f t="shared" si="12"/>
        <v>0</v>
      </c>
      <c r="S39" s="109">
        <f t="shared" si="12"/>
        <v>0</v>
      </c>
      <c r="T39" s="109">
        <f t="shared" si="12"/>
        <v>0</v>
      </c>
      <c r="U39" s="109">
        <f t="shared" si="12"/>
        <v>0</v>
      </c>
      <c r="V39" s="109">
        <f t="shared" si="12"/>
        <v>0</v>
      </c>
      <c r="W39" s="109">
        <f t="shared" si="12"/>
        <v>0</v>
      </c>
      <c r="X39" s="109">
        <f t="shared" si="12"/>
        <v>0</v>
      </c>
      <c r="Y39" s="109">
        <f t="shared" si="12"/>
        <v>0</v>
      </c>
      <c r="Z39" s="109">
        <f t="shared" si="12"/>
        <v>0</v>
      </c>
      <c r="AA39" s="109">
        <f t="shared" si="12"/>
        <v>0</v>
      </c>
      <c r="AB39" s="109">
        <f t="shared" si="12"/>
        <v>0</v>
      </c>
      <c r="AC39" s="109">
        <f t="shared" si="12"/>
        <v>0</v>
      </c>
      <c r="AD39" s="109">
        <f t="shared" si="12"/>
        <v>0</v>
      </c>
      <c r="AE39" s="109">
        <f t="shared" si="12"/>
        <v>0</v>
      </c>
      <c r="AF39" s="109">
        <f t="shared" si="12"/>
        <v>0</v>
      </c>
      <c r="AG39" s="109">
        <f t="shared" si="12"/>
        <v>0</v>
      </c>
      <c r="AH39" s="109">
        <f t="shared" si="12"/>
        <v>0</v>
      </c>
      <c r="AI39" s="109">
        <f t="shared" si="12"/>
        <v>0</v>
      </c>
      <c r="AJ39" s="109">
        <f t="shared" si="12"/>
        <v>0</v>
      </c>
      <c r="AK39" s="109">
        <f t="shared" si="12"/>
        <v>0</v>
      </c>
      <c r="AL39" s="109">
        <f t="shared" si="12"/>
        <v>0</v>
      </c>
      <c r="AM39" s="109">
        <f t="shared" si="12"/>
        <v>0</v>
      </c>
      <c r="AN39" s="109">
        <f t="shared" si="12"/>
        <v>0</v>
      </c>
      <c r="AO39" s="109">
        <f t="shared" si="12"/>
        <v>0</v>
      </c>
      <c r="AP39" s="109">
        <f t="shared" si="12"/>
        <v>0</v>
      </c>
      <c r="AQ39" s="109">
        <f t="shared" si="12"/>
        <v>0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0</v>
      </c>
      <c r="AV39" s="109">
        <f t="shared" si="12"/>
        <v>0</v>
      </c>
      <c r="AW39" s="109">
        <f t="shared" si="12"/>
        <v>0</v>
      </c>
      <c r="AX39" s="109">
        <f t="shared" si="12"/>
        <v>0</v>
      </c>
      <c r="AY39" s="109">
        <f t="shared" si="12"/>
        <v>0</v>
      </c>
    </row>
    <row r="40" spans="1:52">
      <c r="A40" s="109"/>
      <c r="B40" s="164" t="s">
        <v>349</v>
      </c>
      <c r="C40" s="109"/>
      <c r="D40" s="109">
        <f>D34-D37</f>
        <v>0.70269852698755897</v>
      </c>
      <c r="E40" s="109">
        <f t="shared" ref="E40:AY40" si="13">E34-E37</f>
        <v>0.55496007709236206</v>
      </c>
      <c r="F40" s="109">
        <f t="shared" si="13"/>
        <v>0.55496007709236206</v>
      </c>
      <c r="G40" s="109">
        <f t="shared" si="13"/>
        <v>0.55496007709236206</v>
      </c>
      <c r="H40" s="109">
        <f t="shared" si="13"/>
        <v>0.55496007709236206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0</v>
      </c>
      <c r="M40" s="109">
        <f t="shared" si="13"/>
        <v>0</v>
      </c>
      <c r="N40" s="109">
        <f t="shared" si="13"/>
        <v>0.55496007709236206</v>
      </c>
      <c r="O40" s="109">
        <f t="shared" si="13"/>
        <v>0</v>
      </c>
      <c r="P40" s="109">
        <f t="shared" si="13"/>
        <v>0.55496007709236206</v>
      </c>
      <c r="Q40" s="109">
        <f t="shared" si="13"/>
        <v>0</v>
      </c>
      <c r="R40" s="109">
        <f t="shared" si="13"/>
        <v>0.55496007709236206</v>
      </c>
      <c r="S40" s="109">
        <f t="shared" si="13"/>
        <v>0</v>
      </c>
      <c r="T40" s="109">
        <f t="shared" si="13"/>
        <v>0.55496007709236206</v>
      </c>
      <c r="U40" s="109">
        <f t="shared" si="13"/>
        <v>0</v>
      </c>
      <c r="V40" s="109">
        <f t="shared" si="13"/>
        <v>0.55496007709236206</v>
      </c>
      <c r="W40" s="109">
        <f t="shared" si="13"/>
        <v>0</v>
      </c>
      <c r="X40" s="109">
        <f t="shared" si="13"/>
        <v>0.55496007709236206</v>
      </c>
      <c r="Y40" s="109">
        <f t="shared" si="13"/>
        <v>0</v>
      </c>
      <c r="Z40" s="109">
        <f t="shared" si="13"/>
        <v>0.55496007709236206</v>
      </c>
      <c r="AA40" s="109">
        <f t="shared" si="13"/>
        <v>0</v>
      </c>
      <c r="AB40" s="109">
        <f t="shared" si="13"/>
        <v>0.55496007709236206</v>
      </c>
      <c r="AC40" s="109">
        <f t="shared" si="13"/>
        <v>0</v>
      </c>
      <c r="AD40" s="109">
        <f t="shared" si="13"/>
        <v>0.55496007709236206</v>
      </c>
      <c r="AE40" s="109">
        <f t="shared" si="13"/>
        <v>0</v>
      </c>
      <c r="AF40" s="109">
        <f t="shared" si="13"/>
        <v>0.55496007709236206</v>
      </c>
      <c r="AG40" s="109">
        <f t="shared" si="13"/>
        <v>0</v>
      </c>
      <c r="AH40" s="109">
        <f t="shared" si="13"/>
        <v>0.55496007709236206</v>
      </c>
      <c r="AI40" s="109">
        <f t="shared" si="13"/>
        <v>0</v>
      </c>
      <c r="AJ40" s="109">
        <f t="shared" si="13"/>
        <v>0.55496007709236206</v>
      </c>
      <c r="AK40" s="109">
        <f t="shared" si="13"/>
        <v>0</v>
      </c>
      <c r="AL40" s="109">
        <f t="shared" si="13"/>
        <v>0.55496007709236206</v>
      </c>
      <c r="AM40" s="109">
        <f t="shared" si="13"/>
        <v>0</v>
      </c>
      <c r="AN40" s="109">
        <f t="shared" si="13"/>
        <v>0.55496007709236206</v>
      </c>
      <c r="AO40" s="109">
        <f t="shared" si="13"/>
        <v>0</v>
      </c>
      <c r="AP40" s="109">
        <f t="shared" si="13"/>
        <v>0.55496007709236206</v>
      </c>
      <c r="AQ40" s="109">
        <f t="shared" si="13"/>
        <v>0</v>
      </c>
      <c r="AR40" s="109">
        <f t="shared" si="13"/>
        <v>0.55496007709236206</v>
      </c>
      <c r="AS40" s="109">
        <f t="shared" si="13"/>
        <v>0</v>
      </c>
      <c r="AT40" s="109">
        <f t="shared" si="13"/>
        <v>0.55496007709236206</v>
      </c>
      <c r="AU40" s="109">
        <f t="shared" si="13"/>
        <v>0</v>
      </c>
      <c r="AV40" s="109">
        <f t="shared" si="13"/>
        <v>0.55496007709236206</v>
      </c>
      <c r="AW40" s="109">
        <f t="shared" si="13"/>
        <v>0</v>
      </c>
      <c r="AX40" s="109">
        <f t="shared" si="13"/>
        <v>0.55496007709236206</v>
      </c>
      <c r="AY40" s="109">
        <f t="shared" si="13"/>
        <v>0</v>
      </c>
    </row>
    <row r="41" spans="1:52">
      <c r="A41" s="109"/>
      <c r="B41" s="164" t="s">
        <v>350</v>
      </c>
      <c r="C41" s="109"/>
      <c r="D41" s="109">
        <v>1</v>
      </c>
      <c r="E41" s="109">
        <v>1</v>
      </c>
      <c r="F41" s="109">
        <v>2</v>
      </c>
      <c r="G41" s="109">
        <v>1</v>
      </c>
      <c r="H41" s="109">
        <v>2</v>
      </c>
      <c r="I41" s="109">
        <v>1</v>
      </c>
      <c r="J41" s="109">
        <v>3</v>
      </c>
      <c r="K41" s="109">
        <v>1</v>
      </c>
      <c r="L41" s="109">
        <v>2</v>
      </c>
      <c r="M41" s="109">
        <v>1</v>
      </c>
      <c r="N41" s="109">
        <v>1</v>
      </c>
      <c r="O41" s="109">
        <v>1</v>
      </c>
      <c r="P41" s="109">
        <v>1</v>
      </c>
      <c r="Q41" s="109">
        <v>2</v>
      </c>
      <c r="R41" s="109">
        <v>1</v>
      </c>
      <c r="S41" s="109">
        <v>2</v>
      </c>
      <c r="T41" s="109">
        <v>1</v>
      </c>
      <c r="U41" s="109">
        <v>1</v>
      </c>
      <c r="V41" s="109">
        <v>2</v>
      </c>
      <c r="W41" s="109">
        <v>2</v>
      </c>
      <c r="X41" s="109">
        <v>2</v>
      </c>
      <c r="Y41" s="109">
        <v>1</v>
      </c>
      <c r="Z41" s="109">
        <v>3</v>
      </c>
      <c r="AA41" s="109">
        <v>1</v>
      </c>
      <c r="AB41" s="109">
        <v>2</v>
      </c>
      <c r="AC41" s="109">
        <v>2</v>
      </c>
      <c r="AD41" s="109">
        <v>1</v>
      </c>
      <c r="AE41" s="109">
        <v>1</v>
      </c>
      <c r="AF41" s="109">
        <v>2</v>
      </c>
      <c r="AG41" s="109">
        <v>1</v>
      </c>
      <c r="AH41" s="109">
        <v>3</v>
      </c>
      <c r="AI41" s="109">
        <v>1</v>
      </c>
      <c r="AJ41" s="109">
        <v>2</v>
      </c>
      <c r="AK41" s="109">
        <v>2</v>
      </c>
      <c r="AL41" s="109">
        <v>1</v>
      </c>
      <c r="AM41" s="109">
        <v>2</v>
      </c>
      <c r="AN41" s="109">
        <v>1</v>
      </c>
      <c r="AO41" s="109">
        <v>1</v>
      </c>
      <c r="AP41" s="109">
        <v>2</v>
      </c>
      <c r="AQ41" s="109">
        <v>1</v>
      </c>
      <c r="AR41" s="109">
        <v>1</v>
      </c>
      <c r="AS41" s="109">
        <v>2</v>
      </c>
      <c r="AT41" s="109">
        <v>1</v>
      </c>
      <c r="AU41" s="109">
        <v>1</v>
      </c>
      <c r="AV41" s="109">
        <v>1</v>
      </c>
      <c r="AW41" s="109">
        <v>2</v>
      </c>
      <c r="AX41" s="109">
        <v>1</v>
      </c>
      <c r="AY41" s="109">
        <v>1</v>
      </c>
    </row>
    <row r="42" spans="1:52">
      <c r="A42" s="109"/>
      <c r="B42" s="178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44100</v>
      </c>
      <c r="N42" s="109">
        <v>0</v>
      </c>
      <c r="O42" s="109">
        <v>44100</v>
      </c>
      <c r="P42" s="109">
        <v>0</v>
      </c>
      <c r="Q42" s="109">
        <v>44100</v>
      </c>
      <c r="R42" s="109">
        <v>0</v>
      </c>
      <c r="S42" s="109">
        <v>44100</v>
      </c>
      <c r="T42" s="109">
        <v>0</v>
      </c>
      <c r="U42" s="109">
        <v>44100</v>
      </c>
      <c r="V42" s="109">
        <v>0</v>
      </c>
      <c r="W42" s="109">
        <v>44100</v>
      </c>
      <c r="X42" s="109">
        <v>0</v>
      </c>
      <c r="Y42" s="109">
        <v>44100</v>
      </c>
      <c r="Z42" s="109">
        <v>0</v>
      </c>
      <c r="AA42" s="109">
        <v>44100</v>
      </c>
      <c r="AB42" s="109">
        <v>0</v>
      </c>
      <c r="AC42" s="109">
        <v>44100</v>
      </c>
      <c r="AD42" s="109">
        <v>0</v>
      </c>
      <c r="AE42" s="109">
        <v>44100</v>
      </c>
      <c r="AF42" s="109">
        <v>0</v>
      </c>
      <c r="AG42" s="109">
        <v>44100</v>
      </c>
      <c r="AH42" s="109">
        <v>0</v>
      </c>
      <c r="AI42" s="109">
        <v>44100</v>
      </c>
      <c r="AJ42" s="109">
        <v>0</v>
      </c>
      <c r="AK42" s="109">
        <v>44100</v>
      </c>
      <c r="AL42" s="109">
        <v>0</v>
      </c>
      <c r="AM42" s="109">
        <v>44100</v>
      </c>
      <c r="AN42" s="109">
        <v>0</v>
      </c>
      <c r="AO42" s="109">
        <v>44100</v>
      </c>
      <c r="AP42" s="109">
        <v>0</v>
      </c>
      <c r="AQ42" s="109">
        <v>44100</v>
      </c>
      <c r="AR42" s="109">
        <v>0</v>
      </c>
      <c r="AS42" s="109">
        <v>44100</v>
      </c>
      <c r="AT42" s="109">
        <v>0</v>
      </c>
      <c r="AU42" s="109">
        <v>44100</v>
      </c>
      <c r="AV42" s="109">
        <v>0</v>
      </c>
      <c r="AW42" s="109">
        <v>44100</v>
      </c>
      <c r="AX42" s="109">
        <v>0</v>
      </c>
      <c r="AY42" s="109">
        <v>44100</v>
      </c>
      <c r="AZ42" s="99">
        <f>SUM($D$42:$AY$42)</f>
        <v>882000</v>
      </c>
    </row>
    <row r="43" spans="1:52">
      <c r="A43" s="109"/>
      <c r="B43" s="178" t="s">
        <v>352</v>
      </c>
      <c r="C43" s="109"/>
      <c r="D43" s="109">
        <v>559.52370211384391</v>
      </c>
      <c r="E43" s="109">
        <v>441.88696138479332</v>
      </c>
      <c r="F43" s="109">
        <v>441.88696138479332</v>
      </c>
      <c r="G43" s="109">
        <v>441.88696138479332</v>
      </c>
      <c r="H43" s="109">
        <v>441.88696138479332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441.88696138479332</v>
      </c>
      <c r="O43" s="109">
        <v>0</v>
      </c>
      <c r="P43" s="109">
        <v>441.88696138479332</v>
      </c>
      <c r="Q43" s="109">
        <v>0</v>
      </c>
      <c r="R43" s="109">
        <v>441.88696138479332</v>
      </c>
      <c r="S43" s="109">
        <v>0</v>
      </c>
      <c r="T43" s="109">
        <v>441.88696138479332</v>
      </c>
      <c r="U43" s="109">
        <v>0</v>
      </c>
      <c r="V43" s="109">
        <v>441.88696138479332</v>
      </c>
      <c r="W43" s="109">
        <v>0</v>
      </c>
      <c r="X43" s="109">
        <v>441.88696138479332</v>
      </c>
      <c r="Y43" s="109">
        <v>0</v>
      </c>
      <c r="Z43" s="109">
        <v>441.88696138479332</v>
      </c>
      <c r="AA43" s="109">
        <v>0</v>
      </c>
      <c r="AB43" s="109">
        <v>441.88696138479332</v>
      </c>
      <c r="AC43" s="109">
        <v>0</v>
      </c>
      <c r="AD43" s="109">
        <v>441.88696138479332</v>
      </c>
      <c r="AE43" s="109">
        <v>0</v>
      </c>
      <c r="AF43" s="109">
        <v>441.88696138479332</v>
      </c>
      <c r="AG43" s="109">
        <v>0</v>
      </c>
      <c r="AH43" s="109">
        <v>441.88696138479332</v>
      </c>
      <c r="AI43" s="109">
        <v>0</v>
      </c>
      <c r="AJ43" s="109">
        <v>441.88696138479332</v>
      </c>
      <c r="AK43" s="109">
        <v>0</v>
      </c>
      <c r="AL43" s="109">
        <v>441.88696138479332</v>
      </c>
      <c r="AM43" s="109">
        <v>0</v>
      </c>
      <c r="AN43" s="109">
        <v>441.88696138479332</v>
      </c>
      <c r="AO43" s="109">
        <v>0</v>
      </c>
      <c r="AP43" s="109">
        <v>441.88696138479332</v>
      </c>
      <c r="AQ43" s="109">
        <v>0</v>
      </c>
      <c r="AR43" s="109">
        <v>441.88696138479332</v>
      </c>
      <c r="AS43" s="109">
        <v>0</v>
      </c>
      <c r="AT43" s="109">
        <v>441.88696138479332</v>
      </c>
      <c r="AU43" s="109">
        <v>0</v>
      </c>
      <c r="AV43" s="109">
        <v>441.88696138479332</v>
      </c>
      <c r="AW43" s="109">
        <v>0</v>
      </c>
      <c r="AX43" s="109">
        <v>441.88696138479332</v>
      </c>
      <c r="AY43" s="109">
        <v>0</v>
      </c>
      <c r="AZ43" s="99">
        <f>SUM($D$43:$AY$43)</f>
        <v>10722.923813964091</v>
      </c>
    </row>
    <row r="44" spans="1:52">
      <c r="A44" s="134" t="s">
        <v>46</v>
      </c>
      <c r="B44" s="134" t="s">
        <v>342</v>
      </c>
      <c r="C44" s="123"/>
      <c r="D44" s="123">
        <f>D$21*shipping_manufacturing!$F$28/100</f>
        <v>199.97123477488614</v>
      </c>
      <c r="E44" s="123">
        <f>E$21*shipping_manufacturing!$F$28/100</f>
        <v>157.92839689400745</v>
      </c>
      <c r="F44" s="123">
        <f>F$21*shipping_manufacturing!$F$28/100</f>
        <v>157.92839689400745</v>
      </c>
      <c r="G44" s="123">
        <f>G$21*shipping_manufacturing!$F$28/100</f>
        <v>157.92839689400745</v>
      </c>
      <c r="H44" s="123">
        <f>H$21*shipping_manufacturing!$F$28/100</f>
        <v>157.92839689400745</v>
      </c>
      <c r="I44" s="123">
        <f>I$21*shipping_manufacturing!$F$28/100</f>
        <v>0</v>
      </c>
      <c r="J44" s="123">
        <f>J$21*shipping_manufacturing!$F$28/100</f>
        <v>0</v>
      </c>
      <c r="K44" s="123">
        <f>K$21*shipping_manufacturing!$F$28/100</f>
        <v>0</v>
      </c>
      <c r="L44" s="123">
        <f>L$21*shipping_manufacturing!$F$28/100</f>
        <v>0</v>
      </c>
      <c r="M44" s="123">
        <f>M$21*shipping_manufacturing!$F$28/100</f>
        <v>157.92839689400745</v>
      </c>
      <c r="N44" s="123">
        <f>N$21*shipping_manufacturing!$F$28/100</f>
        <v>157.92839689400745</v>
      </c>
      <c r="O44" s="123">
        <f>O$21*shipping_manufacturing!$F$28/100</f>
        <v>157.92839689400745</v>
      </c>
      <c r="P44" s="123">
        <f>P$21*shipping_manufacturing!$F$28/100</f>
        <v>157.92839689400745</v>
      </c>
      <c r="Q44" s="123">
        <f>Q$21*shipping_manufacturing!$F$28/100</f>
        <v>157.92839689400745</v>
      </c>
      <c r="R44" s="123">
        <f>R$21*shipping_manufacturing!$F$28/100</f>
        <v>157.92839689400745</v>
      </c>
      <c r="S44" s="123">
        <f>S$21*shipping_manufacturing!$F$28/100</f>
        <v>157.92839689400745</v>
      </c>
      <c r="T44" s="123">
        <f>T$21*shipping_manufacturing!$F$28/100</f>
        <v>157.92839689400745</v>
      </c>
      <c r="U44" s="123">
        <f>U$21*shipping_manufacturing!$F$28/100</f>
        <v>157.92839689400745</v>
      </c>
      <c r="V44" s="123">
        <f>V$21*shipping_manufacturing!$F$28/100</f>
        <v>157.92839689400745</v>
      </c>
      <c r="W44" s="123">
        <f>W$21*shipping_manufacturing!$F$28/100</f>
        <v>157.92839689400745</v>
      </c>
      <c r="X44" s="123">
        <f>X$21*shipping_manufacturing!$F$28/100</f>
        <v>157.92839689400745</v>
      </c>
      <c r="Y44" s="123">
        <f>Y$21*shipping_manufacturing!$F$28/100</f>
        <v>157.92839689400745</v>
      </c>
      <c r="Z44" s="123">
        <f>Z$21*shipping_manufacturing!$F$28/100</f>
        <v>157.92839689400745</v>
      </c>
      <c r="AA44" s="123">
        <f>AA$21*shipping_manufacturing!$F$28/100</f>
        <v>157.92839689400745</v>
      </c>
      <c r="AB44" s="123">
        <f>AB$21*shipping_manufacturing!$F$28/100</f>
        <v>157.92839689400745</v>
      </c>
      <c r="AC44" s="123">
        <f>AC$21*shipping_manufacturing!$F$28/100</f>
        <v>157.92839689400745</v>
      </c>
      <c r="AD44" s="123">
        <f>AD$21*shipping_manufacturing!$F$28/100</f>
        <v>157.92839689400745</v>
      </c>
      <c r="AE44" s="123">
        <f>AE$21*shipping_manufacturing!$F$28/100</f>
        <v>157.92839689400745</v>
      </c>
      <c r="AF44" s="123">
        <f>AF$21*shipping_manufacturing!$F$28/100</f>
        <v>157.92839689400745</v>
      </c>
      <c r="AG44" s="123">
        <f>AG$21*shipping_manufacturing!$F$28/100</f>
        <v>157.92839689400745</v>
      </c>
      <c r="AH44" s="123">
        <f>AH$21*shipping_manufacturing!$F$28/100</f>
        <v>157.92839689400745</v>
      </c>
      <c r="AI44" s="123">
        <f>AI$21*shipping_manufacturing!$F$28/100</f>
        <v>157.92839689400745</v>
      </c>
      <c r="AJ44" s="123">
        <f>AJ$21*shipping_manufacturing!$F$28/100</f>
        <v>157.92839689400745</v>
      </c>
      <c r="AK44" s="123">
        <f>AK$21*shipping_manufacturing!$F$28/100</f>
        <v>157.92839689400745</v>
      </c>
      <c r="AL44" s="123">
        <f>AL$21*shipping_manufacturing!$F$28/100</f>
        <v>157.92839689400745</v>
      </c>
      <c r="AM44" s="123">
        <f>AM$21*shipping_manufacturing!$F$28/100</f>
        <v>157.92839689400745</v>
      </c>
      <c r="AN44" s="123">
        <f>AN$21*shipping_manufacturing!$F$28/100</f>
        <v>157.92839689400745</v>
      </c>
      <c r="AO44" s="123">
        <f>AO$21*shipping_manufacturing!$F$28/100</f>
        <v>157.92839689400745</v>
      </c>
      <c r="AP44" s="123">
        <f>AP$21*shipping_manufacturing!$F$28/100</f>
        <v>157.92839689400745</v>
      </c>
      <c r="AQ44" s="123">
        <f>AQ$21*shipping_manufacturing!$F$28/100</f>
        <v>157.92839689400745</v>
      </c>
      <c r="AR44" s="123">
        <f>AR$21*shipping_manufacturing!$F$28/100</f>
        <v>157.92839689400745</v>
      </c>
      <c r="AS44" s="123">
        <f>AS$21*shipping_manufacturing!$F$28/100</f>
        <v>157.92839689400745</v>
      </c>
      <c r="AT44" s="123">
        <f>AT$21*shipping_manufacturing!$F$28/100</f>
        <v>157.92839689400745</v>
      </c>
      <c r="AU44" s="123">
        <f>AU$21*shipping_manufacturing!$F$28/100</f>
        <v>157.92839689400745</v>
      </c>
      <c r="AV44" s="123">
        <f>AV$21*shipping_manufacturing!$F$28/100</f>
        <v>157.92839689400745</v>
      </c>
      <c r="AW44" s="123">
        <f>AW$21*shipping_manufacturing!$F$28/100</f>
        <v>157.92839689400745</v>
      </c>
      <c r="AX44" s="123">
        <f>AX$21*shipping_manufacturing!$F$28/100</f>
        <v>157.92839689400745</v>
      </c>
      <c r="AY44" s="123">
        <f>AY$21*shipping_manufacturing!$F$28/100</f>
        <v>157.92839689400745</v>
      </c>
    </row>
    <row r="45" spans="1:52">
      <c r="A45" s="112" t="s">
        <v>341</v>
      </c>
      <c r="B45" s="164" t="s">
        <v>343</v>
      </c>
      <c r="C45" s="109"/>
      <c r="D45" s="109">
        <f>D$22*shipping_manufacturing!$G$28/100</f>
        <v>299.32606669812628</v>
      </c>
      <c r="E45" s="109">
        <f>E$22*shipping_manufacturing!$G$28/100</f>
        <v>236.39442900594929</v>
      </c>
      <c r="F45" s="109">
        <f>F$22*shipping_manufacturing!$G$28/100</f>
        <v>236.39442900594929</v>
      </c>
      <c r="G45" s="109">
        <f>G$22*shipping_manufacturing!$G$28/100</f>
        <v>236.39442900594929</v>
      </c>
      <c r="H45" s="109">
        <f>H$22*shipping_manufacturing!$G$28/100</f>
        <v>236.39442900594929</v>
      </c>
      <c r="I45" s="109">
        <f>I$22*shipping_manufacturing!$G$28/100</f>
        <v>0</v>
      </c>
      <c r="J45" s="109">
        <f>J$22*shipping_manufacturing!$G$28/100</f>
        <v>0</v>
      </c>
      <c r="K45" s="109">
        <f>K$22*shipping_manufacturing!$G$28/100</f>
        <v>0</v>
      </c>
      <c r="L45" s="109">
        <f>L$22*shipping_manufacturing!$G$28/100</f>
        <v>0</v>
      </c>
      <c r="M45" s="109">
        <f>M$22*shipping_manufacturing!$G$28/100</f>
        <v>236.39442900594929</v>
      </c>
      <c r="N45" s="109">
        <f>N$22*shipping_manufacturing!$G$28/100</f>
        <v>236.39442900594929</v>
      </c>
      <c r="O45" s="109">
        <f>O$22*shipping_manufacturing!$G$28/100</f>
        <v>236.39442900594929</v>
      </c>
      <c r="P45" s="109">
        <f>P$22*shipping_manufacturing!$G$28/100</f>
        <v>236.39442900594929</v>
      </c>
      <c r="Q45" s="109">
        <f>Q$22*shipping_manufacturing!$G$28/100</f>
        <v>236.39442900594929</v>
      </c>
      <c r="R45" s="109">
        <f>R$22*shipping_manufacturing!$G$28/100</f>
        <v>236.39442900594929</v>
      </c>
      <c r="S45" s="109">
        <f>S$22*shipping_manufacturing!$G$28/100</f>
        <v>236.39442900594929</v>
      </c>
      <c r="T45" s="109">
        <f>T$22*shipping_manufacturing!$G$28/100</f>
        <v>236.39442900594929</v>
      </c>
      <c r="U45" s="109">
        <f>U$22*shipping_manufacturing!$G$28/100</f>
        <v>236.39442900594929</v>
      </c>
      <c r="V45" s="109">
        <f>V$22*shipping_manufacturing!$G$28/100</f>
        <v>236.39442900594929</v>
      </c>
      <c r="W45" s="109">
        <f>W$22*shipping_manufacturing!$G$28/100</f>
        <v>236.39442900594929</v>
      </c>
      <c r="X45" s="109">
        <f>X$22*shipping_manufacturing!$G$28/100</f>
        <v>236.39442900594929</v>
      </c>
      <c r="Y45" s="109">
        <f>Y$22*shipping_manufacturing!$G$28/100</f>
        <v>236.39442900594929</v>
      </c>
      <c r="Z45" s="109">
        <f>Z$22*shipping_manufacturing!$G$28/100</f>
        <v>236.39442900594929</v>
      </c>
      <c r="AA45" s="109">
        <f>AA$22*shipping_manufacturing!$G$28/100</f>
        <v>236.39442900594929</v>
      </c>
      <c r="AB45" s="109">
        <f>AB$22*shipping_manufacturing!$G$28/100</f>
        <v>236.39442900594929</v>
      </c>
      <c r="AC45" s="109">
        <f>AC$22*shipping_manufacturing!$G$28/100</f>
        <v>236.39442900594929</v>
      </c>
      <c r="AD45" s="109">
        <f>AD$22*shipping_manufacturing!$G$28/100</f>
        <v>236.39442900594929</v>
      </c>
      <c r="AE45" s="109">
        <f>AE$22*shipping_manufacturing!$G$28/100</f>
        <v>236.39442900594929</v>
      </c>
      <c r="AF45" s="109">
        <f>AF$22*shipping_manufacturing!$G$28/100</f>
        <v>236.39442900594929</v>
      </c>
      <c r="AG45" s="109">
        <f>AG$22*shipping_manufacturing!$G$28/100</f>
        <v>236.39442900594929</v>
      </c>
      <c r="AH45" s="109">
        <f>AH$22*shipping_manufacturing!$G$28/100</f>
        <v>236.39442900594929</v>
      </c>
      <c r="AI45" s="109">
        <f>AI$22*shipping_manufacturing!$G$28/100</f>
        <v>236.39442900594929</v>
      </c>
      <c r="AJ45" s="109">
        <f>AJ$22*shipping_manufacturing!$G$28/100</f>
        <v>236.39442900594929</v>
      </c>
      <c r="AK45" s="109">
        <f>AK$22*shipping_manufacturing!$G$28/100</f>
        <v>236.39442900594929</v>
      </c>
      <c r="AL45" s="109">
        <f>AL$22*shipping_manufacturing!$G$28/100</f>
        <v>236.39442900594929</v>
      </c>
      <c r="AM45" s="109">
        <f>AM$22*shipping_manufacturing!$G$28/100</f>
        <v>236.39442900594929</v>
      </c>
      <c r="AN45" s="109">
        <f>AN$22*shipping_manufacturing!$G$28/100</f>
        <v>236.39442900594929</v>
      </c>
      <c r="AO45" s="109">
        <f>AO$22*shipping_manufacturing!$G$28/100</f>
        <v>236.39442900594929</v>
      </c>
      <c r="AP45" s="109">
        <f>AP$22*shipping_manufacturing!$G$28/100</f>
        <v>236.39442900594929</v>
      </c>
      <c r="AQ45" s="109">
        <f>AQ$22*shipping_manufacturing!$G$28/100</f>
        <v>236.39442900594929</v>
      </c>
      <c r="AR45" s="109">
        <f>AR$22*shipping_manufacturing!$G$28/100</f>
        <v>236.39442900594929</v>
      </c>
      <c r="AS45" s="109">
        <f>AS$22*shipping_manufacturing!$G$28/100</f>
        <v>236.39442900594929</v>
      </c>
      <c r="AT45" s="109">
        <f>AT$22*shipping_manufacturing!$G$28/100</f>
        <v>236.39442900594929</v>
      </c>
      <c r="AU45" s="109">
        <f>AU$22*shipping_manufacturing!$G$28/100</f>
        <v>236.39442900594929</v>
      </c>
      <c r="AV45" s="109">
        <f>AV$22*shipping_manufacturing!$G$28/100</f>
        <v>236.39442900594929</v>
      </c>
      <c r="AW45" s="109">
        <f>AW$22*shipping_manufacturing!$G$28/100</f>
        <v>236.39442900594929</v>
      </c>
      <c r="AX45" s="109">
        <f>AX$22*shipping_manufacturing!$G$28/100</f>
        <v>236.39442900594929</v>
      </c>
      <c r="AY45" s="109">
        <f>AY$22*shipping_manufacturing!$G$28/100</f>
        <v>236.39442900594929</v>
      </c>
    </row>
    <row r="46" spans="1:52">
      <c r="A46" s="109">
        <v>89</v>
      </c>
      <c r="B46" s="164" t="s">
        <v>344</v>
      </c>
      <c r="C46" s="109"/>
      <c r="D46" s="109">
        <f>SUM(D44:D45)</f>
        <v>499.29730147301245</v>
      </c>
      <c r="E46" s="109">
        <f t="shared" ref="E46:AY46" si="14">SUM(E44:E45)</f>
        <v>394.32282589995674</v>
      </c>
      <c r="F46" s="109">
        <f t="shared" si="14"/>
        <v>394.32282589995674</v>
      </c>
      <c r="G46" s="109">
        <f t="shared" si="14"/>
        <v>394.32282589995674</v>
      </c>
      <c r="H46" s="109">
        <f t="shared" si="14"/>
        <v>394.32282589995674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394.32282589995674</v>
      </c>
      <c r="N46" s="109">
        <f t="shared" si="14"/>
        <v>394.32282589995674</v>
      </c>
      <c r="O46" s="109">
        <f t="shared" si="14"/>
        <v>394.32282589995674</v>
      </c>
      <c r="P46" s="109">
        <f t="shared" si="14"/>
        <v>394.32282589995674</v>
      </c>
      <c r="Q46" s="109">
        <f t="shared" si="14"/>
        <v>394.32282589995674</v>
      </c>
      <c r="R46" s="109">
        <f t="shared" si="14"/>
        <v>394.32282589995674</v>
      </c>
      <c r="S46" s="109">
        <f t="shared" si="14"/>
        <v>394.32282589995674</v>
      </c>
      <c r="T46" s="109">
        <f t="shared" si="14"/>
        <v>394.32282589995674</v>
      </c>
      <c r="U46" s="109">
        <f t="shared" si="14"/>
        <v>394.32282589995674</v>
      </c>
      <c r="V46" s="109">
        <f t="shared" si="14"/>
        <v>394.32282589995674</v>
      </c>
      <c r="W46" s="109">
        <f t="shared" si="14"/>
        <v>394.32282589995674</v>
      </c>
      <c r="X46" s="109">
        <f t="shared" si="14"/>
        <v>394.32282589995674</v>
      </c>
      <c r="Y46" s="109">
        <f t="shared" si="14"/>
        <v>394.32282589995674</v>
      </c>
      <c r="Z46" s="109">
        <f t="shared" si="14"/>
        <v>394.32282589995674</v>
      </c>
      <c r="AA46" s="109">
        <f t="shared" si="14"/>
        <v>394.32282589995674</v>
      </c>
      <c r="AB46" s="109">
        <f t="shared" si="14"/>
        <v>394.32282589995674</v>
      </c>
      <c r="AC46" s="109">
        <f t="shared" si="14"/>
        <v>394.32282589995674</v>
      </c>
      <c r="AD46" s="109">
        <f t="shared" si="14"/>
        <v>394.32282589995674</v>
      </c>
      <c r="AE46" s="109">
        <f t="shared" si="14"/>
        <v>394.32282589995674</v>
      </c>
      <c r="AF46" s="109">
        <f t="shared" si="14"/>
        <v>394.32282589995674</v>
      </c>
      <c r="AG46" s="109">
        <f t="shared" si="14"/>
        <v>394.32282589995674</v>
      </c>
      <c r="AH46" s="109">
        <f t="shared" si="14"/>
        <v>394.32282589995674</v>
      </c>
      <c r="AI46" s="109">
        <f t="shared" si="14"/>
        <v>394.32282589995674</v>
      </c>
      <c r="AJ46" s="109">
        <f t="shared" si="14"/>
        <v>394.32282589995674</v>
      </c>
      <c r="AK46" s="109">
        <f t="shared" si="14"/>
        <v>394.32282589995674</v>
      </c>
      <c r="AL46" s="109">
        <f t="shared" si="14"/>
        <v>394.32282589995674</v>
      </c>
      <c r="AM46" s="109">
        <f t="shared" si="14"/>
        <v>394.32282589995674</v>
      </c>
      <c r="AN46" s="109">
        <f t="shared" si="14"/>
        <v>394.32282589995674</v>
      </c>
      <c r="AO46" s="109">
        <f t="shared" si="14"/>
        <v>394.32282589995674</v>
      </c>
      <c r="AP46" s="109">
        <f t="shared" si="14"/>
        <v>394.32282589995674</v>
      </c>
      <c r="AQ46" s="109">
        <f t="shared" si="14"/>
        <v>394.32282589995674</v>
      </c>
      <c r="AR46" s="109">
        <f t="shared" si="14"/>
        <v>394.32282589995674</v>
      </c>
      <c r="AS46" s="109">
        <f t="shared" si="14"/>
        <v>394.32282589995674</v>
      </c>
      <c r="AT46" s="109">
        <f t="shared" si="14"/>
        <v>394.32282589995674</v>
      </c>
      <c r="AU46" s="109">
        <f t="shared" si="14"/>
        <v>394.32282589995674</v>
      </c>
      <c r="AV46" s="109">
        <f t="shared" si="14"/>
        <v>394.32282589995674</v>
      </c>
      <c r="AW46" s="109">
        <f t="shared" si="14"/>
        <v>394.32282589995674</v>
      </c>
      <c r="AX46" s="109">
        <f t="shared" si="14"/>
        <v>394.32282589995674</v>
      </c>
      <c r="AY46" s="109">
        <f t="shared" si="14"/>
        <v>394.32282589995674</v>
      </c>
    </row>
    <row r="47" spans="1:52">
      <c r="A47" s="109"/>
      <c r="B47" s="164" t="s">
        <v>345</v>
      </c>
      <c r="C47" s="109"/>
      <c r="D47" s="109">
        <v>168.21224220053563</v>
      </c>
      <c r="E47" s="109">
        <v>96.121281257448899</v>
      </c>
      <c r="F47" s="109">
        <v>157.92839689400748</v>
      </c>
      <c r="G47" s="109">
        <v>96.121281257448899</v>
      </c>
      <c r="H47" s="109">
        <v>157.92839689400748</v>
      </c>
      <c r="I47" s="109"/>
      <c r="J47" s="109"/>
      <c r="K47" s="109"/>
      <c r="L47" s="109"/>
      <c r="M47" s="109">
        <v>157.92839689400748</v>
      </c>
      <c r="N47" s="109">
        <v>84.106121100267785</v>
      </c>
      <c r="O47" s="109">
        <v>157.92839689400748</v>
      </c>
      <c r="P47" s="109">
        <v>84.106121100267785</v>
      </c>
      <c r="Q47" s="109">
        <v>157.92839689400748</v>
      </c>
      <c r="R47" s="109">
        <v>84.106121100267785</v>
      </c>
      <c r="S47" s="109">
        <v>157.92839689400748</v>
      </c>
      <c r="T47" s="109">
        <v>84.106121100267785</v>
      </c>
      <c r="U47" s="109">
        <v>157.92839689400748</v>
      </c>
      <c r="V47" s="109">
        <v>84.106121100267785</v>
      </c>
      <c r="W47" s="109">
        <v>157.92839689400748</v>
      </c>
      <c r="X47" s="109">
        <v>84.106121100267785</v>
      </c>
      <c r="Y47" s="109">
        <v>157.92839689400748</v>
      </c>
      <c r="Z47" s="109">
        <v>84.106121100267785</v>
      </c>
      <c r="AA47" s="109">
        <v>157.92839689400748</v>
      </c>
      <c r="AB47" s="109">
        <v>84.106121100267785</v>
      </c>
      <c r="AC47" s="109">
        <v>157.92839689400748</v>
      </c>
      <c r="AD47" s="109">
        <v>84.106121100267785</v>
      </c>
      <c r="AE47" s="109">
        <v>157.92839689400748</v>
      </c>
      <c r="AF47" s="109">
        <v>84.106121100267785</v>
      </c>
      <c r="AG47" s="109">
        <v>157.92839689400748</v>
      </c>
      <c r="AH47" s="109">
        <v>84.106121100267785</v>
      </c>
      <c r="AI47" s="109">
        <v>157.92839689400748</v>
      </c>
      <c r="AJ47" s="109">
        <v>84.106121100267785</v>
      </c>
      <c r="AK47" s="109">
        <v>157.92839689400748</v>
      </c>
      <c r="AL47" s="109">
        <v>84.106121100267785</v>
      </c>
      <c r="AM47" s="109">
        <v>157.92839689400748</v>
      </c>
      <c r="AN47" s="109">
        <v>84.106121100267785</v>
      </c>
      <c r="AO47" s="109">
        <v>157.92839689400748</v>
      </c>
      <c r="AP47" s="109">
        <v>84.106121100267785</v>
      </c>
      <c r="AQ47" s="109">
        <v>157.92839689400748</v>
      </c>
      <c r="AR47" s="109">
        <v>84.106121100267785</v>
      </c>
      <c r="AS47" s="109">
        <v>157.92839689400748</v>
      </c>
      <c r="AT47" s="109">
        <v>84.106121100267785</v>
      </c>
      <c r="AU47" s="109">
        <v>157.92839689400748</v>
      </c>
      <c r="AV47" s="109">
        <v>84.106121100267785</v>
      </c>
      <c r="AW47" s="109">
        <v>157.92839689400748</v>
      </c>
      <c r="AX47" s="109">
        <v>84.106121100267785</v>
      </c>
      <c r="AY47" s="109">
        <v>157.92839689400748</v>
      </c>
    </row>
    <row r="48" spans="1:52">
      <c r="A48" s="109"/>
      <c r="B48" s="164" t="s">
        <v>346</v>
      </c>
      <c r="C48" s="109"/>
      <c r="D48" s="109">
        <v>251.78775779946432</v>
      </c>
      <c r="E48" s="109">
        <v>143.87871874255109</v>
      </c>
      <c r="F48" s="109">
        <v>236.39442900594923</v>
      </c>
      <c r="G48" s="109">
        <v>143.87871874255109</v>
      </c>
      <c r="H48" s="109">
        <v>236.39442900594923</v>
      </c>
      <c r="I48" s="109"/>
      <c r="J48" s="109"/>
      <c r="K48" s="109"/>
      <c r="L48" s="109"/>
      <c r="M48" s="109">
        <v>236.39442900594923</v>
      </c>
      <c r="N48" s="109">
        <v>125.89387889973221</v>
      </c>
      <c r="O48" s="109">
        <v>236.39442900594923</v>
      </c>
      <c r="P48" s="109">
        <v>125.89387889973221</v>
      </c>
      <c r="Q48" s="109">
        <v>236.39442900594923</v>
      </c>
      <c r="R48" s="109">
        <v>125.89387889973221</v>
      </c>
      <c r="S48" s="109">
        <v>236.39442900594923</v>
      </c>
      <c r="T48" s="109">
        <v>125.89387889973221</v>
      </c>
      <c r="U48" s="109">
        <v>236.39442900594923</v>
      </c>
      <c r="V48" s="109">
        <v>125.89387889973221</v>
      </c>
      <c r="W48" s="109">
        <v>236.39442900594923</v>
      </c>
      <c r="X48" s="109">
        <v>125.89387889973221</v>
      </c>
      <c r="Y48" s="109">
        <v>236.39442900594923</v>
      </c>
      <c r="Z48" s="109">
        <v>125.89387889973221</v>
      </c>
      <c r="AA48" s="109">
        <v>236.39442900594923</v>
      </c>
      <c r="AB48" s="109">
        <v>125.89387889973221</v>
      </c>
      <c r="AC48" s="109">
        <v>236.39442900594923</v>
      </c>
      <c r="AD48" s="109">
        <v>125.89387889973221</v>
      </c>
      <c r="AE48" s="109">
        <v>236.39442900594923</v>
      </c>
      <c r="AF48" s="109">
        <v>125.89387889973221</v>
      </c>
      <c r="AG48" s="109">
        <v>236.39442900594923</v>
      </c>
      <c r="AH48" s="109">
        <v>125.89387889973221</v>
      </c>
      <c r="AI48" s="109">
        <v>236.39442900594923</v>
      </c>
      <c r="AJ48" s="109">
        <v>125.89387889973221</v>
      </c>
      <c r="AK48" s="109">
        <v>236.39442900594923</v>
      </c>
      <c r="AL48" s="109">
        <v>125.89387889973221</v>
      </c>
      <c r="AM48" s="109">
        <v>236.39442900594923</v>
      </c>
      <c r="AN48" s="109">
        <v>125.89387889973221</v>
      </c>
      <c r="AO48" s="109">
        <v>236.39442900594923</v>
      </c>
      <c r="AP48" s="109">
        <v>125.89387889973221</v>
      </c>
      <c r="AQ48" s="109">
        <v>236.39442900594923</v>
      </c>
      <c r="AR48" s="109">
        <v>125.89387889973221</v>
      </c>
      <c r="AS48" s="109">
        <v>236.39442900594923</v>
      </c>
      <c r="AT48" s="109">
        <v>125.89387889973221</v>
      </c>
      <c r="AU48" s="109">
        <v>236.39442900594923</v>
      </c>
      <c r="AV48" s="109">
        <v>125.89387889973221</v>
      </c>
      <c r="AW48" s="109">
        <v>236.39442900594923</v>
      </c>
      <c r="AX48" s="109">
        <v>125.89387889973221</v>
      </c>
      <c r="AY48" s="109">
        <v>236.39442900594923</v>
      </c>
    </row>
    <row r="49" spans="1:52">
      <c r="A49" s="109"/>
      <c r="B49" s="164" t="s">
        <v>347</v>
      </c>
      <c r="C49" s="109"/>
      <c r="D49" s="109">
        <v>14</v>
      </c>
      <c r="E49" s="109">
        <v>8</v>
      </c>
      <c r="F49" s="109">
        <v>14</v>
      </c>
      <c r="G49" s="109">
        <v>8</v>
      </c>
      <c r="H49" s="109">
        <v>14</v>
      </c>
      <c r="I49" s="109"/>
      <c r="J49" s="109"/>
      <c r="K49" s="109"/>
      <c r="L49" s="109"/>
      <c r="M49" s="109">
        <v>14</v>
      </c>
      <c r="N49" s="109">
        <v>7</v>
      </c>
      <c r="O49" s="109">
        <v>14</v>
      </c>
      <c r="P49" s="109">
        <v>7</v>
      </c>
      <c r="Q49" s="109">
        <v>14</v>
      </c>
      <c r="R49" s="109">
        <v>7</v>
      </c>
      <c r="S49" s="109">
        <v>14</v>
      </c>
      <c r="T49" s="109">
        <v>7</v>
      </c>
      <c r="U49" s="109">
        <v>14</v>
      </c>
      <c r="V49" s="109">
        <v>7</v>
      </c>
      <c r="W49" s="109">
        <v>14</v>
      </c>
      <c r="X49" s="109">
        <v>7</v>
      </c>
      <c r="Y49" s="109">
        <v>14</v>
      </c>
      <c r="Z49" s="109">
        <v>7</v>
      </c>
      <c r="AA49" s="109">
        <v>14</v>
      </c>
      <c r="AB49" s="109">
        <v>7</v>
      </c>
      <c r="AC49" s="109">
        <v>14</v>
      </c>
      <c r="AD49" s="109">
        <v>7</v>
      </c>
      <c r="AE49" s="109">
        <v>14</v>
      </c>
      <c r="AF49" s="109">
        <v>7</v>
      </c>
      <c r="AG49" s="109">
        <v>14</v>
      </c>
      <c r="AH49" s="109">
        <v>7</v>
      </c>
      <c r="AI49" s="109">
        <v>14</v>
      </c>
      <c r="AJ49" s="109">
        <v>7</v>
      </c>
      <c r="AK49" s="109">
        <v>14</v>
      </c>
      <c r="AL49" s="109">
        <v>7</v>
      </c>
      <c r="AM49" s="109">
        <v>14</v>
      </c>
      <c r="AN49" s="109">
        <v>7</v>
      </c>
      <c r="AO49" s="109">
        <v>14</v>
      </c>
      <c r="AP49" s="109">
        <v>7</v>
      </c>
      <c r="AQ49" s="109">
        <v>14</v>
      </c>
      <c r="AR49" s="109">
        <v>7</v>
      </c>
      <c r="AS49" s="109">
        <v>14</v>
      </c>
      <c r="AT49" s="109">
        <v>7</v>
      </c>
      <c r="AU49" s="109">
        <v>14</v>
      </c>
      <c r="AV49" s="109">
        <v>7</v>
      </c>
      <c r="AW49" s="109">
        <v>14</v>
      </c>
      <c r="AX49" s="109">
        <v>7</v>
      </c>
      <c r="AY49" s="109">
        <v>14</v>
      </c>
    </row>
    <row r="50" spans="1:52">
      <c r="A50" s="109"/>
      <c r="B50" s="164" t="s">
        <v>348</v>
      </c>
      <c r="C50" s="109"/>
      <c r="D50" s="109">
        <f>D44-D47</f>
        <v>31.758992574350515</v>
      </c>
      <c r="E50" s="109">
        <f t="shared" ref="E50:AY50" si="15">E44-E47</f>
        <v>61.807115636558549</v>
      </c>
      <c r="F50" s="109">
        <f t="shared" si="15"/>
        <v>0</v>
      </c>
      <c r="G50" s="109">
        <f t="shared" si="15"/>
        <v>61.807115636558549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73.822275793739664</v>
      </c>
      <c r="O50" s="109">
        <f t="shared" si="15"/>
        <v>0</v>
      </c>
      <c r="P50" s="109">
        <f t="shared" si="15"/>
        <v>73.822275793739664</v>
      </c>
      <c r="Q50" s="109">
        <f t="shared" si="15"/>
        <v>0</v>
      </c>
      <c r="R50" s="109">
        <f t="shared" si="15"/>
        <v>73.822275793739664</v>
      </c>
      <c r="S50" s="109">
        <f t="shared" si="15"/>
        <v>0</v>
      </c>
      <c r="T50" s="109">
        <f t="shared" si="15"/>
        <v>73.822275793739664</v>
      </c>
      <c r="U50" s="109">
        <f t="shared" si="15"/>
        <v>0</v>
      </c>
      <c r="V50" s="109">
        <f t="shared" si="15"/>
        <v>73.822275793739664</v>
      </c>
      <c r="W50" s="109">
        <f t="shared" si="15"/>
        <v>0</v>
      </c>
      <c r="X50" s="109">
        <f t="shared" si="15"/>
        <v>73.822275793739664</v>
      </c>
      <c r="Y50" s="109">
        <f t="shared" si="15"/>
        <v>0</v>
      </c>
      <c r="Z50" s="109">
        <f t="shared" si="15"/>
        <v>73.822275793739664</v>
      </c>
      <c r="AA50" s="109">
        <f t="shared" si="15"/>
        <v>0</v>
      </c>
      <c r="AB50" s="109">
        <f t="shared" si="15"/>
        <v>73.822275793739664</v>
      </c>
      <c r="AC50" s="109">
        <f t="shared" si="15"/>
        <v>0</v>
      </c>
      <c r="AD50" s="109">
        <f t="shared" si="15"/>
        <v>73.822275793739664</v>
      </c>
      <c r="AE50" s="109">
        <f t="shared" si="15"/>
        <v>0</v>
      </c>
      <c r="AF50" s="109">
        <f t="shared" si="15"/>
        <v>73.822275793739664</v>
      </c>
      <c r="AG50" s="109">
        <f t="shared" si="15"/>
        <v>0</v>
      </c>
      <c r="AH50" s="109">
        <f t="shared" si="15"/>
        <v>73.822275793739664</v>
      </c>
      <c r="AI50" s="109">
        <f t="shared" si="15"/>
        <v>0</v>
      </c>
      <c r="AJ50" s="109">
        <f t="shared" si="15"/>
        <v>73.822275793739664</v>
      </c>
      <c r="AK50" s="109">
        <f t="shared" si="15"/>
        <v>0</v>
      </c>
      <c r="AL50" s="109">
        <f t="shared" si="15"/>
        <v>73.822275793739664</v>
      </c>
      <c r="AM50" s="109">
        <f t="shared" si="15"/>
        <v>0</v>
      </c>
      <c r="AN50" s="109">
        <f t="shared" si="15"/>
        <v>73.822275793739664</v>
      </c>
      <c r="AO50" s="109">
        <f t="shared" si="15"/>
        <v>0</v>
      </c>
      <c r="AP50" s="109">
        <f t="shared" si="15"/>
        <v>73.822275793739664</v>
      </c>
      <c r="AQ50" s="109">
        <f t="shared" si="15"/>
        <v>0</v>
      </c>
      <c r="AR50" s="109">
        <f t="shared" si="15"/>
        <v>73.822275793739664</v>
      </c>
      <c r="AS50" s="109">
        <f t="shared" si="15"/>
        <v>0</v>
      </c>
      <c r="AT50" s="109">
        <f t="shared" si="15"/>
        <v>73.822275793739664</v>
      </c>
      <c r="AU50" s="109">
        <f t="shared" si="15"/>
        <v>0</v>
      </c>
      <c r="AV50" s="109">
        <f t="shared" si="15"/>
        <v>73.822275793739664</v>
      </c>
      <c r="AW50" s="109">
        <f t="shared" si="15"/>
        <v>0</v>
      </c>
      <c r="AX50" s="109">
        <f t="shared" si="15"/>
        <v>73.822275793739664</v>
      </c>
      <c r="AY50" s="109">
        <f t="shared" si="15"/>
        <v>0</v>
      </c>
    </row>
    <row r="51" spans="1:52">
      <c r="A51" s="109"/>
      <c r="B51" s="164" t="s">
        <v>349</v>
      </c>
      <c r="C51" s="109"/>
      <c r="D51" s="109">
        <f>D45-D48</f>
        <v>47.538308898661967</v>
      </c>
      <c r="E51" s="109">
        <f t="shared" ref="E51:AY51" si="16">E45-E48</f>
        <v>92.515710263398205</v>
      </c>
      <c r="F51" s="109">
        <f t="shared" si="16"/>
        <v>0</v>
      </c>
      <c r="G51" s="109">
        <f t="shared" si="16"/>
        <v>92.515710263398205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110.50055010621708</v>
      </c>
      <c r="O51" s="109">
        <f t="shared" si="16"/>
        <v>0</v>
      </c>
      <c r="P51" s="109">
        <f t="shared" si="16"/>
        <v>110.50055010621708</v>
      </c>
      <c r="Q51" s="109">
        <f t="shared" si="16"/>
        <v>0</v>
      </c>
      <c r="R51" s="109">
        <f t="shared" si="16"/>
        <v>110.50055010621708</v>
      </c>
      <c r="S51" s="109">
        <f t="shared" si="16"/>
        <v>0</v>
      </c>
      <c r="T51" s="109">
        <f t="shared" si="16"/>
        <v>110.50055010621708</v>
      </c>
      <c r="U51" s="109">
        <f t="shared" si="16"/>
        <v>0</v>
      </c>
      <c r="V51" s="109">
        <f t="shared" si="16"/>
        <v>110.50055010621708</v>
      </c>
      <c r="W51" s="109">
        <f t="shared" si="16"/>
        <v>0</v>
      </c>
      <c r="X51" s="109">
        <f t="shared" si="16"/>
        <v>110.50055010621708</v>
      </c>
      <c r="Y51" s="109">
        <f t="shared" si="16"/>
        <v>0</v>
      </c>
      <c r="Z51" s="109">
        <f t="shared" si="16"/>
        <v>110.50055010621708</v>
      </c>
      <c r="AA51" s="109">
        <f t="shared" si="16"/>
        <v>0</v>
      </c>
      <c r="AB51" s="109">
        <f t="shared" si="16"/>
        <v>110.50055010621708</v>
      </c>
      <c r="AC51" s="109">
        <f t="shared" si="16"/>
        <v>0</v>
      </c>
      <c r="AD51" s="109">
        <f t="shared" si="16"/>
        <v>110.50055010621708</v>
      </c>
      <c r="AE51" s="109">
        <f t="shared" si="16"/>
        <v>0</v>
      </c>
      <c r="AF51" s="109">
        <f t="shared" si="16"/>
        <v>110.50055010621708</v>
      </c>
      <c r="AG51" s="109">
        <f t="shared" si="16"/>
        <v>0</v>
      </c>
      <c r="AH51" s="109">
        <f t="shared" si="16"/>
        <v>110.50055010621708</v>
      </c>
      <c r="AI51" s="109">
        <f t="shared" si="16"/>
        <v>0</v>
      </c>
      <c r="AJ51" s="109">
        <f t="shared" si="16"/>
        <v>110.50055010621708</v>
      </c>
      <c r="AK51" s="109">
        <f t="shared" si="16"/>
        <v>0</v>
      </c>
      <c r="AL51" s="109">
        <f t="shared" si="16"/>
        <v>110.50055010621708</v>
      </c>
      <c r="AM51" s="109">
        <f t="shared" si="16"/>
        <v>0</v>
      </c>
      <c r="AN51" s="109">
        <f t="shared" si="16"/>
        <v>110.50055010621708</v>
      </c>
      <c r="AO51" s="109">
        <f t="shared" si="16"/>
        <v>0</v>
      </c>
      <c r="AP51" s="109">
        <f t="shared" si="16"/>
        <v>110.50055010621708</v>
      </c>
      <c r="AQ51" s="109">
        <f t="shared" si="16"/>
        <v>0</v>
      </c>
      <c r="AR51" s="109">
        <f t="shared" si="16"/>
        <v>110.50055010621708</v>
      </c>
      <c r="AS51" s="109">
        <f t="shared" si="16"/>
        <v>0</v>
      </c>
      <c r="AT51" s="109">
        <f t="shared" si="16"/>
        <v>110.50055010621708</v>
      </c>
      <c r="AU51" s="109">
        <f t="shared" si="16"/>
        <v>0</v>
      </c>
      <c r="AV51" s="109">
        <f t="shared" si="16"/>
        <v>110.50055010621708</v>
      </c>
      <c r="AW51" s="109">
        <f t="shared" si="16"/>
        <v>0</v>
      </c>
      <c r="AX51" s="109">
        <f t="shared" si="16"/>
        <v>110.50055010621708</v>
      </c>
      <c r="AY51" s="109">
        <f t="shared" si="16"/>
        <v>0</v>
      </c>
    </row>
    <row r="52" spans="1:52">
      <c r="A52" s="109"/>
      <c r="B52" s="164" t="s">
        <v>350</v>
      </c>
      <c r="C52" s="109"/>
      <c r="D52" s="109">
        <v>1</v>
      </c>
      <c r="E52" s="109">
        <v>1</v>
      </c>
      <c r="F52" s="109">
        <v>2</v>
      </c>
      <c r="G52" s="109">
        <v>1</v>
      </c>
      <c r="H52" s="109">
        <v>1</v>
      </c>
      <c r="I52" s="109">
        <v>2</v>
      </c>
      <c r="J52" s="109">
        <v>1</v>
      </c>
      <c r="K52" s="109">
        <v>2</v>
      </c>
      <c r="L52" s="109">
        <v>2</v>
      </c>
      <c r="M52" s="109">
        <v>1</v>
      </c>
      <c r="N52" s="109">
        <v>1</v>
      </c>
      <c r="O52" s="109">
        <v>1</v>
      </c>
      <c r="P52" s="109">
        <v>2</v>
      </c>
      <c r="Q52" s="109">
        <v>1</v>
      </c>
      <c r="R52" s="109">
        <v>2</v>
      </c>
      <c r="S52" s="109">
        <v>2</v>
      </c>
      <c r="T52" s="109">
        <v>1</v>
      </c>
      <c r="U52" s="109">
        <v>1</v>
      </c>
      <c r="V52" s="109">
        <v>2</v>
      </c>
      <c r="W52" s="109">
        <v>1</v>
      </c>
      <c r="X52" s="109">
        <v>1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2</v>
      </c>
      <c r="AE52" s="109">
        <v>2</v>
      </c>
      <c r="AF52" s="109">
        <v>3</v>
      </c>
      <c r="AG52" s="109">
        <v>1</v>
      </c>
      <c r="AH52" s="109">
        <v>1</v>
      </c>
      <c r="AI52" s="109">
        <v>1</v>
      </c>
      <c r="AJ52" s="109">
        <v>2</v>
      </c>
      <c r="AK52" s="109">
        <v>2</v>
      </c>
      <c r="AL52" s="109">
        <v>1</v>
      </c>
      <c r="AM52" s="109">
        <v>2</v>
      </c>
      <c r="AN52" s="109">
        <v>1</v>
      </c>
      <c r="AO52" s="109">
        <v>1</v>
      </c>
      <c r="AP52" s="109">
        <v>3</v>
      </c>
      <c r="AQ52" s="109">
        <v>1</v>
      </c>
      <c r="AR52" s="109">
        <v>2</v>
      </c>
      <c r="AS52" s="109">
        <v>3</v>
      </c>
      <c r="AT52" s="109">
        <v>3</v>
      </c>
      <c r="AU52" s="109">
        <v>1</v>
      </c>
      <c r="AV52" s="109">
        <v>2</v>
      </c>
      <c r="AW52" s="109">
        <v>2</v>
      </c>
      <c r="AX52" s="109">
        <v>1</v>
      </c>
      <c r="AY52" s="109">
        <v>1</v>
      </c>
    </row>
    <row r="53" spans="1:52">
      <c r="A53" s="109"/>
      <c r="B53" s="178" t="s">
        <v>351</v>
      </c>
      <c r="C53" s="109"/>
      <c r="D53" s="109">
        <v>44856</v>
      </c>
      <c r="E53" s="109">
        <v>25632</v>
      </c>
      <c r="F53" s="109">
        <v>44856</v>
      </c>
      <c r="G53" s="109">
        <v>25632</v>
      </c>
      <c r="H53" s="109">
        <v>44856</v>
      </c>
      <c r="I53" s="109">
        <v>0</v>
      </c>
      <c r="J53" s="109">
        <v>0</v>
      </c>
      <c r="K53" s="109">
        <v>0</v>
      </c>
      <c r="L53" s="109">
        <v>0</v>
      </c>
      <c r="M53" s="109">
        <v>44856</v>
      </c>
      <c r="N53" s="109">
        <v>22428</v>
      </c>
      <c r="O53" s="109">
        <v>44856</v>
      </c>
      <c r="P53" s="109">
        <v>22428</v>
      </c>
      <c r="Q53" s="109">
        <v>44856</v>
      </c>
      <c r="R53" s="109">
        <v>22428</v>
      </c>
      <c r="S53" s="109">
        <v>44856</v>
      </c>
      <c r="T53" s="109">
        <v>22428</v>
      </c>
      <c r="U53" s="109">
        <v>44856</v>
      </c>
      <c r="V53" s="109">
        <v>22428</v>
      </c>
      <c r="W53" s="109">
        <v>44856</v>
      </c>
      <c r="X53" s="109">
        <v>22428</v>
      </c>
      <c r="Y53" s="109">
        <v>44856</v>
      </c>
      <c r="Z53" s="109">
        <v>22428</v>
      </c>
      <c r="AA53" s="109">
        <v>44856</v>
      </c>
      <c r="AB53" s="109">
        <v>22428</v>
      </c>
      <c r="AC53" s="109">
        <v>44856</v>
      </c>
      <c r="AD53" s="109">
        <v>22428</v>
      </c>
      <c r="AE53" s="109">
        <v>44856</v>
      </c>
      <c r="AF53" s="109">
        <v>22428</v>
      </c>
      <c r="AG53" s="109">
        <v>44856</v>
      </c>
      <c r="AH53" s="109">
        <v>22428</v>
      </c>
      <c r="AI53" s="109">
        <v>44856</v>
      </c>
      <c r="AJ53" s="109">
        <v>22428</v>
      </c>
      <c r="AK53" s="109">
        <v>44856</v>
      </c>
      <c r="AL53" s="109">
        <v>22428</v>
      </c>
      <c r="AM53" s="109">
        <v>44856</v>
      </c>
      <c r="AN53" s="109">
        <v>22428</v>
      </c>
      <c r="AO53" s="109">
        <v>44856</v>
      </c>
      <c r="AP53" s="109">
        <v>22428</v>
      </c>
      <c r="AQ53" s="109">
        <v>44856</v>
      </c>
      <c r="AR53" s="109">
        <v>22428</v>
      </c>
      <c r="AS53" s="109">
        <v>44856</v>
      </c>
      <c r="AT53" s="109">
        <v>22428</v>
      </c>
      <c r="AU53" s="109">
        <v>44856</v>
      </c>
      <c r="AV53" s="109">
        <v>22428</v>
      </c>
      <c r="AW53" s="109">
        <v>44856</v>
      </c>
      <c r="AX53" s="109">
        <v>22428</v>
      </c>
      <c r="AY53" s="109">
        <v>44856</v>
      </c>
      <c r="AZ53" s="99">
        <f>SUM($D$53:$AY$53)</f>
        <v>1509084</v>
      </c>
    </row>
    <row r="54" spans="1:52">
      <c r="A54" s="109"/>
      <c r="B54" s="178" t="s">
        <v>352</v>
      </c>
      <c r="C54" s="109"/>
      <c r="D54" s="109">
        <v>4587.3488902137724</v>
      </c>
      <c r="E54" s="109">
        <v>8927.5754783124976</v>
      </c>
      <c r="F54" s="109">
        <v>0</v>
      </c>
      <c r="G54" s="109">
        <v>8927.5754783124976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10663.075478312499</v>
      </c>
      <c r="O54" s="109">
        <v>0</v>
      </c>
      <c r="P54" s="109">
        <v>10663.075478312499</v>
      </c>
      <c r="Q54" s="109">
        <v>0</v>
      </c>
      <c r="R54" s="109">
        <v>10663.075478312499</v>
      </c>
      <c r="S54" s="109">
        <v>0</v>
      </c>
      <c r="T54" s="109">
        <v>10663.075478312499</v>
      </c>
      <c r="U54" s="109">
        <v>0</v>
      </c>
      <c r="V54" s="109">
        <v>10663.075478312499</v>
      </c>
      <c r="W54" s="109">
        <v>0</v>
      </c>
      <c r="X54" s="109">
        <v>10663.075478312499</v>
      </c>
      <c r="Y54" s="109">
        <v>0</v>
      </c>
      <c r="Z54" s="109">
        <v>10663.075478312499</v>
      </c>
      <c r="AA54" s="109">
        <v>0</v>
      </c>
      <c r="AB54" s="109">
        <v>10663.075478312499</v>
      </c>
      <c r="AC54" s="109">
        <v>0</v>
      </c>
      <c r="AD54" s="109">
        <v>10663.075478312499</v>
      </c>
      <c r="AE54" s="109">
        <v>0</v>
      </c>
      <c r="AF54" s="109">
        <v>10663.075478312499</v>
      </c>
      <c r="AG54" s="109">
        <v>0</v>
      </c>
      <c r="AH54" s="109">
        <v>10663.075478312499</v>
      </c>
      <c r="AI54" s="109">
        <v>0</v>
      </c>
      <c r="AJ54" s="109">
        <v>10663.075478312499</v>
      </c>
      <c r="AK54" s="109">
        <v>0</v>
      </c>
      <c r="AL54" s="109">
        <v>10663.075478312499</v>
      </c>
      <c r="AM54" s="109">
        <v>0</v>
      </c>
      <c r="AN54" s="109">
        <v>10663.075478312499</v>
      </c>
      <c r="AO54" s="109">
        <v>0</v>
      </c>
      <c r="AP54" s="109">
        <v>10663.075478312499</v>
      </c>
      <c r="AQ54" s="109">
        <v>0</v>
      </c>
      <c r="AR54" s="109">
        <v>10663.075478312499</v>
      </c>
      <c r="AS54" s="109">
        <v>0</v>
      </c>
      <c r="AT54" s="109">
        <v>10663.075478312499</v>
      </c>
      <c r="AU54" s="109">
        <v>0</v>
      </c>
      <c r="AV54" s="109">
        <v>10663.075478312499</v>
      </c>
      <c r="AW54" s="109">
        <v>0</v>
      </c>
      <c r="AX54" s="109">
        <v>10663.075478312499</v>
      </c>
      <c r="AY54" s="109">
        <v>0</v>
      </c>
      <c r="AZ54" s="99">
        <f>SUM($D$54:$AY$54)</f>
        <v>225040.93393477629</v>
      </c>
    </row>
    <row r="55" spans="1:52">
      <c r="A55" s="134" t="s">
        <v>59</v>
      </c>
      <c r="B55" s="134" t="s">
        <v>342</v>
      </c>
      <c r="C55" s="123"/>
      <c r="D55" s="123">
        <f>D$21*shipping_manufacturing!$F$29/100</f>
        <v>0</v>
      </c>
      <c r="E55" s="123">
        <f>E$21*shipping_manufacturing!$F$29/100</f>
        <v>0</v>
      </c>
      <c r="F55" s="123">
        <f>F$21*shipping_manufacturing!$F$29/100</f>
        <v>0</v>
      </c>
      <c r="G55" s="123">
        <f>G$21*shipping_manufacturing!$F$29/100</f>
        <v>0</v>
      </c>
      <c r="H55" s="123">
        <f>H$21*shipping_manufacturing!$F$29/100</f>
        <v>0</v>
      </c>
      <c r="I55" s="123">
        <f>I$21*shipping_manufacturing!$F$29/100</f>
        <v>0</v>
      </c>
      <c r="J55" s="123">
        <f>J$21*shipping_manufacturing!$F$29/100</f>
        <v>0</v>
      </c>
      <c r="K55" s="123">
        <f>K$21*shipping_manufacturing!$F$29/100</f>
        <v>0</v>
      </c>
      <c r="L55" s="123">
        <f>L$21*shipping_manufacturing!$F$29/100</f>
        <v>0</v>
      </c>
      <c r="M55" s="123">
        <f>M$21*shipping_manufacturing!$F$29/100</f>
        <v>0</v>
      </c>
      <c r="N55" s="123">
        <f>N$21*shipping_manufacturing!$F$29/100</f>
        <v>0</v>
      </c>
      <c r="O55" s="123">
        <f>O$21*shipping_manufacturing!$F$29/100</f>
        <v>0</v>
      </c>
      <c r="P55" s="123">
        <f>P$21*shipping_manufacturing!$F$29/100</f>
        <v>0</v>
      </c>
      <c r="Q55" s="123">
        <f>Q$21*shipping_manufacturing!$F$29/100</f>
        <v>0</v>
      </c>
      <c r="R55" s="123">
        <f>R$21*shipping_manufacturing!$F$29/100</f>
        <v>0</v>
      </c>
      <c r="S55" s="123">
        <f>S$21*shipping_manufacturing!$F$29/100</f>
        <v>0</v>
      </c>
      <c r="T55" s="123">
        <f>T$21*shipping_manufacturing!$F$29/100</f>
        <v>0</v>
      </c>
      <c r="U55" s="123">
        <f>U$21*shipping_manufacturing!$F$29/100</f>
        <v>0</v>
      </c>
      <c r="V55" s="123">
        <f>V$21*shipping_manufacturing!$F$29/100</f>
        <v>0</v>
      </c>
      <c r="W55" s="123">
        <f>W$21*shipping_manufacturing!$F$29/100</f>
        <v>0</v>
      </c>
      <c r="X55" s="123">
        <f>X$21*shipping_manufacturing!$F$29/100</f>
        <v>0</v>
      </c>
      <c r="Y55" s="123">
        <f>Y$21*shipping_manufacturing!$F$29/100</f>
        <v>0</v>
      </c>
      <c r="Z55" s="123">
        <f>Z$21*shipping_manufacturing!$F$29/100</f>
        <v>0</v>
      </c>
      <c r="AA55" s="123">
        <f>AA$21*shipping_manufacturing!$F$29/100</f>
        <v>0</v>
      </c>
      <c r="AB55" s="123">
        <f>AB$21*shipping_manufacturing!$F$29/100</f>
        <v>0</v>
      </c>
      <c r="AC55" s="123">
        <f>AC$21*shipping_manufacturing!$F$29/100</f>
        <v>0</v>
      </c>
      <c r="AD55" s="123">
        <f>AD$21*shipping_manufacturing!$F$29/100</f>
        <v>0</v>
      </c>
      <c r="AE55" s="123">
        <f>AE$21*shipping_manufacturing!$F$29/100</f>
        <v>0</v>
      </c>
      <c r="AF55" s="123">
        <f>AF$21*shipping_manufacturing!$F$29/100</f>
        <v>0</v>
      </c>
      <c r="AG55" s="123">
        <f>AG$21*shipping_manufacturing!$F$29/100</f>
        <v>0</v>
      </c>
      <c r="AH55" s="123">
        <f>AH$21*shipping_manufacturing!$F$29/100</f>
        <v>0</v>
      </c>
      <c r="AI55" s="123">
        <f>AI$21*shipping_manufacturing!$F$29/100</f>
        <v>0</v>
      </c>
      <c r="AJ55" s="123">
        <f>AJ$21*shipping_manufacturing!$F$29/100</f>
        <v>0</v>
      </c>
      <c r="AK55" s="123">
        <f>AK$21*shipping_manufacturing!$F$29/100</f>
        <v>0</v>
      </c>
      <c r="AL55" s="123">
        <f>AL$21*shipping_manufacturing!$F$29/100</f>
        <v>0</v>
      </c>
      <c r="AM55" s="123">
        <f>AM$21*shipping_manufacturing!$F$29/100</f>
        <v>0</v>
      </c>
      <c r="AN55" s="123">
        <f>AN$21*shipping_manufacturing!$F$29/100</f>
        <v>0</v>
      </c>
      <c r="AO55" s="123">
        <f>AO$21*shipping_manufacturing!$F$29/100</f>
        <v>0</v>
      </c>
      <c r="AP55" s="123">
        <f>AP$21*shipping_manufacturing!$F$29/100</f>
        <v>0</v>
      </c>
      <c r="AQ55" s="123">
        <f>AQ$21*shipping_manufacturing!$F$29/100</f>
        <v>0</v>
      </c>
      <c r="AR55" s="123">
        <f>AR$21*shipping_manufacturing!$F$29/100</f>
        <v>0</v>
      </c>
      <c r="AS55" s="123">
        <f>AS$21*shipping_manufacturing!$F$29/100</f>
        <v>0</v>
      </c>
      <c r="AT55" s="123">
        <f>AT$21*shipping_manufacturing!$F$29/100</f>
        <v>0</v>
      </c>
      <c r="AU55" s="123">
        <f>AU$21*shipping_manufacturing!$F$29/100</f>
        <v>0</v>
      </c>
      <c r="AV55" s="123">
        <f>AV$21*shipping_manufacturing!$F$29/100</f>
        <v>0</v>
      </c>
      <c r="AW55" s="123">
        <f>AW$21*shipping_manufacturing!$F$29/100</f>
        <v>0</v>
      </c>
      <c r="AX55" s="123">
        <f>AX$21*shipping_manufacturing!$F$29/100</f>
        <v>0</v>
      </c>
      <c r="AY55" s="123">
        <f>AY$21*shipping_manufacturing!$F$29/100</f>
        <v>0</v>
      </c>
    </row>
    <row r="56" spans="1:52">
      <c r="A56" s="112" t="s">
        <v>341</v>
      </c>
      <c r="B56" s="164" t="s">
        <v>343</v>
      </c>
      <c r="C56" s="109"/>
      <c r="D56" s="109">
        <f>D$22*shipping_manufacturing!$G$29/100</f>
        <v>0</v>
      </c>
      <c r="E56" s="109">
        <f>E$22*shipping_manufacturing!$G$29/100</f>
        <v>0</v>
      </c>
      <c r="F56" s="109">
        <f>F$22*shipping_manufacturing!$G$29/100</f>
        <v>0</v>
      </c>
      <c r="G56" s="109">
        <f>G$22*shipping_manufacturing!$G$29/100</f>
        <v>0</v>
      </c>
      <c r="H56" s="109">
        <f>H$22*shipping_manufacturing!$G$29/100</f>
        <v>0</v>
      </c>
      <c r="I56" s="109">
        <f>I$22*shipping_manufacturing!$G$29/100</f>
        <v>0</v>
      </c>
      <c r="J56" s="109">
        <f>J$22*shipping_manufacturing!$G$29/100</f>
        <v>0</v>
      </c>
      <c r="K56" s="109">
        <f>K$22*shipping_manufacturing!$G$29/100</f>
        <v>0</v>
      </c>
      <c r="L56" s="109">
        <f>L$22*shipping_manufacturing!$G$29/100</f>
        <v>0</v>
      </c>
      <c r="M56" s="109">
        <f>M$22*shipping_manufacturing!$G$29/100</f>
        <v>0</v>
      </c>
      <c r="N56" s="109">
        <f>N$22*shipping_manufacturing!$G$29/100</f>
        <v>0</v>
      </c>
      <c r="O56" s="109">
        <f>O$22*shipping_manufacturing!$G$29/100</f>
        <v>0</v>
      </c>
      <c r="P56" s="109">
        <f>P$22*shipping_manufacturing!$G$29/100</f>
        <v>0</v>
      </c>
      <c r="Q56" s="109">
        <f>Q$22*shipping_manufacturing!$G$29/100</f>
        <v>0</v>
      </c>
      <c r="R56" s="109">
        <f>R$22*shipping_manufacturing!$G$29/100</f>
        <v>0</v>
      </c>
      <c r="S56" s="109">
        <f>S$22*shipping_manufacturing!$G$29/100</f>
        <v>0</v>
      </c>
      <c r="T56" s="109">
        <f>T$22*shipping_manufacturing!$G$29/100</f>
        <v>0</v>
      </c>
      <c r="U56" s="109">
        <f>U$22*shipping_manufacturing!$G$29/100</f>
        <v>0</v>
      </c>
      <c r="V56" s="109">
        <f>V$22*shipping_manufacturing!$G$29/100</f>
        <v>0</v>
      </c>
      <c r="W56" s="109">
        <f>W$22*shipping_manufacturing!$G$29/100</f>
        <v>0</v>
      </c>
      <c r="X56" s="109">
        <f>X$22*shipping_manufacturing!$G$29/100</f>
        <v>0</v>
      </c>
      <c r="Y56" s="109">
        <f>Y$22*shipping_manufacturing!$G$29/100</f>
        <v>0</v>
      </c>
      <c r="Z56" s="109">
        <f>Z$22*shipping_manufacturing!$G$29/100</f>
        <v>0</v>
      </c>
      <c r="AA56" s="109">
        <f>AA$22*shipping_manufacturing!$G$29/100</f>
        <v>0</v>
      </c>
      <c r="AB56" s="109">
        <f>AB$22*shipping_manufacturing!$G$29/100</f>
        <v>0</v>
      </c>
      <c r="AC56" s="109">
        <f>AC$22*shipping_manufacturing!$G$29/100</f>
        <v>0</v>
      </c>
      <c r="AD56" s="109">
        <f>AD$22*shipping_manufacturing!$G$29/100</f>
        <v>0</v>
      </c>
      <c r="AE56" s="109">
        <f>AE$22*shipping_manufacturing!$G$29/100</f>
        <v>0</v>
      </c>
      <c r="AF56" s="109">
        <f>AF$22*shipping_manufacturing!$G$29/100</f>
        <v>0</v>
      </c>
      <c r="AG56" s="109">
        <f>AG$22*shipping_manufacturing!$G$29/100</f>
        <v>0</v>
      </c>
      <c r="AH56" s="109">
        <f>AH$22*shipping_manufacturing!$G$29/100</f>
        <v>0</v>
      </c>
      <c r="AI56" s="109">
        <f>AI$22*shipping_manufacturing!$G$29/100</f>
        <v>0</v>
      </c>
      <c r="AJ56" s="109">
        <f>AJ$22*shipping_manufacturing!$G$29/100</f>
        <v>0</v>
      </c>
      <c r="AK56" s="109">
        <f>AK$22*shipping_manufacturing!$G$29/100</f>
        <v>0</v>
      </c>
      <c r="AL56" s="109">
        <f>AL$22*shipping_manufacturing!$G$29/100</f>
        <v>0</v>
      </c>
      <c r="AM56" s="109">
        <f>AM$22*shipping_manufacturing!$G$29/100</f>
        <v>0</v>
      </c>
      <c r="AN56" s="109">
        <f>AN$22*shipping_manufacturing!$G$29/100</f>
        <v>0</v>
      </c>
      <c r="AO56" s="109">
        <f>AO$22*shipping_manufacturing!$G$29/100</f>
        <v>0</v>
      </c>
      <c r="AP56" s="109">
        <f>AP$22*shipping_manufacturing!$G$29/100</f>
        <v>0</v>
      </c>
      <c r="AQ56" s="109">
        <f>AQ$22*shipping_manufacturing!$G$29/100</f>
        <v>0</v>
      </c>
      <c r="AR56" s="109">
        <f>AR$22*shipping_manufacturing!$G$29/100</f>
        <v>0</v>
      </c>
      <c r="AS56" s="109">
        <f>AS$22*shipping_manufacturing!$G$29/100</f>
        <v>0</v>
      </c>
      <c r="AT56" s="109">
        <f>AT$22*shipping_manufacturing!$G$29/100</f>
        <v>0</v>
      </c>
      <c r="AU56" s="109">
        <f>AU$22*shipping_manufacturing!$G$29/100</f>
        <v>0</v>
      </c>
      <c r="AV56" s="109">
        <f>AV$22*shipping_manufacturing!$G$29/100</f>
        <v>0</v>
      </c>
      <c r="AW56" s="109">
        <f>AW$22*shipping_manufacturing!$G$29/100</f>
        <v>0</v>
      </c>
      <c r="AX56" s="109">
        <f>AX$22*shipping_manufacturing!$G$29/100</f>
        <v>0</v>
      </c>
      <c r="AY56" s="109">
        <f>AY$22*shipping_manufacturing!$G$29/100</f>
        <v>0</v>
      </c>
    </row>
    <row r="57" spans="1:52">
      <c r="A57" s="109">
        <v>2339</v>
      </c>
      <c r="B57" s="164" t="s">
        <v>344</v>
      </c>
      <c r="C57" s="109"/>
      <c r="D57" s="109">
        <f>SUM(D55:D56)</f>
        <v>0</v>
      </c>
      <c r="E57" s="109">
        <f t="shared" ref="E57:AY57" si="17">SUM(E55:E56)</f>
        <v>0</v>
      </c>
      <c r="F57" s="109">
        <f t="shared" si="17"/>
        <v>0</v>
      </c>
      <c r="G57" s="109">
        <f t="shared" si="17"/>
        <v>0</v>
      </c>
      <c r="H57" s="109">
        <f t="shared" si="17"/>
        <v>0</v>
      </c>
      <c r="I57" s="109">
        <f t="shared" si="17"/>
        <v>0</v>
      </c>
      <c r="J57" s="109">
        <f t="shared" si="17"/>
        <v>0</v>
      </c>
      <c r="K57" s="109">
        <f t="shared" si="17"/>
        <v>0</v>
      </c>
      <c r="L57" s="109">
        <f t="shared" si="17"/>
        <v>0</v>
      </c>
      <c r="M57" s="109">
        <f t="shared" si="17"/>
        <v>0</v>
      </c>
      <c r="N57" s="109">
        <f t="shared" si="17"/>
        <v>0</v>
      </c>
      <c r="O57" s="109">
        <f t="shared" si="17"/>
        <v>0</v>
      </c>
      <c r="P57" s="109">
        <f t="shared" si="17"/>
        <v>0</v>
      </c>
      <c r="Q57" s="109">
        <f t="shared" si="17"/>
        <v>0</v>
      </c>
      <c r="R57" s="109">
        <f t="shared" si="17"/>
        <v>0</v>
      </c>
      <c r="S57" s="109">
        <f t="shared" si="17"/>
        <v>0</v>
      </c>
      <c r="T57" s="109">
        <f t="shared" si="17"/>
        <v>0</v>
      </c>
      <c r="U57" s="109">
        <f t="shared" si="17"/>
        <v>0</v>
      </c>
      <c r="V57" s="109">
        <f t="shared" si="17"/>
        <v>0</v>
      </c>
      <c r="W57" s="109">
        <f t="shared" si="17"/>
        <v>0</v>
      </c>
      <c r="X57" s="109">
        <f t="shared" si="17"/>
        <v>0</v>
      </c>
      <c r="Y57" s="109">
        <f t="shared" si="17"/>
        <v>0</v>
      </c>
      <c r="Z57" s="109">
        <f t="shared" si="17"/>
        <v>0</v>
      </c>
      <c r="AA57" s="109">
        <f t="shared" si="17"/>
        <v>0</v>
      </c>
      <c r="AB57" s="109">
        <f t="shared" si="17"/>
        <v>0</v>
      </c>
      <c r="AC57" s="109">
        <f t="shared" si="17"/>
        <v>0</v>
      </c>
      <c r="AD57" s="109">
        <f t="shared" si="17"/>
        <v>0</v>
      </c>
      <c r="AE57" s="109">
        <f t="shared" si="17"/>
        <v>0</v>
      </c>
      <c r="AF57" s="109">
        <f t="shared" si="17"/>
        <v>0</v>
      </c>
      <c r="AG57" s="109">
        <f t="shared" si="17"/>
        <v>0</v>
      </c>
      <c r="AH57" s="109">
        <f t="shared" si="17"/>
        <v>0</v>
      </c>
      <c r="AI57" s="109">
        <f t="shared" si="17"/>
        <v>0</v>
      </c>
      <c r="AJ57" s="109">
        <f t="shared" si="17"/>
        <v>0</v>
      </c>
      <c r="AK57" s="109">
        <f t="shared" si="17"/>
        <v>0</v>
      </c>
      <c r="AL57" s="109">
        <f t="shared" si="17"/>
        <v>0</v>
      </c>
      <c r="AM57" s="109">
        <f t="shared" si="17"/>
        <v>0</v>
      </c>
      <c r="AN57" s="109">
        <f t="shared" si="17"/>
        <v>0</v>
      </c>
      <c r="AO57" s="109">
        <f t="shared" si="17"/>
        <v>0</v>
      </c>
      <c r="AP57" s="109">
        <f t="shared" si="17"/>
        <v>0</v>
      </c>
      <c r="AQ57" s="109">
        <f t="shared" si="17"/>
        <v>0</v>
      </c>
      <c r="AR57" s="109">
        <f t="shared" si="17"/>
        <v>0</v>
      </c>
      <c r="AS57" s="109">
        <f t="shared" si="17"/>
        <v>0</v>
      </c>
      <c r="AT57" s="109">
        <f t="shared" si="17"/>
        <v>0</v>
      </c>
      <c r="AU57" s="109">
        <f t="shared" si="17"/>
        <v>0</v>
      </c>
      <c r="AV57" s="109">
        <f t="shared" si="17"/>
        <v>0</v>
      </c>
      <c r="AW57" s="109">
        <f t="shared" si="17"/>
        <v>0</v>
      </c>
      <c r="AX57" s="109">
        <f t="shared" si="17"/>
        <v>0</v>
      </c>
      <c r="AY57" s="109">
        <f t="shared" si="17"/>
        <v>0</v>
      </c>
    </row>
    <row r="58" spans="1:52">
      <c r="A58" s="109"/>
      <c r="B58" s="164" t="s">
        <v>345</v>
      </c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2">
      <c r="A59" s="109"/>
      <c r="B59" s="164" t="s">
        <v>346</v>
      </c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2">
      <c r="A60" s="109"/>
      <c r="B60" s="164" t="s">
        <v>347</v>
      </c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2">
      <c r="A61" s="109"/>
      <c r="B61" s="164" t="s">
        <v>348</v>
      </c>
      <c r="C61" s="109"/>
      <c r="D61" s="109">
        <f>D55-D58</f>
        <v>0</v>
      </c>
      <c r="E61" s="109">
        <f t="shared" ref="E61:AY61" si="18">E55-E58</f>
        <v>0</v>
      </c>
      <c r="F61" s="109">
        <f t="shared" si="18"/>
        <v>0</v>
      </c>
      <c r="G61" s="109">
        <f t="shared" si="18"/>
        <v>0</v>
      </c>
      <c r="H61" s="109">
        <f t="shared" si="18"/>
        <v>0</v>
      </c>
      <c r="I61" s="109">
        <f t="shared" si="18"/>
        <v>0</v>
      </c>
      <c r="J61" s="109">
        <f t="shared" si="18"/>
        <v>0</v>
      </c>
      <c r="K61" s="109">
        <f t="shared" si="18"/>
        <v>0</v>
      </c>
      <c r="L61" s="109">
        <f t="shared" si="18"/>
        <v>0</v>
      </c>
      <c r="M61" s="109">
        <f t="shared" si="18"/>
        <v>0</v>
      </c>
      <c r="N61" s="109">
        <f t="shared" si="18"/>
        <v>0</v>
      </c>
      <c r="O61" s="109">
        <f t="shared" si="18"/>
        <v>0</v>
      </c>
      <c r="P61" s="109">
        <f t="shared" si="18"/>
        <v>0</v>
      </c>
      <c r="Q61" s="109">
        <f t="shared" si="18"/>
        <v>0</v>
      </c>
      <c r="R61" s="109">
        <f t="shared" si="18"/>
        <v>0</v>
      </c>
      <c r="S61" s="109">
        <f t="shared" si="18"/>
        <v>0</v>
      </c>
      <c r="T61" s="109">
        <f t="shared" si="18"/>
        <v>0</v>
      </c>
      <c r="U61" s="109">
        <f t="shared" si="18"/>
        <v>0</v>
      </c>
      <c r="V61" s="109">
        <f t="shared" si="18"/>
        <v>0</v>
      </c>
      <c r="W61" s="109">
        <f t="shared" si="18"/>
        <v>0</v>
      </c>
      <c r="X61" s="109">
        <f t="shared" si="18"/>
        <v>0</v>
      </c>
      <c r="Y61" s="109">
        <f t="shared" si="18"/>
        <v>0</v>
      </c>
      <c r="Z61" s="109">
        <f t="shared" si="18"/>
        <v>0</v>
      </c>
      <c r="AA61" s="109">
        <f t="shared" si="18"/>
        <v>0</v>
      </c>
      <c r="AB61" s="109">
        <f t="shared" si="18"/>
        <v>0</v>
      </c>
      <c r="AC61" s="109">
        <f t="shared" si="18"/>
        <v>0</v>
      </c>
      <c r="AD61" s="109">
        <f t="shared" si="18"/>
        <v>0</v>
      </c>
      <c r="AE61" s="109">
        <f t="shared" si="18"/>
        <v>0</v>
      </c>
      <c r="AF61" s="109">
        <f t="shared" si="18"/>
        <v>0</v>
      </c>
      <c r="AG61" s="109">
        <f t="shared" si="18"/>
        <v>0</v>
      </c>
      <c r="AH61" s="109">
        <f t="shared" si="18"/>
        <v>0</v>
      </c>
      <c r="AI61" s="109">
        <f t="shared" si="18"/>
        <v>0</v>
      </c>
      <c r="AJ61" s="109">
        <f t="shared" si="18"/>
        <v>0</v>
      </c>
      <c r="AK61" s="109">
        <f t="shared" si="18"/>
        <v>0</v>
      </c>
      <c r="AL61" s="109">
        <f t="shared" si="18"/>
        <v>0</v>
      </c>
      <c r="AM61" s="109">
        <f t="shared" si="18"/>
        <v>0</v>
      </c>
      <c r="AN61" s="109">
        <f t="shared" si="18"/>
        <v>0</v>
      </c>
      <c r="AO61" s="109">
        <f t="shared" si="18"/>
        <v>0</v>
      </c>
      <c r="AP61" s="109">
        <f t="shared" si="18"/>
        <v>0</v>
      </c>
      <c r="AQ61" s="109">
        <f t="shared" si="18"/>
        <v>0</v>
      </c>
      <c r="AR61" s="109">
        <f t="shared" si="18"/>
        <v>0</v>
      </c>
      <c r="AS61" s="109">
        <f t="shared" si="18"/>
        <v>0</v>
      </c>
      <c r="AT61" s="109">
        <f t="shared" si="18"/>
        <v>0</v>
      </c>
      <c r="AU61" s="109">
        <f t="shared" si="18"/>
        <v>0</v>
      </c>
      <c r="AV61" s="109">
        <f t="shared" si="18"/>
        <v>0</v>
      </c>
      <c r="AW61" s="109">
        <f t="shared" si="18"/>
        <v>0</v>
      </c>
      <c r="AX61" s="109">
        <f t="shared" si="18"/>
        <v>0</v>
      </c>
      <c r="AY61" s="109">
        <f t="shared" si="18"/>
        <v>0</v>
      </c>
    </row>
    <row r="62" spans="1:52">
      <c r="A62" s="109"/>
      <c r="B62" s="164" t="s">
        <v>349</v>
      </c>
      <c r="C62" s="109"/>
      <c r="D62" s="109">
        <f>D56-D59</f>
        <v>0</v>
      </c>
      <c r="E62" s="109">
        <f t="shared" ref="E62:AY62" si="19">E56-E59</f>
        <v>0</v>
      </c>
      <c r="F62" s="109">
        <f t="shared" si="19"/>
        <v>0</v>
      </c>
      <c r="G62" s="109">
        <f t="shared" si="19"/>
        <v>0</v>
      </c>
      <c r="H62" s="109">
        <f t="shared" si="19"/>
        <v>0</v>
      </c>
      <c r="I62" s="109">
        <f t="shared" si="19"/>
        <v>0</v>
      </c>
      <c r="J62" s="109">
        <f t="shared" si="19"/>
        <v>0</v>
      </c>
      <c r="K62" s="109">
        <f t="shared" si="19"/>
        <v>0</v>
      </c>
      <c r="L62" s="109">
        <f t="shared" si="19"/>
        <v>0</v>
      </c>
      <c r="M62" s="109">
        <f t="shared" si="19"/>
        <v>0</v>
      </c>
      <c r="N62" s="109">
        <f t="shared" si="19"/>
        <v>0</v>
      </c>
      <c r="O62" s="109">
        <f t="shared" si="19"/>
        <v>0</v>
      </c>
      <c r="P62" s="109">
        <f t="shared" si="19"/>
        <v>0</v>
      </c>
      <c r="Q62" s="109">
        <f t="shared" si="19"/>
        <v>0</v>
      </c>
      <c r="R62" s="109">
        <f t="shared" si="19"/>
        <v>0</v>
      </c>
      <c r="S62" s="109">
        <f t="shared" si="19"/>
        <v>0</v>
      </c>
      <c r="T62" s="109">
        <f t="shared" si="19"/>
        <v>0</v>
      </c>
      <c r="U62" s="109">
        <f t="shared" si="19"/>
        <v>0</v>
      </c>
      <c r="V62" s="109">
        <f t="shared" si="19"/>
        <v>0</v>
      </c>
      <c r="W62" s="109">
        <f t="shared" si="19"/>
        <v>0</v>
      </c>
      <c r="X62" s="109">
        <f t="shared" si="19"/>
        <v>0</v>
      </c>
      <c r="Y62" s="109">
        <f t="shared" si="19"/>
        <v>0</v>
      </c>
      <c r="Z62" s="109">
        <f t="shared" si="19"/>
        <v>0</v>
      </c>
      <c r="AA62" s="109">
        <f t="shared" si="19"/>
        <v>0</v>
      </c>
      <c r="AB62" s="109">
        <f t="shared" si="19"/>
        <v>0</v>
      </c>
      <c r="AC62" s="109">
        <f t="shared" si="19"/>
        <v>0</v>
      </c>
      <c r="AD62" s="109">
        <f t="shared" si="19"/>
        <v>0</v>
      </c>
      <c r="AE62" s="109">
        <f t="shared" si="19"/>
        <v>0</v>
      </c>
      <c r="AF62" s="109">
        <f t="shared" si="19"/>
        <v>0</v>
      </c>
      <c r="AG62" s="109">
        <f t="shared" si="19"/>
        <v>0</v>
      </c>
      <c r="AH62" s="109">
        <f t="shared" si="19"/>
        <v>0</v>
      </c>
      <c r="AI62" s="109">
        <f t="shared" si="19"/>
        <v>0</v>
      </c>
      <c r="AJ62" s="109">
        <f t="shared" si="19"/>
        <v>0</v>
      </c>
      <c r="AK62" s="109">
        <f t="shared" si="19"/>
        <v>0</v>
      </c>
      <c r="AL62" s="109">
        <f t="shared" si="19"/>
        <v>0</v>
      </c>
      <c r="AM62" s="109">
        <f t="shared" si="19"/>
        <v>0</v>
      </c>
      <c r="AN62" s="109">
        <f t="shared" si="19"/>
        <v>0</v>
      </c>
      <c r="AO62" s="109">
        <f t="shared" si="19"/>
        <v>0</v>
      </c>
      <c r="AP62" s="109">
        <f t="shared" si="19"/>
        <v>0</v>
      </c>
      <c r="AQ62" s="109">
        <f t="shared" si="19"/>
        <v>0</v>
      </c>
      <c r="AR62" s="109">
        <f t="shared" si="19"/>
        <v>0</v>
      </c>
      <c r="AS62" s="109">
        <f t="shared" si="19"/>
        <v>0</v>
      </c>
      <c r="AT62" s="109">
        <f t="shared" si="19"/>
        <v>0</v>
      </c>
      <c r="AU62" s="109">
        <f t="shared" si="19"/>
        <v>0</v>
      </c>
      <c r="AV62" s="109">
        <f t="shared" si="19"/>
        <v>0</v>
      </c>
      <c r="AW62" s="109">
        <f t="shared" si="19"/>
        <v>0</v>
      </c>
      <c r="AX62" s="109">
        <f t="shared" si="19"/>
        <v>0</v>
      </c>
      <c r="AY62" s="109">
        <f t="shared" si="19"/>
        <v>0</v>
      </c>
    </row>
    <row r="63" spans="1:52">
      <c r="A63" s="109"/>
      <c r="B63" s="164" t="s">
        <v>350</v>
      </c>
      <c r="C63" s="109"/>
      <c r="D63" s="109">
        <v>2</v>
      </c>
      <c r="E63" s="109">
        <v>2</v>
      </c>
      <c r="F63" s="109">
        <v>3</v>
      </c>
      <c r="G63" s="109">
        <v>2</v>
      </c>
      <c r="H63" s="109">
        <v>3</v>
      </c>
      <c r="I63" s="109">
        <v>3</v>
      </c>
      <c r="J63" s="109">
        <v>3</v>
      </c>
      <c r="K63" s="109">
        <v>2</v>
      </c>
      <c r="L63" s="109">
        <v>2</v>
      </c>
      <c r="M63" s="109">
        <v>2</v>
      </c>
      <c r="N63" s="109">
        <v>3</v>
      </c>
      <c r="O63" s="109">
        <v>3</v>
      </c>
      <c r="P63" s="109">
        <v>3</v>
      </c>
      <c r="Q63" s="109">
        <v>2</v>
      </c>
      <c r="R63" s="109">
        <v>2</v>
      </c>
      <c r="S63" s="109">
        <v>4</v>
      </c>
      <c r="T63" s="109">
        <v>3</v>
      </c>
      <c r="U63" s="109">
        <v>3</v>
      </c>
      <c r="V63" s="109">
        <v>3</v>
      </c>
      <c r="W63" s="109">
        <v>3</v>
      </c>
      <c r="X63" s="109">
        <v>4</v>
      </c>
      <c r="Y63" s="109">
        <v>3</v>
      </c>
      <c r="Z63" s="109">
        <v>2</v>
      </c>
      <c r="AA63" s="109">
        <v>2</v>
      </c>
      <c r="AB63" s="109">
        <v>3</v>
      </c>
      <c r="AC63" s="109">
        <v>3</v>
      </c>
      <c r="AD63" s="109">
        <v>2</v>
      </c>
      <c r="AE63" s="109">
        <v>2</v>
      </c>
      <c r="AF63" s="109">
        <v>2</v>
      </c>
      <c r="AG63" s="109">
        <v>4</v>
      </c>
      <c r="AH63" s="109">
        <v>3</v>
      </c>
      <c r="AI63" s="109">
        <v>2</v>
      </c>
      <c r="AJ63" s="109">
        <v>3</v>
      </c>
      <c r="AK63" s="109">
        <v>3</v>
      </c>
      <c r="AL63" s="109">
        <v>4</v>
      </c>
      <c r="AM63" s="109">
        <v>2</v>
      </c>
      <c r="AN63" s="109">
        <v>2</v>
      </c>
      <c r="AO63" s="109">
        <v>2</v>
      </c>
      <c r="AP63" s="109">
        <v>3</v>
      </c>
      <c r="AQ63" s="109">
        <v>2</v>
      </c>
      <c r="AR63" s="109">
        <v>2</v>
      </c>
      <c r="AS63" s="109">
        <v>3</v>
      </c>
      <c r="AT63" s="109">
        <v>3</v>
      </c>
      <c r="AU63" s="109">
        <v>2</v>
      </c>
      <c r="AV63" s="109">
        <v>3</v>
      </c>
      <c r="AW63" s="109">
        <v>3</v>
      </c>
      <c r="AX63" s="109">
        <v>2</v>
      </c>
      <c r="AY63" s="109">
        <v>3</v>
      </c>
    </row>
    <row r="64" spans="1:52">
      <c r="A64" s="109"/>
      <c r="B64" s="178" t="s">
        <v>351</v>
      </c>
      <c r="C64" s="109"/>
      <c r="D64" s="109">
        <v>0</v>
      </c>
      <c r="E64" s="109">
        <v>0</v>
      </c>
      <c r="F64" s="109">
        <v>0</v>
      </c>
      <c r="G64" s="109">
        <v>0</v>
      </c>
      <c r="H64" s="109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09">
        <v>0</v>
      </c>
      <c r="AN64" s="109">
        <v>0</v>
      </c>
      <c r="AO64" s="109">
        <v>0</v>
      </c>
      <c r="AP64" s="109">
        <v>0</v>
      </c>
      <c r="AQ64" s="109">
        <v>0</v>
      </c>
      <c r="AR64" s="109">
        <v>0</v>
      </c>
      <c r="AS64" s="109">
        <v>0</v>
      </c>
      <c r="AT64" s="109">
        <v>0</v>
      </c>
      <c r="AU64" s="109">
        <v>0</v>
      </c>
      <c r="AV64" s="109">
        <v>0</v>
      </c>
      <c r="AW64" s="109">
        <v>0</v>
      </c>
      <c r="AX64" s="109">
        <v>0</v>
      </c>
      <c r="AY64" s="109">
        <v>0</v>
      </c>
      <c r="AZ64" s="99">
        <f>SUM($D$64:$AY$64)</f>
        <v>0</v>
      </c>
    </row>
    <row r="65" spans="1:52">
      <c r="A65" s="124"/>
      <c r="B65" s="139" t="s">
        <v>352</v>
      </c>
      <c r="C65" s="124"/>
      <c r="D65" s="124">
        <v>0</v>
      </c>
      <c r="E65" s="124">
        <v>0</v>
      </c>
      <c r="F65" s="124">
        <v>0</v>
      </c>
      <c r="G65" s="124">
        <v>0</v>
      </c>
      <c r="H65" s="124">
        <v>0</v>
      </c>
      <c r="I65" s="124">
        <v>0</v>
      </c>
      <c r="J65" s="124">
        <v>0</v>
      </c>
      <c r="K65" s="124">
        <v>0</v>
      </c>
      <c r="L65" s="124">
        <v>0</v>
      </c>
      <c r="M65" s="124">
        <v>0</v>
      </c>
      <c r="N65" s="124">
        <v>0</v>
      </c>
      <c r="O65" s="124">
        <v>0</v>
      </c>
      <c r="P65" s="124">
        <v>0</v>
      </c>
      <c r="Q65" s="124">
        <v>0</v>
      </c>
      <c r="R65" s="124">
        <v>0</v>
      </c>
      <c r="S65" s="124">
        <v>0</v>
      </c>
      <c r="T65" s="124">
        <v>0</v>
      </c>
      <c r="U65" s="124">
        <v>0</v>
      </c>
      <c r="V65" s="124">
        <v>0</v>
      </c>
      <c r="W65" s="124">
        <v>0</v>
      </c>
      <c r="X65" s="124">
        <v>0</v>
      </c>
      <c r="Y65" s="124">
        <v>0</v>
      </c>
      <c r="Z65" s="124">
        <v>0</v>
      </c>
      <c r="AA65" s="124">
        <v>0</v>
      </c>
      <c r="AB65" s="124">
        <v>0</v>
      </c>
      <c r="AC65" s="124">
        <v>0</v>
      </c>
      <c r="AD65" s="124">
        <v>0</v>
      </c>
      <c r="AE65" s="124">
        <v>0</v>
      </c>
      <c r="AF65" s="124">
        <v>0</v>
      </c>
      <c r="AG65" s="124">
        <v>0</v>
      </c>
      <c r="AH65" s="124">
        <v>0</v>
      </c>
      <c r="AI65" s="124">
        <v>0</v>
      </c>
      <c r="AJ65" s="124">
        <v>0</v>
      </c>
      <c r="AK65" s="124">
        <v>0</v>
      </c>
      <c r="AL65" s="124">
        <v>0</v>
      </c>
      <c r="AM65" s="124">
        <v>0</v>
      </c>
      <c r="AN65" s="124">
        <v>0</v>
      </c>
      <c r="AO65" s="124">
        <v>0</v>
      </c>
      <c r="AP65" s="124">
        <v>0</v>
      </c>
      <c r="AQ65" s="124">
        <v>0</v>
      </c>
      <c r="AR65" s="124">
        <v>0</v>
      </c>
      <c r="AS65" s="124">
        <v>0</v>
      </c>
      <c r="AT65" s="124">
        <v>0</v>
      </c>
      <c r="AU65" s="124">
        <v>0</v>
      </c>
      <c r="AV65" s="124">
        <v>0</v>
      </c>
      <c r="AW65" s="124">
        <v>0</v>
      </c>
      <c r="AX65" s="124">
        <v>0</v>
      </c>
      <c r="AY65" s="124">
        <v>0</v>
      </c>
      <c r="AZ65" s="99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303</v>
      </c>
      <c r="B2" s="106" t="s">
        <v>12</v>
      </c>
      <c r="E2" s="109"/>
    </row>
    <row r="3" spans="1:52">
      <c r="A3" s="99" t="s">
        <v>286</v>
      </c>
      <c r="B3" s="106">
        <v>3589</v>
      </c>
      <c r="E3" s="109"/>
    </row>
    <row r="4" spans="1:52">
      <c r="A4" s="101"/>
      <c r="C4" s="110" t="s">
        <v>287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304</v>
      </c>
      <c r="B6" s="113"/>
      <c r="C6" s="112" t="s">
        <v>288</v>
      </c>
      <c r="D6" s="111" t="s">
        <v>289</v>
      </c>
      <c r="E6" s="111" t="s">
        <v>289</v>
      </c>
      <c r="F6" s="111" t="s">
        <v>289</v>
      </c>
      <c r="G6" s="111" t="s">
        <v>289</v>
      </c>
      <c r="H6" s="111" t="s">
        <v>289</v>
      </c>
      <c r="I6" s="111" t="s">
        <v>289</v>
      </c>
      <c r="J6" s="111" t="s">
        <v>289</v>
      </c>
      <c r="K6" s="111" t="s">
        <v>289</v>
      </c>
      <c r="L6" s="111" t="s">
        <v>289</v>
      </c>
      <c r="M6" s="111" t="s">
        <v>289</v>
      </c>
      <c r="N6" s="111" t="s">
        <v>289</v>
      </c>
      <c r="O6" s="111" t="s">
        <v>289</v>
      </c>
      <c r="P6" s="111" t="s">
        <v>289</v>
      </c>
      <c r="Q6" s="111" t="s">
        <v>289</v>
      </c>
      <c r="R6" s="111" t="s">
        <v>289</v>
      </c>
      <c r="S6" s="111" t="s">
        <v>289</v>
      </c>
      <c r="T6" s="111" t="s">
        <v>289</v>
      </c>
      <c r="U6" s="111" t="s">
        <v>289</v>
      </c>
      <c r="V6" s="111" t="s">
        <v>289</v>
      </c>
      <c r="W6" s="111" t="s">
        <v>289</v>
      </c>
      <c r="X6" s="111" t="s">
        <v>289</v>
      </c>
      <c r="Y6" s="111" t="s">
        <v>289</v>
      </c>
      <c r="Z6" s="111" t="s">
        <v>289</v>
      </c>
      <c r="AA6" s="111" t="s">
        <v>289</v>
      </c>
      <c r="AB6" s="111" t="s">
        <v>289</v>
      </c>
      <c r="AC6" s="111" t="s">
        <v>289</v>
      </c>
      <c r="AD6" s="111" t="s">
        <v>289</v>
      </c>
      <c r="AE6" s="111" t="s">
        <v>289</v>
      </c>
      <c r="AF6" s="111" t="s">
        <v>289</v>
      </c>
      <c r="AG6" s="111" t="s">
        <v>289</v>
      </c>
      <c r="AH6" s="111" t="s">
        <v>289</v>
      </c>
      <c r="AI6" s="111" t="s">
        <v>289</v>
      </c>
      <c r="AJ6" s="111" t="s">
        <v>289</v>
      </c>
      <c r="AK6" s="111" t="s">
        <v>289</v>
      </c>
      <c r="AL6" s="111" t="s">
        <v>289</v>
      </c>
      <c r="AM6" s="111" t="s">
        <v>289</v>
      </c>
      <c r="AN6" s="111" t="s">
        <v>289</v>
      </c>
      <c r="AO6" s="111" t="s">
        <v>289</v>
      </c>
      <c r="AP6" s="111" t="s">
        <v>289</v>
      </c>
      <c r="AQ6" s="111" t="s">
        <v>289</v>
      </c>
      <c r="AR6" s="111" t="s">
        <v>289</v>
      </c>
      <c r="AS6" s="111" t="s">
        <v>289</v>
      </c>
      <c r="AT6" s="111" t="s">
        <v>289</v>
      </c>
      <c r="AU6" s="111" t="s">
        <v>289</v>
      </c>
      <c r="AV6" s="111" t="s">
        <v>289</v>
      </c>
      <c r="AW6" s="111" t="s">
        <v>289</v>
      </c>
      <c r="AX6" s="111" t="s">
        <v>289</v>
      </c>
      <c r="AY6" s="110" t="s">
        <v>290</v>
      </c>
      <c r="AZ6" s="141" t="s">
        <v>150</v>
      </c>
    </row>
    <row r="7" spans="1:52">
      <c r="A7" s="114" t="s">
        <v>125</v>
      </c>
      <c r="B7" s="142">
        <v>1</v>
      </c>
      <c r="C7" s="143" t="s">
        <v>293</v>
      </c>
      <c r="D7" s="143">
        <v>1625.539720578199</v>
      </c>
      <c r="E7" s="143">
        <v>1625.539720578199</v>
      </c>
      <c r="F7" s="143">
        <v>1625.539720578199</v>
      </c>
      <c r="G7" s="143">
        <v>1625.539720578199</v>
      </c>
      <c r="H7" s="143">
        <v>1625.5397228245045</v>
      </c>
      <c r="I7" s="143">
        <v>1625.5397228245045</v>
      </c>
      <c r="J7" s="143">
        <v>1625.5397228245045</v>
      </c>
      <c r="K7" s="143">
        <v>1625.5397228245045</v>
      </c>
      <c r="L7" s="143">
        <v>1625.5397228245045</v>
      </c>
      <c r="M7" s="143">
        <v>1625.5397228245045</v>
      </c>
      <c r="N7" s="143">
        <v>1625.5397228245045</v>
      </c>
      <c r="O7" s="143">
        <v>1625.5397228245045</v>
      </c>
      <c r="P7" s="143">
        <v>1625.5397228245045</v>
      </c>
      <c r="Q7" s="143">
        <v>1625.5397228245045</v>
      </c>
      <c r="R7" s="143">
        <v>1625.5397228245045</v>
      </c>
      <c r="S7" s="143">
        <v>1625.5397228245045</v>
      </c>
      <c r="T7" s="143">
        <v>1625.0262628809858</v>
      </c>
      <c r="U7" s="143">
        <v>1625.0262628809858</v>
      </c>
      <c r="V7" s="143">
        <v>1625.0262628809858</v>
      </c>
      <c r="W7" s="143">
        <v>1625.0262628809858</v>
      </c>
      <c r="X7" s="143">
        <v>1625.5397228245045</v>
      </c>
      <c r="Y7" s="143">
        <v>1625.5397228245045</v>
      </c>
      <c r="Z7" s="143">
        <v>1625.5397228245045</v>
      </c>
      <c r="AA7" s="143">
        <v>1625.5397228245045</v>
      </c>
      <c r="AB7" s="143">
        <v>1625.5397228245045</v>
      </c>
      <c r="AC7" s="143">
        <v>1625.5397228245045</v>
      </c>
      <c r="AD7" s="143">
        <v>1625.5397228245045</v>
      </c>
      <c r="AE7" s="143">
        <v>1625.5397228245045</v>
      </c>
      <c r="AF7" s="143">
        <v>1625.5397228245045</v>
      </c>
      <c r="AG7" s="143">
        <v>1625.5397228245045</v>
      </c>
      <c r="AH7" s="143">
        <v>1625.5397228245045</v>
      </c>
      <c r="AI7" s="143">
        <v>1625.5397228245045</v>
      </c>
      <c r="AJ7" s="143">
        <v>1625.5397228245045</v>
      </c>
      <c r="AK7" s="143">
        <v>1625.5397228245045</v>
      </c>
      <c r="AL7" s="143">
        <v>1625.5397228245045</v>
      </c>
      <c r="AM7" s="143">
        <v>1625.5397228245045</v>
      </c>
      <c r="AN7" s="143">
        <v>1625.5397228245045</v>
      </c>
      <c r="AO7" s="143">
        <v>1625.5397228245045</v>
      </c>
      <c r="AP7" s="143">
        <v>1625.5397228245045</v>
      </c>
      <c r="AQ7" s="143">
        <v>1625.5397228245045</v>
      </c>
      <c r="AR7" s="143">
        <v>1625.5397228245045</v>
      </c>
      <c r="AS7" s="143">
        <v>1625.5397228245045</v>
      </c>
      <c r="AT7" s="143">
        <v>1625.5397228245045</v>
      </c>
      <c r="AU7" s="143">
        <v>1625.5397228245045</v>
      </c>
      <c r="AV7" s="143">
        <v>1625.5397228245045</v>
      </c>
      <c r="AW7" s="143">
        <v>1625.5397228245045</v>
      </c>
      <c r="AX7" s="143">
        <v>1625.5397228245045</v>
      </c>
      <c r="AY7" s="143">
        <v>1625.5397228245045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294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293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0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0</v>
      </c>
      <c r="AS10" s="143">
        <f t="shared" si="0"/>
        <v>0</v>
      </c>
      <c r="AT10" s="143">
        <f t="shared" si="0"/>
        <v>0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0</v>
      </c>
    </row>
    <row r="11" spans="1:52">
      <c r="C11" s="109"/>
    </row>
    <row r="12" spans="1:52">
      <c r="A12" s="151" t="s">
        <v>295</v>
      </c>
      <c r="B12" s="145"/>
      <c r="C12" s="109"/>
    </row>
    <row r="13" spans="1:52">
      <c r="A13" s="121" t="s">
        <v>125</v>
      </c>
      <c r="B13" s="122">
        <v>1</v>
      </c>
      <c r="C13" s="123">
        <v>2135.5087737604213</v>
      </c>
      <c r="D13" s="137">
        <f t="shared" ref="D13:AY13" si="1">D$7-D$10</f>
        <v>1625.539720578199</v>
      </c>
      <c r="E13" s="137">
        <f t="shared" si="1"/>
        <v>1625.539720578199</v>
      </c>
      <c r="F13" s="137">
        <f t="shared" si="1"/>
        <v>1625.539720578199</v>
      </c>
      <c r="G13" s="137">
        <f t="shared" si="1"/>
        <v>1625.539720578199</v>
      </c>
      <c r="H13" s="137">
        <f t="shared" si="1"/>
        <v>1625.5397228245045</v>
      </c>
      <c r="I13" s="137">
        <f t="shared" si="1"/>
        <v>1625.5397228245045</v>
      </c>
      <c r="J13" s="137">
        <f t="shared" si="1"/>
        <v>1625.5397228245045</v>
      </c>
      <c r="K13" s="137">
        <f t="shared" si="1"/>
        <v>1625.5397228245045</v>
      </c>
      <c r="L13" s="137">
        <f t="shared" si="1"/>
        <v>1625.5397228245045</v>
      </c>
      <c r="M13" s="137">
        <f t="shared" si="1"/>
        <v>1625.5397228245045</v>
      </c>
      <c r="N13" s="137">
        <f t="shared" si="1"/>
        <v>1625.5397228245045</v>
      </c>
      <c r="O13" s="137">
        <f t="shared" si="1"/>
        <v>1625.5397228245045</v>
      </c>
      <c r="P13" s="137">
        <f t="shared" si="1"/>
        <v>1625.5397228245045</v>
      </c>
      <c r="Q13" s="137">
        <f t="shared" si="1"/>
        <v>1625.5397228245045</v>
      </c>
      <c r="R13" s="137">
        <f t="shared" si="1"/>
        <v>1625.5397228245045</v>
      </c>
      <c r="S13" s="137">
        <f t="shared" si="1"/>
        <v>1625.5397228245045</v>
      </c>
      <c r="T13" s="137">
        <f t="shared" si="1"/>
        <v>1625.0262628809858</v>
      </c>
      <c r="U13" s="137">
        <f t="shared" si="1"/>
        <v>1625.0262628809858</v>
      </c>
      <c r="V13" s="137">
        <f t="shared" si="1"/>
        <v>1625.0262628809858</v>
      </c>
      <c r="W13" s="137">
        <f t="shared" si="1"/>
        <v>1625.0262628809858</v>
      </c>
      <c r="X13" s="137">
        <f t="shared" si="1"/>
        <v>1625.5397228245045</v>
      </c>
      <c r="Y13" s="137">
        <f t="shared" si="1"/>
        <v>1625.5397228245045</v>
      </c>
      <c r="Z13" s="137">
        <f t="shared" si="1"/>
        <v>1625.5397228245045</v>
      </c>
      <c r="AA13" s="137">
        <f t="shared" si="1"/>
        <v>1625.5397228245045</v>
      </c>
      <c r="AB13" s="137">
        <f t="shared" si="1"/>
        <v>1625.5397228245045</v>
      </c>
      <c r="AC13" s="137">
        <f t="shared" si="1"/>
        <v>1625.5397228245045</v>
      </c>
      <c r="AD13" s="137">
        <f t="shared" si="1"/>
        <v>1625.5397228245045</v>
      </c>
      <c r="AE13" s="137">
        <f t="shared" si="1"/>
        <v>1625.5397228245045</v>
      </c>
      <c r="AF13" s="137">
        <f t="shared" si="1"/>
        <v>1625.5397228245045</v>
      </c>
      <c r="AG13" s="137">
        <f t="shared" si="1"/>
        <v>1625.5397228245045</v>
      </c>
      <c r="AH13" s="137">
        <f t="shared" si="1"/>
        <v>1625.5397228245045</v>
      </c>
      <c r="AI13" s="137">
        <f t="shared" si="1"/>
        <v>1625.5397228245045</v>
      </c>
      <c r="AJ13" s="137">
        <f t="shared" si="1"/>
        <v>1625.5397228245045</v>
      </c>
      <c r="AK13" s="137">
        <f t="shared" si="1"/>
        <v>1625.5397228245045</v>
      </c>
      <c r="AL13" s="137">
        <f t="shared" si="1"/>
        <v>1625.5397228245045</v>
      </c>
      <c r="AM13" s="137">
        <f t="shared" si="1"/>
        <v>1625.5397228245045</v>
      </c>
      <c r="AN13" s="137">
        <f t="shared" si="1"/>
        <v>1625.5397228245045</v>
      </c>
      <c r="AO13" s="137">
        <f t="shared" si="1"/>
        <v>1625.5397228245045</v>
      </c>
      <c r="AP13" s="137">
        <f t="shared" si="1"/>
        <v>1625.5397228245045</v>
      </c>
      <c r="AQ13" s="137">
        <f t="shared" si="1"/>
        <v>1625.5397228245045</v>
      </c>
      <c r="AR13" s="137">
        <f t="shared" si="1"/>
        <v>1625.5397228245045</v>
      </c>
      <c r="AS13" s="137">
        <f t="shared" si="1"/>
        <v>1625.5397228245045</v>
      </c>
      <c r="AT13" s="137">
        <f t="shared" si="1"/>
        <v>1625.5397228245045</v>
      </c>
      <c r="AU13" s="137">
        <f t="shared" si="1"/>
        <v>1625.5397228245045</v>
      </c>
      <c r="AV13" s="137">
        <f t="shared" si="1"/>
        <v>1625.5397228245045</v>
      </c>
      <c r="AW13" s="137">
        <f t="shared" si="1"/>
        <v>1625.5397228245045</v>
      </c>
      <c r="AX13" s="137">
        <f t="shared" si="1"/>
        <v>1625.5397228245045</v>
      </c>
      <c r="AY13" s="137">
        <f t="shared" si="1"/>
        <v>1625.5397228245045</v>
      </c>
      <c r="AZ13" s="108"/>
    </row>
    <row r="14" spans="1:52">
      <c r="A14" s="109"/>
      <c r="B14" s="119">
        <v>2</v>
      </c>
      <c r="C14" s="109">
        <v>0</v>
      </c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1625.5397228245045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>
        <v>0</v>
      </c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>
        <v>0</v>
      </c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296</v>
      </c>
      <c r="C17" s="124">
        <v>0</v>
      </c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305</v>
      </c>
      <c r="B20" s="153" t="s">
        <v>306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 t="s">
        <v>340</v>
      </c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shipping_manufacturing!$G$19/100</f>
        <v>0.47842407108838847</v>
      </c>
      <c r="C21" s="155" t="s">
        <v>293</v>
      </c>
      <c r="D21" s="105">
        <f>IF(C$20="Yes",0,SUM(C$13:C$16)*$B$21)</f>
        <v>1021.6788013874331</v>
      </c>
      <c r="E21" s="105">
        <f t="shared" ref="E21:AY21" si="3">IF(D$20="Yes",0,SUM(D$13:D$16)*$B$21)</f>
        <v>777.69733083490337</v>
      </c>
      <c r="F21" s="105">
        <f t="shared" si="3"/>
        <v>777.69733083490337</v>
      </c>
      <c r="G21" s="105">
        <f t="shared" si="3"/>
        <v>777.69733083490337</v>
      </c>
      <c r="H21" s="105">
        <f t="shared" si="3"/>
        <v>777.69733083490337</v>
      </c>
      <c r="I21" s="105">
        <f t="shared" si="3"/>
        <v>777.69733190959005</v>
      </c>
      <c r="J21" s="105">
        <f t="shared" si="3"/>
        <v>777.69733190959005</v>
      </c>
      <c r="K21" s="105">
        <f t="shared" si="3"/>
        <v>777.69733190959005</v>
      </c>
      <c r="L21" s="105">
        <f t="shared" si="3"/>
        <v>777.69733190959005</v>
      </c>
      <c r="M21" s="105">
        <f t="shared" si="3"/>
        <v>777.69733190959005</v>
      </c>
      <c r="N21" s="105">
        <f t="shared" si="3"/>
        <v>777.69733190959005</v>
      </c>
      <c r="O21" s="105">
        <f t="shared" si="3"/>
        <v>777.69733190959005</v>
      </c>
      <c r="P21" s="105">
        <f t="shared" si="3"/>
        <v>777.69733190959005</v>
      </c>
      <c r="Q21" s="105">
        <f t="shared" si="3"/>
        <v>777.69733190959005</v>
      </c>
      <c r="R21" s="105">
        <f t="shared" si="3"/>
        <v>777.69733190959005</v>
      </c>
      <c r="S21" s="105">
        <f t="shared" si="3"/>
        <v>777.69733190959005</v>
      </c>
      <c r="T21" s="105">
        <f t="shared" si="3"/>
        <v>777.69733190959005</v>
      </c>
      <c r="U21" s="105">
        <f t="shared" si="3"/>
        <v>777.45168031307094</v>
      </c>
      <c r="V21" s="105">
        <f t="shared" si="3"/>
        <v>777.45168031307094</v>
      </c>
      <c r="W21" s="105">
        <f t="shared" si="3"/>
        <v>777.45168031307094</v>
      </c>
      <c r="X21" s="105">
        <f t="shared" si="3"/>
        <v>777.45168031307094</v>
      </c>
      <c r="Y21" s="105">
        <f t="shared" si="3"/>
        <v>777.69733190959005</v>
      </c>
      <c r="Z21" s="105">
        <f t="shared" si="3"/>
        <v>777.69733190959005</v>
      </c>
      <c r="AA21" s="105">
        <f t="shared" si="3"/>
        <v>777.69733190959005</v>
      </c>
      <c r="AB21" s="105">
        <f t="shared" si="3"/>
        <v>777.69733190959005</v>
      </c>
      <c r="AC21" s="105">
        <f t="shared" si="3"/>
        <v>777.69733190959005</v>
      </c>
      <c r="AD21" s="105">
        <f t="shared" si="3"/>
        <v>777.69733190959005</v>
      </c>
      <c r="AE21" s="105">
        <f t="shared" si="3"/>
        <v>777.69733190959005</v>
      </c>
      <c r="AF21" s="105">
        <f t="shared" si="3"/>
        <v>777.69733190959005</v>
      </c>
      <c r="AG21" s="105">
        <f t="shared" si="3"/>
        <v>777.69733190959005</v>
      </c>
      <c r="AH21" s="105">
        <f t="shared" si="3"/>
        <v>777.69733190959005</v>
      </c>
      <c r="AI21" s="105">
        <f t="shared" si="3"/>
        <v>777.69733190959005</v>
      </c>
      <c r="AJ21" s="105">
        <f t="shared" si="3"/>
        <v>777.69733190959005</v>
      </c>
      <c r="AK21" s="105">
        <f t="shared" si="3"/>
        <v>777.69733190959005</v>
      </c>
      <c r="AL21" s="105">
        <f t="shared" si="3"/>
        <v>777.69733190959005</v>
      </c>
      <c r="AM21" s="105">
        <f t="shared" si="3"/>
        <v>777.69733190959005</v>
      </c>
      <c r="AN21" s="105">
        <f t="shared" si="3"/>
        <v>777.69733190959005</v>
      </c>
      <c r="AO21" s="105">
        <f t="shared" si="3"/>
        <v>777.69733190959005</v>
      </c>
      <c r="AP21" s="105">
        <f t="shared" si="3"/>
        <v>777.69733190959005</v>
      </c>
      <c r="AQ21" s="105">
        <f t="shared" si="3"/>
        <v>777.69733190959005</v>
      </c>
      <c r="AR21" s="105">
        <f t="shared" si="3"/>
        <v>777.69733190959005</v>
      </c>
      <c r="AS21" s="105">
        <f t="shared" si="3"/>
        <v>0</v>
      </c>
      <c r="AT21" s="105">
        <f t="shared" si="3"/>
        <v>1555.3946638191801</v>
      </c>
      <c r="AU21" s="105">
        <f t="shared" si="3"/>
        <v>777.69733190959005</v>
      </c>
      <c r="AV21" s="105">
        <f t="shared" si="3"/>
        <v>777.69733190959005</v>
      </c>
      <c r="AW21" s="105">
        <f t="shared" si="3"/>
        <v>777.69733190959005</v>
      </c>
      <c r="AX21" s="105">
        <f t="shared" si="3"/>
        <v>777.69733190959005</v>
      </c>
      <c r="AY21" s="105">
        <f t="shared" si="3"/>
        <v>777.69733190959005</v>
      </c>
      <c r="AZ21" s="156">
        <f>SUM($D21:$AY21)</f>
        <v>37572.470790453335</v>
      </c>
    </row>
    <row r="22" spans="1:52" s="109" customFormat="1">
      <c r="A22" s="157" t="s">
        <v>123</v>
      </c>
      <c r="B22" s="158">
        <f>1-$B$21</f>
        <v>0.52157592891161153</v>
      </c>
      <c r="C22" s="158" t="s">
        <v>293</v>
      </c>
      <c r="D22" s="113">
        <f>IF(C$20="Yes",0,SUM(C$13:C$16)*$B$22)</f>
        <v>1113.8299723729881</v>
      </c>
      <c r="E22" s="113">
        <f t="shared" ref="E22:AY22" si="4">IF(D$20="Yes",0,SUM(D$13:D$16)*$B$22)</f>
        <v>847.8423897432956</v>
      </c>
      <c r="F22" s="113">
        <f t="shared" si="4"/>
        <v>847.8423897432956</v>
      </c>
      <c r="G22" s="113">
        <f t="shared" si="4"/>
        <v>847.8423897432956</v>
      </c>
      <c r="H22" s="113">
        <f t="shared" si="4"/>
        <v>847.8423897432956</v>
      </c>
      <c r="I22" s="113">
        <f t="shared" si="4"/>
        <v>847.8423909149144</v>
      </c>
      <c r="J22" s="113">
        <f t="shared" si="4"/>
        <v>847.8423909149144</v>
      </c>
      <c r="K22" s="113">
        <f t="shared" si="4"/>
        <v>847.8423909149144</v>
      </c>
      <c r="L22" s="113">
        <f t="shared" si="4"/>
        <v>847.8423909149144</v>
      </c>
      <c r="M22" s="113">
        <f t="shared" si="4"/>
        <v>847.8423909149144</v>
      </c>
      <c r="N22" s="113">
        <f t="shared" si="4"/>
        <v>847.8423909149144</v>
      </c>
      <c r="O22" s="113">
        <f t="shared" si="4"/>
        <v>847.8423909149144</v>
      </c>
      <c r="P22" s="113">
        <f t="shared" si="4"/>
        <v>847.8423909149144</v>
      </c>
      <c r="Q22" s="113">
        <f t="shared" si="4"/>
        <v>847.8423909149144</v>
      </c>
      <c r="R22" s="113">
        <f t="shared" si="4"/>
        <v>847.8423909149144</v>
      </c>
      <c r="S22" s="113">
        <f t="shared" si="4"/>
        <v>847.8423909149144</v>
      </c>
      <c r="T22" s="113">
        <f t="shared" si="4"/>
        <v>847.8423909149144</v>
      </c>
      <c r="U22" s="113">
        <f t="shared" si="4"/>
        <v>847.57458256791483</v>
      </c>
      <c r="V22" s="113">
        <f t="shared" si="4"/>
        <v>847.57458256791483</v>
      </c>
      <c r="W22" s="113">
        <f t="shared" si="4"/>
        <v>847.57458256791483</v>
      </c>
      <c r="X22" s="113">
        <f t="shared" si="4"/>
        <v>847.57458256791483</v>
      </c>
      <c r="Y22" s="113">
        <f t="shared" si="4"/>
        <v>847.8423909149144</v>
      </c>
      <c r="Z22" s="113">
        <f t="shared" si="4"/>
        <v>847.8423909149144</v>
      </c>
      <c r="AA22" s="113">
        <f t="shared" si="4"/>
        <v>847.8423909149144</v>
      </c>
      <c r="AB22" s="113">
        <f t="shared" si="4"/>
        <v>847.8423909149144</v>
      </c>
      <c r="AC22" s="113">
        <f t="shared" si="4"/>
        <v>847.8423909149144</v>
      </c>
      <c r="AD22" s="113">
        <f t="shared" si="4"/>
        <v>847.8423909149144</v>
      </c>
      <c r="AE22" s="113">
        <f t="shared" si="4"/>
        <v>847.8423909149144</v>
      </c>
      <c r="AF22" s="113">
        <f t="shared" si="4"/>
        <v>847.8423909149144</v>
      </c>
      <c r="AG22" s="113">
        <f t="shared" si="4"/>
        <v>847.8423909149144</v>
      </c>
      <c r="AH22" s="113">
        <f t="shared" si="4"/>
        <v>847.8423909149144</v>
      </c>
      <c r="AI22" s="113">
        <f t="shared" si="4"/>
        <v>847.8423909149144</v>
      </c>
      <c r="AJ22" s="113">
        <f t="shared" si="4"/>
        <v>847.8423909149144</v>
      </c>
      <c r="AK22" s="113">
        <f t="shared" si="4"/>
        <v>847.8423909149144</v>
      </c>
      <c r="AL22" s="113">
        <f t="shared" si="4"/>
        <v>847.8423909149144</v>
      </c>
      <c r="AM22" s="113">
        <f t="shared" si="4"/>
        <v>847.8423909149144</v>
      </c>
      <c r="AN22" s="113">
        <f t="shared" si="4"/>
        <v>847.8423909149144</v>
      </c>
      <c r="AO22" s="113">
        <f t="shared" si="4"/>
        <v>847.8423909149144</v>
      </c>
      <c r="AP22" s="113">
        <f t="shared" si="4"/>
        <v>847.8423909149144</v>
      </c>
      <c r="AQ22" s="113">
        <f t="shared" si="4"/>
        <v>847.8423909149144</v>
      </c>
      <c r="AR22" s="113">
        <f t="shared" si="4"/>
        <v>847.8423909149144</v>
      </c>
      <c r="AS22" s="113">
        <f t="shared" si="4"/>
        <v>0</v>
      </c>
      <c r="AT22" s="113">
        <f t="shared" si="4"/>
        <v>1695.6847818298288</v>
      </c>
      <c r="AU22" s="113">
        <f t="shared" si="4"/>
        <v>847.8423909149144</v>
      </c>
      <c r="AV22" s="113">
        <f t="shared" si="4"/>
        <v>847.8423909149144</v>
      </c>
      <c r="AW22" s="113">
        <f t="shared" si="4"/>
        <v>847.8423909149144</v>
      </c>
      <c r="AX22" s="113">
        <f t="shared" si="4"/>
        <v>847.8423909149144</v>
      </c>
      <c r="AY22" s="113">
        <f t="shared" si="4"/>
        <v>847.8423909149144</v>
      </c>
      <c r="AZ22" s="140">
        <f t="shared" ref="AZ22:AZ30" si="5">SUM($D22:$AY22)</f>
        <v>40961.351107299466</v>
      </c>
    </row>
    <row r="23" spans="1:52">
      <c r="A23" s="159" t="s">
        <v>307</v>
      </c>
      <c r="B23" s="123">
        <v>2000</v>
      </c>
      <c r="C23" s="99" t="s">
        <v>293</v>
      </c>
      <c r="D23" s="99">
        <f>D$21*$B$23</f>
        <v>2043357.6027748662</v>
      </c>
      <c r="E23" s="99">
        <f t="shared" ref="E23:AY23" si="6">E$21*$B$23</f>
        <v>1555394.6616698068</v>
      </c>
      <c r="F23" s="99">
        <f t="shared" si="6"/>
        <v>1555394.6616698068</v>
      </c>
      <c r="G23" s="99">
        <f t="shared" si="6"/>
        <v>1555394.6616698068</v>
      </c>
      <c r="H23" s="99">
        <f t="shared" si="6"/>
        <v>1555394.6616698068</v>
      </c>
      <c r="I23" s="99">
        <f t="shared" si="6"/>
        <v>1555394.6638191801</v>
      </c>
      <c r="J23" s="99">
        <f t="shared" si="6"/>
        <v>1555394.6638191801</v>
      </c>
      <c r="K23" s="99">
        <f t="shared" si="6"/>
        <v>1555394.6638191801</v>
      </c>
      <c r="L23" s="99">
        <f t="shared" si="6"/>
        <v>1555394.6638191801</v>
      </c>
      <c r="M23" s="99">
        <f t="shared" si="6"/>
        <v>1555394.6638191801</v>
      </c>
      <c r="N23" s="99">
        <f t="shared" si="6"/>
        <v>1555394.6638191801</v>
      </c>
      <c r="O23" s="99">
        <f t="shared" si="6"/>
        <v>1555394.6638191801</v>
      </c>
      <c r="P23" s="99">
        <f t="shared" si="6"/>
        <v>1555394.6638191801</v>
      </c>
      <c r="Q23" s="99">
        <f t="shared" si="6"/>
        <v>1555394.6638191801</v>
      </c>
      <c r="R23" s="99">
        <f t="shared" si="6"/>
        <v>1555394.6638191801</v>
      </c>
      <c r="S23" s="99">
        <f t="shared" si="6"/>
        <v>1555394.6638191801</v>
      </c>
      <c r="T23" s="99">
        <f t="shared" si="6"/>
        <v>1555394.6638191801</v>
      </c>
      <c r="U23" s="99">
        <f t="shared" si="6"/>
        <v>1554903.3606261418</v>
      </c>
      <c r="V23" s="99">
        <f t="shared" si="6"/>
        <v>1554903.3606261418</v>
      </c>
      <c r="W23" s="99">
        <f t="shared" si="6"/>
        <v>1554903.3606261418</v>
      </c>
      <c r="X23" s="99">
        <f t="shared" si="6"/>
        <v>1554903.3606261418</v>
      </c>
      <c r="Y23" s="99">
        <f t="shared" si="6"/>
        <v>1555394.6638191801</v>
      </c>
      <c r="Z23" s="99">
        <f t="shared" si="6"/>
        <v>1555394.6638191801</v>
      </c>
      <c r="AA23" s="99">
        <f t="shared" si="6"/>
        <v>1555394.6638191801</v>
      </c>
      <c r="AB23" s="99">
        <f t="shared" si="6"/>
        <v>1555394.6638191801</v>
      </c>
      <c r="AC23" s="99">
        <f t="shared" si="6"/>
        <v>1555394.6638191801</v>
      </c>
      <c r="AD23" s="99">
        <f t="shared" si="6"/>
        <v>1555394.6638191801</v>
      </c>
      <c r="AE23" s="99">
        <f t="shared" si="6"/>
        <v>1555394.6638191801</v>
      </c>
      <c r="AF23" s="99">
        <f t="shared" si="6"/>
        <v>1555394.6638191801</v>
      </c>
      <c r="AG23" s="99">
        <f t="shared" si="6"/>
        <v>1555394.6638191801</v>
      </c>
      <c r="AH23" s="99">
        <f t="shared" si="6"/>
        <v>1555394.6638191801</v>
      </c>
      <c r="AI23" s="99">
        <f t="shared" si="6"/>
        <v>1555394.6638191801</v>
      </c>
      <c r="AJ23" s="99">
        <f t="shared" si="6"/>
        <v>1555394.6638191801</v>
      </c>
      <c r="AK23" s="99">
        <f t="shared" si="6"/>
        <v>1555394.6638191801</v>
      </c>
      <c r="AL23" s="99">
        <f t="shared" si="6"/>
        <v>1555394.6638191801</v>
      </c>
      <c r="AM23" s="99">
        <f t="shared" si="6"/>
        <v>1555394.6638191801</v>
      </c>
      <c r="AN23" s="99">
        <f t="shared" si="6"/>
        <v>1555394.6638191801</v>
      </c>
      <c r="AO23" s="99">
        <f t="shared" si="6"/>
        <v>1555394.6638191801</v>
      </c>
      <c r="AP23" s="99">
        <f t="shared" si="6"/>
        <v>1555394.6638191801</v>
      </c>
      <c r="AQ23" s="99">
        <f t="shared" si="6"/>
        <v>1555394.6638191801</v>
      </c>
      <c r="AR23" s="99">
        <f t="shared" si="6"/>
        <v>1555394.6638191801</v>
      </c>
      <c r="AS23" s="99">
        <f t="shared" si="6"/>
        <v>0</v>
      </c>
      <c r="AT23" s="99">
        <f t="shared" si="6"/>
        <v>3110789.3276383602</v>
      </c>
      <c r="AU23" s="99">
        <f t="shared" si="6"/>
        <v>1555394.6638191801</v>
      </c>
      <c r="AV23" s="99">
        <f t="shared" si="6"/>
        <v>1555394.6638191801</v>
      </c>
      <c r="AW23" s="99">
        <f t="shared" si="6"/>
        <v>1555394.6638191801</v>
      </c>
      <c r="AX23" s="99">
        <f t="shared" si="6"/>
        <v>1555394.6638191801</v>
      </c>
      <c r="AY23" s="99">
        <f t="shared" si="6"/>
        <v>1555394.6638191801</v>
      </c>
      <c r="AZ23" s="138">
        <f t="shared" si="5"/>
        <v>75144941.580906659</v>
      </c>
    </row>
    <row r="24" spans="1:52" s="109" customFormat="1">
      <c r="A24" s="160" t="s">
        <v>308</v>
      </c>
      <c r="B24" s="161">
        <v>1000</v>
      </c>
      <c r="C24" s="155" t="s">
        <v>293</v>
      </c>
      <c r="D24" s="105">
        <f>D$22*$B$24</f>
        <v>1113829.972372988</v>
      </c>
      <c r="E24" s="105">
        <f t="shared" ref="E24:AY24" si="7">E$22*$B$24</f>
        <v>847842.38974329561</v>
      </c>
      <c r="F24" s="105">
        <f t="shared" si="7"/>
        <v>847842.38974329561</v>
      </c>
      <c r="G24" s="105">
        <f t="shared" si="7"/>
        <v>847842.38974329561</v>
      </c>
      <c r="H24" s="105">
        <f t="shared" si="7"/>
        <v>847842.38974329561</v>
      </c>
      <c r="I24" s="105">
        <f t="shared" si="7"/>
        <v>847842.39091491443</v>
      </c>
      <c r="J24" s="105">
        <f t="shared" si="7"/>
        <v>847842.39091491443</v>
      </c>
      <c r="K24" s="105">
        <f t="shared" si="7"/>
        <v>847842.39091491443</v>
      </c>
      <c r="L24" s="105">
        <f t="shared" si="7"/>
        <v>847842.39091491443</v>
      </c>
      <c r="M24" s="105">
        <f t="shared" si="7"/>
        <v>847842.39091491443</v>
      </c>
      <c r="N24" s="105">
        <f t="shared" si="7"/>
        <v>847842.39091491443</v>
      </c>
      <c r="O24" s="105">
        <f t="shared" si="7"/>
        <v>847842.39091491443</v>
      </c>
      <c r="P24" s="105">
        <f t="shared" si="7"/>
        <v>847842.39091491443</v>
      </c>
      <c r="Q24" s="105">
        <f t="shared" si="7"/>
        <v>847842.39091491443</v>
      </c>
      <c r="R24" s="105">
        <f t="shared" si="7"/>
        <v>847842.39091491443</v>
      </c>
      <c r="S24" s="105">
        <f t="shared" si="7"/>
        <v>847842.39091491443</v>
      </c>
      <c r="T24" s="105">
        <f t="shared" si="7"/>
        <v>847842.39091491443</v>
      </c>
      <c r="U24" s="105">
        <f t="shared" si="7"/>
        <v>847574.58256791485</v>
      </c>
      <c r="V24" s="105">
        <f t="shared" si="7"/>
        <v>847574.58256791485</v>
      </c>
      <c r="W24" s="105">
        <f t="shared" si="7"/>
        <v>847574.58256791485</v>
      </c>
      <c r="X24" s="105">
        <f t="shared" si="7"/>
        <v>847574.58256791485</v>
      </c>
      <c r="Y24" s="105">
        <f t="shared" si="7"/>
        <v>847842.39091491443</v>
      </c>
      <c r="Z24" s="105">
        <f t="shared" si="7"/>
        <v>847842.39091491443</v>
      </c>
      <c r="AA24" s="105">
        <f t="shared" si="7"/>
        <v>847842.39091491443</v>
      </c>
      <c r="AB24" s="105">
        <f t="shared" si="7"/>
        <v>847842.39091491443</v>
      </c>
      <c r="AC24" s="105">
        <f t="shared" si="7"/>
        <v>847842.39091491443</v>
      </c>
      <c r="AD24" s="105">
        <f t="shared" si="7"/>
        <v>847842.39091491443</v>
      </c>
      <c r="AE24" s="105">
        <f t="shared" si="7"/>
        <v>847842.39091491443</v>
      </c>
      <c r="AF24" s="105">
        <f t="shared" si="7"/>
        <v>847842.39091491443</v>
      </c>
      <c r="AG24" s="105">
        <f t="shared" si="7"/>
        <v>847842.39091491443</v>
      </c>
      <c r="AH24" s="105">
        <f t="shared" si="7"/>
        <v>847842.39091491443</v>
      </c>
      <c r="AI24" s="105">
        <f t="shared" si="7"/>
        <v>847842.39091491443</v>
      </c>
      <c r="AJ24" s="105">
        <f t="shared" si="7"/>
        <v>847842.39091491443</v>
      </c>
      <c r="AK24" s="105">
        <f t="shared" si="7"/>
        <v>847842.39091491443</v>
      </c>
      <c r="AL24" s="105">
        <f t="shared" si="7"/>
        <v>847842.39091491443</v>
      </c>
      <c r="AM24" s="105">
        <f t="shared" si="7"/>
        <v>847842.39091491443</v>
      </c>
      <c r="AN24" s="105">
        <f t="shared" si="7"/>
        <v>847842.39091491443</v>
      </c>
      <c r="AO24" s="105">
        <f t="shared" si="7"/>
        <v>847842.39091491443</v>
      </c>
      <c r="AP24" s="105">
        <f t="shared" si="7"/>
        <v>847842.39091491443</v>
      </c>
      <c r="AQ24" s="105">
        <f t="shared" si="7"/>
        <v>847842.39091491443</v>
      </c>
      <c r="AR24" s="105">
        <f t="shared" si="7"/>
        <v>847842.39091491443</v>
      </c>
      <c r="AS24" s="105">
        <f t="shared" si="7"/>
        <v>0</v>
      </c>
      <c r="AT24" s="105">
        <f t="shared" si="7"/>
        <v>1695684.7818298289</v>
      </c>
      <c r="AU24" s="105">
        <f t="shared" si="7"/>
        <v>847842.39091491443</v>
      </c>
      <c r="AV24" s="105">
        <f t="shared" si="7"/>
        <v>847842.39091491443</v>
      </c>
      <c r="AW24" s="105">
        <f t="shared" si="7"/>
        <v>847842.39091491443</v>
      </c>
      <c r="AX24" s="105">
        <f t="shared" si="7"/>
        <v>847842.39091491443</v>
      </c>
      <c r="AY24" s="105">
        <f t="shared" si="7"/>
        <v>847842.39091491443</v>
      </c>
      <c r="AZ24" s="140">
        <f t="shared" si="5"/>
        <v>40961351.107299492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309</v>
      </c>
      <c r="C27" s="123">
        <v>15</v>
      </c>
      <c r="D27" s="123">
        <f>C$27-C$28+C$29</f>
        <v>-55</v>
      </c>
      <c r="E27" s="123">
        <f t="shared" ref="E27:AY27" si="8">D27-D28+D29</f>
        <v>15</v>
      </c>
      <c r="F27" s="123">
        <f t="shared" si="8"/>
        <v>0</v>
      </c>
      <c r="G27" s="123">
        <f t="shared" si="8"/>
        <v>15</v>
      </c>
      <c r="H27" s="123">
        <f t="shared" si="8"/>
        <v>0</v>
      </c>
      <c r="I27" s="123">
        <f t="shared" si="8"/>
        <v>15</v>
      </c>
      <c r="J27" s="123">
        <f t="shared" si="8"/>
        <v>0</v>
      </c>
      <c r="K27" s="123">
        <f t="shared" si="8"/>
        <v>15</v>
      </c>
      <c r="L27" s="123">
        <f t="shared" si="8"/>
        <v>0</v>
      </c>
      <c r="M27" s="123">
        <f t="shared" si="8"/>
        <v>15</v>
      </c>
      <c r="N27" s="123">
        <f t="shared" si="8"/>
        <v>0</v>
      </c>
      <c r="O27" s="123">
        <f t="shared" si="8"/>
        <v>15</v>
      </c>
      <c r="P27" s="123">
        <f t="shared" si="8"/>
        <v>0</v>
      </c>
      <c r="Q27" s="123">
        <f t="shared" si="8"/>
        <v>15</v>
      </c>
      <c r="R27" s="123">
        <f t="shared" si="8"/>
        <v>0</v>
      </c>
      <c r="S27" s="123">
        <f t="shared" si="8"/>
        <v>15</v>
      </c>
      <c r="T27" s="123">
        <f t="shared" si="8"/>
        <v>0</v>
      </c>
      <c r="U27" s="123">
        <f t="shared" si="8"/>
        <v>15</v>
      </c>
      <c r="V27" s="123">
        <f t="shared" si="8"/>
        <v>0</v>
      </c>
      <c r="W27" s="123">
        <f t="shared" si="8"/>
        <v>15</v>
      </c>
      <c r="X27" s="123">
        <f t="shared" si="8"/>
        <v>0</v>
      </c>
      <c r="Y27" s="123">
        <f t="shared" si="8"/>
        <v>15</v>
      </c>
      <c r="Z27" s="123">
        <f t="shared" si="8"/>
        <v>0</v>
      </c>
      <c r="AA27" s="123">
        <f t="shared" si="8"/>
        <v>15</v>
      </c>
      <c r="AB27" s="123">
        <f t="shared" si="8"/>
        <v>0</v>
      </c>
      <c r="AC27" s="123">
        <f t="shared" si="8"/>
        <v>15</v>
      </c>
      <c r="AD27" s="123">
        <f t="shared" si="8"/>
        <v>0</v>
      </c>
      <c r="AE27" s="123">
        <f t="shared" si="8"/>
        <v>15</v>
      </c>
      <c r="AF27" s="123">
        <f t="shared" si="8"/>
        <v>0</v>
      </c>
      <c r="AG27" s="123">
        <f t="shared" si="8"/>
        <v>15</v>
      </c>
      <c r="AH27" s="123">
        <f t="shared" si="8"/>
        <v>0</v>
      </c>
      <c r="AI27" s="123">
        <f t="shared" si="8"/>
        <v>15</v>
      </c>
      <c r="AJ27" s="123">
        <f t="shared" si="8"/>
        <v>0</v>
      </c>
      <c r="AK27" s="123">
        <f t="shared" si="8"/>
        <v>15</v>
      </c>
      <c r="AL27" s="123">
        <f t="shared" si="8"/>
        <v>0</v>
      </c>
      <c r="AM27" s="123">
        <f t="shared" si="8"/>
        <v>15</v>
      </c>
      <c r="AN27" s="123">
        <f t="shared" si="8"/>
        <v>0</v>
      </c>
      <c r="AO27" s="123">
        <f t="shared" si="8"/>
        <v>15</v>
      </c>
      <c r="AP27" s="123">
        <f t="shared" si="8"/>
        <v>0</v>
      </c>
      <c r="AQ27" s="123">
        <f t="shared" si="8"/>
        <v>15</v>
      </c>
      <c r="AR27" s="123">
        <f t="shared" si="8"/>
        <v>0</v>
      </c>
      <c r="AS27" s="123">
        <f t="shared" si="8"/>
        <v>15</v>
      </c>
      <c r="AT27" s="123">
        <f t="shared" si="8"/>
        <v>15</v>
      </c>
      <c r="AU27" s="123">
        <f t="shared" si="8"/>
        <v>0</v>
      </c>
      <c r="AV27" s="123">
        <f t="shared" si="8"/>
        <v>15</v>
      </c>
      <c r="AW27" s="123">
        <f t="shared" si="8"/>
        <v>0</v>
      </c>
      <c r="AX27" s="123">
        <f t="shared" si="8"/>
        <v>15</v>
      </c>
      <c r="AY27" s="163">
        <f t="shared" si="8"/>
        <v>0</v>
      </c>
      <c r="AZ27" s="105"/>
    </row>
    <row r="28" spans="1:52">
      <c r="B28" s="164" t="s">
        <v>310</v>
      </c>
      <c r="C28" s="109">
        <v>70</v>
      </c>
      <c r="D28" s="109">
        <v>0</v>
      </c>
      <c r="E28" s="109">
        <v>15</v>
      </c>
      <c r="F28" s="109">
        <v>0</v>
      </c>
      <c r="G28" s="109">
        <v>15</v>
      </c>
      <c r="H28" s="109">
        <v>0</v>
      </c>
      <c r="I28" s="109">
        <v>15</v>
      </c>
      <c r="J28" s="109">
        <v>0</v>
      </c>
      <c r="K28" s="109">
        <v>15</v>
      </c>
      <c r="L28" s="109">
        <v>0</v>
      </c>
      <c r="M28" s="109">
        <v>15</v>
      </c>
      <c r="N28" s="109">
        <v>0</v>
      </c>
      <c r="O28" s="109">
        <v>15</v>
      </c>
      <c r="P28" s="109">
        <v>0</v>
      </c>
      <c r="Q28" s="109">
        <v>15</v>
      </c>
      <c r="R28" s="109">
        <v>0</v>
      </c>
      <c r="S28" s="109">
        <v>15</v>
      </c>
      <c r="T28" s="109">
        <v>0</v>
      </c>
      <c r="U28" s="109">
        <v>15</v>
      </c>
      <c r="V28" s="109">
        <v>0</v>
      </c>
      <c r="W28" s="109">
        <v>15</v>
      </c>
      <c r="X28" s="109">
        <v>0</v>
      </c>
      <c r="Y28" s="109">
        <v>15</v>
      </c>
      <c r="Z28" s="109">
        <v>0</v>
      </c>
      <c r="AA28" s="109">
        <v>15</v>
      </c>
      <c r="AB28" s="109">
        <v>0</v>
      </c>
      <c r="AC28" s="109">
        <v>15</v>
      </c>
      <c r="AD28" s="109">
        <v>0</v>
      </c>
      <c r="AE28" s="109">
        <v>15</v>
      </c>
      <c r="AF28" s="109">
        <v>0</v>
      </c>
      <c r="AG28" s="109">
        <v>15</v>
      </c>
      <c r="AH28" s="109">
        <v>0</v>
      </c>
      <c r="AI28" s="109">
        <v>15</v>
      </c>
      <c r="AJ28" s="109">
        <v>0</v>
      </c>
      <c r="AK28" s="109">
        <v>15</v>
      </c>
      <c r="AL28" s="109">
        <v>0</v>
      </c>
      <c r="AM28" s="109">
        <v>15</v>
      </c>
      <c r="AN28" s="109">
        <v>0</v>
      </c>
      <c r="AO28" s="109">
        <v>15</v>
      </c>
      <c r="AP28" s="109">
        <v>0</v>
      </c>
      <c r="AQ28" s="109">
        <v>15</v>
      </c>
      <c r="AR28" s="109">
        <v>0</v>
      </c>
      <c r="AS28" s="109">
        <v>0</v>
      </c>
      <c r="AT28" s="109">
        <v>15</v>
      </c>
      <c r="AU28" s="109">
        <v>0</v>
      </c>
      <c r="AV28" s="109">
        <v>15</v>
      </c>
      <c r="AW28" s="109">
        <v>0</v>
      </c>
      <c r="AX28" s="109">
        <v>15</v>
      </c>
      <c r="AY28" s="165">
        <v>0</v>
      </c>
      <c r="AZ28" s="105"/>
    </row>
    <row r="29" spans="1:52">
      <c r="B29" s="135" t="s">
        <v>311</v>
      </c>
      <c r="C29" s="124">
        <v>0</v>
      </c>
      <c r="D29" s="124">
        <f>C$28</f>
        <v>70</v>
      </c>
      <c r="E29" s="124">
        <f t="shared" ref="E29:AY29" si="9">D$28</f>
        <v>0</v>
      </c>
      <c r="F29" s="124">
        <f t="shared" si="9"/>
        <v>15</v>
      </c>
      <c r="G29" s="124">
        <f t="shared" si="9"/>
        <v>0</v>
      </c>
      <c r="H29" s="124">
        <f t="shared" si="9"/>
        <v>15</v>
      </c>
      <c r="I29" s="124">
        <f t="shared" si="9"/>
        <v>0</v>
      </c>
      <c r="J29" s="124">
        <f t="shared" si="9"/>
        <v>15</v>
      </c>
      <c r="K29" s="124">
        <f t="shared" si="9"/>
        <v>0</v>
      </c>
      <c r="L29" s="124">
        <f t="shared" si="9"/>
        <v>15</v>
      </c>
      <c r="M29" s="124">
        <f t="shared" si="9"/>
        <v>0</v>
      </c>
      <c r="N29" s="124">
        <f t="shared" si="9"/>
        <v>15</v>
      </c>
      <c r="O29" s="124">
        <f t="shared" si="9"/>
        <v>0</v>
      </c>
      <c r="P29" s="124">
        <f t="shared" si="9"/>
        <v>15</v>
      </c>
      <c r="Q29" s="124">
        <f t="shared" si="9"/>
        <v>0</v>
      </c>
      <c r="R29" s="124">
        <f t="shared" si="9"/>
        <v>15</v>
      </c>
      <c r="S29" s="124">
        <f t="shared" si="9"/>
        <v>0</v>
      </c>
      <c r="T29" s="124">
        <f t="shared" si="9"/>
        <v>15</v>
      </c>
      <c r="U29" s="124">
        <f t="shared" si="9"/>
        <v>0</v>
      </c>
      <c r="V29" s="124">
        <f t="shared" si="9"/>
        <v>15</v>
      </c>
      <c r="W29" s="124">
        <f t="shared" si="9"/>
        <v>0</v>
      </c>
      <c r="X29" s="124">
        <f t="shared" si="9"/>
        <v>15</v>
      </c>
      <c r="Y29" s="124">
        <f t="shared" si="9"/>
        <v>0</v>
      </c>
      <c r="Z29" s="124">
        <f t="shared" si="9"/>
        <v>15</v>
      </c>
      <c r="AA29" s="124">
        <f t="shared" si="9"/>
        <v>0</v>
      </c>
      <c r="AB29" s="124">
        <f t="shared" si="9"/>
        <v>15</v>
      </c>
      <c r="AC29" s="124">
        <f t="shared" si="9"/>
        <v>0</v>
      </c>
      <c r="AD29" s="124">
        <f t="shared" si="9"/>
        <v>15</v>
      </c>
      <c r="AE29" s="124">
        <f t="shared" si="9"/>
        <v>0</v>
      </c>
      <c r="AF29" s="124">
        <f t="shared" si="9"/>
        <v>15</v>
      </c>
      <c r="AG29" s="124">
        <f t="shared" si="9"/>
        <v>0</v>
      </c>
      <c r="AH29" s="124">
        <f t="shared" si="9"/>
        <v>15</v>
      </c>
      <c r="AI29" s="124">
        <f t="shared" si="9"/>
        <v>0</v>
      </c>
      <c r="AJ29" s="124">
        <f t="shared" si="9"/>
        <v>15</v>
      </c>
      <c r="AK29" s="124">
        <f t="shared" si="9"/>
        <v>0</v>
      </c>
      <c r="AL29" s="124">
        <f t="shared" si="9"/>
        <v>15</v>
      </c>
      <c r="AM29" s="124">
        <f t="shared" si="9"/>
        <v>0</v>
      </c>
      <c r="AN29" s="124">
        <f t="shared" si="9"/>
        <v>15</v>
      </c>
      <c r="AO29" s="124">
        <f t="shared" si="9"/>
        <v>0</v>
      </c>
      <c r="AP29" s="124">
        <f t="shared" si="9"/>
        <v>15</v>
      </c>
      <c r="AQ29" s="124">
        <f t="shared" si="9"/>
        <v>0</v>
      </c>
      <c r="AR29" s="124">
        <f t="shared" si="9"/>
        <v>15</v>
      </c>
      <c r="AS29" s="124">
        <f t="shared" si="9"/>
        <v>0</v>
      </c>
      <c r="AT29" s="124">
        <f t="shared" si="9"/>
        <v>0</v>
      </c>
      <c r="AU29" s="124">
        <f t="shared" si="9"/>
        <v>15</v>
      </c>
      <c r="AV29" s="124">
        <f t="shared" si="9"/>
        <v>0</v>
      </c>
      <c r="AW29" s="124">
        <f t="shared" si="9"/>
        <v>15</v>
      </c>
      <c r="AX29" s="124">
        <f t="shared" si="9"/>
        <v>0</v>
      </c>
      <c r="AY29" s="166">
        <f t="shared" si="9"/>
        <v>15</v>
      </c>
      <c r="AZ29" s="167"/>
    </row>
    <row r="30" spans="1:52">
      <c r="A30" s="168" t="s">
        <v>312</v>
      </c>
      <c r="B30" s="143">
        <v>10</v>
      </c>
      <c r="C30" s="116" t="s">
        <v>293</v>
      </c>
      <c r="D30" s="116">
        <f>D$27*$B$30</f>
        <v>-550</v>
      </c>
      <c r="E30" s="116">
        <f t="shared" ref="E30:AY30" si="10">E$27*$B$30</f>
        <v>150</v>
      </c>
      <c r="F30" s="116">
        <f t="shared" si="10"/>
        <v>0</v>
      </c>
      <c r="G30" s="116">
        <f t="shared" si="10"/>
        <v>150</v>
      </c>
      <c r="H30" s="116">
        <f t="shared" si="10"/>
        <v>0</v>
      </c>
      <c r="I30" s="116">
        <f t="shared" si="10"/>
        <v>150</v>
      </c>
      <c r="J30" s="116">
        <f t="shared" si="10"/>
        <v>0</v>
      </c>
      <c r="K30" s="116">
        <f t="shared" si="10"/>
        <v>150</v>
      </c>
      <c r="L30" s="116">
        <f t="shared" si="10"/>
        <v>0</v>
      </c>
      <c r="M30" s="116">
        <f t="shared" si="10"/>
        <v>150</v>
      </c>
      <c r="N30" s="116">
        <f t="shared" si="10"/>
        <v>0</v>
      </c>
      <c r="O30" s="116">
        <f t="shared" si="10"/>
        <v>150</v>
      </c>
      <c r="P30" s="116">
        <f t="shared" si="10"/>
        <v>0</v>
      </c>
      <c r="Q30" s="116">
        <f t="shared" si="10"/>
        <v>150</v>
      </c>
      <c r="R30" s="116">
        <f>R$27*$B$30</f>
        <v>0</v>
      </c>
      <c r="S30" s="116">
        <f t="shared" si="10"/>
        <v>150</v>
      </c>
      <c r="T30" s="116">
        <f t="shared" si="10"/>
        <v>0</v>
      </c>
      <c r="U30" s="116">
        <f t="shared" si="10"/>
        <v>150</v>
      </c>
      <c r="V30" s="116">
        <f t="shared" si="10"/>
        <v>0</v>
      </c>
      <c r="W30" s="116">
        <f t="shared" si="10"/>
        <v>150</v>
      </c>
      <c r="X30" s="116">
        <f t="shared" si="10"/>
        <v>0</v>
      </c>
      <c r="Y30" s="116">
        <f t="shared" si="10"/>
        <v>150</v>
      </c>
      <c r="Z30" s="116">
        <f t="shared" si="10"/>
        <v>0</v>
      </c>
      <c r="AA30" s="116">
        <f t="shared" si="10"/>
        <v>150</v>
      </c>
      <c r="AB30" s="116">
        <f t="shared" si="10"/>
        <v>0</v>
      </c>
      <c r="AC30" s="116">
        <f t="shared" si="10"/>
        <v>150</v>
      </c>
      <c r="AD30" s="116">
        <f t="shared" si="10"/>
        <v>0</v>
      </c>
      <c r="AE30" s="116">
        <f>AE$27*$B$30</f>
        <v>150</v>
      </c>
      <c r="AF30" s="116">
        <f t="shared" si="10"/>
        <v>0</v>
      </c>
      <c r="AG30" s="116">
        <f t="shared" si="10"/>
        <v>150</v>
      </c>
      <c r="AH30" s="116">
        <f t="shared" si="10"/>
        <v>0</v>
      </c>
      <c r="AI30" s="116">
        <f t="shared" si="10"/>
        <v>150</v>
      </c>
      <c r="AJ30" s="116">
        <f t="shared" si="10"/>
        <v>0</v>
      </c>
      <c r="AK30" s="116">
        <f t="shared" si="10"/>
        <v>150</v>
      </c>
      <c r="AL30" s="116">
        <f t="shared" si="10"/>
        <v>0</v>
      </c>
      <c r="AM30" s="116">
        <f t="shared" si="10"/>
        <v>150</v>
      </c>
      <c r="AN30" s="116">
        <f t="shared" si="10"/>
        <v>0</v>
      </c>
      <c r="AO30" s="116">
        <f t="shared" si="10"/>
        <v>150</v>
      </c>
      <c r="AP30" s="116">
        <f t="shared" si="10"/>
        <v>0</v>
      </c>
      <c r="AQ30" s="116">
        <f t="shared" si="10"/>
        <v>150</v>
      </c>
      <c r="AR30" s="116">
        <f t="shared" si="10"/>
        <v>0</v>
      </c>
      <c r="AS30" s="116">
        <f t="shared" si="10"/>
        <v>150</v>
      </c>
      <c r="AT30" s="116">
        <f t="shared" si="10"/>
        <v>150</v>
      </c>
      <c r="AU30" s="116">
        <f t="shared" si="10"/>
        <v>0</v>
      </c>
      <c r="AV30" s="116">
        <f t="shared" si="10"/>
        <v>150</v>
      </c>
      <c r="AW30" s="116">
        <f t="shared" si="10"/>
        <v>0</v>
      </c>
      <c r="AX30" s="116">
        <f t="shared" si="10"/>
        <v>150</v>
      </c>
      <c r="AY30" s="116">
        <f t="shared" si="10"/>
        <v>0</v>
      </c>
      <c r="AZ30" s="140">
        <f t="shared" si="5"/>
        <v>3050</v>
      </c>
    </row>
    <row r="32" spans="1:52">
      <c r="A32" s="101" t="s">
        <v>300</v>
      </c>
    </row>
    <row r="33" spans="1:52">
      <c r="A33" s="134" t="s">
        <v>22</v>
      </c>
      <c r="B33" s="134" t="s">
        <v>342</v>
      </c>
      <c r="C33" s="123"/>
      <c r="D33" s="123">
        <f>D$21*shipping_manufacturing!$H$27/100</f>
        <v>237.7420819298712</v>
      </c>
      <c r="E33" s="123">
        <f>E$21*shipping_manufacturing!$H$27/100</f>
        <v>180.96820869035597</v>
      </c>
      <c r="F33" s="123">
        <f>F$21*shipping_manufacturing!$H$27/100</f>
        <v>180.96820869035597</v>
      </c>
      <c r="G33" s="123">
        <f>G$21*shipping_manufacturing!$H$27/100</f>
        <v>180.96820869035597</v>
      </c>
      <c r="H33" s="123">
        <f>H$21*shipping_manufacturing!$H$27/100</f>
        <v>180.96820869035597</v>
      </c>
      <c r="I33" s="123">
        <f>I$21*shipping_manufacturing!$H$27/100</f>
        <v>180.96820894043285</v>
      </c>
      <c r="J33" s="123">
        <f>J$21*shipping_manufacturing!$H$27/100</f>
        <v>180.96820894043285</v>
      </c>
      <c r="K33" s="123">
        <f>K$21*shipping_manufacturing!$H$27/100</f>
        <v>180.96820894043285</v>
      </c>
      <c r="L33" s="123">
        <f>L$21*shipping_manufacturing!$H$27/100</f>
        <v>180.96820894043285</v>
      </c>
      <c r="M33" s="123">
        <f>M$21*shipping_manufacturing!$H$27/100</f>
        <v>180.96820894043285</v>
      </c>
      <c r="N33" s="123">
        <f>N$21*shipping_manufacturing!$H$27/100</f>
        <v>180.96820894043285</v>
      </c>
      <c r="O33" s="123">
        <f>O$21*shipping_manufacturing!$H$27/100</f>
        <v>180.96820894043285</v>
      </c>
      <c r="P33" s="123">
        <f>P$21*shipping_manufacturing!$H$27/100</f>
        <v>180.96820894043285</v>
      </c>
      <c r="Q33" s="123">
        <f>Q$21*shipping_manufacturing!$H$27/100</f>
        <v>180.96820894043285</v>
      </c>
      <c r="R33" s="123">
        <f>R$21*shipping_manufacturing!$H$27/100</f>
        <v>180.96820894043285</v>
      </c>
      <c r="S33" s="123">
        <f>S$21*shipping_manufacturing!$H$27/100</f>
        <v>180.96820894043285</v>
      </c>
      <c r="T33" s="123">
        <f>T$21*shipping_manufacturing!$H$27/100</f>
        <v>180.96820894043285</v>
      </c>
      <c r="U33" s="123">
        <f>U$21*shipping_manufacturing!$H$27/100</f>
        <v>180.91104643309049</v>
      </c>
      <c r="V33" s="123">
        <f>V$21*shipping_manufacturing!$H$27/100</f>
        <v>180.91104643309049</v>
      </c>
      <c r="W33" s="123">
        <f>W$21*shipping_manufacturing!$H$27/100</f>
        <v>180.91104643309049</v>
      </c>
      <c r="X33" s="123">
        <f>X$21*shipping_manufacturing!$H$27/100</f>
        <v>180.91104643309049</v>
      </c>
      <c r="Y33" s="123">
        <f>Y$21*shipping_manufacturing!$H$27/100</f>
        <v>180.96820894043285</v>
      </c>
      <c r="Z33" s="123">
        <f>Z$21*shipping_manufacturing!$H$27/100</f>
        <v>180.96820894043285</v>
      </c>
      <c r="AA33" s="123">
        <f>AA$21*shipping_manufacturing!$H$27/100</f>
        <v>180.96820894043285</v>
      </c>
      <c r="AB33" s="123">
        <f>AB$21*shipping_manufacturing!$H$27/100</f>
        <v>180.96820894043285</v>
      </c>
      <c r="AC33" s="123">
        <f>AC$21*shipping_manufacturing!$H$27/100</f>
        <v>180.96820894043285</v>
      </c>
      <c r="AD33" s="123">
        <f>AD$21*shipping_manufacturing!$H$27/100</f>
        <v>180.96820894043285</v>
      </c>
      <c r="AE33" s="123">
        <f>AE$21*shipping_manufacturing!$H$27/100</f>
        <v>180.96820894043285</v>
      </c>
      <c r="AF33" s="123">
        <f>AF$21*shipping_manufacturing!$H$27/100</f>
        <v>180.96820894043285</v>
      </c>
      <c r="AG33" s="123">
        <f>AG$21*shipping_manufacturing!$H$27/100</f>
        <v>180.96820894043285</v>
      </c>
      <c r="AH33" s="123">
        <f>AH$21*shipping_manufacturing!$H$27/100</f>
        <v>180.96820894043285</v>
      </c>
      <c r="AI33" s="123">
        <f>AI$21*shipping_manufacturing!$H$27/100</f>
        <v>180.96820894043285</v>
      </c>
      <c r="AJ33" s="123">
        <f>AJ$21*shipping_manufacturing!$H$27/100</f>
        <v>180.96820894043285</v>
      </c>
      <c r="AK33" s="123">
        <f>AK$21*shipping_manufacturing!$H$27/100</f>
        <v>180.96820894043285</v>
      </c>
      <c r="AL33" s="123">
        <f>AL$21*shipping_manufacturing!$H$27/100</f>
        <v>180.96820894043285</v>
      </c>
      <c r="AM33" s="123">
        <f>AM$21*shipping_manufacturing!$H$27/100</f>
        <v>180.96820894043285</v>
      </c>
      <c r="AN33" s="123">
        <f>AN$21*shipping_manufacturing!$H$27/100</f>
        <v>180.96820894043285</v>
      </c>
      <c r="AO33" s="123">
        <f>AO$21*shipping_manufacturing!$H$27/100</f>
        <v>180.96820894043285</v>
      </c>
      <c r="AP33" s="123">
        <f>AP$21*shipping_manufacturing!$H$27/100</f>
        <v>180.96820894043285</v>
      </c>
      <c r="AQ33" s="123">
        <f>AQ$21*shipping_manufacturing!$H$27/100</f>
        <v>180.96820894043285</v>
      </c>
      <c r="AR33" s="123">
        <f>AR$21*shipping_manufacturing!$H$27/100</f>
        <v>180.96820894043285</v>
      </c>
      <c r="AS33" s="123">
        <f>AS$21*shipping_manufacturing!$H$27/100</f>
        <v>0</v>
      </c>
      <c r="AT33" s="123">
        <f>AT$21*shipping_manufacturing!$H$27/100</f>
        <v>361.93641788086569</v>
      </c>
      <c r="AU33" s="123">
        <f>AU$21*shipping_manufacturing!$H$27/100</f>
        <v>180.96820894043285</v>
      </c>
      <c r="AV33" s="123">
        <f>AV$21*shipping_manufacturing!$H$27/100</f>
        <v>180.96820894043285</v>
      </c>
      <c r="AW33" s="123">
        <f>AW$21*shipping_manufacturing!$H$27/100</f>
        <v>180.96820894043285</v>
      </c>
      <c r="AX33" s="123">
        <f>AX$21*shipping_manufacturing!$H$27/100</f>
        <v>180.96820894043285</v>
      </c>
      <c r="AY33" s="123">
        <f>AY$21*shipping_manufacturing!$H$27/100</f>
        <v>180.96820894043285</v>
      </c>
    </row>
    <row r="34" spans="1:52">
      <c r="A34" s="112" t="s">
        <v>341</v>
      </c>
      <c r="B34" s="164" t="s">
        <v>343</v>
      </c>
      <c r="C34" s="109"/>
      <c r="D34" s="109">
        <f>D$22*shipping_manufacturing!$I$27/100</f>
        <v>238.10067515310456</v>
      </c>
      <c r="E34" s="109">
        <f>E$22*shipping_manufacturing!$I$27/100</f>
        <v>181.24116824690682</v>
      </c>
      <c r="F34" s="109">
        <f>F$22*shipping_manufacturing!$I$27/100</f>
        <v>181.24116824690682</v>
      </c>
      <c r="G34" s="109">
        <f>G$22*shipping_manufacturing!$I$27/100</f>
        <v>181.24116824690682</v>
      </c>
      <c r="H34" s="109">
        <f>H$22*shipping_manufacturing!$I$27/100</f>
        <v>181.24116824690682</v>
      </c>
      <c r="I34" s="109">
        <f>I$22*shipping_manufacturing!$I$27/100</f>
        <v>181.24116849736086</v>
      </c>
      <c r="J34" s="109">
        <f>J$22*shipping_manufacturing!$I$27/100</f>
        <v>181.24116849736086</v>
      </c>
      <c r="K34" s="109">
        <f>K$22*shipping_manufacturing!$I$27/100</f>
        <v>181.24116849736086</v>
      </c>
      <c r="L34" s="109">
        <f>L$22*shipping_manufacturing!$I$27/100</f>
        <v>181.24116849736086</v>
      </c>
      <c r="M34" s="109">
        <f>M$22*shipping_manufacturing!$I$27/100</f>
        <v>181.24116849736086</v>
      </c>
      <c r="N34" s="109">
        <f>N$22*shipping_manufacturing!$I$27/100</f>
        <v>181.24116849736086</v>
      </c>
      <c r="O34" s="109">
        <f>O$22*shipping_manufacturing!$I$27/100</f>
        <v>181.24116849736086</v>
      </c>
      <c r="P34" s="109">
        <f>P$22*shipping_manufacturing!$I$27/100</f>
        <v>181.24116849736086</v>
      </c>
      <c r="Q34" s="109">
        <f>Q$22*shipping_manufacturing!$I$27/100</f>
        <v>181.24116849736086</v>
      </c>
      <c r="R34" s="109">
        <f>R$22*shipping_manufacturing!$I$27/100</f>
        <v>181.24116849736086</v>
      </c>
      <c r="S34" s="109">
        <f>S$22*shipping_manufacturing!$I$27/100</f>
        <v>181.24116849736086</v>
      </c>
      <c r="T34" s="109">
        <f>T$22*shipping_manufacturing!$I$27/100</f>
        <v>181.24116849736086</v>
      </c>
      <c r="U34" s="109">
        <f>U$22*shipping_manufacturing!$I$27/100</f>
        <v>181.18391977016384</v>
      </c>
      <c r="V34" s="109">
        <f>V$22*shipping_manufacturing!$I$27/100</f>
        <v>181.18391977016384</v>
      </c>
      <c r="W34" s="109">
        <f>W$22*shipping_manufacturing!$I$27/100</f>
        <v>181.18391977016384</v>
      </c>
      <c r="X34" s="109">
        <f>X$22*shipping_manufacturing!$I$27/100</f>
        <v>181.18391977016384</v>
      </c>
      <c r="Y34" s="109">
        <f>Y$22*shipping_manufacturing!$I$27/100</f>
        <v>181.24116849736086</v>
      </c>
      <c r="Z34" s="109">
        <f>Z$22*shipping_manufacturing!$I$27/100</f>
        <v>181.24116849736086</v>
      </c>
      <c r="AA34" s="109">
        <f>AA$22*shipping_manufacturing!$I$27/100</f>
        <v>181.24116849736086</v>
      </c>
      <c r="AB34" s="109">
        <f>AB$22*shipping_manufacturing!$I$27/100</f>
        <v>181.24116849736086</v>
      </c>
      <c r="AC34" s="109">
        <f>AC$22*shipping_manufacturing!$I$27/100</f>
        <v>181.24116849736086</v>
      </c>
      <c r="AD34" s="109">
        <f>AD$22*shipping_manufacturing!$I$27/100</f>
        <v>181.24116849736086</v>
      </c>
      <c r="AE34" s="109">
        <f>AE$22*shipping_manufacturing!$I$27/100</f>
        <v>181.24116849736086</v>
      </c>
      <c r="AF34" s="109">
        <f>AF$22*shipping_manufacturing!$I$27/100</f>
        <v>181.24116849736086</v>
      </c>
      <c r="AG34" s="109">
        <f>AG$22*shipping_manufacturing!$I$27/100</f>
        <v>181.24116849736086</v>
      </c>
      <c r="AH34" s="109">
        <f>AH$22*shipping_manufacturing!$I$27/100</f>
        <v>181.24116849736086</v>
      </c>
      <c r="AI34" s="109">
        <f>AI$22*shipping_manufacturing!$I$27/100</f>
        <v>181.24116849736086</v>
      </c>
      <c r="AJ34" s="109">
        <f>AJ$22*shipping_manufacturing!$I$27/100</f>
        <v>181.24116849736086</v>
      </c>
      <c r="AK34" s="109">
        <f>AK$22*shipping_manufacturing!$I$27/100</f>
        <v>181.24116849736086</v>
      </c>
      <c r="AL34" s="109">
        <f>AL$22*shipping_manufacturing!$I$27/100</f>
        <v>181.24116849736086</v>
      </c>
      <c r="AM34" s="109">
        <f>AM$22*shipping_manufacturing!$I$27/100</f>
        <v>181.24116849736086</v>
      </c>
      <c r="AN34" s="109">
        <f>AN$22*shipping_manufacturing!$I$27/100</f>
        <v>181.24116849736086</v>
      </c>
      <c r="AO34" s="109">
        <f>AO$22*shipping_manufacturing!$I$27/100</f>
        <v>181.24116849736086</v>
      </c>
      <c r="AP34" s="109">
        <f>AP$22*shipping_manufacturing!$I$27/100</f>
        <v>181.24116849736086</v>
      </c>
      <c r="AQ34" s="109">
        <f>AQ$22*shipping_manufacturing!$I$27/100</f>
        <v>181.24116849736086</v>
      </c>
      <c r="AR34" s="109">
        <f>AR$22*shipping_manufacturing!$I$27/100</f>
        <v>181.24116849736086</v>
      </c>
      <c r="AS34" s="109">
        <f>AS$22*shipping_manufacturing!$I$27/100</f>
        <v>0</v>
      </c>
      <c r="AT34" s="109">
        <f>AT$22*shipping_manufacturing!$I$27/100</f>
        <v>362.48233699472172</v>
      </c>
      <c r="AU34" s="109">
        <f>AU$22*shipping_manufacturing!$I$27/100</f>
        <v>181.24116849736086</v>
      </c>
      <c r="AV34" s="109">
        <f>AV$22*shipping_manufacturing!$I$27/100</f>
        <v>181.24116849736086</v>
      </c>
      <c r="AW34" s="109">
        <f>AW$22*shipping_manufacturing!$I$27/100</f>
        <v>181.24116849736086</v>
      </c>
      <c r="AX34" s="109">
        <f>AX$22*shipping_manufacturing!$I$27/100</f>
        <v>181.24116849736086</v>
      </c>
      <c r="AY34" s="109">
        <f>AY$22*shipping_manufacturing!$I$27/100</f>
        <v>181.24116849736086</v>
      </c>
    </row>
    <row r="35" spans="1:52">
      <c r="A35" s="109">
        <v>1245</v>
      </c>
      <c r="B35" s="164" t="s">
        <v>344</v>
      </c>
      <c r="C35" s="109"/>
      <c r="D35" s="109">
        <f>SUM(D33:D34)</f>
        <v>475.84275708297577</v>
      </c>
      <c r="E35" s="109">
        <f t="shared" ref="E35:AY35" si="11">SUM(E33:E34)</f>
        <v>362.20937693726279</v>
      </c>
      <c r="F35" s="109">
        <f t="shared" si="11"/>
        <v>362.20937693726279</v>
      </c>
      <c r="G35" s="109">
        <f t="shared" si="11"/>
        <v>362.20937693726279</v>
      </c>
      <c r="H35" s="109">
        <f t="shared" si="11"/>
        <v>362.20937693726279</v>
      </c>
      <c r="I35" s="109">
        <f t="shared" si="11"/>
        <v>362.20937743779371</v>
      </c>
      <c r="J35" s="109">
        <f t="shared" si="11"/>
        <v>362.20937743779371</v>
      </c>
      <c r="K35" s="109">
        <f t="shared" si="11"/>
        <v>362.20937743779371</v>
      </c>
      <c r="L35" s="109">
        <f t="shared" si="11"/>
        <v>362.20937743779371</v>
      </c>
      <c r="M35" s="109">
        <f t="shared" si="11"/>
        <v>362.20937743779371</v>
      </c>
      <c r="N35" s="109">
        <f t="shared" si="11"/>
        <v>362.20937743779371</v>
      </c>
      <c r="O35" s="109">
        <f t="shared" si="11"/>
        <v>362.20937743779371</v>
      </c>
      <c r="P35" s="109">
        <f t="shared" si="11"/>
        <v>362.20937743779371</v>
      </c>
      <c r="Q35" s="109">
        <f t="shared" si="11"/>
        <v>362.20937743779371</v>
      </c>
      <c r="R35" s="109">
        <f t="shared" si="11"/>
        <v>362.20937743779371</v>
      </c>
      <c r="S35" s="109">
        <f t="shared" si="11"/>
        <v>362.20937743779371</v>
      </c>
      <c r="T35" s="109">
        <f t="shared" si="11"/>
        <v>362.20937743779371</v>
      </c>
      <c r="U35" s="109">
        <f t="shared" si="11"/>
        <v>362.09496620325433</v>
      </c>
      <c r="V35" s="109">
        <f t="shared" si="11"/>
        <v>362.09496620325433</v>
      </c>
      <c r="W35" s="109">
        <f t="shared" si="11"/>
        <v>362.09496620325433</v>
      </c>
      <c r="X35" s="109">
        <f t="shared" si="11"/>
        <v>362.09496620325433</v>
      </c>
      <c r="Y35" s="109">
        <f t="shared" si="11"/>
        <v>362.20937743779371</v>
      </c>
      <c r="Z35" s="109">
        <f t="shared" si="11"/>
        <v>362.20937743779371</v>
      </c>
      <c r="AA35" s="109">
        <f t="shared" si="11"/>
        <v>362.20937743779371</v>
      </c>
      <c r="AB35" s="109">
        <f t="shared" si="11"/>
        <v>362.20937743779371</v>
      </c>
      <c r="AC35" s="109">
        <f t="shared" si="11"/>
        <v>362.20937743779371</v>
      </c>
      <c r="AD35" s="109">
        <f t="shared" si="11"/>
        <v>362.20937743779371</v>
      </c>
      <c r="AE35" s="109">
        <f t="shared" si="11"/>
        <v>362.20937743779371</v>
      </c>
      <c r="AF35" s="109">
        <f t="shared" si="11"/>
        <v>362.20937743779371</v>
      </c>
      <c r="AG35" s="109">
        <f t="shared" si="11"/>
        <v>362.20937743779371</v>
      </c>
      <c r="AH35" s="109">
        <f t="shared" si="11"/>
        <v>362.20937743779371</v>
      </c>
      <c r="AI35" s="109">
        <f t="shared" si="11"/>
        <v>362.20937743779371</v>
      </c>
      <c r="AJ35" s="109">
        <f t="shared" si="11"/>
        <v>362.20937743779371</v>
      </c>
      <c r="AK35" s="109">
        <f t="shared" si="11"/>
        <v>362.20937743779371</v>
      </c>
      <c r="AL35" s="109">
        <f t="shared" si="11"/>
        <v>362.20937743779371</v>
      </c>
      <c r="AM35" s="109">
        <f t="shared" si="11"/>
        <v>362.20937743779371</v>
      </c>
      <c r="AN35" s="109">
        <f t="shared" si="11"/>
        <v>362.20937743779371</v>
      </c>
      <c r="AO35" s="109">
        <f t="shared" si="11"/>
        <v>362.20937743779371</v>
      </c>
      <c r="AP35" s="109">
        <f t="shared" si="11"/>
        <v>362.20937743779371</v>
      </c>
      <c r="AQ35" s="109">
        <f t="shared" si="11"/>
        <v>362.20937743779371</v>
      </c>
      <c r="AR35" s="109">
        <f t="shared" si="11"/>
        <v>362.20937743779371</v>
      </c>
      <c r="AS35" s="109">
        <f t="shared" si="11"/>
        <v>0</v>
      </c>
      <c r="AT35" s="109">
        <f t="shared" si="11"/>
        <v>724.41875487558741</v>
      </c>
      <c r="AU35" s="109">
        <f t="shared" si="11"/>
        <v>362.20937743779371</v>
      </c>
      <c r="AV35" s="109">
        <f t="shared" si="11"/>
        <v>362.20937743779371</v>
      </c>
      <c r="AW35" s="109">
        <f t="shared" si="11"/>
        <v>362.20937743779371</v>
      </c>
      <c r="AX35" s="109">
        <f t="shared" si="11"/>
        <v>362.20937743779371</v>
      </c>
      <c r="AY35" s="109">
        <f t="shared" si="11"/>
        <v>362.20937743779371</v>
      </c>
    </row>
    <row r="36" spans="1:52">
      <c r="A36" s="109"/>
      <c r="B36" s="164" t="s">
        <v>345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</row>
    <row r="37" spans="1:52">
      <c r="A37" s="109"/>
      <c r="B37" s="164" t="s">
        <v>346</v>
      </c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</row>
    <row r="38" spans="1:52">
      <c r="A38" s="109"/>
      <c r="B38" s="164" t="s">
        <v>347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</row>
    <row r="39" spans="1:52">
      <c r="A39" s="109"/>
      <c r="B39" s="164" t="s">
        <v>348</v>
      </c>
      <c r="C39" s="109"/>
      <c r="D39" s="109">
        <f>D33-D36</f>
        <v>237.7420819298712</v>
      </c>
      <c r="E39" s="109">
        <f t="shared" ref="E39:AY39" si="12">E33-E36</f>
        <v>180.96820869035597</v>
      </c>
      <c r="F39" s="109">
        <f t="shared" si="12"/>
        <v>180.96820869035597</v>
      </c>
      <c r="G39" s="109">
        <f t="shared" si="12"/>
        <v>180.96820869035597</v>
      </c>
      <c r="H39" s="109">
        <f t="shared" si="12"/>
        <v>180.96820869035597</v>
      </c>
      <c r="I39" s="109">
        <f t="shared" si="12"/>
        <v>180.96820894043285</v>
      </c>
      <c r="J39" s="109">
        <f t="shared" si="12"/>
        <v>180.96820894043285</v>
      </c>
      <c r="K39" s="109">
        <f t="shared" si="12"/>
        <v>180.96820894043285</v>
      </c>
      <c r="L39" s="109">
        <f t="shared" si="12"/>
        <v>180.96820894043285</v>
      </c>
      <c r="M39" s="109">
        <f t="shared" si="12"/>
        <v>180.96820894043285</v>
      </c>
      <c r="N39" s="109">
        <f t="shared" si="12"/>
        <v>180.96820894043285</v>
      </c>
      <c r="O39" s="109">
        <f t="shared" si="12"/>
        <v>180.96820894043285</v>
      </c>
      <c r="P39" s="109">
        <f t="shared" si="12"/>
        <v>180.96820894043285</v>
      </c>
      <c r="Q39" s="109">
        <f t="shared" si="12"/>
        <v>180.96820894043285</v>
      </c>
      <c r="R39" s="109">
        <f t="shared" si="12"/>
        <v>180.96820894043285</v>
      </c>
      <c r="S39" s="109">
        <f t="shared" si="12"/>
        <v>180.96820894043285</v>
      </c>
      <c r="T39" s="109">
        <f t="shared" si="12"/>
        <v>180.96820894043285</v>
      </c>
      <c r="U39" s="109">
        <f t="shared" si="12"/>
        <v>180.91104643309049</v>
      </c>
      <c r="V39" s="109">
        <f t="shared" si="12"/>
        <v>180.91104643309049</v>
      </c>
      <c r="W39" s="109">
        <f t="shared" si="12"/>
        <v>180.91104643309049</v>
      </c>
      <c r="X39" s="109">
        <f t="shared" si="12"/>
        <v>180.91104643309049</v>
      </c>
      <c r="Y39" s="109">
        <f t="shared" si="12"/>
        <v>180.96820894043285</v>
      </c>
      <c r="Z39" s="109">
        <f t="shared" si="12"/>
        <v>180.96820894043285</v>
      </c>
      <c r="AA39" s="109">
        <f t="shared" si="12"/>
        <v>180.96820894043285</v>
      </c>
      <c r="AB39" s="109">
        <f t="shared" si="12"/>
        <v>180.96820894043285</v>
      </c>
      <c r="AC39" s="109">
        <f t="shared" si="12"/>
        <v>180.96820894043285</v>
      </c>
      <c r="AD39" s="109">
        <f t="shared" si="12"/>
        <v>180.96820894043285</v>
      </c>
      <c r="AE39" s="109">
        <f t="shared" si="12"/>
        <v>180.96820894043285</v>
      </c>
      <c r="AF39" s="109">
        <f t="shared" si="12"/>
        <v>180.96820894043285</v>
      </c>
      <c r="AG39" s="109">
        <f t="shared" si="12"/>
        <v>180.96820894043285</v>
      </c>
      <c r="AH39" s="109">
        <f t="shared" si="12"/>
        <v>180.96820894043285</v>
      </c>
      <c r="AI39" s="109">
        <f t="shared" si="12"/>
        <v>180.96820894043285</v>
      </c>
      <c r="AJ39" s="109">
        <f t="shared" si="12"/>
        <v>180.96820894043285</v>
      </c>
      <c r="AK39" s="109">
        <f t="shared" si="12"/>
        <v>180.96820894043285</v>
      </c>
      <c r="AL39" s="109">
        <f t="shared" si="12"/>
        <v>180.96820894043285</v>
      </c>
      <c r="AM39" s="109">
        <f t="shared" si="12"/>
        <v>180.96820894043285</v>
      </c>
      <c r="AN39" s="109">
        <f t="shared" si="12"/>
        <v>180.96820894043285</v>
      </c>
      <c r="AO39" s="109">
        <f t="shared" si="12"/>
        <v>180.96820894043285</v>
      </c>
      <c r="AP39" s="109">
        <f t="shared" si="12"/>
        <v>180.96820894043285</v>
      </c>
      <c r="AQ39" s="109">
        <f t="shared" si="12"/>
        <v>180.96820894043285</v>
      </c>
      <c r="AR39" s="109">
        <f t="shared" si="12"/>
        <v>180.96820894043285</v>
      </c>
      <c r="AS39" s="109">
        <f t="shared" si="12"/>
        <v>0</v>
      </c>
      <c r="AT39" s="109">
        <f t="shared" si="12"/>
        <v>361.93641788086569</v>
      </c>
      <c r="AU39" s="109">
        <f t="shared" si="12"/>
        <v>180.96820894043285</v>
      </c>
      <c r="AV39" s="109">
        <f t="shared" si="12"/>
        <v>180.96820894043285</v>
      </c>
      <c r="AW39" s="109">
        <f t="shared" si="12"/>
        <v>180.96820894043285</v>
      </c>
      <c r="AX39" s="109">
        <f t="shared" si="12"/>
        <v>180.96820894043285</v>
      </c>
      <c r="AY39" s="109">
        <f t="shared" si="12"/>
        <v>180.96820894043285</v>
      </c>
    </row>
    <row r="40" spans="1:52">
      <c r="A40" s="109"/>
      <c r="B40" s="164" t="s">
        <v>349</v>
      </c>
      <c r="C40" s="109"/>
      <c r="D40" s="109">
        <f>D34-D37</f>
        <v>238.10067515310456</v>
      </c>
      <c r="E40" s="109">
        <f t="shared" ref="E40:AY40" si="13">E34-E37</f>
        <v>181.24116824690682</v>
      </c>
      <c r="F40" s="109">
        <f t="shared" si="13"/>
        <v>181.24116824690682</v>
      </c>
      <c r="G40" s="109">
        <f t="shared" si="13"/>
        <v>181.24116824690682</v>
      </c>
      <c r="H40" s="109">
        <f t="shared" si="13"/>
        <v>181.24116824690682</v>
      </c>
      <c r="I40" s="109">
        <f t="shared" si="13"/>
        <v>181.24116849736086</v>
      </c>
      <c r="J40" s="109">
        <f t="shared" si="13"/>
        <v>181.24116849736086</v>
      </c>
      <c r="K40" s="109">
        <f t="shared" si="13"/>
        <v>181.24116849736086</v>
      </c>
      <c r="L40" s="109">
        <f t="shared" si="13"/>
        <v>181.24116849736086</v>
      </c>
      <c r="M40" s="109">
        <f t="shared" si="13"/>
        <v>181.24116849736086</v>
      </c>
      <c r="N40" s="109">
        <f t="shared" si="13"/>
        <v>181.24116849736086</v>
      </c>
      <c r="O40" s="109">
        <f t="shared" si="13"/>
        <v>181.24116849736086</v>
      </c>
      <c r="P40" s="109">
        <f t="shared" si="13"/>
        <v>181.24116849736086</v>
      </c>
      <c r="Q40" s="109">
        <f t="shared" si="13"/>
        <v>181.24116849736086</v>
      </c>
      <c r="R40" s="109">
        <f t="shared" si="13"/>
        <v>181.24116849736086</v>
      </c>
      <c r="S40" s="109">
        <f t="shared" si="13"/>
        <v>181.24116849736086</v>
      </c>
      <c r="T40" s="109">
        <f t="shared" si="13"/>
        <v>181.24116849736086</v>
      </c>
      <c r="U40" s="109">
        <f t="shared" si="13"/>
        <v>181.18391977016384</v>
      </c>
      <c r="V40" s="109">
        <f t="shared" si="13"/>
        <v>181.18391977016384</v>
      </c>
      <c r="W40" s="109">
        <f t="shared" si="13"/>
        <v>181.18391977016384</v>
      </c>
      <c r="X40" s="109">
        <f t="shared" si="13"/>
        <v>181.18391977016384</v>
      </c>
      <c r="Y40" s="109">
        <f t="shared" si="13"/>
        <v>181.24116849736086</v>
      </c>
      <c r="Z40" s="109">
        <f t="shared" si="13"/>
        <v>181.24116849736086</v>
      </c>
      <c r="AA40" s="109">
        <f t="shared" si="13"/>
        <v>181.24116849736086</v>
      </c>
      <c r="AB40" s="109">
        <f t="shared" si="13"/>
        <v>181.24116849736086</v>
      </c>
      <c r="AC40" s="109">
        <f t="shared" si="13"/>
        <v>181.24116849736086</v>
      </c>
      <c r="AD40" s="109">
        <f t="shared" si="13"/>
        <v>181.24116849736086</v>
      </c>
      <c r="AE40" s="109">
        <f t="shared" si="13"/>
        <v>181.24116849736086</v>
      </c>
      <c r="AF40" s="109">
        <f t="shared" si="13"/>
        <v>181.24116849736086</v>
      </c>
      <c r="AG40" s="109">
        <f t="shared" si="13"/>
        <v>181.24116849736086</v>
      </c>
      <c r="AH40" s="109">
        <f t="shared" si="13"/>
        <v>181.24116849736086</v>
      </c>
      <c r="AI40" s="109">
        <f t="shared" si="13"/>
        <v>181.24116849736086</v>
      </c>
      <c r="AJ40" s="109">
        <f t="shared" si="13"/>
        <v>181.24116849736086</v>
      </c>
      <c r="AK40" s="109">
        <f t="shared" si="13"/>
        <v>181.24116849736086</v>
      </c>
      <c r="AL40" s="109">
        <f t="shared" si="13"/>
        <v>181.24116849736086</v>
      </c>
      <c r="AM40" s="109">
        <f t="shared" si="13"/>
        <v>181.24116849736086</v>
      </c>
      <c r="AN40" s="109">
        <f t="shared" si="13"/>
        <v>181.24116849736086</v>
      </c>
      <c r="AO40" s="109">
        <f t="shared" si="13"/>
        <v>181.24116849736086</v>
      </c>
      <c r="AP40" s="109">
        <f t="shared" si="13"/>
        <v>181.24116849736086</v>
      </c>
      <c r="AQ40" s="109">
        <f t="shared" si="13"/>
        <v>181.24116849736086</v>
      </c>
      <c r="AR40" s="109">
        <f t="shared" si="13"/>
        <v>181.24116849736086</v>
      </c>
      <c r="AS40" s="109">
        <f t="shared" si="13"/>
        <v>0</v>
      </c>
      <c r="AT40" s="109">
        <f t="shared" si="13"/>
        <v>362.48233699472172</v>
      </c>
      <c r="AU40" s="109">
        <f t="shared" si="13"/>
        <v>181.24116849736086</v>
      </c>
      <c r="AV40" s="109">
        <f t="shared" si="13"/>
        <v>181.24116849736086</v>
      </c>
      <c r="AW40" s="109">
        <f t="shared" si="13"/>
        <v>181.24116849736086</v>
      </c>
      <c r="AX40" s="109">
        <f t="shared" si="13"/>
        <v>181.24116849736086</v>
      </c>
      <c r="AY40" s="109">
        <f t="shared" si="13"/>
        <v>181.24116849736086</v>
      </c>
    </row>
    <row r="41" spans="1:52">
      <c r="A41" s="109"/>
      <c r="B41" s="164" t="s">
        <v>350</v>
      </c>
      <c r="C41" s="109"/>
      <c r="D41" s="109">
        <v>1</v>
      </c>
      <c r="E41" s="109">
        <v>2</v>
      </c>
      <c r="F41" s="109">
        <v>2</v>
      </c>
      <c r="G41" s="109">
        <v>1</v>
      </c>
      <c r="H41" s="109">
        <v>1</v>
      </c>
      <c r="I41" s="109">
        <v>1</v>
      </c>
      <c r="J41" s="109">
        <v>1</v>
      </c>
      <c r="K41" s="109">
        <v>1</v>
      </c>
      <c r="L41" s="109">
        <v>2</v>
      </c>
      <c r="M41" s="109">
        <v>1</v>
      </c>
      <c r="N41" s="109">
        <v>3</v>
      </c>
      <c r="O41" s="109">
        <v>1</v>
      </c>
      <c r="P41" s="109">
        <v>1</v>
      </c>
      <c r="Q41" s="109">
        <v>1</v>
      </c>
      <c r="R41" s="109">
        <v>2</v>
      </c>
      <c r="S41" s="109">
        <v>1</v>
      </c>
      <c r="T41" s="109">
        <v>1</v>
      </c>
      <c r="U41" s="109">
        <v>2</v>
      </c>
      <c r="V41" s="109">
        <v>3</v>
      </c>
      <c r="W41" s="109">
        <v>1</v>
      </c>
      <c r="X41" s="109">
        <v>2</v>
      </c>
      <c r="Y41" s="109">
        <v>2</v>
      </c>
      <c r="Z41" s="109">
        <v>1</v>
      </c>
      <c r="AA41" s="109">
        <v>1</v>
      </c>
      <c r="AB41" s="109">
        <v>1</v>
      </c>
      <c r="AC41" s="109">
        <v>3</v>
      </c>
      <c r="AD41" s="109">
        <v>2</v>
      </c>
      <c r="AE41" s="109">
        <v>1</v>
      </c>
      <c r="AF41" s="109">
        <v>2</v>
      </c>
      <c r="AG41" s="109">
        <v>2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09">
        <v>2</v>
      </c>
      <c r="AN41" s="109">
        <v>2</v>
      </c>
      <c r="AO41" s="109">
        <v>3</v>
      </c>
      <c r="AP41" s="109">
        <v>3</v>
      </c>
      <c r="AQ41" s="109">
        <v>1</v>
      </c>
      <c r="AR41" s="109">
        <v>1</v>
      </c>
      <c r="AS41" s="109">
        <v>2</v>
      </c>
      <c r="AT41" s="109">
        <v>1</v>
      </c>
      <c r="AU41" s="109">
        <v>2</v>
      </c>
      <c r="AV41" s="109">
        <v>3</v>
      </c>
      <c r="AW41" s="109">
        <v>1</v>
      </c>
      <c r="AX41" s="109">
        <v>1</v>
      </c>
      <c r="AY41" s="109">
        <v>2</v>
      </c>
    </row>
    <row r="42" spans="1:52">
      <c r="A42" s="109"/>
      <c r="B42" s="178" t="s">
        <v>351</v>
      </c>
      <c r="C42" s="109"/>
      <c r="D42" s="109">
        <v>0</v>
      </c>
      <c r="E42" s="109">
        <v>0</v>
      </c>
      <c r="F42" s="109">
        <v>0</v>
      </c>
      <c r="G42" s="109">
        <v>0</v>
      </c>
      <c r="H42" s="109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09">
        <v>0</v>
      </c>
      <c r="AN42" s="109">
        <v>0</v>
      </c>
      <c r="AO42" s="109">
        <v>0</v>
      </c>
      <c r="AP42" s="109">
        <v>0</v>
      </c>
      <c r="AQ42" s="109">
        <v>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0</v>
      </c>
      <c r="AX42" s="109">
        <v>0</v>
      </c>
      <c r="AY42" s="109">
        <v>0</v>
      </c>
      <c r="AZ42" s="99">
        <f>SUM($D$42:$AY$42)</f>
        <v>0</v>
      </c>
    </row>
    <row r="43" spans="1:52">
      <c r="A43" s="109"/>
      <c r="B43" s="178" t="s">
        <v>352</v>
      </c>
      <c r="C43" s="109"/>
      <c r="D43" s="109">
        <v>385075.75116939819</v>
      </c>
      <c r="E43" s="109">
        <v>293117.93828647991</v>
      </c>
      <c r="F43" s="109">
        <v>293117.93828647991</v>
      </c>
      <c r="G43" s="109">
        <v>293117.93828647991</v>
      </c>
      <c r="H43" s="109">
        <v>293117.93828647991</v>
      </c>
      <c r="I43" s="109">
        <v>293117.93869153457</v>
      </c>
      <c r="J43" s="109">
        <v>293117.93869153457</v>
      </c>
      <c r="K43" s="109">
        <v>293117.93869153457</v>
      </c>
      <c r="L43" s="109">
        <v>293117.93869153457</v>
      </c>
      <c r="M43" s="109">
        <v>293117.93869153457</v>
      </c>
      <c r="N43" s="109">
        <v>293117.93869153457</v>
      </c>
      <c r="O43" s="109">
        <v>293117.93869153457</v>
      </c>
      <c r="P43" s="109">
        <v>293117.93869153457</v>
      </c>
      <c r="Q43" s="109">
        <v>293117.93869153457</v>
      </c>
      <c r="R43" s="109">
        <v>293117.93869153457</v>
      </c>
      <c r="S43" s="109">
        <v>293117.93869153457</v>
      </c>
      <c r="T43" s="109">
        <v>293117.93869153457</v>
      </c>
      <c r="U43" s="109">
        <v>293025.35139998357</v>
      </c>
      <c r="V43" s="109">
        <v>293025.35139998357</v>
      </c>
      <c r="W43" s="109">
        <v>293025.35139998357</v>
      </c>
      <c r="X43" s="109">
        <v>293025.35139998357</v>
      </c>
      <c r="Y43" s="109">
        <v>293117.93869153457</v>
      </c>
      <c r="Z43" s="109">
        <v>293117.93869153457</v>
      </c>
      <c r="AA43" s="109">
        <v>293117.93869153457</v>
      </c>
      <c r="AB43" s="109">
        <v>293117.93869153457</v>
      </c>
      <c r="AC43" s="109">
        <v>293117.93869153457</v>
      </c>
      <c r="AD43" s="109">
        <v>293117.93869153457</v>
      </c>
      <c r="AE43" s="109">
        <v>293117.93869153457</v>
      </c>
      <c r="AF43" s="109">
        <v>293117.93869153457</v>
      </c>
      <c r="AG43" s="109">
        <v>293117.93869153457</v>
      </c>
      <c r="AH43" s="109">
        <v>293117.93869153457</v>
      </c>
      <c r="AI43" s="109">
        <v>293117.93869153457</v>
      </c>
      <c r="AJ43" s="109">
        <v>293117.93869153457</v>
      </c>
      <c r="AK43" s="109">
        <v>293117.93869153457</v>
      </c>
      <c r="AL43" s="109">
        <v>293117.93869153457</v>
      </c>
      <c r="AM43" s="109">
        <v>293117.93869153457</v>
      </c>
      <c r="AN43" s="109">
        <v>293117.93869153457</v>
      </c>
      <c r="AO43" s="109">
        <v>293117.93869153457</v>
      </c>
      <c r="AP43" s="109">
        <v>293117.93869153457</v>
      </c>
      <c r="AQ43" s="109">
        <v>293117.93869153457</v>
      </c>
      <c r="AR43" s="109">
        <v>293117.93869153457</v>
      </c>
      <c r="AS43" s="109">
        <v>0</v>
      </c>
      <c r="AT43" s="109">
        <v>586235.87738306914</v>
      </c>
      <c r="AU43" s="109">
        <v>293117.93869153457</v>
      </c>
      <c r="AV43" s="109">
        <v>293117.93869153457</v>
      </c>
      <c r="AW43" s="109">
        <v>293117.93869153457</v>
      </c>
      <c r="AX43" s="109">
        <v>293117.93869153457</v>
      </c>
      <c r="AY43" s="109">
        <v>293117.93869153457</v>
      </c>
      <c r="AZ43" s="99">
        <f>SUM($D$43:$AY$43)</f>
        <v>14161248.518885087</v>
      </c>
    </row>
    <row r="44" spans="1:52">
      <c r="A44" s="134" t="s">
        <v>46</v>
      </c>
      <c r="B44" s="134" t="s">
        <v>342</v>
      </c>
      <c r="C44" s="123"/>
      <c r="D44" s="123">
        <f>D$21*shipping_manufacturing!$H$28/100</f>
        <v>0</v>
      </c>
      <c r="E44" s="123">
        <f>E$21*shipping_manufacturing!$H$28/100</f>
        <v>0</v>
      </c>
      <c r="F44" s="123">
        <f>F$21*shipping_manufacturing!$H$28/100</f>
        <v>0</v>
      </c>
      <c r="G44" s="123">
        <f>G$21*shipping_manufacturing!$H$28/100</f>
        <v>0</v>
      </c>
      <c r="H44" s="123">
        <f>H$21*shipping_manufacturing!$H$28/100</f>
        <v>0</v>
      </c>
      <c r="I44" s="123">
        <f>I$21*shipping_manufacturing!$H$28/100</f>
        <v>0</v>
      </c>
      <c r="J44" s="123">
        <f>J$21*shipping_manufacturing!$H$28/100</f>
        <v>0</v>
      </c>
      <c r="K44" s="123">
        <f>K$21*shipping_manufacturing!$H$28/100</f>
        <v>0</v>
      </c>
      <c r="L44" s="123">
        <f>L$21*shipping_manufacturing!$H$28/100</f>
        <v>0</v>
      </c>
      <c r="M44" s="123">
        <f>M$21*shipping_manufacturing!$H$28/100</f>
        <v>0</v>
      </c>
      <c r="N44" s="123">
        <f>N$21*shipping_manufacturing!$H$28/100</f>
        <v>0</v>
      </c>
      <c r="O44" s="123">
        <f>O$21*shipping_manufacturing!$H$28/100</f>
        <v>0</v>
      </c>
      <c r="P44" s="123">
        <f>P$21*shipping_manufacturing!$H$28/100</f>
        <v>0</v>
      </c>
      <c r="Q44" s="123">
        <f>Q$21*shipping_manufacturing!$H$28/100</f>
        <v>0</v>
      </c>
      <c r="R44" s="123">
        <f>R$21*shipping_manufacturing!$H$28/100</f>
        <v>0</v>
      </c>
      <c r="S44" s="123">
        <f>S$21*shipping_manufacturing!$H$28/100</f>
        <v>0</v>
      </c>
      <c r="T44" s="123">
        <f>T$21*shipping_manufacturing!$H$28/100</f>
        <v>0</v>
      </c>
      <c r="U44" s="123">
        <f>U$21*shipping_manufacturing!$H$28/100</f>
        <v>0</v>
      </c>
      <c r="V44" s="123">
        <f>V$21*shipping_manufacturing!$H$28/100</f>
        <v>0</v>
      </c>
      <c r="W44" s="123">
        <f>W$21*shipping_manufacturing!$H$28/100</f>
        <v>0</v>
      </c>
      <c r="X44" s="123">
        <f>X$21*shipping_manufacturing!$H$28/100</f>
        <v>0</v>
      </c>
      <c r="Y44" s="123">
        <f>Y$21*shipping_manufacturing!$H$28/100</f>
        <v>0</v>
      </c>
      <c r="Z44" s="123">
        <f>Z$21*shipping_manufacturing!$H$28/100</f>
        <v>0</v>
      </c>
      <c r="AA44" s="123">
        <f>AA$21*shipping_manufacturing!$H$28/100</f>
        <v>0</v>
      </c>
      <c r="AB44" s="123">
        <f>AB$21*shipping_manufacturing!$H$28/100</f>
        <v>0</v>
      </c>
      <c r="AC44" s="123">
        <f>AC$21*shipping_manufacturing!$H$28/100</f>
        <v>0</v>
      </c>
      <c r="AD44" s="123">
        <f>AD$21*shipping_manufacturing!$H$28/100</f>
        <v>0</v>
      </c>
      <c r="AE44" s="123">
        <f>AE$21*shipping_manufacturing!$H$28/100</f>
        <v>0</v>
      </c>
      <c r="AF44" s="123">
        <f>AF$21*shipping_manufacturing!$H$28/100</f>
        <v>0</v>
      </c>
      <c r="AG44" s="123">
        <f>AG$21*shipping_manufacturing!$H$28/100</f>
        <v>0</v>
      </c>
      <c r="AH44" s="123">
        <f>AH$21*shipping_manufacturing!$H$28/100</f>
        <v>0</v>
      </c>
      <c r="AI44" s="123">
        <f>AI$21*shipping_manufacturing!$H$28/100</f>
        <v>0</v>
      </c>
      <c r="AJ44" s="123">
        <f>AJ$21*shipping_manufacturing!$H$28/100</f>
        <v>0</v>
      </c>
      <c r="AK44" s="123">
        <f>AK$21*shipping_manufacturing!$H$28/100</f>
        <v>0</v>
      </c>
      <c r="AL44" s="123">
        <f>AL$21*shipping_manufacturing!$H$28/100</f>
        <v>0</v>
      </c>
      <c r="AM44" s="123">
        <f>AM$21*shipping_manufacturing!$H$28/100</f>
        <v>0</v>
      </c>
      <c r="AN44" s="123">
        <f>AN$21*shipping_manufacturing!$H$28/100</f>
        <v>0</v>
      </c>
      <c r="AO44" s="123">
        <f>AO$21*shipping_manufacturing!$H$28/100</f>
        <v>0</v>
      </c>
      <c r="AP44" s="123">
        <f>AP$21*shipping_manufacturing!$H$28/100</f>
        <v>0</v>
      </c>
      <c r="AQ44" s="123">
        <f>AQ$21*shipping_manufacturing!$H$28/100</f>
        <v>0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0</v>
      </c>
      <c r="AV44" s="123">
        <f>AV$21*shipping_manufacturing!$H$28/100</f>
        <v>0</v>
      </c>
      <c r="AW44" s="123">
        <f>AW$21*shipping_manufacturing!$H$28/100</f>
        <v>0</v>
      </c>
      <c r="AX44" s="123">
        <f>AX$21*shipping_manufacturing!$H$28/100</f>
        <v>0</v>
      </c>
      <c r="AY44" s="123">
        <f>AY$21*shipping_manufacturing!$H$28/100</f>
        <v>0</v>
      </c>
    </row>
    <row r="45" spans="1:52">
      <c r="A45" s="112" t="s">
        <v>341</v>
      </c>
      <c r="B45" s="164" t="s">
        <v>343</v>
      </c>
      <c r="C45" s="109"/>
      <c r="D45" s="109">
        <f>D$22*shipping_manufacturing!$I$28/100</f>
        <v>0</v>
      </c>
      <c r="E45" s="109">
        <f>E$22*shipping_manufacturing!$I$28/100</f>
        <v>0</v>
      </c>
      <c r="F45" s="109">
        <f>F$22*shipping_manufacturing!$I$28/100</f>
        <v>0</v>
      </c>
      <c r="G45" s="109">
        <f>G$22*shipping_manufacturing!$I$28/100</f>
        <v>0</v>
      </c>
      <c r="H45" s="109">
        <f>H$22*shipping_manufacturing!$I$28/100</f>
        <v>0</v>
      </c>
      <c r="I45" s="109">
        <f>I$22*shipping_manufacturing!$I$28/100</f>
        <v>0</v>
      </c>
      <c r="J45" s="109">
        <f>J$22*shipping_manufacturing!$I$28/100</f>
        <v>0</v>
      </c>
      <c r="K45" s="109">
        <f>K$22*shipping_manufacturing!$I$28/100</f>
        <v>0</v>
      </c>
      <c r="L45" s="109">
        <f>L$22*shipping_manufacturing!$I$28/100</f>
        <v>0</v>
      </c>
      <c r="M45" s="109">
        <f>M$22*shipping_manufacturing!$I$28/100</f>
        <v>0</v>
      </c>
      <c r="N45" s="109">
        <f>N$22*shipping_manufacturing!$I$28/100</f>
        <v>0</v>
      </c>
      <c r="O45" s="109">
        <f>O$22*shipping_manufacturing!$I$28/100</f>
        <v>0</v>
      </c>
      <c r="P45" s="109">
        <f>P$22*shipping_manufacturing!$I$28/100</f>
        <v>0</v>
      </c>
      <c r="Q45" s="109">
        <f>Q$22*shipping_manufacturing!$I$28/100</f>
        <v>0</v>
      </c>
      <c r="R45" s="109">
        <f>R$22*shipping_manufacturing!$I$28/100</f>
        <v>0</v>
      </c>
      <c r="S45" s="109">
        <f>S$22*shipping_manufacturing!$I$28/100</f>
        <v>0</v>
      </c>
      <c r="T45" s="109">
        <f>T$22*shipping_manufacturing!$I$28/100</f>
        <v>0</v>
      </c>
      <c r="U45" s="109">
        <f>U$22*shipping_manufacturing!$I$28/100</f>
        <v>0</v>
      </c>
      <c r="V45" s="109">
        <f>V$22*shipping_manufacturing!$I$28/100</f>
        <v>0</v>
      </c>
      <c r="W45" s="109">
        <f>W$22*shipping_manufacturing!$I$28/100</f>
        <v>0</v>
      </c>
      <c r="X45" s="109">
        <f>X$22*shipping_manufacturing!$I$28/100</f>
        <v>0</v>
      </c>
      <c r="Y45" s="109">
        <f>Y$22*shipping_manufacturing!$I$28/100</f>
        <v>0</v>
      </c>
      <c r="Z45" s="109">
        <f>Z$22*shipping_manufacturing!$I$28/100</f>
        <v>0</v>
      </c>
      <c r="AA45" s="109">
        <f>AA$22*shipping_manufacturing!$I$28/100</f>
        <v>0</v>
      </c>
      <c r="AB45" s="109">
        <f>AB$22*shipping_manufacturing!$I$28/100</f>
        <v>0</v>
      </c>
      <c r="AC45" s="109">
        <f>AC$22*shipping_manufacturing!$I$28/100</f>
        <v>0</v>
      </c>
      <c r="AD45" s="109">
        <f>AD$22*shipping_manufacturing!$I$28/100</f>
        <v>0</v>
      </c>
      <c r="AE45" s="109">
        <f>AE$22*shipping_manufacturing!$I$28/100</f>
        <v>0</v>
      </c>
      <c r="AF45" s="109">
        <f>AF$22*shipping_manufacturing!$I$28/100</f>
        <v>0</v>
      </c>
      <c r="AG45" s="109">
        <f>AG$22*shipping_manufacturing!$I$28/100</f>
        <v>0</v>
      </c>
      <c r="AH45" s="109">
        <f>AH$22*shipping_manufacturing!$I$28/100</f>
        <v>0</v>
      </c>
      <c r="AI45" s="109">
        <f>AI$22*shipping_manufacturing!$I$28/100</f>
        <v>0</v>
      </c>
      <c r="AJ45" s="109">
        <f>AJ$22*shipping_manufacturing!$I$28/100</f>
        <v>0</v>
      </c>
      <c r="AK45" s="109">
        <f>AK$22*shipping_manufacturing!$I$28/100</f>
        <v>0</v>
      </c>
      <c r="AL45" s="109">
        <f>AL$22*shipping_manufacturing!$I$28/100</f>
        <v>0</v>
      </c>
      <c r="AM45" s="109">
        <f>AM$22*shipping_manufacturing!$I$28/100</f>
        <v>0</v>
      </c>
      <c r="AN45" s="109">
        <f>AN$22*shipping_manufacturing!$I$28/100</f>
        <v>0</v>
      </c>
      <c r="AO45" s="109">
        <f>AO$22*shipping_manufacturing!$I$28/100</f>
        <v>0</v>
      </c>
      <c r="AP45" s="109">
        <f>AP$22*shipping_manufacturing!$I$28/100</f>
        <v>0</v>
      </c>
      <c r="AQ45" s="109">
        <f>AQ$22*shipping_manufacturing!$I$28/100</f>
        <v>0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0</v>
      </c>
      <c r="AV45" s="109">
        <f>AV$22*shipping_manufacturing!$I$28/100</f>
        <v>0</v>
      </c>
      <c r="AW45" s="109">
        <f>AW$22*shipping_manufacturing!$I$28/100</f>
        <v>0</v>
      </c>
      <c r="AX45" s="109">
        <f>AX$22*shipping_manufacturing!$I$28/100</f>
        <v>0</v>
      </c>
      <c r="AY45" s="109">
        <f>AY$22*shipping_manufacturing!$I$28/100</f>
        <v>0</v>
      </c>
    </row>
    <row r="46" spans="1:52">
      <c r="A46" s="109">
        <v>1893</v>
      </c>
      <c r="B46" s="164" t="s">
        <v>344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345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346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347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348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349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350</v>
      </c>
      <c r="C52" s="109"/>
      <c r="D52" s="109">
        <v>2</v>
      </c>
      <c r="E52" s="109">
        <v>1</v>
      </c>
      <c r="F52" s="109">
        <v>1</v>
      </c>
      <c r="G52" s="109">
        <v>2</v>
      </c>
      <c r="H52" s="109">
        <v>1</v>
      </c>
      <c r="I52" s="109">
        <v>3</v>
      </c>
      <c r="J52" s="109">
        <v>3</v>
      </c>
      <c r="K52" s="109">
        <v>1</v>
      </c>
      <c r="L52" s="109">
        <v>2</v>
      </c>
      <c r="M52" s="109">
        <v>1</v>
      </c>
      <c r="N52" s="109">
        <v>1</v>
      </c>
      <c r="O52" s="109">
        <v>2</v>
      </c>
      <c r="P52" s="109">
        <v>2</v>
      </c>
      <c r="Q52" s="109">
        <v>1</v>
      </c>
      <c r="R52" s="109">
        <v>1</v>
      </c>
      <c r="S52" s="109">
        <v>1</v>
      </c>
      <c r="T52" s="109">
        <v>1</v>
      </c>
      <c r="U52" s="109">
        <v>2</v>
      </c>
      <c r="V52" s="109">
        <v>1</v>
      </c>
      <c r="W52" s="109">
        <v>1</v>
      </c>
      <c r="X52" s="109">
        <v>2</v>
      </c>
      <c r="Y52" s="109">
        <v>1</v>
      </c>
      <c r="Z52" s="109">
        <v>2</v>
      </c>
      <c r="AA52" s="109">
        <v>1</v>
      </c>
      <c r="AB52" s="109">
        <v>1</v>
      </c>
      <c r="AC52" s="109">
        <v>1</v>
      </c>
      <c r="AD52" s="109">
        <v>2</v>
      </c>
      <c r="AE52" s="109">
        <v>1</v>
      </c>
      <c r="AF52" s="109">
        <v>1</v>
      </c>
      <c r="AG52" s="109">
        <v>1</v>
      </c>
      <c r="AH52" s="109">
        <v>2</v>
      </c>
      <c r="AI52" s="109">
        <v>1</v>
      </c>
      <c r="AJ52" s="109">
        <v>3</v>
      </c>
      <c r="AK52" s="109">
        <v>2</v>
      </c>
      <c r="AL52" s="109">
        <v>1</v>
      </c>
      <c r="AM52" s="109">
        <v>1</v>
      </c>
      <c r="AN52" s="109">
        <v>1</v>
      </c>
      <c r="AO52" s="109">
        <v>2</v>
      </c>
      <c r="AP52" s="109">
        <v>1</v>
      </c>
      <c r="AQ52" s="109">
        <v>1</v>
      </c>
      <c r="AR52" s="109">
        <v>1</v>
      </c>
      <c r="AS52" s="109">
        <v>2</v>
      </c>
      <c r="AT52" s="109">
        <v>1</v>
      </c>
      <c r="AU52" s="109">
        <v>1</v>
      </c>
      <c r="AV52" s="109">
        <v>1</v>
      </c>
      <c r="AW52" s="109">
        <v>1</v>
      </c>
      <c r="AX52" s="109">
        <v>1</v>
      </c>
      <c r="AY52" s="109">
        <v>1</v>
      </c>
    </row>
    <row r="53" spans="1:52">
      <c r="A53" s="109"/>
      <c r="B53" s="178" t="s">
        <v>351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09"/>
      <c r="B54" s="178" t="s">
        <v>352</v>
      </c>
      <c r="C54" s="109"/>
      <c r="D54" s="109">
        <v>0</v>
      </c>
      <c r="E54" s="109">
        <v>0</v>
      </c>
      <c r="F54" s="109">
        <v>0</v>
      </c>
      <c r="G54" s="109">
        <v>0</v>
      </c>
      <c r="H54" s="109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09">
        <v>0</v>
      </c>
      <c r="AN54" s="109">
        <v>0</v>
      </c>
      <c r="AO54" s="109">
        <v>0</v>
      </c>
      <c r="AP54" s="109">
        <v>0</v>
      </c>
      <c r="AQ54" s="109">
        <v>0</v>
      </c>
      <c r="AR54" s="109">
        <v>0</v>
      </c>
      <c r="AS54" s="109">
        <v>0</v>
      </c>
      <c r="AT54" s="109">
        <v>0</v>
      </c>
      <c r="AU54" s="109">
        <v>0</v>
      </c>
      <c r="AV54" s="109">
        <v>0</v>
      </c>
      <c r="AW54" s="109">
        <v>0</v>
      </c>
      <c r="AX54" s="109">
        <v>0</v>
      </c>
      <c r="AY54" s="109">
        <v>0</v>
      </c>
      <c r="AZ54" s="99">
        <f>SUM($D$54:$AY$54)</f>
        <v>0</v>
      </c>
    </row>
    <row r="55" spans="1:52">
      <c r="A55" s="134" t="s">
        <v>59</v>
      </c>
      <c r="B55" s="134" t="s">
        <v>342</v>
      </c>
      <c r="C55" s="123"/>
      <c r="D55" s="123">
        <f>D$21*shipping_manufacturing!$H$29/100</f>
        <v>783.93671942379149</v>
      </c>
      <c r="E55" s="123">
        <f>E$21*shipping_manufacturing!$H$29/100</f>
        <v>596.72912211884159</v>
      </c>
      <c r="F55" s="123">
        <f>F$21*shipping_manufacturing!$H$29/100</f>
        <v>596.72912211884159</v>
      </c>
      <c r="G55" s="123">
        <f>G$21*shipping_manufacturing!$H$29/100</f>
        <v>596.72912211884159</v>
      </c>
      <c r="H55" s="123">
        <f>H$21*shipping_manufacturing!$H$29/100</f>
        <v>596.72912211884159</v>
      </c>
      <c r="I55" s="123">
        <f>I$21*shipping_manufacturing!$H$29/100</f>
        <v>596.72912294345133</v>
      </c>
      <c r="J55" s="123">
        <f>J$21*shipping_manufacturing!$H$29/100</f>
        <v>596.72912294345133</v>
      </c>
      <c r="K55" s="123">
        <f>K$21*shipping_manufacturing!$H$29/100</f>
        <v>596.72912294345133</v>
      </c>
      <c r="L55" s="123">
        <f>L$21*shipping_manufacturing!$H$29/100</f>
        <v>596.72912294345133</v>
      </c>
      <c r="M55" s="123">
        <f>M$21*shipping_manufacturing!$H$29/100</f>
        <v>596.72912294345133</v>
      </c>
      <c r="N55" s="123">
        <f>N$21*shipping_manufacturing!$H$29/100</f>
        <v>596.72912294345133</v>
      </c>
      <c r="O55" s="123">
        <f>O$21*shipping_manufacturing!$H$29/100</f>
        <v>596.72912294345133</v>
      </c>
      <c r="P55" s="123">
        <f>P$21*shipping_manufacturing!$H$29/100</f>
        <v>596.72912294345133</v>
      </c>
      <c r="Q55" s="123">
        <f>Q$21*shipping_manufacturing!$H$29/100</f>
        <v>596.72912294345133</v>
      </c>
      <c r="R55" s="123">
        <f>R$21*shipping_manufacturing!$H$29/100</f>
        <v>596.72912294345133</v>
      </c>
      <c r="S55" s="123">
        <f>S$21*shipping_manufacturing!$H$29/100</f>
        <v>596.72912294345133</v>
      </c>
      <c r="T55" s="123">
        <f>T$21*shipping_manufacturing!$H$29/100</f>
        <v>596.72912294345133</v>
      </c>
      <c r="U55" s="123">
        <f>U$21*shipping_manufacturing!$H$29/100</f>
        <v>596.54063385428276</v>
      </c>
      <c r="V55" s="123">
        <f>V$21*shipping_manufacturing!$H$29/100</f>
        <v>596.54063385428276</v>
      </c>
      <c r="W55" s="123">
        <f>W$21*shipping_manufacturing!$H$29/100</f>
        <v>596.54063385428276</v>
      </c>
      <c r="X55" s="123">
        <f>X$21*shipping_manufacturing!$H$29/100</f>
        <v>596.54063385428276</v>
      </c>
      <c r="Y55" s="123">
        <f>Y$21*shipping_manufacturing!$H$29/100</f>
        <v>596.72912294345133</v>
      </c>
      <c r="Z55" s="123">
        <f>Z$21*shipping_manufacturing!$H$29/100</f>
        <v>596.72912294345133</v>
      </c>
      <c r="AA55" s="123">
        <f>AA$21*shipping_manufacturing!$H$29/100</f>
        <v>596.72912294345133</v>
      </c>
      <c r="AB55" s="123">
        <f>AB$21*shipping_manufacturing!$H$29/100</f>
        <v>596.72912294345133</v>
      </c>
      <c r="AC55" s="123">
        <f>AC$21*shipping_manufacturing!$H$29/100</f>
        <v>596.72912294345133</v>
      </c>
      <c r="AD55" s="123">
        <f>AD$21*shipping_manufacturing!$H$29/100</f>
        <v>596.72912294345133</v>
      </c>
      <c r="AE55" s="123">
        <f>AE$21*shipping_manufacturing!$H$29/100</f>
        <v>596.72912294345133</v>
      </c>
      <c r="AF55" s="123">
        <f>AF$21*shipping_manufacturing!$H$29/100</f>
        <v>596.72912294345133</v>
      </c>
      <c r="AG55" s="123">
        <f>AG$21*shipping_manufacturing!$H$29/100</f>
        <v>596.72912294345133</v>
      </c>
      <c r="AH55" s="123">
        <f>AH$21*shipping_manufacturing!$H$29/100</f>
        <v>596.72912294345133</v>
      </c>
      <c r="AI55" s="123">
        <f>AI$21*shipping_manufacturing!$H$29/100</f>
        <v>596.72912294345133</v>
      </c>
      <c r="AJ55" s="123">
        <f>AJ$21*shipping_manufacturing!$H$29/100</f>
        <v>596.72912294345133</v>
      </c>
      <c r="AK55" s="123">
        <f>AK$21*shipping_manufacturing!$H$29/100</f>
        <v>596.72912294345133</v>
      </c>
      <c r="AL55" s="123">
        <f>AL$21*shipping_manufacturing!$H$29/100</f>
        <v>596.72912294345133</v>
      </c>
      <c r="AM55" s="123">
        <f>AM$21*shipping_manufacturing!$H$29/100</f>
        <v>596.72912294345133</v>
      </c>
      <c r="AN55" s="123">
        <f>AN$21*shipping_manufacturing!$H$29/100</f>
        <v>596.72912294345133</v>
      </c>
      <c r="AO55" s="123">
        <f>AO$21*shipping_manufacturing!$H$29/100</f>
        <v>596.72912294345133</v>
      </c>
      <c r="AP55" s="123">
        <f>AP$21*shipping_manufacturing!$H$29/100</f>
        <v>596.72912294345133</v>
      </c>
      <c r="AQ55" s="123">
        <f>AQ$21*shipping_manufacturing!$H$29/100</f>
        <v>596.72912294345133</v>
      </c>
      <c r="AR55" s="123">
        <f>AR$21*shipping_manufacturing!$H$29/100</f>
        <v>596.72912294345133</v>
      </c>
      <c r="AS55" s="123">
        <f>AS$21*shipping_manufacturing!$H$29/100</f>
        <v>0</v>
      </c>
      <c r="AT55" s="123">
        <f>AT$21*shipping_manufacturing!$H$29/100</f>
        <v>1193.4582458869027</v>
      </c>
      <c r="AU55" s="123">
        <f>AU$21*shipping_manufacturing!$H$29/100</f>
        <v>596.72912294345133</v>
      </c>
      <c r="AV55" s="123">
        <f>AV$21*shipping_manufacturing!$H$29/100</f>
        <v>596.72912294345133</v>
      </c>
      <c r="AW55" s="123">
        <f>AW$21*shipping_manufacturing!$H$29/100</f>
        <v>596.72912294345133</v>
      </c>
      <c r="AX55" s="123">
        <f>AX$21*shipping_manufacturing!$H$29/100</f>
        <v>596.72912294345133</v>
      </c>
      <c r="AY55" s="123">
        <f>AY$21*shipping_manufacturing!$H$29/100</f>
        <v>596.72912294345133</v>
      </c>
    </row>
    <row r="56" spans="1:52">
      <c r="A56" s="112" t="s">
        <v>341</v>
      </c>
      <c r="B56" s="164" t="s">
        <v>343</v>
      </c>
      <c r="C56" s="109"/>
      <c r="D56" s="109">
        <f>D$22*shipping_manufacturing!$I$29/100</f>
        <v>875.72929721988339</v>
      </c>
      <c r="E56" s="109">
        <f>E$22*shipping_manufacturing!$I$29/100</f>
        <v>666.6012214963888</v>
      </c>
      <c r="F56" s="109">
        <f>F$22*shipping_manufacturing!$I$29/100</f>
        <v>666.6012214963888</v>
      </c>
      <c r="G56" s="109">
        <f>G$22*shipping_manufacturing!$I$29/100</f>
        <v>666.6012214963888</v>
      </c>
      <c r="H56" s="109">
        <f>H$22*shipping_manufacturing!$I$29/100</f>
        <v>666.6012214963888</v>
      </c>
      <c r="I56" s="109">
        <f>I$22*shipping_manufacturing!$I$29/100</f>
        <v>666.60122241755346</v>
      </c>
      <c r="J56" s="109">
        <f>J$22*shipping_manufacturing!$I$29/100</f>
        <v>666.60122241755346</v>
      </c>
      <c r="K56" s="109">
        <f>K$22*shipping_manufacturing!$I$29/100</f>
        <v>666.60122241755346</v>
      </c>
      <c r="L56" s="109">
        <f>L$22*shipping_manufacturing!$I$29/100</f>
        <v>666.60122241755346</v>
      </c>
      <c r="M56" s="109">
        <f>M$22*shipping_manufacturing!$I$29/100</f>
        <v>666.60122241755346</v>
      </c>
      <c r="N56" s="109">
        <f>N$22*shipping_manufacturing!$I$29/100</f>
        <v>666.60122241755346</v>
      </c>
      <c r="O56" s="109">
        <f>O$22*shipping_manufacturing!$I$29/100</f>
        <v>666.60122241755346</v>
      </c>
      <c r="P56" s="109">
        <f>P$22*shipping_manufacturing!$I$29/100</f>
        <v>666.60122241755346</v>
      </c>
      <c r="Q56" s="109">
        <f>Q$22*shipping_manufacturing!$I$29/100</f>
        <v>666.60122241755346</v>
      </c>
      <c r="R56" s="109">
        <f>R$22*shipping_manufacturing!$I$29/100</f>
        <v>666.60122241755346</v>
      </c>
      <c r="S56" s="109">
        <f>S$22*shipping_manufacturing!$I$29/100</f>
        <v>666.60122241755346</v>
      </c>
      <c r="T56" s="109">
        <f>T$22*shipping_manufacturing!$I$29/100</f>
        <v>666.60122241755346</v>
      </c>
      <c r="U56" s="109">
        <f>U$22*shipping_manufacturing!$I$29/100</f>
        <v>666.39066279775102</v>
      </c>
      <c r="V56" s="109">
        <f>V$22*shipping_manufacturing!$I$29/100</f>
        <v>666.39066279775102</v>
      </c>
      <c r="W56" s="109">
        <f>W$22*shipping_manufacturing!$I$29/100</f>
        <v>666.39066279775102</v>
      </c>
      <c r="X56" s="109">
        <f>X$22*shipping_manufacturing!$I$29/100</f>
        <v>666.39066279775102</v>
      </c>
      <c r="Y56" s="109">
        <f>Y$22*shipping_manufacturing!$I$29/100</f>
        <v>666.60122241755346</v>
      </c>
      <c r="Z56" s="109">
        <f>Z$22*shipping_manufacturing!$I$29/100</f>
        <v>666.60122241755346</v>
      </c>
      <c r="AA56" s="109">
        <f>AA$22*shipping_manufacturing!$I$29/100</f>
        <v>666.60122241755346</v>
      </c>
      <c r="AB56" s="109">
        <f>AB$22*shipping_manufacturing!$I$29/100</f>
        <v>666.60122241755346</v>
      </c>
      <c r="AC56" s="109">
        <f>AC$22*shipping_manufacturing!$I$29/100</f>
        <v>666.60122241755346</v>
      </c>
      <c r="AD56" s="109">
        <f>AD$22*shipping_manufacturing!$I$29/100</f>
        <v>666.60122241755346</v>
      </c>
      <c r="AE56" s="109">
        <f>AE$22*shipping_manufacturing!$I$29/100</f>
        <v>666.60122241755346</v>
      </c>
      <c r="AF56" s="109">
        <f>AF$22*shipping_manufacturing!$I$29/100</f>
        <v>666.60122241755346</v>
      </c>
      <c r="AG56" s="109">
        <f>AG$22*shipping_manufacturing!$I$29/100</f>
        <v>666.60122241755346</v>
      </c>
      <c r="AH56" s="109">
        <f>AH$22*shipping_manufacturing!$I$29/100</f>
        <v>666.60122241755346</v>
      </c>
      <c r="AI56" s="109">
        <f>AI$22*shipping_manufacturing!$I$29/100</f>
        <v>666.60122241755346</v>
      </c>
      <c r="AJ56" s="109">
        <f>AJ$22*shipping_manufacturing!$I$29/100</f>
        <v>666.60122241755346</v>
      </c>
      <c r="AK56" s="109">
        <f>AK$22*shipping_manufacturing!$I$29/100</f>
        <v>666.60122241755346</v>
      </c>
      <c r="AL56" s="109">
        <f>AL$22*shipping_manufacturing!$I$29/100</f>
        <v>666.60122241755346</v>
      </c>
      <c r="AM56" s="109">
        <f>AM$22*shipping_manufacturing!$I$29/100</f>
        <v>666.60122241755346</v>
      </c>
      <c r="AN56" s="109">
        <f>AN$22*shipping_manufacturing!$I$29/100</f>
        <v>666.60122241755346</v>
      </c>
      <c r="AO56" s="109">
        <f>AO$22*shipping_manufacturing!$I$29/100</f>
        <v>666.60122241755346</v>
      </c>
      <c r="AP56" s="109">
        <f>AP$22*shipping_manufacturing!$I$29/100</f>
        <v>666.60122241755346</v>
      </c>
      <c r="AQ56" s="109">
        <f>AQ$22*shipping_manufacturing!$I$29/100</f>
        <v>666.60122241755346</v>
      </c>
      <c r="AR56" s="109">
        <f>AR$22*shipping_manufacturing!$I$29/100</f>
        <v>666.60122241755346</v>
      </c>
      <c r="AS56" s="109">
        <f>AS$22*shipping_manufacturing!$I$29/100</f>
        <v>0</v>
      </c>
      <c r="AT56" s="109">
        <f>AT$22*shipping_manufacturing!$I$29/100</f>
        <v>1333.2024448351069</v>
      </c>
      <c r="AU56" s="109">
        <f>AU$22*shipping_manufacturing!$I$29/100</f>
        <v>666.60122241755346</v>
      </c>
      <c r="AV56" s="109">
        <f>AV$22*shipping_manufacturing!$I$29/100</f>
        <v>666.60122241755346</v>
      </c>
      <c r="AW56" s="109">
        <f>AW$22*shipping_manufacturing!$I$29/100</f>
        <v>666.60122241755346</v>
      </c>
      <c r="AX56" s="109">
        <f>AX$22*shipping_manufacturing!$I$29/100</f>
        <v>666.60122241755346</v>
      </c>
      <c r="AY56" s="109">
        <f>AY$22*shipping_manufacturing!$I$29/100</f>
        <v>666.60122241755346</v>
      </c>
    </row>
    <row r="57" spans="1:52">
      <c r="A57" s="109">
        <v>495</v>
      </c>
      <c r="B57" s="164" t="s">
        <v>344</v>
      </c>
      <c r="C57" s="109"/>
      <c r="D57" s="109">
        <f>SUM(D55:D56)</f>
        <v>1659.666016643675</v>
      </c>
      <c r="E57" s="109">
        <f t="shared" ref="E57:AY57" si="17">SUM(E55:E56)</f>
        <v>1263.3303436152305</v>
      </c>
      <c r="F57" s="109">
        <f t="shared" si="17"/>
        <v>1263.3303436152305</v>
      </c>
      <c r="G57" s="109">
        <f t="shared" si="17"/>
        <v>1263.3303436152305</v>
      </c>
      <c r="H57" s="109">
        <f t="shared" si="17"/>
        <v>1263.3303436152305</v>
      </c>
      <c r="I57" s="109">
        <f t="shared" si="17"/>
        <v>1263.3303453610047</v>
      </c>
      <c r="J57" s="109">
        <f t="shared" si="17"/>
        <v>1263.3303453610047</v>
      </c>
      <c r="K57" s="109">
        <f t="shared" si="17"/>
        <v>1263.3303453610047</v>
      </c>
      <c r="L57" s="109">
        <f t="shared" si="17"/>
        <v>1263.3303453610047</v>
      </c>
      <c r="M57" s="109">
        <f t="shared" si="17"/>
        <v>1263.3303453610047</v>
      </c>
      <c r="N57" s="109">
        <f t="shared" si="17"/>
        <v>1263.3303453610047</v>
      </c>
      <c r="O57" s="109">
        <f t="shared" si="17"/>
        <v>1263.3303453610047</v>
      </c>
      <c r="P57" s="109">
        <f t="shared" si="17"/>
        <v>1263.3303453610047</v>
      </c>
      <c r="Q57" s="109">
        <f t="shared" si="17"/>
        <v>1263.3303453610047</v>
      </c>
      <c r="R57" s="109">
        <f t="shared" si="17"/>
        <v>1263.3303453610047</v>
      </c>
      <c r="S57" s="109">
        <f t="shared" si="17"/>
        <v>1263.3303453610047</v>
      </c>
      <c r="T57" s="109">
        <f t="shared" si="17"/>
        <v>1263.3303453610047</v>
      </c>
      <c r="U57" s="109">
        <f t="shared" si="17"/>
        <v>1262.9312966520338</v>
      </c>
      <c r="V57" s="109">
        <f t="shared" si="17"/>
        <v>1262.9312966520338</v>
      </c>
      <c r="W57" s="109">
        <f t="shared" si="17"/>
        <v>1262.9312966520338</v>
      </c>
      <c r="X57" s="109">
        <f t="shared" si="17"/>
        <v>1262.9312966520338</v>
      </c>
      <c r="Y57" s="109">
        <f t="shared" si="17"/>
        <v>1263.3303453610047</v>
      </c>
      <c r="Z57" s="109">
        <f t="shared" si="17"/>
        <v>1263.3303453610047</v>
      </c>
      <c r="AA57" s="109">
        <f t="shared" si="17"/>
        <v>1263.3303453610047</v>
      </c>
      <c r="AB57" s="109">
        <f t="shared" si="17"/>
        <v>1263.3303453610047</v>
      </c>
      <c r="AC57" s="109">
        <f t="shared" si="17"/>
        <v>1263.3303453610047</v>
      </c>
      <c r="AD57" s="109">
        <f t="shared" si="17"/>
        <v>1263.3303453610047</v>
      </c>
      <c r="AE57" s="109">
        <f t="shared" si="17"/>
        <v>1263.3303453610047</v>
      </c>
      <c r="AF57" s="109">
        <f t="shared" si="17"/>
        <v>1263.3303453610047</v>
      </c>
      <c r="AG57" s="109">
        <f t="shared" si="17"/>
        <v>1263.3303453610047</v>
      </c>
      <c r="AH57" s="109">
        <f t="shared" si="17"/>
        <v>1263.3303453610047</v>
      </c>
      <c r="AI57" s="109">
        <f t="shared" si="17"/>
        <v>1263.3303453610047</v>
      </c>
      <c r="AJ57" s="109">
        <f t="shared" si="17"/>
        <v>1263.3303453610047</v>
      </c>
      <c r="AK57" s="109">
        <f t="shared" si="17"/>
        <v>1263.3303453610047</v>
      </c>
      <c r="AL57" s="109">
        <f t="shared" si="17"/>
        <v>1263.3303453610047</v>
      </c>
      <c r="AM57" s="109">
        <f t="shared" si="17"/>
        <v>1263.3303453610047</v>
      </c>
      <c r="AN57" s="109">
        <f t="shared" si="17"/>
        <v>1263.3303453610047</v>
      </c>
      <c r="AO57" s="109">
        <f t="shared" si="17"/>
        <v>1263.3303453610047</v>
      </c>
      <c r="AP57" s="109">
        <f t="shared" si="17"/>
        <v>1263.3303453610047</v>
      </c>
      <c r="AQ57" s="109">
        <f t="shared" si="17"/>
        <v>1263.3303453610047</v>
      </c>
      <c r="AR57" s="109">
        <f t="shared" si="17"/>
        <v>1263.3303453610047</v>
      </c>
      <c r="AS57" s="109">
        <f t="shared" si="17"/>
        <v>0</v>
      </c>
      <c r="AT57" s="109">
        <f t="shared" si="17"/>
        <v>2526.6606907220093</v>
      </c>
      <c r="AU57" s="109">
        <f t="shared" si="17"/>
        <v>1263.3303453610047</v>
      </c>
      <c r="AV57" s="109">
        <f t="shared" si="17"/>
        <v>1263.3303453610047</v>
      </c>
      <c r="AW57" s="109">
        <f t="shared" si="17"/>
        <v>1263.3303453610047</v>
      </c>
      <c r="AX57" s="109">
        <f t="shared" si="17"/>
        <v>1263.3303453610047</v>
      </c>
      <c r="AY57" s="109">
        <f t="shared" si="17"/>
        <v>1263.3303453610047</v>
      </c>
    </row>
    <row r="58" spans="1:52">
      <c r="A58" s="109"/>
      <c r="B58" s="164" t="s">
        <v>345</v>
      </c>
      <c r="C58" s="109"/>
      <c r="D58" s="109"/>
      <c r="E58" s="109">
        <v>212.55573121519484</v>
      </c>
      <c r="F58" s="109"/>
      <c r="G58" s="109">
        <v>212.55573121519484</v>
      </c>
      <c r="H58" s="109"/>
      <c r="I58" s="109">
        <v>212.55573121519492</v>
      </c>
      <c r="J58" s="109"/>
      <c r="K58" s="109">
        <v>212.55573121519492</v>
      </c>
      <c r="L58" s="109"/>
      <c r="M58" s="109">
        <v>212.55573121519492</v>
      </c>
      <c r="N58" s="109"/>
      <c r="O58" s="109">
        <v>212.55573121519492</v>
      </c>
      <c r="P58" s="109"/>
      <c r="Q58" s="109">
        <v>212.55573121519492</v>
      </c>
      <c r="R58" s="109"/>
      <c r="S58" s="109">
        <v>212.55573121519492</v>
      </c>
      <c r="T58" s="109"/>
      <c r="U58" s="109">
        <v>212.55573121519487</v>
      </c>
      <c r="V58" s="109"/>
      <c r="W58" s="109">
        <v>212.55573121519487</v>
      </c>
      <c r="X58" s="109"/>
      <c r="Y58" s="109">
        <v>212.55573121519492</v>
      </c>
      <c r="Z58" s="109"/>
      <c r="AA58" s="109">
        <v>212.55573121519492</v>
      </c>
      <c r="AB58" s="109"/>
      <c r="AC58" s="109">
        <v>212.55573121519492</v>
      </c>
      <c r="AD58" s="109"/>
      <c r="AE58" s="109">
        <v>212.55573121519492</v>
      </c>
      <c r="AF58" s="109"/>
      <c r="AG58" s="109">
        <v>212.55573121519492</v>
      </c>
      <c r="AH58" s="109"/>
      <c r="AI58" s="109">
        <v>212.55573121519492</v>
      </c>
      <c r="AJ58" s="109"/>
      <c r="AK58" s="109">
        <v>212.55573121519492</v>
      </c>
      <c r="AL58" s="109"/>
      <c r="AM58" s="109">
        <v>212.55573121519492</v>
      </c>
      <c r="AN58" s="109"/>
      <c r="AO58" s="109">
        <v>212.55573121519492</v>
      </c>
      <c r="AP58" s="109"/>
      <c r="AQ58" s="109">
        <v>212.55573121519492</v>
      </c>
      <c r="AR58" s="109"/>
      <c r="AS58" s="109"/>
      <c r="AT58" s="109">
        <v>212.5557312151949</v>
      </c>
      <c r="AU58" s="109"/>
      <c r="AV58" s="109">
        <v>212.55573121519492</v>
      </c>
      <c r="AW58" s="109"/>
      <c r="AX58" s="109">
        <v>212.55573121519492</v>
      </c>
      <c r="AY58" s="109"/>
    </row>
    <row r="59" spans="1:52">
      <c r="A59" s="109"/>
      <c r="B59" s="164" t="s">
        <v>346</v>
      </c>
      <c r="C59" s="109"/>
      <c r="D59" s="109"/>
      <c r="E59" s="109">
        <v>237.44426878480525</v>
      </c>
      <c r="F59" s="109"/>
      <c r="G59" s="109">
        <v>237.44426878480525</v>
      </c>
      <c r="H59" s="109"/>
      <c r="I59" s="109">
        <v>237.44426878480525</v>
      </c>
      <c r="J59" s="109"/>
      <c r="K59" s="109">
        <v>237.44426878480525</v>
      </c>
      <c r="L59" s="109"/>
      <c r="M59" s="109">
        <v>237.44426878480525</v>
      </c>
      <c r="N59" s="109"/>
      <c r="O59" s="109">
        <v>237.44426878480525</v>
      </c>
      <c r="P59" s="109"/>
      <c r="Q59" s="109">
        <v>237.44426878480525</v>
      </c>
      <c r="R59" s="109"/>
      <c r="S59" s="109">
        <v>237.44426878480525</v>
      </c>
      <c r="T59" s="109"/>
      <c r="U59" s="109">
        <v>237.44426878480525</v>
      </c>
      <c r="V59" s="109"/>
      <c r="W59" s="109">
        <v>237.44426878480525</v>
      </c>
      <c r="X59" s="109"/>
      <c r="Y59" s="109">
        <v>237.44426878480525</v>
      </c>
      <c r="Z59" s="109"/>
      <c r="AA59" s="109">
        <v>237.44426878480525</v>
      </c>
      <c r="AB59" s="109"/>
      <c r="AC59" s="109">
        <v>237.44426878480525</v>
      </c>
      <c r="AD59" s="109"/>
      <c r="AE59" s="109">
        <v>237.44426878480525</v>
      </c>
      <c r="AF59" s="109"/>
      <c r="AG59" s="109">
        <v>237.44426878480525</v>
      </c>
      <c r="AH59" s="109"/>
      <c r="AI59" s="109">
        <v>237.44426878480525</v>
      </c>
      <c r="AJ59" s="109"/>
      <c r="AK59" s="109">
        <v>237.44426878480525</v>
      </c>
      <c r="AL59" s="109"/>
      <c r="AM59" s="109">
        <v>237.44426878480525</v>
      </c>
      <c r="AN59" s="109"/>
      <c r="AO59" s="109">
        <v>237.44426878480525</v>
      </c>
      <c r="AP59" s="109"/>
      <c r="AQ59" s="109">
        <v>237.44426878480525</v>
      </c>
      <c r="AR59" s="109"/>
      <c r="AS59" s="109"/>
      <c r="AT59" s="109">
        <v>237.44426878480522</v>
      </c>
      <c r="AU59" s="109"/>
      <c r="AV59" s="109">
        <v>237.44426878480525</v>
      </c>
      <c r="AW59" s="109"/>
      <c r="AX59" s="109">
        <v>237.44426878480525</v>
      </c>
      <c r="AY59" s="109"/>
    </row>
    <row r="60" spans="1:52">
      <c r="A60" s="109"/>
      <c r="B60" s="164" t="s">
        <v>347</v>
      </c>
      <c r="C60" s="109"/>
      <c r="D60" s="109"/>
      <c r="E60" s="109">
        <v>15</v>
      </c>
      <c r="F60" s="109"/>
      <c r="G60" s="109">
        <v>15</v>
      </c>
      <c r="H60" s="109"/>
      <c r="I60" s="109">
        <v>15</v>
      </c>
      <c r="J60" s="109"/>
      <c r="K60" s="109">
        <v>15</v>
      </c>
      <c r="L60" s="109"/>
      <c r="M60" s="109">
        <v>15</v>
      </c>
      <c r="N60" s="109"/>
      <c r="O60" s="109">
        <v>15</v>
      </c>
      <c r="P60" s="109"/>
      <c r="Q60" s="109">
        <v>15</v>
      </c>
      <c r="R60" s="109"/>
      <c r="S60" s="109">
        <v>15</v>
      </c>
      <c r="T60" s="109"/>
      <c r="U60" s="109">
        <v>15</v>
      </c>
      <c r="V60" s="109"/>
      <c r="W60" s="109">
        <v>15</v>
      </c>
      <c r="X60" s="109"/>
      <c r="Y60" s="109">
        <v>15</v>
      </c>
      <c r="Z60" s="109"/>
      <c r="AA60" s="109">
        <v>15</v>
      </c>
      <c r="AB60" s="109"/>
      <c r="AC60" s="109">
        <v>15</v>
      </c>
      <c r="AD60" s="109"/>
      <c r="AE60" s="109">
        <v>15</v>
      </c>
      <c r="AF60" s="109"/>
      <c r="AG60" s="109">
        <v>15</v>
      </c>
      <c r="AH60" s="109"/>
      <c r="AI60" s="109">
        <v>15</v>
      </c>
      <c r="AJ60" s="109"/>
      <c r="AK60" s="109">
        <v>15</v>
      </c>
      <c r="AL60" s="109"/>
      <c r="AM60" s="109">
        <v>15</v>
      </c>
      <c r="AN60" s="109"/>
      <c r="AO60" s="109">
        <v>15</v>
      </c>
      <c r="AP60" s="109"/>
      <c r="AQ60" s="109">
        <v>15</v>
      </c>
      <c r="AR60" s="109"/>
      <c r="AS60" s="109"/>
      <c r="AT60" s="109">
        <v>15</v>
      </c>
      <c r="AU60" s="109"/>
      <c r="AV60" s="109">
        <v>15</v>
      </c>
      <c r="AW60" s="109"/>
      <c r="AX60" s="109">
        <v>15</v>
      </c>
      <c r="AY60" s="109"/>
    </row>
    <row r="61" spans="1:52">
      <c r="A61" s="109"/>
      <c r="B61" s="164" t="s">
        <v>348</v>
      </c>
      <c r="C61" s="109"/>
      <c r="D61" s="109">
        <f>D55-D58</f>
        <v>783.93671942379149</v>
      </c>
      <c r="E61" s="109">
        <f t="shared" ref="E61:AY61" si="18">E55-E58</f>
        <v>384.17339090364675</v>
      </c>
      <c r="F61" s="109">
        <f t="shared" si="18"/>
        <v>596.72912211884159</v>
      </c>
      <c r="G61" s="109">
        <f t="shared" si="18"/>
        <v>384.17339090364675</v>
      </c>
      <c r="H61" s="109">
        <f t="shared" si="18"/>
        <v>596.72912211884159</v>
      </c>
      <c r="I61" s="109">
        <f t="shared" si="18"/>
        <v>384.17339172825643</v>
      </c>
      <c r="J61" s="109">
        <f t="shared" si="18"/>
        <v>596.72912294345133</v>
      </c>
      <c r="K61" s="109">
        <f t="shared" si="18"/>
        <v>384.17339172825643</v>
      </c>
      <c r="L61" s="109">
        <f t="shared" si="18"/>
        <v>596.72912294345133</v>
      </c>
      <c r="M61" s="109">
        <f t="shared" si="18"/>
        <v>384.17339172825643</v>
      </c>
      <c r="N61" s="109">
        <f t="shared" si="18"/>
        <v>596.72912294345133</v>
      </c>
      <c r="O61" s="109">
        <f t="shared" si="18"/>
        <v>384.17339172825643</v>
      </c>
      <c r="P61" s="109">
        <f t="shared" si="18"/>
        <v>596.72912294345133</v>
      </c>
      <c r="Q61" s="109">
        <f t="shared" si="18"/>
        <v>384.17339172825643</v>
      </c>
      <c r="R61" s="109">
        <f t="shared" si="18"/>
        <v>596.72912294345133</v>
      </c>
      <c r="S61" s="109">
        <f t="shared" si="18"/>
        <v>384.17339172825643</v>
      </c>
      <c r="T61" s="109">
        <f t="shared" si="18"/>
        <v>596.72912294345133</v>
      </c>
      <c r="U61" s="109">
        <f t="shared" si="18"/>
        <v>383.98490263908786</v>
      </c>
      <c r="V61" s="109">
        <f t="shared" si="18"/>
        <v>596.54063385428276</v>
      </c>
      <c r="W61" s="109">
        <f t="shared" si="18"/>
        <v>383.98490263908786</v>
      </c>
      <c r="X61" s="109">
        <f t="shared" si="18"/>
        <v>596.54063385428276</v>
      </c>
      <c r="Y61" s="109">
        <f t="shared" si="18"/>
        <v>384.17339172825643</v>
      </c>
      <c r="Z61" s="109">
        <f t="shared" si="18"/>
        <v>596.72912294345133</v>
      </c>
      <c r="AA61" s="109">
        <f t="shared" si="18"/>
        <v>384.17339172825643</v>
      </c>
      <c r="AB61" s="109">
        <f t="shared" si="18"/>
        <v>596.72912294345133</v>
      </c>
      <c r="AC61" s="109">
        <f t="shared" si="18"/>
        <v>384.17339172825643</v>
      </c>
      <c r="AD61" s="109">
        <f t="shared" si="18"/>
        <v>596.72912294345133</v>
      </c>
      <c r="AE61" s="109">
        <f t="shared" si="18"/>
        <v>384.17339172825643</v>
      </c>
      <c r="AF61" s="109">
        <f t="shared" si="18"/>
        <v>596.72912294345133</v>
      </c>
      <c r="AG61" s="109">
        <f t="shared" si="18"/>
        <v>384.17339172825643</v>
      </c>
      <c r="AH61" s="109">
        <f t="shared" si="18"/>
        <v>596.72912294345133</v>
      </c>
      <c r="AI61" s="109">
        <f t="shared" si="18"/>
        <v>384.17339172825643</v>
      </c>
      <c r="AJ61" s="109">
        <f t="shared" si="18"/>
        <v>596.72912294345133</v>
      </c>
      <c r="AK61" s="109">
        <f t="shared" si="18"/>
        <v>384.17339172825643</v>
      </c>
      <c r="AL61" s="109">
        <f t="shared" si="18"/>
        <v>596.72912294345133</v>
      </c>
      <c r="AM61" s="109">
        <f t="shared" si="18"/>
        <v>384.17339172825643</v>
      </c>
      <c r="AN61" s="109">
        <f t="shared" si="18"/>
        <v>596.72912294345133</v>
      </c>
      <c r="AO61" s="109">
        <f t="shared" si="18"/>
        <v>384.17339172825643</v>
      </c>
      <c r="AP61" s="109">
        <f t="shared" si="18"/>
        <v>596.72912294345133</v>
      </c>
      <c r="AQ61" s="109">
        <f t="shared" si="18"/>
        <v>384.17339172825643</v>
      </c>
      <c r="AR61" s="109">
        <f t="shared" si="18"/>
        <v>596.72912294345133</v>
      </c>
      <c r="AS61" s="109">
        <f t="shared" si="18"/>
        <v>0</v>
      </c>
      <c r="AT61" s="109">
        <f t="shared" si="18"/>
        <v>980.90251467170776</v>
      </c>
      <c r="AU61" s="109">
        <f t="shared" si="18"/>
        <v>596.72912294345133</v>
      </c>
      <c r="AV61" s="109">
        <f t="shared" si="18"/>
        <v>384.17339172825643</v>
      </c>
      <c r="AW61" s="109">
        <f t="shared" si="18"/>
        <v>596.72912294345133</v>
      </c>
      <c r="AX61" s="109">
        <f t="shared" si="18"/>
        <v>384.17339172825643</v>
      </c>
      <c r="AY61" s="109">
        <f t="shared" si="18"/>
        <v>596.72912294345133</v>
      </c>
    </row>
    <row r="62" spans="1:52">
      <c r="A62" s="109"/>
      <c r="B62" s="164" t="s">
        <v>349</v>
      </c>
      <c r="C62" s="109"/>
      <c r="D62" s="109">
        <f>D56-D59</f>
        <v>875.72929721988339</v>
      </c>
      <c r="E62" s="109">
        <f t="shared" ref="E62:AY62" si="19">E56-E59</f>
        <v>429.15695271158359</v>
      </c>
      <c r="F62" s="109">
        <f t="shared" si="19"/>
        <v>666.6012214963888</v>
      </c>
      <c r="G62" s="109">
        <f t="shared" si="19"/>
        <v>429.15695271158359</v>
      </c>
      <c r="H62" s="109">
        <f t="shared" si="19"/>
        <v>666.6012214963888</v>
      </c>
      <c r="I62" s="109">
        <f t="shared" si="19"/>
        <v>429.15695363274824</v>
      </c>
      <c r="J62" s="109">
        <f t="shared" si="19"/>
        <v>666.60122241755346</v>
      </c>
      <c r="K62" s="109">
        <f t="shared" si="19"/>
        <v>429.15695363274824</v>
      </c>
      <c r="L62" s="109">
        <f t="shared" si="19"/>
        <v>666.60122241755346</v>
      </c>
      <c r="M62" s="109">
        <f t="shared" si="19"/>
        <v>429.15695363274824</v>
      </c>
      <c r="N62" s="109">
        <f t="shared" si="19"/>
        <v>666.60122241755346</v>
      </c>
      <c r="O62" s="109">
        <f t="shared" si="19"/>
        <v>429.15695363274824</v>
      </c>
      <c r="P62" s="109">
        <f t="shared" si="19"/>
        <v>666.60122241755346</v>
      </c>
      <c r="Q62" s="109">
        <f t="shared" si="19"/>
        <v>429.15695363274824</v>
      </c>
      <c r="R62" s="109">
        <f t="shared" si="19"/>
        <v>666.60122241755346</v>
      </c>
      <c r="S62" s="109">
        <f t="shared" si="19"/>
        <v>429.15695363274824</v>
      </c>
      <c r="T62" s="109">
        <f t="shared" si="19"/>
        <v>666.60122241755346</v>
      </c>
      <c r="U62" s="109">
        <f t="shared" si="19"/>
        <v>428.9463940129458</v>
      </c>
      <c r="V62" s="109">
        <f t="shared" si="19"/>
        <v>666.39066279775102</v>
      </c>
      <c r="W62" s="109">
        <f t="shared" si="19"/>
        <v>428.9463940129458</v>
      </c>
      <c r="X62" s="109">
        <f t="shared" si="19"/>
        <v>666.39066279775102</v>
      </c>
      <c r="Y62" s="109">
        <f t="shared" si="19"/>
        <v>429.15695363274824</v>
      </c>
      <c r="Z62" s="109">
        <f t="shared" si="19"/>
        <v>666.60122241755346</v>
      </c>
      <c r="AA62" s="109">
        <f t="shared" si="19"/>
        <v>429.15695363274824</v>
      </c>
      <c r="AB62" s="109">
        <f t="shared" si="19"/>
        <v>666.60122241755346</v>
      </c>
      <c r="AC62" s="109">
        <f t="shared" si="19"/>
        <v>429.15695363274824</v>
      </c>
      <c r="AD62" s="109">
        <f t="shared" si="19"/>
        <v>666.60122241755346</v>
      </c>
      <c r="AE62" s="109">
        <f t="shared" si="19"/>
        <v>429.15695363274824</v>
      </c>
      <c r="AF62" s="109">
        <f t="shared" si="19"/>
        <v>666.60122241755346</v>
      </c>
      <c r="AG62" s="109">
        <f t="shared" si="19"/>
        <v>429.15695363274824</v>
      </c>
      <c r="AH62" s="109">
        <f t="shared" si="19"/>
        <v>666.60122241755346</v>
      </c>
      <c r="AI62" s="109">
        <f t="shared" si="19"/>
        <v>429.15695363274824</v>
      </c>
      <c r="AJ62" s="109">
        <f t="shared" si="19"/>
        <v>666.60122241755346</v>
      </c>
      <c r="AK62" s="109">
        <f t="shared" si="19"/>
        <v>429.15695363274824</v>
      </c>
      <c r="AL62" s="109">
        <f t="shared" si="19"/>
        <v>666.60122241755346</v>
      </c>
      <c r="AM62" s="109">
        <f t="shared" si="19"/>
        <v>429.15695363274824</v>
      </c>
      <c r="AN62" s="109">
        <f t="shared" si="19"/>
        <v>666.60122241755346</v>
      </c>
      <c r="AO62" s="109">
        <f t="shared" si="19"/>
        <v>429.15695363274824</v>
      </c>
      <c r="AP62" s="109">
        <f t="shared" si="19"/>
        <v>666.60122241755346</v>
      </c>
      <c r="AQ62" s="109">
        <f t="shared" si="19"/>
        <v>429.15695363274824</v>
      </c>
      <c r="AR62" s="109">
        <f t="shared" si="19"/>
        <v>666.60122241755346</v>
      </c>
      <c r="AS62" s="109">
        <f t="shared" si="19"/>
        <v>0</v>
      </c>
      <c r="AT62" s="109">
        <f t="shared" si="19"/>
        <v>1095.7581760503017</v>
      </c>
      <c r="AU62" s="109">
        <f t="shared" si="19"/>
        <v>666.60122241755346</v>
      </c>
      <c r="AV62" s="109">
        <f t="shared" si="19"/>
        <v>429.15695363274824</v>
      </c>
      <c r="AW62" s="109">
        <f t="shared" si="19"/>
        <v>666.60122241755346</v>
      </c>
      <c r="AX62" s="109">
        <f t="shared" si="19"/>
        <v>429.15695363274824</v>
      </c>
      <c r="AY62" s="109">
        <f t="shared" si="19"/>
        <v>666.60122241755346</v>
      </c>
    </row>
    <row r="63" spans="1:52">
      <c r="A63" s="109"/>
      <c r="B63" s="164" t="s">
        <v>350</v>
      </c>
      <c r="C63" s="109"/>
      <c r="D63" s="109">
        <v>3</v>
      </c>
      <c r="E63" s="109">
        <v>1</v>
      </c>
      <c r="F63" s="109">
        <v>3</v>
      </c>
      <c r="G63" s="109">
        <v>2</v>
      </c>
      <c r="H63" s="109">
        <v>1</v>
      </c>
      <c r="I63" s="109">
        <v>1</v>
      </c>
      <c r="J63" s="109">
        <v>1</v>
      </c>
      <c r="K63" s="109">
        <v>2</v>
      </c>
      <c r="L63" s="109">
        <v>1</v>
      </c>
      <c r="M63" s="109">
        <v>1</v>
      </c>
      <c r="N63" s="109">
        <v>1</v>
      </c>
      <c r="O63" s="109">
        <v>2</v>
      </c>
      <c r="P63" s="109">
        <v>3</v>
      </c>
      <c r="Q63" s="109">
        <v>1</v>
      </c>
      <c r="R63" s="109">
        <v>2</v>
      </c>
      <c r="S63" s="109">
        <v>1</v>
      </c>
      <c r="T63" s="109">
        <v>1</v>
      </c>
      <c r="U63" s="109">
        <v>1</v>
      </c>
      <c r="V63" s="109">
        <v>1</v>
      </c>
      <c r="W63" s="109">
        <v>2</v>
      </c>
      <c r="X63" s="109">
        <v>3</v>
      </c>
      <c r="Y63" s="109">
        <v>1</v>
      </c>
      <c r="Z63" s="109">
        <v>1</v>
      </c>
      <c r="AA63" s="109">
        <v>2</v>
      </c>
      <c r="AB63" s="109">
        <v>2</v>
      </c>
      <c r="AC63" s="109">
        <v>1</v>
      </c>
      <c r="AD63" s="109">
        <v>3</v>
      </c>
      <c r="AE63" s="109">
        <v>3</v>
      </c>
      <c r="AF63" s="109">
        <v>1</v>
      </c>
      <c r="AG63" s="109">
        <v>3</v>
      </c>
      <c r="AH63" s="109">
        <v>1</v>
      </c>
      <c r="AI63" s="109">
        <v>1</v>
      </c>
      <c r="AJ63" s="109">
        <v>2</v>
      </c>
      <c r="AK63" s="109">
        <v>3</v>
      </c>
      <c r="AL63" s="109">
        <v>1</v>
      </c>
      <c r="AM63" s="109">
        <v>2</v>
      </c>
      <c r="AN63" s="109">
        <v>1</v>
      </c>
      <c r="AO63" s="109">
        <v>1</v>
      </c>
      <c r="AP63" s="109">
        <v>1</v>
      </c>
      <c r="AQ63" s="109">
        <v>1</v>
      </c>
      <c r="AR63" s="109">
        <v>2</v>
      </c>
      <c r="AS63" s="109">
        <v>1</v>
      </c>
      <c r="AT63" s="109">
        <v>1</v>
      </c>
      <c r="AU63" s="109">
        <v>1</v>
      </c>
      <c r="AV63" s="109">
        <v>1</v>
      </c>
      <c r="AW63" s="109">
        <v>1</v>
      </c>
      <c r="AX63" s="109">
        <v>1</v>
      </c>
      <c r="AY63" s="109">
        <v>2</v>
      </c>
    </row>
    <row r="64" spans="1:52">
      <c r="A64" s="109"/>
      <c r="B64" s="178" t="s">
        <v>351</v>
      </c>
      <c r="C64" s="109"/>
      <c r="D64" s="109">
        <v>0</v>
      </c>
      <c r="E64" s="109">
        <v>267300</v>
      </c>
      <c r="F64" s="109">
        <v>0</v>
      </c>
      <c r="G64" s="109">
        <v>267300</v>
      </c>
      <c r="H64" s="109">
        <v>0</v>
      </c>
      <c r="I64" s="109">
        <v>267300</v>
      </c>
      <c r="J64" s="109">
        <v>0</v>
      </c>
      <c r="K64" s="109">
        <v>267300</v>
      </c>
      <c r="L64" s="109">
        <v>0</v>
      </c>
      <c r="M64" s="109">
        <v>267300</v>
      </c>
      <c r="N64" s="109">
        <v>0</v>
      </c>
      <c r="O64" s="109">
        <v>267300</v>
      </c>
      <c r="P64" s="109">
        <v>0</v>
      </c>
      <c r="Q64" s="109">
        <v>267300</v>
      </c>
      <c r="R64" s="109">
        <v>0</v>
      </c>
      <c r="S64" s="109">
        <v>267300</v>
      </c>
      <c r="T64" s="109">
        <v>0</v>
      </c>
      <c r="U64" s="109">
        <v>267300</v>
      </c>
      <c r="V64" s="109">
        <v>0</v>
      </c>
      <c r="W64" s="109">
        <v>267300</v>
      </c>
      <c r="X64" s="109">
        <v>0</v>
      </c>
      <c r="Y64" s="109">
        <v>267300</v>
      </c>
      <c r="Z64" s="109">
        <v>0</v>
      </c>
      <c r="AA64" s="109">
        <v>267300</v>
      </c>
      <c r="AB64" s="109">
        <v>0</v>
      </c>
      <c r="AC64" s="109">
        <v>267300</v>
      </c>
      <c r="AD64" s="109">
        <v>0</v>
      </c>
      <c r="AE64" s="109">
        <v>267300</v>
      </c>
      <c r="AF64" s="109">
        <v>0</v>
      </c>
      <c r="AG64" s="109">
        <v>267300</v>
      </c>
      <c r="AH64" s="109">
        <v>0</v>
      </c>
      <c r="AI64" s="109">
        <v>267300</v>
      </c>
      <c r="AJ64" s="109">
        <v>0</v>
      </c>
      <c r="AK64" s="109">
        <v>267300</v>
      </c>
      <c r="AL64" s="109">
        <v>0</v>
      </c>
      <c r="AM64" s="109">
        <v>267300</v>
      </c>
      <c r="AN64" s="109">
        <v>0</v>
      </c>
      <c r="AO64" s="109">
        <v>267300</v>
      </c>
      <c r="AP64" s="109">
        <v>0</v>
      </c>
      <c r="AQ64" s="109">
        <v>267300</v>
      </c>
      <c r="AR64" s="109">
        <v>0</v>
      </c>
      <c r="AS64" s="109">
        <v>0</v>
      </c>
      <c r="AT64" s="109">
        <v>267300</v>
      </c>
      <c r="AU64" s="109">
        <v>0</v>
      </c>
      <c r="AV64" s="109">
        <v>267300</v>
      </c>
      <c r="AW64" s="109">
        <v>0</v>
      </c>
      <c r="AX64" s="109">
        <v>267300</v>
      </c>
      <c r="AY64" s="109">
        <v>0</v>
      </c>
      <c r="AZ64" s="99">
        <f>SUM($D$64:$AY$64)</f>
        <v>6147900</v>
      </c>
    </row>
    <row r="65" spans="1:52">
      <c r="A65" s="124"/>
      <c r="B65" s="139" t="s">
        <v>352</v>
      </c>
      <c r="C65" s="124"/>
      <c r="D65" s="124">
        <v>533997.54085510247</v>
      </c>
      <c r="E65" s="124">
        <v>261689.03805820036</v>
      </c>
      <c r="F65" s="124">
        <v>406476.53805820044</v>
      </c>
      <c r="G65" s="124">
        <v>261689.03805820036</v>
      </c>
      <c r="H65" s="124">
        <v>406476.53805820044</v>
      </c>
      <c r="I65" s="124">
        <v>261689.03861990327</v>
      </c>
      <c r="J65" s="124">
        <v>406476.53861990327</v>
      </c>
      <c r="K65" s="124">
        <v>261689.03861990327</v>
      </c>
      <c r="L65" s="124">
        <v>406476.53861990327</v>
      </c>
      <c r="M65" s="124">
        <v>261689.03861990327</v>
      </c>
      <c r="N65" s="124">
        <v>406476.53861990327</v>
      </c>
      <c r="O65" s="124">
        <v>261689.03861990327</v>
      </c>
      <c r="P65" s="124">
        <v>406476.53861990327</v>
      </c>
      <c r="Q65" s="124">
        <v>261689.03861990327</v>
      </c>
      <c r="R65" s="124">
        <v>406476.53861990327</v>
      </c>
      <c r="S65" s="124">
        <v>261689.03861990327</v>
      </c>
      <c r="T65" s="124">
        <v>406476.53861990327</v>
      </c>
      <c r="U65" s="124">
        <v>261560.64469779187</v>
      </c>
      <c r="V65" s="124">
        <v>406348.1446977919</v>
      </c>
      <c r="W65" s="124">
        <v>261560.64469779187</v>
      </c>
      <c r="X65" s="124">
        <v>406348.1446977919</v>
      </c>
      <c r="Y65" s="124">
        <v>261689.03861990327</v>
      </c>
      <c r="Z65" s="124">
        <v>406476.53861990327</v>
      </c>
      <c r="AA65" s="124">
        <v>261689.03861990327</v>
      </c>
      <c r="AB65" s="124">
        <v>406476.53861990327</v>
      </c>
      <c r="AC65" s="124">
        <v>261689.03861990327</v>
      </c>
      <c r="AD65" s="124">
        <v>406476.53861990327</v>
      </c>
      <c r="AE65" s="124">
        <v>261689.03861990327</v>
      </c>
      <c r="AF65" s="124">
        <v>406476.53861990327</v>
      </c>
      <c r="AG65" s="124">
        <v>261689.03861990327</v>
      </c>
      <c r="AH65" s="124">
        <v>406476.53861990327</v>
      </c>
      <c r="AI65" s="124">
        <v>261689.03861990327</v>
      </c>
      <c r="AJ65" s="124">
        <v>406476.53861990327</v>
      </c>
      <c r="AK65" s="124">
        <v>261689.03861990327</v>
      </c>
      <c r="AL65" s="124">
        <v>406476.53861990327</v>
      </c>
      <c r="AM65" s="124">
        <v>261689.03861990327</v>
      </c>
      <c r="AN65" s="124">
        <v>406476.53861990327</v>
      </c>
      <c r="AO65" s="124">
        <v>261689.03861990327</v>
      </c>
      <c r="AP65" s="124">
        <v>406476.53861990327</v>
      </c>
      <c r="AQ65" s="124">
        <v>261689.03861990327</v>
      </c>
      <c r="AR65" s="124">
        <v>406476.53861990327</v>
      </c>
      <c r="AS65" s="124">
        <v>0</v>
      </c>
      <c r="AT65" s="124">
        <v>668165.57723980653</v>
      </c>
      <c r="AU65" s="124">
        <v>406476.53861990327</v>
      </c>
      <c r="AV65" s="124">
        <v>261689.03861990327</v>
      </c>
      <c r="AW65" s="124">
        <v>406476.53861990327</v>
      </c>
      <c r="AX65" s="124">
        <v>261689.03861990327</v>
      </c>
      <c r="AY65" s="124">
        <v>406476.53861990327</v>
      </c>
      <c r="AZ65" s="99">
        <f>SUM($D$65:$AY$65)</f>
        <v>16307768.778055308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3">
      <c r="A1" s="101" t="s">
        <v>284</v>
      </c>
    </row>
    <row r="2" spans="1:53">
      <c r="A2" s="99" t="s">
        <v>285</v>
      </c>
      <c r="B2" s="106" t="s">
        <v>22</v>
      </c>
    </row>
    <row r="3" spans="1:53">
      <c r="A3" s="99" t="s">
        <v>286</v>
      </c>
      <c r="B3" s="107">
        <v>4000</v>
      </c>
      <c r="C3" s="108"/>
    </row>
    <row r="4" spans="1:53">
      <c r="B4" s="109"/>
      <c r="C4" s="109"/>
    </row>
    <row r="5" spans="1:53">
      <c r="C5" s="110" t="s">
        <v>287</v>
      </c>
    </row>
    <row r="6" spans="1:53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3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3">
      <c r="A8" s="101" t="s">
        <v>292</v>
      </c>
      <c r="B8" s="113"/>
      <c r="AY8" s="109"/>
    </row>
    <row r="9" spans="1:53">
      <c r="A9" s="114" t="s">
        <v>125</v>
      </c>
      <c r="B9" s="115">
        <v>1</v>
      </c>
      <c r="C9" s="116" t="s">
        <v>293</v>
      </c>
      <c r="D9" s="116">
        <v>189.91333763612755</v>
      </c>
      <c r="E9" s="116">
        <v>189.91333763612755</v>
      </c>
      <c r="F9" s="116">
        <v>189.91333763612755</v>
      </c>
      <c r="G9" s="116">
        <v>189.91333763612755</v>
      </c>
      <c r="H9" s="116">
        <v>189.91333763612755</v>
      </c>
      <c r="I9" s="116">
        <v>189.91333763612755</v>
      </c>
      <c r="J9" s="116">
        <v>189.91333763612755</v>
      </c>
      <c r="K9" s="116">
        <v>189.91333763612755</v>
      </c>
      <c r="L9" s="116">
        <v>189.91333763612755</v>
      </c>
      <c r="M9" s="116">
        <v>189.91333763612755</v>
      </c>
      <c r="N9" s="116">
        <v>189.91333763612755</v>
      </c>
      <c r="O9" s="116">
        <v>189.91333763612755</v>
      </c>
      <c r="P9" s="116">
        <v>189.91333763612755</v>
      </c>
      <c r="Q9" s="116">
        <v>189.91333763612755</v>
      </c>
      <c r="R9" s="116">
        <v>189.91333763612755</v>
      </c>
      <c r="S9" s="116">
        <v>189.91333763612755</v>
      </c>
      <c r="T9" s="116">
        <v>151.93067010890206</v>
      </c>
      <c r="U9" s="116">
        <v>151.93067010890206</v>
      </c>
      <c r="V9" s="116">
        <v>151.93067010890206</v>
      </c>
      <c r="W9" s="116">
        <v>151.93067010890206</v>
      </c>
      <c r="X9" s="116">
        <v>189.91333763612755</v>
      </c>
      <c r="Y9" s="116">
        <v>189.91333763612755</v>
      </c>
      <c r="Z9" s="116">
        <v>189.91333763612755</v>
      </c>
      <c r="AA9" s="116">
        <v>189.91333763612755</v>
      </c>
      <c r="AB9" s="116">
        <v>189.91333763612755</v>
      </c>
      <c r="AC9" s="116">
        <v>189.91333763612755</v>
      </c>
      <c r="AD9" s="116">
        <v>189.91333763612755</v>
      </c>
      <c r="AE9" s="116">
        <v>189.91333763612755</v>
      </c>
      <c r="AF9" s="116">
        <v>189.91333763612755</v>
      </c>
      <c r="AG9" s="116">
        <v>189.91333763612755</v>
      </c>
      <c r="AH9" s="116">
        <v>189.91333763612755</v>
      </c>
      <c r="AI9" s="116">
        <v>189.91333763612755</v>
      </c>
      <c r="AJ9" s="116">
        <v>189.91333763612755</v>
      </c>
      <c r="AK9" s="116">
        <v>189.91333763612755</v>
      </c>
      <c r="AL9" s="116">
        <v>189.91333763612755</v>
      </c>
      <c r="AM9" s="116">
        <v>189.91333763612755</v>
      </c>
      <c r="AN9" s="116">
        <v>189.91333763612755</v>
      </c>
      <c r="AO9" s="116">
        <v>189.91333763612755</v>
      </c>
      <c r="AP9" s="116">
        <v>189.91333763612755</v>
      </c>
      <c r="AQ9" s="116">
        <v>189.91333763612755</v>
      </c>
      <c r="AR9" s="116">
        <v>189.91333763612755</v>
      </c>
      <c r="AS9" s="116">
        <v>189.91333763612755</v>
      </c>
      <c r="AT9" s="116">
        <v>189.91333763612755</v>
      </c>
      <c r="AU9" s="116">
        <v>189.91333763612755</v>
      </c>
      <c r="AV9" s="116">
        <v>189.91333763612755</v>
      </c>
      <c r="AW9" s="116">
        <v>189.91333763612755</v>
      </c>
      <c r="AX9" s="116">
        <v>189.91333763612755</v>
      </c>
      <c r="AY9" s="116">
        <v>189.91333763612755</v>
      </c>
    </row>
    <row r="10" spans="1:53">
      <c r="A10" s="117" t="s">
        <v>133</v>
      </c>
      <c r="B10" s="118">
        <v>1</v>
      </c>
      <c r="C10" s="105" t="s">
        <v>293</v>
      </c>
      <c r="D10" s="99">
        <v>170.47406125439846</v>
      </c>
      <c r="E10" s="99">
        <v>237.7420819298712</v>
      </c>
      <c r="F10" s="99">
        <v>0</v>
      </c>
      <c r="G10" s="99">
        <v>0</v>
      </c>
      <c r="H10" s="99">
        <v>180.96820869035597</v>
      </c>
      <c r="I10" s="99">
        <v>180.96820869035597</v>
      </c>
      <c r="J10" s="99">
        <v>180.96820894043285</v>
      </c>
      <c r="K10" s="99">
        <v>180.96820894043285</v>
      </c>
      <c r="L10" s="99">
        <v>180.96820894043285</v>
      </c>
      <c r="M10" s="99">
        <v>0</v>
      </c>
      <c r="N10" s="99">
        <v>180.96820894043285</v>
      </c>
      <c r="O10" s="99">
        <v>0</v>
      </c>
      <c r="P10" s="99">
        <v>180.96820894043285</v>
      </c>
      <c r="Q10" s="99">
        <v>180.96820894043285</v>
      </c>
      <c r="R10" s="99">
        <v>180.96820894043285</v>
      </c>
      <c r="S10" s="99">
        <v>0</v>
      </c>
      <c r="T10" s="99">
        <v>180.96820894043285</v>
      </c>
      <c r="U10" s="99">
        <v>180.96820894043285</v>
      </c>
      <c r="V10" s="99">
        <v>0</v>
      </c>
      <c r="W10" s="99">
        <v>0</v>
      </c>
      <c r="X10" s="99">
        <v>180.91104643309049</v>
      </c>
      <c r="Y10" s="99">
        <v>0</v>
      </c>
      <c r="Z10" s="99">
        <v>0</v>
      </c>
      <c r="AA10" s="99">
        <v>180.96820894043285</v>
      </c>
      <c r="AB10" s="99">
        <v>180.96820894043285</v>
      </c>
      <c r="AC10" s="99">
        <v>180.96820894043285</v>
      </c>
      <c r="AD10" s="99">
        <v>0</v>
      </c>
      <c r="AE10" s="99">
        <v>0</v>
      </c>
      <c r="AF10" s="99">
        <v>180.96820894043285</v>
      </c>
      <c r="AG10" s="99">
        <v>0</v>
      </c>
      <c r="AH10" s="99">
        <v>0</v>
      </c>
      <c r="AI10" s="99">
        <v>180.96820894043285</v>
      </c>
      <c r="AJ10" s="99">
        <v>180.96820894043285</v>
      </c>
      <c r="AK10" s="99">
        <v>180.96820894043285</v>
      </c>
      <c r="AL10" s="99">
        <v>180.96820894043285</v>
      </c>
      <c r="AM10" s="99">
        <v>180.96820894043285</v>
      </c>
      <c r="AN10" s="99">
        <v>0</v>
      </c>
      <c r="AO10" s="99">
        <v>0</v>
      </c>
      <c r="AP10" s="99">
        <v>0</v>
      </c>
      <c r="AQ10" s="99">
        <v>0</v>
      </c>
      <c r="AR10" s="99">
        <v>180.96820894043285</v>
      </c>
      <c r="AS10" s="99">
        <v>180.96820894043285</v>
      </c>
      <c r="AT10" s="99">
        <v>0</v>
      </c>
      <c r="AU10" s="99">
        <v>361.93641788086569</v>
      </c>
      <c r="AV10" s="99">
        <v>0</v>
      </c>
      <c r="AW10" s="99">
        <v>0</v>
      </c>
      <c r="AX10" s="99">
        <v>180.96820894043285</v>
      </c>
      <c r="AY10" s="99">
        <v>180.96820894043285</v>
      </c>
      <c r="AZ10" s="99">
        <v>0</v>
      </c>
    </row>
    <row r="11" spans="1:53">
      <c r="B11" s="118">
        <v>2</v>
      </c>
      <c r="C11" s="105" t="s">
        <v>293</v>
      </c>
      <c r="D11" s="99">
        <v>170.47406125439846</v>
      </c>
      <c r="E11" s="99">
        <v>0</v>
      </c>
      <c r="F11" s="99">
        <v>0</v>
      </c>
      <c r="G11" s="99">
        <v>180.96820869035597</v>
      </c>
      <c r="H11" s="99">
        <v>180.96820869035597</v>
      </c>
      <c r="J11" s="99">
        <v>0</v>
      </c>
      <c r="N11" s="99">
        <v>180.96820894043285</v>
      </c>
      <c r="O11" s="99">
        <v>0</v>
      </c>
      <c r="R11" s="99">
        <v>0</v>
      </c>
      <c r="S11" s="99">
        <v>0</v>
      </c>
      <c r="T11" s="99">
        <v>180.96820894043285</v>
      </c>
      <c r="U11" s="99">
        <v>0</v>
      </c>
      <c r="V11" s="99">
        <v>0</v>
      </c>
      <c r="W11" s="99">
        <v>180.91104643309049</v>
      </c>
      <c r="X11" s="99">
        <v>0</v>
      </c>
      <c r="Y11" s="99">
        <v>0</v>
      </c>
      <c r="Z11" s="99">
        <v>180.91104643309049</v>
      </c>
      <c r="AA11" s="99">
        <v>180.96820894043285</v>
      </c>
      <c r="AD11" s="99">
        <v>0</v>
      </c>
      <c r="AE11" s="99">
        <v>0</v>
      </c>
      <c r="AF11" s="99">
        <v>180.96820894043285</v>
      </c>
      <c r="AG11" s="99">
        <v>0</v>
      </c>
      <c r="AH11" s="99">
        <v>180.96820894043285</v>
      </c>
      <c r="AI11" s="99">
        <v>180.96820894043285</v>
      </c>
      <c r="AL11" s="99">
        <v>0</v>
      </c>
      <c r="AM11" s="99">
        <v>0</v>
      </c>
      <c r="AO11" s="99">
        <v>180.96820894043285</v>
      </c>
      <c r="AP11" s="99">
        <v>180.96820894043285</v>
      </c>
      <c r="AQ11" s="99">
        <v>0</v>
      </c>
      <c r="AR11" s="99">
        <v>0</v>
      </c>
      <c r="AS11" s="99">
        <v>0</v>
      </c>
      <c r="AU11" s="99">
        <v>0</v>
      </c>
      <c r="AW11" s="99">
        <v>180.96820894043285</v>
      </c>
      <c r="AX11" s="99">
        <v>0</v>
      </c>
      <c r="AY11" s="99">
        <v>0</v>
      </c>
      <c r="AZ11" s="99">
        <v>0</v>
      </c>
      <c r="BA11" s="99">
        <v>180.96820894043285</v>
      </c>
    </row>
    <row r="12" spans="1:53">
      <c r="B12" s="119">
        <v>3</v>
      </c>
      <c r="C12" s="105" t="s">
        <v>293</v>
      </c>
      <c r="H12" s="99">
        <v>0</v>
      </c>
      <c r="K12" s="99">
        <v>0</v>
      </c>
      <c r="L12" s="99">
        <v>0</v>
      </c>
      <c r="M12" s="99">
        <v>0</v>
      </c>
      <c r="Q12" s="99">
        <v>180.96820894043285</v>
      </c>
      <c r="U12" s="99">
        <v>0</v>
      </c>
      <c r="Y12" s="99">
        <v>180.91104643309049</v>
      </c>
      <c r="AC12" s="99">
        <v>0</v>
      </c>
      <c r="AF12" s="99">
        <v>180.96820894043285</v>
      </c>
      <c r="AI12" s="99">
        <v>0</v>
      </c>
      <c r="AK12" s="99">
        <v>0</v>
      </c>
      <c r="AR12" s="99">
        <v>180.96820894043285</v>
      </c>
      <c r="AS12" s="99">
        <v>180.96820894043285</v>
      </c>
      <c r="AV12" s="99">
        <v>0</v>
      </c>
      <c r="AX12" s="99">
        <v>0</v>
      </c>
      <c r="AY12" s="99">
        <v>180.96820894043285</v>
      </c>
    </row>
    <row r="13" spans="1:53">
      <c r="B13" s="119">
        <v>4</v>
      </c>
      <c r="C13" s="105" t="s">
        <v>293</v>
      </c>
    </row>
    <row r="14" spans="1:53">
      <c r="A14" s="114" t="s">
        <v>134</v>
      </c>
      <c r="B14" s="120">
        <v>1</v>
      </c>
      <c r="C14" s="116" t="s">
        <v>293</v>
      </c>
      <c r="D14" s="116">
        <v>92.314873599298068</v>
      </c>
      <c r="E14" s="116">
        <f t="shared" ref="E14:AZ14" si="0">D$172*SUM(D$122:D$169)</f>
        <v>127.40217043291102</v>
      </c>
      <c r="F14" s="116">
        <f t="shared" si="0"/>
        <v>124.8624517969721</v>
      </c>
      <c r="G14" s="116">
        <f t="shared" si="0"/>
        <v>58.221752064605674</v>
      </c>
      <c r="H14" s="116">
        <f t="shared" si="0"/>
        <v>58.74680619601785</v>
      </c>
      <c r="I14" s="116">
        <f t="shared" si="0"/>
        <v>102.64711862638549</v>
      </c>
      <c r="J14" s="116">
        <f t="shared" si="0"/>
        <v>81.481332721088108</v>
      </c>
      <c r="K14" s="116">
        <f t="shared" si="0"/>
        <v>70.123051491194488</v>
      </c>
      <c r="L14" s="116">
        <f t="shared" si="0"/>
        <v>59.493641984650239</v>
      </c>
      <c r="M14" s="116">
        <f t="shared" si="0"/>
        <v>54.747945333813377</v>
      </c>
      <c r="N14" s="116">
        <f t="shared" si="0"/>
        <v>6.7129375837555667</v>
      </c>
      <c r="O14" s="116">
        <f t="shared" si="0"/>
        <v>94.39076221873934</v>
      </c>
      <c r="P14" s="116">
        <f t="shared" si="0"/>
        <v>45.812905573858437</v>
      </c>
      <c r="Q14" s="116">
        <f t="shared" si="0"/>
        <v>50.488596308300878</v>
      </c>
      <c r="R14" s="116">
        <f t="shared" si="0"/>
        <v>104.88623815532897</v>
      </c>
      <c r="S14" s="116">
        <f t="shared" si="0"/>
        <v>95.502703792955145</v>
      </c>
      <c r="T14" s="116">
        <f t="shared" si="0"/>
        <v>30.775560131659816</v>
      </c>
      <c r="U14" s="116">
        <f t="shared" si="0"/>
        <v>94.39076221873934</v>
      </c>
      <c r="V14" s="116">
        <f t="shared" si="0"/>
        <v>75.515944512836185</v>
      </c>
      <c r="W14" s="116">
        <f t="shared" si="0"/>
        <v>15.465411029033346</v>
      </c>
      <c r="X14" s="116">
        <f t="shared" si="0"/>
        <v>47.108350648340235</v>
      </c>
      <c r="Y14" s="116">
        <f t="shared" si="0"/>
        <v>58.07670161241542</v>
      </c>
      <c r="Z14" s="116">
        <f t="shared" si="0"/>
        <v>48.347388006364127</v>
      </c>
      <c r="AA14" s="116">
        <f t="shared" si="0"/>
        <v>50.413488816179104</v>
      </c>
      <c r="AB14" s="116">
        <f t="shared" si="0"/>
        <v>94.246470970704408</v>
      </c>
      <c r="AC14" s="116">
        <f t="shared" si="0"/>
        <v>79.56921634902038</v>
      </c>
      <c r="AD14" s="116">
        <f t="shared" si="0"/>
        <v>73.908149655670783</v>
      </c>
      <c r="AE14" s="116">
        <f t="shared" si="0"/>
        <v>33.140150013291425</v>
      </c>
      <c r="AF14" s="116">
        <f t="shared" si="0"/>
        <v>0.14429124803492643</v>
      </c>
      <c r="AG14" s="116">
        <f t="shared" si="0"/>
        <v>141.51399770409154</v>
      </c>
      <c r="AH14" s="116">
        <f t="shared" si="0"/>
        <v>61.559456200112159</v>
      </c>
      <c r="AI14" s="116">
        <f t="shared" si="0"/>
        <v>60.985274159176868</v>
      </c>
      <c r="AJ14" s="116">
        <f t="shared" si="0"/>
        <v>112.33508985957775</v>
      </c>
      <c r="AK14" s="116">
        <f t="shared" si="0"/>
        <v>93.214744196845061</v>
      </c>
      <c r="AL14" s="116">
        <f t="shared" si="0"/>
        <v>84.005800233523345</v>
      </c>
      <c r="AM14" s="116">
        <f t="shared" si="0"/>
        <v>73.955461827531266</v>
      </c>
      <c r="AN14" s="116">
        <f t="shared" si="0"/>
        <v>66.633952575539084</v>
      </c>
      <c r="AO14" s="116">
        <f t="shared" si="0"/>
        <v>10.972786519229141</v>
      </c>
      <c r="AP14" s="116">
        <f t="shared" si="0"/>
        <v>47.267526733387129</v>
      </c>
      <c r="AQ14" s="116">
        <f t="shared" si="0"/>
        <v>49.64156043337141</v>
      </c>
      <c r="AR14" s="116">
        <f t="shared" si="0"/>
        <v>5.6144611816568192E-15</v>
      </c>
      <c r="AS14" s="116">
        <f t="shared" si="0"/>
        <v>94.535053466774258</v>
      </c>
      <c r="AT14" s="116">
        <f t="shared" si="0"/>
        <v>120.40592869670003</v>
      </c>
      <c r="AU14" s="116">
        <f t="shared" si="0"/>
        <v>66.624070052498524</v>
      </c>
      <c r="AV14" s="116">
        <f t="shared" si="0"/>
        <v>117.95208819474507</v>
      </c>
      <c r="AW14" s="116">
        <f t="shared" si="0"/>
        <v>46.608029932503214</v>
      </c>
      <c r="AX14" s="116">
        <f t="shared" si="0"/>
        <v>47.267526733387129</v>
      </c>
      <c r="AY14" s="116">
        <f t="shared" si="0"/>
        <v>47.267526733387129</v>
      </c>
      <c r="AZ14" s="109">
        <f t="shared" si="0"/>
        <v>102.84829412098009</v>
      </c>
      <c r="BA14" s="106">
        <f>SUM($E14:$AZ14)</f>
        <v>3282.2164678662252</v>
      </c>
    </row>
    <row r="15" spans="1:53">
      <c r="A15" s="121" t="s">
        <v>123</v>
      </c>
      <c r="B15" s="122">
        <v>1</v>
      </c>
      <c r="C15" s="123" t="s">
        <v>293</v>
      </c>
      <c r="D15" s="123">
        <v>230.08603042562342</v>
      </c>
      <c r="E15" s="123">
        <v>238.80337368009211</v>
      </c>
      <c r="F15" s="123">
        <v>0.55496007709236206</v>
      </c>
      <c r="G15" s="123">
        <v>0</v>
      </c>
      <c r="H15" s="123">
        <v>181.7961283239992</v>
      </c>
      <c r="I15" s="123">
        <v>181.24116824690682</v>
      </c>
      <c r="J15" s="123">
        <v>181.24116849736086</v>
      </c>
      <c r="K15" s="123">
        <v>181.24116849736086</v>
      </c>
      <c r="L15" s="123">
        <v>181.24116849736086</v>
      </c>
      <c r="M15" s="123">
        <v>0</v>
      </c>
      <c r="N15" s="123">
        <v>181.79612857445323</v>
      </c>
      <c r="O15" s="123">
        <v>0.55496007709236206</v>
      </c>
      <c r="P15" s="123">
        <v>181.79612857445323</v>
      </c>
      <c r="Q15" s="123">
        <v>181.79612857445323</v>
      </c>
      <c r="R15" s="123">
        <v>181.79612857445323</v>
      </c>
      <c r="S15" s="123">
        <v>0.55496007709236206</v>
      </c>
      <c r="T15" s="123">
        <v>181.79612857445323</v>
      </c>
      <c r="U15" s="123">
        <v>181.79612857445323</v>
      </c>
      <c r="V15" s="123">
        <v>0.55496007709236206</v>
      </c>
      <c r="W15" s="123">
        <v>0</v>
      </c>
      <c r="X15" s="123">
        <v>181.73887984725621</v>
      </c>
      <c r="Y15" s="123">
        <v>0</v>
      </c>
      <c r="Z15" s="123">
        <v>0.55496007709236206</v>
      </c>
      <c r="AA15" s="123">
        <v>181.24116849736086</v>
      </c>
      <c r="AB15" s="123">
        <v>181.79612857445323</v>
      </c>
      <c r="AC15" s="123">
        <v>181.24116849736086</v>
      </c>
      <c r="AD15" s="123">
        <v>0.55496007709236206</v>
      </c>
      <c r="AE15" s="123">
        <v>0.55496007709236206</v>
      </c>
      <c r="AF15" s="123">
        <v>181.79612857445323</v>
      </c>
      <c r="AG15" s="123">
        <v>0</v>
      </c>
      <c r="AH15" s="123">
        <v>0.55496007709236206</v>
      </c>
      <c r="AI15" s="123">
        <v>181.24116849736086</v>
      </c>
      <c r="AJ15" s="123">
        <v>181.79612857445323</v>
      </c>
      <c r="AK15" s="123">
        <v>181.24116849736086</v>
      </c>
      <c r="AL15" s="123">
        <v>181.79612857445323</v>
      </c>
      <c r="AM15" s="123">
        <v>181.79612857445323</v>
      </c>
      <c r="AN15" s="123">
        <v>0.55496007709236206</v>
      </c>
      <c r="AO15" s="123">
        <v>0.55496007709236206</v>
      </c>
      <c r="AP15" s="123">
        <v>0.55496007709236206</v>
      </c>
      <c r="AQ15" s="123">
        <v>0</v>
      </c>
      <c r="AR15" s="123">
        <v>181.79612857445323</v>
      </c>
      <c r="AS15" s="123">
        <v>181.79612857445323</v>
      </c>
      <c r="AT15" s="123">
        <v>0.55496007709236206</v>
      </c>
      <c r="AU15" s="123">
        <v>363.03729707181407</v>
      </c>
      <c r="AV15" s="123">
        <v>0.55496007709236206</v>
      </c>
      <c r="AW15" s="123">
        <v>0.55496007709236206</v>
      </c>
      <c r="AX15" s="123">
        <v>181.79612857445323</v>
      </c>
      <c r="AY15" s="123">
        <v>181.79612857445323</v>
      </c>
      <c r="AZ15" s="99">
        <v>0.55496007709236206</v>
      </c>
    </row>
    <row r="16" spans="1:53">
      <c r="A16" s="109"/>
      <c r="B16" s="118">
        <v>2</v>
      </c>
      <c r="C16" s="108" t="s">
        <v>293</v>
      </c>
      <c r="D16" s="105">
        <v>259.91678878949978</v>
      </c>
      <c r="E16" s="109">
        <v>29.83075836387637</v>
      </c>
      <c r="F16" s="109">
        <v>0</v>
      </c>
      <c r="G16" s="109">
        <v>181.24116824690682</v>
      </c>
      <c r="H16" s="109">
        <v>181.7961283239992</v>
      </c>
      <c r="I16" s="109"/>
      <c r="J16" s="109">
        <v>0.55496007709236206</v>
      </c>
      <c r="K16" s="109"/>
      <c r="L16" s="109"/>
      <c r="M16" s="109"/>
      <c r="N16" s="109">
        <v>181.24116849736086</v>
      </c>
      <c r="O16" s="109">
        <v>0</v>
      </c>
      <c r="P16" s="109"/>
      <c r="Q16" s="109"/>
      <c r="R16" s="109">
        <v>0</v>
      </c>
      <c r="S16" s="109">
        <v>0</v>
      </c>
      <c r="T16" s="109">
        <v>181.24116849736086</v>
      </c>
      <c r="U16" s="109">
        <v>0</v>
      </c>
      <c r="V16" s="109">
        <v>0</v>
      </c>
      <c r="W16" s="109">
        <v>181.18391977016384</v>
      </c>
      <c r="X16" s="109">
        <v>0.55496007709236206</v>
      </c>
      <c r="Y16" s="109">
        <v>0</v>
      </c>
      <c r="Z16" s="109">
        <v>181.73887984725621</v>
      </c>
      <c r="AA16" s="109">
        <v>181.24116849736086</v>
      </c>
      <c r="AB16" s="109"/>
      <c r="AC16" s="109"/>
      <c r="AD16" s="109">
        <v>0.55496007709236206</v>
      </c>
      <c r="AE16" s="109">
        <v>0</v>
      </c>
      <c r="AF16" s="109">
        <v>181.24116849736086</v>
      </c>
      <c r="AG16" s="109">
        <v>0</v>
      </c>
      <c r="AH16" s="109">
        <v>181.79612857445323</v>
      </c>
      <c r="AI16" s="109">
        <v>181.24116849736086</v>
      </c>
      <c r="AJ16" s="109"/>
      <c r="AK16" s="109"/>
      <c r="AL16" s="109">
        <v>0.55496007709236206</v>
      </c>
      <c r="AM16" s="109">
        <v>0</v>
      </c>
      <c r="AN16" s="109"/>
      <c r="AO16" s="109">
        <v>181.24116849736086</v>
      </c>
      <c r="AP16" s="109">
        <v>181.24116849736086</v>
      </c>
      <c r="AQ16" s="109">
        <v>0</v>
      </c>
      <c r="AR16" s="109">
        <v>0.55496007709236206</v>
      </c>
      <c r="AS16" s="109">
        <v>0</v>
      </c>
      <c r="AT16" s="109"/>
      <c r="AU16" s="109">
        <v>0</v>
      </c>
      <c r="AV16" s="109"/>
      <c r="AW16" s="109">
        <v>181.24116849736086</v>
      </c>
      <c r="AX16" s="109">
        <v>0</v>
      </c>
      <c r="AY16" s="109">
        <v>0</v>
      </c>
      <c r="AZ16" s="99">
        <v>0</v>
      </c>
      <c r="BA16" s="99">
        <v>181.24116849736086</v>
      </c>
    </row>
    <row r="17" spans="1:51">
      <c r="A17" s="109"/>
      <c r="B17" s="118">
        <v>3</v>
      </c>
      <c r="C17" s="108" t="s">
        <v>293</v>
      </c>
      <c r="D17" s="105"/>
      <c r="E17" s="109"/>
      <c r="F17" s="109"/>
      <c r="G17" s="109"/>
      <c r="H17" s="109">
        <v>0</v>
      </c>
      <c r="I17" s="109"/>
      <c r="J17" s="109"/>
      <c r="K17" s="109">
        <v>0</v>
      </c>
      <c r="L17" s="109">
        <v>0</v>
      </c>
      <c r="M17" s="109">
        <v>0</v>
      </c>
      <c r="N17" s="109"/>
      <c r="O17" s="109"/>
      <c r="P17" s="109"/>
      <c r="Q17" s="109">
        <v>181.24116849736086</v>
      </c>
      <c r="R17" s="109"/>
      <c r="S17" s="109"/>
      <c r="T17" s="109"/>
      <c r="U17" s="109">
        <v>0</v>
      </c>
      <c r="V17" s="109"/>
      <c r="W17" s="109"/>
      <c r="X17" s="109"/>
      <c r="Y17" s="109">
        <v>181.18391977016384</v>
      </c>
      <c r="Z17" s="109"/>
      <c r="AA17" s="109"/>
      <c r="AB17" s="109"/>
      <c r="AC17" s="109">
        <v>0.55496007709236206</v>
      </c>
      <c r="AD17" s="109"/>
      <c r="AE17" s="109"/>
      <c r="AF17" s="109">
        <v>181.24116849736086</v>
      </c>
      <c r="AG17" s="109"/>
      <c r="AH17" s="109"/>
      <c r="AI17" s="109">
        <v>0</v>
      </c>
      <c r="AJ17" s="109"/>
      <c r="AK17" s="109">
        <v>0.55496007709236206</v>
      </c>
      <c r="AL17" s="109"/>
      <c r="AM17" s="109"/>
      <c r="AN17" s="109"/>
      <c r="AO17" s="109"/>
      <c r="AP17" s="109"/>
      <c r="AQ17" s="109"/>
      <c r="AR17" s="109">
        <v>181.24116849736086</v>
      </c>
      <c r="AS17" s="109">
        <v>181.24116849736086</v>
      </c>
      <c r="AT17" s="109"/>
      <c r="AU17" s="109"/>
      <c r="AV17" s="109">
        <v>0</v>
      </c>
      <c r="AW17" s="109"/>
      <c r="AX17" s="109">
        <v>0</v>
      </c>
      <c r="AY17" s="109">
        <v>181.24116849736086</v>
      </c>
    </row>
    <row r="18" spans="1:51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1">
      <c r="A20" s="101" t="s">
        <v>294</v>
      </c>
    </row>
    <row r="21" spans="1:51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1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1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1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1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1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1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1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1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1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1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1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175.00000000000003</v>
      </c>
      <c r="D95" s="109">
        <v>189.91333763612755</v>
      </c>
      <c r="E95" s="109">
        <v>189.91333763612755</v>
      </c>
      <c r="F95" s="109">
        <v>189.91333763612755</v>
      </c>
      <c r="G95" s="109">
        <v>189.91333763612755</v>
      </c>
      <c r="H95" s="109">
        <v>189.91333763612755</v>
      </c>
      <c r="I95" s="109">
        <v>189.91333763612755</v>
      </c>
      <c r="J95" s="109">
        <v>189.91333763612755</v>
      </c>
      <c r="K95" s="109">
        <v>189.91333763612755</v>
      </c>
      <c r="L95" s="109">
        <v>189.91333763612755</v>
      </c>
      <c r="M95" s="109">
        <v>189.91333763612755</v>
      </c>
      <c r="N95" s="109">
        <v>189.91333763612755</v>
      </c>
      <c r="O95" s="109">
        <v>189.91333763612755</v>
      </c>
      <c r="P95" s="109">
        <v>189.91333763612755</v>
      </c>
      <c r="Q95" s="109">
        <v>189.91333763612755</v>
      </c>
      <c r="R95" s="109">
        <v>189.91333763612755</v>
      </c>
      <c r="S95" s="109">
        <v>189.91333763612755</v>
      </c>
      <c r="T95" s="109">
        <v>151.93067010890206</v>
      </c>
      <c r="U95" s="109">
        <v>151.93067010890206</v>
      </c>
      <c r="V95" s="109">
        <v>151.93067010890206</v>
      </c>
      <c r="W95" s="109">
        <v>151.93067010890206</v>
      </c>
      <c r="X95" s="109">
        <v>189.91333763612755</v>
      </c>
      <c r="Y95" s="109">
        <v>189.91333763612755</v>
      </c>
      <c r="Z95" s="109">
        <v>189.91333763612755</v>
      </c>
      <c r="AA95" s="109">
        <v>189.91333763612755</v>
      </c>
      <c r="AB95" s="109">
        <v>189.91333763612755</v>
      </c>
      <c r="AC95" s="109">
        <v>189.91333763612755</v>
      </c>
      <c r="AD95" s="109">
        <v>189.91333763612755</v>
      </c>
      <c r="AE95" s="109">
        <v>189.91333763612755</v>
      </c>
      <c r="AF95" s="109">
        <v>189.91333763612755</v>
      </c>
      <c r="AG95" s="109">
        <v>189.91333763612755</v>
      </c>
      <c r="AH95" s="109">
        <v>189.91333763612755</v>
      </c>
      <c r="AI95" s="109">
        <v>189.91333763612755</v>
      </c>
      <c r="AJ95" s="109">
        <v>189.91333763612755</v>
      </c>
      <c r="AK95" s="109">
        <v>189.91333763612755</v>
      </c>
      <c r="AL95" s="109">
        <v>189.91333763612755</v>
      </c>
      <c r="AM95" s="109">
        <v>189.91333763612755</v>
      </c>
      <c r="AN95" s="109">
        <v>189.91333763612755</v>
      </c>
      <c r="AO95" s="109">
        <v>189.91333763612755</v>
      </c>
      <c r="AP95" s="109">
        <v>189.91333763612755</v>
      </c>
      <c r="AQ95" s="109">
        <v>189.91333763612755</v>
      </c>
      <c r="AR95" s="109">
        <v>189.91333763612755</v>
      </c>
      <c r="AS95" s="109">
        <v>189.91333763612755</v>
      </c>
      <c r="AT95" s="109">
        <v>189.91333763612755</v>
      </c>
      <c r="AU95" s="109">
        <v>189.91333763612755</v>
      </c>
      <c r="AV95" s="109">
        <v>189.91333763612755</v>
      </c>
      <c r="AW95" s="109">
        <v>189.91333763612755</v>
      </c>
      <c r="AX95" s="109">
        <v>189.91333763612755</v>
      </c>
      <c r="AY95" s="109">
        <v>189.91333763612755</v>
      </c>
    </row>
    <row r="96" spans="1:52">
      <c r="A96" s="108"/>
      <c r="B96" s="119">
        <v>2</v>
      </c>
      <c r="C96" s="109">
        <v>175.00000000000003</v>
      </c>
      <c r="D96" s="109">
        <v>175.00000000000003</v>
      </c>
      <c r="E96" s="109">
        <v>189.91333763612755</v>
      </c>
      <c r="F96" s="109">
        <v>189.91333763612755</v>
      </c>
      <c r="G96" s="109">
        <v>189.91333763612755</v>
      </c>
      <c r="H96" s="109">
        <v>189.91333763612755</v>
      </c>
      <c r="I96" s="109">
        <v>189.91333763612755</v>
      </c>
      <c r="J96" s="109">
        <v>189.91333763612755</v>
      </c>
      <c r="K96" s="109">
        <v>189.91333763612755</v>
      </c>
      <c r="L96" s="109">
        <v>189.91333763612755</v>
      </c>
      <c r="M96" s="109">
        <v>189.91333763612755</v>
      </c>
      <c r="N96" s="109">
        <v>189.91333763612755</v>
      </c>
      <c r="O96" s="109">
        <v>189.91333763612755</v>
      </c>
      <c r="P96" s="109">
        <v>189.91333763612755</v>
      </c>
      <c r="Q96" s="109">
        <v>189.91333763612755</v>
      </c>
      <c r="R96" s="109">
        <v>189.91333763612755</v>
      </c>
      <c r="S96" s="109">
        <v>189.91333763612755</v>
      </c>
      <c r="T96" s="109">
        <v>189.91333763612755</v>
      </c>
      <c r="U96" s="109">
        <v>151.93067010890206</v>
      </c>
      <c r="V96" s="109">
        <v>151.93067010890206</v>
      </c>
      <c r="W96" s="109">
        <v>151.93067010890206</v>
      </c>
      <c r="X96" s="109">
        <v>151.93067010890206</v>
      </c>
      <c r="Y96" s="109">
        <v>189.91333763612755</v>
      </c>
      <c r="Z96" s="109">
        <v>189.91333763612755</v>
      </c>
      <c r="AA96" s="109">
        <v>189.91333763612755</v>
      </c>
      <c r="AB96" s="109">
        <v>189.91333763612755</v>
      </c>
      <c r="AC96" s="109">
        <v>189.91333763612755</v>
      </c>
      <c r="AD96" s="109">
        <v>189.91333763612755</v>
      </c>
      <c r="AE96" s="109">
        <v>189.91333763612755</v>
      </c>
      <c r="AF96" s="109">
        <v>189.91333763612755</v>
      </c>
      <c r="AG96" s="109">
        <v>189.91333763612755</v>
      </c>
      <c r="AH96" s="109">
        <v>189.91333763612755</v>
      </c>
      <c r="AI96" s="109">
        <v>189.91333763612755</v>
      </c>
      <c r="AJ96" s="109">
        <v>189.91333763612755</v>
      </c>
      <c r="AK96" s="109">
        <v>189.91333763612755</v>
      </c>
      <c r="AL96" s="109">
        <v>189.91333763612755</v>
      </c>
      <c r="AM96" s="109">
        <v>189.91333763612755</v>
      </c>
      <c r="AN96" s="109">
        <v>189.91333763612755</v>
      </c>
      <c r="AO96" s="109">
        <v>189.91333763612755</v>
      </c>
      <c r="AP96" s="109">
        <v>189.91333763612755</v>
      </c>
      <c r="AQ96" s="109">
        <v>189.91333763612755</v>
      </c>
      <c r="AR96" s="109">
        <v>189.91333763612755</v>
      </c>
      <c r="AS96" s="109">
        <v>189.91333763612755</v>
      </c>
      <c r="AT96" s="109">
        <v>189.91333763612755</v>
      </c>
      <c r="AU96" s="109">
        <v>189.91333763612755</v>
      </c>
      <c r="AV96" s="109">
        <v>189.91333763612755</v>
      </c>
      <c r="AW96" s="109">
        <v>189.91333763612755</v>
      </c>
      <c r="AX96" s="109">
        <v>189.91333763612755</v>
      </c>
      <c r="AY96" s="109">
        <v>189.91333763612755</v>
      </c>
    </row>
    <row r="97" spans="1:52">
      <c r="A97" s="108"/>
      <c r="B97" s="126">
        <v>3</v>
      </c>
      <c r="C97" s="109">
        <v>175.00000000000003</v>
      </c>
      <c r="D97" s="109">
        <v>175.00000000000003</v>
      </c>
      <c r="E97" s="109">
        <v>175.00000000000003</v>
      </c>
      <c r="F97" s="109">
        <v>189.91333763612755</v>
      </c>
      <c r="G97" s="109">
        <v>189.91333763612755</v>
      </c>
      <c r="H97" s="109">
        <v>189.91333763612755</v>
      </c>
      <c r="I97" s="109">
        <v>189.91333763612755</v>
      </c>
      <c r="J97" s="109">
        <v>189.91333763612755</v>
      </c>
      <c r="K97" s="109">
        <v>189.91333763612755</v>
      </c>
      <c r="L97" s="109">
        <v>189.91333763612755</v>
      </c>
      <c r="M97" s="109">
        <v>189.91333763612755</v>
      </c>
      <c r="N97" s="109">
        <v>189.91333763612755</v>
      </c>
      <c r="O97" s="109">
        <v>189.91333763612755</v>
      </c>
      <c r="P97" s="109">
        <v>189.91333763612755</v>
      </c>
      <c r="Q97" s="109">
        <v>189.91333763612755</v>
      </c>
      <c r="R97" s="109">
        <v>189.91333763612755</v>
      </c>
      <c r="S97" s="109">
        <v>189.91333763612755</v>
      </c>
      <c r="T97" s="109">
        <v>189.91333763612755</v>
      </c>
      <c r="U97" s="109">
        <v>189.91333763612755</v>
      </c>
      <c r="V97" s="109">
        <v>151.93067010890206</v>
      </c>
      <c r="W97" s="109">
        <v>151.93067010890206</v>
      </c>
      <c r="X97" s="109">
        <v>151.93067010890206</v>
      </c>
      <c r="Y97" s="109">
        <v>151.93067010890206</v>
      </c>
      <c r="Z97" s="109">
        <v>189.91333763612755</v>
      </c>
      <c r="AA97" s="109">
        <v>189.91333763612755</v>
      </c>
      <c r="AB97" s="109">
        <v>189.91333763612755</v>
      </c>
      <c r="AC97" s="109">
        <v>189.91333763612755</v>
      </c>
      <c r="AD97" s="109">
        <v>189.91333763612755</v>
      </c>
      <c r="AE97" s="109">
        <v>189.91333763612755</v>
      </c>
      <c r="AF97" s="109">
        <v>189.91333763612755</v>
      </c>
      <c r="AG97" s="109">
        <v>189.91333763612755</v>
      </c>
      <c r="AH97" s="109">
        <v>189.91333763612755</v>
      </c>
      <c r="AI97" s="109">
        <v>189.91333763612755</v>
      </c>
      <c r="AJ97" s="109">
        <v>189.91333763612755</v>
      </c>
      <c r="AK97" s="109">
        <v>189.91333763612755</v>
      </c>
      <c r="AL97" s="109">
        <v>189.91333763612755</v>
      </c>
      <c r="AM97" s="109">
        <v>189.91333763612755</v>
      </c>
      <c r="AN97" s="109">
        <v>189.91333763612755</v>
      </c>
      <c r="AO97" s="109">
        <v>189.91333763612755</v>
      </c>
      <c r="AP97" s="109">
        <v>189.91333763612755</v>
      </c>
      <c r="AQ97" s="109">
        <v>189.91333763612755</v>
      </c>
      <c r="AR97" s="109">
        <v>189.91333763612755</v>
      </c>
      <c r="AS97" s="109">
        <v>189.91333763612755</v>
      </c>
      <c r="AT97" s="109">
        <v>189.91333763612755</v>
      </c>
      <c r="AU97" s="109">
        <v>189.91333763612755</v>
      </c>
      <c r="AV97" s="109">
        <v>189.91333763612755</v>
      </c>
      <c r="AW97" s="109">
        <v>189.91333763612755</v>
      </c>
      <c r="AX97" s="109">
        <v>189.91333763612755</v>
      </c>
      <c r="AY97" s="109">
        <v>189.91333763612755</v>
      </c>
    </row>
    <row r="98" spans="1:52">
      <c r="A98" s="108"/>
      <c r="B98" s="129">
        <v>4</v>
      </c>
      <c r="C98" s="105">
        <v>175.00000000000003</v>
      </c>
      <c r="D98" s="109">
        <v>175.00000000000003</v>
      </c>
      <c r="E98" s="109">
        <v>175.00000000000003</v>
      </c>
      <c r="F98" s="109">
        <v>175.00000000000003</v>
      </c>
      <c r="G98" s="109">
        <v>189.91333763612755</v>
      </c>
      <c r="H98" s="109">
        <v>189.91333763612755</v>
      </c>
      <c r="I98" s="109">
        <v>189.91333763612755</v>
      </c>
      <c r="J98" s="109">
        <v>189.91333763612755</v>
      </c>
      <c r="K98" s="109">
        <v>189.91333763612755</v>
      </c>
      <c r="L98" s="109">
        <v>189.91333763612755</v>
      </c>
      <c r="M98" s="109">
        <v>189.91333763612755</v>
      </c>
      <c r="N98" s="109">
        <v>189.91333763612755</v>
      </c>
      <c r="O98" s="109">
        <v>189.91333763612755</v>
      </c>
      <c r="P98" s="109">
        <v>189.91333763612755</v>
      </c>
      <c r="Q98" s="109">
        <v>189.91333763612755</v>
      </c>
      <c r="R98" s="109">
        <v>189.91333763612755</v>
      </c>
      <c r="S98" s="109">
        <v>189.91333763612755</v>
      </c>
      <c r="T98" s="109">
        <v>189.91333763612755</v>
      </c>
      <c r="U98" s="109">
        <v>189.91333763612755</v>
      </c>
      <c r="V98" s="109">
        <v>186.8266752722551</v>
      </c>
      <c r="W98" s="109">
        <v>151.93067010890206</v>
      </c>
      <c r="X98" s="109">
        <v>136.86134021780413</v>
      </c>
      <c r="Y98" s="109">
        <v>151.93067010890206</v>
      </c>
      <c r="Z98" s="109">
        <v>149.86134021780413</v>
      </c>
      <c r="AA98" s="109">
        <v>189.91333763612755</v>
      </c>
      <c r="AB98" s="109">
        <v>189.91333763612755</v>
      </c>
      <c r="AC98" s="109">
        <v>189.91333763612755</v>
      </c>
      <c r="AD98" s="109">
        <v>189.91333763612755</v>
      </c>
      <c r="AE98" s="109">
        <v>189.91333763612755</v>
      </c>
      <c r="AF98" s="109">
        <v>189.91333763612755</v>
      </c>
      <c r="AG98" s="109">
        <v>189.91333763612755</v>
      </c>
      <c r="AH98" s="109">
        <v>189.91333763612755</v>
      </c>
      <c r="AI98" s="109">
        <v>189.91333763612755</v>
      </c>
      <c r="AJ98" s="109">
        <v>189.91333763612755</v>
      </c>
      <c r="AK98" s="109">
        <v>189.91333763612755</v>
      </c>
      <c r="AL98" s="109">
        <v>189.91333763612755</v>
      </c>
      <c r="AM98" s="109">
        <v>189.91333763612755</v>
      </c>
      <c r="AN98" s="109">
        <v>189.91333763612755</v>
      </c>
      <c r="AO98" s="109">
        <v>189.91333763612755</v>
      </c>
      <c r="AP98" s="109">
        <v>189.91333763612755</v>
      </c>
      <c r="AQ98" s="109">
        <v>189.91333763612755</v>
      </c>
      <c r="AR98" s="109">
        <v>189.91333763612755</v>
      </c>
      <c r="AS98" s="109">
        <v>189.91333763612755</v>
      </c>
      <c r="AT98" s="109">
        <v>186.8266752722551</v>
      </c>
      <c r="AU98" s="109">
        <v>189.91333763612755</v>
      </c>
      <c r="AV98" s="109">
        <v>189.91333763612755</v>
      </c>
      <c r="AW98" s="109">
        <v>189.91333763612755</v>
      </c>
      <c r="AX98" s="109">
        <v>189.91333763612755</v>
      </c>
      <c r="AY98" s="109">
        <v>189.91333763612755</v>
      </c>
    </row>
    <row r="99" spans="1:52">
      <c r="A99" s="127"/>
      <c r="B99" s="131" t="s">
        <v>296</v>
      </c>
      <c r="C99" s="124">
        <v>6.0000000000000284</v>
      </c>
      <c r="D99" s="124">
        <v>47.000000000000028</v>
      </c>
      <c r="E99" s="124">
        <v>2.0000000000000284</v>
      </c>
      <c r="F99" s="124">
        <v>24.000000000000028</v>
      </c>
      <c r="G99" s="124">
        <v>23.000000000000028</v>
      </c>
      <c r="H99" s="124">
        <v>46.913337636127551</v>
      </c>
      <c r="I99" s="124">
        <v>46.913337636127551</v>
      </c>
      <c r="J99" s="124">
        <v>68.913337636127551</v>
      </c>
      <c r="K99" s="124">
        <v>53.913337636127551</v>
      </c>
      <c r="L99" s="124">
        <v>90.913337636127551</v>
      </c>
      <c r="M99" s="124">
        <v>11.913337636127551</v>
      </c>
      <c r="N99" s="124">
        <v>35.913337636127551</v>
      </c>
      <c r="O99" s="124">
        <v>45.913337636127551</v>
      </c>
      <c r="P99" s="124">
        <v>73.913337636127551</v>
      </c>
      <c r="Q99" s="124">
        <v>74.913337636127551</v>
      </c>
      <c r="R99" s="124">
        <v>65.913337636127551</v>
      </c>
      <c r="S99" s="124">
        <v>5.9133376361275509</v>
      </c>
      <c r="T99" s="124">
        <v>25.913337636127551</v>
      </c>
      <c r="U99" s="124">
        <v>25.913337636127551</v>
      </c>
      <c r="V99" s="124">
        <v>0</v>
      </c>
      <c r="W99" s="124">
        <v>28.826675272255102</v>
      </c>
      <c r="X99" s="124">
        <v>0</v>
      </c>
      <c r="Y99" s="124">
        <v>4.861340217804127</v>
      </c>
      <c r="Z99" s="124">
        <v>0</v>
      </c>
      <c r="AA99" s="124">
        <v>26.861340217804127</v>
      </c>
      <c r="AB99" s="124">
        <v>36.913337636127551</v>
      </c>
      <c r="AC99" s="124">
        <v>42.913337636127551</v>
      </c>
      <c r="AD99" s="124">
        <v>76.913337636127551</v>
      </c>
      <c r="AE99" s="124">
        <v>13.913337636127551</v>
      </c>
      <c r="AF99" s="124">
        <v>10.913337636127551</v>
      </c>
      <c r="AG99" s="124">
        <v>78.913337636127551</v>
      </c>
      <c r="AH99" s="124">
        <v>74.913337636127551</v>
      </c>
      <c r="AI99" s="124">
        <v>14.913337636127551</v>
      </c>
      <c r="AJ99" s="124">
        <v>61.913337636127551</v>
      </c>
      <c r="AK99" s="124">
        <v>29.913337636127551</v>
      </c>
      <c r="AL99" s="124">
        <v>28.913337636127551</v>
      </c>
      <c r="AM99" s="124">
        <v>29.913337636127551</v>
      </c>
      <c r="AN99" s="124">
        <v>2.9133376361275509</v>
      </c>
      <c r="AO99" s="124">
        <v>53.913337636127551</v>
      </c>
      <c r="AP99" s="124">
        <v>45.913337636127551</v>
      </c>
      <c r="AQ99" s="124">
        <v>48.913337636127551</v>
      </c>
      <c r="AR99" s="124">
        <v>53.913337636127551</v>
      </c>
      <c r="AS99" s="124">
        <v>46.913337636127551</v>
      </c>
      <c r="AT99" s="124">
        <v>0</v>
      </c>
      <c r="AU99" s="124">
        <v>71.826675272255102</v>
      </c>
      <c r="AV99" s="124">
        <v>2.9133376361275509</v>
      </c>
      <c r="AW99" s="124">
        <v>5.9133376361275509</v>
      </c>
      <c r="AX99" s="124">
        <v>50.913337636127551</v>
      </c>
      <c r="AY99" s="124">
        <v>65.913337636127551</v>
      </c>
      <c r="AZ99" s="106">
        <f>SUM($D99:$AY99)</f>
        <v>1781.2561858807117</v>
      </c>
    </row>
    <row r="100" spans="1:52">
      <c r="A100" s="130" t="s">
        <v>133</v>
      </c>
      <c r="B100" s="118">
        <v>1</v>
      </c>
      <c r="C100" s="105">
        <v>0</v>
      </c>
      <c r="D100" s="105">
        <v>170.47406125439846</v>
      </c>
      <c r="E100" s="105">
        <v>237.7420819298712</v>
      </c>
      <c r="F100" s="105">
        <v>0</v>
      </c>
      <c r="G100" s="105">
        <v>0</v>
      </c>
      <c r="H100" s="105">
        <v>180.96820869035597</v>
      </c>
      <c r="I100" s="105">
        <v>180.96820869035597</v>
      </c>
      <c r="J100" s="105">
        <v>180.96820894043285</v>
      </c>
      <c r="K100" s="105">
        <v>180.96820894043285</v>
      </c>
      <c r="L100" s="105">
        <v>180.96820894043285</v>
      </c>
      <c r="M100" s="105">
        <v>0</v>
      </c>
      <c r="N100" s="105">
        <v>180.96820894043285</v>
      </c>
      <c r="O100" s="105">
        <v>0</v>
      </c>
      <c r="P100" s="105">
        <v>180.96820894043285</v>
      </c>
      <c r="Q100" s="105">
        <v>180.96820894043285</v>
      </c>
      <c r="R100" s="105">
        <v>180.96820894043285</v>
      </c>
      <c r="S100" s="105">
        <v>0</v>
      </c>
      <c r="T100" s="105">
        <v>180.96820894043285</v>
      </c>
      <c r="U100" s="105">
        <v>180.96820894043285</v>
      </c>
      <c r="V100" s="105">
        <v>0</v>
      </c>
      <c r="W100" s="105">
        <v>0</v>
      </c>
      <c r="X100" s="105">
        <v>180.91104643309049</v>
      </c>
      <c r="Y100" s="105">
        <v>0</v>
      </c>
      <c r="Z100" s="105">
        <v>0</v>
      </c>
      <c r="AA100" s="105">
        <v>180.96820894043285</v>
      </c>
      <c r="AB100" s="105">
        <v>180.96820894043285</v>
      </c>
      <c r="AC100" s="105">
        <v>180.96820894043285</v>
      </c>
      <c r="AD100" s="105">
        <v>0</v>
      </c>
      <c r="AE100" s="105">
        <v>0</v>
      </c>
      <c r="AF100" s="105">
        <v>180.96820894043285</v>
      </c>
      <c r="AG100" s="105">
        <v>0</v>
      </c>
      <c r="AH100" s="105">
        <v>0</v>
      </c>
      <c r="AI100" s="105">
        <v>180.96820894043285</v>
      </c>
      <c r="AJ100" s="105">
        <v>180.96820894043285</v>
      </c>
      <c r="AK100" s="105">
        <v>180.96820894043285</v>
      </c>
      <c r="AL100" s="105">
        <v>180.96820894043285</v>
      </c>
      <c r="AM100" s="105">
        <v>180.96820894043285</v>
      </c>
      <c r="AN100" s="105">
        <v>0</v>
      </c>
      <c r="AO100" s="105">
        <v>0</v>
      </c>
      <c r="AP100" s="105">
        <v>0</v>
      </c>
      <c r="AQ100" s="105">
        <v>0</v>
      </c>
      <c r="AR100" s="105">
        <v>180.96820894043285</v>
      </c>
      <c r="AS100" s="105">
        <v>180.96820894043285</v>
      </c>
      <c r="AT100" s="105">
        <v>0</v>
      </c>
      <c r="AU100" s="105">
        <v>361.93641788086569</v>
      </c>
      <c r="AV100" s="105">
        <v>0</v>
      </c>
      <c r="AW100" s="105">
        <v>0</v>
      </c>
      <c r="AX100" s="105">
        <v>180.96820894043285</v>
      </c>
      <c r="AY100" s="105">
        <v>180.96820894043285</v>
      </c>
    </row>
    <row r="101" spans="1:52">
      <c r="A101" s="108"/>
      <c r="B101" s="118">
        <v>2</v>
      </c>
      <c r="C101" s="105">
        <v>128.44238380268084</v>
      </c>
      <c r="D101" s="105">
        <v>170.47406125439846</v>
      </c>
      <c r="E101" s="105">
        <v>153.94812250879693</v>
      </c>
      <c r="F101" s="105">
        <v>197.69020443866813</v>
      </c>
      <c r="G101" s="105">
        <v>180.96820869035597</v>
      </c>
      <c r="H101" s="105">
        <v>180.96820869035597</v>
      </c>
      <c r="I101" s="105">
        <v>150.59483050973603</v>
      </c>
      <c r="J101" s="105">
        <v>180.96820869035597</v>
      </c>
      <c r="K101" s="105">
        <v>158.53124814052484</v>
      </c>
      <c r="L101" s="105">
        <v>119.49945708095768</v>
      </c>
      <c r="M101" s="105">
        <v>112.46766602139053</v>
      </c>
      <c r="N101" s="105">
        <v>180.96820894043285</v>
      </c>
      <c r="O101" s="105">
        <v>180.96820894043285</v>
      </c>
      <c r="P101" s="105">
        <v>0</v>
      </c>
      <c r="Q101" s="105">
        <v>0</v>
      </c>
      <c r="R101" s="105">
        <v>155.93641788086569</v>
      </c>
      <c r="S101" s="105">
        <v>98.904626821298535</v>
      </c>
      <c r="T101" s="105">
        <v>180.96820894043285</v>
      </c>
      <c r="U101" s="105">
        <v>118.93641788086569</v>
      </c>
      <c r="V101" s="105">
        <v>73.904626821298535</v>
      </c>
      <c r="W101" s="105">
        <v>180.91104643309049</v>
      </c>
      <c r="X101" s="105">
        <v>0</v>
      </c>
      <c r="Y101" s="105">
        <v>0</v>
      </c>
      <c r="Z101" s="105">
        <v>180.91104643309049</v>
      </c>
      <c r="AA101" s="105">
        <v>180.96820894043285</v>
      </c>
      <c r="AB101" s="105">
        <v>136.93641788086569</v>
      </c>
      <c r="AC101" s="105">
        <v>125.90462682129854</v>
      </c>
      <c r="AD101" s="105">
        <v>119.87283576173138</v>
      </c>
      <c r="AE101" s="105">
        <v>0</v>
      </c>
      <c r="AF101" s="105">
        <v>180.96820894043285</v>
      </c>
      <c r="AG101" s="105">
        <v>180.96820894043285</v>
      </c>
      <c r="AH101" s="105">
        <v>180.96820894043285</v>
      </c>
      <c r="AI101" s="105">
        <v>180.96820894043285</v>
      </c>
      <c r="AJ101" s="105">
        <v>180.96820894043285</v>
      </c>
      <c r="AK101" s="105">
        <v>180.96820894043285</v>
      </c>
      <c r="AL101" s="105">
        <v>180.96820894043285</v>
      </c>
      <c r="AM101" s="105">
        <v>180.96820894043285</v>
      </c>
      <c r="AN101" s="105">
        <v>180.96820894043285</v>
      </c>
      <c r="AO101" s="105">
        <v>180.96820894043285</v>
      </c>
      <c r="AP101" s="105">
        <v>180.96820894043285</v>
      </c>
      <c r="AQ101" s="105">
        <v>0</v>
      </c>
      <c r="AR101" s="105">
        <v>0</v>
      </c>
      <c r="AS101" s="105">
        <v>180.96820894043285</v>
      </c>
      <c r="AT101" s="105">
        <v>180.96820894043285</v>
      </c>
      <c r="AU101" s="105">
        <v>0</v>
      </c>
      <c r="AV101" s="105">
        <v>209.80925364259707</v>
      </c>
      <c r="AW101" s="105">
        <v>180.96820894043285</v>
      </c>
      <c r="AX101" s="105">
        <v>0</v>
      </c>
      <c r="AY101" s="105">
        <v>22.745671523462761</v>
      </c>
    </row>
    <row r="102" spans="1:52">
      <c r="A102" s="108"/>
      <c r="B102" s="119">
        <v>3</v>
      </c>
      <c r="C102" s="105">
        <v>0</v>
      </c>
      <c r="D102" s="105">
        <v>0</v>
      </c>
      <c r="E102" s="105">
        <v>0</v>
      </c>
      <c r="F102" s="105">
        <v>0</v>
      </c>
      <c r="G102" s="105">
        <v>23.690204438668133</v>
      </c>
      <c r="H102" s="105">
        <v>9.6584131290240975</v>
      </c>
      <c r="I102" s="105">
        <v>0</v>
      </c>
      <c r="J102" s="105">
        <v>12.594830509736028</v>
      </c>
      <c r="K102" s="105">
        <v>0</v>
      </c>
      <c r="L102" s="105">
        <v>0</v>
      </c>
      <c r="M102" s="105">
        <v>0</v>
      </c>
      <c r="N102" s="105">
        <v>0</v>
      </c>
      <c r="O102" s="105">
        <v>38.968208940432845</v>
      </c>
      <c r="P102" s="105">
        <v>16.93641788086569</v>
      </c>
      <c r="Q102" s="105">
        <v>180.96820894043285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19.91104643309049</v>
      </c>
      <c r="Y102" s="105">
        <v>180.91104643309049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180.96820894043285</v>
      </c>
      <c r="AG102" s="105">
        <v>119.93641788086569</v>
      </c>
      <c r="AH102" s="105">
        <v>111.90462682129854</v>
      </c>
      <c r="AI102" s="105">
        <v>79.87283576173138</v>
      </c>
      <c r="AJ102" s="105">
        <v>84.841044702164226</v>
      </c>
      <c r="AK102" s="105">
        <v>79.809253642597071</v>
      </c>
      <c r="AL102" s="105">
        <v>12.777462583029916</v>
      </c>
      <c r="AM102" s="105">
        <v>7.7456715234627609</v>
      </c>
      <c r="AN102" s="105">
        <v>34.713880463895606</v>
      </c>
      <c r="AO102" s="105">
        <v>0</v>
      </c>
      <c r="AP102" s="105">
        <v>0</v>
      </c>
      <c r="AQ102" s="105">
        <v>0</v>
      </c>
      <c r="AR102" s="105">
        <v>180.96820894043285</v>
      </c>
      <c r="AS102" s="105">
        <v>180.96820894043285</v>
      </c>
      <c r="AT102" s="105">
        <v>141.90462682129854</v>
      </c>
      <c r="AU102" s="105">
        <v>99.87283576173138</v>
      </c>
      <c r="AV102" s="105">
        <v>0</v>
      </c>
      <c r="AW102" s="105">
        <v>49.809253642597071</v>
      </c>
      <c r="AX102" s="105">
        <v>92.777462583029916</v>
      </c>
      <c r="AY102" s="105">
        <v>180.96820894043285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22.91104643309049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24.968208940432845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233.09279133295672</v>
      </c>
      <c r="D109" s="105">
        <v>92.314873599298068</v>
      </c>
      <c r="E109" s="105">
        <v>127.40217043291102</v>
      </c>
      <c r="F109" s="105">
        <v>124.8624517969721</v>
      </c>
      <c r="G109" s="105">
        <v>58.221752064605674</v>
      </c>
      <c r="H109" s="105">
        <v>58.74680619601785</v>
      </c>
      <c r="I109" s="105">
        <v>102.64711862638549</v>
      </c>
      <c r="J109" s="105">
        <v>81.481332721088108</v>
      </c>
      <c r="K109" s="105">
        <v>70.123051491194488</v>
      </c>
      <c r="L109" s="105">
        <v>59.493641984650239</v>
      </c>
      <c r="M109" s="105">
        <v>54.747945333813377</v>
      </c>
      <c r="N109" s="105">
        <v>6.7129375837555667</v>
      </c>
      <c r="O109" s="105">
        <v>94.39076221873934</v>
      </c>
      <c r="P109" s="105">
        <v>45.812905573858437</v>
      </c>
      <c r="Q109" s="105">
        <v>50.488596308300878</v>
      </c>
      <c r="R109" s="105">
        <v>104.88623815532897</v>
      </c>
      <c r="S109" s="105">
        <v>95.502703792955145</v>
      </c>
      <c r="T109" s="105">
        <v>30.775560131659816</v>
      </c>
      <c r="U109" s="105">
        <v>94.39076221873934</v>
      </c>
      <c r="V109" s="105">
        <v>75.515944512836185</v>
      </c>
      <c r="W109" s="105">
        <v>15.465411029033346</v>
      </c>
      <c r="X109" s="105">
        <v>47.108350648340235</v>
      </c>
      <c r="Y109" s="105">
        <v>58.07670161241542</v>
      </c>
      <c r="Z109" s="105">
        <v>48.347388006364127</v>
      </c>
      <c r="AA109" s="105">
        <v>50.413488816179104</v>
      </c>
      <c r="AB109" s="105">
        <v>94.246470970704408</v>
      </c>
      <c r="AC109" s="105">
        <v>79.56921634902038</v>
      </c>
      <c r="AD109" s="105">
        <v>73.908149655670783</v>
      </c>
      <c r="AE109" s="105">
        <v>33.140150013291425</v>
      </c>
      <c r="AF109" s="105">
        <v>0.14429124803492643</v>
      </c>
      <c r="AG109" s="105">
        <v>141.51399770409154</v>
      </c>
      <c r="AH109" s="105">
        <v>61.559456200112159</v>
      </c>
      <c r="AI109" s="105">
        <v>60.985274159176868</v>
      </c>
      <c r="AJ109" s="105">
        <v>112.33508985957775</v>
      </c>
      <c r="AK109" s="105">
        <v>93.214744196845061</v>
      </c>
      <c r="AL109" s="105">
        <v>84.005800233523345</v>
      </c>
      <c r="AM109" s="105">
        <v>73.955461827531266</v>
      </c>
      <c r="AN109" s="105">
        <v>66.633952575539084</v>
      </c>
      <c r="AO109" s="105">
        <v>10.972786519229141</v>
      </c>
      <c r="AP109" s="105">
        <v>47.267526733387129</v>
      </c>
      <c r="AQ109" s="105">
        <v>49.64156043337141</v>
      </c>
      <c r="AR109" s="105">
        <v>5.6144611816568192E-15</v>
      </c>
      <c r="AS109" s="105">
        <v>94.535053466774258</v>
      </c>
      <c r="AT109" s="105">
        <v>120.40592869670003</v>
      </c>
      <c r="AU109" s="105">
        <v>66.624070052498524</v>
      </c>
      <c r="AV109" s="105">
        <v>117.95208819474507</v>
      </c>
      <c r="AW109" s="105">
        <v>46.608029932503214</v>
      </c>
      <c r="AX109" s="105">
        <v>47.267526733387129</v>
      </c>
      <c r="AY109" s="105">
        <v>47.267526733387129</v>
      </c>
    </row>
    <row r="110" spans="1:52">
      <c r="A110" s="108"/>
      <c r="B110" s="118">
        <v>2</v>
      </c>
      <c r="C110" s="105">
        <v>47.547143477760031</v>
      </c>
      <c r="D110" s="105">
        <v>233.09279133295672</v>
      </c>
      <c r="E110" s="105">
        <v>92.314873599298068</v>
      </c>
      <c r="F110" s="105">
        <v>127.40217043291102</v>
      </c>
      <c r="G110" s="105">
        <v>124.8624517969721</v>
      </c>
      <c r="H110" s="105">
        <v>58.221752064605674</v>
      </c>
      <c r="I110" s="105">
        <v>58.74680619601785</v>
      </c>
      <c r="J110" s="105">
        <v>102.64711862638549</v>
      </c>
      <c r="K110" s="105">
        <v>81.481332721088108</v>
      </c>
      <c r="L110" s="105">
        <v>70.123051491194488</v>
      </c>
      <c r="M110" s="105">
        <v>59.493641984650239</v>
      </c>
      <c r="N110" s="105">
        <v>54.747945333813377</v>
      </c>
      <c r="O110" s="105">
        <v>6.7129375837555667</v>
      </c>
      <c r="P110" s="105">
        <v>94.39076221873934</v>
      </c>
      <c r="Q110" s="105">
        <v>45.812905573858437</v>
      </c>
      <c r="R110" s="105">
        <v>50.488596308300878</v>
      </c>
      <c r="S110" s="105">
        <v>104.88623815532897</v>
      </c>
      <c r="T110" s="105">
        <v>95.502703792955145</v>
      </c>
      <c r="U110" s="105">
        <v>30.775560131659816</v>
      </c>
      <c r="V110" s="105">
        <v>94.39076221873934</v>
      </c>
      <c r="W110" s="105">
        <v>75.515944512836185</v>
      </c>
      <c r="X110" s="105">
        <v>15.465411029033346</v>
      </c>
      <c r="Y110" s="105">
        <v>47.108350648340235</v>
      </c>
      <c r="Z110" s="105">
        <v>58.07670161241542</v>
      </c>
      <c r="AA110" s="105">
        <v>48.347388006364127</v>
      </c>
      <c r="AB110" s="105">
        <v>50.413488816179104</v>
      </c>
      <c r="AC110" s="105">
        <v>94.246470970704408</v>
      </c>
      <c r="AD110" s="105">
        <v>79.56921634902038</v>
      </c>
      <c r="AE110" s="105">
        <v>73.908149655670783</v>
      </c>
      <c r="AF110" s="105">
        <v>33.140150013291425</v>
      </c>
      <c r="AG110" s="105">
        <v>0.14429124803492643</v>
      </c>
      <c r="AH110" s="105">
        <v>141.51399770409154</v>
      </c>
      <c r="AI110" s="105">
        <v>61.559456200112159</v>
      </c>
      <c r="AJ110" s="105">
        <v>60.985274159176868</v>
      </c>
      <c r="AK110" s="105">
        <v>112.33508985957775</v>
      </c>
      <c r="AL110" s="105">
        <v>93.214744196845061</v>
      </c>
      <c r="AM110" s="105">
        <v>84.005800233523345</v>
      </c>
      <c r="AN110" s="105">
        <v>73.955461827531266</v>
      </c>
      <c r="AO110" s="105">
        <v>66.633952575539084</v>
      </c>
      <c r="AP110" s="105">
        <v>10.972786519229141</v>
      </c>
      <c r="AQ110" s="105">
        <v>47.267526733387129</v>
      </c>
      <c r="AR110" s="105">
        <v>49.64156043337141</v>
      </c>
      <c r="AS110" s="105">
        <v>5.6144611816568192E-15</v>
      </c>
      <c r="AT110" s="105">
        <v>47.122655371110831</v>
      </c>
      <c r="AU110" s="105">
        <v>68.528584067810868</v>
      </c>
      <c r="AV110" s="105">
        <v>57.152654120309393</v>
      </c>
      <c r="AW110" s="105">
        <v>105.10474231505447</v>
      </c>
      <c r="AX110" s="105">
        <v>46.608029932503214</v>
      </c>
      <c r="AY110" s="105">
        <v>25.980298980944809</v>
      </c>
    </row>
    <row r="111" spans="1:52">
      <c r="A111" s="108"/>
      <c r="B111" s="118">
        <v>3</v>
      </c>
      <c r="C111" s="105">
        <v>149.0700943631488</v>
      </c>
      <c r="D111" s="105">
        <v>47.547143477760031</v>
      </c>
      <c r="E111" s="105">
        <v>233.09279133295672</v>
      </c>
      <c r="F111" s="105">
        <v>92.314873599298068</v>
      </c>
      <c r="G111" s="105">
        <v>127.40217043291102</v>
      </c>
      <c r="H111" s="105">
        <v>124.8624517969721</v>
      </c>
      <c r="I111" s="105">
        <v>58.221752064605674</v>
      </c>
      <c r="J111" s="105">
        <v>58.74680619601785</v>
      </c>
      <c r="K111" s="105">
        <v>102.64711862638549</v>
      </c>
      <c r="L111" s="105">
        <v>81.481332721088108</v>
      </c>
      <c r="M111" s="105">
        <v>70.123051491194488</v>
      </c>
      <c r="N111" s="105">
        <v>59.493641984650239</v>
      </c>
      <c r="O111" s="105">
        <v>54.747945333813377</v>
      </c>
      <c r="P111" s="105">
        <v>6.7129375837555667</v>
      </c>
      <c r="Q111" s="105">
        <v>94.39076221873934</v>
      </c>
      <c r="R111" s="105">
        <v>45.812905573858437</v>
      </c>
      <c r="S111" s="105">
        <v>50.488596308300878</v>
      </c>
      <c r="T111" s="105">
        <v>104.88623815532897</v>
      </c>
      <c r="U111" s="105">
        <v>95.502703792955145</v>
      </c>
      <c r="V111" s="105">
        <v>30.775560131659816</v>
      </c>
      <c r="W111" s="105">
        <v>94.39076221873934</v>
      </c>
      <c r="X111" s="105">
        <v>75.515944512836185</v>
      </c>
      <c r="Y111" s="105">
        <v>15.465411029033346</v>
      </c>
      <c r="Z111" s="105">
        <v>47.108350648340235</v>
      </c>
      <c r="AA111" s="105">
        <v>58.07670161241542</v>
      </c>
      <c r="AB111" s="105">
        <v>48.347388006364127</v>
      </c>
      <c r="AC111" s="105">
        <v>50.413488816179104</v>
      </c>
      <c r="AD111" s="105">
        <v>94.246470970704408</v>
      </c>
      <c r="AE111" s="105">
        <v>79.56921634902038</v>
      </c>
      <c r="AF111" s="105">
        <v>73.908149655670783</v>
      </c>
      <c r="AG111" s="105">
        <v>33.140150013291425</v>
      </c>
      <c r="AH111" s="105">
        <v>0.14429124803492643</v>
      </c>
      <c r="AI111" s="105">
        <v>141.51399770409154</v>
      </c>
      <c r="AJ111" s="105">
        <v>61.559456200112159</v>
      </c>
      <c r="AK111" s="105">
        <v>60.985274159176868</v>
      </c>
      <c r="AL111" s="105">
        <v>112.33508985957775</v>
      </c>
      <c r="AM111" s="105">
        <v>93.214744196845061</v>
      </c>
      <c r="AN111" s="105">
        <v>84.005800233523345</v>
      </c>
      <c r="AO111" s="105">
        <v>73.955461827531266</v>
      </c>
      <c r="AP111" s="105">
        <v>66.633952575539084</v>
      </c>
      <c r="AQ111" s="105">
        <v>10.972786519229141</v>
      </c>
      <c r="AR111" s="105">
        <v>47.267526733387129</v>
      </c>
      <c r="AS111" s="105">
        <v>49.64156043337141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0.10474231505446596</v>
      </c>
      <c r="AY111" s="105">
        <v>0</v>
      </c>
    </row>
    <row r="112" spans="1:52">
      <c r="A112" s="108"/>
      <c r="B112" s="119">
        <v>4</v>
      </c>
      <c r="C112" s="105">
        <v>182.47553312199611</v>
      </c>
      <c r="D112" s="105">
        <v>149.0700943631488</v>
      </c>
      <c r="E112" s="105">
        <v>47.547143477760031</v>
      </c>
      <c r="F112" s="105">
        <v>233.09279133295672</v>
      </c>
      <c r="G112" s="105">
        <v>92.314873599298068</v>
      </c>
      <c r="H112" s="105">
        <v>127.40217043291102</v>
      </c>
      <c r="I112" s="105">
        <v>124.8624517969721</v>
      </c>
      <c r="J112" s="105">
        <v>58.221752064605674</v>
      </c>
      <c r="K112" s="105">
        <v>58.74680619601785</v>
      </c>
      <c r="L112" s="105">
        <v>102.64711862638549</v>
      </c>
      <c r="M112" s="105">
        <v>81.481332721088108</v>
      </c>
      <c r="N112" s="105">
        <v>70.123051491194488</v>
      </c>
      <c r="O112" s="105">
        <v>59.493641984650239</v>
      </c>
      <c r="P112" s="105">
        <v>54.747945333813377</v>
      </c>
      <c r="Q112" s="105">
        <v>6.7129375837555667</v>
      </c>
      <c r="R112" s="105">
        <v>94.39076221873934</v>
      </c>
      <c r="S112" s="105">
        <v>45.812905573858437</v>
      </c>
      <c r="T112" s="105">
        <v>50.488596308300878</v>
      </c>
      <c r="U112" s="105">
        <v>104.88623815532897</v>
      </c>
      <c r="V112" s="105">
        <v>95.502703792955145</v>
      </c>
      <c r="W112" s="105">
        <v>30.775560131659816</v>
      </c>
      <c r="X112" s="105">
        <v>94.39076221873934</v>
      </c>
      <c r="Y112" s="105">
        <v>75.515944512836185</v>
      </c>
      <c r="Z112" s="105">
        <v>15.465411029033346</v>
      </c>
      <c r="AA112" s="105">
        <v>47.108350648340235</v>
      </c>
      <c r="AB112" s="105">
        <v>58.07670161241542</v>
      </c>
      <c r="AC112" s="105">
        <v>48.347388006364127</v>
      </c>
      <c r="AD112" s="105">
        <v>50.413488816179104</v>
      </c>
      <c r="AE112" s="105">
        <v>94.246470970704408</v>
      </c>
      <c r="AF112" s="105">
        <v>79.56921634902038</v>
      </c>
      <c r="AG112" s="105">
        <v>73.908149655670783</v>
      </c>
      <c r="AH112" s="105">
        <v>33.140150013291425</v>
      </c>
      <c r="AI112" s="105">
        <v>0.14429124803492643</v>
      </c>
      <c r="AJ112" s="105">
        <v>110.18594087577597</v>
      </c>
      <c r="AK112" s="105">
        <v>61.559456200112159</v>
      </c>
      <c r="AL112" s="105">
        <v>60.985274159176868</v>
      </c>
      <c r="AM112" s="105">
        <v>112.33508985957775</v>
      </c>
      <c r="AN112" s="105">
        <v>93.214744196845061</v>
      </c>
      <c r="AO112" s="105">
        <v>84.005800233523345</v>
      </c>
      <c r="AP112" s="105">
        <v>73.955461827531266</v>
      </c>
      <c r="AQ112" s="105">
        <v>66.633952575539084</v>
      </c>
      <c r="AR112" s="105">
        <v>10.972786519229141</v>
      </c>
      <c r="AS112" s="105">
        <v>7.9460414709651488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>
        <v>209.74744462661391</v>
      </c>
      <c r="D113" s="105">
        <v>182.47553312199611</v>
      </c>
      <c r="E113" s="105">
        <v>149.0700943631488</v>
      </c>
      <c r="F113" s="105">
        <v>47.547143477760031</v>
      </c>
      <c r="G113" s="105">
        <v>233.09279133295672</v>
      </c>
      <c r="H113" s="105">
        <v>92.314873599298068</v>
      </c>
      <c r="I113" s="105">
        <v>127.40217043291102</v>
      </c>
      <c r="J113" s="105">
        <v>124.8624517969721</v>
      </c>
      <c r="K113" s="105">
        <v>58.221752064605674</v>
      </c>
      <c r="L113" s="105">
        <v>58.74680619601785</v>
      </c>
      <c r="M113" s="105">
        <v>102.64711862638549</v>
      </c>
      <c r="N113" s="105">
        <v>81.481332721088108</v>
      </c>
      <c r="O113" s="105">
        <v>70.123051491194488</v>
      </c>
      <c r="P113" s="105">
        <v>59.493641984650239</v>
      </c>
      <c r="Q113" s="105">
        <v>54.747945333813377</v>
      </c>
      <c r="R113" s="105">
        <v>6.7129375837555667</v>
      </c>
      <c r="S113" s="105">
        <v>94.39076221873934</v>
      </c>
      <c r="T113" s="105">
        <v>45.812905573858437</v>
      </c>
      <c r="U113" s="105">
        <v>50.488596308300878</v>
      </c>
      <c r="V113" s="105">
        <v>104.88623815532897</v>
      </c>
      <c r="W113" s="105">
        <v>95.502703792955145</v>
      </c>
      <c r="X113" s="105">
        <v>30.775560131659816</v>
      </c>
      <c r="Y113" s="105">
        <v>94.39076221873934</v>
      </c>
      <c r="Z113" s="105">
        <v>75.515944512836185</v>
      </c>
      <c r="AA113" s="105">
        <v>15.465411029033346</v>
      </c>
      <c r="AB113" s="105">
        <v>47.108350648340235</v>
      </c>
      <c r="AC113" s="105">
        <v>58.07670161241542</v>
      </c>
      <c r="AD113" s="105">
        <v>48.347388006364127</v>
      </c>
      <c r="AE113" s="105">
        <v>50.413488816179104</v>
      </c>
      <c r="AF113" s="105">
        <v>94.246470970704408</v>
      </c>
      <c r="AG113" s="105">
        <v>79.56921634902038</v>
      </c>
      <c r="AH113" s="105">
        <v>73.908149655670783</v>
      </c>
      <c r="AI113" s="105">
        <v>33.140150013291425</v>
      </c>
      <c r="AJ113" s="105">
        <v>0</v>
      </c>
      <c r="AK113" s="105">
        <v>41.18594087577597</v>
      </c>
      <c r="AL113" s="105">
        <v>28.745397075888128</v>
      </c>
      <c r="AM113" s="105">
        <v>8.730671235064996</v>
      </c>
      <c r="AN113" s="105">
        <v>44.065761094642738</v>
      </c>
      <c r="AO113" s="105">
        <v>67.280505291487799</v>
      </c>
      <c r="AP113" s="105">
        <v>63.888499509096079</v>
      </c>
      <c r="AQ113" s="105">
        <v>53.071775642809797</v>
      </c>
      <c r="AR113" s="105">
        <v>26.705728218348881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>
        <v>246.55390866219392</v>
      </c>
      <c r="D114" s="105">
        <v>209.74744462661391</v>
      </c>
      <c r="E114" s="105">
        <v>182.47553312199611</v>
      </c>
      <c r="F114" s="105">
        <v>149.0700943631488</v>
      </c>
      <c r="G114" s="105">
        <v>47.547143477760031</v>
      </c>
      <c r="H114" s="105">
        <v>233.09279133295672</v>
      </c>
      <c r="I114" s="105">
        <v>92.314873599298068</v>
      </c>
      <c r="J114" s="105">
        <v>127.40217043291102</v>
      </c>
      <c r="K114" s="105">
        <v>124.8624517969721</v>
      </c>
      <c r="L114" s="105">
        <v>58.221752064605674</v>
      </c>
      <c r="M114" s="105">
        <v>58.74680619601785</v>
      </c>
      <c r="N114" s="105">
        <v>102.64711862638549</v>
      </c>
      <c r="O114" s="105">
        <v>81.481332721088108</v>
      </c>
      <c r="P114" s="105">
        <v>70.123051491194488</v>
      </c>
      <c r="Q114" s="105">
        <v>59.493641984650239</v>
      </c>
      <c r="R114" s="105">
        <v>54.747945333813377</v>
      </c>
      <c r="S114" s="105">
        <v>6.7129375837555667</v>
      </c>
      <c r="T114" s="105">
        <v>94.39076221873934</v>
      </c>
      <c r="U114" s="105">
        <v>45.812905573858437</v>
      </c>
      <c r="V114" s="105">
        <v>50.488596308300878</v>
      </c>
      <c r="W114" s="105">
        <v>104.88623815532897</v>
      </c>
      <c r="X114" s="105">
        <v>95.502703792955145</v>
      </c>
      <c r="Y114" s="105">
        <v>30.775560131659816</v>
      </c>
      <c r="Z114" s="105">
        <v>94.39076221873934</v>
      </c>
      <c r="AA114" s="105">
        <v>75.515944512836185</v>
      </c>
      <c r="AB114" s="105">
        <v>15.465411029033346</v>
      </c>
      <c r="AC114" s="105">
        <v>47.108350648340235</v>
      </c>
      <c r="AD114" s="105">
        <v>58.07670161241542</v>
      </c>
      <c r="AE114" s="105">
        <v>48.347388006364127</v>
      </c>
      <c r="AF114" s="105">
        <v>12.663664934962505</v>
      </c>
      <c r="AG114" s="105">
        <v>50.910135905666912</v>
      </c>
      <c r="AH114" s="105">
        <v>47.479352254687292</v>
      </c>
      <c r="AI114" s="105">
        <v>17.387501910358075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>
        <v>128.3643630059145</v>
      </c>
      <c r="D115" s="105">
        <v>246.55390866219392</v>
      </c>
      <c r="E115" s="105">
        <v>209.74744462661391</v>
      </c>
      <c r="F115" s="105">
        <v>182.47553312199611</v>
      </c>
      <c r="G115" s="105">
        <v>149.0700943631488</v>
      </c>
      <c r="H115" s="105">
        <v>47.547143477760031</v>
      </c>
      <c r="I115" s="105">
        <v>233.09279133295672</v>
      </c>
      <c r="J115" s="105">
        <v>92.314873599298068</v>
      </c>
      <c r="K115" s="105">
        <v>127.40217043291102</v>
      </c>
      <c r="L115" s="105">
        <v>124.8624517969721</v>
      </c>
      <c r="M115" s="105">
        <v>58.221752064605674</v>
      </c>
      <c r="N115" s="105">
        <v>58.74680619601785</v>
      </c>
      <c r="O115" s="105">
        <v>102.64711862638549</v>
      </c>
      <c r="P115" s="105">
        <v>81.481332721088108</v>
      </c>
      <c r="Q115" s="105">
        <v>70.123051491194488</v>
      </c>
      <c r="R115" s="105">
        <v>59.493641984650239</v>
      </c>
      <c r="S115" s="105">
        <v>54.747945333813377</v>
      </c>
      <c r="T115" s="105">
        <v>6.7129375837555667</v>
      </c>
      <c r="U115" s="105">
        <v>94.39076221873934</v>
      </c>
      <c r="V115" s="105">
        <v>45.812905573858437</v>
      </c>
      <c r="W115" s="105">
        <v>50.488596308300878</v>
      </c>
      <c r="X115" s="105">
        <v>104.88623815532897</v>
      </c>
      <c r="Y115" s="105">
        <v>95.502703792955145</v>
      </c>
      <c r="Z115" s="105">
        <v>30.775560131659816</v>
      </c>
      <c r="AA115" s="105">
        <v>94.39076221873934</v>
      </c>
      <c r="AB115" s="105">
        <v>75.515944512836185</v>
      </c>
      <c r="AC115" s="105">
        <v>15.465411029033346</v>
      </c>
      <c r="AD115" s="105">
        <v>44.466321675046245</v>
      </c>
      <c r="AE115" s="105">
        <v>19.902788112419273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>
        <v>36.520603109771521</v>
      </c>
      <c r="D116" s="105">
        <v>128.3643630059145</v>
      </c>
      <c r="E116" s="105">
        <v>246.55390866219392</v>
      </c>
      <c r="F116" s="105">
        <v>209.74744462661391</v>
      </c>
      <c r="G116" s="105">
        <v>182.47553312199611</v>
      </c>
      <c r="H116" s="105">
        <v>149.0700943631488</v>
      </c>
      <c r="I116" s="105">
        <v>47.547143477760031</v>
      </c>
      <c r="J116" s="105">
        <v>233.09279133295672</v>
      </c>
      <c r="K116" s="105">
        <v>92.314873599298068</v>
      </c>
      <c r="L116" s="105">
        <v>127.40217043291102</v>
      </c>
      <c r="M116" s="105">
        <v>124.8624517969721</v>
      </c>
      <c r="N116" s="105">
        <v>58.221752064605674</v>
      </c>
      <c r="O116" s="105">
        <v>58.74680619601785</v>
      </c>
      <c r="P116" s="105">
        <v>102.64711862638549</v>
      </c>
      <c r="Q116" s="105">
        <v>81.481332721088108</v>
      </c>
      <c r="R116" s="105">
        <v>70.123051491194488</v>
      </c>
      <c r="S116" s="105">
        <v>59.493641984650239</v>
      </c>
      <c r="T116" s="105">
        <v>54.747945333813377</v>
      </c>
      <c r="U116" s="105">
        <v>6.7129375837555667</v>
      </c>
      <c r="V116" s="105">
        <v>94.39076221873934</v>
      </c>
      <c r="W116" s="105">
        <v>45.812905573858437</v>
      </c>
      <c r="X116" s="105">
        <v>50.488596308300878</v>
      </c>
      <c r="Y116" s="105">
        <v>104.88623815532897</v>
      </c>
      <c r="Z116" s="105">
        <v>95.502703792955145</v>
      </c>
      <c r="AA116" s="105">
        <v>30.775560131659816</v>
      </c>
      <c r="AB116" s="105">
        <v>73.376615484836478</v>
      </c>
      <c r="AC116" s="105">
        <v>75.515944512836185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>
        <v>147.00391658287757</v>
      </c>
      <c r="D117" s="105">
        <v>36.520603109771521</v>
      </c>
      <c r="E117" s="105">
        <v>112.25392360210324</v>
      </c>
      <c r="F117" s="105">
        <v>246.55390866219392</v>
      </c>
      <c r="G117" s="105">
        <v>209.74744462661391</v>
      </c>
      <c r="H117" s="105">
        <v>182.47553312199611</v>
      </c>
      <c r="I117" s="105">
        <v>149.0700943631488</v>
      </c>
      <c r="J117" s="105">
        <v>47.547143477760031</v>
      </c>
      <c r="K117" s="105">
        <v>233.09279133295672</v>
      </c>
      <c r="L117" s="105">
        <v>92.314873599298068</v>
      </c>
      <c r="M117" s="105">
        <v>127.40217043291102</v>
      </c>
      <c r="N117" s="105">
        <v>124.8624517969721</v>
      </c>
      <c r="O117" s="105">
        <v>58.221752064605674</v>
      </c>
      <c r="P117" s="105">
        <v>58.74680619601785</v>
      </c>
      <c r="Q117" s="105">
        <v>102.64711862638549</v>
      </c>
      <c r="R117" s="105">
        <v>81.481332721088108</v>
      </c>
      <c r="S117" s="105">
        <v>70.123051491194488</v>
      </c>
      <c r="T117" s="105">
        <v>59.493641984650239</v>
      </c>
      <c r="U117" s="105">
        <v>54.747945333813377</v>
      </c>
      <c r="V117" s="105">
        <v>6.7129375837555667</v>
      </c>
      <c r="W117" s="105">
        <v>94.39076221873934</v>
      </c>
      <c r="X117" s="105">
        <v>45.812905573858437</v>
      </c>
      <c r="Y117" s="105">
        <v>8.359028240660848</v>
      </c>
      <c r="Z117" s="105">
        <v>6.245266395989816</v>
      </c>
      <c r="AA117" s="105">
        <v>24.210293134437322</v>
      </c>
      <c r="AB117" s="105">
        <v>0</v>
      </c>
      <c r="AC117" s="105">
        <v>12.376615484836478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>
        <v>0</v>
      </c>
      <c r="D118" s="105">
        <v>49.36895748641723</v>
      </c>
      <c r="E118" s="105">
        <v>0</v>
      </c>
      <c r="F118" s="105">
        <v>48.253923602103242</v>
      </c>
      <c r="G118" s="105">
        <v>220.80783226429716</v>
      </c>
      <c r="H118" s="105">
        <v>209.74744462661391</v>
      </c>
      <c r="I118" s="105">
        <v>182.47553312199611</v>
      </c>
      <c r="J118" s="105">
        <v>149.0700943631488</v>
      </c>
      <c r="K118" s="105">
        <v>47.547143477760031</v>
      </c>
      <c r="L118" s="105">
        <v>233.09279133295672</v>
      </c>
      <c r="M118" s="105">
        <v>92.314873599298068</v>
      </c>
      <c r="N118" s="105">
        <v>127.40217043291102</v>
      </c>
      <c r="O118" s="105">
        <v>124.8624517969721</v>
      </c>
      <c r="P118" s="105">
        <v>58.221752064605674</v>
      </c>
      <c r="Q118" s="105">
        <v>58.74680619601785</v>
      </c>
      <c r="R118" s="105">
        <v>102.64711862638549</v>
      </c>
      <c r="S118" s="105">
        <v>81.481332721088108</v>
      </c>
      <c r="T118" s="105">
        <v>70.123051491194488</v>
      </c>
      <c r="U118" s="105">
        <v>59.493641984650239</v>
      </c>
      <c r="V118" s="105">
        <v>54.747945333813377</v>
      </c>
      <c r="W118" s="105">
        <v>6.7129375837555667</v>
      </c>
      <c r="X118" s="105">
        <v>15.584759260062015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148.80783226429716</v>
      </c>
      <c r="I119" s="105">
        <v>209.74744462661391</v>
      </c>
      <c r="J119" s="105">
        <v>182.47553312199611</v>
      </c>
      <c r="K119" s="105">
        <v>149.0700943631488</v>
      </c>
      <c r="L119" s="105">
        <v>47.547143477760031</v>
      </c>
      <c r="M119" s="105">
        <v>233.09279133295672</v>
      </c>
      <c r="N119" s="105">
        <v>92.314873599298068</v>
      </c>
      <c r="O119" s="105">
        <v>127.40217043291102</v>
      </c>
      <c r="P119" s="105">
        <v>124.8624517969721</v>
      </c>
      <c r="Q119" s="105">
        <v>58.221752064605674</v>
      </c>
      <c r="R119" s="105">
        <v>58.74680619601785</v>
      </c>
      <c r="S119" s="105">
        <v>102.64711862638549</v>
      </c>
      <c r="T119" s="105">
        <v>81.481332721088108</v>
      </c>
      <c r="U119" s="105">
        <v>70.123051491194488</v>
      </c>
      <c r="V119" s="105">
        <v>47.307341913473223</v>
      </c>
      <c r="W119" s="105">
        <v>5.4810594575671132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71.807832264297161</v>
      </c>
      <c r="J120" s="105">
        <v>182.55527689091107</v>
      </c>
      <c r="K120" s="105">
        <v>182.47553312199611</v>
      </c>
      <c r="L120" s="105">
        <v>149.0700943631488</v>
      </c>
      <c r="M120" s="105">
        <v>47.547143477760031</v>
      </c>
      <c r="N120" s="105">
        <v>203.84884125185772</v>
      </c>
      <c r="O120" s="105">
        <v>92.314873599298068</v>
      </c>
      <c r="P120" s="105">
        <v>127.40217043291102</v>
      </c>
      <c r="Q120" s="105">
        <v>124.8624517969721</v>
      </c>
      <c r="R120" s="105">
        <v>58.221752064605674</v>
      </c>
      <c r="S120" s="105">
        <v>31.968558260623524</v>
      </c>
      <c r="T120" s="105">
        <v>27.209315716540388</v>
      </c>
      <c r="U120" s="105">
        <v>11.690648437628496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84.555276890911074</v>
      </c>
      <c r="L121" s="124">
        <v>92.475533121996108</v>
      </c>
      <c r="M121" s="124">
        <v>51.070094363148797</v>
      </c>
      <c r="N121" s="124">
        <v>0</v>
      </c>
      <c r="O121" s="124">
        <v>134.84884125185772</v>
      </c>
      <c r="P121" s="124">
        <v>34.314873599298068</v>
      </c>
      <c r="Q121" s="124">
        <v>69.072808501106593</v>
      </c>
      <c r="R121" s="124">
        <v>45.862451796972096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512.19987952529038</v>
      </c>
    </row>
    <row r="122" spans="1:52">
      <c r="A122" s="130" t="s">
        <v>123</v>
      </c>
      <c r="B122" s="118">
        <v>1</v>
      </c>
      <c r="C122" s="105">
        <v>21.875000000000011</v>
      </c>
      <c r="D122" s="105">
        <v>230.08603042562342</v>
      </c>
      <c r="E122" s="105">
        <v>238.80337368009211</v>
      </c>
      <c r="F122" s="105">
        <v>0.55496007709236206</v>
      </c>
      <c r="G122" s="105">
        <v>0</v>
      </c>
      <c r="H122" s="105">
        <v>181.7961283239992</v>
      </c>
      <c r="I122" s="105">
        <v>181.24116824690682</v>
      </c>
      <c r="J122" s="105">
        <v>181.24116849736086</v>
      </c>
      <c r="K122" s="105">
        <v>181.24116849736086</v>
      </c>
      <c r="L122" s="105">
        <v>181.24116849736086</v>
      </c>
      <c r="M122" s="105">
        <v>0</v>
      </c>
      <c r="N122" s="105">
        <v>181.79612857445323</v>
      </c>
      <c r="O122" s="105">
        <v>0.55496007709236206</v>
      </c>
      <c r="P122" s="105">
        <v>181.79612857445323</v>
      </c>
      <c r="Q122" s="105">
        <v>181.79612857445323</v>
      </c>
      <c r="R122" s="105">
        <v>181.79612857445323</v>
      </c>
      <c r="S122" s="105">
        <v>0.55496007709236206</v>
      </c>
      <c r="T122" s="105">
        <v>181.79612857445323</v>
      </c>
      <c r="U122" s="105">
        <v>181.79612857445323</v>
      </c>
      <c r="V122" s="105">
        <v>0.55496007709236206</v>
      </c>
      <c r="W122" s="105">
        <v>0</v>
      </c>
      <c r="X122" s="105">
        <v>181.73887984725621</v>
      </c>
      <c r="Y122" s="105">
        <v>0</v>
      </c>
      <c r="Z122" s="105">
        <v>0.55496007709236206</v>
      </c>
      <c r="AA122" s="105">
        <v>181.24116849736086</v>
      </c>
      <c r="AB122" s="105">
        <v>181.79612857445323</v>
      </c>
      <c r="AC122" s="105">
        <v>181.24116849736086</v>
      </c>
      <c r="AD122" s="105">
        <v>0.55496007709236206</v>
      </c>
      <c r="AE122" s="105">
        <v>0.55496007709236206</v>
      </c>
      <c r="AF122" s="105">
        <v>181.79612857445323</v>
      </c>
      <c r="AG122" s="105">
        <v>0</v>
      </c>
      <c r="AH122" s="105">
        <v>0.55496007709236206</v>
      </c>
      <c r="AI122" s="105">
        <v>181.24116849736086</v>
      </c>
      <c r="AJ122" s="105">
        <v>181.79612857445323</v>
      </c>
      <c r="AK122" s="105">
        <v>181.24116849736086</v>
      </c>
      <c r="AL122" s="105">
        <v>181.79612857445323</v>
      </c>
      <c r="AM122" s="105">
        <v>181.79612857445323</v>
      </c>
      <c r="AN122" s="105">
        <v>0.55496007709236206</v>
      </c>
      <c r="AO122" s="105">
        <v>0.55496007709236206</v>
      </c>
      <c r="AP122" s="105">
        <v>0.55496007709236206</v>
      </c>
      <c r="AQ122" s="105">
        <v>0</v>
      </c>
      <c r="AR122" s="105">
        <v>181.79612857445323</v>
      </c>
      <c r="AS122" s="105">
        <v>181.79612857445323</v>
      </c>
      <c r="AT122" s="105">
        <v>0.55496007709236206</v>
      </c>
      <c r="AU122" s="105">
        <v>363.03729707181407</v>
      </c>
      <c r="AV122" s="105">
        <v>0.55496007709236206</v>
      </c>
      <c r="AW122" s="105">
        <v>0.55496007709236206</v>
      </c>
      <c r="AX122" s="105">
        <v>181.79612857445323</v>
      </c>
      <c r="AY122" s="105">
        <v>181.79612857445323</v>
      </c>
    </row>
    <row r="123" spans="1:52">
      <c r="A123" s="108"/>
      <c r="B123" s="118">
        <v>2</v>
      </c>
      <c r="C123" s="105">
        <v>156.23500380174443</v>
      </c>
      <c r="D123" s="105">
        <v>259.91678878949978</v>
      </c>
      <c r="E123" s="105">
        <v>200.09374591503035</v>
      </c>
      <c r="F123" s="105">
        <v>176.71379598689046</v>
      </c>
      <c r="G123" s="105">
        <v>181.65183707596427</v>
      </c>
      <c r="H123" s="105">
        <v>181.7961283239992</v>
      </c>
      <c r="I123" s="105">
        <v>132.14503711419724</v>
      </c>
      <c r="J123" s="105">
        <v>88.459832717108341</v>
      </c>
      <c r="K123" s="105">
        <v>47.577949723274742</v>
      </c>
      <c r="L123" s="105">
        <v>29.325476235985377</v>
      </c>
      <c r="M123" s="105">
        <v>25.818699399532875</v>
      </c>
      <c r="N123" s="105">
        <v>181.24116849736086</v>
      </c>
      <c r="O123" s="105">
        <v>134.52860184106612</v>
      </c>
      <c r="P123" s="105">
        <v>0.41066882905743568</v>
      </c>
      <c r="Q123" s="105">
        <v>40.366759690656693</v>
      </c>
      <c r="R123" s="105">
        <v>134.52860184106612</v>
      </c>
      <c r="S123" s="105">
        <v>117.81124338863999</v>
      </c>
      <c r="T123" s="105">
        <v>181.24116849736086</v>
      </c>
      <c r="U123" s="105">
        <v>108.6465348530748</v>
      </c>
      <c r="V123" s="105">
        <v>58.926718914691875</v>
      </c>
      <c r="W123" s="105">
        <v>181.18391977016384</v>
      </c>
      <c r="X123" s="105">
        <v>0.55496007709236206</v>
      </c>
      <c r="Y123" s="105">
        <v>4.765474532196265</v>
      </c>
      <c r="Z123" s="105">
        <v>181.73887984725621</v>
      </c>
      <c r="AA123" s="105">
        <v>181.24116849736086</v>
      </c>
      <c r="AB123" s="105">
        <v>124.23586602401735</v>
      </c>
      <c r="AC123" s="105">
        <v>102.46277824945024</v>
      </c>
      <c r="AD123" s="105">
        <v>126.90571724532506</v>
      </c>
      <c r="AE123" s="105">
        <v>0</v>
      </c>
      <c r="AF123" s="105">
        <v>181.24116849736086</v>
      </c>
      <c r="AG123" s="105">
        <v>134.52860184106612</v>
      </c>
      <c r="AH123" s="105">
        <v>181.79612857445323</v>
      </c>
      <c r="AI123" s="105">
        <v>181.6518373264183</v>
      </c>
      <c r="AJ123" s="105">
        <v>134.11793301200868</v>
      </c>
      <c r="AK123" s="105">
        <v>134.52860184106612</v>
      </c>
      <c r="AL123" s="105">
        <v>102.64474608811459</v>
      </c>
      <c r="AM123" s="105">
        <v>74.48541283503657</v>
      </c>
      <c r="AN123" s="105">
        <v>41.647588833950749</v>
      </c>
      <c r="AO123" s="105">
        <v>181.24116849736086</v>
      </c>
      <c r="AP123" s="105">
        <v>181.6518373264183</v>
      </c>
      <c r="AQ123" s="105">
        <v>2.1593837828959295E-14</v>
      </c>
      <c r="AR123" s="105">
        <v>0.55496007709236206</v>
      </c>
      <c r="AS123" s="105">
        <v>100.05720368213224</v>
      </c>
      <c r="AT123" s="105">
        <v>134.52860184106612</v>
      </c>
      <c r="AU123" s="105">
        <v>0.41066882905743568</v>
      </c>
      <c r="AV123" s="105">
        <v>178.70467095890922</v>
      </c>
      <c r="AW123" s="105">
        <v>181.24116849736086</v>
      </c>
      <c r="AX123" s="105">
        <v>0</v>
      </c>
      <c r="AY123" s="105">
        <v>32.52860184106612</v>
      </c>
    </row>
    <row r="124" spans="1:52">
      <c r="A124" s="108"/>
      <c r="B124" s="118">
        <v>3</v>
      </c>
      <c r="C124" s="105">
        <v>24.615854466559981</v>
      </c>
      <c r="D124" s="105">
        <v>0</v>
      </c>
      <c r="E124" s="105">
        <v>41.337661231058235</v>
      </c>
      <c r="F124" s="105">
        <v>46.658533042318169</v>
      </c>
      <c r="G124" s="105">
        <v>44.294868212637894</v>
      </c>
      <c r="H124" s="105">
        <v>31.199899092584332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41.117933012008677</v>
      </c>
      <c r="P124" s="105">
        <v>11.9779205272513</v>
      </c>
      <c r="Q124" s="105">
        <v>181.24116849736086</v>
      </c>
      <c r="R124" s="105">
        <v>29.871283754067061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41.075569121823605</v>
      </c>
      <c r="Y124" s="105">
        <v>181.18391977016384</v>
      </c>
      <c r="Z124" s="105">
        <v>3.5264371741723721</v>
      </c>
      <c r="AA124" s="105">
        <v>0</v>
      </c>
      <c r="AB124" s="105">
        <v>0</v>
      </c>
      <c r="AC124" s="105">
        <v>0.55496007709236039</v>
      </c>
      <c r="AD124" s="105">
        <v>0</v>
      </c>
      <c r="AE124" s="105">
        <v>0</v>
      </c>
      <c r="AF124" s="105">
        <v>181.24116849736086</v>
      </c>
      <c r="AG124" s="105">
        <v>102.23586602401735</v>
      </c>
      <c r="AH124" s="105">
        <v>52.205011664971323</v>
      </c>
      <c r="AI124" s="105">
        <v>69.160157328282651</v>
      </c>
      <c r="AJ124" s="105">
        <v>42.600140280475429</v>
      </c>
      <c r="AK124" s="105">
        <v>7.3258159061185495</v>
      </c>
      <c r="AL124" s="105">
        <v>0</v>
      </c>
      <c r="AM124" s="105">
        <v>0</v>
      </c>
      <c r="AN124" s="105">
        <v>0</v>
      </c>
      <c r="AO124" s="105">
        <v>0</v>
      </c>
      <c r="AP124" s="105">
        <v>8.7201269960936116</v>
      </c>
      <c r="AQ124" s="105">
        <v>0</v>
      </c>
      <c r="AR124" s="105">
        <v>181.24116849736086</v>
      </c>
      <c r="AS124" s="105">
        <v>181.24116849736086</v>
      </c>
      <c r="AT124" s="105">
        <v>74.042037204171564</v>
      </c>
      <c r="AU124" s="105">
        <v>90.208793252782783</v>
      </c>
      <c r="AV124" s="105">
        <v>0</v>
      </c>
      <c r="AW124" s="105">
        <v>0</v>
      </c>
      <c r="AX124" s="105">
        <v>0</v>
      </c>
      <c r="AY124" s="105">
        <v>181.24116849736086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21.117933012008677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8.0755691218236052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47.117933012008677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0.45536802452265762</v>
      </c>
      <c r="D172" s="133">
        <v>0.26000293352797704</v>
      </c>
      <c r="E172" s="133">
        <v>0.26000293352797704</v>
      </c>
      <c r="F172" s="133">
        <v>0.26000293352797704</v>
      </c>
      <c r="G172" s="133">
        <v>0.26000293352797704</v>
      </c>
      <c r="H172" s="133">
        <v>0.26000293352797704</v>
      </c>
      <c r="I172" s="133">
        <v>0.26000293352797704</v>
      </c>
      <c r="J172" s="133">
        <v>0.26000293352797704</v>
      </c>
      <c r="K172" s="133">
        <v>0.26000293352797704</v>
      </c>
      <c r="L172" s="133">
        <v>0.26000293352797704</v>
      </c>
      <c r="M172" s="133">
        <v>0.26000293352797704</v>
      </c>
      <c r="N172" s="133">
        <v>0.26000293352797704</v>
      </c>
      <c r="O172" s="133">
        <v>0.26000293352797704</v>
      </c>
      <c r="P172" s="133">
        <v>0.26000293352797704</v>
      </c>
      <c r="Q172" s="133">
        <v>0.26000293352797704</v>
      </c>
      <c r="R172" s="133">
        <v>0.26000293352797704</v>
      </c>
      <c r="S172" s="133">
        <v>0.26000293352797704</v>
      </c>
      <c r="T172" s="133">
        <v>0.26000293352797704</v>
      </c>
      <c r="U172" s="133">
        <v>0.26000293352797704</v>
      </c>
      <c r="V172" s="133">
        <v>0.26000293352797704</v>
      </c>
      <c r="W172" s="133">
        <v>0.26000293352797704</v>
      </c>
      <c r="X172" s="133">
        <v>0.26000293352797704</v>
      </c>
      <c r="Y172" s="133">
        <v>0.26000293352797704</v>
      </c>
      <c r="Z172" s="133">
        <v>0.26000293352797704</v>
      </c>
      <c r="AA172" s="133">
        <v>0.26000293352797704</v>
      </c>
      <c r="AB172" s="133">
        <v>0.26000293352797704</v>
      </c>
      <c r="AC172" s="133">
        <v>0.26000293352797704</v>
      </c>
      <c r="AD172" s="133">
        <v>0.26000293352797704</v>
      </c>
      <c r="AE172" s="133">
        <v>0.26000293352797704</v>
      </c>
      <c r="AF172" s="133">
        <v>0.26000293352797704</v>
      </c>
      <c r="AG172" s="133">
        <v>0.26000293352797704</v>
      </c>
      <c r="AH172" s="133">
        <v>0.26000293352797704</v>
      </c>
      <c r="AI172" s="133">
        <v>0.26000293352797704</v>
      </c>
      <c r="AJ172" s="133">
        <v>0.26000293352797704</v>
      </c>
      <c r="AK172" s="133">
        <v>0.26000293352797704</v>
      </c>
      <c r="AL172" s="133">
        <v>0.26000293352797704</v>
      </c>
      <c r="AM172" s="133">
        <v>0.26000293352797704</v>
      </c>
      <c r="AN172" s="133">
        <v>0.26000293352797704</v>
      </c>
      <c r="AO172" s="133">
        <v>0.26000293352797704</v>
      </c>
      <c r="AP172" s="133">
        <v>0.26000293352797704</v>
      </c>
      <c r="AQ172" s="133">
        <v>0.26000293352797704</v>
      </c>
      <c r="AR172" s="133">
        <v>0.26000293352797704</v>
      </c>
      <c r="AS172" s="133">
        <v>0.26000293352797704</v>
      </c>
      <c r="AT172" s="133">
        <v>0.26000293352797704</v>
      </c>
      <c r="AU172" s="133">
        <v>0.26000293352797704</v>
      </c>
      <c r="AV172" s="133">
        <v>0.26000293352797704</v>
      </c>
      <c r="AW172" s="133">
        <v>0.26000293352797704</v>
      </c>
      <c r="AX172" s="133">
        <v>0.26000293352797704</v>
      </c>
      <c r="AY172" s="133">
        <v>0.26000293352797704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714.91333763612761</v>
      </c>
      <c r="E175" s="123">
        <f t="shared" si="1"/>
        <v>729.8266752722551</v>
      </c>
      <c r="F175" s="123">
        <f t="shared" si="1"/>
        <v>744.7400129083826</v>
      </c>
      <c r="G175" s="123">
        <f t="shared" si="1"/>
        <v>759.6533505445102</v>
      </c>
      <c r="H175" s="123">
        <f t="shared" si="1"/>
        <v>759.6533505445102</v>
      </c>
      <c r="I175" s="123">
        <f t="shared" si="1"/>
        <v>759.6533505445102</v>
      </c>
      <c r="J175" s="123">
        <f t="shared" si="1"/>
        <v>759.6533505445102</v>
      </c>
      <c r="K175" s="123">
        <f t="shared" si="1"/>
        <v>759.6533505445102</v>
      </c>
      <c r="L175" s="123">
        <f t="shared" si="1"/>
        <v>759.6533505445102</v>
      </c>
      <c r="M175" s="123">
        <f t="shared" si="1"/>
        <v>759.6533505445102</v>
      </c>
      <c r="N175" s="123">
        <f t="shared" si="1"/>
        <v>759.6533505445102</v>
      </c>
      <c r="O175" s="123">
        <f t="shared" si="1"/>
        <v>759.6533505445102</v>
      </c>
      <c r="P175" s="123">
        <f t="shared" si="1"/>
        <v>759.6533505445102</v>
      </c>
      <c r="Q175" s="123">
        <f t="shared" si="1"/>
        <v>759.6533505445102</v>
      </c>
      <c r="R175" s="123">
        <f t="shared" si="1"/>
        <v>759.6533505445102</v>
      </c>
      <c r="S175" s="123">
        <f t="shared" si="1"/>
        <v>759.6533505445102</v>
      </c>
      <c r="T175" s="123">
        <f t="shared" si="1"/>
        <v>721.67068301728477</v>
      </c>
      <c r="U175" s="123">
        <f t="shared" si="1"/>
        <v>683.68801549005923</v>
      </c>
      <c r="V175" s="123">
        <f t="shared" si="1"/>
        <v>642.61868559896129</v>
      </c>
      <c r="W175" s="123">
        <f t="shared" si="1"/>
        <v>607.72268043560825</v>
      </c>
      <c r="X175" s="123">
        <f t="shared" si="1"/>
        <v>630.63601807173586</v>
      </c>
      <c r="Y175" s="123">
        <f t="shared" si="1"/>
        <v>683.68801549005923</v>
      </c>
      <c r="Z175" s="123">
        <f t="shared" si="1"/>
        <v>719.60135312618672</v>
      </c>
      <c r="AA175" s="123">
        <f t="shared" si="1"/>
        <v>759.6533505445102</v>
      </c>
      <c r="AB175" s="123">
        <f t="shared" si="1"/>
        <v>759.6533505445102</v>
      </c>
      <c r="AC175" s="123">
        <f t="shared" si="1"/>
        <v>759.6533505445102</v>
      </c>
      <c r="AD175" s="123">
        <f t="shared" si="1"/>
        <v>759.6533505445102</v>
      </c>
      <c r="AE175" s="123">
        <f t="shared" si="1"/>
        <v>759.6533505445102</v>
      </c>
      <c r="AF175" s="123">
        <f t="shared" si="1"/>
        <v>759.6533505445102</v>
      </c>
      <c r="AG175" s="123">
        <f t="shared" si="1"/>
        <v>759.6533505445102</v>
      </c>
      <c r="AH175" s="123">
        <f t="shared" si="1"/>
        <v>759.6533505445102</v>
      </c>
      <c r="AI175" s="123">
        <f t="shared" si="1"/>
        <v>759.6533505445102</v>
      </c>
      <c r="AJ175" s="123">
        <f t="shared" si="1"/>
        <v>759.6533505445102</v>
      </c>
      <c r="AK175" s="123">
        <f t="shared" si="1"/>
        <v>759.6533505445102</v>
      </c>
      <c r="AL175" s="123">
        <f t="shared" si="1"/>
        <v>759.6533505445102</v>
      </c>
      <c r="AM175" s="123">
        <f t="shared" si="1"/>
        <v>759.6533505445102</v>
      </c>
      <c r="AN175" s="123">
        <f t="shared" si="1"/>
        <v>759.6533505445102</v>
      </c>
      <c r="AO175" s="123">
        <f t="shared" si="1"/>
        <v>759.6533505445102</v>
      </c>
      <c r="AP175" s="123">
        <f t="shared" si="1"/>
        <v>759.6533505445102</v>
      </c>
      <c r="AQ175" s="123">
        <f t="shared" si="1"/>
        <v>759.6533505445102</v>
      </c>
      <c r="AR175" s="123">
        <f t="shared" si="1"/>
        <v>759.6533505445102</v>
      </c>
      <c r="AS175" s="123">
        <f t="shared" si="1"/>
        <v>759.6533505445102</v>
      </c>
      <c r="AT175" s="123">
        <f t="shared" si="1"/>
        <v>756.5666881806377</v>
      </c>
      <c r="AU175" s="123">
        <f t="shared" si="1"/>
        <v>759.6533505445102</v>
      </c>
      <c r="AV175" s="123">
        <f t="shared" si="1"/>
        <v>759.6533505445102</v>
      </c>
      <c r="AW175" s="123">
        <f t="shared" si="1"/>
        <v>759.6533505445102</v>
      </c>
      <c r="AX175" s="123">
        <f t="shared" si="1"/>
        <v>759.6533505445102</v>
      </c>
      <c r="AY175" s="123">
        <f t="shared" si="1"/>
        <v>759.6533505445102</v>
      </c>
    </row>
    <row r="176" spans="1:52">
      <c r="A176" s="124"/>
      <c r="B176" s="135" t="s">
        <v>299</v>
      </c>
      <c r="C176" s="124" t="s">
        <v>293</v>
      </c>
      <c r="D176" s="124">
        <v>173</v>
      </c>
      <c r="E176" s="124">
        <v>151</v>
      </c>
      <c r="F176" s="124">
        <v>152</v>
      </c>
      <c r="G176" s="124">
        <v>143</v>
      </c>
      <c r="H176" s="124">
        <v>143</v>
      </c>
      <c r="I176" s="124">
        <v>121</v>
      </c>
      <c r="J176" s="124">
        <v>136</v>
      </c>
      <c r="K176" s="124">
        <v>99</v>
      </c>
      <c r="L176" s="124">
        <v>178</v>
      </c>
      <c r="M176" s="124">
        <v>154</v>
      </c>
      <c r="N176" s="124">
        <v>144</v>
      </c>
      <c r="O176" s="124">
        <v>116</v>
      </c>
      <c r="P176" s="124">
        <v>115</v>
      </c>
      <c r="Q176" s="124">
        <v>124</v>
      </c>
      <c r="R176" s="124">
        <v>184</v>
      </c>
      <c r="S176" s="124">
        <v>164</v>
      </c>
      <c r="T176" s="124">
        <v>164</v>
      </c>
      <c r="U176" s="124">
        <v>193</v>
      </c>
      <c r="V176" s="124">
        <v>158</v>
      </c>
      <c r="W176" s="124">
        <v>167</v>
      </c>
      <c r="X176" s="124">
        <v>132</v>
      </c>
      <c r="Y176" s="124">
        <v>154</v>
      </c>
      <c r="Z176" s="124">
        <v>123</v>
      </c>
      <c r="AA176" s="124">
        <v>153</v>
      </c>
      <c r="AB176" s="124">
        <v>147</v>
      </c>
      <c r="AC176" s="124">
        <v>113</v>
      </c>
      <c r="AD176" s="124">
        <v>176</v>
      </c>
      <c r="AE176" s="124">
        <v>179</v>
      </c>
      <c r="AF176" s="124">
        <v>111</v>
      </c>
      <c r="AG176" s="124">
        <v>115</v>
      </c>
      <c r="AH176" s="124">
        <v>175</v>
      </c>
      <c r="AI176" s="124">
        <v>128</v>
      </c>
      <c r="AJ176" s="124">
        <v>160</v>
      </c>
      <c r="AK176" s="124">
        <v>161</v>
      </c>
      <c r="AL176" s="124">
        <v>160</v>
      </c>
      <c r="AM176" s="124">
        <v>187</v>
      </c>
      <c r="AN176" s="124">
        <v>136</v>
      </c>
      <c r="AO176" s="124">
        <v>144</v>
      </c>
      <c r="AP176" s="124">
        <v>141</v>
      </c>
      <c r="AQ176" s="124">
        <v>136</v>
      </c>
      <c r="AR176" s="124">
        <v>143</v>
      </c>
      <c r="AS176" s="124">
        <v>193</v>
      </c>
      <c r="AT176" s="124">
        <v>115</v>
      </c>
      <c r="AU176" s="124">
        <v>187</v>
      </c>
      <c r="AV176" s="124">
        <v>184</v>
      </c>
      <c r="AW176" s="124">
        <v>139</v>
      </c>
      <c r="AX176" s="124">
        <v>124</v>
      </c>
      <c r="AY176" s="124">
        <v>175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340.94812250879693</v>
      </c>
      <c r="E177" s="123">
        <f t="shared" si="2"/>
        <v>391.69020443866816</v>
      </c>
      <c r="F177" s="123">
        <f t="shared" si="2"/>
        <v>197.69020443866813</v>
      </c>
      <c r="G177" s="123">
        <f t="shared" si="2"/>
        <v>204.6584131290241</v>
      </c>
      <c r="H177" s="123">
        <f t="shared" si="2"/>
        <v>371.59483050973603</v>
      </c>
      <c r="I177" s="123">
        <f t="shared" si="2"/>
        <v>331.56303920009202</v>
      </c>
      <c r="J177" s="123">
        <f t="shared" si="2"/>
        <v>374.53124814052484</v>
      </c>
      <c r="K177" s="123">
        <f t="shared" si="2"/>
        <v>339.49945708095765</v>
      </c>
      <c r="L177" s="123">
        <f t="shared" si="2"/>
        <v>300.46766602139053</v>
      </c>
      <c r="M177" s="123">
        <f t="shared" si="2"/>
        <v>112.46766602139053</v>
      </c>
      <c r="N177" s="123">
        <f t="shared" si="2"/>
        <v>361.93641788086569</v>
      </c>
      <c r="O177" s="123">
        <f t="shared" si="2"/>
        <v>219.93641788086569</v>
      </c>
      <c r="P177" s="123">
        <f t="shared" si="2"/>
        <v>197.90462682129854</v>
      </c>
      <c r="Q177" s="123">
        <f t="shared" si="2"/>
        <v>361.93641788086569</v>
      </c>
      <c r="R177" s="123">
        <f t="shared" si="2"/>
        <v>336.90462682129851</v>
      </c>
      <c r="S177" s="123">
        <f t="shared" si="2"/>
        <v>98.904626821298535</v>
      </c>
      <c r="T177" s="123">
        <f t="shared" si="2"/>
        <v>361.93641788086569</v>
      </c>
      <c r="U177" s="123">
        <f t="shared" si="2"/>
        <v>299.90462682129851</v>
      </c>
      <c r="V177" s="123">
        <f t="shared" si="2"/>
        <v>73.904626821298535</v>
      </c>
      <c r="W177" s="123">
        <f t="shared" si="2"/>
        <v>180.91104643309049</v>
      </c>
      <c r="X177" s="123">
        <f t="shared" si="2"/>
        <v>200.82209286618098</v>
      </c>
      <c r="Y177" s="123">
        <f t="shared" si="2"/>
        <v>180.91104643309049</v>
      </c>
      <c r="Z177" s="123">
        <f t="shared" si="2"/>
        <v>203.82209286618098</v>
      </c>
      <c r="AA177" s="123">
        <f t="shared" si="2"/>
        <v>361.93641788086569</v>
      </c>
      <c r="AB177" s="123">
        <f t="shared" si="2"/>
        <v>317.90462682129851</v>
      </c>
      <c r="AC177" s="123">
        <f t="shared" si="2"/>
        <v>306.87283576173138</v>
      </c>
      <c r="AD177" s="123">
        <f t="shared" si="2"/>
        <v>119.87283576173138</v>
      </c>
      <c r="AE177" s="123">
        <f t="shared" si="2"/>
        <v>0</v>
      </c>
      <c r="AF177" s="123">
        <f t="shared" si="2"/>
        <v>542.90462682129851</v>
      </c>
      <c r="AG177" s="123">
        <f t="shared" si="2"/>
        <v>300.90462682129851</v>
      </c>
      <c r="AH177" s="123">
        <f t="shared" si="2"/>
        <v>292.87283576173138</v>
      </c>
      <c r="AI177" s="123">
        <f t="shared" si="2"/>
        <v>441.80925364259707</v>
      </c>
      <c r="AJ177" s="123">
        <f t="shared" si="2"/>
        <v>446.77746258302989</v>
      </c>
      <c r="AK177" s="123">
        <f t="shared" si="2"/>
        <v>441.74567152346276</v>
      </c>
      <c r="AL177" s="123">
        <f t="shared" si="2"/>
        <v>374.71388046389563</v>
      </c>
      <c r="AM177" s="123">
        <f t="shared" si="2"/>
        <v>369.68208940432845</v>
      </c>
      <c r="AN177" s="123">
        <f t="shared" si="2"/>
        <v>215.68208940432845</v>
      </c>
      <c r="AO177" s="123">
        <f t="shared" si="2"/>
        <v>180.96820894043285</v>
      </c>
      <c r="AP177" s="123">
        <f t="shared" si="2"/>
        <v>180.96820894043285</v>
      </c>
      <c r="AQ177" s="123">
        <f t="shared" si="2"/>
        <v>0</v>
      </c>
      <c r="AR177" s="123">
        <f t="shared" si="2"/>
        <v>361.93641788086569</v>
      </c>
      <c r="AS177" s="123">
        <f t="shared" si="2"/>
        <v>567.87283576173138</v>
      </c>
      <c r="AT177" s="123">
        <f t="shared" si="2"/>
        <v>322.87283576173138</v>
      </c>
      <c r="AU177" s="123">
        <f t="shared" si="2"/>
        <v>461.80925364259707</v>
      </c>
      <c r="AV177" s="123">
        <f t="shared" si="2"/>
        <v>209.80925364259707</v>
      </c>
      <c r="AW177" s="123">
        <f t="shared" si="2"/>
        <v>230.77746258302992</v>
      </c>
      <c r="AX177" s="123">
        <f t="shared" si="2"/>
        <v>273.74567152346276</v>
      </c>
      <c r="AY177" s="123">
        <f t="shared" si="2"/>
        <v>384.68208940432845</v>
      </c>
    </row>
    <row r="178" spans="1:51">
      <c r="A178" s="124"/>
      <c r="B178" s="135" t="s">
        <v>299</v>
      </c>
      <c r="C178" s="124" t="s">
        <v>293</v>
      </c>
      <c r="D178" s="124">
        <v>187</v>
      </c>
      <c r="E178" s="124">
        <v>194</v>
      </c>
      <c r="F178" s="124">
        <v>174</v>
      </c>
      <c r="G178" s="124">
        <v>195</v>
      </c>
      <c r="H178" s="124">
        <v>221</v>
      </c>
      <c r="I178" s="124">
        <v>138</v>
      </c>
      <c r="J178" s="124">
        <v>216</v>
      </c>
      <c r="K178" s="124">
        <v>220</v>
      </c>
      <c r="L178" s="124">
        <v>188</v>
      </c>
      <c r="M178" s="124">
        <v>112.46766602139053</v>
      </c>
      <c r="N178" s="124">
        <v>142</v>
      </c>
      <c r="O178" s="124">
        <v>203</v>
      </c>
      <c r="P178" s="124">
        <v>197.90462682129854</v>
      </c>
      <c r="Q178" s="124">
        <v>206</v>
      </c>
      <c r="R178" s="124">
        <v>238</v>
      </c>
      <c r="S178" s="124">
        <v>98.904626821298535</v>
      </c>
      <c r="T178" s="124">
        <v>243</v>
      </c>
      <c r="U178" s="124">
        <v>226</v>
      </c>
      <c r="V178" s="124">
        <v>73.904626821298535</v>
      </c>
      <c r="W178" s="124">
        <v>161</v>
      </c>
      <c r="X178" s="124">
        <v>200.82209286618098</v>
      </c>
      <c r="Y178" s="124">
        <v>158</v>
      </c>
      <c r="Z178" s="124">
        <v>203.82209286618098</v>
      </c>
      <c r="AA178" s="124">
        <v>225</v>
      </c>
      <c r="AB178" s="124">
        <v>192</v>
      </c>
      <c r="AC178" s="124">
        <v>187</v>
      </c>
      <c r="AD178" s="124">
        <v>119.87283576173138</v>
      </c>
      <c r="AE178" s="124">
        <v>0</v>
      </c>
      <c r="AF178" s="124">
        <v>242</v>
      </c>
      <c r="AG178" s="124">
        <v>189</v>
      </c>
      <c r="AH178" s="124">
        <v>213</v>
      </c>
      <c r="AI178" s="124">
        <v>176</v>
      </c>
      <c r="AJ178" s="124">
        <v>186</v>
      </c>
      <c r="AK178" s="124">
        <v>248</v>
      </c>
      <c r="AL178" s="124">
        <v>186</v>
      </c>
      <c r="AM178" s="124">
        <v>154</v>
      </c>
      <c r="AN178" s="124">
        <v>215.68208940432845</v>
      </c>
      <c r="AO178" s="124">
        <v>180.96820894043285</v>
      </c>
      <c r="AP178" s="124">
        <v>180.96820894043285</v>
      </c>
      <c r="AQ178" s="124">
        <v>0</v>
      </c>
      <c r="AR178" s="124">
        <v>156</v>
      </c>
      <c r="AS178" s="124">
        <v>245</v>
      </c>
      <c r="AT178" s="124">
        <v>223</v>
      </c>
      <c r="AU178" s="124">
        <v>252</v>
      </c>
      <c r="AV178" s="124">
        <v>160</v>
      </c>
      <c r="AW178" s="124">
        <v>138</v>
      </c>
      <c r="AX178" s="124">
        <v>251</v>
      </c>
      <c r="AY178" s="124">
        <v>209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1375.0557127860709</v>
      </c>
      <c r="E179" s="123">
        <f t="shared" si="3"/>
        <v>1400.4578832189818</v>
      </c>
      <c r="F179" s="123">
        <f t="shared" si="3"/>
        <v>1461.3203350159538</v>
      </c>
      <c r="G179" s="123">
        <f t="shared" si="3"/>
        <v>1445.5420870805594</v>
      </c>
      <c r="H179" s="123">
        <f t="shared" si="3"/>
        <v>1432.2888932765775</v>
      </c>
      <c r="I179" s="123">
        <f t="shared" si="3"/>
        <v>1457.9360119029629</v>
      </c>
      <c r="J179" s="123">
        <f t="shared" si="3"/>
        <v>1440.4173446240509</v>
      </c>
      <c r="K179" s="123">
        <f t="shared" si="3"/>
        <v>1327.9851192243343</v>
      </c>
      <c r="L179" s="123">
        <f t="shared" si="3"/>
        <v>1205.0032280869887</v>
      </c>
      <c r="M179" s="123">
        <f t="shared" si="3"/>
        <v>1110.6810790576533</v>
      </c>
      <c r="N179" s="123">
        <f t="shared" si="3"/>
        <v>1040.6029230825498</v>
      </c>
      <c r="O179" s="123">
        <f t="shared" si="3"/>
        <v>931.14484404943119</v>
      </c>
      <c r="P179" s="123">
        <f t="shared" si="3"/>
        <v>884.64287602399168</v>
      </c>
      <c r="Q179" s="123">
        <f t="shared" si="3"/>
        <v>807.72930189938154</v>
      </c>
      <c r="R179" s="123">
        <f t="shared" si="3"/>
        <v>787.75308825773834</v>
      </c>
      <c r="S179" s="123">
        <f t="shared" si="3"/>
        <v>798.25579205069334</v>
      </c>
      <c r="T179" s="123">
        <f t="shared" si="3"/>
        <v>721.62499101188462</v>
      </c>
      <c r="U179" s="123">
        <f t="shared" si="3"/>
        <v>719.01575323062411</v>
      </c>
      <c r="V179" s="123">
        <f t="shared" si="3"/>
        <v>700.5316977434602</v>
      </c>
      <c r="W179" s="123">
        <f t="shared" si="3"/>
        <v>619.42288098277413</v>
      </c>
      <c r="X179" s="123">
        <f t="shared" si="3"/>
        <v>575.53123163111422</v>
      </c>
      <c r="Y179" s="123">
        <f t="shared" si="3"/>
        <v>530.0807003419693</v>
      </c>
      <c r="Z179" s="123">
        <f t="shared" si="3"/>
        <v>471.4280883483334</v>
      </c>
      <c r="AA179" s="123">
        <f t="shared" si="3"/>
        <v>444.30390011000486</v>
      </c>
      <c r="AB179" s="123">
        <f t="shared" si="3"/>
        <v>462.55037108070934</v>
      </c>
      <c r="AC179" s="123">
        <f t="shared" si="3"/>
        <v>481.11958742972973</v>
      </c>
      <c r="AD179" s="123">
        <f t="shared" si="3"/>
        <v>449.02773708540042</v>
      </c>
      <c r="AE179" s="123">
        <f t="shared" si="3"/>
        <v>399.52765192364956</v>
      </c>
      <c r="AF179" s="123">
        <f t="shared" si="3"/>
        <v>293.67194317168446</v>
      </c>
      <c r="AG179" s="123">
        <f t="shared" si="3"/>
        <v>379.18594087577594</v>
      </c>
      <c r="AH179" s="123">
        <f t="shared" si="3"/>
        <v>357.74539707588809</v>
      </c>
      <c r="AI179" s="123">
        <f t="shared" si="3"/>
        <v>314.73067123506496</v>
      </c>
      <c r="AJ179" s="123">
        <f t="shared" si="3"/>
        <v>345.06576109464277</v>
      </c>
      <c r="AK179" s="123">
        <f t="shared" si="3"/>
        <v>369.28050529148777</v>
      </c>
      <c r="AL179" s="123">
        <f t="shared" si="3"/>
        <v>379.28630552501119</v>
      </c>
      <c r="AM179" s="123">
        <f t="shared" si="3"/>
        <v>372.24176735254247</v>
      </c>
      <c r="AN179" s="123">
        <f t="shared" si="3"/>
        <v>361.87571992808148</v>
      </c>
      <c r="AO179" s="123">
        <f t="shared" si="3"/>
        <v>302.84850644731068</v>
      </c>
      <c r="AP179" s="123">
        <f t="shared" si="3"/>
        <v>262.71822716478266</v>
      </c>
      <c r="AQ179" s="123">
        <f t="shared" si="3"/>
        <v>227.58760190433657</v>
      </c>
      <c r="AR179" s="123">
        <f t="shared" si="3"/>
        <v>134.58760190433657</v>
      </c>
      <c r="AS179" s="123">
        <f t="shared" si="3"/>
        <v>152.12265537111082</v>
      </c>
      <c r="AT179" s="123">
        <f t="shared" si="3"/>
        <v>167.52858406781087</v>
      </c>
      <c r="AU179" s="123">
        <f t="shared" si="3"/>
        <v>135.15265412030939</v>
      </c>
      <c r="AV179" s="123">
        <f t="shared" si="3"/>
        <v>175.10474231505447</v>
      </c>
      <c r="AW179" s="123">
        <f t="shared" si="3"/>
        <v>151.71277224755767</v>
      </c>
      <c r="AX179" s="123">
        <f t="shared" si="3"/>
        <v>93.980298980944809</v>
      </c>
      <c r="AY179" s="123">
        <f t="shared" si="3"/>
        <v>73.247825714331938</v>
      </c>
    </row>
    <row r="180" spans="1:51">
      <c r="A180" s="124"/>
      <c r="B180" s="135" t="s">
        <v>299</v>
      </c>
      <c r="C180" s="124" t="s">
        <v>293</v>
      </c>
      <c r="D180" s="124">
        <v>102</v>
      </c>
      <c r="E180" s="124">
        <v>64</v>
      </c>
      <c r="F180" s="124">
        <v>74</v>
      </c>
      <c r="G180" s="124">
        <v>72</v>
      </c>
      <c r="H180" s="124">
        <v>77</v>
      </c>
      <c r="I180" s="124">
        <v>99</v>
      </c>
      <c r="J180" s="124">
        <v>98</v>
      </c>
      <c r="K180" s="124">
        <v>90</v>
      </c>
      <c r="L180" s="124">
        <v>98</v>
      </c>
      <c r="M180" s="124">
        <v>76.791093558859018</v>
      </c>
      <c r="N180" s="124">
        <v>69</v>
      </c>
      <c r="O180" s="124">
        <v>58</v>
      </c>
      <c r="P180" s="124">
        <v>58.329361931804428</v>
      </c>
      <c r="Q180" s="124">
        <v>79</v>
      </c>
      <c r="R180" s="124">
        <v>85</v>
      </c>
      <c r="S180" s="124">
        <v>107.40636117046863</v>
      </c>
      <c r="T180" s="124">
        <v>97</v>
      </c>
      <c r="U180" s="124">
        <v>94</v>
      </c>
      <c r="V180" s="124">
        <v>96.574227789719487</v>
      </c>
      <c r="W180" s="124">
        <v>91</v>
      </c>
      <c r="X180" s="124">
        <v>103.52723290156048</v>
      </c>
      <c r="Y180" s="124">
        <v>107</v>
      </c>
      <c r="Z180" s="124">
        <v>77.53767705450764</v>
      </c>
      <c r="AA180" s="124">
        <v>76</v>
      </c>
      <c r="AB180" s="124">
        <v>61</v>
      </c>
      <c r="AC180" s="124">
        <v>106</v>
      </c>
      <c r="AD180" s="124">
        <v>82.640235175042392</v>
      </c>
      <c r="AE180" s="124">
        <v>106</v>
      </c>
      <c r="AF180" s="124">
        <v>56</v>
      </c>
      <c r="AG180" s="124">
        <v>83</v>
      </c>
      <c r="AH180" s="124">
        <v>104</v>
      </c>
      <c r="AI180" s="124">
        <v>82</v>
      </c>
      <c r="AJ180" s="124">
        <v>69</v>
      </c>
      <c r="AK180" s="124">
        <v>74</v>
      </c>
      <c r="AL180" s="124">
        <v>81</v>
      </c>
      <c r="AM180" s="124">
        <v>77</v>
      </c>
      <c r="AN180" s="124">
        <v>70</v>
      </c>
      <c r="AO180" s="124">
        <v>87.397806015915066</v>
      </c>
      <c r="AP180" s="124">
        <v>84.772185693817548</v>
      </c>
      <c r="AQ180" s="124">
        <v>93</v>
      </c>
      <c r="AR180" s="124">
        <v>77</v>
      </c>
      <c r="AS180" s="124">
        <v>105</v>
      </c>
      <c r="AT180" s="124">
        <v>99</v>
      </c>
      <c r="AU180" s="124">
        <v>78</v>
      </c>
      <c r="AV180" s="124">
        <v>70</v>
      </c>
      <c r="AW180" s="124">
        <v>105</v>
      </c>
      <c r="AX180" s="124">
        <v>68</v>
      </c>
      <c r="AY180" s="124">
        <v>73.247825714331938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362.60064878221215</v>
      </c>
      <c r="E181" s="123">
        <f t="shared" si="4"/>
        <v>355.37232902920869</v>
      </c>
      <c r="F181" s="123">
        <f t="shared" si="4"/>
        <v>165.70553704169535</v>
      </c>
      <c r="G181" s="123">
        <f t="shared" si="4"/>
        <v>167.19989909258433</v>
      </c>
      <c r="H181" s="123">
        <f t="shared" si="4"/>
        <v>292.14503711419729</v>
      </c>
      <c r="I181" s="123">
        <f t="shared" si="4"/>
        <v>231.90487264001601</v>
      </c>
      <c r="J181" s="123">
        <f t="shared" si="4"/>
        <v>199.57794972327474</v>
      </c>
      <c r="K181" s="123">
        <f t="shared" si="4"/>
        <v>169.32547623598538</v>
      </c>
      <c r="L181" s="123">
        <f t="shared" si="4"/>
        <v>155.81869939953287</v>
      </c>
      <c r="M181" s="123">
        <f t="shared" si="4"/>
        <v>19.10576181577731</v>
      </c>
      <c r="N181" s="123">
        <f t="shared" si="4"/>
        <v>268.6465348530748</v>
      </c>
      <c r="O181" s="123">
        <f t="shared" si="4"/>
        <v>130.38858935630876</v>
      </c>
      <c r="P181" s="123">
        <f t="shared" si="4"/>
        <v>143.69612162246111</v>
      </c>
      <c r="Q181" s="123">
        <f t="shared" si="4"/>
        <v>298.51781860714181</v>
      </c>
      <c r="R181" s="123">
        <f t="shared" si="4"/>
        <v>271.81124338863998</v>
      </c>
      <c r="S181" s="123">
        <f t="shared" si="4"/>
        <v>87.590643334072553</v>
      </c>
      <c r="T181" s="123">
        <f t="shared" si="4"/>
        <v>268.6465348530748</v>
      </c>
      <c r="U181" s="123">
        <f t="shared" si="4"/>
        <v>214.92671891469186</v>
      </c>
      <c r="V181" s="123">
        <f t="shared" si="4"/>
        <v>44.016267962750895</v>
      </c>
      <c r="W181" s="123">
        <f t="shared" si="4"/>
        <v>134.07556912182361</v>
      </c>
      <c r="X181" s="123">
        <f t="shared" si="4"/>
        <v>165.29270743375679</v>
      </c>
      <c r="Y181" s="123">
        <f t="shared" si="4"/>
        <v>137.60200629599598</v>
      </c>
      <c r="Z181" s="123">
        <f t="shared" si="4"/>
        <v>143.48235740416547</v>
      </c>
      <c r="AA181" s="123">
        <f t="shared" si="4"/>
        <v>268.23586602401735</v>
      </c>
      <c r="AB181" s="123">
        <f t="shared" si="4"/>
        <v>226.46277824945022</v>
      </c>
      <c r="AC181" s="123">
        <f t="shared" si="4"/>
        <v>210.35075716823266</v>
      </c>
      <c r="AD181" s="123">
        <f t="shared" si="4"/>
        <v>94.320527309126007</v>
      </c>
      <c r="AE181" s="123">
        <f t="shared" si="4"/>
        <v>0.41066882905743568</v>
      </c>
      <c r="AF181" s="123">
        <f t="shared" si="4"/>
        <v>402.76446786508347</v>
      </c>
      <c r="AG181" s="123">
        <f t="shared" si="4"/>
        <v>175.20501166497132</v>
      </c>
      <c r="AH181" s="123">
        <f t="shared" si="4"/>
        <v>173.57082615734006</v>
      </c>
      <c r="AI181" s="123">
        <f t="shared" si="4"/>
        <v>319.71807329248406</v>
      </c>
      <c r="AJ181" s="123">
        <f t="shared" si="4"/>
        <v>265.29945767009229</v>
      </c>
      <c r="AK181" s="123">
        <f t="shared" si="4"/>
        <v>239.0897860110222</v>
      </c>
      <c r="AL181" s="123">
        <f t="shared" si="4"/>
        <v>210.48541283503656</v>
      </c>
      <c r="AM181" s="123">
        <f t="shared" si="4"/>
        <v>189.64758883395075</v>
      </c>
      <c r="AN181" s="123">
        <f t="shared" si="4"/>
        <v>31.229762391813971</v>
      </c>
      <c r="AO181" s="123">
        <f t="shared" si="4"/>
        <v>134.52860184106612</v>
      </c>
      <c r="AP181" s="123">
        <f t="shared" si="4"/>
        <v>141.28536396623286</v>
      </c>
      <c r="AQ181" s="123">
        <f t="shared" si="4"/>
        <v>1.5979376647302476E-14</v>
      </c>
      <c r="AR181" s="123">
        <f t="shared" si="4"/>
        <v>269.05720368213224</v>
      </c>
      <c r="AS181" s="123">
        <f t="shared" si="4"/>
        <v>342.68857205724635</v>
      </c>
      <c r="AT181" s="123">
        <f t="shared" si="4"/>
        <v>189.61946208184023</v>
      </c>
      <c r="AU181" s="123">
        <f t="shared" si="4"/>
        <v>335.70467095890928</v>
      </c>
      <c r="AV181" s="123">
        <f t="shared" si="4"/>
        <v>132.65160110349839</v>
      </c>
      <c r="AW181" s="123">
        <f t="shared" si="4"/>
        <v>134.52860184106612</v>
      </c>
      <c r="AX181" s="123">
        <f t="shared" si="4"/>
        <v>134.52860184106612</v>
      </c>
      <c r="AY181" s="123">
        <f t="shared" si="4"/>
        <v>292.71760479190016</v>
      </c>
    </row>
    <row r="182" spans="1:51">
      <c r="A182" s="124"/>
      <c r="B182" s="135" t="s">
        <v>299</v>
      </c>
      <c r="C182" s="124" t="s">
        <v>293</v>
      </c>
      <c r="D182" s="124">
        <v>151</v>
      </c>
      <c r="E182" s="124">
        <v>132</v>
      </c>
      <c r="F182" s="124">
        <v>121</v>
      </c>
      <c r="G182" s="124">
        <v>136</v>
      </c>
      <c r="H182" s="124">
        <v>160</v>
      </c>
      <c r="I182" s="124">
        <v>144</v>
      </c>
      <c r="J182" s="124">
        <v>152</v>
      </c>
      <c r="K182" s="124">
        <v>140</v>
      </c>
      <c r="L182" s="124">
        <v>130</v>
      </c>
      <c r="M182" s="124">
        <v>19.10576181577731</v>
      </c>
      <c r="N182" s="124">
        <v>93</v>
      </c>
      <c r="O182" s="124">
        <v>118</v>
      </c>
      <c r="P182" s="124">
        <v>103.32936193180443</v>
      </c>
      <c r="Q182" s="124">
        <v>113</v>
      </c>
      <c r="R182" s="124">
        <v>154</v>
      </c>
      <c r="S182" s="124">
        <v>87.590643334072553</v>
      </c>
      <c r="T182" s="124">
        <v>160</v>
      </c>
      <c r="U182" s="124">
        <v>156</v>
      </c>
      <c r="V182" s="124">
        <v>44.016267962750895</v>
      </c>
      <c r="W182" s="124">
        <v>93</v>
      </c>
      <c r="X182" s="124">
        <v>160.5272329015605</v>
      </c>
      <c r="Y182" s="124">
        <v>126</v>
      </c>
      <c r="Z182" s="124">
        <v>143.48235740416547</v>
      </c>
      <c r="AA182" s="124">
        <v>144</v>
      </c>
      <c r="AB182" s="124">
        <v>124</v>
      </c>
      <c r="AC182" s="124">
        <v>84</v>
      </c>
      <c r="AD182" s="124">
        <v>94.320527309126007</v>
      </c>
      <c r="AE182" s="124">
        <v>0.41066882905743568</v>
      </c>
      <c r="AF182" s="124">
        <v>166</v>
      </c>
      <c r="AG182" s="124">
        <v>123</v>
      </c>
      <c r="AH182" s="124">
        <v>104</v>
      </c>
      <c r="AI182" s="124">
        <v>143</v>
      </c>
      <c r="AJ182" s="124">
        <v>124</v>
      </c>
      <c r="AK182" s="124">
        <v>137</v>
      </c>
      <c r="AL182" s="124">
        <v>136</v>
      </c>
      <c r="AM182" s="124">
        <v>148</v>
      </c>
      <c r="AN182" s="124">
        <v>31.229762391813971</v>
      </c>
      <c r="AO182" s="124">
        <v>125.39780601591507</v>
      </c>
      <c r="AP182" s="124">
        <v>141.28536396623286</v>
      </c>
      <c r="AQ182" s="124">
        <v>1.5979376647302476E-14</v>
      </c>
      <c r="AR182" s="124">
        <v>169</v>
      </c>
      <c r="AS182" s="124">
        <v>87</v>
      </c>
      <c r="AT182" s="124">
        <v>99</v>
      </c>
      <c r="AU182" s="124">
        <v>157</v>
      </c>
      <c r="AV182" s="124">
        <v>132.65160110349839</v>
      </c>
      <c r="AW182" s="124">
        <v>134.52860184106612</v>
      </c>
      <c r="AX182" s="124">
        <v>102</v>
      </c>
      <c r="AY182" s="124">
        <v>134.16125895855157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3.0866623638724491</v>
      </c>
      <c r="V187" s="105">
        <v>0</v>
      </c>
      <c r="W187" s="105">
        <v>15.069329891097937</v>
      </c>
      <c r="X187" s="105">
        <v>0</v>
      </c>
      <c r="Y187" s="105">
        <v>2.0693298910979365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3.0866623638724491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>
        <v>128</v>
      </c>
      <c r="D188" s="105">
        <v>173</v>
      </c>
      <c r="E188" s="105">
        <v>151</v>
      </c>
      <c r="F188" s="105">
        <v>152</v>
      </c>
      <c r="G188" s="105">
        <v>143</v>
      </c>
      <c r="H188" s="105">
        <v>143</v>
      </c>
      <c r="I188" s="105">
        <v>121</v>
      </c>
      <c r="J188" s="105">
        <v>136</v>
      </c>
      <c r="K188" s="105">
        <v>99</v>
      </c>
      <c r="L188" s="105">
        <v>178</v>
      </c>
      <c r="M188" s="105">
        <v>154</v>
      </c>
      <c r="N188" s="105">
        <v>144</v>
      </c>
      <c r="O188" s="105">
        <v>116</v>
      </c>
      <c r="P188" s="105">
        <v>115</v>
      </c>
      <c r="Q188" s="105">
        <v>124</v>
      </c>
      <c r="R188" s="105">
        <v>184</v>
      </c>
      <c r="S188" s="105">
        <v>164</v>
      </c>
      <c r="T188" s="105">
        <v>164</v>
      </c>
      <c r="U188" s="105">
        <v>189.91333763612755</v>
      </c>
      <c r="V188" s="105">
        <v>158</v>
      </c>
      <c r="W188" s="105">
        <v>151.93067010890206</v>
      </c>
      <c r="X188" s="105">
        <v>132</v>
      </c>
      <c r="Y188" s="105">
        <v>151.93067010890206</v>
      </c>
      <c r="Z188" s="105">
        <v>123</v>
      </c>
      <c r="AA188" s="105">
        <v>153</v>
      </c>
      <c r="AB188" s="105">
        <v>147</v>
      </c>
      <c r="AC188" s="105">
        <v>113</v>
      </c>
      <c r="AD188" s="105">
        <v>176</v>
      </c>
      <c r="AE188" s="105">
        <v>179</v>
      </c>
      <c r="AF188" s="105">
        <v>111</v>
      </c>
      <c r="AG188" s="105">
        <v>115</v>
      </c>
      <c r="AH188" s="105">
        <v>175</v>
      </c>
      <c r="AI188" s="105">
        <v>128</v>
      </c>
      <c r="AJ188" s="105">
        <v>160</v>
      </c>
      <c r="AK188" s="105">
        <v>161</v>
      </c>
      <c r="AL188" s="105">
        <v>160</v>
      </c>
      <c r="AM188" s="105">
        <v>187</v>
      </c>
      <c r="AN188" s="105">
        <v>136</v>
      </c>
      <c r="AO188" s="105">
        <v>144</v>
      </c>
      <c r="AP188" s="105">
        <v>141</v>
      </c>
      <c r="AQ188" s="105">
        <v>136</v>
      </c>
      <c r="AR188" s="105">
        <v>143</v>
      </c>
      <c r="AS188" s="105">
        <v>189.91333763612755</v>
      </c>
      <c r="AT188" s="105">
        <v>115</v>
      </c>
      <c r="AU188" s="105">
        <v>187</v>
      </c>
      <c r="AV188" s="105">
        <v>184</v>
      </c>
      <c r="AW188" s="105">
        <v>139</v>
      </c>
      <c r="AX188" s="105">
        <v>124</v>
      </c>
      <c r="AY188" s="105">
        <v>175</v>
      </c>
    </row>
    <row r="189" spans="1:51">
      <c r="A189" s="125" t="s">
        <v>133</v>
      </c>
      <c r="B189" s="122">
        <v>1</v>
      </c>
      <c r="C189" s="123">
        <v>0</v>
      </c>
      <c r="D189" s="123">
        <v>16.525938745601536</v>
      </c>
      <c r="E189" s="123">
        <v>40.051877491203072</v>
      </c>
      <c r="F189" s="123">
        <v>0</v>
      </c>
      <c r="G189" s="123">
        <v>0</v>
      </c>
      <c r="H189" s="123">
        <v>30.373378180619937</v>
      </c>
      <c r="I189" s="123">
        <v>0</v>
      </c>
      <c r="J189" s="123">
        <v>22.436960799908007</v>
      </c>
      <c r="K189" s="123">
        <v>61.468751859475162</v>
      </c>
      <c r="L189" s="123">
        <v>68.500542919042317</v>
      </c>
      <c r="M189" s="123">
        <v>0</v>
      </c>
      <c r="N189" s="123">
        <v>0</v>
      </c>
      <c r="O189" s="123">
        <v>0</v>
      </c>
      <c r="P189" s="123">
        <v>180.96820894043285</v>
      </c>
      <c r="Q189" s="123">
        <v>25.031791059567155</v>
      </c>
      <c r="R189" s="123">
        <v>82.06358211913431</v>
      </c>
      <c r="S189" s="123">
        <v>0</v>
      </c>
      <c r="T189" s="123">
        <v>62.031791059567155</v>
      </c>
      <c r="U189" s="123">
        <v>107.06358211913431</v>
      </c>
      <c r="V189" s="123">
        <v>0</v>
      </c>
      <c r="W189" s="123">
        <v>0</v>
      </c>
      <c r="X189" s="123">
        <v>180.91104643309049</v>
      </c>
      <c r="Y189" s="123">
        <v>0</v>
      </c>
      <c r="Z189" s="123">
        <v>0</v>
      </c>
      <c r="AA189" s="123">
        <v>44.031791059567155</v>
      </c>
      <c r="AB189" s="123">
        <v>55.06358211913431</v>
      </c>
      <c r="AC189" s="123">
        <v>61.095373178701465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3">
        <v>0</v>
      </c>
      <c r="AP189" s="123">
        <v>0</v>
      </c>
      <c r="AQ189" s="123">
        <v>0</v>
      </c>
      <c r="AR189" s="123">
        <v>0</v>
      </c>
      <c r="AS189" s="123">
        <v>0</v>
      </c>
      <c r="AT189" s="123">
        <v>0</v>
      </c>
      <c r="AU189" s="123">
        <v>152.12716423826862</v>
      </c>
      <c r="AV189" s="123">
        <v>0</v>
      </c>
      <c r="AW189" s="123">
        <v>0</v>
      </c>
      <c r="AX189" s="123">
        <v>158.22253741697008</v>
      </c>
      <c r="AY189" s="123">
        <v>5.286119536104394</v>
      </c>
    </row>
    <row r="190" spans="1:51">
      <c r="A190" s="108"/>
      <c r="B190" s="118">
        <v>2</v>
      </c>
      <c r="C190" s="105">
        <v>128.44238380268084</v>
      </c>
      <c r="D190" s="105">
        <v>170.47406125439846</v>
      </c>
      <c r="E190" s="105">
        <v>153.94812250879693</v>
      </c>
      <c r="F190" s="105">
        <v>174</v>
      </c>
      <c r="G190" s="105">
        <v>171.30979556133187</v>
      </c>
      <c r="H190" s="105">
        <v>180.96820869035597</v>
      </c>
      <c r="I190" s="105">
        <v>138</v>
      </c>
      <c r="J190" s="105">
        <v>180.96820869035597</v>
      </c>
      <c r="K190" s="105">
        <v>158.53124814052484</v>
      </c>
      <c r="L190" s="105">
        <v>119.49945708095768</v>
      </c>
      <c r="M190" s="105">
        <v>112.46766602139053</v>
      </c>
      <c r="N190" s="105">
        <v>142</v>
      </c>
      <c r="O190" s="105">
        <v>164.03179105956715</v>
      </c>
      <c r="P190" s="105">
        <v>0</v>
      </c>
      <c r="Q190" s="105">
        <v>0</v>
      </c>
      <c r="R190" s="105">
        <v>155.93641788086569</v>
      </c>
      <c r="S190" s="105">
        <v>98.904626821298535</v>
      </c>
      <c r="T190" s="105">
        <v>180.96820894043285</v>
      </c>
      <c r="U190" s="105">
        <v>118.93641788086569</v>
      </c>
      <c r="V190" s="105">
        <v>73.904626821298535</v>
      </c>
      <c r="W190" s="105">
        <v>161</v>
      </c>
      <c r="X190" s="105">
        <v>0</v>
      </c>
      <c r="Y190" s="105">
        <v>0</v>
      </c>
      <c r="Z190" s="105">
        <v>180.91104643309049</v>
      </c>
      <c r="AA190" s="105">
        <v>180.96820894043285</v>
      </c>
      <c r="AB190" s="105">
        <v>136.93641788086569</v>
      </c>
      <c r="AC190" s="105">
        <v>125.90462682129854</v>
      </c>
      <c r="AD190" s="105">
        <v>119.87283576173138</v>
      </c>
      <c r="AE190" s="105">
        <v>0</v>
      </c>
      <c r="AF190" s="105">
        <v>61.031791059567155</v>
      </c>
      <c r="AG190" s="105">
        <v>69.06358211913431</v>
      </c>
      <c r="AH190" s="105">
        <v>101.09537317870146</v>
      </c>
      <c r="AI190" s="105">
        <v>96.12716423826862</v>
      </c>
      <c r="AJ190" s="105">
        <v>101.15895529783577</v>
      </c>
      <c r="AK190" s="105">
        <v>168.19074635740293</v>
      </c>
      <c r="AL190" s="105">
        <v>173.22253741697008</v>
      </c>
      <c r="AM190" s="105">
        <v>146.25432847653724</v>
      </c>
      <c r="AN190" s="105">
        <v>180.96820894043285</v>
      </c>
      <c r="AO190" s="105">
        <v>180.96820894043285</v>
      </c>
      <c r="AP190" s="105">
        <v>180.96820894043285</v>
      </c>
      <c r="AQ190" s="105">
        <v>0</v>
      </c>
      <c r="AR190" s="105">
        <v>0</v>
      </c>
      <c r="AS190" s="105">
        <v>39.06358211913431</v>
      </c>
      <c r="AT190" s="105">
        <v>81.095373178701465</v>
      </c>
      <c r="AU190" s="105">
        <v>0</v>
      </c>
      <c r="AV190" s="105">
        <v>160</v>
      </c>
      <c r="AW190" s="105">
        <v>88.190746357402929</v>
      </c>
      <c r="AX190" s="105">
        <v>0</v>
      </c>
      <c r="AY190" s="105">
        <v>22.745671523462761</v>
      </c>
    </row>
    <row r="191" spans="1:51">
      <c r="A191" s="108"/>
      <c r="B191" s="119">
        <v>3</v>
      </c>
      <c r="C191" s="105">
        <v>0</v>
      </c>
      <c r="D191" s="105">
        <v>0</v>
      </c>
      <c r="E191" s="105">
        <v>0</v>
      </c>
      <c r="F191" s="105">
        <v>0</v>
      </c>
      <c r="G191" s="105">
        <v>23.690204438668133</v>
      </c>
      <c r="H191" s="105">
        <v>9.6584131290240975</v>
      </c>
      <c r="I191" s="105">
        <v>0</v>
      </c>
      <c r="J191" s="105">
        <v>12.594830509736028</v>
      </c>
      <c r="K191" s="105">
        <v>0</v>
      </c>
      <c r="L191" s="105">
        <v>0</v>
      </c>
      <c r="M191" s="105">
        <v>0</v>
      </c>
      <c r="N191" s="105">
        <v>0</v>
      </c>
      <c r="O191" s="105">
        <v>38.968208940432845</v>
      </c>
      <c r="P191" s="105">
        <v>16.93641788086569</v>
      </c>
      <c r="Q191" s="105">
        <v>180.96820894043285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19.91104643309049</v>
      </c>
      <c r="Y191" s="105">
        <v>158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180.96820894043285</v>
      </c>
      <c r="AG191" s="105">
        <v>119.93641788086569</v>
      </c>
      <c r="AH191" s="105">
        <v>111.90462682129854</v>
      </c>
      <c r="AI191" s="105">
        <v>79.87283576173138</v>
      </c>
      <c r="AJ191" s="105">
        <v>84.841044702164226</v>
      </c>
      <c r="AK191" s="105">
        <v>79.809253642597071</v>
      </c>
      <c r="AL191" s="105">
        <v>12.777462583029916</v>
      </c>
      <c r="AM191" s="105">
        <v>7.7456715234627609</v>
      </c>
      <c r="AN191" s="105">
        <v>34.713880463895606</v>
      </c>
      <c r="AO191" s="105">
        <v>0</v>
      </c>
      <c r="AP191" s="105">
        <v>0</v>
      </c>
      <c r="AQ191" s="105">
        <v>0</v>
      </c>
      <c r="AR191" s="105">
        <v>156</v>
      </c>
      <c r="AS191" s="105">
        <v>180.96820894043285</v>
      </c>
      <c r="AT191" s="105">
        <v>141.90462682129854</v>
      </c>
      <c r="AU191" s="105">
        <v>99.87283576173138</v>
      </c>
      <c r="AV191" s="105">
        <v>0</v>
      </c>
      <c r="AW191" s="105">
        <v>49.809253642597071</v>
      </c>
      <c r="AX191" s="105">
        <v>92.777462583029916</v>
      </c>
      <c r="AY191" s="105">
        <v>180.96820894043285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22.91104643309049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24.968208940432845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0</v>
      </c>
      <c r="D197" s="105">
        <v>0</v>
      </c>
      <c r="E197" s="105">
        <v>0</v>
      </c>
      <c r="F197" s="105">
        <v>0</v>
      </c>
      <c r="G197" s="105">
        <v>0</v>
      </c>
      <c r="H197" s="105">
        <v>0</v>
      </c>
      <c r="I197" s="105">
        <v>0</v>
      </c>
      <c r="J197" s="105">
        <v>0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47.412398095663427</v>
      </c>
      <c r="AT197" s="105">
        <v>51.877344628889169</v>
      </c>
      <c r="AU197" s="105">
        <v>9.4714159321891316</v>
      </c>
      <c r="AV197" s="105">
        <v>12.847345879690607</v>
      </c>
      <c r="AW197" s="105">
        <v>0</v>
      </c>
      <c r="AX197" s="105">
        <v>21.28722775244232</v>
      </c>
      <c r="AY197" s="105">
        <v>47.267526733387129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5.6144611816568192E-15</v>
      </c>
      <c r="AT198" s="105">
        <v>47.122655371110831</v>
      </c>
      <c r="AU198" s="105">
        <v>68.528584067810868</v>
      </c>
      <c r="AV198" s="105">
        <v>57.152654120309393</v>
      </c>
      <c r="AW198" s="105">
        <v>105</v>
      </c>
      <c r="AX198" s="105">
        <v>46.608029932503214</v>
      </c>
      <c r="AY198" s="105">
        <v>25.980298980944809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31.328056828315567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39.32148526242198</v>
      </c>
      <c r="AS199" s="105">
        <v>49.64156043337141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0.10474231505446596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0.14429124803492643</v>
      </c>
      <c r="AJ200" s="105">
        <v>69</v>
      </c>
      <c r="AK200" s="105">
        <v>32.81405912422403</v>
      </c>
      <c r="AL200" s="105">
        <v>52.254602924111872</v>
      </c>
      <c r="AM200" s="105">
        <v>68.269328764935011</v>
      </c>
      <c r="AN200" s="105">
        <v>25.934238905357262</v>
      </c>
      <c r="AO200" s="105">
        <v>20.117300724427267</v>
      </c>
      <c r="AP200" s="105">
        <v>20.883686184721469</v>
      </c>
      <c r="AQ200" s="105">
        <v>39.928224357190203</v>
      </c>
      <c r="AR200" s="105">
        <v>10.972786519229141</v>
      </c>
      <c r="AS200" s="105">
        <v>7.9460414709651488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37.749823881216599</v>
      </c>
      <c r="AF201" s="105">
        <v>43.336335065037495</v>
      </c>
      <c r="AG201" s="105">
        <v>32.089864094333088</v>
      </c>
      <c r="AH201" s="105">
        <v>56.520647745312708</v>
      </c>
      <c r="AI201" s="105">
        <v>33.140150013291425</v>
      </c>
      <c r="AJ201" s="105">
        <v>0</v>
      </c>
      <c r="AK201" s="105">
        <v>41.18594087577597</v>
      </c>
      <c r="AL201" s="105">
        <v>28.745397075888128</v>
      </c>
      <c r="AM201" s="105">
        <v>8.730671235064996</v>
      </c>
      <c r="AN201" s="105">
        <v>44.065761094642738</v>
      </c>
      <c r="AO201" s="105">
        <v>67.280505291487799</v>
      </c>
      <c r="AP201" s="105">
        <v>63.888499509096079</v>
      </c>
      <c r="AQ201" s="105">
        <v>53.071775642809797</v>
      </c>
      <c r="AR201" s="105">
        <v>26.705728218348881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2.642028973293991</v>
      </c>
      <c r="AD202" s="105">
        <v>38.173913499996146</v>
      </c>
      <c r="AE202" s="105">
        <v>48.347388006364127</v>
      </c>
      <c r="AF202" s="105">
        <v>12.663664934962505</v>
      </c>
      <c r="AG202" s="105">
        <v>50.910135905666912</v>
      </c>
      <c r="AH202" s="105">
        <v>47.479352254687292</v>
      </c>
      <c r="AI202" s="105">
        <v>17.387501910358075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21.014146733902862</v>
      </c>
      <c r="AB203" s="105">
        <v>0</v>
      </c>
      <c r="AC203" s="105">
        <v>15.465411029033346</v>
      </c>
      <c r="AD203" s="105">
        <v>44.466321675046245</v>
      </c>
      <c r="AE203" s="105">
        <v>19.902788112419273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16.110439403811249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42.129568067640029</v>
      </c>
      <c r="Y204" s="105">
        <v>98.640971759339152</v>
      </c>
      <c r="Z204" s="105">
        <v>71.292410658517824</v>
      </c>
      <c r="AA204" s="105">
        <v>30.775560131659816</v>
      </c>
      <c r="AB204" s="105">
        <v>61</v>
      </c>
      <c r="AC204" s="105">
        <v>75.515944512836185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>
        <v>97.634959096460335</v>
      </c>
      <c r="D205" s="105">
        <v>36.520603109771521</v>
      </c>
      <c r="E205" s="105">
        <v>64</v>
      </c>
      <c r="F205" s="105">
        <v>25.746076397896758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78.806002958677325</v>
      </c>
      <c r="X205" s="105">
        <v>45.812905573858437</v>
      </c>
      <c r="Y205" s="105">
        <v>8.359028240660848</v>
      </c>
      <c r="Z205" s="105">
        <v>6.245266395989816</v>
      </c>
      <c r="AA205" s="105">
        <v>24.210293134437322</v>
      </c>
      <c r="AB205" s="105">
        <v>0</v>
      </c>
      <c r="AC205" s="105">
        <v>12.376615484836478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>
        <v>0</v>
      </c>
      <c r="D206" s="105">
        <v>49.36895748641723</v>
      </c>
      <c r="E206" s="105">
        <v>0</v>
      </c>
      <c r="F206" s="105">
        <v>48.253923602103242</v>
      </c>
      <c r="G206" s="105">
        <v>72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12.186300071177016</v>
      </c>
      <c r="V206" s="105">
        <v>49.266885876246263</v>
      </c>
      <c r="W206" s="105">
        <v>6.7129375837555667</v>
      </c>
      <c r="X206" s="105">
        <v>15.584759260062015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77</v>
      </c>
      <c r="I207" s="105">
        <v>27.192167735702839</v>
      </c>
      <c r="J207" s="105">
        <v>0</v>
      </c>
      <c r="K207" s="105">
        <v>0</v>
      </c>
      <c r="L207" s="105">
        <v>0</v>
      </c>
      <c r="M207" s="105">
        <v>29.243950081098987</v>
      </c>
      <c r="N207" s="105">
        <v>0</v>
      </c>
      <c r="O207" s="105">
        <v>0</v>
      </c>
      <c r="P207" s="105">
        <v>0</v>
      </c>
      <c r="Q207" s="105">
        <v>0</v>
      </c>
      <c r="R207" s="105">
        <v>26.778247935394326</v>
      </c>
      <c r="S207" s="105">
        <v>75.437802909845104</v>
      </c>
      <c r="T207" s="105">
        <v>69.790684283459612</v>
      </c>
      <c r="U207" s="105">
        <v>70.123051491194488</v>
      </c>
      <c r="V207" s="105">
        <v>47.307341913473223</v>
      </c>
      <c r="W207" s="105">
        <v>5.4810594575671132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71.807832264297161</v>
      </c>
      <c r="J208" s="105">
        <v>98</v>
      </c>
      <c r="K208" s="105">
        <v>90</v>
      </c>
      <c r="L208" s="105">
        <v>98</v>
      </c>
      <c r="M208" s="105">
        <v>47.547143477760031</v>
      </c>
      <c r="N208" s="105">
        <v>69</v>
      </c>
      <c r="O208" s="105">
        <v>58</v>
      </c>
      <c r="P208" s="105">
        <v>58.329361931804428</v>
      </c>
      <c r="Q208" s="105">
        <v>79</v>
      </c>
      <c r="R208" s="105">
        <v>58.221752064605674</v>
      </c>
      <c r="S208" s="105">
        <v>31.968558260623524</v>
      </c>
      <c r="T208" s="105">
        <v>27.209315716540388</v>
      </c>
      <c r="U208" s="105">
        <v>11.690648437628496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11.913824463566868</v>
      </c>
      <c r="D209" s="123">
        <v>0</v>
      </c>
      <c r="E209" s="123">
        <v>0</v>
      </c>
      <c r="F209" s="123">
        <v>0</v>
      </c>
      <c r="G209" s="123">
        <v>0</v>
      </c>
      <c r="H209" s="123">
        <v>2.383564541533616</v>
      </c>
      <c r="I209" s="123">
        <v>46.213060186657444</v>
      </c>
      <c r="J209" s="123">
        <v>86.539983288733936</v>
      </c>
      <c r="K209" s="123">
        <v>104.7924567760233</v>
      </c>
      <c r="L209" s="123">
        <v>108.2992336124758</v>
      </c>
      <c r="M209" s="123">
        <v>0</v>
      </c>
      <c r="N209" s="123">
        <v>0</v>
      </c>
      <c r="O209" s="123">
        <v>0</v>
      </c>
      <c r="P209" s="123">
        <v>94.161842150409427</v>
      </c>
      <c r="Q209" s="123">
        <v>0</v>
      </c>
      <c r="R209" s="123">
        <v>16.717358452426126</v>
      </c>
      <c r="S209" s="123">
        <v>0.41066882905743568</v>
      </c>
      <c r="T209" s="123">
        <v>25.882066987991323</v>
      </c>
      <c r="U209" s="123">
        <v>75.601882926374245</v>
      </c>
      <c r="V209" s="123">
        <v>0.4106688290574354</v>
      </c>
      <c r="W209" s="123">
        <v>0</v>
      </c>
      <c r="X209" s="123">
        <v>129.72076341868478</v>
      </c>
      <c r="Y209" s="123">
        <v>0</v>
      </c>
      <c r="Z209" s="123">
        <v>0.41066882905743568</v>
      </c>
      <c r="AA209" s="123">
        <v>9.8820669879913225</v>
      </c>
      <c r="AB209" s="123">
        <v>32.065823591615882</v>
      </c>
      <c r="AC209" s="123">
        <v>7.7671758437759877</v>
      </c>
      <c r="AD209" s="123">
        <v>0.41066882905743568</v>
      </c>
      <c r="AE209" s="123">
        <v>0.41066882905743568</v>
      </c>
      <c r="AF209" s="123">
        <v>0</v>
      </c>
      <c r="AG209" s="123">
        <v>0</v>
      </c>
      <c r="AH209" s="123">
        <v>0</v>
      </c>
      <c r="AI209" s="123">
        <v>0</v>
      </c>
      <c r="AJ209" s="123">
        <v>0</v>
      </c>
      <c r="AK209" s="123">
        <v>32.028147000986465</v>
      </c>
      <c r="AL209" s="123">
        <v>60.04318900602955</v>
      </c>
      <c r="AM209" s="123">
        <v>92.881013007115371</v>
      </c>
      <c r="AN209" s="123">
        <v>0.4106688290574354</v>
      </c>
      <c r="AO209" s="123">
        <v>0</v>
      </c>
      <c r="AP209" s="123">
        <v>0.41066882905741409</v>
      </c>
      <c r="AQ209" s="123">
        <v>0</v>
      </c>
      <c r="AR209" s="123">
        <v>34.471398158933887</v>
      </c>
      <c r="AS209" s="123">
        <v>0</v>
      </c>
      <c r="AT209" s="123">
        <v>0</v>
      </c>
      <c r="AU209" s="123">
        <v>89.941863894165508</v>
      </c>
      <c r="AV209" s="123">
        <v>0.41066882905743568</v>
      </c>
      <c r="AW209" s="123">
        <v>0.41066882905743568</v>
      </c>
      <c r="AX209" s="123">
        <v>102</v>
      </c>
      <c r="AY209" s="123">
        <v>0</v>
      </c>
    </row>
    <row r="210" spans="1:51">
      <c r="A210" s="108"/>
      <c r="B210" s="118">
        <v>2</v>
      </c>
      <c r="C210" s="105">
        <v>85.090578759254157</v>
      </c>
      <c r="D210" s="109">
        <v>151</v>
      </c>
      <c r="E210" s="109">
        <v>101.41025195420264</v>
      </c>
      <c r="F210" s="109">
        <v>86.472822422796597</v>
      </c>
      <c r="G210" s="109">
        <v>103.22192746288309</v>
      </c>
      <c r="H210" s="109">
        <v>134.52860165573085</v>
      </c>
      <c r="I210" s="109">
        <v>97.786939813342556</v>
      </c>
      <c r="J210" s="109">
        <v>65.460016711266064</v>
      </c>
      <c r="K210" s="109">
        <v>35.207543223976707</v>
      </c>
      <c r="L210" s="109">
        <v>21.700766387524201</v>
      </c>
      <c r="M210" s="109">
        <v>19.10576181577731</v>
      </c>
      <c r="N210" s="109">
        <v>93</v>
      </c>
      <c r="O210" s="109">
        <v>87.57285019172042</v>
      </c>
      <c r="P210" s="109">
        <v>0.30389372879400306</v>
      </c>
      <c r="Q210" s="109">
        <v>0</v>
      </c>
      <c r="R210" s="109">
        <v>99.550770718971719</v>
      </c>
      <c r="S210" s="109">
        <v>87.17997450501511</v>
      </c>
      <c r="T210" s="109">
        <v>134.11793301200868</v>
      </c>
      <c r="U210" s="109">
        <v>80.398117073625755</v>
      </c>
      <c r="V210" s="109">
        <v>43.60559913369346</v>
      </c>
      <c r="W210" s="109">
        <v>93</v>
      </c>
      <c r="X210" s="109">
        <v>0.41066882905743568</v>
      </c>
      <c r="Y210" s="109">
        <v>0</v>
      </c>
      <c r="Z210" s="109">
        <v>134.48623795088105</v>
      </c>
      <c r="AA210" s="109">
        <v>134.11793301200868</v>
      </c>
      <c r="AB210" s="109">
        <v>91.934176408384118</v>
      </c>
      <c r="AC210" s="109">
        <v>75.822155327166584</v>
      </c>
      <c r="AD210" s="109">
        <v>93.909858480068564</v>
      </c>
      <c r="AE210" s="109">
        <v>0</v>
      </c>
      <c r="AF210" s="109">
        <v>31.882066987991323</v>
      </c>
      <c r="AG210" s="109">
        <v>47.345759054000396</v>
      </c>
      <c r="AH210" s="109">
        <v>65.368444512783469</v>
      </c>
      <c r="AI210" s="109">
        <v>91.821686460327257</v>
      </c>
      <c r="AJ210" s="109">
        <v>92.476021161151522</v>
      </c>
      <c r="AK210" s="109">
        <v>99.550770718971719</v>
      </c>
      <c r="AL210" s="109">
        <v>75.95681099397045</v>
      </c>
      <c r="AM210" s="109">
        <v>55.118986992884629</v>
      </c>
      <c r="AN210" s="109">
        <v>30.819093562756535</v>
      </c>
      <c r="AO210" s="109">
        <v>125.39780601591507</v>
      </c>
      <c r="AP210" s="109">
        <v>134.42182674080269</v>
      </c>
      <c r="AQ210" s="109">
        <v>1.5979376647302476E-14</v>
      </c>
      <c r="AR210" s="109">
        <v>0.41066882905743568</v>
      </c>
      <c r="AS210" s="109">
        <v>0</v>
      </c>
      <c r="AT210" s="109">
        <v>9.3419774661889292</v>
      </c>
      <c r="AU210" s="109">
        <v>0.30389372879400306</v>
      </c>
      <c r="AV210" s="109">
        <v>132.24093227444095</v>
      </c>
      <c r="AW210" s="109">
        <v>134.11793301200868</v>
      </c>
      <c r="AX210" s="109">
        <v>0</v>
      </c>
      <c r="AY210" s="109">
        <v>4.3325946542893234E-2</v>
      </c>
    </row>
    <row r="211" spans="1:51">
      <c r="A211" s="108"/>
      <c r="B211" s="118">
        <v>3</v>
      </c>
      <c r="C211" s="105">
        <v>13.406581446185323</v>
      </c>
      <c r="D211" s="109">
        <v>0</v>
      </c>
      <c r="E211" s="109">
        <v>30.589748045797368</v>
      </c>
      <c r="F211" s="109">
        <v>34.527177577203403</v>
      </c>
      <c r="G211" s="109">
        <v>32.778072537116905</v>
      </c>
      <c r="H211" s="109">
        <v>23.087833802735538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30.427149808279573</v>
      </c>
      <c r="P211" s="109">
        <v>8.8636260526009885</v>
      </c>
      <c r="Q211" s="109">
        <v>113</v>
      </c>
      <c r="R211" s="109">
        <v>22.104662349763025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30.395800653818277</v>
      </c>
      <c r="Y211" s="109">
        <v>126</v>
      </c>
      <c r="Z211" s="109">
        <v>2.6095531639854457</v>
      </c>
      <c r="AA211" s="109">
        <v>0</v>
      </c>
      <c r="AB211" s="109">
        <v>0</v>
      </c>
      <c r="AC211" s="109">
        <v>0.4106688290574344</v>
      </c>
      <c r="AD211" s="109">
        <v>0</v>
      </c>
      <c r="AE211" s="109">
        <v>0</v>
      </c>
      <c r="AF211" s="109">
        <v>134.11793301200868</v>
      </c>
      <c r="AG211" s="109">
        <v>75.654240945999604</v>
      </c>
      <c r="AH211" s="109">
        <v>38.631555487216524</v>
      </c>
      <c r="AI211" s="109">
        <v>51.178313539672743</v>
      </c>
      <c r="AJ211" s="109">
        <v>31.523978838848482</v>
      </c>
      <c r="AK211" s="109">
        <v>5.4210822800418121</v>
      </c>
      <c r="AL211" s="109">
        <v>0</v>
      </c>
      <c r="AM211" s="109">
        <v>0</v>
      </c>
      <c r="AN211" s="109">
        <v>0</v>
      </c>
      <c r="AO211" s="109">
        <v>0</v>
      </c>
      <c r="AP211" s="109">
        <v>6.4528683963727671</v>
      </c>
      <c r="AQ211" s="109">
        <v>0</v>
      </c>
      <c r="AR211" s="109">
        <v>134.11793301200868</v>
      </c>
      <c r="AS211" s="109">
        <v>87</v>
      </c>
      <c r="AT211" s="109">
        <v>54.790890326699348</v>
      </c>
      <c r="AU211" s="109">
        <v>66.754242377040484</v>
      </c>
      <c r="AV211" s="109">
        <v>0</v>
      </c>
      <c r="AW211" s="109">
        <v>0</v>
      </c>
      <c r="AX211" s="109">
        <v>0</v>
      </c>
      <c r="AY211" s="109">
        <v>134.11793301200868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15.627208478839114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5.9758974602415185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34.867132207111716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82811.410781392158</v>
      </c>
      <c r="E259" s="123">
        <f t="shared" ref="E259:AX259" si="5">F$14*$B$259</f>
        <v>81160.593668031855</v>
      </c>
      <c r="F259" s="123">
        <f t="shared" si="5"/>
        <v>37844.138841993685</v>
      </c>
      <c r="G259" s="123">
        <f t="shared" si="5"/>
        <v>38185.424027411602</v>
      </c>
      <c r="H259" s="123">
        <f t="shared" si="5"/>
        <v>66720.627107150576</v>
      </c>
      <c r="I259" s="123">
        <f t="shared" si="5"/>
        <v>52962.866268707272</v>
      </c>
      <c r="J259" s="123">
        <f t="shared" si="5"/>
        <v>45579.98346927642</v>
      </c>
      <c r="K259" s="123">
        <f t="shared" si="5"/>
        <v>38670.867290022652</v>
      </c>
      <c r="L259" s="123">
        <f t="shared" si="5"/>
        <v>35586.164466978698</v>
      </c>
      <c r="M259" s="123">
        <f t="shared" si="5"/>
        <v>4363.4094294411179</v>
      </c>
      <c r="N259" s="123">
        <f t="shared" si="5"/>
        <v>61353.995442180574</v>
      </c>
      <c r="O259" s="123">
        <f t="shared" si="5"/>
        <v>29778.388623007984</v>
      </c>
      <c r="P259" s="123">
        <f t="shared" si="5"/>
        <v>32817.587600395571</v>
      </c>
      <c r="Q259" s="123">
        <f t="shared" si="5"/>
        <v>68176.05480096383</v>
      </c>
      <c r="R259" s="123">
        <f t="shared" si="5"/>
        <v>62076.757465420844</v>
      </c>
      <c r="S259" s="123">
        <f t="shared" si="5"/>
        <v>20004.11408557888</v>
      </c>
      <c r="T259" s="123">
        <f t="shared" si="5"/>
        <v>61353.995442180574</v>
      </c>
      <c r="U259" s="123">
        <f t="shared" si="5"/>
        <v>49085.36393334352</v>
      </c>
      <c r="V259" s="123">
        <f t="shared" si="5"/>
        <v>10052.517168871675</v>
      </c>
      <c r="W259" s="123">
        <f t="shared" si="5"/>
        <v>30620.427921421153</v>
      </c>
      <c r="X259" s="123">
        <f t="shared" si="5"/>
        <v>37749.856048070025</v>
      </c>
      <c r="Y259" s="123">
        <f t="shared" si="5"/>
        <v>31425.802204136682</v>
      </c>
      <c r="Z259" s="123">
        <f t="shared" si="5"/>
        <v>32768.767730516418</v>
      </c>
      <c r="AA259" s="123">
        <f t="shared" si="5"/>
        <v>61260.206130957864</v>
      </c>
      <c r="AB259" s="123">
        <f t="shared" si="5"/>
        <v>51719.990626863248</v>
      </c>
      <c r="AC259" s="123">
        <f t="shared" si="5"/>
        <v>48040.297276186007</v>
      </c>
      <c r="AD259" s="123">
        <f t="shared" si="5"/>
        <v>21541.097508639425</v>
      </c>
      <c r="AE259" s="123">
        <f t="shared" si="5"/>
        <v>93.789311222702182</v>
      </c>
      <c r="AF259" s="123">
        <f t="shared" si="5"/>
        <v>91984.098507659495</v>
      </c>
      <c r="AG259" s="123">
        <f t="shared" si="5"/>
        <v>40013.646530072903</v>
      </c>
      <c r="AH259" s="123">
        <f t="shared" si="5"/>
        <v>39640.428203464966</v>
      </c>
      <c r="AI259" s="123">
        <f t="shared" si="5"/>
        <v>73017.808408725541</v>
      </c>
      <c r="AJ259" s="123">
        <f t="shared" si="5"/>
        <v>60589.583727949292</v>
      </c>
      <c r="AK259" s="123">
        <f t="shared" si="5"/>
        <v>54603.770151790173</v>
      </c>
      <c r="AL259" s="123">
        <f t="shared" si="5"/>
        <v>48071.050187895322</v>
      </c>
      <c r="AM259" s="123">
        <f t="shared" si="5"/>
        <v>43312.069174100405</v>
      </c>
      <c r="AN259" s="123">
        <f t="shared" si="5"/>
        <v>7132.3112374989414</v>
      </c>
      <c r="AO259" s="123">
        <f t="shared" si="5"/>
        <v>30723.892376701635</v>
      </c>
      <c r="AP259" s="123">
        <f t="shared" si="5"/>
        <v>32267.014281691416</v>
      </c>
      <c r="AQ259" s="123">
        <f t="shared" si="5"/>
        <v>3.6493997680769321E-12</v>
      </c>
      <c r="AR259" s="123">
        <f t="shared" si="5"/>
        <v>61447.78475340327</v>
      </c>
      <c r="AS259" s="123">
        <f t="shared" si="5"/>
        <v>78263.853652855018</v>
      </c>
      <c r="AT259" s="123">
        <f t="shared" si="5"/>
        <v>43305.645534124043</v>
      </c>
      <c r="AU259" s="123">
        <f t="shared" si="5"/>
        <v>76668.857326584301</v>
      </c>
      <c r="AV259" s="123">
        <f t="shared" si="5"/>
        <v>30295.219456127088</v>
      </c>
      <c r="AW259" s="123">
        <f t="shared" si="5"/>
        <v>30723.892376701635</v>
      </c>
      <c r="AX259" s="123">
        <f t="shared" si="5"/>
        <v>30723.892376701635</v>
      </c>
      <c r="AY259" s="123">
        <f>AZ$14*$B$259</f>
        <v>66851.391178637059</v>
      </c>
      <c r="AZ259" s="138">
        <f>SUM($D259:$AY259)</f>
        <v>2133440.7041130471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130831.06930279247</v>
      </c>
      <c r="E260" s="124">
        <f t="shared" ref="E260:AY260" si="6">(E$175-E$176+E$177-E$178+E$179-E$180+E$181-E$182)*$B$260</f>
        <v>140180.82551754682</v>
      </c>
      <c r="F260" s="124">
        <f t="shared" si="6"/>
        <v>122907.36536428197</v>
      </c>
      <c r="G260" s="124">
        <f t="shared" si="6"/>
        <v>121863.22499080069</v>
      </c>
      <c r="H260" s="124">
        <f t="shared" si="6"/>
        <v>135280.92668670128</v>
      </c>
      <c r="I260" s="124">
        <f t="shared" si="6"/>
        <v>136743.43645725487</v>
      </c>
      <c r="J260" s="124">
        <f t="shared" si="6"/>
        <v>130330.79358194165</v>
      </c>
      <c r="K260" s="124">
        <f t="shared" si="6"/>
        <v>122847.80418514724</v>
      </c>
      <c r="L260" s="124">
        <f t="shared" si="6"/>
        <v>109616.57664314534</v>
      </c>
      <c r="M260" s="124">
        <f t="shared" si="6"/>
        <v>98372.600162598261</v>
      </c>
      <c r="N260" s="124">
        <f t="shared" si="6"/>
        <v>118970.35358166002</v>
      </c>
      <c r="O260" s="124">
        <f t="shared" si="6"/>
        <v>92767.392109866953</v>
      </c>
      <c r="P260" s="124">
        <f t="shared" si="6"/>
        <v>90680.01745964124</v>
      </c>
      <c r="Q260" s="124">
        <f t="shared" si="6"/>
        <v>102350.21333591396</v>
      </c>
      <c r="R260" s="124">
        <f t="shared" si="6"/>
        <v>89707.338540731231</v>
      </c>
      <c r="S260" s="124">
        <f t="shared" si="6"/>
        <v>77190.166885484097</v>
      </c>
      <c r="T260" s="124">
        <f t="shared" si="6"/>
        <v>84592.717605786602</v>
      </c>
      <c r="U260" s="124">
        <f t="shared" si="6"/>
        <v>74912.10686740042</v>
      </c>
      <c r="V260" s="124">
        <f t="shared" si="6"/>
        <v>65314.569333162115</v>
      </c>
      <c r="W260" s="124">
        <f t="shared" si="6"/>
        <v>61807.930618397804</v>
      </c>
      <c r="X260" s="124">
        <f t="shared" si="6"/>
        <v>58524.329480009153</v>
      </c>
      <c r="Y260" s="124">
        <f t="shared" si="6"/>
        <v>59236.906113666904</v>
      </c>
      <c r="Z260" s="124">
        <f t="shared" si="6"/>
        <v>59429.50586520075</v>
      </c>
      <c r="AA260" s="124">
        <f t="shared" si="6"/>
        <v>74167.772073563887</v>
      </c>
      <c r="AB260" s="124">
        <f t="shared" si="6"/>
        <v>74554.267601758082</v>
      </c>
      <c r="AC260" s="124">
        <f t="shared" si="6"/>
        <v>76079.791854252224</v>
      </c>
      <c r="AD260" s="124">
        <f t="shared" si="6"/>
        <v>57002.451147292093</v>
      </c>
      <c r="AE260" s="124">
        <f t="shared" si="6"/>
        <v>52450.860148089581</v>
      </c>
      <c r="AF260" s="124">
        <f t="shared" si="6"/>
        <v>85439.663304154587</v>
      </c>
      <c r="AG260" s="124">
        <f t="shared" si="6"/>
        <v>66296.935794393357</v>
      </c>
      <c r="AH260" s="124">
        <f t="shared" si="6"/>
        <v>59270.544572368177</v>
      </c>
      <c r="AI260" s="124">
        <f t="shared" si="6"/>
        <v>78414.680922879357</v>
      </c>
      <c r="AJ260" s="124">
        <f t="shared" si="6"/>
        <v>76667.761913536524</v>
      </c>
      <c r="AK260" s="124">
        <f t="shared" si="6"/>
        <v>71386.15880222898</v>
      </c>
      <c r="AL260" s="124">
        <f t="shared" si="6"/>
        <v>69668.33696210722</v>
      </c>
      <c r="AM260" s="124">
        <f t="shared" si="6"/>
        <v>67513.487768119914</v>
      </c>
      <c r="AN260" s="124">
        <f t="shared" si="6"/>
        <v>54931.744228355499</v>
      </c>
      <c r="AO260" s="124">
        <f t="shared" si="6"/>
        <v>50414.090808063411</v>
      </c>
      <c r="AP260" s="124">
        <f t="shared" si="6"/>
        <v>47795.963520928519</v>
      </c>
      <c r="AQ260" s="124">
        <f t="shared" si="6"/>
        <v>45494.457146930807</v>
      </c>
      <c r="AR260" s="124">
        <f t="shared" si="6"/>
        <v>58814.07444071069</v>
      </c>
      <c r="AS260" s="124">
        <f t="shared" si="6"/>
        <v>71540.244824075911</v>
      </c>
      <c r="AT260" s="124">
        <f t="shared" si="6"/>
        <v>54035.254205521211</v>
      </c>
      <c r="AU260" s="124">
        <f t="shared" si="6"/>
        <v>61099.195755979556</v>
      </c>
      <c r="AV260" s="124">
        <f t="shared" si="6"/>
        <v>43834.0407901297</v>
      </c>
      <c r="AW260" s="124">
        <f t="shared" si="6"/>
        <v>45608.615122505864</v>
      </c>
      <c r="AX260" s="124">
        <f t="shared" si="6"/>
        <v>43014.475373399029</v>
      </c>
      <c r="AY260" s="124">
        <f t="shared" si="6"/>
        <v>55133.507146931239</v>
      </c>
      <c r="AZ260" s="140">
        <f>SUM($D260:$AY260)</f>
        <v>3825086.5469174087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3">
      <c r="A1" s="101" t="s">
        <v>284</v>
      </c>
    </row>
    <row r="2" spans="1:53">
      <c r="A2" s="99" t="s">
        <v>285</v>
      </c>
      <c r="B2" s="106" t="s">
        <v>46</v>
      </c>
    </row>
    <row r="3" spans="1:53">
      <c r="A3" s="99" t="s">
        <v>286</v>
      </c>
      <c r="B3" s="107">
        <v>5000</v>
      </c>
      <c r="C3" s="108"/>
    </row>
    <row r="4" spans="1:53">
      <c r="B4" s="109"/>
      <c r="C4" s="109"/>
    </row>
    <row r="5" spans="1:53">
      <c r="C5" s="110" t="s">
        <v>287</v>
      </c>
    </row>
    <row r="6" spans="1:53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3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3">
      <c r="A8" s="101" t="s">
        <v>292</v>
      </c>
      <c r="B8" s="113"/>
      <c r="AY8" s="109"/>
    </row>
    <row r="9" spans="1:53">
      <c r="A9" s="114" t="s">
        <v>125</v>
      </c>
      <c r="B9" s="115">
        <v>1</v>
      </c>
      <c r="C9" s="116" t="s">
        <v>293</v>
      </c>
      <c r="D9" s="116">
        <v>204.73321552448044</v>
      </c>
      <c r="E9" s="116">
        <v>204.73321552448044</v>
      </c>
      <c r="F9" s="116">
        <v>204.73321552448044</v>
      </c>
      <c r="G9" s="116">
        <v>204.73321552448044</v>
      </c>
      <c r="H9" s="116">
        <v>0</v>
      </c>
      <c r="I9" s="116">
        <v>0</v>
      </c>
      <c r="J9" s="116">
        <v>0</v>
      </c>
      <c r="K9" s="116">
        <v>0</v>
      </c>
      <c r="L9" s="116">
        <v>204.73321552448044</v>
      </c>
      <c r="M9" s="116">
        <v>204.73321552448044</v>
      </c>
      <c r="N9" s="116">
        <v>204.73321552448044</v>
      </c>
      <c r="O9" s="116">
        <v>204.73321552448044</v>
      </c>
      <c r="P9" s="116">
        <v>204.73321552448044</v>
      </c>
      <c r="Q9" s="116">
        <v>204.73321552448044</v>
      </c>
      <c r="R9" s="116">
        <v>204.73321552448044</v>
      </c>
      <c r="S9" s="116">
        <v>204.73321552448044</v>
      </c>
      <c r="T9" s="116">
        <v>204.73321552448044</v>
      </c>
      <c r="U9" s="116">
        <v>204.73321552448044</v>
      </c>
      <c r="V9" s="116">
        <v>204.73321552448044</v>
      </c>
      <c r="W9" s="116">
        <v>204.73321552448044</v>
      </c>
      <c r="X9" s="116">
        <v>204.73321552448044</v>
      </c>
      <c r="Y9" s="116">
        <v>204.73321552448044</v>
      </c>
      <c r="Z9" s="116">
        <v>204.73321552448044</v>
      </c>
      <c r="AA9" s="116">
        <v>204.73321552448044</v>
      </c>
      <c r="AB9" s="116">
        <v>204.73321552448044</v>
      </c>
      <c r="AC9" s="116">
        <v>204.73321552448044</v>
      </c>
      <c r="AD9" s="116">
        <v>204.73321552448044</v>
      </c>
      <c r="AE9" s="116">
        <v>204.73321552448044</v>
      </c>
      <c r="AF9" s="116">
        <v>204.73321552448044</v>
      </c>
      <c r="AG9" s="116">
        <v>204.73321552448044</v>
      </c>
      <c r="AH9" s="116">
        <v>204.73321552448044</v>
      </c>
      <c r="AI9" s="116">
        <v>204.73321552448044</v>
      </c>
      <c r="AJ9" s="116">
        <v>204.73321552448044</v>
      </c>
      <c r="AK9" s="116">
        <v>204.73321552448044</v>
      </c>
      <c r="AL9" s="116">
        <v>204.73321552448044</v>
      </c>
      <c r="AM9" s="116">
        <v>204.73321552448044</v>
      </c>
      <c r="AN9" s="116">
        <v>204.73321552448044</v>
      </c>
      <c r="AO9" s="116">
        <v>204.73321552448044</v>
      </c>
      <c r="AP9" s="116">
        <v>204.73321552448044</v>
      </c>
      <c r="AQ9" s="116">
        <v>204.73321552448044</v>
      </c>
      <c r="AR9" s="116">
        <v>204.73321552448044</v>
      </c>
      <c r="AS9" s="116">
        <v>204.73321552448044</v>
      </c>
      <c r="AT9" s="116">
        <v>204.73321552448044</v>
      </c>
      <c r="AU9" s="116">
        <v>204.73321552448044</v>
      </c>
      <c r="AV9" s="116">
        <v>204.73321552448044</v>
      </c>
      <c r="AW9" s="116">
        <v>204.73321552448044</v>
      </c>
      <c r="AX9" s="116">
        <v>204.73321552448044</v>
      </c>
      <c r="AY9" s="116">
        <v>204.73321552448044</v>
      </c>
    </row>
    <row r="10" spans="1:53">
      <c r="A10" s="117" t="s">
        <v>133</v>
      </c>
      <c r="B10" s="118">
        <v>1</v>
      </c>
      <c r="C10" s="105" t="s">
        <v>293</v>
      </c>
      <c r="D10" s="99">
        <v>109.1351697559827</v>
      </c>
      <c r="E10" s="99">
        <v>199.97123477488614</v>
      </c>
      <c r="F10" s="99">
        <v>157.92839689400745</v>
      </c>
      <c r="G10" s="99">
        <v>157.92839689400748</v>
      </c>
      <c r="H10" s="99">
        <v>157.92839689400745</v>
      </c>
      <c r="I10" s="99">
        <v>157.92839689400748</v>
      </c>
      <c r="J10" s="99">
        <v>0</v>
      </c>
      <c r="K10" s="99">
        <v>0</v>
      </c>
      <c r="L10" s="99">
        <v>0</v>
      </c>
      <c r="M10" s="99">
        <v>0</v>
      </c>
      <c r="N10" s="99">
        <v>157.92839689400748</v>
      </c>
      <c r="O10" s="99">
        <v>157.92839689400745</v>
      </c>
      <c r="P10" s="99">
        <v>157.92839689400748</v>
      </c>
      <c r="Q10" s="99">
        <v>84.106121100267785</v>
      </c>
      <c r="R10" s="99">
        <v>157.92839689400748</v>
      </c>
      <c r="S10" s="99">
        <v>84.106121100267785</v>
      </c>
      <c r="T10" s="99">
        <v>157.92839689400748</v>
      </c>
      <c r="U10" s="99">
        <v>157.92839689400745</v>
      </c>
      <c r="V10" s="99">
        <v>157.92839689400748</v>
      </c>
      <c r="W10" s="99">
        <v>84.106121100267785</v>
      </c>
      <c r="X10" s="99">
        <v>157.92839689400748</v>
      </c>
      <c r="Y10" s="99">
        <v>157.92839689400745</v>
      </c>
      <c r="Z10" s="99">
        <v>157.92839689400748</v>
      </c>
      <c r="AA10" s="99">
        <v>157.92839689400745</v>
      </c>
      <c r="AB10" s="99">
        <v>157.92839689400748</v>
      </c>
      <c r="AC10" s="99">
        <v>157.92839689400745</v>
      </c>
      <c r="AD10" s="99">
        <v>157.92839689400748</v>
      </c>
      <c r="AE10" s="99">
        <v>84.106121100267785</v>
      </c>
      <c r="AF10" s="99">
        <v>157.92839689400748</v>
      </c>
      <c r="AG10" s="99">
        <v>84.106121100267785</v>
      </c>
      <c r="AH10" s="99">
        <v>157.92839689400748</v>
      </c>
      <c r="AI10" s="99">
        <v>157.92839689400745</v>
      </c>
      <c r="AJ10" s="99">
        <v>157.92839689400748</v>
      </c>
      <c r="AK10" s="99">
        <v>84.106121100267785</v>
      </c>
      <c r="AL10" s="99">
        <v>157.92839689400748</v>
      </c>
      <c r="AM10" s="99">
        <v>157.92839689400745</v>
      </c>
      <c r="AN10" s="99">
        <v>157.92839689400748</v>
      </c>
      <c r="AO10" s="99">
        <v>157.92839689400745</v>
      </c>
      <c r="AP10" s="99">
        <v>157.92839689400748</v>
      </c>
      <c r="AQ10" s="99">
        <v>84.106121100267785</v>
      </c>
      <c r="AR10" s="99">
        <v>157.92839689400748</v>
      </c>
      <c r="AS10" s="99">
        <v>84.106121100267785</v>
      </c>
      <c r="AT10" s="99">
        <v>157.92839689400748</v>
      </c>
      <c r="AU10" s="99">
        <v>84.106121100267785</v>
      </c>
      <c r="AV10" s="99">
        <v>157.92839689400748</v>
      </c>
      <c r="AW10" s="99">
        <v>84.106121100267785</v>
      </c>
      <c r="AX10" s="99">
        <v>157.92839689400748</v>
      </c>
      <c r="AY10" s="99">
        <v>157.92839689400745</v>
      </c>
      <c r="AZ10" s="99">
        <v>157.92839689400748</v>
      </c>
    </row>
    <row r="11" spans="1:53">
      <c r="B11" s="118">
        <v>2</v>
      </c>
      <c r="C11" s="105" t="s">
        <v>293</v>
      </c>
      <c r="E11" s="99">
        <v>104.66483024401731</v>
      </c>
      <c r="F11" s="99">
        <v>0</v>
      </c>
      <c r="H11" s="99">
        <v>0</v>
      </c>
      <c r="I11" s="99">
        <v>0</v>
      </c>
      <c r="J11" s="99">
        <v>0</v>
      </c>
      <c r="K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73.822275793739664</v>
      </c>
      <c r="S11" s="99">
        <v>0</v>
      </c>
      <c r="T11" s="99">
        <v>73.822275793739664</v>
      </c>
      <c r="U11" s="99">
        <v>0</v>
      </c>
      <c r="V11" s="99">
        <v>0</v>
      </c>
      <c r="W11" s="99">
        <v>0</v>
      </c>
      <c r="X11" s="99">
        <v>73.822275793739664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0</v>
      </c>
      <c r="AF11" s="99">
        <v>73.822275793739664</v>
      </c>
      <c r="AG11" s="99">
        <v>0</v>
      </c>
      <c r="AI11" s="99">
        <v>0</v>
      </c>
      <c r="AJ11" s="99">
        <v>0</v>
      </c>
      <c r="AK11" s="99">
        <v>0</v>
      </c>
      <c r="AL11" s="99">
        <v>73.822275793739664</v>
      </c>
      <c r="AM11" s="99">
        <v>0</v>
      </c>
      <c r="AO11" s="99">
        <v>0</v>
      </c>
      <c r="AQ11" s="99">
        <v>0</v>
      </c>
      <c r="AS11" s="99">
        <v>0</v>
      </c>
      <c r="AT11" s="99">
        <v>73.822275793739664</v>
      </c>
      <c r="AU11" s="99">
        <v>0</v>
      </c>
      <c r="AW11" s="99">
        <v>0</v>
      </c>
      <c r="AX11" s="99">
        <v>73.822275793739664</v>
      </c>
      <c r="AY11" s="99">
        <v>0</v>
      </c>
      <c r="AZ11" s="99">
        <v>0</v>
      </c>
      <c r="BA11" s="99">
        <v>0</v>
      </c>
    </row>
    <row r="12" spans="1:53">
      <c r="B12" s="119">
        <v>3</v>
      </c>
      <c r="C12" s="105" t="s">
        <v>293</v>
      </c>
      <c r="D12" s="99">
        <v>0</v>
      </c>
      <c r="E12" s="99">
        <v>0</v>
      </c>
      <c r="H12" s="99">
        <v>0</v>
      </c>
      <c r="L12" s="99">
        <v>0</v>
      </c>
      <c r="M12" s="99">
        <v>0</v>
      </c>
      <c r="O12" s="99">
        <v>0</v>
      </c>
      <c r="S12" s="99">
        <v>0</v>
      </c>
      <c r="U12" s="99">
        <v>0</v>
      </c>
      <c r="AA12" s="99">
        <v>0</v>
      </c>
      <c r="AH12" s="99">
        <v>0</v>
      </c>
      <c r="AI12" s="99">
        <v>73.822275793739664</v>
      </c>
      <c r="AM12" s="99">
        <v>0</v>
      </c>
      <c r="AN12" s="99">
        <v>0</v>
      </c>
      <c r="AO12" s="99">
        <v>0</v>
      </c>
      <c r="AP12" s="99">
        <v>0</v>
      </c>
      <c r="AQ12" s="99">
        <v>0</v>
      </c>
      <c r="AS12" s="99">
        <v>73.822275793739664</v>
      </c>
      <c r="AV12" s="99">
        <v>0</v>
      </c>
      <c r="AW12" s="99">
        <v>73.822275793739664</v>
      </c>
      <c r="AY12" s="99">
        <v>0</v>
      </c>
    </row>
    <row r="13" spans="1:53">
      <c r="B13" s="119">
        <v>4</v>
      </c>
      <c r="C13" s="105" t="s">
        <v>293</v>
      </c>
      <c r="AG13" s="99">
        <v>0</v>
      </c>
      <c r="AJ13" s="99">
        <v>0</v>
      </c>
      <c r="AS13" s="99">
        <v>0</v>
      </c>
      <c r="BA13" s="99">
        <v>0</v>
      </c>
    </row>
    <row r="14" spans="1:53">
      <c r="A14" s="114" t="s">
        <v>134</v>
      </c>
      <c r="B14" s="120">
        <v>1</v>
      </c>
      <c r="C14" s="116" t="s">
        <v>293</v>
      </c>
      <c r="D14" s="116">
        <v>236.63658350953773</v>
      </c>
      <c r="E14" s="116">
        <f t="shared" ref="E14:AZ14" si="0">D$172*SUM(D$122:D$169)</f>
        <v>42.085642508010814</v>
      </c>
      <c r="F14" s="116">
        <f t="shared" si="0"/>
        <v>136.62390112052455</v>
      </c>
      <c r="G14" s="116">
        <f t="shared" si="0"/>
        <v>125.29423396399888</v>
      </c>
      <c r="H14" s="116">
        <f t="shared" si="0"/>
        <v>99.277157687021628</v>
      </c>
      <c r="I14" s="116">
        <f t="shared" si="0"/>
        <v>96.42050519245764</v>
      </c>
      <c r="J14" s="116">
        <f t="shared" si="0"/>
        <v>90.469695270823493</v>
      </c>
      <c r="K14" s="116">
        <f t="shared" si="0"/>
        <v>5.4220539422155651</v>
      </c>
      <c r="L14" s="116">
        <f t="shared" si="0"/>
        <v>0</v>
      </c>
      <c r="M14" s="116">
        <f t="shared" si="0"/>
        <v>0</v>
      </c>
      <c r="N14" s="116">
        <f t="shared" si="0"/>
        <v>0</v>
      </c>
      <c r="O14" s="116">
        <f t="shared" si="0"/>
        <v>76.023568834182996</v>
      </c>
      <c r="P14" s="116">
        <f t="shared" si="0"/>
        <v>77.082098704501817</v>
      </c>
      <c r="Q14" s="116">
        <f t="shared" si="0"/>
        <v>76.023568834182996</v>
      </c>
      <c r="R14" s="116">
        <f t="shared" si="0"/>
        <v>40.487003050715813</v>
      </c>
      <c r="S14" s="116">
        <f t="shared" si="0"/>
        <v>111.56013461765019</v>
      </c>
      <c r="T14" s="116">
        <f t="shared" si="0"/>
        <v>55.678865961441133</v>
      </c>
      <c r="U14" s="116">
        <f t="shared" si="0"/>
        <v>111.56013461765019</v>
      </c>
      <c r="V14" s="116">
        <f t="shared" si="0"/>
        <v>81.258150352071667</v>
      </c>
      <c r="W14" s="116">
        <f t="shared" si="0"/>
        <v>76.769925606394338</v>
      </c>
      <c r="X14" s="116">
        <f t="shared" si="0"/>
        <v>40.487003050715813</v>
      </c>
      <c r="Y14" s="116">
        <f t="shared" si="0"/>
        <v>111.56013461765019</v>
      </c>
      <c r="Z14" s="116">
        <f t="shared" si="0"/>
        <v>92.277970292624858</v>
      </c>
      <c r="AA14" s="116">
        <f t="shared" si="0"/>
        <v>83.796356437455159</v>
      </c>
      <c r="AB14" s="116">
        <f t="shared" si="0"/>
        <v>85.652811459599491</v>
      </c>
      <c r="AC14" s="116">
        <f t="shared" si="0"/>
        <v>79.825008711271195</v>
      </c>
      <c r="AD14" s="116">
        <f t="shared" si="0"/>
        <v>76.02356883418301</v>
      </c>
      <c r="AE14" s="116">
        <f t="shared" si="0"/>
        <v>76.023568834182996</v>
      </c>
      <c r="AF14" s="116">
        <f t="shared" si="0"/>
        <v>40.487003050715813</v>
      </c>
      <c r="AG14" s="116">
        <f t="shared" si="0"/>
        <v>111.56013461765019</v>
      </c>
      <c r="AH14" s="116">
        <f t="shared" si="0"/>
        <v>63.273742783981206</v>
      </c>
      <c r="AI14" s="116">
        <f t="shared" si="0"/>
        <v>76.023568834182996</v>
      </c>
      <c r="AJ14" s="116">
        <f t="shared" si="0"/>
        <v>111.56013461765021</v>
      </c>
      <c r="AK14" s="116">
        <f t="shared" si="0"/>
        <v>88.569130443041828</v>
      </c>
      <c r="AL14" s="116">
        <f t="shared" si="0"/>
        <v>44.478308096689439</v>
      </c>
      <c r="AM14" s="116">
        <f t="shared" si="0"/>
        <v>111.56013461765019</v>
      </c>
      <c r="AN14" s="116">
        <f t="shared" si="0"/>
        <v>94.415883525490003</v>
      </c>
      <c r="AO14" s="116">
        <f t="shared" si="0"/>
        <v>76.023568834182996</v>
      </c>
      <c r="AP14" s="116">
        <f t="shared" si="0"/>
        <v>76.02356883418301</v>
      </c>
      <c r="AQ14" s="116">
        <f t="shared" si="0"/>
        <v>76.023568834182996</v>
      </c>
      <c r="AR14" s="116">
        <f t="shared" si="0"/>
        <v>40.487003050715813</v>
      </c>
      <c r="AS14" s="116">
        <f t="shared" si="0"/>
        <v>76.023568834182996</v>
      </c>
      <c r="AT14" s="116">
        <f t="shared" si="0"/>
        <v>76.02356883418301</v>
      </c>
      <c r="AU14" s="116">
        <f t="shared" si="0"/>
        <v>111.56013461765019</v>
      </c>
      <c r="AV14" s="116">
        <f t="shared" si="0"/>
        <v>50.296957413108657</v>
      </c>
      <c r="AW14" s="116">
        <f t="shared" si="0"/>
        <v>76.023568834182996</v>
      </c>
      <c r="AX14" s="116">
        <f t="shared" si="0"/>
        <v>76.02356883418301</v>
      </c>
      <c r="AY14" s="116">
        <f t="shared" si="0"/>
        <v>111.56013461765019</v>
      </c>
      <c r="AZ14" s="109">
        <f t="shared" si="0"/>
        <v>84.593808171027618</v>
      </c>
      <c r="BA14" s="106">
        <f>SUM($E14:$AZ14)</f>
        <v>3620.2741227980137</v>
      </c>
    </row>
    <row r="15" spans="1:53">
      <c r="A15" s="121" t="s">
        <v>123</v>
      </c>
      <c r="B15" s="122">
        <v>1</v>
      </c>
      <c r="C15" s="123" t="s">
        <v>293</v>
      </c>
      <c r="D15" s="123">
        <v>130.8648302440173</v>
      </c>
      <c r="E15" s="123">
        <v>299.32606669812628</v>
      </c>
      <c r="F15" s="123">
        <v>236.39442900594929</v>
      </c>
      <c r="G15" s="123">
        <v>236.39442900594923</v>
      </c>
      <c r="H15" s="123">
        <v>236.39442900594929</v>
      </c>
      <c r="I15" s="123">
        <v>236.39442900594923</v>
      </c>
      <c r="J15" s="123">
        <v>0</v>
      </c>
      <c r="K15" s="123">
        <v>0</v>
      </c>
      <c r="L15" s="123">
        <v>0</v>
      </c>
      <c r="M15" s="123">
        <v>0</v>
      </c>
      <c r="N15" s="123">
        <v>236.39442900594923</v>
      </c>
      <c r="O15" s="123">
        <v>236.39442900594929</v>
      </c>
      <c r="P15" s="123">
        <v>236.39442900594923</v>
      </c>
      <c r="Q15" s="123">
        <v>125.89387889973221</v>
      </c>
      <c r="R15" s="123">
        <v>236.39442900594923</v>
      </c>
      <c r="S15" s="123">
        <v>125.89387889973221</v>
      </c>
      <c r="T15" s="123">
        <v>236.39442900594923</v>
      </c>
      <c r="U15" s="123">
        <v>236.39442900594929</v>
      </c>
      <c r="V15" s="123">
        <v>236.39442900594923</v>
      </c>
      <c r="W15" s="123">
        <v>125.89387889973221</v>
      </c>
      <c r="X15" s="123">
        <v>236.39442900594923</v>
      </c>
      <c r="Y15" s="123">
        <v>236.39442900594929</v>
      </c>
      <c r="Z15" s="123">
        <v>236.39442900594923</v>
      </c>
      <c r="AA15" s="123">
        <v>236.39442900594929</v>
      </c>
      <c r="AB15" s="123">
        <v>236.39442900594923</v>
      </c>
      <c r="AC15" s="123">
        <v>236.39442900594929</v>
      </c>
      <c r="AD15" s="123">
        <v>236.39442900594923</v>
      </c>
      <c r="AE15" s="123">
        <v>125.89387889973221</v>
      </c>
      <c r="AF15" s="123">
        <v>236.39442900594923</v>
      </c>
      <c r="AG15" s="123">
        <v>125.89387889973221</v>
      </c>
      <c r="AH15" s="123">
        <v>236.39442900594923</v>
      </c>
      <c r="AI15" s="123">
        <v>236.39442900594929</v>
      </c>
      <c r="AJ15" s="123">
        <v>236.39442900594923</v>
      </c>
      <c r="AK15" s="123">
        <v>125.89387889973221</v>
      </c>
      <c r="AL15" s="123">
        <v>236.39442900594923</v>
      </c>
      <c r="AM15" s="123">
        <v>236.39442900594929</v>
      </c>
      <c r="AN15" s="123">
        <v>236.39442900594923</v>
      </c>
      <c r="AO15" s="123">
        <v>236.39442900594929</v>
      </c>
      <c r="AP15" s="123">
        <v>236.39442900594923</v>
      </c>
      <c r="AQ15" s="123">
        <v>125.89387889973221</v>
      </c>
      <c r="AR15" s="123">
        <v>236.39442900594923</v>
      </c>
      <c r="AS15" s="123">
        <v>125.89387889973221</v>
      </c>
      <c r="AT15" s="123">
        <v>236.39442900594923</v>
      </c>
      <c r="AU15" s="123">
        <v>125.89387889973221</v>
      </c>
      <c r="AV15" s="123">
        <v>236.39442900594923</v>
      </c>
      <c r="AW15" s="123">
        <v>125.89387889973221</v>
      </c>
      <c r="AX15" s="123">
        <v>236.39442900594923</v>
      </c>
      <c r="AY15" s="123">
        <v>236.39442900594929</v>
      </c>
      <c r="AZ15" s="99">
        <v>236.39442900594923</v>
      </c>
    </row>
    <row r="16" spans="1:53">
      <c r="A16" s="109"/>
      <c r="B16" s="118">
        <v>2</v>
      </c>
      <c r="C16" s="108" t="s">
        <v>293</v>
      </c>
      <c r="D16" s="105"/>
      <c r="E16" s="109">
        <v>125.50441139210631</v>
      </c>
      <c r="F16" s="109">
        <v>0</v>
      </c>
      <c r="G16" s="109"/>
      <c r="H16" s="109">
        <v>0</v>
      </c>
      <c r="I16" s="109">
        <v>0</v>
      </c>
      <c r="J16" s="109">
        <v>0</v>
      </c>
      <c r="K16" s="109">
        <v>0</v>
      </c>
      <c r="L16" s="109"/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110.50055010621708</v>
      </c>
      <c r="S16" s="109">
        <v>0</v>
      </c>
      <c r="T16" s="109">
        <v>110.50055010621708</v>
      </c>
      <c r="U16" s="109">
        <v>0</v>
      </c>
      <c r="V16" s="109">
        <v>0</v>
      </c>
      <c r="W16" s="109">
        <v>0</v>
      </c>
      <c r="X16" s="109">
        <v>110.50055010621708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/>
      <c r="AF16" s="109">
        <v>110.50055010621708</v>
      </c>
      <c r="AG16" s="109">
        <v>0</v>
      </c>
      <c r="AH16" s="109"/>
      <c r="AI16" s="109">
        <v>0</v>
      </c>
      <c r="AJ16" s="109">
        <v>0</v>
      </c>
      <c r="AK16" s="109">
        <v>0</v>
      </c>
      <c r="AL16" s="109">
        <v>110.50055010621708</v>
      </c>
      <c r="AM16" s="109">
        <v>0</v>
      </c>
      <c r="AN16" s="109"/>
      <c r="AO16" s="109">
        <v>0</v>
      </c>
      <c r="AP16" s="109"/>
      <c r="AQ16" s="109">
        <v>0</v>
      </c>
      <c r="AR16" s="109"/>
      <c r="AS16" s="109">
        <v>0</v>
      </c>
      <c r="AT16" s="109">
        <v>110.50055010621708</v>
      </c>
      <c r="AU16" s="109">
        <v>0</v>
      </c>
      <c r="AV16" s="109"/>
      <c r="AW16" s="109">
        <v>0</v>
      </c>
      <c r="AX16" s="109">
        <v>110.50055010621708</v>
      </c>
      <c r="AY16" s="109">
        <v>0</v>
      </c>
      <c r="AZ16" s="99">
        <v>0</v>
      </c>
      <c r="BA16" s="99">
        <v>0</v>
      </c>
    </row>
    <row r="17" spans="1:53">
      <c r="A17" s="109"/>
      <c r="B17" s="118">
        <v>3</v>
      </c>
      <c r="C17" s="108" t="s">
        <v>293</v>
      </c>
      <c r="D17" s="105">
        <v>0</v>
      </c>
      <c r="E17" s="109">
        <v>0</v>
      </c>
      <c r="F17" s="109"/>
      <c r="G17" s="109"/>
      <c r="H17" s="109">
        <v>0</v>
      </c>
      <c r="I17" s="109"/>
      <c r="J17" s="109"/>
      <c r="K17" s="109"/>
      <c r="L17" s="109">
        <v>0</v>
      </c>
      <c r="M17" s="109">
        <v>0</v>
      </c>
      <c r="N17" s="109"/>
      <c r="O17" s="109">
        <v>0</v>
      </c>
      <c r="P17" s="109"/>
      <c r="Q17" s="109"/>
      <c r="R17" s="109"/>
      <c r="S17" s="109">
        <v>0</v>
      </c>
      <c r="T17" s="109"/>
      <c r="U17" s="109">
        <v>0</v>
      </c>
      <c r="V17" s="109"/>
      <c r="W17" s="109"/>
      <c r="X17" s="109"/>
      <c r="Y17" s="109"/>
      <c r="Z17" s="109"/>
      <c r="AA17" s="109">
        <v>0</v>
      </c>
      <c r="AB17" s="109"/>
      <c r="AC17" s="109"/>
      <c r="AD17" s="109"/>
      <c r="AE17" s="109"/>
      <c r="AF17" s="109"/>
      <c r="AG17" s="109"/>
      <c r="AH17" s="109">
        <v>0</v>
      </c>
      <c r="AI17" s="109">
        <v>110.50055010621708</v>
      </c>
      <c r="AJ17" s="109"/>
      <c r="AK17" s="109"/>
      <c r="AL17" s="109"/>
      <c r="AM17" s="109">
        <v>0</v>
      </c>
      <c r="AN17" s="109">
        <v>0</v>
      </c>
      <c r="AO17" s="109">
        <v>0</v>
      </c>
      <c r="AP17" s="109">
        <v>0</v>
      </c>
      <c r="AQ17" s="109">
        <v>0</v>
      </c>
      <c r="AR17" s="109"/>
      <c r="AS17" s="109">
        <v>110.50055010621708</v>
      </c>
      <c r="AT17" s="109"/>
      <c r="AU17" s="109"/>
      <c r="AV17" s="109">
        <v>0</v>
      </c>
      <c r="AW17" s="109">
        <v>110.50055010621708</v>
      </c>
      <c r="AX17" s="109"/>
      <c r="AY17" s="109">
        <v>0</v>
      </c>
    </row>
    <row r="18" spans="1:53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>
        <v>0</v>
      </c>
      <c r="AH18" s="124"/>
      <c r="AI18" s="124"/>
      <c r="AJ18" s="124">
        <v>0</v>
      </c>
      <c r="AK18" s="124"/>
      <c r="AL18" s="124"/>
      <c r="AM18" s="124"/>
      <c r="AN18" s="124"/>
      <c r="AO18" s="124"/>
      <c r="AP18" s="124"/>
      <c r="AQ18" s="124"/>
      <c r="AR18" s="124"/>
      <c r="AS18" s="124">
        <v>0</v>
      </c>
      <c r="AT18" s="124"/>
      <c r="AU18" s="124"/>
      <c r="AV18" s="124"/>
      <c r="AW18" s="124"/>
      <c r="AX18" s="124"/>
      <c r="AY18" s="124"/>
      <c r="BA18" s="99">
        <v>0</v>
      </c>
    </row>
    <row r="20" spans="1:53">
      <c r="A20" s="101" t="s">
        <v>294</v>
      </c>
    </row>
    <row r="21" spans="1:53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3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3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3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3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3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3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3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3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3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3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3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194.99999999999997</v>
      </c>
      <c r="D95" s="109">
        <v>204.73321552448044</v>
      </c>
      <c r="E95" s="109">
        <v>204.73321552448044</v>
      </c>
      <c r="F95" s="109">
        <v>204.73321552448044</v>
      </c>
      <c r="G95" s="109">
        <v>204.73321552448044</v>
      </c>
      <c r="H95" s="109">
        <v>0</v>
      </c>
      <c r="I95" s="109">
        <v>0</v>
      </c>
      <c r="J95" s="109">
        <v>0</v>
      </c>
      <c r="K95" s="109">
        <v>0</v>
      </c>
      <c r="L95" s="109">
        <v>204.73321552448044</v>
      </c>
      <c r="M95" s="109">
        <v>204.73321552448044</v>
      </c>
      <c r="N95" s="109">
        <v>204.73321552448044</v>
      </c>
      <c r="O95" s="109">
        <v>204.73321552448044</v>
      </c>
      <c r="P95" s="109">
        <v>204.73321552448044</v>
      </c>
      <c r="Q95" s="109">
        <v>204.73321552448044</v>
      </c>
      <c r="R95" s="109">
        <v>204.73321552448044</v>
      </c>
      <c r="S95" s="109">
        <v>204.73321552448044</v>
      </c>
      <c r="T95" s="109">
        <v>204.73321552448044</v>
      </c>
      <c r="U95" s="109">
        <v>204.73321552448044</v>
      </c>
      <c r="V95" s="109">
        <v>204.73321552448044</v>
      </c>
      <c r="W95" s="109">
        <v>204.73321552448044</v>
      </c>
      <c r="X95" s="109">
        <v>204.73321552448044</v>
      </c>
      <c r="Y95" s="109">
        <v>204.73321552448044</v>
      </c>
      <c r="Z95" s="109">
        <v>204.73321552448044</v>
      </c>
      <c r="AA95" s="109">
        <v>204.73321552448044</v>
      </c>
      <c r="AB95" s="109">
        <v>204.73321552448044</v>
      </c>
      <c r="AC95" s="109">
        <v>204.73321552448044</v>
      </c>
      <c r="AD95" s="109">
        <v>204.73321552448044</v>
      </c>
      <c r="AE95" s="109">
        <v>204.73321552448044</v>
      </c>
      <c r="AF95" s="109">
        <v>204.73321552448044</v>
      </c>
      <c r="AG95" s="109">
        <v>204.73321552448044</v>
      </c>
      <c r="AH95" s="109">
        <v>204.73321552448044</v>
      </c>
      <c r="AI95" s="109">
        <v>204.73321552448044</v>
      </c>
      <c r="AJ95" s="109">
        <v>204.73321552448044</v>
      </c>
      <c r="AK95" s="109">
        <v>204.73321552448044</v>
      </c>
      <c r="AL95" s="109">
        <v>204.73321552448044</v>
      </c>
      <c r="AM95" s="109">
        <v>204.73321552448044</v>
      </c>
      <c r="AN95" s="109">
        <v>204.73321552448044</v>
      </c>
      <c r="AO95" s="109">
        <v>204.73321552448044</v>
      </c>
      <c r="AP95" s="109">
        <v>204.73321552448044</v>
      </c>
      <c r="AQ95" s="109">
        <v>204.73321552448044</v>
      </c>
      <c r="AR95" s="109">
        <v>204.73321552448044</v>
      </c>
      <c r="AS95" s="109">
        <v>204.73321552448044</v>
      </c>
      <c r="AT95" s="109">
        <v>204.73321552448044</v>
      </c>
      <c r="AU95" s="109">
        <v>204.73321552448044</v>
      </c>
      <c r="AV95" s="109">
        <v>204.73321552448044</v>
      </c>
      <c r="AW95" s="109">
        <v>204.73321552448044</v>
      </c>
      <c r="AX95" s="109">
        <v>204.73321552448044</v>
      </c>
      <c r="AY95" s="109">
        <v>204.73321552448044</v>
      </c>
    </row>
    <row r="96" spans="1:52">
      <c r="A96" s="108"/>
      <c r="B96" s="119">
        <v>2</v>
      </c>
      <c r="C96" s="109">
        <v>194.99999999999997</v>
      </c>
      <c r="D96" s="109">
        <v>194.99999999999997</v>
      </c>
      <c r="E96" s="109">
        <v>204.73321552448044</v>
      </c>
      <c r="F96" s="109">
        <v>204.73321552448044</v>
      </c>
      <c r="G96" s="109">
        <v>204.73321552448044</v>
      </c>
      <c r="H96" s="109">
        <v>204.73321552448044</v>
      </c>
      <c r="I96" s="109">
        <v>0</v>
      </c>
      <c r="J96" s="109">
        <v>0</v>
      </c>
      <c r="K96" s="109">
        <v>0</v>
      </c>
      <c r="L96" s="109">
        <v>0</v>
      </c>
      <c r="M96" s="109">
        <v>57.733215524480443</v>
      </c>
      <c r="N96" s="109">
        <v>100.46643104896089</v>
      </c>
      <c r="O96" s="109">
        <v>95.199646573441328</v>
      </c>
      <c r="P96" s="109">
        <v>92.93286209792177</v>
      </c>
      <c r="Q96" s="109">
        <v>129.66607762240221</v>
      </c>
      <c r="R96" s="109">
        <v>150.39929314688266</v>
      </c>
      <c r="S96" s="109">
        <v>159.1325086713631</v>
      </c>
      <c r="T96" s="109">
        <v>181.86572419584354</v>
      </c>
      <c r="U96" s="109">
        <v>204.73321552448044</v>
      </c>
      <c r="V96" s="109">
        <v>204.73321552448044</v>
      </c>
      <c r="W96" s="109">
        <v>199.06537076928487</v>
      </c>
      <c r="X96" s="109">
        <v>204.73321552448044</v>
      </c>
      <c r="Y96" s="109">
        <v>204.73321552448044</v>
      </c>
      <c r="Z96" s="109">
        <v>204.73321552448044</v>
      </c>
      <c r="AA96" s="109">
        <v>204.73321552448044</v>
      </c>
      <c r="AB96" s="109">
        <v>204.73321552448044</v>
      </c>
      <c r="AC96" s="109">
        <v>204.73321552448044</v>
      </c>
      <c r="AD96" s="109">
        <v>204.73321552448044</v>
      </c>
      <c r="AE96" s="109">
        <v>204.73321552448044</v>
      </c>
      <c r="AF96" s="109">
        <v>204.73321552448044</v>
      </c>
      <c r="AG96" s="109">
        <v>204.73321552448044</v>
      </c>
      <c r="AH96" s="109">
        <v>204.73321552448044</v>
      </c>
      <c r="AI96" s="109">
        <v>204.73321552448044</v>
      </c>
      <c r="AJ96" s="109">
        <v>204.73321552448044</v>
      </c>
      <c r="AK96" s="109">
        <v>204.73321552448044</v>
      </c>
      <c r="AL96" s="109">
        <v>204.73321552448044</v>
      </c>
      <c r="AM96" s="109">
        <v>204.73321552448044</v>
      </c>
      <c r="AN96" s="109">
        <v>204.73321552448044</v>
      </c>
      <c r="AO96" s="109">
        <v>204.73321552448044</v>
      </c>
      <c r="AP96" s="109">
        <v>204.73321552448044</v>
      </c>
      <c r="AQ96" s="109">
        <v>204.73321552448044</v>
      </c>
      <c r="AR96" s="109">
        <v>204.73321552448044</v>
      </c>
      <c r="AS96" s="109">
        <v>204.73321552448044</v>
      </c>
      <c r="AT96" s="109">
        <v>204.73321552448044</v>
      </c>
      <c r="AU96" s="109">
        <v>204.73321552448044</v>
      </c>
      <c r="AV96" s="109">
        <v>204.73321552448044</v>
      </c>
      <c r="AW96" s="109">
        <v>204.73321552448044</v>
      </c>
      <c r="AX96" s="109">
        <v>204.73321552448044</v>
      </c>
      <c r="AY96" s="109">
        <v>204.73321552448044</v>
      </c>
    </row>
    <row r="97" spans="1:52">
      <c r="A97" s="108"/>
      <c r="B97" s="126">
        <v>3</v>
      </c>
      <c r="C97" s="109">
        <v>194.99999999999997</v>
      </c>
      <c r="D97" s="109">
        <v>194.99999999999997</v>
      </c>
      <c r="E97" s="109">
        <v>194.99999999999997</v>
      </c>
      <c r="F97" s="109">
        <v>204.73321552448044</v>
      </c>
      <c r="G97" s="109">
        <v>204.73321552448044</v>
      </c>
      <c r="H97" s="109">
        <v>204.73321552448044</v>
      </c>
      <c r="I97" s="109">
        <v>204.73321552448044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32.865724195843541</v>
      </c>
      <c r="V97" s="109">
        <v>4.5989397203239832</v>
      </c>
      <c r="W97" s="109">
        <v>0</v>
      </c>
      <c r="X97" s="109">
        <v>16.065370769284868</v>
      </c>
      <c r="Y97" s="109">
        <v>70.798586293765311</v>
      </c>
      <c r="Z97" s="109">
        <v>90.531801818245754</v>
      </c>
      <c r="AA97" s="109">
        <v>122.2650173427262</v>
      </c>
      <c r="AB97" s="109">
        <v>135.99823286720664</v>
      </c>
      <c r="AC97" s="109">
        <v>196.73144839168708</v>
      </c>
      <c r="AD97" s="109">
        <v>204.73321552448044</v>
      </c>
      <c r="AE97" s="109">
        <v>204.73321552448044</v>
      </c>
      <c r="AF97" s="109">
        <v>204.73321552448044</v>
      </c>
      <c r="AG97" s="109">
        <v>204.73321552448044</v>
      </c>
      <c r="AH97" s="109">
        <v>204.73321552448044</v>
      </c>
      <c r="AI97" s="109">
        <v>204.73321552448044</v>
      </c>
      <c r="AJ97" s="109">
        <v>204.73321552448044</v>
      </c>
      <c r="AK97" s="109">
        <v>204.73321552448044</v>
      </c>
      <c r="AL97" s="109">
        <v>204.73321552448044</v>
      </c>
      <c r="AM97" s="109">
        <v>204.73321552448044</v>
      </c>
      <c r="AN97" s="109">
        <v>204.73321552448044</v>
      </c>
      <c r="AO97" s="109">
        <v>204.73321552448044</v>
      </c>
      <c r="AP97" s="109">
        <v>204.73321552448044</v>
      </c>
      <c r="AQ97" s="109">
        <v>204.73321552448044</v>
      </c>
      <c r="AR97" s="109">
        <v>204.73321552448044</v>
      </c>
      <c r="AS97" s="109">
        <v>204.73321552448044</v>
      </c>
      <c r="AT97" s="109">
        <v>204.73321552448044</v>
      </c>
      <c r="AU97" s="109">
        <v>204.73321552448044</v>
      </c>
      <c r="AV97" s="109">
        <v>204.73321552448044</v>
      </c>
      <c r="AW97" s="109">
        <v>204.73321552448044</v>
      </c>
      <c r="AX97" s="109">
        <v>204.73321552448044</v>
      </c>
      <c r="AY97" s="109">
        <v>204.73321552448044</v>
      </c>
    </row>
    <row r="98" spans="1:52">
      <c r="A98" s="108"/>
      <c r="B98" s="129">
        <v>4</v>
      </c>
      <c r="C98" s="105">
        <v>194.99999999999997</v>
      </c>
      <c r="D98" s="109">
        <v>194.99999999999997</v>
      </c>
      <c r="E98" s="109">
        <v>194.99999999999997</v>
      </c>
      <c r="F98" s="109">
        <v>194.99999999999997</v>
      </c>
      <c r="G98" s="109">
        <v>204.73321552448044</v>
      </c>
      <c r="H98" s="109">
        <v>204.73321552448044</v>
      </c>
      <c r="I98" s="109">
        <v>204.73321552448044</v>
      </c>
      <c r="J98" s="109">
        <v>204.73321552448044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10.731448391687081</v>
      </c>
      <c r="AE98" s="109">
        <v>13.464663916167524</v>
      </c>
      <c r="AF98" s="109">
        <v>36.197879440647966</v>
      </c>
      <c r="AG98" s="109">
        <v>79.931094965128409</v>
      </c>
      <c r="AH98" s="109">
        <v>93.664310489608852</v>
      </c>
      <c r="AI98" s="109">
        <v>53.397526014089294</v>
      </c>
      <c r="AJ98" s="109">
        <v>45.130741538569737</v>
      </c>
      <c r="AK98" s="109">
        <v>29.863957063050179</v>
      </c>
      <c r="AL98" s="109">
        <v>18.597172587530622</v>
      </c>
      <c r="AM98" s="109">
        <v>48.330388112011065</v>
      </c>
      <c r="AN98" s="109">
        <v>106.06360363649151</v>
      </c>
      <c r="AO98" s="109">
        <v>143.79681916097195</v>
      </c>
      <c r="AP98" s="109">
        <v>159.53003468545239</v>
      </c>
      <c r="AQ98" s="109">
        <v>165.26325020993283</v>
      </c>
      <c r="AR98" s="109">
        <v>140.99646573441328</v>
      </c>
      <c r="AS98" s="109">
        <v>146.72968125889372</v>
      </c>
      <c r="AT98" s="109">
        <v>161.46289678337416</v>
      </c>
      <c r="AU98" s="109">
        <v>171.19611230785461</v>
      </c>
      <c r="AV98" s="109">
        <v>204.73321552448044</v>
      </c>
      <c r="AW98" s="109">
        <v>168.46643104896089</v>
      </c>
      <c r="AX98" s="109">
        <v>172.19964657344133</v>
      </c>
      <c r="AY98" s="109">
        <v>165.93286209792177</v>
      </c>
    </row>
    <row r="99" spans="1:52">
      <c r="A99" s="127"/>
      <c r="B99" s="131" t="s">
        <v>296</v>
      </c>
      <c r="C99" s="124">
        <v>25.999999999999744</v>
      </c>
      <c r="D99" s="124">
        <v>12.999999999999972</v>
      </c>
      <c r="E99" s="124">
        <v>12.999999999999972</v>
      </c>
      <c r="F99" s="124">
        <v>16.999999999999972</v>
      </c>
      <c r="G99" s="124">
        <v>10.999999999999972</v>
      </c>
      <c r="H99" s="124">
        <v>1.7332155244804426</v>
      </c>
      <c r="I99" s="124">
        <v>3.7332155244804426</v>
      </c>
      <c r="J99" s="124">
        <v>21.733215524480443</v>
      </c>
      <c r="K99" s="124">
        <v>38.733215524480443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10.196112307854605</v>
      </c>
      <c r="AW99" s="124">
        <v>0</v>
      </c>
      <c r="AX99" s="124">
        <v>0</v>
      </c>
      <c r="AY99" s="124">
        <v>0</v>
      </c>
      <c r="AZ99" s="106">
        <f>SUM($D99:$AY99)</f>
        <v>130.12897440577626</v>
      </c>
    </row>
    <row r="100" spans="1:52">
      <c r="A100" s="130" t="s">
        <v>133</v>
      </c>
      <c r="B100" s="118">
        <v>1</v>
      </c>
      <c r="C100" s="105">
        <v>213.8</v>
      </c>
      <c r="D100" s="105">
        <v>109.1351697559827</v>
      </c>
      <c r="E100" s="105">
        <v>199.97123477488614</v>
      </c>
      <c r="F100" s="105">
        <v>157.92839689400745</v>
      </c>
      <c r="G100" s="105">
        <v>157.92839689400748</v>
      </c>
      <c r="H100" s="105">
        <v>157.92839689400745</v>
      </c>
      <c r="I100" s="105">
        <v>157.92839689400748</v>
      </c>
      <c r="J100" s="105">
        <v>0</v>
      </c>
      <c r="K100" s="105">
        <v>0</v>
      </c>
      <c r="L100" s="105">
        <v>0</v>
      </c>
      <c r="M100" s="105">
        <v>0</v>
      </c>
      <c r="N100" s="105">
        <v>157.92839689400748</v>
      </c>
      <c r="O100" s="105">
        <v>157.92839689400745</v>
      </c>
      <c r="P100" s="105">
        <v>157.92839689400748</v>
      </c>
      <c r="Q100" s="105">
        <v>84.106121100267785</v>
      </c>
      <c r="R100" s="105">
        <v>157.92839689400748</v>
      </c>
      <c r="S100" s="105">
        <v>84.106121100267785</v>
      </c>
      <c r="T100" s="105">
        <v>157.92839689400748</v>
      </c>
      <c r="U100" s="105">
        <v>157.92839689400745</v>
      </c>
      <c r="V100" s="105">
        <v>157.92839689400748</v>
      </c>
      <c r="W100" s="105">
        <v>84.106121100267785</v>
      </c>
      <c r="X100" s="105">
        <v>157.92839689400748</v>
      </c>
      <c r="Y100" s="105">
        <v>157.92839689400745</v>
      </c>
      <c r="Z100" s="105">
        <v>157.92839689400748</v>
      </c>
      <c r="AA100" s="105">
        <v>157.92839689400745</v>
      </c>
      <c r="AB100" s="105">
        <v>157.92839689400748</v>
      </c>
      <c r="AC100" s="105">
        <v>157.92839689400745</v>
      </c>
      <c r="AD100" s="105">
        <v>157.92839689400748</v>
      </c>
      <c r="AE100" s="105">
        <v>84.106121100267785</v>
      </c>
      <c r="AF100" s="105">
        <v>157.92839689400748</v>
      </c>
      <c r="AG100" s="105">
        <v>84.106121100267785</v>
      </c>
      <c r="AH100" s="105">
        <v>157.92839689400748</v>
      </c>
      <c r="AI100" s="105">
        <v>157.92839689400745</v>
      </c>
      <c r="AJ100" s="105">
        <v>157.92839689400748</v>
      </c>
      <c r="AK100" s="105">
        <v>84.106121100267785</v>
      </c>
      <c r="AL100" s="105">
        <v>157.92839689400748</v>
      </c>
      <c r="AM100" s="105">
        <v>157.92839689400745</v>
      </c>
      <c r="AN100" s="105">
        <v>157.92839689400748</v>
      </c>
      <c r="AO100" s="105">
        <v>157.92839689400745</v>
      </c>
      <c r="AP100" s="105">
        <v>157.92839689400748</v>
      </c>
      <c r="AQ100" s="105">
        <v>84.106121100267785</v>
      </c>
      <c r="AR100" s="105">
        <v>157.92839689400748</v>
      </c>
      <c r="AS100" s="105">
        <v>84.106121100267785</v>
      </c>
      <c r="AT100" s="105">
        <v>157.92839689400748</v>
      </c>
      <c r="AU100" s="105">
        <v>84.106121100267785</v>
      </c>
      <c r="AV100" s="105">
        <v>157.92839689400748</v>
      </c>
      <c r="AW100" s="105">
        <v>84.106121100267785</v>
      </c>
      <c r="AX100" s="105">
        <v>157.92839689400748</v>
      </c>
      <c r="AY100" s="105">
        <v>157.92839689400745</v>
      </c>
    </row>
    <row r="101" spans="1:52">
      <c r="A101" s="108"/>
      <c r="B101" s="118">
        <v>2</v>
      </c>
      <c r="C101" s="105">
        <v>104.66483024401731</v>
      </c>
      <c r="D101" s="105">
        <v>68.464830244017321</v>
      </c>
      <c r="E101" s="105">
        <v>129.26483024401733</v>
      </c>
      <c r="F101" s="105">
        <v>159.23606501890347</v>
      </c>
      <c r="G101" s="105">
        <v>128.16446191291092</v>
      </c>
      <c r="H101" s="105">
        <v>118.0928588069184</v>
      </c>
      <c r="I101" s="105">
        <v>127.02125570092585</v>
      </c>
      <c r="J101" s="105">
        <v>87.949652594933326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0</v>
      </c>
      <c r="Q101" s="105">
        <v>0</v>
      </c>
      <c r="R101" s="105">
        <v>73.822275793739664</v>
      </c>
      <c r="S101" s="105">
        <v>95.750672687747141</v>
      </c>
      <c r="T101" s="105">
        <v>90.67906958175459</v>
      </c>
      <c r="U101" s="105">
        <v>53.607466475762067</v>
      </c>
      <c r="V101" s="105">
        <v>7.5358633697695154</v>
      </c>
      <c r="W101" s="105">
        <v>0</v>
      </c>
      <c r="X101" s="105">
        <v>73.822275793739664</v>
      </c>
      <c r="Y101" s="105">
        <v>29.750672687747141</v>
      </c>
      <c r="Z101" s="105">
        <v>25.67906958175459</v>
      </c>
      <c r="AA101" s="105">
        <v>0</v>
      </c>
      <c r="AB101" s="105">
        <v>0</v>
      </c>
      <c r="AC101" s="105">
        <v>0</v>
      </c>
      <c r="AD101" s="105">
        <v>0</v>
      </c>
      <c r="AE101" s="105">
        <v>0</v>
      </c>
      <c r="AF101" s="105">
        <v>73.822275793739664</v>
      </c>
      <c r="AG101" s="105">
        <v>0</v>
      </c>
      <c r="AH101" s="105">
        <v>0</v>
      </c>
      <c r="AI101" s="105">
        <v>0</v>
      </c>
      <c r="AJ101" s="105">
        <v>48.750672687747112</v>
      </c>
      <c r="AK101" s="105">
        <v>0</v>
      </c>
      <c r="AL101" s="105">
        <v>73.822275793739664</v>
      </c>
      <c r="AM101" s="105">
        <v>52.750672687747141</v>
      </c>
      <c r="AN101" s="105">
        <v>0</v>
      </c>
      <c r="AO101" s="105">
        <v>0</v>
      </c>
      <c r="AP101" s="105">
        <v>0</v>
      </c>
      <c r="AQ101" s="105">
        <v>0</v>
      </c>
      <c r="AR101" s="105">
        <v>0</v>
      </c>
      <c r="AS101" s="105">
        <v>0</v>
      </c>
      <c r="AT101" s="105">
        <v>73.822275793739664</v>
      </c>
      <c r="AU101" s="105">
        <v>47.750672687747141</v>
      </c>
      <c r="AV101" s="105">
        <v>0</v>
      </c>
      <c r="AW101" s="105">
        <v>0</v>
      </c>
      <c r="AX101" s="105">
        <v>73.822275793739664</v>
      </c>
      <c r="AY101" s="105">
        <v>35.750672687747141</v>
      </c>
    </row>
    <row r="102" spans="1:52">
      <c r="A102" s="108"/>
      <c r="B102" s="119">
        <v>3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73.822275793739664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73.822275793739664</v>
      </c>
      <c r="AT102" s="105">
        <v>0</v>
      </c>
      <c r="AU102" s="105">
        <v>0</v>
      </c>
      <c r="AV102" s="105">
        <v>0</v>
      </c>
      <c r="AW102" s="105">
        <v>73.822275793739664</v>
      </c>
      <c r="AX102" s="105">
        <v>0</v>
      </c>
      <c r="AY102" s="105">
        <v>0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97.081674303240746</v>
      </c>
      <c r="D109" s="105">
        <v>236.63658350953773</v>
      </c>
      <c r="E109" s="105">
        <v>42.085642508010814</v>
      </c>
      <c r="F109" s="105">
        <v>136.62390112052455</v>
      </c>
      <c r="G109" s="105">
        <v>125.29423396399888</v>
      </c>
      <c r="H109" s="105">
        <v>99.277157687021628</v>
      </c>
      <c r="I109" s="105">
        <v>96.42050519245764</v>
      </c>
      <c r="J109" s="105">
        <v>90.469695270823493</v>
      </c>
      <c r="K109" s="105">
        <v>5.4220539422155651</v>
      </c>
      <c r="L109" s="105">
        <v>0</v>
      </c>
      <c r="M109" s="105">
        <v>0</v>
      </c>
      <c r="N109" s="105">
        <v>0</v>
      </c>
      <c r="O109" s="105">
        <v>76.023568834182996</v>
      </c>
      <c r="P109" s="105">
        <v>77.082098704501817</v>
      </c>
      <c r="Q109" s="105">
        <v>76.023568834182996</v>
      </c>
      <c r="R109" s="105">
        <v>40.487003050715813</v>
      </c>
      <c r="S109" s="105">
        <v>111.56013461765019</v>
      </c>
      <c r="T109" s="105">
        <v>55.678865961441133</v>
      </c>
      <c r="U109" s="105">
        <v>111.56013461765019</v>
      </c>
      <c r="V109" s="105">
        <v>81.258150352071667</v>
      </c>
      <c r="W109" s="105">
        <v>76.769925606394338</v>
      </c>
      <c r="X109" s="105">
        <v>40.487003050715813</v>
      </c>
      <c r="Y109" s="105">
        <v>111.56013461765019</v>
      </c>
      <c r="Z109" s="105">
        <v>92.277970292624858</v>
      </c>
      <c r="AA109" s="105">
        <v>83.796356437455159</v>
      </c>
      <c r="AB109" s="105">
        <v>85.652811459599491</v>
      </c>
      <c r="AC109" s="105">
        <v>79.825008711271195</v>
      </c>
      <c r="AD109" s="105">
        <v>76.02356883418301</v>
      </c>
      <c r="AE109" s="105">
        <v>76.023568834182996</v>
      </c>
      <c r="AF109" s="105">
        <v>40.487003050715813</v>
      </c>
      <c r="AG109" s="105">
        <v>111.56013461765019</v>
      </c>
      <c r="AH109" s="105">
        <v>63.273742783981206</v>
      </c>
      <c r="AI109" s="105">
        <v>76.023568834182996</v>
      </c>
      <c r="AJ109" s="105">
        <v>111.56013461765021</v>
      </c>
      <c r="AK109" s="105">
        <v>88.569130443041828</v>
      </c>
      <c r="AL109" s="105">
        <v>44.478308096689439</v>
      </c>
      <c r="AM109" s="105">
        <v>111.56013461765019</v>
      </c>
      <c r="AN109" s="105">
        <v>94.415883525490003</v>
      </c>
      <c r="AO109" s="105">
        <v>76.023568834182996</v>
      </c>
      <c r="AP109" s="105">
        <v>76.02356883418301</v>
      </c>
      <c r="AQ109" s="105">
        <v>76.023568834182996</v>
      </c>
      <c r="AR109" s="105">
        <v>40.487003050715813</v>
      </c>
      <c r="AS109" s="105">
        <v>76.023568834182996</v>
      </c>
      <c r="AT109" s="105">
        <v>76.02356883418301</v>
      </c>
      <c r="AU109" s="105">
        <v>111.56013461765019</v>
      </c>
      <c r="AV109" s="105">
        <v>50.296957413108657</v>
      </c>
      <c r="AW109" s="105">
        <v>76.023568834182996</v>
      </c>
      <c r="AX109" s="105">
        <v>76.02356883418301</v>
      </c>
      <c r="AY109" s="105">
        <v>111.56013461765019</v>
      </c>
    </row>
    <row r="110" spans="1:52">
      <c r="A110" s="108"/>
      <c r="B110" s="118">
        <v>2</v>
      </c>
      <c r="C110" s="105">
        <v>0</v>
      </c>
      <c r="D110" s="105">
        <v>0</v>
      </c>
      <c r="E110" s="105">
        <v>112.63658350953773</v>
      </c>
      <c r="F110" s="105">
        <v>22.722226017548543</v>
      </c>
      <c r="G110" s="105">
        <v>18.346127138073086</v>
      </c>
      <c r="H110" s="105">
        <v>1.6403611020719637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  <c r="AY110" s="105">
        <v>0</v>
      </c>
    </row>
    <row r="111" spans="1:52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>
        <v>300.1192416361236</v>
      </c>
      <c r="D122" s="105">
        <v>130.8648302440173</v>
      </c>
      <c r="E122" s="105">
        <v>299.32606669812628</v>
      </c>
      <c r="F122" s="105">
        <v>236.39442900594929</v>
      </c>
      <c r="G122" s="105">
        <v>236.39442900594923</v>
      </c>
      <c r="H122" s="105">
        <v>236.39442900594929</v>
      </c>
      <c r="I122" s="105">
        <v>236.39442900594923</v>
      </c>
      <c r="J122" s="105">
        <v>0</v>
      </c>
      <c r="K122" s="105">
        <v>0</v>
      </c>
      <c r="L122" s="105">
        <v>0</v>
      </c>
      <c r="M122" s="105">
        <v>0</v>
      </c>
      <c r="N122" s="105">
        <v>236.39442900594923</v>
      </c>
      <c r="O122" s="105">
        <v>236.39442900594929</v>
      </c>
      <c r="P122" s="105">
        <v>236.39442900594923</v>
      </c>
      <c r="Q122" s="105">
        <v>125.89387889973221</v>
      </c>
      <c r="R122" s="105">
        <v>236.39442900594923</v>
      </c>
      <c r="S122" s="105">
        <v>125.89387889973221</v>
      </c>
      <c r="T122" s="105">
        <v>236.39442900594923</v>
      </c>
      <c r="U122" s="105">
        <v>236.39442900594929</v>
      </c>
      <c r="V122" s="105">
        <v>236.39442900594923</v>
      </c>
      <c r="W122" s="105">
        <v>125.89387889973221</v>
      </c>
      <c r="X122" s="105">
        <v>236.39442900594923</v>
      </c>
      <c r="Y122" s="105">
        <v>236.39442900594929</v>
      </c>
      <c r="Z122" s="105">
        <v>236.39442900594923</v>
      </c>
      <c r="AA122" s="105">
        <v>236.39442900594929</v>
      </c>
      <c r="AB122" s="105">
        <v>236.39442900594923</v>
      </c>
      <c r="AC122" s="105">
        <v>236.39442900594929</v>
      </c>
      <c r="AD122" s="105">
        <v>236.39442900594923</v>
      </c>
      <c r="AE122" s="105">
        <v>125.89387889973221</v>
      </c>
      <c r="AF122" s="105">
        <v>236.39442900594923</v>
      </c>
      <c r="AG122" s="105">
        <v>125.89387889973221</v>
      </c>
      <c r="AH122" s="105">
        <v>236.39442900594923</v>
      </c>
      <c r="AI122" s="105">
        <v>236.39442900594929</v>
      </c>
      <c r="AJ122" s="105">
        <v>236.39442900594923</v>
      </c>
      <c r="AK122" s="105">
        <v>125.89387889973221</v>
      </c>
      <c r="AL122" s="105">
        <v>236.39442900594923</v>
      </c>
      <c r="AM122" s="105">
        <v>236.39442900594929</v>
      </c>
      <c r="AN122" s="105">
        <v>236.39442900594923</v>
      </c>
      <c r="AO122" s="105">
        <v>236.39442900594929</v>
      </c>
      <c r="AP122" s="105">
        <v>236.39442900594923</v>
      </c>
      <c r="AQ122" s="105">
        <v>125.89387889973221</v>
      </c>
      <c r="AR122" s="105">
        <v>236.39442900594923</v>
      </c>
      <c r="AS122" s="105">
        <v>125.89387889973221</v>
      </c>
      <c r="AT122" s="105">
        <v>236.39442900594923</v>
      </c>
      <c r="AU122" s="105">
        <v>125.89387889973221</v>
      </c>
      <c r="AV122" s="105">
        <v>236.39442900594923</v>
      </c>
      <c r="AW122" s="105">
        <v>125.89387889973221</v>
      </c>
      <c r="AX122" s="105">
        <v>236.39442900594923</v>
      </c>
      <c r="AY122" s="105">
        <v>236.39442900594929</v>
      </c>
    </row>
    <row r="123" spans="1:52">
      <c r="A123" s="108"/>
      <c r="B123" s="118">
        <v>2</v>
      </c>
      <c r="C123" s="105">
        <v>125.50441139210629</v>
      </c>
      <c r="D123" s="105">
        <v>0</v>
      </c>
      <c r="E123" s="105">
        <v>125.50441139210631</v>
      </c>
      <c r="F123" s="105">
        <v>153.20657696970807</v>
      </c>
      <c r="G123" s="105">
        <v>72.306772011658481</v>
      </c>
      <c r="H123" s="105">
        <v>63.424043330586102</v>
      </c>
      <c r="I123" s="105">
        <v>44.920067062175022</v>
      </c>
      <c r="J123" s="105">
        <v>16.859815519910001</v>
      </c>
      <c r="K123" s="105">
        <v>0</v>
      </c>
      <c r="L123" s="105">
        <v>0</v>
      </c>
      <c r="M123" s="105">
        <v>0</v>
      </c>
      <c r="N123" s="105">
        <v>0</v>
      </c>
      <c r="O123" s="105">
        <v>3.2914866812624837</v>
      </c>
      <c r="P123" s="105">
        <v>0</v>
      </c>
      <c r="Q123" s="105">
        <v>0</v>
      </c>
      <c r="R123" s="105">
        <v>110.50055010621706</v>
      </c>
      <c r="S123" s="105">
        <v>47.238926209194247</v>
      </c>
      <c r="T123" s="105">
        <v>110.50055010621706</v>
      </c>
      <c r="U123" s="105">
        <v>16.276872132974518</v>
      </c>
      <c r="V123" s="105">
        <v>2.3207879570406931</v>
      </c>
      <c r="W123" s="105">
        <v>0</v>
      </c>
      <c r="X123" s="105">
        <v>110.50055010621706</v>
      </c>
      <c r="Y123" s="105">
        <v>50.542877827568148</v>
      </c>
      <c r="Z123" s="105">
        <v>24.169395299867347</v>
      </c>
      <c r="AA123" s="105">
        <v>29.942021232388754</v>
      </c>
      <c r="AB123" s="105">
        <v>11.82053438065708</v>
      </c>
      <c r="AC123" s="105">
        <v>0</v>
      </c>
      <c r="AD123" s="105">
        <v>0</v>
      </c>
      <c r="AE123" s="105">
        <v>0</v>
      </c>
      <c r="AF123" s="105">
        <v>110.50055010621706</v>
      </c>
      <c r="AG123" s="105">
        <v>70.855109944936046</v>
      </c>
      <c r="AH123" s="105">
        <v>0</v>
      </c>
      <c r="AI123" s="105">
        <v>0</v>
      </c>
      <c r="AJ123" s="105">
        <v>39.0102821870111</v>
      </c>
      <c r="AK123" s="105">
        <v>12.410917979783875</v>
      </c>
      <c r="AL123" s="105">
        <v>110.50055010621706</v>
      </c>
      <c r="AM123" s="105">
        <v>57.190694888744801</v>
      </c>
      <c r="AN123" s="105">
        <v>0</v>
      </c>
      <c r="AO123" s="105">
        <v>0</v>
      </c>
      <c r="AP123" s="105">
        <v>0</v>
      </c>
      <c r="AQ123" s="105">
        <v>0</v>
      </c>
      <c r="AR123" s="105">
        <v>0</v>
      </c>
      <c r="AS123" s="105">
        <v>0</v>
      </c>
      <c r="AT123" s="105">
        <v>110.50055010621706</v>
      </c>
      <c r="AU123" s="105">
        <v>30.5039423383339</v>
      </c>
      <c r="AV123" s="105">
        <v>0</v>
      </c>
      <c r="AW123" s="105">
        <v>0</v>
      </c>
      <c r="AX123" s="105">
        <v>110.50055010621706</v>
      </c>
      <c r="AY123" s="105">
        <v>26.649062462413099</v>
      </c>
    </row>
    <row r="124" spans="1:52">
      <c r="A124" s="108"/>
      <c r="B124" s="118">
        <v>3</v>
      </c>
      <c r="C124" s="105">
        <v>0</v>
      </c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110.50055010621708</v>
      </c>
      <c r="AJ124" s="105">
        <v>0</v>
      </c>
      <c r="AK124" s="105">
        <v>0</v>
      </c>
      <c r="AL124" s="105">
        <v>0</v>
      </c>
      <c r="AM124" s="105">
        <v>0</v>
      </c>
      <c r="AN124" s="105">
        <v>0</v>
      </c>
      <c r="AO124" s="105">
        <v>0</v>
      </c>
      <c r="AP124" s="105">
        <v>0</v>
      </c>
      <c r="AQ124" s="105">
        <v>0</v>
      </c>
      <c r="AR124" s="105">
        <v>0</v>
      </c>
      <c r="AS124" s="105">
        <v>110.50055010621708</v>
      </c>
      <c r="AT124" s="105">
        <v>0</v>
      </c>
      <c r="AU124" s="105">
        <v>0</v>
      </c>
      <c r="AV124" s="105">
        <v>0</v>
      </c>
      <c r="AW124" s="105">
        <v>110.50055010621708</v>
      </c>
      <c r="AX124" s="105">
        <v>0</v>
      </c>
      <c r="AY124" s="105">
        <v>0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0.55597611135075375</v>
      </c>
      <c r="D172" s="133">
        <v>0.32159627937877394</v>
      </c>
      <c r="E172" s="133">
        <v>0.32159627937877394</v>
      </c>
      <c r="F172" s="133">
        <v>0.32159627937877394</v>
      </c>
      <c r="G172" s="133">
        <v>0.32159627937877394</v>
      </c>
      <c r="H172" s="133">
        <v>0.32159627937877394</v>
      </c>
      <c r="I172" s="133">
        <v>0.32159627937877394</v>
      </c>
      <c r="J172" s="133">
        <v>0.32159627937877394</v>
      </c>
      <c r="K172" s="133">
        <v>0.32159627937877394</v>
      </c>
      <c r="L172" s="133">
        <v>0.32159627937877394</v>
      </c>
      <c r="M172" s="133">
        <v>0.32159627937877394</v>
      </c>
      <c r="N172" s="133">
        <v>0.32159627937877394</v>
      </c>
      <c r="O172" s="133">
        <v>0.32159627937877394</v>
      </c>
      <c r="P172" s="133">
        <v>0.32159627937877394</v>
      </c>
      <c r="Q172" s="133">
        <v>0.32159627937877394</v>
      </c>
      <c r="R172" s="133">
        <v>0.32159627937877394</v>
      </c>
      <c r="S172" s="133">
        <v>0.32159627937877394</v>
      </c>
      <c r="T172" s="133">
        <v>0.32159627937877394</v>
      </c>
      <c r="U172" s="133">
        <v>0.32159627937877394</v>
      </c>
      <c r="V172" s="133">
        <v>0.32159627937877394</v>
      </c>
      <c r="W172" s="133">
        <v>0.32159627937877394</v>
      </c>
      <c r="X172" s="133">
        <v>0.32159627937877394</v>
      </c>
      <c r="Y172" s="133">
        <v>0.32159627937877394</v>
      </c>
      <c r="Z172" s="133">
        <v>0.32159627937877394</v>
      </c>
      <c r="AA172" s="133">
        <v>0.32159627937877394</v>
      </c>
      <c r="AB172" s="133">
        <v>0.32159627937877394</v>
      </c>
      <c r="AC172" s="133">
        <v>0.32159627937877394</v>
      </c>
      <c r="AD172" s="133">
        <v>0.32159627937877394</v>
      </c>
      <c r="AE172" s="133">
        <v>0.32159627937877394</v>
      </c>
      <c r="AF172" s="133">
        <v>0.32159627937877394</v>
      </c>
      <c r="AG172" s="133">
        <v>0.32159627937877394</v>
      </c>
      <c r="AH172" s="133">
        <v>0.32159627937877394</v>
      </c>
      <c r="AI172" s="133">
        <v>0.32159627937877394</v>
      </c>
      <c r="AJ172" s="133">
        <v>0.32159627937877394</v>
      </c>
      <c r="AK172" s="133">
        <v>0.32159627937877394</v>
      </c>
      <c r="AL172" s="133">
        <v>0.32159627937877394</v>
      </c>
      <c r="AM172" s="133">
        <v>0.32159627937877394</v>
      </c>
      <c r="AN172" s="133">
        <v>0.32159627937877394</v>
      </c>
      <c r="AO172" s="133">
        <v>0.32159627937877394</v>
      </c>
      <c r="AP172" s="133">
        <v>0.32159627937877394</v>
      </c>
      <c r="AQ172" s="133">
        <v>0.32159627937877394</v>
      </c>
      <c r="AR172" s="133">
        <v>0.32159627937877394</v>
      </c>
      <c r="AS172" s="133">
        <v>0.32159627937877394</v>
      </c>
      <c r="AT172" s="133">
        <v>0.32159627937877394</v>
      </c>
      <c r="AU172" s="133">
        <v>0.32159627937877394</v>
      </c>
      <c r="AV172" s="133">
        <v>0.32159627937877394</v>
      </c>
      <c r="AW172" s="133">
        <v>0.32159627937877394</v>
      </c>
      <c r="AX172" s="133">
        <v>0.32159627937877394</v>
      </c>
      <c r="AY172" s="133">
        <v>0.32159627937877394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789.73321552448044</v>
      </c>
      <c r="E175" s="123">
        <f t="shared" si="1"/>
        <v>799.46643104896089</v>
      </c>
      <c r="F175" s="123">
        <f t="shared" si="1"/>
        <v>809.19964657344133</v>
      </c>
      <c r="G175" s="123">
        <f t="shared" si="1"/>
        <v>818.93286209792177</v>
      </c>
      <c r="H175" s="123">
        <f t="shared" si="1"/>
        <v>614.19964657344133</v>
      </c>
      <c r="I175" s="123">
        <f t="shared" si="1"/>
        <v>409.46643104896089</v>
      </c>
      <c r="J175" s="123">
        <f t="shared" si="1"/>
        <v>204.73321552448044</v>
      </c>
      <c r="K175" s="123">
        <f t="shared" si="1"/>
        <v>0</v>
      </c>
      <c r="L175" s="123">
        <f t="shared" si="1"/>
        <v>204.73321552448044</v>
      </c>
      <c r="M175" s="123">
        <f t="shared" si="1"/>
        <v>262.46643104896089</v>
      </c>
      <c r="N175" s="123">
        <f t="shared" si="1"/>
        <v>305.19964657344133</v>
      </c>
      <c r="O175" s="123">
        <f t="shared" si="1"/>
        <v>299.93286209792177</v>
      </c>
      <c r="P175" s="123">
        <f t="shared" si="1"/>
        <v>297.66607762240221</v>
      </c>
      <c r="Q175" s="123">
        <f t="shared" si="1"/>
        <v>334.39929314688266</v>
      </c>
      <c r="R175" s="123">
        <f t="shared" si="1"/>
        <v>355.1325086713631</v>
      </c>
      <c r="S175" s="123">
        <f t="shared" si="1"/>
        <v>363.86572419584354</v>
      </c>
      <c r="T175" s="123">
        <f t="shared" si="1"/>
        <v>386.59893972032398</v>
      </c>
      <c r="U175" s="123">
        <f t="shared" si="1"/>
        <v>442.33215524480443</v>
      </c>
      <c r="V175" s="123">
        <f t="shared" si="1"/>
        <v>414.06537076928487</v>
      </c>
      <c r="W175" s="123">
        <f t="shared" si="1"/>
        <v>403.79858629376531</v>
      </c>
      <c r="X175" s="123">
        <f t="shared" si="1"/>
        <v>425.53180181824575</v>
      </c>
      <c r="Y175" s="123">
        <f t="shared" si="1"/>
        <v>480.2650173427262</v>
      </c>
      <c r="Z175" s="123">
        <f t="shared" si="1"/>
        <v>499.99823286720664</v>
      </c>
      <c r="AA175" s="123">
        <f t="shared" si="1"/>
        <v>531.73144839168708</v>
      </c>
      <c r="AB175" s="123">
        <f t="shared" si="1"/>
        <v>545.46466391616752</v>
      </c>
      <c r="AC175" s="123">
        <f t="shared" si="1"/>
        <v>606.19787944064797</v>
      </c>
      <c r="AD175" s="123">
        <f t="shared" si="1"/>
        <v>624.93109496512841</v>
      </c>
      <c r="AE175" s="123">
        <f t="shared" si="1"/>
        <v>627.66431048960885</v>
      </c>
      <c r="AF175" s="123">
        <f t="shared" si="1"/>
        <v>650.39752601408929</v>
      </c>
      <c r="AG175" s="123">
        <f t="shared" si="1"/>
        <v>694.13074153856974</v>
      </c>
      <c r="AH175" s="123">
        <f t="shared" si="1"/>
        <v>707.86395706305018</v>
      </c>
      <c r="AI175" s="123">
        <f t="shared" si="1"/>
        <v>667.59717258753062</v>
      </c>
      <c r="AJ175" s="123">
        <f t="shared" si="1"/>
        <v>659.33038811201106</v>
      </c>
      <c r="AK175" s="123">
        <f t="shared" si="1"/>
        <v>644.06360363649151</v>
      </c>
      <c r="AL175" s="123">
        <f t="shared" si="1"/>
        <v>632.79681916097195</v>
      </c>
      <c r="AM175" s="123">
        <f t="shared" si="1"/>
        <v>662.53003468545239</v>
      </c>
      <c r="AN175" s="123">
        <f t="shared" si="1"/>
        <v>720.26325020993283</v>
      </c>
      <c r="AO175" s="123">
        <f t="shared" si="1"/>
        <v>757.99646573441328</v>
      </c>
      <c r="AP175" s="123">
        <f t="shared" si="1"/>
        <v>773.72968125889372</v>
      </c>
      <c r="AQ175" s="123">
        <f t="shared" si="1"/>
        <v>779.46289678337416</v>
      </c>
      <c r="AR175" s="123">
        <f t="shared" si="1"/>
        <v>755.19611230785461</v>
      </c>
      <c r="AS175" s="123">
        <f t="shared" si="1"/>
        <v>760.92932783233505</v>
      </c>
      <c r="AT175" s="123">
        <f t="shared" si="1"/>
        <v>775.66254335681549</v>
      </c>
      <c r="AU175" s="123">
        <f t="shared" si="1"/>
        <v>785.39575888129593</v>
      </c>
      <c r="AV175" s="123">
        <f t="shared" si="1"/>
        <v>818.93286209792177</v>
      </c>
      <c r="AW175" s="123">
        <f t="shared" si="1"/>
        <v>782.66607762240221</v>
      </c>
      <c r="AX175" s="123">
        <f t="shared" si="1"/>
        <v>786.39929314688266</v>
      </c>
      <c r="AY175" s="123">
        <f t="shared" si="1"/>
        <v>780.1325086713631</v>
      </c>
    </row>
    <row r="176" spans="1:52">
      <c r="A176" s="124"/>
      <c r="B176" s="135" t="s">
        <v>299</v>
      </c>
      <c r="C176" s="124" t="s">
        <v>293</v>
      </c>
      <c r="D176" s="124">
        <v>182</v>
      </c>
      <c r="E176" s="124">
        <v>178</v>
      </c>
      <c r="F176" s="124">
        <v>184</v>
      </c>
      <c r="G176" s="124">
        <v>203</v>
      </c>
      <c r="H176" s="124">
        <v>201</v>
      </c>
      <c r="I176" s="124">
        <v>183</v>
      </c>
      <c r="J176" s="124">
        <v>166</v>
      </c>
      <c r="K176" s="124">
        <v>0</v>
      </c>
      <c r="L176" s="124">
        <v>147</v>
      </c>
      <c r="M176" s="124">
        <v>162</v>
      </c>
      <c r="N176" s="124">
        <v>210</v>
      </c>
      <c r="O176" s="124">
        <v>207</v>
      </c>
      <c r="P176" s="124">
        <v>168</v>
      </c>
      <c r="Q176" s="124">
        <v>184</v>
      </c>
      <c r="R176" s="124">
        <v>196</v>
      </c>
      <c r="S176" s="124">
        <v>182</v>
      </c>
      <c r="T176" s="124">
        <v>149</v>
      </c>
      <c r="U176" s="124">
        <v>233</v>
      </c>
      <c r="V176" s="124">
        <v>215</v>
      </c>
      <c r="W176" s="124">
        <v>183</v>
      </c>
      <c r="X176" s="124">
        <v>150</v>
      </c>
      <c r="Y176" s="124">
        <v>185</v>
      </c>
      <c r="Z176" s="124">
        <v>173</v>
      </c>
      <c r="AA176" s="124">
        <v>191</v>
      </c>
      <c r="AB176" s="124">
        <v>144</v>
      </c>
      <c r="AC176" s="124">
        <v>186</v>
      </c>
      <c r="AD176" s="124">
        <v>202</v>
      </c>
      <c r="AE176" s="124">
        <v>182</v>
      </c>
      <c r="AF176" s="124">
        <v>161</v>
      </c>
      <c r="AG176" s="124">
        <v>191</v>
      </c>
      <c r="AH176" s="124">
        <v>245</v>
      </c>
      <c r="AI176" s="124">
        <v>213</v>
      </c>
      <c r="AJ176" s="124">
        <v>220</v>
      </c>
      <c r="AK176" s="124">
        <v>216</v>
      </c>
      <c r="AL176" s="124">
        <v>175</v>
      </c>
      <c r="AM176" s="124">
        <v>147</v>
      </c>
      <c r="AN176" s="124">
        <v>167</v>
      </c>
      <c r="AO176" s="124">
        <v>189</v>
      </c>
      <c r="AP176" s="124">
        <v>199</v>
      </c>
      <c r="AQ176" s="124">
        <v>229</v>
      </c>
      <c r="AR176" s="124">
        <v>199</v>
      </c>
      <c r="AS176" s="124">
        <v>190</v>
      </c>
      <c r="AT176" s="124">
        <v>195</v>
      </c>
      <c r="AU176" s="124">
        <v>161</v>
      </c>
      <c r="AV176" s="124">
        <v>241</v>
      </c>
      <c r="AW176" s="124">
        <v>201</v>
      </c>
      <c r="AX176" s="124">
        <v>211</v>
      </c>
      <c r="AY176" s="124">
        <v>195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177.60000000000002</v>
      </c>
      <c r="E177" s="123">
        <f t="shared" si="2"/>
        <v>329.23606501890345</v>
      </c>
      <c r="F177" s="123">
        <f t="shared" si="2"/>
        <v>317.16446191291095</v>
      </c>
      <c r="G177" s="123">
        <f t="shared" si="2"/>
        <v>286.0928588069184</v>
      </c>
      <c r="H177" s="123">
        <f t="shared" si="2"/>
        <v>276.02125570092585</v>
      </c>
      <c r="I177" s="123">
        <f t="shared" si="2"/>
        <v>284.94965259493335</v>
      </c>
      <c r="J177" s="123">
        <f t="shared" si="2"/>
        <v>87.949652594933326</v>
      </c>
      <c r="K177" s="123">
        <f t="shared" si="2"/>
        <v>0</v>
      </c>
      <c r="L177" s="123">
        <f t="shared" si="2"/>
        <v>0</v>
      </c>
      <c r="M177" s="123">
        <f t="shared" si="2"/>
        <v>0</v>
      </c>
      <c r="N177" s="123">
        <f t="shared" si="2"/>
        <v>157.92839689400748</v>
      </c>
      <c r="O177" s="123">
        <f t="shared" si="2"/>
        <v>157.92839689400745</v>
      </c>
      <c r="P177" s="123">
        <f t="shared" si="2"/>
        <v>157.92839689400748</v>
      </c>
      <c r="Q177" s="123">
        <f t="shared" si="2"/>
        <v>84.106121100267785</v>
      </c>
      <c r="R177" s="123">
        <f t="shared" si="2"/>
        <v>231.75067268774714</v>
      </c>
      <c r="S177" s="123">
        <f t="shared" si="2"/>
        <v>179.85679378801493</v>
      </c>
      <c r="T177" s="123">
        <f t="shared" si="2"/>
        <v>248.60746647576207</v>
      </c>
      <c r="U177" s="123">
        <f t="shared" si="2"/>
        <v>211.53586336976952</v>
      </c>
      <c r="V177" s="123">
        <f t="shared" si="2"/>
        <v>165.46426026377699</v>
      </c>
      <c r="W177" s="123">
        <f t="shared" si="2"/>
        <v>84.106121100267785</v>
      </c>
      <c r="X177" s="123">
        <f t="shared" si="2"/>
        <v>231.75067268774714</v>
      </c>
      <c r="Y177" s="123">
        <f t="shared" si="2"/>
        <v>187.67906958175459</v>
      </c>
      <c r="Z177" s="123">
        <f t="shared" si="2"/>
        <v>183.60746647576207</v>
      </c>
      <c r="AA177" s="123">
        <f t="shared" si="2"/>
        <v>157.92839689400745</v>
      </c>
      <c r="AB177" s="123">
        <f t="shared" si="2"/>
        <v>157.92839689400748</v>
      </c>
      <c r="AC177" s="123">
        <f t="shared" si="2"/>
        <v>157.92839689400745</v>
      </c>
      <c r="AD177" s="123">
        <f t="shared" si="2"/>
        <v>157.92839689400748</v>
      </c>
      <c r="AE177" s="123">
        <f t="shared" si="2"/>
        <v>84.106121100267785</v>
      </c>
      <c r="AF177" s="123">
        <f t="shared" si="2"/>
        <v>231.75067268774714</v>
      </c>
      <c r="AG177" s="123">
        <f t="shared" si="2"/>
        <v>84.106121100267785</v>
      </c>
      <c r="AH177" s="123">
        <f t="shared" si="2"/>
        <v>157.92839689400748</v>
      </c>
      <c r="AI177" s="123">
        <f t="shared" si="2"/>
        <v>231.75067268774711</v>
      </c>
      <c r="AJ177" s="123">
        <f t="shared" si="2"/>
        <v>206.67906958175459</v>
      </c>
      <c r="AK177" s="123">
        <f t="shared" si="2"/>
        <v>84.106121100267785</v>
      </c>
      <c r="AL177" s="123">
        <f t="shared" si="2"/>
        <v>231.75067268774714</v>
      </c>
      <c r="AM177" s="123">
        <f t="shared" si="2"/>
        <v>210.67906958175459</v>
      </c>
      <c r="AN177" s="123">
        <f t="shared" si="2"/>
        <v>157.92839689400748</v>
      </c>
      <c r="AO177" s="123">
        <f t="shared" si="2"/>
        <v>157.92839689400745</v>
      </c>
      <c r="AP177" s="123">
        <f t="shared" si="2"/>
        <v>157.92839689400748</v>
      </c>
      <c r="AQ177" s="123">
        <f t="shared" si="2"/>
        <v>84.106121100267785</v>
      </c>
      <c r="AR177" s="123">
        <f t="shared" si="2"/>
        <v>157.92839689400748</v>
      </c>
      <c r="AS177" s="123">
        <f t="shared" si="2"/>
        <v>157.92839689400745</v>
      </c>
      <c r="AT177" s="123">
        <f t="shared" si="2"/>
        <v>231.75067268774714</v>
      </c>
      <c r="AU177" s="123">
        <f t="shared" si="2"/>
        <v>131.85679378801493</v>
      </c>
      <c r="AV177" s="123">
        <f t="shared" si="2"/>
        <v>157.92839689400748</v>
      </c>
      <c r="AW177" s="123">
        <f t="shared" si="2"/>
        <v>157.92839689400745</v>
      </c>
      <c r="AX177" s="123">
        <f t="shared" si="2"/>
        <v>231.75067268774714</v>
      </c>
      <c r="AY177" s="123">
        <f t="shared" si="2"/>
        <v>193.67906958175459</v>
      </c>
    </row>
    <row r="178" spans="1:51">
      <c r="A178" s="124"/>
      <c r="B178" s="135" t="s">
        <v>299</v>
      </c>
      <c r="C178" s="124" t="s">
        <v>293</v>
      </c>
      <c r="D178" s="124">
        <v>153</v>
      </c>
      <c r="E178" s="124">
        <v>170</v>
      </c>
      <c r="F178" s="124">
        <v>189</v>
      </c>
      <c r="G178" s="124">
        <v>168</v>
      </c>
      <c r="H178" s="124">
        <v>149</v>
      </c>
      <c r="I178" s="124">
        <v>197</v>
      </c>
      <c r="J178" s="124">
        <v>87.949652594933326</v>
      </c>
      <c r="K178" s="124">
        <v>0</v>
      </c>
      <c r="L178" s="124">
        <v>0</v>
      </c>
      <c r="M178" s="124">
        <v>0</v>
      </c>
      <c r="N178" s="124">
        <v>157.92839689400748</v>
      </c>
      <c r="O178" s="124">
        <v>157.92839689400745</v>
      </c>
      <c r="P178" s="124">
        <v>157.92839689400748</v>
      </c>
      <c r="Q178" s="124">
        <v>84.106121100267785</v>
      </c>
      <c r="R178" s="124">
        <v>136</v>
      </c>
      <c r="S178" s="124">
        <v>163</v>
      </c>
      <c r="T178" s="124">
        <v>195</v>
      </c>
      <c r="U178" s="124">
        <v>204</v>
      </c>
      <c r="V178" s="124">
        <v>165.46426026377699</v>
      </c>
      <c r="W178" s="124">
        <v>84.106121100267785</v>
      </c>
      <c r="X178" s="124">
        <v>202</v>
      </c>
      <c r="Y178" s="124">
        <v>162</v>
      </c>
      <c r="Z178" s="124">
        <v>183.60746647576207</v>
      </c>
      <c r="AA178" s="124">
        <v>157.92839689400745</v>
      </c>
      <c r="AB178" s="124">
        <v>157.92839689400748</v>
      </c>
      <c r="AC178" s="124">
        <v>157.92839689400745</v>
      </c>
      <c r="AD178" s="124">
        <v>157.92839689400748</v>
      </c>
      <c r="AE178" s="124">
        <v>84.106121100267785</v>
      </c>
      <c r="AF178" s="124">
        <v>231.75067268774714</v>
      </c>
      <c r="AG178" s="124">
        <v>84.106121100267785</v>
      </c>
      <c r="AH178" s="124">
        <v>157.92839689400748</v>
      </c>
      <c r="AI178" s="124">
        <v>183</v>
      </c>
      <c r="AJ178" s="124">
        <v>206.67906958175459</v>
      </c>
      <c r="AK178" s="124">
        <v>84.106121100267785</v>
      </c>
      <c r="AL178" s="124">
        <v>179</v>
      </c>
      <c r="AM178" s="124">
        <v>210.67906958175459</v>
      </c>
      <c r="AN178" s="124">
        <v>157.92839689400748</v>
      </c>
      <c r="AO178" s="124">
        <v>157.92839689400745</v>
      </c>
      <c r="AP178" s="124">
        <v>157.92839689400748</v>
      </c>
      <c r="AQ178" s="124">
        <v>84.106121100267785</v>
      </c>
      <c r="AR178" s="124">
        <v>157.92839689400748</v>
      </c>
      <c r="AS178" s="124">
        <v>157.92839689400745</v>
      </c>
      <c r="AT178" s="124">
        <v>184</v>
      </c>
      <c r="AU178" s="124">
        <v>131.85679378801493</v>
      </c>
      <c r="AV178" s="124">
        <v>157.92839689400748</v>
      </c>
      <c r="AW178" s="124">
        <v>157.92839689400745</v>
      </c>
      <c r="AX178" s="124">
        <v>196</v>
      </c>
      <c r="AY178" s="124">
        <v>193.67906958175459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236.63658350953773</v>
      </c>
      <c r="E179" s="123">
        <f t="shared" si="3"/>
        <v>154.72222601754854</v>
      </c>
      <c r="F179" s="123">
        <f t="shared" si="3"/>
        <v>159.34612713807309</v>
      </c>
      <c r="G179" s="123">
        <f t="shared" si="3"/>
        <v>143.64036110207195</v>
      </c>
      <c r="H179" s="123">
        <f t="shared" si="3"/>
        <v>100.91751878909359</v>
      </c>
      <c r="I179" s="123">
        <f t="shared" si="3"/>
        <v>96.42050519245764</v>
      </c>
      <c r="J179" s="123">
        <f t="shared" si="3"/>
        <v>90.469695270823493</v>
      </c>
      <c r="K179" s="123">
        <f t="shared" si="3"/>
        <v>5.4220539422155651</v>
      </c>
      <c r="L179" s="123">
        <f t="shared" si="3"/>
        <v>0</v>
      </c>
      <c r="M179" s="123">
        <f t="shared" si="3"/>
        <v>0</v>
      </c>
      <c r="N179" s="123">
        <f t="shared" si="3"/>
        <v>0</v>
      </c>
      <c r="O179" s="123">
        <f t="shared" si="3"/>
        <v>76.023568834182996</v>
      </c>
      <c r="P179" s="123">
        <f t="shared" si="3"/>
        <v>77.082098704501817</v>
      </c>
      <c r="Q179" s="123">
        <f t="shared" si="3"/>
        <v>76.023568834182996</v>
      </c>
      <c r="R179" s="123">
        <f t="shared" si="3"/>
        <v>40.487003050715813</v>
      </c>
      <c r="S179" s="123">
        <f t="shared" si="3"/>
        <v>111.56013461765019</v>
      </c>
      <c r="T179" s="123">
        <f t="shared" si="3"/>
        <v>55.678865961441133</v>
      </c>
      <c r="U179" s="123">
        <f t="shared" si="3"/>
        <v>111.56013461765019</v>
      </c>
      <c r="V179" s="123">
        <f t="shared" si="3"/>
        <v>81.258150352071667</v>
      </c>
      <c r="W179" s="123">
        <f t="shared" si="3"/>
        <v>76.769925606394338</v>
      </c>
      <c r="X179" s="123">
        <f t="shared" si="3"/>
        <v>40.487003050715813</v>
      </c>
      <c r="Y179" s="123">
        <f t="shared" si="3"/>
        <v>111.56013461765019</v>
      </c>
      <c r="Z179" s="123">
        <f t="shared" si="3"/>
        <v>92.277970292624858</v>
      </c>
      <c r="AA179" s="123">
        <f t="shared" si="3"/>
        <v>83.796356437455159</v>
      </c>
      <c r="AB179" s="123">
        <f t="shared" si="3"/>
        <v>85.652811459599491</v>
      </c>
      <c r="AC179" s="123">
        <f t="shared" si="3"/>
        <v>79.825008711271195</v>
      </c>
      <c r="AD179" s="123">
        <f t="shared" si="3"/>
        <v>76.02356883418301</v>
      </c>
      <c r="AE179" s="123">
        <f t="shared" si="3"/>
        <v>76.023568834182996</v>
      </c>
      <c r="AF179" s="123">
        <f t="shared" si="3"/>
        <v>40.487003050715813</v>
      </c>
      <c r="AG179" s="123">
        <f t="shared" si="3"/>
        <v>111.56013461765019</v>
      </c>
      <c r="AH179" s="123">
        <f t="shared" si="3"/>
        <v>63.273742783981206</v>
      </c>
      <c r="AI179" s="123">
        <f t="shared" si="3"/>
        <v>76.023568834182996</v>
      </c>
      <c r="AJ179" s="123">
        <f t="shared" si="3"/>
        <v>111.56013461765021</v>
      </c>
      <c r="AK179" s="123">
        <f t="shared" si="3"/>
        <v>88.569130443041828</v>
      </c>
      <c r="AL179" s="123">
        <f t="shared" si="3"/>
        <v>44.478308096689439</v>
      </c>
      <c r="AM179" s="123">
        <f t="shared" si="3"/>
        <v>111.56013461765019</v>
      </c>
      <c r="AN179" s="123">
        <f t="shared" si="3"/>
        <v>94.415883525490003</v>
      </c>
      <c r="AO179" s="123">
        <f t="shared" si="3"/>
        <v>76.023568834182996</v>
      </c>
      <c r="AP179" s="123">
        <f t="shared" si="3"/>
        <v>76.02356883418301</v>
      </c>
      <c r="AQ179" s="123">
        <f t="shared" si="3"/>
        <v>76.023568834182996</v>
      </c>
      <c r="AR179" s="123">
        <f t="shared" si="3"/>
        <v>40.487003050715813</v>
      </c>
      <c r="AS179" s="123">
        <f t="shared" si="3"/>
        <v>76.023568834182996</v>
      </c>
      <c r="AT179" s="123">
        <f t="shared" si="3"/>
        <v>76.02356883418301</v>
      </c>
      <c r="AU179" s="123">
        <f t="shared" si="3"/>
        <v>111.56013461765019</v>
      </c>
      <c r="AV179" s="123">
        <f t="shared" si="3"/>
        <v>50.296957413108657</v>
      </c>
      <c r="AW179" s="123">
        <f t="shared" si="3"/>
        <v>76.023568834182996</v>
      </c>
      <c r="AX179" s="123">
        <f t="shared" si="3"/>
        <v>76.02356883418301</v>
      </c>
      <c r="AY179" s="123">
        <f t="shared" si="3"/>
        <v>111.56013461765019</v>
      </c>
    </row>
    <row r="180" spans="1:51">
      <c r="A180" s="124"/>
      <c r="B180" s="135" t="s">
        <v>299</v>
      </c>
      <c r="C180" s="124" t="s">
        <v>293</v>
      </c>
      <c r="D180" s="124">
        <v>124</v>
      </c>
      <c r="E180" s="124">
        <v>132</v>
      </c>
      <c r="F180" s="124">
        <v>141</v>
      </c>
      <c r="G180" s="124">
        <v>142</v>
      </c>
      <c r="H180" s="124">
        <v>100.91751878909359</v>
      </c>
      <c r="I180" s="124">
        <v>96.42050519245764</v>
      </c>
      <c r="J180" s="124">
        <v>90.469695270823493</v>
      </c>
      <c r="K180" s="124">
        <v>5.4220539422155651</v>
      </c>
      <c r="L180" s="124">
        <v>0</v>
      </c>
      <c r="M180" s="124">
        <v>0</v>
      </c>
      <c r="N180" s="124">
        <v>0</v>
      </c>
      <c r="O180" s="124">
        <v>76.023568834182996</v>
      </c>
      <c r="P180" s="124">
        <v>77.082098704501817</v>
      </c>
      <c r="Q180" s="124">
        <v>76.023568834182996</v>
      </c>
      <c r="R180" s="124">
        <v>40.487003050715813</v>
      </c>
      <c r="S180" s="124">
        <v>111.56013461765019</v>
      </c>
      <c r="T180" s="124">
        <v>55.678865961441133</v>
      </c>
      <c r="U180" s="124">
        <v>111.56013461765019</v>
      </c>
      <c r="V180" s="124">
        <v>81.258150352071667</v>
      </c>
      <c r="W180" s="124">
        <v>76.769925606394338</v>
      </c>
      <c r="X180" s="124">
        <v>40.487003050715813</v>
      </c>
      <c r="Y180" s="124">
        <v>111.56013461765019</v>
      </c>
      <c r="Z180" s="124">
        <v>92.277970292624858</v>
      </c>
      <c r="AA180" s="124">
        <v>83.796356437455159</v>
      </c>
      <c r="AB180" s="124">
        <v>85.652811459599491</v>
      </c>
      <c r="AC180" s="124">
        <v>79.825008711271195</v>
      </c>
      <c r="AD180" s="124">
        <v>76.02356883418301</v>
      </c>
      <c r="AE180" s="124">
        <v>76.023568834182996</v>
      </c>
      <c r="AF180" s="124">
        <v>40.487003050715813</v>
      </c>
      <c r="AG180" s="124">
        <v>111.56013461765019</v>
      </c>
      <c r="AH180" s="124">
        <v>63.273742783981206</v>
      </c>
      <c r="AI180" s="124">
        <v>76.023568834182996</v>
      </c>
      <c r="AJ180" s="124">
        <v>111.56013461765021</v>
      </c>
      <c r="AK180" s="124">
        <v>88.569130443041828</v>
      </c>
      <c r="AL180" s="124">
        <v>44.478308096689439</v>
      </c>
      <c r="AM180" s="124">
        <v>111.56013461765019</v>
      </c>
      <c r="AN180" s="124">
        <v>94.415883525490003</v>
      </c>
      <c r="AO180" s="124">
        <v>76.023568834182996</v>
      </c>
      <c r="AP180" s="124">
        <v>76.02356883418301</v>
      </c>
      <c r="AQ180" s="124">
        <v>76.023568834182996</v>
      </c>
      <c r="AR180" s="124">
        <v>40.487003050715813</v>
      </c>
      <c r="AS180" s="124">
        <v>76.023568834182996</v>
      </c>
      <c r="AT180" s="124">
        <v>76.02356883418301</v>
      </c>
      <c r="AU180" s="124">
        <v>111.56013461765019</v>
      </c>
      <c r="AV180" s="124">
        <v>50.296957413108657</v>
      </c>
      <c r="AW180" s="124">
        <v>76.023568834182996</v>
      </c>
      <c r="AX180" s="124">
        <v>76.02356883418301</v>
      </c>
      <c r="AY180" s="124">
        <v>111.56013461765019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88.779187736006492</v>
      </c>
      <c r="E181" s="123">
        <f t="shared" si="4"/>
        <v>288.20657696970807</v>
      </c>
      <c r="F181" s="123">
        <f t="shared" si="4"/>
        <v>264.3067720116585</v>
      </c>
      <c r="G181" s="123">
        <f t="shared" si="4"/>
        <v>209.42404333058613</v>
      </c>
      <c r="H181" s="123">
        <f t="shared" si="4"/>
        <v>203.39796714407774</v>
      </c>
      <c r="I181" s="123">
        <f t="shared" si="4"/>
        <v>190.84480079730076</v>
      </c>
      <c r="J181" s="123">
        <f t="shared" si="4"/>
        <v>11.437761577694436</v>
      </c>
      <c r="K181" s="123">
        <f t="shared" si="4"/>
        <v>0</v>
      </c>
      <c r="L181" s="123">
        <f t="shared" si="4"/>
        <v>0</v>
      </c>
      <c r="M181" s="123">
        <f t="shared" si="4"/>
        <v>0</v>
      </c>
      <c r="N181" s="123">
        <f t="shared" si="4"/>
        <v>160.37086017176625</v>
      </c>
      <c r="O181" s="123">
        <f t="shared" si="4"/>
        <v>162.60381698270999</v>
      </c>
      <c r="P181" s="123">
        <f t="shared" si="4"/>
        <v>160.37086017176625</v>
      </c>
      <c r="Q181" s="123">
        <f t="shared" si="4"/>
        <v>85.406875849016402</v>
      </c>
      <c r="R181" s="123">
        <f t="shared" si="4"/>
        <v>235.33484449451615</v>
      </c>
      <c r="S181" s="123">
        <f t="shared" si="4"/>
        <v>117.45393914748533</v>
      </c>
      <c r="T181" s="123">
        <f t="shared" si="4"/>
        <v>235.33484449451615</v>
      </c>
      <c r="U181" s="123">
        <f t="shared" si="4"/>
        <v>171.41315078685216</v>
      </c>
      <c r="V181" s="123">
        <f t="shared" si="4"/>
        <v>161.94529135659559</v>
      </c>
      <c r="W181" s="123">
        <f t="shared" si="4"/>
        <v>85.406875849016402</v>
      </c>
      <c r="X181" s="123">
        <f t="shared" si="4"/>
        <v>235.33484449451615</v>
      </c>
      <c r="Y181" s="123">
        <f t="shared" si="4"/>
        <v>194.65933654089258</v>
      </c>
      <c r="Z181" s="123">
        <f t="shared" si="4"/>
        <v>176.76746786836145</v>
      </c>
      <c r="AA181" s="123">
        <f t="shared" si="4"/>
        <v>180.68363877873858</v>
      </c>
      <c r="AB181" s="123">
        <f t="shared" si="4"/>
        <v>168.38995467533513</v>
      </c>
      <c r="AC181" s="123">
        <f t="shared" si="4"/>
        <v>160.37086017176628</v>
      </c>
      <c r="AD181" s="123">
        <f t="shared" si="4"/>
        <v>160.37086017176625</v>
      </c>
      <c r="AE181" s="123">
        <f t="shared" si="4"/>
        <v>85.406875849016402</v>
      </c>
      <c r="AF181" s="123">
        <f t="shared" si="4"/>
        <v>235.33484449451615</v>
      </c>
      <c r="AG181" s="123">
        <f t="shared" si="4"/>
        <v>133.47524606068706</v>
      </c>
      <c r="AH181" s="123">
        <f t="shared" si="4"/>
        <v>160.37086017176625</v>
      </c>
      <c r="AI181" s="123">
        <f t="shared" si="4"/>
        <v>235.33484449451618</v>
      </c>
      <c r="AJ181" s="123">
        <f t="shared" si="4"/>
        <v>186.83558074991853</v>
      </c>
      <c r="AK181" s="123">
        <f t="shared" si="4"/>
        <v>93.826488782826658</v>
      </c>
      <c r="AL181" s="123">
        <f t="shared" si="4"/>
        <v>235.33484449451615</v>
      </c>
      <c r="AM181" s="123">
        <f t="shared" si="4"/>
        <v>199.16924036920412</v>
      </c>
      <c r="AN181" s="123">
        <f t="shared" si="4"/>
        <v>160.37086017176625</v>
      </c>
      <c r="AO181" s="123">
        <f t="shared" si="4"/>
        <v>160.37086017176628</v>
      </c>
      <c r="AP181" s="123">
        <f t="shared" si="4"/>
        <v>160.37086017176625</v>
      </c>
      <c r="AQ181" s="123">
        <f t="shared" si="4"/>
        <v>85.406875849016402</v>
      </c>
      <c r="AR181" s="123">
        <f t="shared" si="4"/>
        <v>160.37086017176625</v>
      </c>
      <c r="AS181" s="123">
        <f t="shared" si="4"/>
        <v>160.37086017176628</v>
      </c>
      <c r="AT181" s="123">
        <f t="shared" si="4"/>
        <v>235.33484449451615</v>
      </c>
      <c r="AU181" s="123">
        <f t="shared" si="4"/>
        <v>106.10086382495747</v>
      </c>
      <c r="AV181" s="123">
        <f t="shared" si="4"/>
        <v>160.37086017176625</v>
      </c>
      <c r="AW181" s="123">
        <f t="shared" si="4"/>
        <v>160.37086017176628</v>
      </c>
      <c r="AX181" s="123">
        <f t="shared" si="4"/>
        <v>235.33484449451615</v>
      </c>
      <c r="AY181" s="123">
        <f t="shared" si="4"/>
        <v>178.44968329733479</v>
      </c>
    </row>
    <row r="182" spans="1:51">
      <c r="A182" s="124"/>
      <c r="B182" s="135" t="s">
        <v>299</v>
      </c>
      <c r="C182" s="124" t="s">
        <v>293</v>
      </c>
      <c r="D182" s="124">
        <v>88.779187736006492</v>
      </c>
      <c r="E182" s="124">
        <v>135</v>
      </c>
      <c r="F182" s="124">
        <v>192</v>
      </c>
      <c r="G182" s="124">
        <v>146</v>
      </c>
      <c r="H182" s="124">
        <v>158.47790008190273</v>
      </c>
      <c r="I182" s="124">
        <v>173.98498527739079</v>
      </c>
      <c r="J182" s="124">
        <v>11.437761577694436</v>
      </c>
      <c r="K182" s="124">
        <v>0</v>
      </c>
      <c r="L182" s="124">
        <v>0</v>
      </c>
      <c r="M182" s="124">
        <v>0</v>
      </c>
      <c r="N182" s="124">
        <v>157.07937349050377</v>
      </c>
      <c r="O182" s="124">
        <v>162.60381698270999</v>
      </c>
      <c r="P182" s="124">
        <v>160.37086017176625</v>
      </c>
      <c r="Q182" s="124">
        <v>85.406875849016402</v>
      </c>
      <c r="R182" s="124">
        <v>188.09591828532189</v>
      </c>
      <c r="S182" s="124">
        <v>117.45393914748533</v>
      </c>
      <c r="T182" s="124">
        <v>219.0579723615416</v>
      </c>
      <c r="U182" s="124">
        <v>169.09236282981146</v>
      </c>
      <c r="V182" s="124">
        <v>161.94529135659559</v>
      </c>
      <c r="W182" s="124">
        <v>85.406875849016402</v>
      </c>
      <c r="X182" s="124">
        <v>184.79196666694799</v>
      </c>
      <c r="Y182" s="124">
        <v>170.48994124102524</v>
      </c>
      <c r="Z182" s="124">
        <v>146.82544663597267</v>
      </c>
      <c r="AA182" s="124">
        <v>168.86310439808148</v>
      </c>
      <c r="AB182" s="124">
        <v>168.38995467533513</v>
      </c>
      <c r="AC182" s="124">
        <v>160.37086017176628</v>
      </c>
      <c r="AD182" s="124">
        <v>160.37086017176625</v>
      </c>
      <c r="AE182" s="124">
        <v>85.406875849016402</v>
      </c>
      <c r="AF182" s="124">
        <v>164.47973454958009</v>
      </c>
      <c r="AG182" s="124">
        <v>133.47524606068706</v>
      </c>
      <c r="AH182" s="124">
        <v>160.37086017176625</v>
      </c>
      <c r="AI182" s="124">
        <v>196.32456230750506</v>
      </c>
      <c r="AJ182" s="124">
        <v>174.42466277013466</v>
      </c>
      <c r="AK182" s="124">
        <v>93.826488782826658</v>
      </c>
      <c r="AL182" s="124">
        <v>178.14414960577133</v>
      </c>
      <c r="AM182" s="124">
        <v>199.16924036920412</v>
      </c>
      <c r="AN182" s="124">
        <v>160.37086017176625</v>
      </c>
      <c r="AO182" s="124">
        <v>160.37086017176628</v>
      </c>
      <c r="AP182" s="124">
        <v>160.37086017176625</v>
      </c>
      <c r="AQ182" s="124">
        <v>85.406875849016402</v>
      </c>
      <c r="AR182" s="124">
        <v>160.37086017176625</v>
      </c>
      <c r="AS182" s="124">
        <v>160.37086017176628</v>
      </c>
      <c r="AT182" s="124">
        <v>204.83090215618225</v>
      </c>
      <c r="AU182" s="124">
        <v>106.10086382495747</v>
      </c>
      <c r="AV182" s="124">
        <v>160.37086017176625</v>
      </c>
      <c r="AW182" s="124">
        <v>160.37086017176628</v>
      </c>
      <c r="AX182" s="124">
        <v>208.68578203210305</v>
      </c>
      <c r="AY182" s="124">
        <v>156.55662826185625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147</v>
      </c>
      <c r="M185" s="123">
        <v>104.26678447551956</v>
      </c>
      <c r="N185" s="123">
        <v>109.53356895103911</v>
      </c>
      <c r="O185" s="123">
        <v>111.80035342655867</v>
      </c>
      <c r="P185" s="123">
        <v>75.06713790207823</v>
      </c>
      <c r="Q185" s="123">
        <v>54.333922377597787</v>
      </c>
      <c r="R185" s="123">
        <v>45.600706853117345</v>
      </c>
      <c r="S185" s="123">
        <v>22.867491328636902</v>
      </c>
      <c r="T185" s="123">
        <v>0</v>
      </c>
      <c r="U185" s="123">
        <v>0</v>
      </c>
      <c r="V185" s="123">
        <v>5.6678447551955742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>
        <v>0</v>
      </c>
      <c r="D186" s="105">
        <v>0</v>
      </c>
      <c r="E186" s="105">
        <v>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57.733215524480443</v>
      </c>
      <c r="N186" s="105">
        <v>100.46643104896089</v>
      </c>
      <c r="O186" s="105">
        <v>95.199646573441328</v>
      </c>
      <c r="P186" s="105">
        <v>92.93286209792177</v>
      </c>
      <c r="Q186" s="105">
        <v>129.66607762240221</v>
      </c>
      <c r="R186" s="105">
        <v>150.39929314688266</v>
      </c>
      <c r="S186" s="105">
        <v>159.1325086713631</v>
      </c>
      <c r="T186" s="105">
        <v>149</v>
      </c>
      <c r="U186" s="105">
        <v>200.13427580415646</v>
      </c>
      <c r="V186" s="105">
        <v>204.73321552448044</v>
      </c>
      <c r="W186" s="105">
        <v>183</v>
      </c>
      <c r="X186" s="105">
        <v>133.93462923071513</v>
      </c>
      <c r="Y186" s="105">
        <v>114.20141370623469</v>
      </c>
      <c r="Z186" s="105">
        <v>82.468198181754246</v>
      </c>
      <c r="AA186" s="105">
        <v>68.734982657273804</v>
      </c>
      <c r="AB186" s="105">
        <v>8.0017671327933613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32.865724195843541</v>
      </c>
      <c r="V187" s="105">
        <v>4.5989397203239832</v>
      </c>
      <c r="W187" s="105">
        <v>0</v>
      </c>
      <c r="X187" s="105">
        <v>16.065370769284868</v>
      </c>
      <c r="Y187" s="105">
        <v>70.798586293765311</v>
      </c>
      <c r="Z187" s="105">
        <v>90.531801818245754</v>
      </c>
      <c r="AA187" s="105">
        <v>122.2650173427262</v>
      </c>
      <c r="AB187" s="105">
        <v>135.99823286720664</v>
      </c>
      <c r="AC187" s="105">
        <v>186</v>
      </c>
      <c r="AD187" s="105">
        <v>191.26855160831292</v>
      </c>
      <c r="AE187" s="105">
        <v>168.53533608383248</v>
      </c>
      <c r="AF187" s="105">
        <v>124.80212055935203</v>
      </c>
      <c r="AG187" s="105">
        <v>111.06890503487159</v>
      </c>
      <c r="AH187" s="105">
        <v>151.33568951039115</v>
      </c>
      <c r="AI187" s="105">
        <v>159.60247398591071</v>
      </c>
      <c r="AJ187" s="105">
        <v>174.86925846143026</v>
      </c>
      <c r="AK187" s="105">
        <v>186.13604293694982</v>
      </c>
      <c r="AL187" s="105">
        <v>156.40282741246938</v>
      </c>
      <c r="AM187" s="105">
        <v>98.669611887988935</v>
      </c>
      <c r="AN187" s="105">
        <v>60.936396363508493</v>
      </c>
      <c r="AO187" s="105">
        <v>45.20318083902805</v>
      </c>
      <c r="AP187" s="105">
        <v>39.469965314547608</v>
      </c>
      <c r="AQ187" s="105">
        <v>63.736749790067165</v>
      </c>
      <c r="AR187" s="105">
        <v>58.003534265586723</v>
      </c>
      <c r="AS187" s="105">
        <v>43.27031874110628</v>
      </c>
      <c r="AT187" s="105">
        <v>33.537103216625837</v>
      </c>
      <c r="AU187" s="105">
        <v>0</v>
      </c>
      <c r="AV187" s="105">
        <v>36.266784475519557</v>
      </c>
      <c r="AW187" s="105">
        <v>32.533568951039115</v>
      </c>
      <c r="AX187" s="105">
        <v>38.800353426558672</v>
      </c>
      <c r="AY187" s="105">
        <v>29.06713790207823</v>
      </c>
    </row>
    <row r="188" spans="1:51">
      <c r="A188" s="127"/>
      <c r="B188" s="128">
        <v>4</v>
      </c>
      <c r="C188" s="105">
        <v>182</v>
      </c>
      <c r="D188" s="105">
        <v>182</v>
      </c>
      <c r="E188" s="105">
        <v>178</v>
      </c>
      <c r="F188" s="105">
        <v>184</v>
      </c>
      <c r="G188" s="105">
        <v>203</v>
      </c>
      <c r="H188" s="105">
        <v>201</v>
      </c>
      <c r="I188" s="105">
        <v>183</v>
      </c>
      <c r="J188" s="105">
        <v>166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10.731448391687081</v>
      </c>
      <c r="AE188" s="105">
        <v>13.464663916167524</v>
      </c>
      <c r="AF188" s="105">
        <v>36.197879440647966</v>
      </c>
      <c r="AG188" s="105">
        <v>79.931094965128409</v>
      </c>
      <c r="AH188" s="105">
        <v>93.664310489608852</v>
      </c>
      <c r="AI188" s="105">
        <v>53.397526014089294</v>
      </c>
      <c r="AJ188" s="105">
        <v>45.130741538569737</v>
      </c>
      <c r="AK188" s="105">
        <v>29.863957063050179</v>
      </c>
      <c r="AL188" s="105">
        <v>18.597172587530622</v>
      </c>
      <c r="AM188" s="105">
        <v>48.330388112011065</v>
      </c>
      <c r="AN188" s="105">
        <v>106.06360363649151</v>
      </c>
      <c r="AO188" s="105">
        <v>143.79681916097195</v>
      </c>
      <c r="AP188" s="105">
        <v>159.53003468545239</v>
      </c>
      <c r="AQ188" s="105">
        <v>165.26325020993283</v>
      </c>
      <c r="AR188" s="105">
        <v>140.99646573441328</v>
      </c>
      <c r="AS188" s="105">
        <v>146.72968125889372</v>
      </c>
      <c r="AT188" s="105">
        <v>161.46289678337416</v>
      </c>
      <c r="AU188" s="105">
        <v>161</v>
      </c>
      <c r="AV188" s="105">
        <v>204.73321552448044</v>
      </c>
      <c r="AW188" s="105">
        <v>168.46643104896089</v>
      </c>
      <c r="AX188" s="105">
        <v>172.19964657344133</v>
      </c>
      <c r="AY188" s="105">
        <v>165.93286209792177</v>
      </c>
    </row>
    <row r="189" spans="1:51">
      <c r="A189" s="125" t="s">
        <v>133</v>
      </c>
      <c r="B189" s="122">
        <v>1</v>
      </c>
      <c r="C189" s="123">
        <v>145.33516975598269</v>
      </c>
      <c r="D189" s="123">
        <v>84.535169755982679</v>
      </c>
      <c r="E189" s="123">
        <v>40.735169755982668</v>
      </c>
      <c r="F189" s="123">
        <v>29.763934981096526</v>
      </c>
      <c r="G189" s="123">
        <v>39.835538087089077</v>
      </c>
      <c r="H189" s="123">
        <v>30.9071411930816</v>
      </c>
      <c r="I189" s="123">
        <v>69.978744299074151</v>
      </c>
      <c r="J189" s="123">
        <v>0</v>
      </c>
      <c r="K189" s="123">
        <v>0</v>
      </c>
      <c r="L189" s="123">
        <v>0</v>
      </c>
      <c r="M189" s="123">
        <v>0</v>
      </c>
      <c r="N189" s="123">
        <v>157.92839689400748</v>
      </c>
      <c r="O189" s="123">
        <v>157.92839689400745</v>
      </c>
      <c r="P189" s="123">
        <v>157.92839689400748</v>
      </c>
      <c r="Q189" s="123">
        <v>84.106121100267785</v>
      </c>
      <c r="R189" s="123">
        <v>62.177724206260336</v>
      </c>
      <c r="S189" s="123">
        <v>67.249327312252859</v>
      </c>
      <c r="T189" s="123">
        <v>104.32093041824541</v>
      </c>
      <c r="U189" s="123">
        <v>150.39253352423793</v>
      </c>
      <c r="V189" s="123">
        <v>157.92839689400748</v>
      </c>
      <c r="W189" s="123">
        <v>84.106121100267785</v>
      </c>
      <c r="X189" s="123">
        <v>128.17772420626034</v>
      </c>
      <c r="Y189" s="123">
        <v>132.24932731225286</v>
      </c>
      <c r="Z189" s="123">
        <v>157.92839689400748</v>
      </c>
      <c r="AA189" s="123">
        <v>157.92839689400745</v>
      </c>
      <c r="AB189" s="123">
        <v>157.92839689400748</v>
      </c>
      <c r="AC189" s="123">
        <v>157.92839689400745</v>
      </c>
      <c r="AD189" s="123">
        <v>157.92839689400748</v>
      </c>
      <c r="AE189" s="123">
        <v>84.106121100267785</v>
      </c>
      <c r="AF189" s="123">
        <v>157.92839689400748</v>
      </c>
      <c r="AG189" s="123">
        <v>84.106121100267785</v>
      </c>
      <c r="AH189" s="123">
        <v>157.92839689400748</v>
      </c>
      <c r="AI189" s="123">
        <v>109.17772420626034</v>
      </c>
      <c r="AJ189" s="123">
        <v>157.92839689400748</v>
      </c>
      <c r="AK189" s="123">
        <v>84.106121100267785</v>
      </c>
      <c r="AL189" s="123">
        <v>105.17772420626034</v>
      </c>
      <c r="AM189" s="123">
        <v>157.92839689400745</v>
      </c>
      <c r="AN189" s="123">
        <v>157.92839689400748</v>
      </c>
      <c r="AO189" s="123">
        <v>157.92839689400745</v>
      </c>
      <c r="AP189" s="123">
        <v>157.92839689400748</v>
      </c>
      <c r="AQ189" s="123">
        <v>84.106121100267785</v>
      </c>
      <c r="AR189" s="123">
        <v>157.92839689400748</v>
      </c>
      <c r="AS189" s="123">
        <v>84.106121100267785</v>
      </c>
      <c r="AT189" s="123">
        <v>110.17772420626034</v>
      </c>
      <c r="AU189" s="123">
        <v>84.106121100267785</v>
      </c>
      <c r="AV189" s="123">
        <v>157.92839689400748</v>
      </c>
      <c r="AW189" s="123">
        <v>84.106121100267785</v>
      </c>
      <c r="AX189" s="123">
        <v>122.17772420626034</v>
      </c>
      <c r="AY189" s="123">
        <v>157.92839689400745</v>
      </c>
    </row>
    <row r="190" spans="1:51">
      <c r="A190" s="108"/>
      <c r="B190" s="118">
        <v>2</v>
      </c>
      <c r="C190" s="105">
        <v>104.66483024401731</v>
      </c>
      <c r="D190" s="105">
        <v>68.464830244017321</v>
      </c>
      <c r="E190" s="105">
        <v>129.26483024401733</v>
      </c>
      <c r="F190" s="105">
        <v>159.23606501890347</v>
      </c>
      <c r="G190" s="105">
        <v>128.16446191291092</v>
      </c>
      <c r="H190" s="105">
        <v>118.0928588069184</v>
      </c>
      <c r="I190" s="105">
        <v>127.02125570092585</v>
      </c>
      <c r="J190" s="105">
        <v>87.949652594933326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73.822275793739664</v>
      </c>
      <c r="S190" s="105">
        <v>95.750672687747141</v>
      </c>
      <c r="T190" s="105">
        <v>90.67906958175459</v>
      </c>
      <c r="U190" s="105">
        <v>53.607466475762067</v>
      </c>
      <c r="V190" s="105">
        <v>7.5358633697695154</v>
      </c>
      <c r="W190" s="105">
        <v>0</v>
      </c>
      <c r="X190" s="105">
        <v>73.822275793739664</v>
      </c>
      <c r="Y190" s="105">
        <v>29.750672687747141</v>
      </c>
      <c r="Z190" s="105">
        <v>25.67906958175459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73.822275793739664</v>
      </c>
      <c r="AG190" s="105">
        <v>0</v>
      </c>
      <c r="AH190" s="105">
        <v>0</v>
      </c>
      <c r="AI190" s="105">
        <v>0</v>
      </c>
      <c r="AJ190" s="105">
        <v>48.750672687747112</v>
      </c>
      <c r="AK190" s="105">
        <v>0</v>
      </c>
      <c r="AL190" s="105">
        <v>73.822275793739664</v>
      </c>
      <c r="AM190" s="105">
        <v>52.750672687747141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73.822275793739664</v>
      </c>
      <c r="AU190" s="105">
        <v>47.750672687747141</v>
      </c>
      <c r="AV190" s="105">
        <v>0</v>
      </c>
      <c r="AW190" s="105">
        <v>0</v>
      </c>
      <c r="AX190" s="105">
        <v>73.822275793739664</v>
      </c>
      <c r="AY190" s="105">
        <v>35.750672687747141</v>
      </c>
    </row>
    <row r="191" spans="1:51">
      <c r="A191" s="108"/>
      <c r="B191" s="119">
        <v>3</v>
      </c>
      <c r="C191" s="105">
        <v>0</v>
      </c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73.822275793739664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73.822275793739664</v>
      </c>
      <c r="AT191" s="105">
        <v>0</v>
      </c>
      <c r="AU191" s="105">
        <v>0</v>
      </c>
      <c r="AV191" s="105">
        <v>0</v>
      </c>
      <c r="AW191" s="105">
        <v>73.822275793739664</v>
      </c>
      <c r="AX191" s="105">
        <v>0</v>
      </c>
      <c r="AY191" s="105">
        <v>0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97.081674303240746</v>
      </c>
      <c r="D197" s="105">
        <v>124</v>
      </c>
      <c r="E197" s="105">
        <v>19.363416490462271</v>
      </c>
      <c r="F197" s="105">
        <v>118.27777398245146</v>
      </c>
      <c r="G197" s="105">
        <v>123.65387286192691</v>
      </c>
      <c r="H197" s="105">
        <v>99.277157687021628</v>
      </c>
      <c r="I197" s="105">
        <v>96.42050519245764</v>
      </c>
      <c r="J197" s="105">
        <v>90.469695270823493</v>
      </c>
      <c r="K197" s="105">
        <v>5.4220539422155651</v>
      </c>
      <c r="L197" s="105">
        <v>0</v>
      </c>
      <c r="M197" s="105">
        <v>0</v>
      </c>
      <c r="N197" s="105">
        <v>0</v>
      </c>
      <c r="O197" s="105">
        <v>76.023568834182996</v>
      </c>
      <c r="P197" s="105">
        <v>77.082098704501817</v>
      </c>
      <c r="Q197" s="105">
        <v>76.023568834182996</v>
      </c>
      <c r="R197" s="105">
        <v>40.487003050715813</v>
      </c>
      <c r="S197" s="105">
        <v>111.56013461765019</v>
      </c>
      <c r="T197" s="105">
        <v>55.678865961441133</v>
      </c>
      <c r="U197" s="105">
        <v>111.56013461765019</v>
      </c>
      <c r="V197" s="105">
        <v>81.258150352071667</v>
      </c>
      <c r="W197" s="105">
        <v>76.769925606394338</v>
      </c>
      <c r="X197" s="105">
        <v>40.487003050715813</v>
      </c>
      <c r="Y197" s="105">
        <v>111.56013461765019</v>
      </c>
      <c r="Z197" s="105">
        <v>92.277970292624858</v>
      </c>
      <c r="AA197" s="105">
        <v>83.796356437455159</v>
      </c>
      <c r="AB197" s="105">
        <v>85.652811459599491</v>
      </c>
      <c r="AC197" s="105">
        <v>79.825008711271195</v>
      </c>
      <c r="AD197" s="105">
        <v>76.02356883418301</v>
      </c>
      <c r="AE197" s="105">
        <v>76.023568834182996</v>
      </c>
      <c r="AF197" s="105">
        <v>40.487003050715813</v>
      </c>
      <c r="AG197" s="105">
        <v>111.56013461765019</v>
      </c>
      <c r="AH197" s="105">
        <v>63.273742783981206</v>
      </c>
      <c r="AI197" s="105">
        <v>76.023568834182996</v>
      </c>
      <c r="AJ197" s="105">
        <v>111.56013461765021</v>
      </c>
      <c r="AK197" s="105">
        <v>88.569130443041828</v>
      </c>
      <c r="AL197" s="105">
        <v>44.478308096689439</v>
      </c>
      <c r="AM197" s="105">
        <v>111.56013461765019</v>
      </c>
      <c r="AN197" s="105">
        <v>94.415883525490003</v>
      </c>
      <c r="AO197" s="105">
        <v>76.023568834182996</v>
      </c>
      <c r="AP197" s="105">
        <v>76.02356883418301</v>
      </c>
      <c r="AQ197" s="105">
        <v>76.023568834182996</v>
      </c>
      <c r="AR197" s="105">
        <v>40.487003050715813</v>
      </c>
      <c r="AS197" s="105">
        <v>76.023568834182996</v>
      </c>
      <c r="AT197" s="105">
        <v>76.02356883418301</v>
      </c>
      <c r="AU197" s="105">
        <v>111.56013461765019</v>
      </c>
      <c r="AV197" s="105">
        <v>50.296957413108657</v>
      </c>
      <c r="AW197" s="105">
        <v>76.023568834182996</v>
      </c>
      <c r="AX197" s="105">
        <v>76.02356883418301</v>
      </c>
      <c r="AY197" s="105">
        <v>111.56013461765019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112.63658350953773</v>
      </c>
      <c r="F198" s="105">
        <v>22.722226017548543</v>
      </c>
      <c r="G198" s="105">
        <v>18.346127138073086</v>
      </c>
      <c r="H198" s="105">
        <v>1.6403611020719637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133.26011272973437</v>
      </c>
      <c r="D209" s="123">
        <v>88.779187736006492</v>
      </c>
      <c r="E209" s="123">
        <v>49.857340357218092</v>
      </c>
      <c r="F209" s="123">
        <v>88.064088160107801</v>
      </c>
      <c r="G209" s="123">
        <v>96.946816841180151</v>
      </c>
      <c r="H209" s="123">
        <v>115.45079310959126</v>
      </c>
      <c r="I209" s="123">
        <v>143.51104465185625</v>
      </c>
      <c r="J209" s="123">
        <v>0</v>
      </c>
      <c r="K209" s="123">
        <v>0</v>
      </c>
      <c r="L209" s="123">
        <v>0</v>
      </c>
      <c r="M209" s="123">
        <v>0</v>
      </c>
      <c r="N209" s="123">
        <v>157.07937349050377</v>
      </c>
      <c r="O209" s="123">
        <v>160.37086017176628</v>
      </c>
      <c r="P209" s="123">
        <v>160.37086017176625</v>
      </c>
      <c r="Q209" s="123">
        <v>85.406875849016402</v>
      </c>
      <c r="R209" s="123">
        <v>113.13193396257201</v>
      </c>
      <c r="S209" s="123">
        <v>85.406875849016402</v>
      </c>
      <c r="T209" s="123">
        <v>144.09398803879174</v>
      </c>
      <c r="U209" s="123">
        <v>158.05007221472559</v>
      </c>
      <c r="V209" s="123">
        <v>160.37086017176625</v>
      </c>
      <c r="W209" s="123">
        <v>85.406875849016402</v>
      </c>
      <c r="X209" s="123">
        <v>109.82798234419811</v>
      </c>
      <c r="Y209" s="123">
        <v>136.20146487189893</v>
      </c>
      <c r="Z209" s="123">
        <v>130.4288389393775</v>
      </c>
      <c r="AA209" s="123">
        <v>148.5503257911092</v>
      </c>
      <c r="AB209" s="123">
        <v>160.37086017176625</v>
      </c>
      <c r="AC209" s="123">
        <v>160.37086017176628</v>
      </c>
      <c r="AD209" s="123">
        <v>160.37086017176625</v>
      </c>
      <c r="AE209" s="123">
        <v>85.406875849016402</v>
      </c>
      <c r="AF209" s="123">
        <v>89.515750226830207</v>
      </c>
      <c r="AG209" s="123">
        <v>85.406875849016402</v>
      </c>
      <c r="AH209" s="123">
        <v>160.37086017176625</v>
      </c>
      <c r="AI209" s="123">
        <v>121.36057798475518</v>
      </c>
      <c r="AJ209" s="123">
        <v>147.95994219198238</v>
      </c>
      <c r="AK209" s="123">
        <v>85.406875849016402</v>
      </c>
      <c r="AL209" s="123">
        <v>103.18016528302145</v>
      </c>
      <c r="AM209" s="123">
        <v>160.37086017176628</v>
      </c>
      <c r="AN209" s="123">
        <v>160.37086017176625</v>
      </c>
      <c r="AO209" s="123">
        <v>160.37086017176628</v>
      </c>
      <c r="AP209" s="123">
        <v>160.37086017176625</v>
      </c>
      <c r="AQ209" s="123">
        <v>85.406875849016402</v>
      </c>
      <c r="AR209" s="123">
        <v>160.37086017176625</v>
      </c>
      <c r="AS209" s="123">
        <v>85.406875849016402</v>
      </c>
      <c r="AT209" s="123">
        <v>129.86691783343235</v>
      </c>
      <c r="AU209" s="123">
        <v>85.406875849016402</v>
      </c>
      <c r="AV209" s="123">
        <v>160.37086017176625</v>
      </c>
      <c r="AW209" s="123">
        <v>85.406875849016402</v>
      </c>
      <c r="AX209" s="123">
        <v>133.72179770935315</v>
      </c>
      <c r="AY209" s="123">
        <v>138.47780513628774</v>
      </c>
    </row>
    <row r="210" spans="1:51">
      <c r="A210" s="108"/>
      <c r="B210" s="118">
        <v>2</v>
      </c>
      <c r="C210" s="105">
        <v>55.726956788957793</v>
      </c>
      <c r="D210" s="109">
        <v>0</v>
      </c>
      <c r="E210" s="109">
        <v>85.142659642781908</v>
      </c>
      <c r="F210" s="109">
        <v>103.9359118398922</v>
      </c>
      <c r="G210" s="109">
        <v>49.053183158819849</v>
      </c>
      <c r="H210" s="109">
        <v>43.027106972311472</v>
      </c>
      <c r="I210" s="109">
        <v>30.473940625534524</v>
      </c>
      <c r="J210" s="109">
        <v>11.437761577694436</v>
      </c>
      <c r="K210" s="109">
        <v>0</v>
      </c>
      <c r="L210" s="109">
        <v>0</v>
      </c>
      <c r="M210" s="109">
        <v>0</v>
      </c>
      <c r="N210" s="109">
        <v>0</v>
      </c>
      <c r="O210" s="109">
        <v>2.2329568109436808</v>
      </c>
      <c r="P210" s="109">
        <v>0</v>
      </c>
      <c r="Q210" s="109">
        <v>0</v>
      </c>
      <c r="R210" s="109">
        <v>74.96398432274988</v>
      </c>
      <c r="S210" s="109">
        <v>32.047063298468927</v>
      </c>
      <c r="T210" s="109">
        <v>74.96398432274988</v>
      </c>
      <c r="U210" s="109">
        <v>11.042290615085866</v>
      </c>
      <c r="V210" s="109">
        <v>1.5744311848293404</v>
      </c>
      <c r="W210" s="109">
        <v>0</v>
      </c>
      <c r="X210" s="109">
        <v>74.96398432274988</v>
      </c>
      <c r="Y210" s="109">
        <v>34.288476369126307</v>
      </c>
      <c r="Z210" s="109">
        <v>16.396607696595183</v>
      </c>
      <c r="AA210" s="109">
        <v>20.31277860697228</v>
      </c>
      <c r="AB210" s="109">
        <v>8.0190945035688834</v>
      </c>
      <c r="AC210" s="109">
        <v>0</v>
      </c>
      <c r="AD210" s="109">
        <v>0</v>
      </c>
      <c r="AE210" s="109">
        <v>0</v>
      </c>
      <c r="AF210" s="109">
        <v>74.96398432274988</v>
      </c>
      <c r="AG210" s="109">
        <v>48.068370211670654</v>
      </c>
      <c r="AH210" s="109">
        <v>0</v>
      </c>
      <c r="AI210" s="109">
        <v>0</v>
      </c>
      <c r="AJ210" s="109">
        <v>26.464720578152271</v>
      </c>
      <c r="AK210" s="109">
        <v>8.4196129338102512</v>
      </c>
      <c r="AL210" s="109">
        <v>74.96398432274988</v>
      </c>
      <c r="AM210" s="109">
        <v>38.798380197437815</v>
      </c>
      <c r="AN210" s="109">
        <v>0</v>
      </c>
      <c r="AO210" s="109">
        <v>0</v>
      </c>
      <c r="AP210" s="109">
        <v>0</v>
      </c>
      <c r="AQ210" s="109">
        <v>0</v>
      </c>
      <c r="AR210" s="109">
        <v>0</v>
      </c>
      <c r="AS210" s="109">
        <v>0</v>
      </c>
      <c r="AT210" s="109">
        <v>74.96398432274988</v>
      </c>
      <c r="AU210" s="109">
        <v>20.693987975941063</v>
      </c>
      <c r="AV210" s="109">
        <v>0</v>
      </c>
      <c r="AW210" s="109">
        <v>0</v>
      </c>
      <c r="AX210" s="109">
        <v>74.96398432274988</v>
      </c>
      <c r="AY210" s="109">
        <v>18.078823125568501</v>
      </c>
    </row>
    <row r="211" spans="1:51">
      <c r="A211" s="108"/>
      <c r="B211" s="118">
        <v>3</v>
      </c>
      <c r="C211" s="105">
        <v>0</v>
      </c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74.96398432274988</v>
      </c>
      <c r="AJ211" s="109">
        <v>0</v>
      </c>
      <c r="AK211" s="109">
        <v>0</v>
      </c>
      <c r="AL211" s="109">
        <v>0</v>
      </c>
      <c r="AM211" s="109">
        <v>0</v>
      </c>
      <c r="AN211" s="109">
        <v>0</v>
      </c>
      <c r="AO211" s="109">
        <v>0</v>
      </c>
      <c r="AP211" s="109">
        <v>0</v>
      </c>
      <c r="AQ211" s="109">
        <v>0</v>
      </c>
      <c r="AR211" s="109">
        <v>0</v>
      </c>
      <c r="AS211" s="109">
        <v>74.96398432274988</v>
      </c>
      <c r="AT211" s="109">
        <v>0</v>
      </c>
      <c r="AU211" s="109">
        <v>0</v>
      </c>
      <c r="AV211" s="109">
        <v>0</v>
      </c>
      <c r="AW211" s="109">
        <v>74.96398432274988</v>
      </c>
      <c r="AX211" s="109">
        <v>0</v>
      </c>
      <c r="AY211" s="109">
        <v>0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27355.66763020703</v>
      </c>
      <c r="E259" s="123">
        <f t="shared" ref="E259:AX259" si="5">F$14*$B$259</f>
        <v>88805.535728340954</v>
      </c>
      <c r="F259" s="123">
        <f t="shared" si="5"/>
        <v>81441.252076599267</v>
      </c>
      <c r="G259" s="123">
        <f t="shared" si="5"/>
        <v>64530.152496564056</v>
      </c>
      <c r="H259" s="123">
        <f t="shared" si="5"/>
        <v>62673.328375097466</v>
      </c>
      <c r="I259" s="123">
        <f t="shared" si="5"/>
        <v>58805.301926035274</v>
      </c>
      <c r="J259" s="123">
        <f t="shared" si="5"/>
        <v>3524.3350624401173</v>
      </c>
      <c r="K259" s="123">
        <f t="shared" si="5"/>
        <v>0</v>
      </c>
      <c r="L259" s="123">
        <f t="shared" si="5"/>
        <v>0</v>
      </c>
      <c r="M259" s="123">
        <f t="shared" si="5"/>
        <v>0</v>
      </c>
      <c r="N259" s="123">
        <f t="shared" si="5"/>
        <v>49415.319742218948</v>
      </c>
      <c r="O259" s="123">
        <f t="shared" si="5"/>
        <v>50103.364157926182</v>
      </c>
      <c r="P259" s="123">
        <f t="shared" si="5"/>
        <v>49415.319742218948</v>
      </c>
      <c r="Q259" s="123">
        <f t="shared" si="5"/>
        <v>26316.55198296528</v>
      </c>
      <c r="R259" s="123">
        <f t="shared" si="5"/>
        <v>72514.087501472619</v>
      </c>
      <c r="S259" s="123">
        <f t="shared" si="5"/>
        <v>36191.262874936736</v>
      </c>
      <c r="T259" s="123">
        <f t="shared" si="5"/>
        <v>72514.087501472619</v>
      </c>
      <c r="U259" s="123">
        <f t="shared" si="5"/>
        <v>52817.797728846585</v>
      </c>
      <c r="V259" s="123">
        <f t="shared" si="5"/>
        <v>49900.451644156317</v>
      </c>
      <c r="W259" s="123">
        <f t="shared" si="5"/>
        <v>26316.55198296528</v>
      </c>
      <c r="X259" s="123">
        <f t="shared" si="5"/>
        <v>72514.087501472619</v>
      </c>
      <c r="Y259" s="123">
        <f t="shared" si="5"/>
        <v>59980.680690206158</v>
      </c>
      <c r="Z259" s="123">
        <f t="shared" si="5"/>
        <v>54467.631684345855</v>
      </c>
      <c r="AA259" s="123">
        <f t="shared" si="5"/>
        <v>55674.32744873967</v>
      </c>
      <c r="AB259" s="123">
        <f t="shared" si="5"/>
        <v>51886.255662326279</v>
      </c>
      <c r="AC259" s="123">
        <f t="shared" si="5"/>
        <v>49415.319742218955</v>
      </c>
      <c r="AD259" s="123">
        <f t="shared" si="5"/>
        <v>49415.319742218948</v>
      </c>
      <c r="AE259" s="123">
        <f t="shared" si="5"/>
        <v>26316.55198296528</v>
      </c>
      <c r="AF259" s="123">
        <f t="shared" si="5"/>
        <v>72514.087501472619</v>
      </c>
      <c r="AG259" s="123">
        <f t="shared" si="5"/>
        <v>41127.932809587786</v>
      </c>
      <c r="AH259" s="123">
        <f t="shared" si="5"/>
        <v>49415.319742218948</v>
      </c>
      <c r="AI259" s="123">
        <f t="shared" si="5"/>
        <v>72514.087501472633</v>
      </c>
      <c r="AJ259" s="123">
        <f t="shared" si="5"/>
        <v>57569.934787977189</v>
      </c>
      <c r="AK259" s="123">
        <f t="shared" si="5"/>
        <v>28910.900262848136</v>
      </c>
      <c r="AL259" s="123">
        <f t="shared" si="5"/>
        <v>72514.087501472619</v>
      </c>
      <c r="AM259" s="123">
        <f t="shared" si="5"/>
        <v>61370.324291568504</v>
      </c>
      <c r="AN259" s="123">
        <f t="shared" si="5"/>
        <v>49415.319742218948</v>
      </c>
      <c r="AO259" s="123">
        <f t="shared" si="5"/>
        <v>49415.319742218955</v>
      </c>
      <c r="AP259" s="123">
        <f t="shared" si="5"/>
        <v>49415.319742218948</v>
      </c>
      <c r="AQ259" s="123">
        <f t="shared" si="5"/>
        <v>26316.55198296528</v>
      </c>
      <c r="AR259" s="123">
        <f t="shared" si="5"/>
        <v>49415.319742218948</v>
      </c>
      <c r="AS259" s="123">
        <f t="shared" si="5"/>
        <v>49415.319742218955</v>
      </c>
      <c r="AT259" s="123">
        <f t="shared" si="5"/>
        <v>72514.087501472619</v>
      </c>
      <c r="AU259" s="123">
        <f t="shared" si="5"/>
        <v>32693.022318520627</v>
      </c>
      <c r="AV259" s="123">
        <f t="shared" si="5"/>
        <v>49415.319742218948</v>
      </c>
      <c r="AW259" s="123">
        <f t="shared" si="5"/>
        <v>49415.319742218955</v>
      </c>
      <c r="AX259" s="123">
        <f t="shared" si="5"/>
        <v>72514.087501472619</v>
      </c>
      <c r="AY259" s="123">
        <f>AZ$14*$B$259</f>
        <v>54985.975311167953</v>
      </c>
      <c r="AZ259" s="138">
        <f>SUM($D259:$AY259)</f>
        <v>2353178.1798187089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44698.187942041099</v>
      </c>
      <c r="E260" s="124">
        <f t="shared" ref="E260:AY260" si="6">(E$175-E$176+E$177-E$178+E$179-E$180+E$181-E$182)*$B$260</f>
        <v>57397.877943307256</v>
      </c>
      <c r="F260" s="124">
        <f t="shared" si="6"/>
        <v>50641.020458165032</v>
      </c>
      <c r="G260" s="124">
        <f t="shared" si="6"/>
        <v>47945.407520249893</v>
      </c>
      <c r="H260" s="124">
        <f t="shared" si="6"/>
        <v>35108.458160192531</v>
      </c>
      <c r="I260" s="124">
        <f t="shared" si="6"/>
        <v>19876.553949828252</v>
      </c>
      <c r="J260" s="124">
        <f t="shared" si="6"/>
        <v>2323.9929314688256</v>
      </c>
      <c r="K260" s="124">
        <f t="shared" si="6"/>
        <v>0</v>
      </c>
      <c r="L260" s="124">
        <f t="shared" si="6"/>
        <v>3463.9929314688266</v>
      </c>
      <c r="M260" s="124">
        <f t="shared" si="6"/>
        <v>6027.9858629376531</v>
      </c>
      <c r="N260" s="124">
        <f t="shared" si="6"/>
        <v>5909.4679952822289</v>
      </c>
      <c r="O260" s="124">
        <f t="shared" si="6"/>
        <v>5575.9717258753062</v>
      </c>
      <c r="P260" s="124">
        <f t="shared" si="6"/>
        <v>7779.9646573441332</v>
      </c>
      <c r="Q260" s="124">
        <f t="shared" si="6"/>
        <v>9023.9575888129584</v>
      </c>
      <c r="R260" s="124">
        <f t="shared" si="6"/>
        <v>18127.326454098271</v>
      </c>
      <c r="S260" s="124">
        <f t="shared" si="6"/>
        <v>11923.351079031509</v>
      </c>
      <c r="T260" s="124">
        <f t="shared" si="6"/>
        <v>18448.996699743635</v>
      </c>
      <c r="U260" s="124">
        <f t="shared" si="6"/>
        <v>13151.328394296877</v>
      </c>
      <c r="V260" s="124">
        <f t="shared" si="6"/>
        <v>11943.922246157092</v>
      </c>
      <c r="W260" s="124">
        <f t="shared" si="6"/>
        <v>13247.915177625919</v>
      </c>
      <c r="X260" s="124">
        <f t="shared" si="6"/>
        <v>21349.521140013665</v>
      </c>
      <c r="Y260" s="124">
        <f t="shared" si="6"/>
        <v>20706.808933460885</v>
      </c>
      <c r="Z260" s="124">
        <f t="shared" si="6"/>
        <v>21416.415245975728</v>
      </c>
      <c r="AA260" s="124">
        <f t="shared" si="6"/>
        <v>21153.118966340651</v>
      </c>
      <c r="AB260" s="124">
        <f t="shared" si="6"/>
        <v>24087.879834970052</v>
      </c>
      <c r="AC260" s="124">
        <f t="shared" si="6"/>
        <v>25211.872766438879</v>
      </c>
      <c r="AD260" s="124">
        <f t="shared" si="6"/>
        <v>25375.865697907706</v>
      </c>
      <c r="AE260" s="124">
        <f t="shared" si="6"/>
        <v>26739.858629376533</v>
      </c>
      <c r="AF260" s="124">
        <f t="shared" si="6"/>
        <v>33615.158157541526</v>
      </c>
      <c r="AG260" s="124">
        <f t="shared" si="6"/>
        <v>30187.844492314183</v>
      </c>
      <c r="AH260" s="124">
        <f t="shared" si="6"/>
        <v>27771.83742378301</v>
      </c>
      <c r="AI260" s="124">
        <f t="shared" si="6"/>
        <v>32541.487647737333</v>
      </c>
      <c r="AJ260" s="124">
        <f t="shared" si="6"/>
        <v>27104.478365507697</v>
      </c>
      <c r="AK260" s="124">
        <f t="shared" si="6"/>
        <v>25683.816218189484</v>
      </c>
      <c r="AL260" s="124">
        <f t="shared" si="6"/>
        <v>34064.291204247842</v>
      </c>
      <c r="AM260" s="124">
        <f t="shared" si="6"/>
        <v>30931.802081127142</v>
      </c>
      <c r="AN260" s="124">
        <f t="shared" si="6"/>
        <v>33195.795012595969</v>
      </c>
      <c r="AO260" s="124">
        <f t="shared" si="6"/>
        <v>34139.787944064796</v>
      </c>
      <c r="AP260" s="124">
        <f t="shared" si="6"/>
        <v>34483.780875533623</v>
      </c>
      <c r="AQ260" s="124">
        <f t="shared" si="6"/>
        <v>33027.77380700245</v>
      </c>
      <c r="AR260" s="124">
        <f t="shared" si="6"/>
        <v>33371.766738471277</v>
      </c>
      <c r="AS260" s="124">
        <f t="shared" si="6"/>
        <v>34255.759669940104</v>
      </c>
      <c r="AT260" s="124">
        <f t="shared" si="6"/>
        <v>39535.02950297379</v>
      </c>
      <c r="AU260" s="124">
        <f t="shared" si="6"/>
        <v>37463.745532877758</v>
      </c>
      <c r="AV260" s="124">
        <f t="shared" si="6"/>
        <v>34675.971725875308</v>
      </c>
      <c r="AW260" s="124">
        <f t="shared" si="6"/>
        <v>34899.964657344142</v>
      </c>
      <c r="AX260" s="124">
        <f t="shared" si="6"/>
        <v>38267.941697822578</v>
      </c>
      <c r="AY260" s="124">
        <f t="shared" si="6"/>
        <v>36421.5338224105</v>
      </c>
      <c r="AZ260" s="140">
        <f>SUM($D260:$AY260)</f>
        <v>1234296.5875097718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284</v>
      </c>
    </row>
    <row r="2" spans="1:54">
      <c r="A2" s="99" t="s">
        <v>285</v>
      </c>
      <c r="B2" s="106" t="s">
        <v>59</v>
      </c>
    </row>
    <row r="3" spans="1:54">
      <c r="A3" s="99" t="s">
        <v>286</v>
      </c>
      <c r="B3" s="107">
        <v>10000</v>
      </c>
      <c r="C3" s="108"/>
    </row>
    <row r="4" spans="1:54">
      <c r="B4" s="109"/>
      <c r="C4" s="109"/>
    </row>
    <row r="5" spans="1:54">
      <c r="C5" s="110" t="s">
        <v>287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288</v>
      </c>
      <c r="D7" s="111" t="s">
        <v>289</v>
      </c>
      <c r="E7" s="111" t="s">
        <v>289</v>
      </c>
      <c r="F7" s="111" t="s">
        <v>289</v>
      </c>
      <c r="G7" s="111" t="s">
        <v>289</v>
      </c>
      <c r="H7" s="111" t="s">
        <v>289</v>
      </c>
      <c r="I7" s="111" t="s">
        <v>289</v>
      </c>
      <c r="J7" s="111" t="s">
        <v>289</v>
      </c>
      <c r="K7" s="111" t="s">
        <v>289</v>
      </c>
      <c r="L7" s="111" t="s">
        <v>289</v>
      </c>
      <c r="M7" s="111" t="s">
        <v>289</v>
      </c>
      <c r="N7" s="111" t="s">
        <v>289</v>
      </c>
      <c r="O7" s="111" t="s">
        <v>289</v>
      </c>
      <c r="P7" s="111" t="s">
        <v>289</v>
      </c>
      <c r="Q7" s="111" t="s">
        <v>289</v>
      </c>
      <c r="R7" s="111" t="s">
        <v>289</v>
      </c>
      <c r="S7" s="111" t="s">
        <v>289</v>
      </c>
      <c r="T7" s="111" t="s">
        <v>289</v>
      </c>
      <c r="U7" s="111" t="s">
        <v>289</v>
      </c>
      <c r="V7" s="111" t="s">
        <v>289</v>
      </c>
      <c r="W7" s="111" t="s">
        <v>289</v>
      </c>
      <c r="X7" s="111" t="s">
        <v>289</v>
      </c>
      <c r="Y7" s="111" t="s">
        <v>289</v>
      </c>
      <c r="Z7" s="111" t="s">
        <v>289</v>
      </c>
      <c r="AA7" s="111" t="s">
        <v>289</v>
      </c>
      <c r="AB7" s="111" t="s">
        <v>289</v>
      </c>
      <c r="AC7" s="111" t="s">
        <v>289</v>
      </c>
      <c r="AD7" s="111" t="s">
        <v>289</v>
      </c>
      <c r="AE7" s="111" t="s">
        <v>289</v>
      </c>
      <c r="AF7" s="111" t="s">
        <v>289</v>
      </c>
      <c r="AG7" s="111" t="s">
        <v>289</v>
      </c>
      <c r="AH7" s="111" t="s">
        <v>289</v>
      </c>
      <c r="AI7" s="111" t="s">
        <v>289</v>
      </c>
      <c r="AJ7" s="111" t="s">
        <v>289</v>
      </c>
      <c r="AK7" s="111" t="s">
        <v>289</v>
      </c>
      <c r="AL7" s="111" t="s">
        <v>289</v>
      </c>
      <c r="AM7" s="111" t="s">
        <v>289</v>
      </c>
      <c r="AN7" s="111" t="s">
        <v>289</v>
      </c>
      <c r="AO7" s="111" t="s">
        <v>289</v>
      </c>
      <c r="AP7" s="111" t="s">
        <v>289</v>
      </c>
      <c r="AQ7" s="111" t="s">
        <v>289</v>
      </c>
      <c r="AR7" s="111" t="s">
        <v>289</v>
      </c>
      <c r="AS7" s="111" t="s">
        <v>289</v>
      </c>
      <c r="AT7" s="111" t="s">
        <v>289</v>
      </c>
      <c r="AU7" s="111" t="s">
        <v>289</v>
      </c>
      <c r="AV7" s="111" t="s">
        <v>289</v>
      </c>
      <c r="AW7" s="111" t="s">
        <v>289</v>
      </c>
      <c r="AX7" s="111" t="s">
        <v>289</v>
      </c>
      <c r="AY7" s="110" t="s">
        <v>290</v>
      </c>
      <c r="AZ7" s="110" t="s">
        <v>291</v>
      </c>
    </row>
    <row r="8" spans="1:54">
      <c r="A8" s="101" t="s">
        <v>292</v>
      </c>
      <c r="B8" s="113"/>
      <c r="AY8" s="109"/>
    </row>
    <row r="9" spans="1:54">
      <c r="A9" s="114" t="s">
        <v>125</v>
      </c>
      <c r="B9" s="115">
        <v>1</v>
      </c>
      <c r="C9" s="116" t="s">
        <v>293</v>
      </c>
      <c r="D9" s="116">
        <v>1067.6300853919611</v>
      </c>
      <c r="E9" s="116">
        <v>1067.6300853919611</v>
      </c>
      <c r="F9" s="116">
        <v>1067.6300853919611</v>
      </c>
      <c r="G9" s="116">
        <v>1067.6300853919611</v>
      </c>
      <c r="H9" s="116">
        <v>1067.6300853919611</v>
      </c>
      <c r="I9" s="116">
        <v>1067.6300853919611</v>
      </c>
      <c r="J9" s="116">
        <v>1067.6300853919611</v>
      </c>
      <c r="K9" s="116">
        <v>1067.6300853919611</v>
      </c>
      <c r="L9" s="116">
        <v>1067.6300853919611</v>
      </c>
      <c r="M9" s="116">
        <v>1067.6300853919611</v>
      </c>
      <c r="N9" s="116">
        <v>1067.6300853919611</v>
      </c>
      <c r="O9" s="116">
        <v>1067.6300853919611</v>
      </c>
      <c r="P9" s="116">
        <v>1067.6300853919611</v>
      </c>
      <c r="Q9" s="116">
        <v>1067.6300853919611</v>
      </c>
      <c r="R9" s="116">
        <v>1067.6300853919611</v>
      </c>
      <c r="S9" s="116">
        <v>1067.6300853919611</v>
      </c>
      <c r="T9" s="116">
        <v>1067.6300853919611</v>
      </c>
      <c r="U9" s="116">
        <v>1067.6300853919611</v>
      </c>
      <c r="V9" s="116">
        <v>1067.6300853919611</v>
      </c>
      <c r="W9" s="116">
        <v>1067.6300853919611</v>
      </c>
      <c r="X9" s="116">
        <v>1067.6300853919611</v>
      </c>
      <c r="Y9" s="116">
        <v>1067.6300853919611</v>
      </c>
      <c r="Z9" s="116">
        <v>1067.6300853919611</v>
      </c>
      <c r="AA9" s="116">
        <v>1067.6300853919611</v>
      </c>
      <c r="AB9" s="116">
        <v>1067.6300853919611</v>
      </c>
      <c r="AC9" s="116">
        <v>1067.6300853919611</v>
      </c>
      <c r="AD9" s="116">
        <v>1067.6300853919611</v>
      </c>
      <c r="AE9" s="116">
        <v>1067.6300853919611</v>
      </c>
      <c r="AF9" s="116">
        <v>1067.6300853919611</v>
      </c>
      <c r="AG9" s="116">
        <v>1067.6300853919611</v>
      </c>
      <c r="AH9" s="116">
        <v>1067.6300853919611</v>
      </c>
      <c r="AI9" s="116">
        <v>1067.6300853919611</v>
      </c>
      <c r="AJ9" s="116">
        <v>1067.6300853919611</v>
      </c>
      <c r="AK9" s="116">
        <v>1067.6300853919611</v>
      </c>
      <c r="AL9" s="116">
        <v>1067.6300853919611</v>
      </c>
      <c r="AM9" s="116">
        <v>1067.6300853919611</v>
      </c>
      <c r="AN9" s="116">
        <v>1067.6300853919611</v>
      </c>
      <c r="AO9" s="116">
        <v>1067.6300853919611</v>
      </c>
      <c r="AP9" s="116">
        <v>1067.6300853919611</v>
      </c>
      <c r="AQ9" s="116">
        <v>1067.6300853919611</v>
      </c>
      <c r="AR9" s="116">
        <v>1067.6300853919611</v>
      </c>
      <c r="AS9" s="116">
        <v>1067.6300853919611</v>
      </c>
      <c r="AT9" s="116">
        <v>1067.6300853919611</v>
      </c>
      <c r="AU9" s="116">
        <v>1067.6300853919611</v>
      </c>
      <c r="AV9" s="116">
        <v>1067.6300853919611</v>
      </c>
      <c r="AW9" s="116">
        <v>1067.6300853919611</v>
      </c>
      <c r="AX9" s="116">
        <v>1067.6300853919611</v>
      </c>
      <c r="AY9" s="116">
        <v>1067.6300853919611</v>
      </c>
    </row>
    <row r="10" spans="1:54">
      <c r="A10" s="117" t="s">
        <v>133</v>
      </c>
      <c r="B10" s="118">
        <v>1</v>
      </c>
      <c r="C10" s="105" t="s">
        <v>293</v>
      </c>
      <c r="D10" s="99">
        <v>740.96108294820749</v>
      </c>
      <c r="E10" s="99">
        <v>0</v>
      </c>
      <c r="F10" s="99">
        <v>596.72912211884159</v>
      </c>
      <c r="G10" s="99">
        <v>0</v>
      </c>
      <c r="H10" s="99">
        <v>212.55573121519484</v>
      </c>
      <c r="I10" s="99">
        <v>596.72912211884159</v>
      </c>
      <c r="J10" s="99">
        <v>596.72912294345133</v>
      </c>
      <c r="K10" s="99">
        <v>596.72912294345133</v>
      </c>
      <c r="L10" s="99">
        <v>212.55573121519492</v>
      </c>
      <c r="M10" s="99">
        <v>596.72912294345133</v>
      </c>
      <c r="N10" s="99">
        <v>596.72912294345133</v>
      </c>
      <c r="O10" s="99">
        <v>596.72912294345133</v>
      </c>
      <c r="P10" s="99">
        <v>212.55573121519492</v>
      </c>
      <c r="Q10" s="99">
        <v>0</v>
      </c>
      <c r="R10" s="99">
        <v>596.72912294345133</v>
      </c>
      <c r="S10" s="99">
        <v>0</v>
      </c>
      <c r="T10" s="99">
        <v>596.72912294345133</v>
      </c>
      <c r="U10" s="99">
        <v>596.72912294345133</v>
      </c>
      <c r="V10" s="99">
        <v>596.54063385428276</v>
      </c>
      <c r="W10" s="99">
        <v>596.54063385428276</v>
      </c>
      <c r="X10" s="99">
        <v>212.55573121519487</v>
      </c>
      <c r="Y10" s="99">
        <v>0</v>
      </c>
      <c r="Z10" s="99">
        <v>596.72912294345133</v>
      </c>
      <c r="AA10" s="99">
        <v>596.72912294345133</v>
      </c>
      <c r="AB10" s="99">
        <v>212.55573121519492</v>
      </c>
      <c r="AC10" s="99">
        <v>0</v>
      </c>
      <c r="AD10" s="99">
        <v>596.72912294345133</v>
      </c>
      <c r="AE10" s="99">
        <v>0</v>
      </c>
      <c r="AF10" s="99">
        <v>212.55573121519492</v>
      </c>
      <c r="AG10" s="99">
        <v>596.72912294345133</v>
      </c>
      <c r="AH10" s="99">
        <v>212.55573121519492</v>
      </c>
      <c r="AI10" s="99">
        <v>596.72912294345133</v>
      </c>
      <c r="AJ10" s="99">
        <v>596.72912294345133</v>
      </c>
      <c r="AK10" s="99">
        <v>0</v>
      </c>
      <c r="AL10" s="99">
        <v>212.55573121519492</v>
      </c>
      <c r="AM10" s="99">
        <v>596.72912294345133</v>
      </c>
      <c r="AN10" s="99">
        <v>212.55573121519492</v>
      </c>
      <c r="AO10" s="99">
        <v>596.72912294345133</v>
      </c>
      <c r="AP10" s="99">
        <v>596.72912294345133</v>
      </c>
      <c r="AQ10" s="99">
        <v>596.72912294345133</v>
      </c>
      <c r="AR10" s="99">
        <v>596.72912294345133</v>
      </c>
      <c r="AS10" s="99">
        <v>0</v>
      </c>
      <c r="AT10" s="99">
        <v>0</v>
      </c>
      <c r="AU10" s="99">
        <v>1193.4582458869027</v>
      </c>
      <c r="AV10" s="99">
        <v>596.72912294345133</v>
      </c>
      <c r="AW10" s="99">
        <v>596.72912294345133</v>
      </c>
      <c r="AX10" s="99">
        <v>596.72912294345133</v>
      </c>
      <c r="AY10" s="99">
        <v>596.72912294345133</v>
      </c>
      <c r="AZ10" s="99">
        <v>0</v>
      </c>
    </row>
    <row r="11" spans="1:54">
      <c r="B11" s="118">
        <v>2</v>
      </c>
      <c r="C11" s="105" t="s">
        <v>293</v>
      </c>
      <c r="D11" s="99">
        <v>0</v>
      </c>
      <c r="F11" s="99">
        <v>0</v>
      </c>
      <c r="G11" s="99">
        <v>0</v>
      </c>
      <c r="I11" s="99">
        <v>384.17339090364675</v>
      </c>
      <c r="L11" s="99">
        <v>0</v>
      </c>
      <c r="M11" s="99">
        <v>384.17339172825643</v>
      </c>
      <c r="N11" s="99">
        <v>0</v>
      </c>
      <c r="O11" s="99">
        <v>0</v>
      </c>
      <c r="Q11" s="99">
        <v>384.17339172825643</v>
      </c>
      <c r="R11" s="99">
        <v>0</v>
      </c>
      <c r="S11" s="99">
        <v>0</v>
      </c>
      <c r="T11" s="99">
        <v>596.72912294345133</v>
      </c>
      <c r="W11" s="99">
        <v>0</v>
      </c>
      <c r="Y11" s="99">
        <v>383.98490263908786</v>
      </c>
      <c r="Z11" s="99">
        <v>0</v>
      </c>
      <c r="AB11" s="99">
        <v>0</v>
      </c>
      <c r="AC11" s="99">
        <v>384.17339172825643</v>
      </c>
      <c r="AD11" s="99">
        <v>596.72912294345133</v>
      </c>
      <c r="AF11" s="99">
        <v>0</v>
      </c>
      <c r="AG11" s="99">
        <v>0</v>
      </c>
      <c r="AH11" s="99">
        <v>0</v>
      </c>
      <c r="AK11" s="99">
        <v>0</v>
      </c>
      <c r="AL11" s="99">
        <v>596.72912294345133</v>
      </c>
      <c r="AO11" s="99">
        <v>384.17339172825643</v>
      </c>
      <c r="AP11" s="99">
        <v>0</v>
      </c>
      <c r="AQ11" s="99">
        <v>0</v>
      </c>
      <c r="AR11" s="99">
        <v>0</v>
      </c>
      <c r="AS11" s="99">
        <v>0</v>
      </c>
      <c r="AT11" s="99">
        <v>596.72912294345133</v>
      </c>
      <c r="AU11" s="99">
        <v>0</v>
      </c>
      <c r="AW11" s="99">
        <v>0</v>
      </c>
      <c r="AY11" s="99">
        <v>0</v>
      </c>
      <c r="AZ11" s="99">
        <v>0</v>
      </c>
      <c r="BA11" s="99">
        <v>596.72912294345133</v>
      </c>
    </row>
    <row r="12" spans="1:54">
      <c r="B12" s="119">
        <v>3</v>
      </c>
      <c r="C12" s="105" t="s">
        <v>293</v>
      </c>
      <c r="F12" s="99">
        <v>0</v>
      </c>
      <c r="G12" s="99">
        <v>783.93671942379149</v>
      </c>
      <c r="I12" s="99">
        <v>596.72912211884159</v>
      </c>
      <c r="K12" s="99">
        <v>0</v>
      </c>
      <c r="L12" s="99">
        <v>0</v>
      </c>
      <c r="M12" s="99">
        <v>0</v>
      </c>
      <c r="Q12" s="99">
        <v>0</v>
      </c>
      <c r="R12" s="99">
        <v>0</v>
      </c>
      <c r="S12" s="99">
        <v>596.72912294345133</v>
      </c>
      <c r="W12" s="99">
        <v>0</v>
      </c>
      <c r="X12" s="99">
        <v>0</v>
      </c>
      <c r="Y12" s="99">
        <v>0</v>
      </c>
      <c r="Z12" s="99">
        <v>0</v>
      </c>
      <c r="AA12" s="99">
        <v>596.54063385428276</v>
      </c>
      <c r="AB12" s="99">
        <v>0</v>
      </c>
      <c r="AC12" s="99">
        <v>0</v>
      </c>
      <c r="AE12" s="99">
        <v>0</v>
      </c>
      <c r="AF12" s="99">
        <v>0</v>
      </c>
      <c r="AG12" s="99">
        <v>596.72912294345133</v>
      </c>
      <c r="AH12" s="99">
        <v>384.17339172825643</v>
      </c>
      <c r="AJ12" s="99">
        <v>384.17339172825643</v>
      </c>
      <c r="AK12" s="99">
        <v>0</v>
      </c>
      <c r="AM12" s="99">
        <v>0</v>
      </c>
      <c r="AN12" s="99">
        <v>384.17339172825643</v>
      </c>
      <c r="AS12" s="99">
        <v>0</v>
      </c>
      <c r="AV12" s="99">
        <v>0</v>
      </c>
      <c r="AW12" s="99">
        <v>0</v>
      </c>
      <c r="AX12" s="99">
        <v>0</v>
      </c>
      <c r="AY12" s="99">
        <v>0</v>
      </c>
      <c r="AZ12" s="99">
        <v>0</v>
      </c>
      <c r="BB12" s="99">
        <v>0</v>
      </c>
    </row>
    <row r="13" spans="1:54">
      <c r="B13" s="119">
        <v>4</v>
      </c>
      <c r="C13" s="105" t="s">
        <v>293</v>
      </c>
      <c r="W13" s="99">
        <v>0</v>
      </c>
      <c r="AB13" s="99">
        <v>0</v>
      </c>
      <c r="AK13" s="99">
        <v>0</v>
      </c>
      <c r="AP13" s="99">
        <v>0</v>
      </c>
    </row>
    <row r="14" spans="1:54">
      <c r="A14" s="114" t="s">
        <v>134</v>
      </c>
      <c r="B14" s="120">
        <v>1</v>
      </c>
      <c r="C14" s="116" t="s">
        <v>293</v>
      </c>
      <c r="D14" s="116">
        <v>1114.5722892359399</v>
      </c>
      <c r="E14" s="116">
        <f t="shared" ref="E14:AZ14" si="0">D$172*SUM(D$122:D$169)</f>
        <v>590.36330755155188</v>
      </c>
      <c r="F14" s="116">
        <f t="shared" si="0"/>
        <v>272.29782436766288</v>
      </c>
      <c r="G14" s="116">
        <f t="shared" si="0"/>
        <v>337.49583020201203</v>
      </c>
      <c r="H14" s="116">
        <f t="shared" si="0"/>
        <v>416.28839964719231</v>
      </c>
      <c r="I14" s="116">
        <f t="shared" si="0"/>
        <v>236.69203473704462</v>
      </c>
      <c r="J14" s="116">
        <f t="shared" si="0"/>
        <v>750.34141173244052</v>
      </c>
      <c r="K14" s="116">
        <f t="shared" si="0"/>
        <v>593.39023194115737</v>
      </c>
      <c r="L14" s="116">
        <f t="shared" si="0"/>
        <v>474.09736391689444</v>
      </c>
      <c r="M14" s="116">
        <f t="shared" si="0"/>
        <v>291.55883852740033</v>
      </c>
      <c r="N14" s="116">
        <f t="shared" si="0"/>
        <v>499.18803258845787</v>
      </c>
      <c r="O14" s="116">
        <f t="shared" si="0"/>
        <v>451.18032022827305</v>
      </c>
      <c r="P14" s="116">
        <f t="shared" si="0"/>
        <v>385.84422904919529</v>
      </c>
      <c r="Q14" s="116">
        <f t="shared" si="0"/>
        <v>202.27077537020872</v>
      </c>
      <c r="R14" s="116">
        <f t="shared" si="0"/>
        <v>248.03465240328168</v>
      </c>
      <c r="S14" s="116">
        <f t="shared" si="0"/>
        <v>337.49583054907652</v>
      </c>
      <c r="T14" s="116">
        <f t="shared" si="0"/>
        <v>337.49583054907652</v>
      </c>
      <c r="U14" s="116">
        <f t="shared" si="0"/>
        <v>588.64921073425273</v>
      </c>
      <c r="V14" s="116">
        <f t="shared" si="0"/>
        <v>477.40680894551741</v>
      </c>
      <c r="W14" s="116">
        <f t="shared" si="0"/>
        <v>458.24840025550861</v>
      </c>
      <c r="X14" s="116">
        <f t="shared" si="0"/>
        <v>386.40228688262675</v>
      </c>
      <c r="Y14" s="116">
        <f t="shared" si="0"/>
        <v>202.61857539658601</v>
      </c>
      <c r="Z14" s="116">
        <f t="shared" si="0"/>
        <v>247.95532047518816</v>
      </c>
      <c r="AA14" s="116">
        <f t="shared" si="0"/>
        <v>337.49583054907652</v>
      </c>
      <c r="AB14" s="116">
        <f t="shared" si="0"/>
        <v>588.56987880615907</v>
      </c>
      <c r="AC14" s="116">
        <f t="shared" si="0"/>
        <v>282.60309633957081</v>
      </c>
      <c r="AD14" s="116">
        <f t="shared" si="0"/>
        <v>248.03465240328168</v>
      </c>
      <c r="AE14" s="116">
        <f t="shared" si="0"/>
        <v>588.64921073425273</v>
      </c>
      <c r="AF14" s="116">
        <f t="shared" si="0"/>
        <v>150.80552474863575</v>
      </c>
      <c r="AG14" s="116">
        <f t="shared" si="0"/>
        <v>175.80362850969516</v>
      </c>
      <c r="AH14" s="116">
        <f t="shared" si="0"/>
        <v>588.64921073425273</v>
      </c>
      <c r="AI14" s="116">
        <f t="shared" si="0"/>
        <v>463.92907436631708</v>
      </c>
      <c r="AJ14" s="116">
        <f t="shared" si="0"/>
        <v>380.22605860047838</v>
      </c>
      <c r="AK14" s="116">
        <f t="shared" si="0"/>
        <v>500.67802834147034</v>
      </c>
      <c r="AL14" s="116">
        <f t="shared" si="0"/>
        <v>165.15846189875418</v>
      </c>
      <c r="AM14" s="116">
        <f t="shared" si="0"/>
        <v>426.95700869487126</v>
      </c>
      <c r="AN14" s="116">
        <f t="shared" si="0"/>
        <v>390.47873718649078</v>
      </c>
      <c r="AO14" s="116">
        <f t="shared" si="0"/>
        <v>350.64355487363105</v>
      </c>
      <c r="AP14" s="116">
        <f t="shared" si="0"/>
        <v>499.18803258845787</v>
      </c>
      <c r="AQ14" s="116">
        <f t="shared" si="0"/>
        <v>401.36095430483897</v>
      </c>
      <c r="AR14" s="116">
        <f t="shared" si="0"/>
        <v>363.4608012542331</v>
      </c>
      <c r="AS14" s="116">
        <f t="shared" si="0"/>
        <v>337.49583054907652</v>
      </c>
      <c r="AT14" s="116">
        <f t="shared" si="0"/>
        <v>86.342450363900312</v>
      </c>
      <c r="AU14" s="116">
        <f t="shared" si="0"/>
        <v>337.49583054907646</v>
      </c>
      <c r="AV14" s="116">
        <f t="shared" si="0"/>
        <v>588.64921073425273</v>
      </c>
      <c r="AW14" s="116">
        <f t="shared" si="0"/>
        <v>446.49817979937592</v>
      </c>
      <c r="AX14" s="116">
        <f t="shared" si="0"/>
        <v>390.4615060087645</v>
      </c>
      <c r="AY14" s="116">
        <f t="shared" si="0"/>
        <v>337.49583054907652</v>
      </c>
      <c r="AZ14" s="109">
        <f t="shared" si="0"/>
        <v>337.49583054907652</v>
      </c>
      <c r="BA14" s="106">
        <f>SUM($E14:$AZ14)</f>
        <v>18549.941930087669</v>
      </c>
    </row>
    <row r="15" spans="1:54">
      <c r="A15" s="121" t="s">
        <v>123</v>
      </c>
      <c r="B15" s="122">
        <v>1</v>
      </c>
      <c r="C15" s="123" t="s">
        <v>293</v>
      </c>
      <c r="D15" s="123">
        <v>1223.1542646571691</v>
      </c>
      <c r="E15" s="123">
        <v>229.16666666666671</v>
      </c>
      <c r="F15" s="123">
        <v>895.76788816305555</v>
      </c>
      <c r="G15" s="123">
        <v>229.16666666666671</v>
      </c>
      <c r="H15" s="123">
        <v>466.61093545147196</v>
      </c>
      <c r="I15" s="123">
        <v>895.76788816305555</v>
      </c>
      <c r="J15" s="123">
        <v>895.7678890842202</v>
      </c>
      <c r="K15" s="123">
        <v>895.7678890842202</v>
      </c>
      <c r="L15" s="123">
        <v>466.61093545147196</v>
      </c>
      <c r="M15" s="123">
        <v>895.7678890842202</v>
      </c>
      <c r="N15" s="123">
        <v>895.7678890842202</v>
      </c>
      <c r="O15" s="123">
        <v>895.7678890842202</v>
      </c>
      <c r="P15" s="123">
        <v>466.61093545147196</v>
      </c>
      <c r="Q15" s="123">
        <v>229.16666666666671</v>
      </c>
      <c r="R15" s="123">
        <v>895.7678890842202</v>
      </c>
      <c r="S15" s="123">
        <v>229.16666666666671</v>
      </c>
      <c r="T15" s="123">
        <v>895.7678890842202</v>
      </c>
      <c r="U15" s="123">
        <v>895.7678890842202</v>
      </c>
      <c r="V15" s="123">
        <v>895.55732946441776</v>
      </c>
      <c r="W15" s="123">
        <v>895.55732946441776</v>
      </c>
      <c r="X15" s="123">
        <v>466.61093545147196</v>
      </c>
      <c r="Y15" s="123">
        <v>229.16666666666671</v>
      </c>
      <c r="Z15" s="123">
        <v>895.7678890842202</v>
      </c>
      <c r="AA15" s="123">
        <v>895.7678890842202</v>
      </c>
      <c r="AB15" s="123">
        <v>466.61093545147196</v>
      </c>
      <c r="AC15" s="123">
        <v>229.16666666666671</v>
      </c>
      <c r="AD15" s="123">
        <v>895.7678890842202</v>
      </c>
      <c r="AE15" s="123">
        <v>229.16666666666671</v>
      </c>
      <c r="AF15" s="123">
        <v>466.61093545147196</v>
      </c>
      <c r="AG15" s="123">
        <v>895.7678890842202</v>
      </c>
      <c r="AH15" s="123">
        <v>466.61093545147196</v>
      </c>
      <c r="AI15" s="123">
        <v>895.7678890842202</v>
      </c>
      <c r="AJ15" s="123">
        <v>895.7678890842202</v>
      </c>
      <c r="AK15" s="123">
        <v>229.16666666666671</v>
      </c>
      <c r="AL15" s="123">
        <v>466.61093545147196</v>
      </c>
      <c r="AM15" s="123">
        <v>895.7678890842202</v>
      </c>
      <c r="AN15" s="123">
        <v>466.61093545147196</v>
      </c>
      <c r="AO15" s="123">
        <v>895.7678890842202</v>
      </c>
      <c r="AP15" s="123">
        <v>895.7678890842202</v>
      </c>
      <c r="AQ15" s="123">
        <v>895.7678890842202</v>
      </c>
      <c r="AR15" s="123">
        <v>895.7678890842202</v>
      </c>
      <c r="AS15" s="123">
        <v>229.16666666666671</v>
      </c>
      <c r="AT15" s="123">
        <v>229.16666666666671</v>
      </c>
      <c r="AU15" s="123">
        <v>1562.3691115017737</v>
      </c>
      <c r="AV15" s="123">
        <v>895.7678890842202</v>
      </c>
      <c r="AW15" s="123">
        <v>895.7678890842202</v>
      </c>
      <c r="AX15" s="123">
        <v>895.7678890842202</v>
      </c>
      <c r="AY15" s="123">
        <v>895.7678890842202</v>
      </c>
      <c r="AZ15" s="99">
        <v>0</v>
      </c>
    </row>
    <row r="16" spans="1:54">
      <c r="A16" s="109"/>
      <c r="B16" s="118">
        <v>2</v>
      </c>
      <c r="C16" s="108" t="s">
        <v>293</v>
      </c>
      <c r="D16" s="105">
        <v>0</v>
      </c>
      <c r="E16" s="109"/>
      <c r="F16" s="109">
        <v>0</v>
      </c>
      <c r="G16" s="109">
        <v>0</v>
      </c>
      <c r="H16" s="109"/>
      <c r="I16" s="109">
        <v>429.15695271158359</v>
      </c>
      <c r="J16" s="109"/>
      <c r="K16" s="109"/>
      <c r="L16" s="109">
        <v>0</v>
      </c>
      <c r="M16" s="109">
        <v>429.15695363274824</v>
      </c>
      <c r="N16" s="109">
        <v>0</v>
      </c>
      <c r="O16" s="109">
        <v>0</v>
      </c>
      <c r="P16" s="109"/>
      <c r="Q16" s="109">
        <v>429.15695363274824</v>
      </c>
      <c r="R16" s="109">
        <v>0</v>
      </c>
      <c r="S16" s="109">
        <v>0</v>
      </c>
      <c r="T16" s="109">
        <v>666.60122241755346</v>
      </c>
      <c r="U16" s="109"/>
      <c r="V16" s="109"/>
      <c r="W16" s="109">
        <v>0</v>
      </c>
      <c r="X16" s="109"/>
      <c r="Y16" s="109">
        <v>428.9463940129458</v>
      </c>
      <c r="Z16" s="109">
        <v>0</v>
      </c>
      <c r="AA16" s="109"/>
      <c r="AB16" s="109">
        <v>0</v>
      </c>
      <c r="AC16" s="109">
        <v>429.15695363274824</v>
      </c>
      <c r="AD16" s="109">
        <v>666.60122241755346</v>
      </c>
      <c r="AE16" s="109"/>
      <c r="AF16" s="109">
        <v>0</v>
      </c>
      <c r="AG16" s="109">
        <v>0</v>
      </c>
      <c r="AH16" s="109">
        <v>0</v>
      </c>
      <c r="AI16" s="109"/>
      <c r="AJ16" s="109"/>
      <c r="AK16" s="109">
        <v>0</v>
      </c>
      <c r="AL16" s="109">
        <v>666.60122241755346</v>
      </c>
      <c r="AM16" s="109"/>
      <c r="AN16" s="109"/>
      <c r="AO16" s="109">
        <v>429.15695363274824</v>
      </c>
      <c r="AP16" s="109">
        <v>0</v>
      </c>
      <c r="AQ16" s="109">
        <v>0</v>
      </c>
      <c r="AR16" s="109">
        <v>0</v>
      </c>
      <c r="AS16" s="109">
        <v>0</v>
      </c>
      <c r="AT16" s="109">
        <v>666.60122241755346</v>
      </c>
      <c r="AU16" s="109">
        <v>0</v>
      </c>
      <c r="AV16" s="109"/>
      <c r="AW16" s="109">
        <v>0</v>
      </c>
      <c r="AX16" s="109"/>
      <c r="AY16" s="109">
        <v>0</v>
      </c>
      <c r="AZ16" s="99">
        <v>0</v>
      </c>
      <c r="BA16" s="99">
        <v>666.60122241755346</v>
      </c>
    </row>
    <row r="17" spans="1:54">
      <c r="A17" s="109"/>
      <c r="B17" s="118">
        <v>3</v>
      </c>
      <c r="C17" s="108" t="s">
        <v>293</v>
      </c>
      <c r="D17" s="105"/>
      <c r="E17" s="109"/>
      <c r="F17" s="109">
        <v>0</v>
      </c>
      <c r="G17" s="109">
        <v>875.72929721988339</v>
      </c>
      <c r="H17" s="109"/>
      <c r="I17" s="109">
        <v>666.6012214963888</v>
      </c>
      <c r="J17" s="109"/>
      <c r="K17" s="109">
        <v>0</v>
      </c>
      <c r="L17" s="109">
        <v>0</v>
      </c>
      <c r="M17" s="109">
        <v>0</v>
      </c>
      <c r="N17" s="109"/>
      <c r="O17" s="109"/>
      <c r="P17" s="109"/>
      <c r="Q17" s="109">
        <v>0</v>
      </c>
      <c r="R17" s="109">
        <v>0</v>
      </c>
      <c r="S17" s="109">
        <v>666.60122241755346</v>
      </c>
      <c r="T17" s="109"/>
      <c r="U17" s="109"/>
      <c r="V17" s="109"/>
      <c r="W17" s="109">
        <v>0</v>
      </c>
      <c r="X17" s="109">
        <v>0</v>
      </c>
      <c r="Y17" s="109">
        <v>0</v>
      </c>
      <c r="Z17" s="109">
        <v>0</v>
      </c>
      <c r="AA17" s="109">
        <v>666.39066279775102</v>
      </c>
      <c r="AB17" s="109">
        <v>0</v>
      </c>
      <c r="AC17" s="109">
        <v>0</v>
      </c>
      <c r="AD17" s="109"/>
      <c r="AE17" s="109">
        <v>0</v>
      </c>
      <c r="AF17" s="109">
        <v>0</v>
      </c>
      <c r="AG17" s="109">
        <v>666.60122241755346</v>
      </c>
      <c r="AH17" s="109">
        <v>429.15695363274824</v>
      </c>
      <c r="AI17" s="109"/>
      <c r="AJ17" s="109">
        <v>429.15695363274824</v>
      </c>
      <c r="AK17" s="109">
        <v>0</v>
      </c>
      <c r="AL17" s="109"/>
      <c r="AM17" s="109">
        <v>0</v>
      </c>
      <c r="AN17" s="109">
        <v>429.15695363274824</v>
      </c>
      <c r="AO17" s="109"/>
      <c r="AP17" s="109"/>
      <c r="AQ17" s="109"/>
      <c r="AR17" s="109"/>
      <c r="AS17" s="109">
        <v>0</v>
      </c>
      <c r="AT17" s="109"/>
      <c r="AU17" s="109"/>
      <c r="AV17" s="109">
        <v>0</v>
      </c>
      <c r="AW17" s="109">
        <v>0</v>
      </c>
      <c r="AX17" s="109">
        <v>0</v>
      </c>
      <c r="AY17" s="109">
        <v>0</v>
      </c>
      <c r="AZ17" s="99">
        <v>0</v>
      </c>
      <c r="BB17" s="99">
        <v>0</v>
      </c>
    </row>
    <row r="18" spans="1:54">
      <c r="A18" s="124"/>
      <c r="B18" s="115">
        <v>4</v>
      </c>
      <c r="C18" s="124" t="s">
        <v>293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>
        <v>0</v>
      </c>
      <c r="X18" s="124"/>
      <c r="Y18" s="124"/>
      <c r="Z18" s="124"/>
      <c r="AA18" s="124"/>
      <c r="AB18" s="124">
        <v>0</v>
      </c>
      <c r="AC18" s="124"/>
      <c r="AD18" s="124"/>
      <c r="AE18" s="124"/>
      <c r="AF18" s="124"/>
      <c r="AG18" s="124"/>
      <c r="AH18" s="124"/>
      <c r="AI18" s="124"/>
      <c r="AJ18" s="124"/>
      <c r="AK18" s="124">
        <v>0</v>
      </c>
      <c r="AL18" s="124"/>
      <c r="AM18" s="124"/>
      <c r="AN18" s="124"/>
      <c r="AO18" s="124"/>
      <c r="AP18" s="124">
        <v>0</v>
      </c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4">
      <c r="A20" s="101" t="s">
        <v>294</v>
      </c>
    </row>
    <row r="21" spans="1:54">
      <c r="A21" s="125" t="s">
        <v>125</v>
      </c>
      <c r="B21" s="122">
        <v>1</v>
      </c>
      <c r="C21" s="123" t="s">
        <v>293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293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293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293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293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293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293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293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293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293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293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293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293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293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293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293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293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293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293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293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293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293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293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293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293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293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293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293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293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293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293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293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293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293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293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293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293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293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293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293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293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293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293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293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293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293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293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293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293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293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293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293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293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293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293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293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293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293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293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293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293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293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293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293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293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293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293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295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>
        <v>702.60690989603677</v>
      </c>
      <c r="D95" s="109">
        <v>1067.6300853919611</v>
      </c>
      <c r="E95" s="109">
        <v>1067.6300853919611</v>
      </c>
      <c r="F95" s="109">
        <v>1067.6300853919611</v>
      </c>
      <c r="G95" s="109">
        <v>1067.6300853919611</v>
      </c>
      <c r="H95" s="109">
        <v>1067.6300853919611</v>
      </c>
      <c r="I95" s="109">
        <v>1067.6300853919611</v>
      </c>
      <c r="J95" s="109">
        <v>1067.6300853919611</v>
      </c>
      <c r="K95" s="109">
        <v>1067.6300853919611</v>
      </c>
      <c r="L95" s="109">
        <v>1067.6300853919611</v>
      </c>
      <c r="M95" s="109">
        <v>1067.6300853919611</v>
      </c>
      <c r="N95" s="109">
        <v>1067.6300853919611</v>
      </c>
      <c r="O95" s="109">
        <v>1067.6300853919611</v>
      </c>
      <c r="P95" s="109">
        <v>1067.6300853919611</v>
      </c>
      <c r="Q95" s="109">
        <v>1067.6300853919611</v>
      </c>
      <c r="R95" s="109">
        <v>1067.6300853919611</v>
      </c>
      <c r="S95" s="109">
        <v>1067.6300853919611</v>
      </c>
      <c r="T95" s="109">
        <v>1067.6300853919611</v>
      </c>
      <c r="U95" s="109">
        <v>1067.6300853919611</v>
      </c>
      <c r="V95" s="109">
        <v>1067.6300853919611</v>
      </c>
      <c r="W95" s="109">
        <v>1067.6300853919611</v>
      </c>
      <c r="X95" s="109">
        <v>1067.6300853919611</v>
      </c>
      <c r="Y95" s="109">
        <v>1067.6300853919611</v>
      </c>
      <c r="Z95" s="109">
        <v>1067.6300853919611</v>
      </c>
      <c r="AA95" s="109">
        <v>1067.6300853919611</v>
      </c>
      <c r="AB95" s="109">
        <v>1067.6300853919611</v>
      </c>
      <c r="AC95" s="109">
        <v>1067.6300853919611</v>
      </c>
      <c r="AD95" s="109">
        <v>1067.6300853919611</v>
      </c>
      <c r="AE95" s="109">
        <v>1067.6300853919611</v>
      </c>
      <c r="AF95" s="109">
        <v>1067.6300853919611</v>
      </c>
      <c r="AG95" s="109">
        <v>1067.6300853919611</v>
      </c>
      <c r="AH95" s="109">
        <v>1067.6300853919611</v>
      </c>
      <c r="AI95" s="109">
        <v>1067.6300853919611</v>
      </c>
      <c r="AJ95" s="109">
        <v>1067.6300853919611</v>
      </c>
      <c r="AK95" s="109">
        <v>1067.6300853919611</v>
      </c>
      <c r="AL95" s="109">
        <v>1067.6300853919611</v>
      </c>
      <c r="AM95" s="109">
        <v>1067.6300853919611</v>
      </c>
      <c r="AN95" s="109">
        <v>1067.6300853919611</v>
      </c>
      <c r="AO95" s="109">
        <v>1067.6300853919611</v>
      </c>
      <c r="AP95" s="109">
        <v>1067.6300853919611</v>
      </c>
      <c r="AQ95" s="109">
        <v>1067.6300853919611</v>
      </c>
      <c r="AR95" s="109">
        <v>1067.6300853919611</v>
      </c>
      <c r="AS95" s="109">
        <v>1067.6300853919611</v>
      </c>
      <c r="AT95" s="109">
        <v>1067.6300853919611</v>
      </c>
      <c r="AU95" s="109">
        <v>1067.6300853919611</v>
      </c>
      <c r="AV95" s="109">
        <v>1067.6300853919611</v>
      </c>
      <c r="AW95" s="109">
        <v>1067.6300853919611</v>
      </c>
      <c r="AX95" s="109">
        <v>1067.6300853919611</v>
      </c>
      <c r="AY95" s="109">
        <v>1067.6300853919611</v>
      </c>
    </row>
    <row r="96" spans="1:52">
      <c r="A96" s="108"/>
      <c r="B96" s="119">
        <v>2</v>
      </c>
      <c r="C96" s="109">
        <v>0</v>
      </c>
      <c r="D96" s="109">
        <v>0</v>
      </c>
      <c r="E96" s="109">
        <v>211.63008539196107</v>
      </c>
      <c r="F96" s="109">
        <v>326.26017078392215</v>
      </c>
      <c r="G96" s="109">
        <v>370.89025617588322</v>
      </c>
      <c r="H96" s="109">
        <v>182.5203415678443</v>
      </c>
      <c r="I96" s="109">
        <v>180.15042695980537</v>
      </c>
      <c r="J96" s="109">
        <v>379.78051235176645</v>
      </c>
      <c r="K96" s="109">
        <v>447.41059774372752</v>
      </c>
      <c r="L96" s="109">
        <v>585.0406831356886</v>
      </c>
      <c r="M96" s="109">
        <v>628.67076852764967</v>
      </c>
      <c r="N96" s="109">
        <v>703.30085391961074</v>
      </c>
      <c r="O96" s="109">
        <v>677.93093931157182</v>
      </c>
      <c r="P96" s="109">
        <v>859.56102470353289</v>
      </c>
      <c r="Q96" s="109">
        <v>805.19111009549397</v>
      </c>
      <c r="R96" s="109">
        <v>954.82119548745504</v>
      </c>
      <c r="S96" s="109">
        <v>954.45128087941612</v>
      </c>
      <c r="T96" s="109">
        <v>972.08136627137719</v>
      </c>
      <c r="U96" s="109">
        <v>1067.6300853919611</v>
      </c>
      <c r="V96" s="109">
        <v>1004.3415370552993</v>
      </c>
      <c r="W96" s="109">
        <v>1057.9716224472604</v>
      </c>
      <c r="X96" s="109">
        <v>1067.6300853919611</v>
      </c>
      <c r="Y96" s="109">
        <v>1067.6300853919611</v>
      </c>
      <c r="Z96" s="109">
        <v>1067.6300853919611</v>
      </c>
      <c r="AA96" s="109">
        <v>1067.6300853919611</v>
      </c>
      <c r="AB96" s="109">
        <v>958.12204940706579</v>
      </c>
      <c r="AC96" s="109">
        <v>1005.7521347990269</v>
      </c>
      <c r="AD96" s="109">
        <v>1067.6300853919611</v>
      </c>
      <c r="AE96" s="109">
        <v>1067.6300853919611</v>
      </c>
      <c r="AF96" s="109">
        <v>1067.6300853919611</v>
      </c>
      <c r="AG96" s="109">
        <v>1067.6300853919611</v>
      </c>
      <c r="AH96" s="109">
        <v>1067.6300853919611</v>
      </c>
      <c r="AI96" s="109">
        <v>1067.6300853919611</v>
      </c>
      <c r="AJ96" s="109">
        <v>1067.6300853919611</v>
      </c>
      <c r="AK96" s="109">
        <v>1067.6300853919611</v>
      </c>
      <c r="AL96" s="109">
        <v>1067.6300853919611</v>
      </c>
      <c r="AM96" s="109">
        <v>1067.6300853919611</v>
      </c>
      <c r="AN96" s="109">
        <v>1067.6300853919611</v>
      </c>
      <c r="AO96" s="109">
        <v>1046.3131595025598</v>
      </c>
      <c r="AP96" s="109">
        <v>814.94324489452083</v>
      </c>
      <c r="AQ96" s="109">
        <v>705.57333028648191</v>
      </c>
      <c r="AR96" s="109">
        <v>701.20341567844298</v>
      </c>
      <c r="AS96" s="109">
        <v>612.83350107040405</v>
      </c>
      <c r="AT96" s="109">
        <v>473.46358646236513</v>
      </c>
      <c r="AU96" s="109">
        <v>488.0936718543262</v>
      </c>
      <c r="AV96" s="109">
        <v>459.72375724628728</v>
      </c>
      <c r="AW96" s="109">
        <v>336.35384263824835</v>
      </c>
      <c r="AX96" s="109">
        <v>463.98392803020943</v>
      </c>
      <c r="AY96" s="109">
        <v>322.6140134221705</v>
      </c>
    </row>
    <row r="97" spans="1:52">
      <c r="A97" s="108"/>
      <c r="B97" s="126">
        <v>3</v>
      </c>
      <c r="C97" s="109">
        <v>0</v>
      </c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63.081366271377192</v>
      </c>
      <c r="V97" s="109">
        <v>0</v>
      </c>
      <c r="W97" s="109">
        <v>0</v>
      </c>
      <c r="X97" s="109">
        <v>9.9716224472604154</v>
      </c>
      <c r="Y97" s="109">
        <v>52.60170783922149</v>
      </c>
      <c r="Z97" s="109">
        <v>214.23179323118256</v>
      </c>
      <c r="AA97" s="109">
        <v>8.8618786231436388</v>
      </c>
      <c r="AB97" s="109">
        <v>0</v>
      </c>
      <c r="AC97" s="109">
        <v>0</v>
      </c>
      <c r="AD97" s="109">
        <v>35.752134799026862</v>
      </c>
      <c r="AE97" s="109">
        <v>86.382220190987937</v>
      </c>
      <c r="AF97" s="109">
        <v>81.012305582949011</v>
      </c>
      <c r="AG97" s="109">
        <v>220.64239097491009</v>
      </c>
      <c r="AH97" s="109">
        <v>244.27247636687116</v>
      </c>
      <c r="AI97" s="109">
        <v>154.90256175883223</v>
      </c>
      <c r="AJ97" s="109">
        <v>154.53264715079331</v>
      </c>
      <c r="AK97" s="109">
        <v>71.162732542754384</v>
      </c>
      <c r="AL97" s="109">
        <v>86.792817934715458</v>
      </c>
      <c r="AM97" s="109">
        <v>62.422903326676533</v>
      </c>
      <c r="AN97" s="109">
        <v>48.052988718637607</v>
      </c>
      <c r="AO97" s="109">
        <v>0</v>
      </c>
      <c r="AP97" s="109">
        <v>0</v>
      </c>
      <c r="AQ97" s="109">
        <v>0</v>
      </c>
      <c r="AR97" s="109">
        <v>0</v>
      </c>
      <c r="AS97" s="109">
        <v>0</v>
      </c>
      <c r="AT97" s="109">
        <v>0</v>
      </c>
      <c r="AU97" s="109">
        <v>0</v>
      </c>
      <c r="AV97" s="109">
        <v>0</v>
      </c>
      <c r="AW97" s="109">
        <v>0</v>
      </c>
      <c r="AX97" s="109">
        <v>0</v>
      </c>
      <c r="AY97" s="109">
        <v>0</v>
      </c>
    </row>
    <row r="98" spans="1:52">
      <c r="A98" s="108"/>
      <c r="B98" s="129">
        <v>4</v>
      </c>
      <c r="C98" s="105">
        <v>0</v>
      </c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09">
        <v>0</v>
      </c>
      <c r="AN98" s="109">
        <v>0</v>
      </c>
      <c r="AO98" s="109">
        <v>0</v>
      </c>
      <c r="AP98" s="109">
        <v>0</v>
      </c>
      <c r="AQ98" s="109">
        <v>0</v>
      </c>
      <c r="AR98" s="109">
        <v>0</v>
      </c>
      <c r="AS98" s="109">
        <v>0</v>
      </c>
      <c r="AT98" s="109">
        <v>0</v>
      </c>
      <c r="AU98" s="109">
        <v>0</v>
      </c>
      <c r="AV98" s="109">
        <v>0</v>
      </c>
      <c r="AW98" s="109">
        <v>0</v>
      </c>
      <c r="AX98" s="109">
        <v>0</v>
      </c>
      <c r="AY98" s="109">
        <v>0</v>
      </c>
    </row>
    <row r="99" spans="1:52">
      <c r="A99" s="127"/>
      <c r="B99" s="131" t="s">
        <v>296</v>
      </c>
      <c r="C99" s="124">
        <v>0</v>
      </c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0</v>
      </c>
      <c r="U99" s="124">
        <v>0</v>
      </c>
      <c r="V99" s="124">
        <v>0</v>
      </c>
      <c r="W99" s="124">
        <v>0</v>
      </c>
      <c r="X99" s="124">
        <v>0</v>
      </c>
      <c r="Y99" s="124">
        <v>0</v>
      </c>
      <c r="Z99" s="124">
        <v>0</v>
      </c>
      <c r="AA99" s="124">
        <v>0</v>
      </c>
      <c r="AB99" s="124">
        <v>0</v>
      </c>
      <c r="AC99" s="124">
        <v>0</v>
      </c>
      <c r="AD99" s="124">
        <v>0</v>
      </c>
      <c r="AE99" s="124">
        <v>0</v>
      </c>
      <c r="AF99" s="124">
        <v>0</v>
      </c>
      <c r="AG99" s="124">
        <v>0</v>
      </c>
      <c r="AH99" s="124">
        <v>0</v>
      </c>
      <c r="AI99" s="124">
        <v>0</v>
      </c>
      <c r="AJ99" s="124">
        <v>0</v>
      </c>
      <c r="AK99" s="124">
        <v>0</v>
      </c>
      <c r="AL99" s="124">
        <v>0</v>
      </c>
      <c r="AM99" s="124">
        <v>0</v>
      </c>
      <c r="AN99" s="124">
        <v>0</v>
      </c>
      <c r="AO99" s="124">
        <v>0</v>
      </c>
      <c r="AP99" s="124">
        <v>0</v>
      </c>
      <c r="AQ99" s="124">
        <v>0</v>
      </c>
      <c r="AR99" s="124">
        <v>0</v>
      </c>
      <c r="AS99" s="124">
        <v>0</v>
      </c>
      <c r="AT99" s="124">
        <v>0</v>
      </c>
      <c r="AU99" s="124">
        <v>0</v>
      </c>
      <c r="AV99" s="124">
        <v>0</v>
      </c>
      <c r="AW99" s="124">
        <v>0</v>
      </c>
      <c r="AX99" s="124">
        <v>0</v>
      </c>
      <c r="AY99" s="124">
        <v>0</v>
      </c>
      <c r="AZ99" s="106">
        <f>SUM($D99:$AY99)</f>
        <v>0</v>
      </c>
    </row>
    <row r="100" spans="1:52">
      <c r="A100" s="130" t="s">
        <v>133</v>
      </c>
      <c r="B100" s="118">
        <v>1</v>
      </c>
      <c r="C100" s="105">
        <v>740.96108294820749</v>
      </c>
      <c r="D100" s="105">
        <v>740.96108294820749</v>
      </c>
      <c r="E100" s="105">
        <v>0</v>
      </c>
      <c r="F100" s="105">
        <v>596.72912211884159</v>
      </c>
      <c r="G100" s="105">
        <v>0</v>
      </c>
      <c r="H100" s="105">
        <v>212.55573121519484</v>
      </c>
      <c r="I100" s="105">
        <v>596.72912211884159</v>
      </c>
      <c r="J100" s="105">
        <v>596.72912294345133</v>
      </c>
      <c r="K100" s="105">
        <v>596.72912294345133</v>
      </c>
      <c r="L100" s="105">
        <v>212.55573121519492</v>
      </c>
      <c r="M100" s="105">
        <v>596.72912294345133</v>
      </c>
      <c r="N100" s="105">
        <v>596.72912294345133</v>
      </c>
      <c r="O100" s="105">
        <v>596.72912294345133</v>
      </c>
      <c r="P100" s="105">
        <v>212.55573121519492</v>
      </c>
      <c r="Q100" s="105">
        <v>0</v>
      </c>
      <c r="R100" s="105">
        <v>596.72912294345133</v>
      </c>
      <c r="S100" s="105">
        <v>0</v>
      </c>
      <c r="T100" s="105">
        <v>596.72912294345133</v>
      </c>
      <c r="U100" s="105">
        <v>596.72912294345133</v>
      </c>
      <c r="V100" s="105">
        <v>596.54063385428276</v>
      </c>
      <c r="W100" s="105">
        <v>596.54063385428276</v>
      </c>
      <c r="X100" s="105">
        <v>212.55573121519487</v>
      </c>
      <c r="Y100" s="105">
        <v>0</v>
      </c>
      <c r="Z100" s="105">
        <v>596.72912294345133</v>
      </c>
      <c r="AA100" s="105">
        <v>596.72912294345133</v>
      </c>
      <c r="AB100" s="105">
        <v>212.55573121519492</v>
      </c>
      <c r="AC100" s="105">
        <v>0</v>
      </c>
      <c r="AD100" s="105">
        <v>596.72912294345133</v>
      </c>
      <c r="AE100" s="105">
        <v>0</v>
      </c>
      <c r="AF100" s="105">
        <v>212.55573121519492</v>
      </c>
      <c r="AG100" s="105">
        <v>596.72912294345133</v>
      </c>
      <c r="AH100" s="105">
        <v>212.55573121519492</v>
      </c>
      <c r="AI100" s="105">
        <v>596.72912294345133</v>
      </c>
      <c r="AJ100" s="105">
        <v>596.72912294345133</v>
      </c>
      <c r="AK100" s="105">
        <v>0</v>
      </c>
      <c r="AL100" s="105">
        <v>212.55573121519492</v>
      </c>
      <c r="AM100" s="105">
        <v>596.72912294345133</v>
      </c>
      <c r="AN100" s="105">
        <v>212.55573121519492</v>
      </c>
      <c r="AO100" s="105">
        <v>596.72912294345133</v>
      </c>
      <c r="AP100" s="105">
        <v>596.72912294345133</v>
      </c>
      <c r="AQ100" s="105">
        <v>596.72912294345133</v>
      </c>
      <c r="AR100" s="105">
        <v>596.72912294345133</v>
      </c>
      <c r="AS100" s="105">
        <v>0</v>
      </c>
      <c r="AT100" s="105">
        <v>0</v>
      </c>
      <c r="AU100" s="105">
        <v>1193.4582458869027</v>
      </c>
      <c r="AV100" s="105">
        <v>596.72912294345133</v>
      </c>
      <c r="AW100" s="105">
        <v>596.72912294345133</v>
      </c>
      <c r="AX100" s="105">
        <v>596.72912294345133</v>
      </c>
      <c r="AY100" s="105">
        <v>596.72912294345133</v>
      </c>
    </row>
    <row r="101" spans="1:52">
      <c r="A101" s="108"/>
      <c r="B101" s="118">
        <v>2</v>
      </c>
      <c r="C101" s="105">
        <v>10.655071155460973</v>
      </c>
      <c r="D101" s="105">
        <v>552.57723705187595</v>
      </c>
      <c r="E101" s="105">
        <v>740.96108294820749</v>
      </c>
      <c r="F101" s="105">
        <v>0</v>
      </c>
      <c r="G101" s="105">
        <v>7.2674421189250324</v>
      </c>
      <c r="H101" s="105">
        <v>0</v>
      </c>
      <c r="I101" s="105">
        <v>384.17339090364675</v>
      </c>
      <c r="J101" s="105">
        <v>596.72912211884159</v>
      </c>
      <c r="K101" s="105">
        <v>596.72912294345133</v>
      </c>
      <c r="L101" s="105">
        <v>596.72912294345133</v>
      </c>
      <c r="M101" s="105">
        <v>596.72912294345133</v>
      </c>
      <c r="N101" s="105">
        <v>596.72912294345133</v>
      </c>
      <c r="O101" s="105">
        <v>596.72912294345133</v>
      </c>
      <c r="P101" s="105">
        <v>509.00637280203796</v>
      </c>
      <c r="Q101" s="105">
        <v>539.73549574548929</v>
      </c>
      <c r="R101" s="105">
        <v>0</v>
      </c>
      <c r="S101" s="105">
        <v>0</v>
      </c>
      <c r="T101" s="105">
        <v>596.72912294345133</v>
      </c>
      <c r="U101" s="105">
        <v>471.45824588690266</v>
      </c>
      <c r="V101" s="105">
        <v>324.18736883035399</v>
      </c>
      <c r="W101" s="105">
        <v>273.72800268463675</v>
      </c>
      <c r="X101" s="105">
        <v>326.26863653891951</v>
      </c>
      <c r="Y101" s="105">
        <v>383.98490263908786</v>
      </c>
      <c r="Z101" s="105">
        <v>0</v>
      </c>
      <c r="AA101" s="105">
        <v>0</v>
      </c>
      <c r="AB101" s="105">
        <v>528.26975679773409</v>
      </c>
      <c r="AC101" s="105">
        <v>410.99887974118542</v>
      </c>
      <c r="AD101" s="105">
        <v>596.72912294345133</v>
      </c>
      <c r="AE101" s="105">
        <v>510.45824588690266</v>
      </c>
      <c r="AF101" s="105">
        <v>0</v>
      </c>
      <c r="AG101" s="105">
        <v>0</v>
      </c>
      <c r="AH101" s="105">
        <v>527.45824588690266</v>
      </c>
      <c r="AI101" s="105">
        <v>212.55573121519492</v>
      </c>
      <c r="AJ101" s="105">
        <v>382.91649177380532</v>
      </c>
      <c r="AK101" s="105">
        <v>596.72912294345133</v>
      </c>
      <c r="AL101" s="105">
        <v>596.72912294345133</v>
      </c>
      <c r="AM101" s="105">
        <v>2.8421709430404007E-14</v>
      </c>
      <c r="AN101" s="105">
        <v>0</v>
      </c>
      <c r="AO101" s="105">
        <v>384.17339172825643</v>
      </c>
      <c r="AP101" s="105">
        <v>331.90251467170776</v>
      </c>
      <c r="AQ101" s="105">
        <v>124.63163761515909</v>
      </c>
      <c r="AR101" s="105">
        <v>42.360760558610423</v>
      </c>
      <c r="AS101" s="105">
        <v>0</v>
      </c>
      <c r="AT101" s="105">
        <v>596.72912294345133</v>
      </c>
      <c r="AU101" s="105">
        <v>0</v>
      </c>
      <c r="AV101" s="105">
        <v>584.45824588690266</v>
      </c>
      <c r="AW101" s="105">
        <v>509.18736883035399</v>
      </c>
      <c r="AX101" s="105">
        <v>480.91649177380532</v>
      </c>
      <c r="AY101" s="105">
        <v>195.64561471725665</v>
      </c>
    </row>
    <row r="102" spans="1:52">
      <c r="A102" s="108"/>
      <c r="B102" s="119">
        <v>3</v>
      </c>
      <c r="C102" s="105">
        <v>740.96108294820749</v>
      </c>
      <c r="D102" s="105">
        <v>0</v>
      </c>
      <c r="E102" s="105">
        <v>21.577237051875954</v>
      </c>
      <c r="F102" s="105">
        <v>118.53832000008344</v>
      </c>
      <c r="G102" s="105">
        <v>783.93671942379149</v>
      </c>
      <c r="H102" s="105">
        <v>7.2674421189250324</v>
      </c>
      <c r="I102" s="105">
        <v>596.72912211884159</v>
      </c>
      <c r="J102" s="105">
        <v>352.90251302248834</v>
      </c>
      <c r="K102" s="105">
        <v>282.63163514132992</v>
      </c>
      <c r="L102" s="105">
        <v>236.36075808478125</v>
      </c>
      <c r="M102" s="105">
        <v>115.08988102823258</v>
      </c>
      <c r="N102" s="105">
        <v>75.819003971683969</v>
      </c>
      <c r="O102" s="105">
        <v>24.548126915135299</v>
      </c>
      <c r="P102" s="105">
        <v>0</v>
      </c>
      <c r="Q102" s="105">
        <v>0</v>
      </c>
      <c r="R102" s="105">
        <v>0</v>
      </c>
      <c r="S102" s="105">
        <v>596.72912294345133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596.54063385428276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596.72912294345133</v>
      </c>
      <c r="AH102" s="105">
        <v>384.17339172825643</v>
      </c>
      <c r="AI102" s="105">
        <v>226.63163761515909</v>
      </c>
      <c r="AJ102" s="105">
        <v>384.17339172825643</v>
      </c>
      <c r="AK102" s="105">
        <v>2.0898835020617526</v>
      </c>
      <c r="AL102" s="105">
        <v>0</v>
      </c>
      <c r="AM102" s="105">
        <v>0</v>
      </c>
      <c r="AN102" s="105">
        <v>384.17339172825643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>
      <c r="A103" s="108"/>
      <c r="B103" s="119">
        <v>4</v>
      </c>
      <c r="C103" s="105">
        <v>0</v>
      </c>
      <c r="D103" s="105">
        <v>0</v>
      </c>
      <c r="E103" s="105">
        <v>0</v>
      </c>
      <c r="F103" s="105">
        <v>0</v>
      </c>
      <c r="G103" s="105">
        <v>0</v>
      </c>
      <c r="H103" s="105">
        <v>137.93671942379149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>
        <v>0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>
        <v>0</v>
      </c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296</v>
      </c>
      <c r="C108" s="113">
        <v>0</v>
      </c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>
        <v>593.18158516295796</v>
      </c>
      <c r="D109" s="105">
        <v>1114.5722892359399</v>
      </c>
      <c r="E109" s="105">
        <v>590.36330755155188</v>
      </c>
      <c r="F109" s="105">
        <v>272.29782436766288</v>
      </c>
      <c r="G109" s="105">
        <v>337.49583020201203</v>
      </c>
      <c r="H109" s="105">
        <v>416.28839964719231</v>
      </c>
      <c r="I109" s="105">
        <v>236.69203473704462</v>
      </c>
      <c r="J109" s="105">
        <v>750.34141173244052</v>
      </c>
      <c r="K109" s="105">
        <v>593.39023194115737</v>
      </c>
      <c r="L109" s="105">
        <v>474.09736391689444</v>
      </c>
      <c r="M109" s="105">
        <v>291.55883852740033</v>
      </c>
      <c r="N109" s="105">
        <v>499.18803258845787</v>
      </c>
      <c r="O109" s="105">
        <v>451.18032022827305</v>
      </c>
      <c r="P109" s="105">
        <v>385.84422904919529</v>
      </c>
      <c r="Q109" s="105">
        <v>202.27077537020872</v>
      </c>
      <c r="R109" s="105">
        <v>248.03465240328168</v>
      </c>
      <c r="S109" s="105">
        <v>337.49583054907652</v>
      </c>
      <c r="T109" s="105">
        <v>337.49583054907652</v>
      </c>
      <c r="U109" s="105">
        <v>588.64921073425273</v>
      </c>
      <c r="V109" s="105">
        <v>477.40680894551741</v>
      </c>
      <c r="W109" s="105">
        <v>458.24840025550861</v>
      </c>
      <c r="X109" s="105">
        <v>386.40228688262675</v>
      </c>
      <c r="Y109" s="105">
        <v>202.61857539658601</v>
      </c>
      <c r="Z109" s="105">
        <v>247.95532047518816</v>
      </c>
      <c r="AA109" s="105">
        <v>337.49583054907652</v>
      </c>
      <c r="AB109" s="105">
        <v>588.56987880615907</v>
      </c>
      <c r="AC109" s="105">
        <v>282.60309633957081</v>
      </c>
      <c r="AD109" s="105">
        <v>248.03465240328168</v>
      </c>
      <c r="AE109" s="105">
        <v>588.64921073425273</v>
      </c>
      <c r="AF109" s="105">
        <v>150.80552474863575</v>
      </c>
      <c r="AG109" s="105">
        <v>175.80362850969516</v>
      </c>
      <c r="AH109" s="105">
        <v>588.64921073425273</v>
      </c>
      <c r="AI109" s="105">
        <v>463.92907436631708</v>
      </c>
      <c r="AJ109" s="105">
        <v>380.22605860047838</v>
      </c>
      <c r="AK109" s="105">
        <v>500.67802834147034</v>
      </c>
      <c r="AL109" s="105">
        <v>165.15846189875418</v>
      </c>
      <c r="AM109" s="105">
        <v>426.95700869487126</v>
      </c>
      <c r="AN109" s="105">
        <v>390.47873718649078</v>
      </c>
      <c r="AO109" s="105">
        <v>350.64355487363105</v>
      </c>
      <c r="AP109" s="105">
        <v>499.18803258845787</v>
      </c>
      <c r="AQ109" s="105">
        <v>401.36095430483897</v>
      </c>
      <c r="AR109" s="105">
        <v>363.4608012542331</v>
      </c>
      <c r="AS109" s="105">
        <v>337.49583054907652</v>
      </c>
      <c r="AT109" s="105">
        <v>86.342450363900312</v>
      </c>
      <c r="AU109" s="105">
        <v>337.49583054907646</v>
      </c>
      <c r="AV109" s="105">
        <v>588.64921073425273</v>
      </c>
      <c r="AW109" s="105">
        <v>446.49817979937592</v>
      </c>
      <c r="AX109" s="105">
        <v>390.4615060087645</v>
      </c>
      <c r="AY109" s="105">
        <v>337.49583054907652</v>
      </c>
    </row>
    <row r="110" spans="1:52">
      <c r="A110" s="108"/>
      <c r="B110" s="118">
        <v>2</v>
      </c>
      <c r="C110" s="105">
        <v>0</v>
      </c>
      <c r="D110" s="105">
        <v>0</v>
      </c>
      <c r="E110" s="105">
        <v>685.57228923593993</v>
      </c>
      <c r="F110" s="105">
        <v>590.36330755155188</v>
      </c>
      <c r="G110" s="105">
        <v>272.29782436766288</v>
      </c>
      <c r="H110" s="105">
        <v>337.49583020201203</v>
      </c>
      <c r="I110" s="105">
        <v>401.70626058323364</v>
      </c>
      <c r="J110" s="105">
        <v>114.39829532027827</v>
      </c>
      <c r="K110" s="105">
        <v>359.73970705271881</v>
      </c>
      <c r="L110" s="105">
        <v>465.12993899387618</v>
      </c>
      <c r="M110" s="105">
        <v>466.22730291077062</v>
      </c>
      <c r="N110" s="105">
        <v>291.55883852740033</v>
      </c>
      <c r="O110" s="105">
        <v>345.97417402662882</v>
      </c>
      <c r="P110" s="105">
        <v>315.15449425490186</v>
      </c>
      <c r="Q110" s="105">
        <v>221.99872330409715</v>
      </c>
      <c r="R110" s="105">
        <v>2.8421709430404007E-14</v>
      </c>
      <c r="S110" s="105">
        <v>0</v>
      </c>
      <c r="T110" s="105">
        <v>0</v>
      </c>
      <c r="U110" s="105">
        <v>0</v>
      </c>
      <c r="V110" s="105">
        <v>146.64921073425273</v>
      </c>
      <c r="W110" s="105">
        <v>106.05601967977015</v>
      </c>
      <c r="X110" s="105">
        <v>18.304419935278759</v>
      </c>
      <c r="Y110" s="105">
        <v>0</v>
      </c>
      <c r="Z110" s="105">
        <v>0</v>
      </c>
      <c r="AA110" s="105">
        <v>0</v>
      </c>
      <c r="AB110" s="105">
        <v>0</v>
      </c>
      <c r="AC110" s="105">
        <v>74.569878806159068</v>
      </c>
      <c r="AD110" s="105">
        <v>0</v>
      </c>
      <c r="AE110" s="105">
        <v>0</v>
      </c>
      <c r="AF110" s="105">
        <v>51.195097084499707</v>
      </c>
      <c r="AG110" s="105">
        <v>0</v>
      </c>
      <c r="AH110" s="105">
        <v>0</v>
      </c>
      <c r="AI110" s="105">
        <v>108.64921073425273</v>
      </c>
      <c r="AJ110" s="105">
        <v>116.57828510056981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80.188032588457872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36.649210734252733</v>
      </c>
      <c r="AX110" s="105">
        <v>0</v>
      </c>
      <c r="AY110" s="105">
        <v>0</v>
      </c>
    </row>
    <row r="111" spans="1:52">
      <c r="A111" s="108"/>
      <c r="B111" s="118">
        <v>3</v>
      </c>
      <c r="C111" s="105">
        <v>0</v>
      </c>
      <c r="D111" s="105">
        <v>0</v>
      </c>
      <c r="E111" s="105">
        <v>0</v>
      </c>
      <c r="F111" s="105">
        <v>218.57228923593993</v>
      </c>
      <c r="G111" s="105">
        <v>319.93559678749182</v>
      </c>
      <c r="H111" s="105">
        <v>126.2334211551547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18.227302910770618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>
        <v>0</v>
      </c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>
        <v>0</v>
      </c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>
        <v>0</v>
      </c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>
        <v>0</v>
      </c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296</v>
      </c>
      <c r="C121" s="113">
        <v>0</v>
      </c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>
        <v>1147.1125979905025</v>
      </c>
      <c r="D122" s="105">
        <v>1223.1542646571691</v>
      </c>
      <c r="E122" s="105">
        <v>229.16666666666671</v>
      </c>
      <c r="F122" s="105">
        <v>895.76788816305555</v>
      </c>
      <c r="G122" s="105">
        <v>229.16666666666671</v>
      </c>
      <c r="H122" s="105">
        <v>466.61093545147196</v>
      </c>
      <c r="I122" s="105">
        <v>895.76788816305555</v>
      </c>
      <c r="J122" s="105">
        <v>895.7678890842202</v>
      </c>
      <c r="K122" s="105">
        <v>895.7678890842202</v>
      </c>
      <c r="L122" s="105">
        <v>466.61093545147196</v>
      </c>
      <c r="M122" s="105">
        <v>895.7678890842202</v>
      </c>
      <c r="N122" s="105">
        <v>895.7678890842202</v>
      </c>
      <c r="O122" s="105">
        <v>895.7678890842202</v>
      </c>
      <c r="P122" s="105">
        <v>466.61093545147196</v>
      </c>
      <c r="Q122" s="105">
        <v>229.16666666666671</v>
      </c>
      <c r="R122" s="105">
        <v>895.7678890842202</v>
      </c>
      <c r="S122" s="105">
        <v>229.16666666666671</v>
      </c>
      <c r="T122" s="105">
        <v>895.7678890842202</v>
      </c>
      <c r="U122" s="105">
        <v>895.7678890842202</v>
      </c>
      <c r="V122" s="105">
        <v>895.55732946441776</v>
      </c>
      <c r="W122" s="105">
        <v>895.55732946441776</v>
      </c>
      <c r="X122" s="105">
        <v>466.61093545147196</v>
      </c>
      <c r="Y122" s="105">
        <v>229.16666666666671</v>
      </c>
      <c r="Z122" s="105">
        <v>895.7678890842202</v>
      </c>
      <c r="AA122" s="105">
        <v>895.7678890842202</v>
      </c>
      <c r="AB122" s="105">
        <v>466.61093545147196</v>
      </c>
      <c r="AC122" s="105">
        <v>229.16666666666671</v>
      </c>
      <c r="AD122" s="105">
        <v>895.7678890842202</v>
      </c>
      <c r="AE122" s="105">
        <v>229.16666666666671</v>
      </c>
      <c r="AF122" s="105">
        <v>466.61093545147196</v>
      </c>
      <c r="AG122" s="105">
        <v>895.7678890842202</v>
      </c>
      <c r="AH122" s="105">
        <v>466.61093545147196</v>
      </c>
      <c r="AI122" s="105">
        <v>895.7678890842202</v>
      </c>
      <c r="AJ122" s="105">
        <v>895.7678890842202</v>
      </c>
      <c r="AK122" s="105">
        <v>229.16666666666671</v>
      </c>
      <c r="AL122" s="105">
        <v>466.61093545147196</v>
      </c>
      <c r="AM122" s="105">
        <v>895.7678890842202</v>
      </c>
      <c r="AN122" s="105">
        <v>466.61093545147196</v>
      </c>
      <c r="AO122" s="105">
        <v>895.7678890842202</v>
      </c>
      <c r="AP122" s="105">
        <v>895.7678890842202</v>
      </c>
      <c r="AQ122" s="105">
        <v>895.7678890842202</v>
      </c>
      <c r="AR122" s="105">
        <v>895.7678890842202</v>
      </c>
      <c r="AS122" s="105">
        <v>229.16666666666671</v>
      </c>
      <c r="AT122" s="105">
        <v>229.16666666666671</v>
      </c>
      <c r="AU122" s="105">
        <v>1562.3691115017737</v>
      </c>
      <c r="AV122" s="105">
        <v>895.7678890842202</v>
      </c>
      <c r="AW122" s="105">
        <v>895.7678890842202</v>
      </c>
      <c r="AX122" s="105">
        <v>895.7678890842202</v>
      </c>
      <c r="AY122" s="105">
        <v>895.7678890842202</v>
      </c>
    </row>
    <row r="123" spans="1:52">
      <c r="A123" s="108"/>
      <c r="B123" s="118">
        <v>2</v>
      </c>
      <c r="C123" s="105">
        <v>14.293609783248712</v>
      </c>
      <c r="D123" s="105">
        <v>343.7643338270662</v>
      </c>
      <c r="E123" s="105">
        <v>493.55529093268342</v>
      </c>
      <c r="F123" s="105">
        <v>0</v>
      </c>
      <c r="G123" s="105">
        <v>0</v>
      </c>
      <c r="H123" s="105">
        <v>142.82421630276639</v>
      </c>
      <c r="I123" s="105">
        <v>429.15695271158359</v>
      </c>
      <c r="J123" s="105">
        <v>558.27205796104352</v>
      </c>
      <c r="K123" s="105">
        <v>362.56230778165025</v>
      </c>
      <c r="L123" s="105">
        <v>307.23283294897601</v>
      </c>
      <c r="M123" s="105">
        <v>429.15695363274824</v>
      </c>
      <c r="N123" s="105">
        <v>301.73681012851063</v>
      </c>
      <c r="O123" s="105">
        <v>128.32437898445784</v>
      </c>
      <c r="P123" s="105">
        <v>70.248039019482803</v>
      </c>
      <c r="Q123" s="105">
        <v>429.15695363274824</v>
      </c>
      <c r="R123" s="105">
        <v>0</v>
      </c>
      <c r="S123" s="105">
        <v>0</v>
      </c>
      <c r="T123" s="105">
        <v>666.60122241755334</v>
      </c>
      <c r="U123" s="105">
        <v>371.34610396220415</v>
      </c>
      <c r="V123" s="105">
        <v>320.707184100907</v>
      </c>
      <c r="W123" s="105">
        <v>130.01611330981609</v>
      </c>
      <c r="X123" s="105">
        <v>71.171155891607043</v>
      </c>
      <c r="Y123" s="105">
        <v>428.9463940129458</v>
      </c>
      <c r="Z123" s="105">
        <v>0</v>
      </c>
      <c r="AA123" s="105">
        <v>0</v>
      </c>
      <c r="AB123" s="105">
        <v>283.46286144525999</v>
      </c>
      <c r="AC123" s="105">
        <v>429.15695363274824</v>
      </c>
      <c r="AD123" s="105">
        <v>666.60122241755334</v>
      </c>
      <c r="AE123" s="105">
        <v>171.09530500435852</v>
      </c>
      <c r="AF123" s="105">
        <v>0</v>
      </c>
      <c r="AG123" s="105">
        <v>0</v>
      </c>
      <c r="AH123" s="105">
        <v>335.57404172959502</v>
      </c>
      <c r="AI123" s="105">
        <v>113.41285644749811</v>
      </c>
      <c r="AJ123" s="105">
        <v>3.9546869312400759</v>
      </c>
      <c r="AK123" s="105">
        <v>209.19029477712991</v>
      </c>
      <c r="AL123" s="105">
        <v>666.60122241755334</v>
      </c>
      <c r="AM123" s="105">
        <v>140.62510449071016</v>
      </c>
      <c r="AN123" s="105">
        <v>34.896162258676782</v>
      </c>
      <c r="AO123" s="105">
        <v>429.15695363274824</v>
      </c>
      <c r="AP123" s="105">
        <v>169.50824844185144</v>
      </c>
      <c r="AQ123" s="105">
        <v>68.915183221232667</v>
      </c>
      <c r="AR123" s="105">
        <v>0</v>
      </c>
      <c r="AS123" s="105">
        <v>0</v>
      </c>
      <c r="AT123" s="105">
        <v>666.60122241755334</v>
      </c>
      <c r="AU123" s="105">
        <v>0</v>
      </c>
      <c r="AV123" s="105">
        <v>289.30966090546508</v>
      </c>
      <c r="AW123" s="105">
        <v>140.57937019030942</v>
      </c>
      <c r="AX123" s="105">
        <v>0</v>
      </c>
      <c r="AY123" s="105">
        <v>0</v>
      </c>
    </row>
    <row r="124" spans="1:52">
      <c r="A124" s="108"/>
      <c r="B124" s="118">
        <v>3</v>
      </c>
      <c r="C124" s="105">
        <v>993.98759799050242</v>
      </c>
      <c r="D124" s="105">
        <v>0</v>
      </c>
      <c r="E124" s="105">
        <v>0</v>
      </c>
      <c r="F124" s="105">
        <v>0</v>
      </c>
      <c r="G124" s="105">
        <v>875.72929721988339</v>
      </c>
      <c r="H124" s="105">
        <v>0</v>
      </c>
      <c r="I124" s="105">
        <v>666.6012214963888</v>
      </c>
      <c r="J124" s="105">
        <v>120.91259267754384</v>
      </c>
      <c r="K124" s="105">
        <v>0</v>
      </c>
      <c r="L124" s="105">
        <v>0</v>
      </c>
      <c r="M124" s="105">
        <v>0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666.60122241755346</v>
      </c>
      <c r="T124" s="105">
        <v>0</v>
      </c>
      <c r="U124" s="105">
        <v>0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666.39066279775102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666.60122241755346</v>
      </c>
      <c r="AH124" s="105">
        <v>429.15695363274824</v>
      </c>
      <c r="AI124" s="105">
        <v>0</v>
      </c>
      <c r="AJ124" s="105">
        <v>429.15695363274824</v>
      </c>
      <c r="AK124" s="105">
        <v>0</v>
      </c>
      <c r="AL124" s="105">
        <v>0</v>
      </c>
      <c r="AM124" s="105">
        <v>0</v>
      </c>
      <c r="AN124" s="105">
        <v>429.15695363274824</v>
      </c>
      <c r="AO124" s="105">
        <v>0</v>
      </c>
      <c r="AP124" s="105">
        <v>0</v>
      </c>
      <c r="AQ124" s="105">
        <v>0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>
      <c r="A125" s="108"/>
      <c r="B125" s="118">
        <v>4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18.78334793659144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>
        <v>0</v>
      </c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>
        <v>0</v>
      </c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>
        <v>0</v>
      </c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>
        <v>0</v>
      </c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>
        <v>0</v>
      </c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>
        <v>0</v>
      </c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>
        <v>0</v>
      </c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>
        <v>0</v>
      </c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>
        <v>0</v>
      </c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>
        <v>0</v>
      </c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>
        <v>0</v>
      </c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>
        <v>0</v>
      </c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>
        <v>0</v>
      </c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>
        <v>0</v>
      </c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>
        <v>0</v>
      </c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>
        <v>0</v>
      </c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>
        <v>0</v>
      </c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>
        <v>0</v>
      </c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>
        <v>0</v>
      </c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>
        <v>0</v>
      </c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>
        <v>0</v>
      </c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296</v>
      </c>
      <c r="C170" s="113">
        <v>0</v>
      </c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297</v>
      </c>
      <c r="C172" s="133">
        <v>0.51710842179057759</v>
      </c>
      <c r="D172" s="133">
        <v>0.37676705613338313</v>
      </c>
      <c r="E172" s="133">
        <v>0.37676705613338313</v>
      </c>
      <c r="F172" s="133">
        <v>0.37676705613338313</v>
      </c>
      <c r="G172" s="133">
        <v>0.37676705613338313</v>
      </c>
      <c r="H172" s="133">
        <v>0.37676705613338313</v>
      </c>
      <c r="I172" s="133">
        <v>0.37676705613338313</v>
      </c>
      <c r="J172" s="133">
        <v>0.37676705613338313</v>
      </c>
      <c r="K172" s="133">
        <v>0.37676705613338313</v>
      </c>
      <c r="L172" s="133">
        <v>0.37676705613338313</v>
      </c>
      <c r="M172" s="133">
        <v>0.37676705613338313</v>
      </c>
      <c r="N172" s="133">
        <v>0.37676705613338313</v>
      </c>
      <c r="O172" s="133">
        <v>0.37676705613338313</v>
      </c>
      <c r="P172" s="133">
        <v>0.37676705613338313</v>
      </c>
      <c r="Q172" s="133">
        <v>0.37676705613338313</v>
      </c>
      <c r="R172" s="133">
        <v>0.37676705613338313</v>
      </c>
      <c r="S172" s="133">
        <v>0.37676705613338313</v>
      </c>
      <c r="T172" s="133">
        <v>0.37676705613338313</v>
      </c>
      <c r="U172" s="133">
        <v>0.37676705613338313</v>
      </c>
      <c r="V172" s="133">
        <v>0.37676705613338313</v>
      </c>
      <c r="W172" s="133">
        <v>0.37676705613338313</v>
      </c>
      <c r="X172" s="133">
        <v>0.37676705613338313</v>
      </c>
      <c r="Y172" s="133">
        <v>0.37676705613338313</v>
      </c>
      <c r="Z172" s="133">
        <v>0.37676705613338313</v>
      </c>
      <c r="AA172" s="133">
        <v>0.37676705613338313</v>
      </c>
      <c r="AB172" s="133">
        <v>0.37676705613338313</v>
      </c>
      <c r="AC172" s="133">
        <v>0.37676705613338313</v>
      </c>
      <c r="AD172" s="133">
        <v>0.37676705613338313</v>
      </c>
      <c r="AE172" s="133">
        <v>0.37676705613338313</v>
      </c>
      <c r="AF172" s="133">
        <v>0.37676705613338313</v>
      </c>
      <c r="AG172" s="133">
        <v>0.37676705613338313</v>
      </c>
      <c r="AH172" s="133">
        <v>0.37676705613338313</v>
      </c>
      <c r="AI172" s="133">
        <v>0.37676705613338313</v>
      </c>
      <c r="AJ172" s="133">
        <v>0.37676705613338313</v>
      </c>
      <c r="AK172" s="133">
        <v>0.37676705613338313</v>
      </c>
      <c r="AL172" s="133">
        <v>0.37676705613338313</v>
      </c>
      <c r="AM172" s="133">
        <v>0.37676705613338313</v>
      </c>
      <c r="AN172" s="133">
        <v>0.37676705613338313</v>
      </c>
      <c r="AO172" s="133">
        <v>0.37676705613338313</v>
      </c>
      <c r="AP172" s="133">
        <v>0.37676705613338313</v>
      </c>
      <c r="AQ172" s="133">
        <v>0.37676705613338313</v>
      </c>
      <c r="AR172" s="133">
        <v>0.37676705613338313</v>
      </c>
      <c r="AS172" s="133">
        <v>0.37676705613338313</v>
      </c>
      <c r="AT172" s="133">
        <v>0.37676705613338313</v>
      </c>
      <c r="AU172" s="133">
        <v>0.37676705613338313</v>
      </c>
      <c r="AV172" s="133">
        <v>0.37676705613338313</v>
      </c>
      <c r="AW172" s="133">
        <v>0.37676705613338313</v>
      </c>
      <c r="AX172" s="133">
        <v>0.37676705613338313</v>
      </c>
      <c r="AY172" s="133">
        <v>0.37676705613338313</v>
      </c>
    </row>
    <row r="174" spans="1:52">
      <c r="A174" s="101" t="s">
        <v>272</v>
      </c>
    </row>
    <row r="175" spans="1:52">
      <c r="A175" s="134" t="s">
        <v>125</v>
      </c>
      <c r="B175" s="134" t="s">
        <v>298</v>
      </c>
      <c r="C175" s="123" t="s">
        <v>293</v>
      </c>
      <c r="D175" s="123">
        <f t="shared" ref="D175:AY175" si="1">SUM(D95:D98)</f>
        <v>1067.6300853919611</v>
      </c>
      <c r="E175" s="123">
        <f t="shared" si="1"/>
        <v>1279.2601707839221</v>
      </c>
      <c r="F175" s="123">
        <f t="shared" si="1"/>
        <v>1393.8902561758832</v>
      </c>
      <c r="G175" s="123">
        <f t="shared" si="1"/>
        <v>1438.5203415678443</v>
      </c>
      <c r="H175" s="123">
        <f t="shared" si="1"/>
        <v>1250.1504269598054</v>
      </c>
      <c r="I175" s="123">
        <f t="shared" si="1"/>
        <v>1247.7805123517664</v>
      </c>
      <c r="J175" s="123">
        <f t="shared" si="1"/>
        <v>1447.4105977437275</v>
      </c>
      <c r="K175" s="123">
        <f t="shared" si="1"/>
        <v>1515.0406831356886</v>
      </c>
      <c r="L175" s="123">
        <f t="shared" si="1"/>
        <v>1652.6707685276497</v>
      </c>
      <c r="M175" s="123">
        <f t="shared" si="1"/>
        <v>1696.3008539196107</v>
      </c>
      <c r="N175" s="123">
        <f t="shared" si="1"/>
        <v>1770.9309393115718</v>
      </c>
      <c r="O175" s="123">
        <f t="shared" si="1"/>
        <v>1745.5610247035329</v>
      </c>
      <c r="P175" s="123">
        <f t="shared" si="1"/>
        <v>1927.191110095494</v>
      </c>
      <c r="Q175" s="123">
        <f t="shared" si="1"/>
        <v>1872.821195487455</v>
      </c>
      <c r="R175" s="123">
        <f t="shared" si="1"/>
        <v>2022.4512808794161</v>
      </c>
      <c r="S175" s="123">
        <f t="shared" si="1"/>
        <v>2022.0813662713772</v>
      </c>
      <c r="T175" s="123">
        <f t="shared" si="1"/>
        <v>2039.7114516633383</v>
      </c>
      <c r="U175" s="123">
        <f t="shared" si="1"/>
        <v>2198.3415370552993</v>
      </c>
      <c r="V175" s="123">
        <f t="shared" si="1"/>
        <v>2071.9716224472604</v>
      </c>
      <c r="W175" s="123">
        <f t="shared" si="1"/>
        <v>2125.6017078392215</v>
      </c>
      <c r="X175" s="123">
        <f t="shared" si="1"/>
        <v>2145.2317932311826</v>
      </c>
      <c r="Y175" s="123">
        <f t="shared" si="1"/>
        <v>2187.8618786231436</v>
      </c>
      <c r="Z175" s="123">
        <f t="shared" si="1"/>
        <v>2349.4919640151047</v>
      </c>
      <c r="AA175" s="123">
        <f t="shared" si="1"/>
        <v>2144.1220494070658</v>
      </c>
      <c r="AB175" s="123">
        <f t="shared" si="1"/>
        <v>2025.7521347990269</v>
      </c>
      <c r="AC175" s="123">
        <f t="shared" si="1"/>
        <v>2073.3822201909879</v>
      </c>
      <c r="AD175" s="123">
        <f t="shared" si="1"/>
        <v>2171.012305582949</v>
      </c>
      <c r="AE175" s="123">
        <f t="shared" si="1"/>
        <v>2221.6423909749101</v>
      </c>
      <c r="AF175" s="123">
        <f t="shared" si="1"/>
        <v>2216.2724763668712</v>
      </c>
      <c r="AG175" s="123">
        <f t="shared" si="1"/>
        <v>2355.9025617588322</v>
      </c>
      <c r="AH175" s="123">
        <f t="shared" si="1"/>
        <v>2379.5326471507933</v>
      </c>
      <c r="AI175" s="123">
        <f t="shared" si="1"/>
        <v>2290.1627325427544</v>
      </c>
      <c r="AJ175" s="123">
        <f t="shared" si="1"/>
        <v>2289.7928179347155</v>
      </c>
      <c r="AK175" s="123">
        <f t="shared" si="1"/>
        <v>2206.4229033266765</v>
      </c>
      <c r="AL175" s="123">
        <f t="shared" si="1"/>
        <v>2222.0529887186376</v>
      </c>
      <c r="AM175" s="123">
        <f t="shared" si="1"/>
        <v>2197.6830741105987</v>
      </c>
      <c r="AN175" s="123">
        <f t="shared" si="1"/>
        <v>2183.3131595025598</v>
      </c>
      <c r="AO175" s="123">
        <f t="shared" si="1"/>
        <v>2113.9432448945208</v>
      </c>
      <c r="AP175" s="123">
        <f t="shared" si="1"/>
        <v>1882.5733302864819</v>
      </c>
      <c r="AQ175" s="123">
        <f t="shared" si="1"/>
        <v>1773.203415678443</v>
      </c>
      <c r="AR175" s="123">
        <f t="shared" si="1"/>
        <v>1768.8335010704041</v>
      </c>
      <c r="AS175" s="123">
        <f t="shared" si="1"/>
        <v>1680.4635864623651</v>
      </c>
      <c r="AT175" s="123">
        <f t="shared" si="1"/>
        <v>1541.0936718543262</v>
      </c>
      <c r="AU175" s="123">
        <f t="shared" si="1"/>
        <v>1555.7237572462873</v>
      </c>
      <c r="AV175" s="123">
        <f t="shared" si="1"/>
        <v>1527.3538426382484</v>
      </c>
      <c r="AW175" s="123">
        <f t="shared" si="1"/>
        <v>1403.9839280302094</v>
      </c>
      <c r="AX175" s="123">
        <f t="shared" si="1"/>
        <v>1531.6140134221705</v>
      </c>
      <c r="AY175" s="123">
        <f t="shared" si="1"/>
        <v>1390.2440988141316</v>
      </c>
    </row>
    <row r="176" spans="1:52">
      <c r="A176" s="124"/>
      <c r="B176" s="135" t="s">
        <v>299</v>
      </c>
      <c r="C176" s="124" t="s">
        <v>293</v>
      </c>
      <c r="D176" s="124">
        <v>856</v>
      </c>
      <c r="E176" s="124">
        <v>953</v>
      </c>
      <c r="F176" s="124">
        <v>1023</v>
      </c>
      <c r="G176" s="124">
        <v>1256</v>
      </c>
      <c r="H176" s="124">
        <v>1070</v>
      </c>
      <c r="I176" s="124">
        <v>868</v>
      </c>
      <c r="J176" s="124">
        <v>1000</v>
      </c>
      <c r="K176" s="124">
        <v>930</v>
      </c>
      <c r="L176" s="124">
        <v>1024</v>
      </c>
      <c r="M176" s="124">
        <v>993</v>
      </c>
      <c r="N176" s="124">
        <v>1093</v>
      </c>
      <c r="O176" s="124">
        <v>886</v>
      </c>
      <c r="P176" s="124">
        <v>1122</v>
      </c>
      <c r="Q176" s="124">
        <v>918</v>
      </c>
      <c r="R176" s="124">
        <v>1068</v>
      </c>
      <c r="S176" s="124">
        <v>1050</v>
      </c>
      <c r="T176" s="124">
        <v>909</v>
      </c>
      <c r="U176" s="124">
        <v>1194</v>
      </c>
      <c r="V176" s="124">
        <v>1014</v>
      </c>
      <c r="W176" s="124">
        <v>1048</v>
      </c>
      <c r="X176" s="124">
        <v>1025</v>
      </c>
      <c r="Y176" s="124">
        <v>906</v>
      </c>
      <c r="Z176" s="124">
        <v>1273</v>
      </c>
      <c r="AA176" s="124">
        <v>1186</v>
      </c>
      <c r="AB176" s="124">
        <v>1020</v>
      </c>
      <c r="AC176" s="124">
        <v>970</v>
      </c>
      <c r="AD176" s="124">
        <v>1017</v>
      </c>
      <c r="AE176" s="124">
        <v>1073</v>
      </c>
      <c r="AF176" s="124">
        <v>928</v>
      </c>
      <c r="AG176" s="124">
        <v>1044</v>
      </c>
      <c r="AH176" s="124">
        <v>1157</v>
      </c>
      <c r="AI176" s="124">
        <v>1068</v>
      </c>
      <c r="AJ176" s="124">
        <v>1151</v>
      </c>
      <c r="AK176" s="124">
        <v>1052</v>
      </c>
      <c r="AL176" s="124">
        <v>1092</v>
      </c>
      <c r="AM176" s="124">
        <v>1082</v>
      </c>
      <c r="AN176" s="124">
        <v>1137</v>
      </c>
      <c r="AO176" s="124">
        <v>1299</v>
      </c>
      <c r="AP176" s="124">
        <v>1177</v>
      </c>
      <c r="AQ176" s="124">
        <v>1072</v>
      </c>
      <c r="AR176" s="124">
        <v>1156</v>
      </c>
      <c r="AS176" s="124">
        <v>1207</v>
      </c>
      <c r="AT176" s="124">
        <v>1053</v>
      </c>
      <c r="AU176" s="124">
        <v>1096</v>
      </c>
      <c r="AV176" s="124">
        <v>1191</v>
      </c>
      <c r="AW176" s="124">
        <v>940</v>
      </c>
      <c r="AX176" s="124">
        <v>1209</v>
      </c>
      <c r="AY176" s="124">
        <v>922</v>
      </c>
    </row>
    <row r="177" spans="1:51">
      <c r="A177" s="134" t="s">
        <v>133</v>
      </c>
      <c r="B177" s="134" t="s">
        <v>298</v>
      </c>
      <c r="C177" s="123" t="s">
        <v>293</v>
      </c>
      <c r="D177" s="123">
        <f t="shared" ref="D177:AY177" si="2">SUM(D100:D107)</f>
        <v>1293.5383200000833</v>
      </c>
      <c r="E177" s="123">
        <f t="shared" si="2"/>
        <v>762.53832000008344</v>
      </c>
      <c r="F177" s="123">
        <f t="shared" si="2"/>
        <v>715.26744211892503</v>
      </c>
      <c r="G177" s="123">
        <f t="shared" si="2"/>
        <v>791.20416154271652</v>
      </c>
      <c r="H177" s="123">
        <f t="shared" si="2"/>
        <v>357.75989275791136</v>
      </c>
      <c r="I177" s="123">
        <f t="shared" si="2"/>
        <v>1577.63163514133</v>
      </c>
      <c r="J177" s="123">
        <f t="shared" si="2"/>
        <v>1546.3607580847813</v>
      </c>
      <c r="K177" s="123">
        <f t="shared" si="2"/>
        <v>1476.0898810282326</v>
      </c>
      <c r="L177" s="123">
        <f t="shared" si="2"/>
        <v>1045.6456122434274</v>
      </c>
      <c r="M177" s="123">
        <f t="shared" si="2"/>
        <v>1308.5481269151353</v>
      </c>
      <c r="N177" s="123">
        <f t="shared" si="2"/>
        <v>1269.2772498585866</v>
      </c>
      <c r="O177" s="123">
        <f t="shared" si="2"/>
        <v>1218.006372802038</v>
      </c>
      <c r="P177" s="123">
        <f t="shared" si="2"/>
        <v>721.56210401723285</v>
      </c>
      <c r="Q177" s="123">
        <f t="shared" si="2"/>
        <v>539.73549574548929</v>
      </c>
      <c r="R177" s="123">
        <f t="shared" si="2"/>
        <v>596.72912294345133</v>
      </c>
      <c r="S177" s="123">
        <f t="shared" si="2"/>
        <v>596.72912294345133</v>
      </c>
      <c r="T177" s="123">
        <f t="shared" si="2"/>
        <v>1193.4582458869027</v>
      </c>
      <c r="U177" s="123">
        <f t="shared" si="2"/>
        <v>1068.187368830354</v>
      </c>
      <c r="V177" s="123">
        <f t="shared" si="2"/>
        <v>920.72800268463675</v>
      </c>
      <c r="W177" s="123">
        <f t="shared" si="2"/>
        <v>870.26863653891951</v>
      </c>
      <c r="X177" s="123">
        <f t="shared" si="2"/>
        <v>538.82436775411441</v>
      </c>
      <c r="Y177" s="123">
        <f t="shared" si="2"/>
        <v>383.98490263908786</v>
      </c>
      <c r="Z177" s="123">
        <f t="shared" si="2"/>
        <v>596.72912294345133</v>
      </c>
      <c r="AA177" s="123">
        <f t="shared" si="2"/>
        <v>1193.2697567977341</v>
      </c>
      <c r="AB177" s="123">
        <f t="shared" si="2"/>
        <v>740.82548801292899</v>
      </c>
      <c r="AC177" s="123">
        <f t="shared" si="2"/>
        <v>410.99887974118542</v>
      </c>
      <c r="AD177" s="123">
        <f t="shared" si="2"/>
        <v>1193.4582458869027</v>
      </c>
      <c r="AE177" s="123">
        <f t="shared" si="2"/>
        <v>510.45824588690266</v>
      </c>
      <c r="AF177" s="123">
        <f t="shared" si="2"/>
        <v>212.55573121519492</v>
      </c>
      <c r="AG177" s="123">
        <f t="shared" si="2"/>
        <v>1193.4582458869027</v>
      </c>
      <c r="AH177" s="123">
        <f t="shared" si="2"/>
        <v>1124.187368830354</v>
      </c>
      <c r="AI177" s="123">
        <f t="shared" si="2"/>
        <v>1035.9164917738053</v>
      </c>
      <c r="AJ177" s="123">
        <f t="shared" si="2"/>
        <v>1363.819006445513</v>
      </c>
      <c r="AK177" s="123">
        <f t="shared" si="2"/>
        <v>598.81900644551308</v>
      </c>
      <c r="AL177" s="123">
        <f t="shared" si="2"/>
        <v>809.28485415864623</v>
      </c>
      <c r="AM177" s="123">
        <f t="shared" si="2"/>
        <v>596.72912294345133</v>
      </c>
      <c r="AN177" s="123">
        <f t="shared" si="2"/>
        <v>596.72912294345133</v>
      </c>
      <c r="AO177" s="123">
        <f t="shared" si="2"/>
        <v>980.90251467170776</v>
      </c>
      <c r="AP177" s="123">
        <f t="shared" si="2"/>
        <v>928.63163761515909</v>
      </c>
      <c r="AQ177" s="123">
        <f t="shared" si="2"/>
        <v>721.36076055861042</v>
      </c>
      <c r="AR177" s="123">
        <f t="shared" si="2"/>
        <v>639.08988350206175</v>
      </c>
      <c r="AS177" s="123">
        <f t="shared" si="2"/>
        <v>0</v>
      </c>
      <c r="AT177" s="123">
        <f t="shared" si="2"/>
        <v>596.72912294345133</v>
      </c>
      <c r="AU177" s="123">
        <f t="shared" si="2"/>
        <v>1193.4582458869027</v>
      </c>
      <c r="AV177" s="123">
        <f t="shared" si="2"/>
        <v>1181.187368830354</v>
      </c>
      <c r="AW177" s="123">
        <f t="shared" si="2"/>
        <v>1105.9164917738053</v>
      </c>
      <c r="AX177" s="123">
        <f t="shared" si="2"/>
        <v>1077.6456147172566</v>
      </c>
      <c r="AY177" s="123">
        <f t="shared" si="2"/>
        <v>792.37473766070798</v>
      </c>
    </row>
    <row r="178" spans="1:51">
      <c r="A178" s="124"/>
      <c r="B178" s="135" t="s">
        <v>299</v>
      </c>
      <c r="C178" s="124" t="s">
        <v>293</v>
      </c>
      <c r="D178" s="124">
        <v>531</v>
      </c>
      <c r="E178" s="124">
        <v>644</v>
      </c>
      <c r="F178" s="124">
        <v>708</v>
      </c>
      <c r="G178" s="124">
        <v>646</v>
      </c>
      <c r="H178" s="124">
        <v>357.75989275791136</v>
      </c>
      <c r="I178" s="124">
        <v>628</v>
      </c>
      <c r="J178" s="124">
        <v>667</v>
      </c>
      <c r="K178" s="124">
        <v>643</v>
      </c>
      <c r="L178" s="124">
        <v>718</v>
      </c>
      <c r="M178" s="124">
        <v>636</v>
      </c>
      <c r="N178" s="124">
        <v>648</v>
      </c>
      <c r="O178" s="124">
        <v>709</v>
      </c>
      <c r="P178" s="124">
        <v>566</v>
      </c>
      <c r="Q178" s="124">
        <v>539.73549574548929</v>
      </c>
      <c r="R178" s="124">
        <v>596.72912294345133</v>
      </c>
      <c r="S178" s="124">
        <v>596.72912294345133</v>
      </c>
      <c r="T178" s="124">
        <v>722</v>
      </c>
      <c r="U178" s="124">
        <v>744</v>
      </c>
      <c r="V178" s="124">
        <v>647</v>
      </c>
      <c r="W178" s="124">
        <v>544</v>
      </c>
      <c r="X178" s="124">
        <v>538.82436775411441</v>
      </c>
      <c r="Y178" s="124">
        <v>383.98490263908786</v>
      </c>
      <c r="Z178" s="124">
        <v>596.72912294345133</v>
      </c>
      <c r="AA178" s="124">
        <v>665</v>
      </c>
      <c r="AB178" s="124">
        <v>714</v>
      </c>
      <c r="AC178" s="124">
        <v>410.99887974118542</v>
      </c>
      <c r="AD178" s="124">
        <v>683</v>
      </c>
      <c r="AE178" s="124">
        <v>510.45824588690266</v>
      </c>
      <c r="AF178" s="124">
        <v>212.55573121519492</v>
      </c>
      <c r="AG178" s="124">
        <v>666</v>
      </c>
      <c r="AH178" s="124">
        <v>685</v>
      </c>
      <c r="AI178" s="124">
        <v>653</v>
      </c>
      <c r="AJ178" s="124">
        <v>765</v>
      </c>
      <c r="AK178" s="124">
        <v>598.81900644551308</v>
      </c>
      <c r="AL178" s="124">
        <v>809.28485415864623</v>
      </c>
      <c r="AM178" s="124">
        <v>596.72912294345133</v>
      </c>
      <c r="AN178" s="124">
        <v>596.72912294345133</v>
      </c>
      <c r="AO178" s="124">
        <v>649</v>
      </c>
      <c r="AP178" s="124">
        <v>804</v>
      </c>
      <c r="AQ178" s="124">
        <v>679</v>
      </c>
      <c r="AR178" s="124">
        <v>639.08988350206175</v>
      </c>
      <c r="AS178" s="124">
        <v>0</v>
      </c>
      <c r="AT178" s="124">
        <v>596.72912294345133</v>
      </c>
      <c r="AU178" s="124">
        <v>609</v>
      </c>
      <c r="AV178" s="124">
        <v>672</v>
      </c>
      <c r="AW178" s="124">
        <v>625</v>
      </c>
      <c r="AX178" s="124">
        <v>882</v>
      </c>
      <c r="AY178" s="124">
        <v>555</v>
      </c>
    </row>
    <row r="179" spans="1:51">
      <c r="A179" s="134" t="s">
        <v>134</v>
      </c>
      <c r="B179" s="134" t="s">
        <v>298</v>
      </c>
      <c r="C179" s="123" t="s">
        <v>293</v>
      </c>
      <c r="D179" s="123">
        <f t="shared" ref="D179:AY179" si="3">SUM(D109:D120)</f>
        <v>1114.5722892359399</v>
      </c>
      <c r="E179" s="123">
        <f t="shared" si="3"/>
        <v>1275.9355967874917</v>
      </c>
      <c r="F179" s="123">
        <f t="shared" si="3"/>
        <v>1081.2334211551547</v>
      </c>
      <c r="G179" s="123">
        <f t="shared" si="3"/>
        <v>929.72925135716673</v>
      </c>
      <c r="H179" s="123">
        <f t="shared" si="3"/>
        <v>880.0176510043591</v>
      </c>
      <c r="I179" s="123">
        <f t="shared" si="3"/>
        <v>638.39829532027829</v>
      </c>
      <c r="J179" s="123">
        <f t="shared" si="3"/>
        <v>864.73970705271881</v>
      </c>
      <c r="K179" s="123">
        <f t="shared" si="3"/>
        <v>953.12993899387618</v>
      </c>
      <c r="L179" s="123">
        <f t="shared" si="3"/>
        <v>939.22730291077062</v>
      </c>
      <c r="M179" s="123">
        <f t="shared" si="3"/>
        <v>757.78614143817094</v>
      </c>
      <c r="N179" s="123">
        <f t="shared" si="3"/>
        <v>808.97417402662882</v>
      </c>
      <c r="O179" s="123">
        <f t="shared" si="3"/>
        <v>797.15449425490192</v>
      </c>
      <c r="P179" s="123">
        <f t="shared" si="3"/>
        <v>700.99872330409721</v>
      </c>
      <c r="Q179" s="123">
        <f t="shared" si="3"/>
        <v>424.26949867430585</v>
      </c>
      <c r="R179" s="123">
        <f t="shared" si="3"/>
        <v>248.03465240328171</v>
      </c>
      <c r="S179" s="123">
        <f t="shared" si="3"/>
        <v>337.49583054907652</v>
      </c>
      <c r="T179" s="123">
        <f t="shared" si="3"/>
        <v>337.49583054907652</v>
      </c>
      <c r="U179" s="123">
        <f t="shared" si="3"/>
        <v>588.64921073425273</v>
      </c>
      <c r="V179" s="123">
        <f t="shared" si="3"/>
        <v>624.05601967977009</v>
      </c>
      <c r="W179" s="123">
        <f t="shared" si="3"/>
        <v>564.3044199352787</v>
      </c>
      <c r="X179" s="123">
        <f t="shared" si="3"/>
        <v>404.70670681790551</v>
      </c>
      <c r="Y179" s="123">
        <f t="shared" si="3"/>
        <v>202.61857539658601</v>
      </c>
      <c r="Z179" s="123">
        <f t="shared" si="3"/>
        <v>247.95532047518816</v>
      </c>
      <c r="AA179" s="123">
        <f t="shared" si="3"/>
        <v>337.49583054907652</v>
      </c>
      <c r="AB179" s="123">
        <f t="shared" si="3"/>
        <v>588.56987880615907</v>
      </c>
      <c r="AC179" s="123">
        <f t="shared" si="3"/>
        <v>357.17297514572988</v>
      </c>
      <c r="AD179" s="123">
        <f t="shared" si="3"/>
        <v>248.03465240328168</v>
      </c>
      <c r="AE179" s="123">
        <f t="shared" si="3"/>
        <v>588.64921073425273</v>
      </c>
      <c r="AF179" s="123">
        <f t="shared" si="3"/>
        <v>202.00062183313545</v>
      </c>
      <c r="AG179" s="123">
        <f t="shared" si="3"/>
        <v>175.80362850969516</v>
      </c>
      <c r="AH179" s="123">
        <f t="shared" si="3"/>
        <v>588.64921073425273</v>
      </c>
      <c r="AI179" s="123">
        <f t="shared" si="3"/>
        <v>572.57828510056981</v>
      </c>
      <c r="AJ179" s="123">
        <f t="shared" si="3"/>
        <v>496.8043437010482</v>
      </c>
      <c r="AK179" s="123">
        <f t="shared" si="3"/>
        <v>500.67802834147034</v>
      </c>
      <c r="AL179" s="123">
        <f t="shared" si="3"/>
        <v>165.15846189875418</v>
      </c>
      <c r="AM179" s="123">
        <f t="shared" si="3"/>
        <v>426.95700869487126</v>
      </c>
      <c r="AN179" s="123">
        <f t="shared" si="3"/>
        <v>390.47873718649078</v>
      </c>
      <c r="AO179" s="123">
        <f t="shared" si="3"/>
        <v>350.64355487363105</v>
      </c>
      <c r="AP179" s="123">
        <f t="shared" si="3"/>
        <v>499.18803258845787</v>
      </c>
      <c r="AQ179" s="123">
        <f t="shared" si="3"/>
        <v>481.54898689329684</v>
      </c>
      <c r="AR179" s="123">
        <f t="shared" si="3"/>
        <v>363.4608012542331</v>
      </c>
      <c r="AS179" s="123">
        <f t="shared" si="3"/>
        <v>337.49583054907652</v>
      </c>
      <c r="AT179" s="123">
        <f t="shared" si="3"/>
        <v>86.342450363900312</v>
      </c>
      <c r="AU179" s="123">
        <f t="shared" si="3"/>
        <v>337.49583054907646</v>
      </c>
      <c r="AV179" s="123">
        <f t="shared" si="3"/>
        <v>588.64921073425273</v>
      </c>
      <c r="AW179" s="123">
        <f t="shared" si="3"/>
        <v>483.14739053362865</v>
      </c>
      <c r="AX179" s="123">
        <f t="shared" si="3"/>
        <v>390.4615060087645</v>
      </c>
      <c r="AY179" s="123">
        <f t="shared" si="3"/>
        <v>337.49583054907652</v>
      </c>
    </row>
    <row r="180" spans="1:51">
      <c r="A180" s="124"/>
      <c r="B180" s="135" t="s">
        <v>299</v>
      </c>
      <c r="C180" s="124" t="s">
        <v>293</v>
      </c>
      <c r="D180" s="124">
        <v>429</v>
      </c>
      <c r="E180" s="124">
        <v>467</v>
      </c>
      <c r="F180" s="124">
        <v>489</v>
      </c>
      <c r="G180" s="124">
        <v>466</v>
      </c>
      <c r="H180" s="124">
        <v>478.3113904211254</v>
      </c>
      <c r="I180" s="124">
        <v>524</v>
      </c>
      <c r="J180" s="124">
        <v>505</v>
      </c>
      <c r="K180" s="124">
        <v>488</v>
      </c>
      <c r="L180" s="124">
        <v>473</v>
      </c>
      <c r="M180" s="124">
        <v>448</v>
      </c>
      <c r="N180" s="124">
        <v>463</v>
      </c>
      <c r="O180" s="124">
        <v>482</v>
      </c>
      <c r="P180" s="124">
        <v>479</v>
      </c>
      <c r="Q180" s="124">
        <v>424.26949867430585</v>
      </c>
      <c r="R180" s="124">
        <v>248.03465240328171</v>
      </c>
      <c r="S180" s="124">
        <v>337.49583054907652</v>
      </c>
      <c r="T180" s="124">
        <v>337.49583054907652</v>
      </c>
      <c r="U180" s="124">
        <v>442</v>
      </c>
      <c r="V180" s="124">
        <v>518</v>
      </c>
      <c r="W180" s="124">
        <v>546</v>
      </c>
      <c r="X180" s="124">
        <v>404.70670681790551</v>
      </c>
      <c r="Y180" s="124">
        <v>202.61857539658601</v>
      </c>
      <c r="Z180" s="124">
        <v>247.95532047518816</v>
      </c>
      <c r="AA180" s="124">
        <v>337.49583054907652</v>
      </c>
      <c r="AB180" s="124">
        <v>514</v>
      </c>
      <c r="AC180" s="124">
        <v>357.17297514572988</v>
      </c>
      <c r="AD180" s="124">
        <v>248.03465240328168</v>
      </c>
      <c r="AE180" s="124">
        <v>537.45411364975303</v>
      </c>
      <c r="AF180" s="124">
        <v>202.00062183313545</v>
      </c>
      <c r="AG180" s="124">
        <v>175.80362850969516</v>
      </c>
      <c r="AH180" s="124">
        <v>480</v>
      </c>
      <c r="AI180" s="124">
        <v>456</v>
      </c>
      <c r="AJ180" s="124">
        <v>496.8043437010482</v>
      </c>
      <c r="AK180" s="124">
        <v>500.67802834147034</v>
      </c>
      <c r="AL180" s="124">
        <v>165.15846189875418</v>
      </c>
      <c r="AM180" s="124">
        <v>426.95700869487126</v>
      </c>
      <c r="AN180" s="124">
        <v>390.47873718649078</v>
      </c>
      <c r="AO180" s="124">
        <v>350.64355487363105</v>
      </c>
      <c r="AP180" s="124">
        <v>419</v>
      </c>
      <c r="AQ180" s="124">
        <v>481.54898689329684</v>
      </c>
      <c r="AR180" s="124">
        <v>363.4608012542331</v>
      </c>
      <c r="AS180" s="124">
        <v>337.49583054907652</v>
      </c>
      <c r="AT180" s="124">
        <v>86.342450363900312</v>
      </c>
      <c r="AU180" s="124">
        <v>337.49583054907646</v>
      </c>
      <c r="AV180" s="124">
        <v>552</v>
      </c>
      <c r="AW180" s="124">
        <v>483.14739053362865</v>
      </c>
      <c r="AX180" s="124">
        <v>390.4615060087645</v>
      </c>
      <c r="AY180" s="124">
        <v>337.49583054907652</v>
      </c>
    </row>
    <row r="181" spans="1:51">
      <c r="A181" s="134" t="s">
        <v>123</v>
      </c>
      <c r="B181" s="134" t="s">
        <v>298</v>
      </c>
      <c r="C181" s="123" t="s">
        <v>293</v>
      </c>
      <c r="D181" s="123">
        <f t="shared" ref="D181:AY181" si="4">(1-D172)*SUM(D122:D169)</f>
        <v>976.55529093268331</v>
      </c>
      <c r="E181" s="123">
        <f t="shared" si="4"/>
        <v>450.42413323168728</v>
      </c>
      <c r="F181" s="123">
        <f t="shared" si="4"/>
        <v>558.27205796104352</v>
      </c>
      <c r="G181" s="123">
        <f t="shared" si="4"/>
        <v>688.60756423935788</v>
      </c>
      <c r="H181" s="123">
        <f t="shared" si="4"/>
        <v>391.52646495378525</v>
      </c>
      <c r="I181" s="123">
        <f t="shared" si="4"/>
        <v>1241.1846506385873</v>
      </c>
      <c r="J181" s="123">
        <f t="shared" si="4"/>
        <v>981.56230778165025</v>
      </c>
      <c r="K181" s="123">
        <f t="shared" si="4"/>
        <v>784.23283294897601</v>
      </c>
      <c r="L181" s="123">
        <f t="shared" si="4"/>
        <v>482.28492987304764</v>
      </c>
      <c r="M181" s="123">
        <f t="shared" si="4"/>
        <v>825.73681012851057</v>
      </c>
      <c r="N181" s="123">
        <f t="shared" si="4"/>
        <v>746.32437898445778</v>
      </c>
      <c r="O181" s="123">
        <f t="shared" si="4"/>
        <v>638.2480390194828</v>
      </c>
      <c r="P181" s="123">
        <f t="shared" si="4"/>
        <v>334.58819910074607</v>
      </c>
      <c r="Q181" s="123">
        <f t="shared" si="4"/>
        <v>410.28896789613327</v>
      </c>
      <c r="R181" s="123">
        <f t="shared" si="4"/>
        <v>558.27205853514374</v>
      </c>
      <c r="S181" s="123">
        <f t="shared" si="4"/>
        <v>558.27205853514374</v>
      </c>
      <c r="T181" s="123">
        <f t="shared" si="4"/>
        <v>973.71990076752093</v>
      </c>
      <c r="U181" s="123">
        <f t="shared" si="4"/>
        <v>789.70718410090694</v>
      </c>
      <c r="V181" s="123">
        <f t="shared" si="4"/>
        <v>758.01611330981609</v>
      </c>
      <c r="W181" s="123">
        <f t="shared" si="4"/>
        <v>639.1711558916071</v>
      </c>
      <c r="X181" s="123">
        <f t="shared" si="4"/>
        <v>335.16351594649296</v>
      </c>
      <c r="Y181" s="123">
        <f t="shared" si="4"/>
        <v>410.15774020442439</v>
      </c>
      <c r="Z181" s="123">
        <f t="shared" si="4"/>
        <v>558.27205853514374</v>
      </c>
      <c r="AA181" s="123">
        <f t="shared" si="4"/>
        <v>973.58867307581204</v>
      </c>
      <c r="AB181" s="123">
        <f t="shared" si="4"/>
        <v>467.47070055716108</v>
      </c>
      <c r="AC181" s="123">
        <f t="shared" si="4"/>
        <v>410.28896789613327</v>
      </c>
      <c r="AD181" s="123">
        <f t="shared" si="4"/>
        <v>973.71990076752093</v>
      </c>
      <c r="AE181" s="123">
        <f t="shared" si="4"/>
        <v>249.45644692238946</v>
      </c>
      <c r="AF181" s="123">
        <f t="shared" si="4"/>
        <v>290.8073069417768</v>
      </c>
      <c r="AG181" s="123">
        <f t="shared" si="4"/>
        <v>973.71990076752093</v>
      </c>
      <c r="AH181" s="123">
        <f t="shared" si="4"/>
        <v>767.41285644749814</v>
      </c>
      <c r="AI181" s="123">
        <f t="shared" si="4"/>
        <v>628.95468693123996</v>
      </c>
      <c r="AJ181" s="123">
        <f t="shared" si="4"/>
        <v>828.20150130673812</v>
      </c>
      <c r="AK181" s="123">
        <f t="shared" si="4"/>
        <v>273.19849954504247</v>
      </c>
      <c r="AL181" s="123">
        <f t="shared" si="4"/>
        <v>706.25514917415398</v>
      </c>
      <c r="AM181" s="123">
        <f t="shared" si="4"/>
        <v>645.91425638843964</v>
      </c>
      <c r="AN181" s="123">
        <f t="shared" si="4"/>
        <v>580.02049646926594</v>
      </c>
      <c r="AO181" s="123">
        <f t="shared" si="4"/>
        <v>825.73681012851057</v>
      </c>
      <c r="AP181" s="123">
        <f t="shared" si="4"/>
        <v>663.91518322123261</v>
      </c>
      <c r="AQ181" s="123">
        <f t="shared" si="4"/>
        <v>601.22227105121988</v>
      </c>
      <c r="AR181" s="123">
        <f t="shared" si="4"/>
        <v>558.27205853514374</v>
      </c>
      <c r="AS181" s="123">
        <f t="shared" si="4"/>
        <v>142.82421630276639</v>
      </c>
      <c r="AT181" s="123">
        <f t="shared" si="4"/>
        <v>558.27205853514363</v>
      </c>
      <c r="AU181" s="123">
        <f t="shared" si="4"/>
        <v>973.71990076752093</v>
      </c>
      <c r="AV181" s="123">
        <f t="shared" si="4"/>
        <v>738.57937019030942</v>
      </c>
      <c r="AW181" s="123">
        <f t="shared" si="4"/>
        <v>645.88575326576529</v>
      </c>
      <c r="AX181" s="123">
        <f t="shared" si="4"/>
        <v>558.27205853514374</v>
      </c>
      <c r="AY181" s="123">
        <f t="shared" si="4"/>
        <v>558.27205853514374</v>
      </c>
    </row>
    <row r="182" spans="1:51">
      <c r="A182" s="124"/>
      <c r="B182" s="135" t="s">
        <v>299</v>
      </c>
      <c r="C182" s="124" t="s">
        <v>293</v>
      </c>
      <c r="D182" s="124">
        <v>483</v>
      </c>
      <c r="E182" s="124">
        <v>450.42413323168728</v>
      </c>
      <c r="F182" s="124">
        <v>558.27205796104352</v>
      </c>
      <c r="G182" s="124">
        <v>527</v>
      </c>
      <c r="H182" s="124">
        <v>391.52646495378525</v>
      </c>
      <c r="I182" s="124">
        <v>562</v>
      </c>
      <c r="J182" s="124">
        <v>619</v>
      </c>
      <c r="K182" s="124">
        <v>477</v>
      </c>
      <c r="L182" s="124">
        <v>482.28492987304764</v>
      </c>
      <c r="M182" s="124">
        <v>524</v>
      </c>
      <c r="N182" s="124">
        <v>618</v>
      </c>
      <c r="O182" s="124">
        <v>568</v>
      </c>
      <c r="P182" s="124">
        <v>334.58819910074607</v>
      </c>
      <c r="Q182" s="124">
        <v>410.28896789613327</v>
      </c>
      <c r="R182" s="124">
        <v>558.27205853514374</v>
      </c>
      <c r="S182" s="124">
        <v>558.27205853514374</v>
      </c>
      <c r="T182" s="124">
        <v>602.37379680531683</v>
      </c>
      <c r="U182" s="124">
        <v>469</v>
      </c>
      <c r="V182" s="124">
        <v>628</v>
      </c>
      <c r="W182" s="124">
        <v>568</v>
      </c>
      <c r="X182" s="124">
        <v>335.16351594649296</v>
      </c>
      <c r="Y182" s="124">
        <v>410.15774020442439</v>
      </c>
      <c r="Z182" s="124">
        <v>558.27205853514374</v>
      </c>
      <c r="AA182" s="124">
        <v>690.12581163055211</v>
      </c>
      <c r="AB182" s="124">
        <v>467.47070055716108</v>
      </c>
      <c r="AC182" s="124">
        <v>410.28896789613327</v>
      </c>
      <c r="AD182" s="124">
        <v>802.62459576316246</v>
      </c>
      <c r="AE182" s="124">
        <v>249.45644692238946</v>
      </c>
      <c r="AF182" s="124">
        <v>290.8073069417768</v>
      </c>
      <c r="AG182" s="124">
        <v>638.14585903792602</v>
      </c>
      <c r="AH182" s="124">
        <v>654</v>
      </c>
      <c r="AI182" s="124">
        <v>625</v>
      </c>
      <c r="AJ182" s="124">
        <v>619.01120652960833</v>
      </c>
      <c r="AK182" s="124">
        <v>273.19849954504247</v>
      </c>
      <c r="AL182" s="124">
        <v>565.63004468344388</v>
      </c>
      <c r="AM182" s="124">
        <v>611.01809412976286</v>
      </c>
      <c r="AN182" s="124">
        <v>580.02049646926594</v>
      </c>
      <c r="AO182" s="124">
        <v>656.22856168665919</v>
      </c>
      <c r="AP182" s="124">
        <v>595</v>
      </c>
      <c r="AQ182" s="124">
        <v>601.22227105121988</v>
      </c>
      <c r="AR182" s="124">
        <v>558.27205853514374</v>
      </c>
      <c r="AS182" s="124">
        <v>142.82421630276639</v>
      </c>
      <c r="AT182" s="124">
        <v>558.27205853514363</v>
      </c>
      <c r="AU182" s="124">
        <v>684.41023986205585</v>
      </c>
      <c r="AV182" s="124">
        <v>598</v>
      </c>
      <c r="AW182" s="124">
        <v>645.88575326576529</v>
      </c>
      <c r="AX182" s="124">
        <v>558.27205853514374</v>
      </c>
      <c r="AY182" s="124">
        <v>558.27205853514374</v>
      </c>
    </row>
    <row r="184" spans="1:51">
      <c r="A184" s="101" t="s">
        <v>300</v>
      </c>
    </row>
    <row r="185" spans="1:51">
      <c r="A185" s="125" t="s">
        <v>125</v>
      </c>
      <c r="B185" s="122">
        <v>1</v>
      </c>
      <c r="C185" s="123">
        <v>702.60690989603677</v>
      </c>
      <c r="D185" s="123">
        <v>856</v>
      </c>
      <c r="E185" s="123">
        <v>741.36991460803893</v>
      </c>
      <c r="F185" s="123">
        <v>696.73982921607785</v>
      </c>
      <c r="G185" s="123">
        <v>885.10974382411678</v>
      </c>
      <c r="H185" s="123">
        <v>887.4796584321557</v>
      </c>
      <c r="I185" s="123">
        <v>687.84957304019463</v>
      </c>
      <c r="J185" s="123">
        <v>620.21948764823355</v>
      </c>
      <c r="K185" s="123">
        <v>482.58940225627248</v>
      </c>
      <c r="L185" s="123">
        <v>438.9593168643114</v>
      </c>
      <c r="M185" s="123">
        <v>364.32923147235033</v>
      </c>
      <c r="N185" s="123">
        <v>389.69914608038926</v>
      </c>
      <c r="O185" s="123">
        <v>208.06906068842818</v>
      </c>
      <c r="P185" s="123">
        <v>262.43897529646711</v>
      </c>
      <c r="Q185" s="123">
        <v>112.80888990450603</v>
      </c>
      <c r="R185" s="123">
        <v>113.17880451254496</v>
      </c>
      <c r="S185" s="123">
        <v>95.548719120583883</v>
      </c>
      <c r="T185" s="123">
        <v>0</v>
      </c>
      <c r="U185" s="123">
        <v>63.288548336661734</v>
      </c>
      <c r="V185" s="123">
        <v>9.6584629447006591</v>
      </c>
      <c r="W185" s="123">
        <v>0</v>
      </c>
      <c r="X185" s="123">
        <v>0</v>
      </c>
      <c r="Y185" s="123">
        <v>0</v>
      </c>
      <c r="Z185" s="123">
        <v>0</v>
      </c>
      <c r="AA185" s="123">
        <v>109.50803598489529</v>
      </c>
      <c r="AB185" s="123">
        <v>61.877950592934212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21.316925889401318</v>
      </c>
      <c r="AO185" s="123">
        <v>252.68684049744024</v>
      </c>
      <c r="AP185" s="123">
        <v>362.05675510547917</v>
      </c>
      <c r="AQ185" s="123">
        <v>366.42666971351809</v>
      </c>
      <c r="AR185" s="123">
        <v>454.79658432155702</v>
      </c>
      <c r="AS185" s="123">
        <v>594.16649892959595</v>
      </c>
      <c r="AT185" s="123">
        <v>579.53641353763487</v>
      </c>
      <c r="AU185" s="123">
        <v>607.9063281456738</v>
      </c>
      <c r="AV185" s="123">
        <v>731.27624275371272</v>
      </c>
      <c r="AW185" s="123">
        <v>603.64615736175165</v>
      </c>
      <c r="AX185" s="123">
        <v>745.01607196979057</v>
      </c>
      <c r="AY185" s="123">
        <v>599.3859865778295</v>
      </c>
    </row>
    <row r="186" spans="1:51">
      <c r="A186" s="108"/>
      <c r="B186" s="119">
        <v>2</v>
      </c>
      <c r="C186" s="105">
        <v>0</v>
      </c>
      <c r="D186" s="105">
        <v>0</v>
      </c>
      <c r="E186" s="105">
        <v>211.63008539196107</v>
      </c>
      <c r="F186" s="105">
        <v>326.26017078392215</v>
      </c>
      <c r="G186" s="105">
        <v>370.89025617588322</v>
      </c>
      <c r="H186" s="105">
        <v>182.5203415678443</v>
      </c>
      <c r="I186" s="105">
        <v>180.15042695980537</v>
      </c>
      <c r="J186" s="105">
        <v>379.78051235176645</v>
      </c>
      <c r="K186" s="105">
        <v>447.41059774372752</v>
      </c>
      <c r="L186" s="105">
        <v>585.0406831356886</v>
      </c>
      <c r="M186" s="105">
        <v>628.67076852764967</v>
      </c>
      <c r="N186" s="105">
        <v>703.30085391961074</v>
      </c>
      <c r="O186" s="105">
        <v>677.93093931157182</v>
      </c>
      <c r="P186" s="105">
        <v>859.56102470353289</v>
      </c>
      <c r="Q186" s="105">
        <v>805.19111009549397</v>
      </c>
      <c r="R186" s="105">
        <v>954.82119548745504</v>
      </c>
      <c r="S186" s="105">
        <v>954.45128087941612</v>
      </c>
      <c r="T186" s="105">
        <v>909</v>
      </c>
      <c r="U186" s="105">
        <v>1067.6300853919611</v>
      </c>
      <c r="V186" s="105">
        <v>1004.3415370552993</v>
      </c>
      <c r="W186" s="105">
        <v>1048</v>
      </c>
      <c r="X186" s="105">
        <v>1015.0283775527396</v>
      </c>
      <c r="Y186" s="105">
        <v>853.39829216077851</v>
      </c>
      <c r="Z186" s="105">
        <v>1058.7682067688174</v>
      </c>
      <c r="AA186" s="105">
        <v>1067.6300853919611</v>
      </c>
      <c r="AB186" s="105">
        <v>958.12204940706579</v>
      </c>
      <c r="AC186" s="105">
        <v>970</v>
      </c>
      <c r="AD186" s="105">
        <v>981.24786520097314</v>
      </c>
      <c r="AE186" s="105">
        <v>986.61777980901206</v>
      </c>
      <c r="AF186" s="105">
        <v>846.98769441705099</v>
      </c>
      <c r="AG186" s="105">
        <v>823.35760902508991</v>
      </c>
      <c r="AH186" s="105">
        <v>912.72752363312884</v>
      </c>
      <c r="AI186" s="105">
        <v>913.09743824116777</v>
      </c>
      <c r="AJ186" s="105">
        <v>996.46735284920669</v>
      </c>
      <c r="AK186" s="105">
        <v>980.83726745724562</v>
      </c>
      <c r="AL186" s="105">
        <v>1005.2071820652845</v>
      </c>
      <c r="AM186" s="105">
        <v>1019.5770966733235</v>
      </c>
      <c r="AN186" s="105">
        <v>1067.6300853919611</v>
      </c>
      <c r="AO186" s="105">
        <v>1046.3131595025598</v>
      </c>
      <c r="AP186" s="105">
        <v>814.94324489452083</v>
      </c>
      <c r="AQ186" s="105">
        <v>705.57333028648191</v>
      </c>
      <c r="AR186" s="105">
        <v>701.20341567844298</v>
      </c>
      <c r="AS186" s="105">
        <v>612.83350107040405</v>
      </c>
      <c r="AT186" s="105">
        <v>473.46358646236513</v>
      </c>
      <c r="AU186" s="105">
        <v>488.0936718543262</v>
      </c>
      <c r="AV186" s="105">
        <v>459.72375724628728</v>
      </c>
      <c r="AW186" s="105">
        <v>336.35384263824835</v>
      </c>
      <c r="AX186" s="105">
        <v>463.98392803020943</v>
      </c>
      <c r="AY186" s="105">
        <v>322.6140134221705</v>
      </c>
    </row>
    <row r="187" spans="1:51">
      <c r="A187" s="108"/>
      <c r="B187" s="126">
        <v>3</v>
      </c>
      <c r="C187" s="105">
        <v>0</v>
      </c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63.081366271377192</v>
      </c>
      <c r="V187" s="105">
        <v>0</v>
      </c>
      <c r="W187" s="105">
        <v>0</v>
      </c>
      <c r="X187" s="105">
        <v>9.9716224472604154</v>
      </c>
      <c r="Y187" s="105">
        <v>52.60170783922149</v>
      </c>
      <c r="Z187" s="105">
        <v>214.23179323118256</v>
      </c>
      <c r="AA187" s="105">
        <v>8.8618786231436388</v>
      </c>
      <c r="AB187" s="105">
        <v>0</v>
      </c>
      <c r="AC187" s="105">
        <v>0</v>
      </c>
      <c r="AD187" s="105">
        <v>35.752134799026862</v>
      </c>
      <c r="AE187" s="105">
        <v>86.382220190987937</v>
      </c>
      <c r="AF187" s="105">
        <v>81.012305582949011</v>
      </c>
      <c r="AG187" s="105">
        <v>220.64239097491009</v>
      </c>
      <c r="AH187" s="105">
        <v>244.27247636687116</v>
      </c>
      <c r="AI187" s="105">
        <v>154.90256175883223</v>
      </c>
      <c r="AJ187" s="105">
        <v>154.53264715079331</v>
      </c>
      <c r="AK187" s="105">
        <v>71.162732542754384</v>
      </c>
      <c r="AL187" s="105">
        <v>86.792817934715458</v>
      </c>
      <c r="AM187" s="105">
        <v>62.422903326676533</v>
      </c>
      <c r="AN187" s="105">
        <v>48.052988718637607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>
        <v>0</v>
      </c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0</v>
      </c>
      <c r="O188" s="105">
        <v>0</v>
      </c>
      <c r="P188" s="105">
        <v>0</v>
      </c>
      <c r="Q188" s="105">
        <v>0</v>
      </c>
      <c r="R188" s="105">
        <v>0</v>
      </c>
      <c r="S188" s="105">
        <v>0</v>
      </c>
      <c r="T188" s="105">
        <v>0</v>
      </c>
      <c r="U188" s="105">
        <v>0</v>
      </c>
      <c r="V188" s="105">
        <v>0</v>
      </c>
      <c r="W188" s="105">
        <v>0</v>
      </c>
      <c r="X188" s="105">
        <v>0</v>
      </c>
      <c r="Y188" s="105">
        <v>0</v>
      </c>
      <c r="Z188" s="105">
        <v>0</v>
      </c>
      <c r="AA188" s="105">
        <v>0</v>
      </c>
      <c r="AB188" s="105">
        <v>0</v>
      </c>
      <c r="AC188" s="105">
        <v>0</v>
      </c>
      <c r="AD188" s="105">
        <v>0</v>
      </c>
      <c r="AE188" s="105">
        <v>0</v>
      </c>
      <c r="AF188" s="105">
        <v>0</v>
      </c>
      <c r="AG188" s="105">
        <v>0</v>
      </c>
      <c r="AH188" s="105">
        <v>0</v>
      </c>
      <c r="AI188" s="105">
        <v>0</v>
      </c>
      <c r="AJ188" s="105">
        <v>0</v>
      </c>
      <c r="AK188" s="105">
        <v>0</v>
      </c>
      <c r="AL188" s="105">
        <v>0</v>
      </c>
      <c r="AM188" s="105">
        <v>0</v>
      </c>
      <c r="AN188" s="105">
        <v>0</v>
      </c>
      <c r="AO188" s="105">
        <v>0</v>
      </c>
      <c r="AP188" s="105">
        <v>0</v>
      </c>
      <c r="AQ188" s="105">
        <v>0</v>
      </c>
      <c r="AR188" s="105">
        <v>0</v>
      </c>
      <c r="AS188" s="105">
        <v>0</v>
      </c>
      <c r="AT188" s="105">
        <v>0</v>
      </c>
      <c r="AU188" s="105">
        <v>0</v>
      </c>
      <c r="AV188" s="105">
        <v>0</v>
      </c>
      <c r="AW188" s="105">
        <v>0</v>
      </c>
      <c r="AX188" s="105">
        <v>0</v>
      </c>
      <c r="AY188" s="105">
        <v>0</v>
      </c>
    </row>
    <row r="189" spans="1:51">
      <c r="A189" s="125" t="s">
        <v>133</v>
      </c>
      <c r="B189" s="122">
        <v>1</v>
      </c>
      <c r="C189" s="123">
        <v>188.38384589633154</v>
      </c>
      <c r="D189" s="123">
        <v>0</v>
      </c>
      <c r="E189" s="123">
        <v>0</v>
      </c>
      <c r="F189" s="123">
        <v>589.46167999991656</v>
      </c>
      <c r="G189" s="123">
        <v>0</v>
      </c>
      <c r="H189" s="123">
        <v>212.55573121519484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87.722750141413371</v>
      </c>
      <c r="P189" s="123">
        <v>56.993627197962041</v>
      </c>
      <c r="Q189" s="123">
        <v>0</v>
      </c>
      <c r="R189" s="123">
        <v>596.72912294345133</v>
      </c>
      <c r="S189" s="123">
        <v>0</v>
      </c>
      <c r="T189" s="123">
        <v>125.27087705654867</v>
      </c>
      <c r="U189" s="123">
        <v>272.54175411309734</v>
      </c>
      <c r="V189" s="123">
        <v>322.81263116964601</v>
      </c>
      <c r="W189" s="123">
        <v>270.27199731536325</v>
      </c>
      <c r="X189" s="123">
        <v>212.55573121519487</v>
      </c>
      <c r="Y189" s="123">
        <v>0</v>
      </c>
      <c r="Z189" s="123">
        <v>596.72912294345133</v>
      </c>
      <c r="AA189" s="123">
        <v>68.45936614571724</v>
      </c>
      <c r="AB189" s="123">
        <v>185.73024320226591</v>
      </c>
      <c r="AC189" s="123">
        <v>0</v>
      </c>
      <c r="AD189" s="123">
        <v>86.27087705654867</v>
      </c>
      <c r="AE189" s="123">
        <v>0</v>
      </c>
      <c r="AF189" s="123">
        <v>212.55573121519492</v>
      </c>
      <c r="AG189" s="123">
        <v>69.27087705654867</v>
      </c>
      <c r="AH189" s="123">
        <v>0</v>
      </c>
      <c r="AI189" s="123">
        <v>213.81263116964598</v>
      </c>
      <c r="AJ189" s="123">
        <v>0</v>
      </c>
      <c r="AK189" s="123">
        <v>0</v>
      </c>
      <c r="AL189" s="123">
        <v>212.5557312151949</v>
      </c>
      <c r="AM189" s="123">
        <v>596.72912294345133</v>
      </c>
      <c r="AN189" s="123">
        <v>212.5557312151949</v>
      </c>
      <c r="AO189" s="123">
        <v>264.82660827174357</v>
      </c>
      <c r="AP189" s="123">
        <v>472.09748532829224</v>
      </c>
      <c r="AQ189" s="123">
        <v>554.36836238484091</v>
      </c>
      <c r="AR189" s="123">
        <v>596.72912294345133</v>
      </c>
      <c r="AS189" s="123">
        <v>0</v>
      </c>
      <c r="AT189" s="123">
        <v>0</v>
      </c>
      <c r="AU189" s="123">
        <v>609</v>
      </c>
      <c r="AV189" s="123">
        <v>87.54175411309734</v>
      </c>
      <c r="AW189" s="123">
        <v>115.81263116964601</v>
      </c>
      <c r="AX189" s="123">
        <v>401.08350822619468</v>
      </c>
      <c r="AY189" s="123">
        <v>359.35438528274335</v>
      </c>
    </row>
    <row r="190" spans="1:51">
      <c r="A190" s="108"/>
      <c r="B190" s="118">
        <v>2</v>
      </c>
      <c r="C190" s="105">
        <v>10.655071155460973</v>
      </c>
      <c r="D190" s="105">
        <v>531</v>
      </c>
      <c r="E190" s="105">
        <v>622.42276294812405</v>
      </c>
      <c r="F190" s="105">
        <v>0</v>
      </c>
      <c r="G190" s="105">
        <v>0</v>
      </c>
      <c r="H190" s="105">
        <v>0</v>
      </c>
      <c r="I190" s="105">
        <v>31.270877881158412</v>
      </c>
      <c r="J190" s="105">
        <v>314.09748697751166</v>
      </c>
      <c r="K190" s="105">
        <v>360.36836485867008</v>
      </c>
      <c r="L190" s="105">
        <v>481.63924191521875</v>
      </c>
      <c r="M190" s="105">
        <v>520.91011897176736</v>
      </c>
      <c r="N190" s="105">
        <v>572.18099602831603</v>
      </c>
      <c r="O190" s="105">
        <v>596.72912294345133</v>
      </c>
      <c r="P190" s="105">
        <v>509.00637280203796</v>
      </c>
      <c r="Q190" s="105">
        <v>539.73549574548929</v>
      </c>
      <c r="R190" s="105">
        <v>0</v>
      </c>
      <c r="S190" s="105">
        <v>0</v>
      </c>
      <c r="T190" s="105">
        <v>596.72912294345133</v>
      </c>
      <c r="U190" s="105">
        <v>471.45824588690266</v>
      </c>
      <c r="V190" s="105">
        <v>324.18736883035399</v>
      </c>
      <c r="W190" s="105">
        <v>273.72800268463675</v>
      </c>
      <c r="X190" s="105">
        <v>326.26863653891951</v>
      </c>
      <c r="Y190" s="105">
        <v>383.98490263908786</v>
      </c>
      <c r="Z190" s="105">
        <v>0</v>
      </c>
      <c r="AA190" s="105">
        <v>0</v>
      </c>
      <c r="AB190" s="105">
        <v>528.26975679773409</v>
      </c>
      <c r="AC190" s="105">
        <v>410.99887974118542</v>
      </c>
      <c r="AD190" s="105">
        <v>596.72912294345133</v>
      </c>
      <c r="AE190" s="105">
        <v>510.45824588690266</v>
      </c>
      <c r="AF190" s="105">
        <v>0</v>
      </c>
      <c r="AG190" s="105">
        <v>0</v>
      </c>
      <c r="AH190" s="105">
        <v>300.82660827174357</v>
      </c>
      <c r="AI190" s="105">
        <v>212.55573121519492</v>
      </c>
      <c r="AJ190" s="105">
        <v>380.82660827174357</v>
      </c>
      <c r="AK190" s="105">
        <v>596.72912294345133</v>
      </c>
      <c r="AL190" s="105">
        <v>596.72912294345133</v>
      </c>
      <c r="AM190" s="105">
        <v>2.8421709430404007E-14</v>
      </c>
      <c r="AN190" s="105">
        <v>0</v>
      </c>
      <c r="AO190" s="105">
        <v>384.17339172825643</v>
      </c>
      <c r="AP190" s="105">
        <v>331.90251467170776</v>
      </c>
      <c r="AQ190" s="105">
        <v>124.63163761515909</v>
      </c>
      <c r="AR190" s="105">
        <v>42.360760558610423</v>
      </c>
      <c r="AS190" s="105">
        <v>0</v>
      </c>
      <c r="AT190" s="105">
        <v>596.72912294345133</v>
      </c>
      <c r="AU190" s="105">
        <v>0</v>
      </c>
      <c r="AV190" s="105">
        <v>584.45824588690266</v>
      </c>
      <c r="AW190" s="105">
        <v>509.18736883035399</v>
      </c>
      <c r="AX190" s="105">
        <v>480.91649177380532</v>
      </c>
      <c r="AY190" s="105">
        <v>195.64561471725665</v>
      </c>
    </row>
    <row r="191" spans="1:51">
      <c r="A191" s="108"/>
      <c r="B191" s="119">
        <v>3</v>
      </c>
      <c r="C191" s="105">
        <v>740.96108294820749</v>
      </c>
      <c r="D191" s="105">
        <v>0</v>
      </c>
      <c r="E191" s="105">
        <v>21.577237051875954</v>
      </c>
      <c r="F191" s="105">
        <v>118.53832000008344</v>
      </c>
      <c r="G191" s="105">
        <v>646</v>
      </c>
      <c r="H191" s="105">
        <v>7.2674421189250324</v>
      </c>
      <c r="I191" s="105">
        <v>596.72912211884159</v>
      </c>
      <c r="J191" s="105">
        <v>352.90251302248834</v>
      </c>
      <c r="K191" s="105">
        <v>282.63163514132992</v>
      </c>
      <c r="L191" s="105">
        <v>236.36075808478125</v>
      </c>
      <c r="M191" s="105">
        <v>115.08988102823258</v>
      </c>
      <c r="N191" s="105">
        <v>75.819003971683969</v>
      </c>
      <c r="O191" s="105">
        <v>24.548126915135299</v>
      </c>
      <c r="P191" s="105">
        <v>0</v>
      </c>
      <c r="Q191" s="105">
        <v>0</v>
      </c>
      <c r="R191" s="105">
        <v>0</v>
      </c>
      <c r="S191" s="105">
        <v>596.72912294345133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596.54063385428276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596.72912294345133</v>
      </c>
      <c r="AH191" s="105">
        <v>384.17339172825643</v>
      </c>
      <c r="AI191" s="105">
        <v>226.63163761515909</v>
      </c>
      <c r="AJ191" s="105">
        <v>384.17339172825643</v>
      </c>
      <c r="AK191" s="105">
        <v>2.0898835020617526</v>
      </c>
      <c r="AL191" s="105">
        <v>0</v>
      </c>
      <c r="AM191" s="105">
        <v>0</v>
      </c>
      <c r="AN191" s="105">
        <v>384.17339172825643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>
        <v>0</v>
      </c>
      <c r="D192" s="105">
        <v>0</v>
      </c>
      <c r="E192" s="105">
        <v>0</v>
      </c>
      <c r="F192" s="105">
        <v>0</v>
      </c>
      <c r="G192" s="105">
        <v>0</v>
      </c>
      <c r="H192" s="105">
        <v>137.93671942379149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>
        <v>0</v>
      </c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>
        <v>0</v>
      </c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>
        <v>0</v>
      </c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>
        <v>593.18158516295796</v>
      </c>
      <c r="D197" s="105">
        <v>429</v>
      </c>
      <c r="E197" s="105">
        <v>0</v>
      </c>
      <c r="F197" s="105">
        <v>0</v>
      </c>
      <c r="G197" s="105">
        <v>0</v>
      </c>
      <c r="H197" s="105">
        <v>14.582139063958664</v>
      </c>
      <c r="I197" s="105">
        <v>122.29373941676636</v>
      </c>
      <c r="J197" s="105">
        <v>390.60170467972171</v>
      </c>
      <c r="K197" s="105">
        <v>128.26029294728119</v>
      </c>
      <c r="L197" s="105">
        <v>7.8700610061238194</v>
      </c>
      <c r="M197" s="105">
        <v>0</v>
      </c>
      <c r="N197" s="105">
        <v>153.21385856182906</v>
      </c>
      <c r="O197" s="105">
        <v>136.02582597337118</v>
      </c>
      <c r="P197" s="105">
        <v>163.84550574509814</v>
      </c>
      <c r="Q197" s="105">
        <v>202.2707753702087</v>
      </c>
      <c r="R197" s="105">
        <v>248.03465240328168</v>
      </c>
      <c r="S197" s="105">
        <v>337.49583054907652</v>
      </c>
      <c r="T197" s="105">
        <v>337.49583054907652</v>
      </c>
      <c r="U197" s="105">
        <v>442</v>
      </c>
      <c r="V197" s="105">
        <v>371.35078926574727</v>
      </c>
      <c r="W197" s="105">
        <v>439.94398032022985</v>
      </c>
      <c r="X197" s="105">
        <v>386.40228688262675</v>
      </c>
      <c r="Y197" s="105">
        <v>202.61857539658601</v>
      </c>
      <c r="Z197" s="105">
        <v>247.95532047518816</v>
      </c>
      <c r="AA197" s="105">
        <v>337.49583054907652</v>
      </c>
      <c r="AB197" s="105">
        <v>514</v>
      </c>
      <c r="AC197" s="105">
        <v>282.60309633957081</v>
      </c>
      <c r="AD197" s="105">
        <v>248.03465240328168</v>
      </c>
      <c r="AE197" s="105">
        <v>537.45411364975303</v>
      </c>
      <c r="AF197" s="105">
        <v>150.80552474863575</v>
      </c>
      <c r="AG197" s="105">
        <v>175.80362850969516</v>
      </c>
      <c r="AH197" s="105">
        <v>480</v>
      </c>
      <c r="AI197" s="105">
        <v>347.35078926574727</v>
      </c>
      <c r="AJ197" s="105">
        <v>380.22605860047838</v>
      </c>
      <c r="AK197" s="105">
        <v>500.67802834147034</v>
      </c>
      <c r="AL197" s="105">
        <v>165.15846189875418</v>
      </c>
      <c r="AM197" s="105">
        <v>426.95700869487126</v>
      </c>
      <c r="AN197" s="105">
        <v>390.47873718649078</v>
      </c>
      <c r="AO197" s="105">
        <v>350.64355487363105</v>
      </c>
      <c r="AP197" s="105">
        <v>419</v>
      </c>
      <c r="AQ197" s="105">
        <v>401.36095430483897</v>
      </c>
      <c r="AR197" s="105">
        <v>363.4608012542331</v>
      </c>
      <c r="AS197" s="105">
        <v>337.49583054907652</v>
      </c>
      <c r="AT197" s="105">
        <v>86.342450363900312</v>
      </c>
      <c r="AU197" s="105">
        <v>337.49583054907646</v>
      </c>
      <c r="AV197" s="105">
        <v>552</v>
      </c>
      <c r="AW197" s="105">
        <v>446.49817979937592</v>
      </c>
      <c r="AX197" s="105">
        <v>390.4615060087645</v>
      </c>
      <c r="AY197" s="105">
        <v>337.49583054907652</v>
      </c>
    </row>
    <row r="198" spans="1:51">
      <c r="A198" s="108"/>
      <c r="B198" s="118">
        <v>2</v>
      </c>
      <c r="C198" s="105">
        <v>0</v>
      </c>
      <c r="D198" s="105">
        <v>0</v>
      </c>
      <c r="E198" s="105">
        <v>467</v>
      </c>
      <c r="F198" s="105">
        <v>270.42771076406007</v>
      </c>
      <c r="G198" s="105">
        <v>146.06440321250818</v>
      </c>
      <c r="H198" s="105">
        <v>337.49583020201203</v>
      </c>
      <c r="I198" s="105">
        <v>401.70626058323364</v>
      </c>
      <c r="J198" s="105">
        <v>114.39829532027827</v>
      </c>
      <c r="K198" s="105">
        <v>359.73970705271881</v>
      </c>
      <c r="L198" s="105">
        <v>465.12993899387618</v>
      </c>
      <c r="M198" s="105">
        <v>448</v>
      </c>
      <c r="N198" s="105">
        <v>291.55883852740033</v>
      </c>
      <c r="O198" s="105">
        <v>345.97417402662882</v>
      </c>
      <c r="P198" s="105">
        <v>315.15449425490186</v>
      </c>
      <c r="Q198" s="105">
        <v>221.99872330409715</v>
      </c>
      <c r="R198" s="105">
        <v>2.8421709430404007E-14</v>
      </c>
      <c r="S198" s="105">
        <v>0</v>
      </c>
      <c r="T198" s="105">
        <v>0</v>
      </c>
      <c r="U198" s="105">
        <v>0</v>
      </c>
      <c r="V198" s="105">
        <v>146.64921073425273</v>
      </c>
      <c r="W198" s="105">
        <v>106.05601967977015</v>
      </c>
      <c r="X198" s="105">
        <v>18.304419935278759</v>
      </c>
      <c r="Y198" s="105">
        <v>0</v>
      </c>
      <c r="Z198" s="105">
        <v>0</v>
      </c>
      <c r="AA198" s="105">
        <v>0</v>
      </c>
      <c r="AB198" s="105">
        <v>0</v>
      </c>
      <c r="AC198" s="105">
        <v>74.569878806159068</v>
      </c>
      <c r="AD198" s="105">
        <v>0</v>
      </c>
      <c r="AE198" s="105">
        <v>0</v>
      </c>
      <c r="AF198" s="105">
        <v>51.195097084499707</v>
      </c>
      <c r="AG198" s="105">
        <v>0</v>
      </c>
      <c r="AH198" s="105">
        <v>0</v>
      </c>
      <c r="AI198" s="105">
        <v>108.64921073425273</v>
      </c>
      <c r="AJ198" s="105">
        <v>116.57828510056981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80.188032588457872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36.649210734252733</v>
      </c>
      <c r="AX198" s="105">
        <v>0</v>
      </c>
      <c r="AY198" s="105">
        <v>0</v>
      </c>
    </row>
    <row r="199" spans="1:51">
      <c r="A199" s="108"/>
      <c r="B199" s="118">
        <v>3</v>
      </c>
      <c r="C199" s="105">
        <v>0</v>
      </c>
      <c r="D199" s="105">
        <v>0</v>
      </c>
      <c r="E199" s="105">
        <v>0</v>
      </c>
      <c r="F199" s="105">
        <v>218.57228923593993</v>
      </c>
      <c r="G199" s="105">
        <v>319.93559678749182</v>
      </c>
      <c r="H199" s="105">
        <v>126.2334211551547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18.227302910770618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>
        <v>0</v>
      </c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>
        <v>0</v>
      </c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>
        <v>0</v>
      </c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>
        <v>0</v>
      </c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>
        <v>0</v>
      </c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>
        <v>0</v>
      </c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>
        <v>0</v>
      </c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>
        <v>0</v>
      </c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>
        <v>0</v>
      </c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>
        <v>210.16667900047827</v>
      </c>
      <c r="D209" s="123">
        <v>268.75474223261108</v>
      </c>
      <c r="E209" s="123">
        <v>142.82421630276639</v>
      </c>
      <c r="F209" s="123">
        <v>558.27205796104352</v>
      </c>
      <c r="G209" s="123">
        <v>0</v>
      </c>
      <c r="H209" s="123">
        <v>290.8073069417768</v>
      </c>
      <c r="I209" s="123">
        <v>0</v>
      </c>
      <c r="J209" s="123">
        <v>195.70975075349349</v>
      </c>
      <c r="K209" s="123">
        <v>251.0392255861677</v>
      </c>
      <c r="L209" s="123">
        <v>290.8073069417768</v>
      </c>
      <c r="M209" s="123">
        <v>256.53524840663312</v>
      </c>
      <c r="N209" s="123">
        <v>429.9476795506859</v>
      </c>
      <c r="O209" s="123">
        <v>488.02401951566094</v>
      </c>
      <c r="P209" s="123">
        <v>290.8073069417768</v>
      </c>
      <c r="Q209" s="123">
        <v>142.82421630276639</v>
      </c>
      <c r="R209" s="123">
        <v>558.27205853514374</v>
      </c>
      <c r="S209" s="123">
        <v>142.82421630276639</v>
      </c>
      <c r="T209" s="123">
        <v>186.92595457293959</v>
      </c>
      <c r="U209" s="123">
        <v>237.56487443423674</v>
      </c>
      <c r="V209" s="123">
        <v>428.12471753361865</v>
      </c>
      <c r="W209" s="123">
        <v>486.9696749518277</v>
      </c>
      <c r="X209" s="123">
        <v>290.8073069417768</v>
      </c>
      <c r="Y209" s="123">
        <v>142.82421630276639</v>
      </c>
      <c r="Z209" s="123">
        <v>558.27205853514374</v>
      </c>
      <c r="AA209" s="123">
        <v>274.80919708988375</v>
      </c>
      <c r="AB209" s="123">
        <v>290.8073069417768</v>
      </c>
      <c r="AC209" s="123">
        <v>142.82421630276639</v>
      </c>
      <c r="AD209" s="123">
        <v>387.17675353078522</v>
      </c>
      <c r="AE209" s="123">
        <v>142.82421630276639</v>
      </c>
      <c r="AF209" s="123">
        <v>290.8073069417768</v>
      </c>
      <c r="AG209" s="123">
        <v>222.69801680554872</v>
      </c>
      <c r="AH209" s="123">
        <v>177.39445049427869</v>
      </c>
      <c r="AI209" s="123">
        <v>554.31737160390367</v>
      </c>
      <c r="AJ209" s="123">
        <v>349.08176375801384</v>
      </c>
      <c r="AK209" s="123">
        <v>142.82421630276639</v>
      </c>
      <c r="AL209" s="123">
        <v>150.18220245106664</v>
      </c>
      <c r="AM209" s="123">
        <v>523.37589627646696</v>
      </c>
      <c r="AN209" s="123">
        <v>290.8073069417768</v>
      </c>
      <c r="AO209" s="123">
        <v>388.76381009329231</v>
      </c>
      <c r="AP209" s="123">
        <v>489.35687531391108</v>
      </c>
      <c r="AQ209" s="123">
        <v>558.27205853514374</v>
      </c>
      <c r="AR209" s="123">
        <v>558.27205853514374</v>
      </c>
      <c r="AS209" s="123">
        <v>142.82421630276639</v>
      </c>
      <c r="AT209" s="123">
        <v>142.82421630276639</v>
      </c>
      <c r="AU209" s="123">
        <v>684.41023986205585</v>
      </c>
      <c r="AV209" s="123">
        <v>417.69268834483432</v>
      </c>
      <c r="AW209" s="123">
        <v>558.27205853514374</v>
      </c>
      <c r="AX209" s="123">
        <v>558.27205853514374</v>
      </c>
      <c r="AY209" s="123">
        <v>558.27205853514374</v>
      </c>
    </row>
    <row r="210" spans="1:51">
      <c r="A210" s="108"/>
      <c r="B210" s="118">
        <v>2</v>
      </c>
      <c r="C210" s="105">
        <v>6.9022637865426111</v>
      </c>
      <c r="D210" s="109">
        <v>214.24525776738889</v>
      </c>
      <c r="E210" s="109">
        <v>307.59991692892083</v>
      </c>
      <c r="F210" s="109">
        <v>0</v>
      </c>
      <c r="G210" s="109">
        <v>0</v>
      </c>
      <c r="H210" s="109">
        <v>89.012756781815554</v>
      </c>
      <c r="I210" s="109">
        <v>146.55215834172287</v>
      </c>
      <c r="J210" s="109">
        <v>347.93353816153569</v>
      </c>
      <c r="K210" s="109">
        <v>225.9607744138323</v>
      </c>
      <c r="L210" s="109">
        <v>191.47762293127084</v>
      </c>
      <c r="M210" s="109">
        <v>267.46475159336688</v>
      </c>
      <c r="N210" s="109">
        <v>188.0523204493141</v>
      </c>
      <c r="O210" s="109">
        <v>79.975980484339075</v>
      </c>
      <c r="P210" s="109">
        <v>43.780892158969237</v>
      </c>
      <c r="Q210" s="109">
        <v>267.46475159336688</v>
      </c>
      <c r="R210" s="109">
        <v>0</v>
      </c>
      <c r="S210" s="109">
        <v>0</v>
      </c>
      <c r="T210" s="109">
        <v>415.44784223237724</v>
      </c>
      <c r="U210" s="109">
        <v>231.43512556576326</v>
      </c>
      <c r="V210" s="109">
        <v>199.87528246638132</v>
      </c>
      <c r="W210" s="109">
        <v>81.030325048172315</v>
      </c>
      <c r="X210" s="109">
        <v>44.35620900471617</v>
      </c>
      <c r="Y210" s="109">
        <v>267.333523901658</v>
      </c>
      <c r="Z210" s="109">
        <v>0</v>
      </c>
      <c r="AA210" s="109">
        <v>0</v>
      </c>
      <c r="AB210" s="109">
        <v>176.66339361538431</v>
      </c>
      <c r="AC210" s="109">
        <v>267.46475159336688</v>
      </c>
      <c r="AD210" s="109">
        <v>415.44784223237724</v>
      </c>
      <c r="AE210" s="109">
        <v>106.63223061962307</v>
      </c>
      <c r="AF210" s="109">
        <v>0</v>
      </c>
      <c r="AG210" s="109">
        <v>0</v>
      </c>
      <c r="AH210" s="109">
        <v>209.14079791235443</v>
      </c>
      <c r="AI210" s="109">
        <v>70.682628396096277</v>
      </c>
      <c r="AJ210" s="109">
        <v>2.4646911782275898</v>
      </c>
      <c r="AK210" s="109">
        <v>130.37428324227605</v>
      </c>
      <c r="AL210" s="109">
        <v>415.44784223237724</v>
      </c>
      <c r="AM210" s="109">
        <v>87.642197853295897</v>
      </c>
      <c r="AN210" s="109">
        <v>21.748437934122261</v>
      </c>
      <c r="AO210" s="109">
        <v>267.46475159336688</v>
      </c>
      <c r="AP210" s="109">
        <v>105.64312468608894</v>
      </c>
      <c r="AQ210" s="109">
        <v>42.950212516076114</v>
      </c>
      <c r="AR210" s="109">
        <v>0</v>
      </c>
      <c r="AS210" s="109">
        <v>0</v>
      </c>
      <c r="AT210" s="109">
        <v>415.44784223237724</v>
      </c>
      <c r="AU210" s="109">
        <v>0</v>
      </c>
      <c r="AV210" s="109">
        <v>180.30731165516568</v>
      </c>
      <c r="AW210" s="109">
        <v>87.613694730621461</v>
      </c>
      <c r="AX210" s="109">
        <v>0</v>
      </c>
      <c r="AY210" s="109">
        <v>0</v>
      </c>
    </row>
    <row r="211" spans="1:51">
      <c r="A211" s="108"/>
      <c r="B211" s="118">
        <v>3</v>
      </c>
      <c r="C211" s="105">
        <v>479.9882399142266</v>
      </c>
      <c r="D211" s="109">
        <v>0</v>
      </c>
      <c r="E211" s="109">
        <v>0</v>
      </c>
      <c r="F211" s="109">
        <v>0</v>
      </c>
      <c r="G211" s="109">
        <v>527</v>
      </c>
      <c r="H211" s="109">
        <v>0</v>
      </c>
      <c r="I211" s="109">
        <v>415.44784165827713</v>
      </c>
      <c r="J211" s="109">
        <v>75.356711084970797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415.4478422323773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415.31661454066835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415.4478422323773</v>
      </c>
      <c r="AH211" s="109">
        <v>267.46475159336688</v>
      </c>
      <c r="AI211" s="109">
        <v>0</v>
      </c>
      <c r="AJ211" s="109">
        <v>267.46475159336688</v>
      </c>
      <c r="AK211" s="109">
        <v>0</v>
      </c>
      <c r="AL211" s="109">
        <v>0</v>
      </c>
      <c r="AM211" s="109">
        <v>0</v>
      </c>
      <c r="AN211" s="109">
        <v>267.46475159336688</v>
      </c>
      <c r="AO211" s="109">
        <v>0</v>
      </c>
      <c r="AP211" s="109">
        <v>0</v>
      </c>
      <c r="AQ211" s="109">
        <v>0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>
      <c r="A212" s="108"/>
      <c r="B212" s="118">
        <v>4</v>
      </c>
      <c r="C212" s="105">
        <v>0</v>
      </c>
      <c r="D212" s="109">
        <v>0</v>
      </c>
      <c r="E212" s="109">
        <v>0</v>
      </c>
      <c r="F212" s="109">
        <v>0</v>
      </c>
      <c r="G212" s="109">
        <v>0</v>
      </c>
      <c r="H212" s="109">
        <v>11.706401230192826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>
        <v>0</v>
      </c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>
        <v>0</v>
      </c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>
        <v>0</v>
      </c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>
        <v>0</v>
      </c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>
        <v>0</v>
      </c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>
        <v>0</v>
      </c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>
        <v>0</v>
      </c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>
        <v>0</v>
      </c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>
        <v>0</v>
      </c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>
        <v>0</v>
      </c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>
        <v>0</v>
      </c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>
        <v>0</v>
      </c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>
        <v>0</v>
      </c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>
        <v>0</v>
      </c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>
        <v>0</v>
      </c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>
        <v>0</v>
      </c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>
        <v>0</v>
      </c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>
        <v>0</v>
      </c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>
        <v>0</v>
      </c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>
        <v>0</v>
      </c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>
        <v>0</v>
      </c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>
        <v>0</v>
      </c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>
        <v>0</v>
      </c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>
        <v>0</v>
      </c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>
        <v>0</v>
      </c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>
        <v>0</v>
      </c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>
        <v>0</v>
      </c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>
        <v>0</v>
      </c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>
        <v>0</v>
      </c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>
        <v>0</v>
      </c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>
        <v>0</v>
      </c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>
        <v>0</v>
      </c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>
        <v>0</v>
      </c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>
        <v>0</v>
      </c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>
        <v>0</v>
      </c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>
        <v>0</v>
      </c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>
        <v>0</v>
      </c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>
        <v>0</v>
      </c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>
        <v>0</v>
      </c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>
        <v>0</v>
      </c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>
        <v>0</v>
      </c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>
        <v>0</v>
      </c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>
        <v>0</v>
      </c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301</v>
      </c>
    </row>
    <row r="259" spans="1:52">
      <c r="A259" s="136" t="s">
        <v>124</v>
      </c>
      <c r="B259" s="137">
        <v>650</v>
      </c>
      <c r="C259" s="123" t="s">
        <v>293</v>
      </c>
      <c r="D259" s="123">
        <f>E$14*$B$259</f>
        <v>383736.1499085087</v>
      </c>
      <c r="E259" s="123">
        <f t="shared" ref="E259:AX259" si="5">F$14*$B$259</f>
        <v>176993.58583898089</v>
      </c>
      <c r="F259" s="123">
        <f t="shared" si="5"/>
        <v>219372.28963130782</v>
      </c>
      <c r="G259" s="123">
        <f t="shared" si="5"/>
        <v>270587.45977067499</v>
      </c>
      <c r="H259" s="123">
        <f t="shared" si="5"/>
        <v>153849.82257907902</v>
      </c>
      <c r="I259" s="123">
        <f t="shared" si="5"/>
        <v>487721.91762608633</v>
      </c>
      <c r="J259" s="123">
        <f t="shared" si="5"/>
        <v>385703.65076175227</v>
      </c>
      <c r="K259" s="123">
        <f t="shared" si="5"/>
        <v>308163.28654598136</v>
      </c>
      <c r="L259" s="123">
        <f t="shared" si="5"/>
        <v>189513.24504281022</v>
      </c>
      <c r="M259" s="123">
        <f t="shared" si="5"/>
        <v>324472.22118249763</v>
      </c>
      <c r="N259" s="123">
        <f t="shared" si="5"/>
        <v>293267.20814837748</v>
      </c>
      <c r="O259" s="123">
        <f t="shared" si="5"/>
        <v>250798.74888197694</v>
      </c>
      <c r="P259" s="123">
        <f t="shared" si="5"/>
        <v>131476.00399063568</v>
      </c>
      <c r="Q259" s="123">
        <f t="shared" si="5"/>
        <v>161222.5240621331</v>
      </c>
      <c r="R259" s="123">
        <f t="shared" si="5"/>
        <v>219372.28985689973</v>
      </c>
      <c r="S259" s="123">
        <f t="shared" si="5"/>
        <v>219372.28985689973</v>
      </c>
      <c r="T259" s="123">
        <f t="shared" si="5"/>
        <v>382621.98697726429</v>
      </c>
      <c r="U259" s="123">
        <f t="shared" si="5"/>
        <v>310314.42581458634</v>
      </c>
      <c r="V259" s="123">
        <f t="shared" si="5"/>
        <v>297861.46016608062</v>
      </c>
      <c r="W259" s="123">
        <f t="shared" si="5"/>
        <v>251161.48647370739</v>
      </c>
      <c r="X259" s="123">
        <f t="shared" si="5"/>
        <v>131702.0740077809</v>
      </c>
      <c r="Y259" s="123">
        <f t="shared" si="5"/>
        <v>161170.9583088723</v>
      </c>
      <c r="Z259" s="123">
        <f t="shared" si="5"/>
        <v>219372.28985689973</v>
      </c>
      <c r="AA259" s="123">
        <f t="shared" si="5"/>
        <v>382570.42122400337</v>
      </c>
      <c r="AB259" s="123">
        <f t="shared" si="5"/>
        <v>183692.01262072104</v>
      </c>
      <c r="AC259" s="123">
        <f t="shared" si="5"/>
        <v>161222.5240621331</v>
      </c>
      <c r="AD259" s="123">
        <f t="shared" si="5"/>
        <v>382621.98697726429</v>
      </c>
      <c r="AE259" s="123">
        <f t="shared" si="5"/>
        <v>98023.591086613233</v>
      </c>
      <c r="AF259" s="123">
        <f t="shared" si="5"/>
        <v>114272.35853130186</v>
      </c>
      <c r="AG259" s="123">
        <f t="shared" si="5"/>
        <v>382621.98697726429</v>
      </c>
      <c r="AH259" s="123">
        <f t="shared" si="5"/>
        <v>301553.89833810611</v>
      </c>
      <c r="AI259" s="123">
        <f t="shared" si="5"/>
        <v>247146.93809031096</v>
      </c>
      <c r="AJ259" s="123">
        <f t="shared" si="5"/>
        <v>325440.71842195571</v>
      </c>
      <c r="AK259" s="123">
        <f t="shared" si="5"/>
        <v>107353.00023419021</v>
      </c>
      <c r="AL259" s="123">
        <f t="shared" si="5"/>
        <v>277522.05565166631</v>
      </c>
      <c r="AM259" s="123">
        <f t="shared" si="5"/>
        <v>253811.179171219</v>
      </c>
      <c r="AN259" s="123">
        <f t="shared" si="5"/>
        <v>227918.31066786018</v>
      </c>
      <c r="AO259" s="123">
        <f t="shared" si="5"/>
        <v>324472.22118249763</v>
      </c>
      <c r="AP259" s="123">
        <f t="shared" si="5"/>
        <v>260884.62029814534</v>
      </c>
      <c r="AQ259" s="123">
        <f t="shared" si="5"/>
        <v>236249.52081525151</v>
      </c>
      <c r="AR259" s="123">
        <f t="shared" si="5"/>
        <v>219372.28985689973</v>
      </c>
      <c r="AS259" s="123">
        <f t="shared" si="5"/>
        <v>56122.592736535204</v>
      </c>
      <c r="AT259" s="123">
        <f t="shared" si="5"/>
        <v>219372.2898568997</v>
      </c>
      <c r="AU259" s="123">
        <f t="shared" si="5"/>
        <v>382621.98697726429</v>
      </c>
      <c r="AV259" s="123">
        <f t="shared" si="5"/>
        <v>290223.81686959433</v>
      </c>
      <c r="AW259" s="123">
        <f t="shared" si="5"/>
        <v>253799.97890569692</v>
      </c>
      <c r="AX259" s="123">
        <f t="shared" si="5"/>
        <v>219372.28985689973</v>
      </c>
      <c r="AY259" s="123">
        <f>AZ$14*$B$259</f>
        <v>219372.28985689973</v>
      </c>
      <c r="AZ259" s="138">
        <f>SUM($D259:$AY259)</f>
        <v>12057462.254556987</v>
      </c>
    </row>
    <row r="260" spans="1:52">
      <c r="A260" s="139" t="s">
        <v>302</v>
      </c>
      <c r="B260" s="113">
        <v>60</v>
      </c>
      <c r="C260" s="124" t="s">
        <v>293</v>
      </c>
      <c r="D260" s="124">
        <f>(D$175-D$176+D$177-D$178+D$179-D$180+D$181-D$182)*$B$260</f>
        <v>129197.75913364007</v>
      </c>
      <c r="E260" s="124">
        <f t="shared" ref="E260:AY260" si="6">(E$175-E$176+E$177-E$178+E$179-E$180+E$181-E$182)*$B$260</f>
        <v>75224.045254289827</v>
      </c>
      <c r="F260" s="124">
        <f t="shared" si="6"/>
        <v>58223.467166997776</v>
      </c>
      <c r="G260" s="124">
        <f t="shared" si="6"/>
        <v>57183.679122425121</v>
      </c>
      <c r="H260" s="124">
        <f t="shared" si="6"/>
        <v>34911.401252582342</v>
      </c>
      <c r="I260" s="124">
        <f t="shared" si="6"/>
        <v>127379.70560711772</v>
      </c>
      <c r="J260" s="124">
        <f t="shared" si="6"/>
        <v>122944.40223977268</v>
      </c>
      <c r="K260" s="124">
        <f t="shared" si="6"/>
        <v>131429.6001664064</v>
      </c>
      <c r="L260" s="124">
        <f t="shared" si="6"/>
        <v>85352.621020910854</v>
      </c>
      <c r="M260" s="124">
        <f t="shared" si="6"/>
        <v>119242.31594408567</v>
      </c>
      <c r="N260" s="124">
        <f t="shared" si="6"/>
        <v>106410.4045308747</v>
      </c>
      <c r="O260" s="124">
        <f t="shared" si="6"/>
        <v>105238.1958467973</v>
      </c>
      <c r="P260" s="124">
        <f t="shared" si="6"/>
        <v>70965.116245009442</v>
      </c>
      <c r="Q260" s="124">
        <f t="shared" si="6"/>
        <v>57289.271729247303</v>
      </c>
      <c r="R260" s="124">
        <f t="shared" si="6"/>
        <v>57267.076852764956</v>
      </c>
      <c r="S260" s="124">
        <f t="shared" si="6"/>
        <v>58324.881976282632</v>
      </c>
      <c r="T260" s="124">
        <f t="shared" si="6"/>
        <v>118410.94809074669</v>
      </c>
      <c r="U260" s="124">
        <f t="shared" si="6"/>
        <v>107753.11804324879</v>
      </c>
      <c r="V260" s="124">
        <f t="shared" si="6"/>
        <v>94066.305487289006</v>
      </c>
      <c r="W260" s="124">
        <f t="shared" si="6"/>
        <v>89600.755212301607</v>
      </c>
      <c r="X260" s="124">
        <f t="shared" si="6"/>
        <v>67213.907593870957</v>
      </c>
      <c r="Y260" s="124">
        <f t="shared" si="6"/>
        <v>76911.712717388611</v>
      </c>
      <c r="Z260" s="124">
        <f t="shared" si="6"/>
        <v>64589.517840906279</v>
      </c>
      <c r="AA260" s="124">
        <f t="shared" si="6"/>
        <v>106191.28005900358</v>
      </c>
      <c r="AB260" s="124">
        <f t="shared" si="6"/>
        <v>66428.850097086892</v>
      </c>
      <c r="AC260" s="124">
        <f t="shared" si="6"/>
        <v>66202.933211459283</v>
      </c>
      <c r="AD260" s="124">
        <f t="shared" si="6"/>
        <v>110133.95138845259</v>
      </c>
      <c r="AE260" s="124">
        <f t="shared" si="6"/>
        <v>71990.249283564597</v>
      </c>
      <c r="AF260" s="124">
        <f t="shared" si="6"/>
        <v>77296.348582012273</v>
      </c>
      <c r="AG260" s="124">
        <f t="shared" si="6"/>
        <v>130496.09096251978</v>
      </c>
      <c r="AH260" s="124">
        <f t="shared" si="6"/>
        <v>113026.92498977389</v>
      </c>
      <c r="AI260" s="124">
        <f t="shared" si="6"/>
        <v>103536.73178090216</v>
      </c>
      <c r="AJ260" s="124">
        <f t="shared" si="6"/>
        <v>116808.12714944148</v>
      </c>
      <c r="AK260" s="124">
        <f t="shared" si="6"/>
        <v>69265.374199600599</v>
      </c>
      <c r="AL260" s="124">
        <f t="shared" si="6"/>
        <v>76240.685592560869</v>
      </c>
      <c r="AM260" s="124">
        <f t="shared" si="6"/>
        <v>69034.754182156539</v>
      </c>
      <c r="AN260" s="124">
        <f t="shared" si="6"/>
        <v>62778.789570153589</v>
      </c>
      <c r="AO260" s="124">
        <f t="shared" si="6"/>
        <v>78981.24048048479</v>
      </c>
      <c r="AP260" s="124">
        <f t="shared" si="6"/>
        <v>58758.491022679882</v>
      </c>
      <c r="AQ260" s="124">
        <f t="shared" si="6"/>
        <v>44613.850574223194</v>
      </c>
      <c r="AR260" s="124">
        <f t="shared" si="6"/>
        <v>36770.010064224247</v>
      </c>
      <c r="AS260" s="124">
        <f t="shared" si="6"/>
        <v>28407.815187741911</v>
      </c>
      <c r="AT260" s="124">
        <f t="shared" si="6"/>
        <v>29285.620311259565</v>
      </c>
      <c r="AU260" s="124">
        <f t="shared" si="6"/>
        <v>80009.499842319303</v>
      </c>
      <c r="AV260" s="124">
        <f t="shared" si="6"/>
        <v>61366.187543589876</v>
      </c>
      <c r="AW260" s="124">
        <f t="shared" si="6"/>
        <v>56694.025188240885</v>
      </c>
      <c r="AX260" s="124">
        <f t="shared" si="6"/>
        <v>31095.577688365629</v>
      </c>
      <c r="AY260" s="124">
        <f t="shared" si="6"/>
        <v>42337.130188490373</v>
      </c>
      <c r="AZ260" s="140">
        <f>SUM($D260:$AY260)</f>
        <v>3802880.7482152651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283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17</v>
      </c>
      <c r="E6" s="99">
        <v>9832.7999999999993</v>
      </c>
      <c r="F6" s="99">
        <v>16</v>
      </c>
      <c r="G6" s="99">
        <v>9254.4</v>
      </c>
      <c r="H6" s="99">
        <v>14</v>
      </c>
      <c r="I6" s="99">
        <v>8097.5999999999995</v>
      </c>
      <c r="J6" s="99">
        <v>23</v>
      </c>
      <c r="K6" s="99">
        <v>13303.199999999999</v>
      </c>
      <c r="L6" s="99">
        <v>23</v>
      </c>
      <c r="M6" s="99">
        <v>13303.199999999999</v>
      </c>
      <c r="N6" s="99">
        <v>14</v>
      </c>
      <c r="O6" s="99">
        <v>8097.5999999999995</v>
      </c>
      <c r="P6" s="99">
        <v>20</v>
      </c>
      <c r="Q6" s="99">
        <v>11568</v>
      </c>
      <c r="R6" s="99">
        <v>19</v>
      </c>
      <c r="S6" s="99">
        <v>10989.6</v>
      </c>
      <c r="T6" s="99">
        <v>18</v>
      </c>
      <c r="U6" s="99">
        <v>10411.199999999999</v>
      </c>
      <c r="V6" s="99">
        <v>18</v>
      </c>
      <c r="W6" s="99">
        <v>10411.199999999999</v>
      </c>
      <c r="X6" s="99">
        <v>19</v>
      </c>
      <c r="Y6" s="99">
        <v>10989.6</v>
      </c>
      <c r="Z6" s="99">
        <v>16</v>
      </c>
      <c r="AA6" s="99">
        <v>9254.4</v>
      </c>
      <c r="AB6" s="99">
        <v>26</v>
      </c>
      <c r="AC6" s="99">
        <v>15038.4</v>
      </c>
      <c r="AD6" s="99">
        <v>15</v>
      </c>
      <c r="AE6" s="99">
        <v>8676</v>
      </c>
      <c r="AF6" s="99">
        <v>17</v>
      </c>
      <c r="AG6" s="99">
        <v>9832.7999999999993</v>
      </c>
      <c r="AH6" s="99">
        <v>25</v>
      </c>
      <c r="AI6" s="99">
        <v>14460</v>
      </c>
      <c r="AJ6" s="99">
        <v>17</v>
      </c>
      <c r="AK6" s="99">
        <v>9832.7999999999993</v>
      </c>
      <c r="AL6" s="99">
        <v>22</v>
      </c>
      <c r="AM6" s="99">
        <v>12724.8</v>
      </c>
      <c r="AN6" s="99">
        <v>19</v>
      </c>
      <c r="AO6" s="99">
        <v>10989.6</v>
      </c>
      <c r="AP6" s="99">
        <v>16</v>
      </c>
      <c r="AQ6" s="99">
        <v>9254.4</v>
      </c>
      <c r="AR6" s="99">
        <v>22</v>
      </c>
      <c r="AS6" s="99">
        <v>12724.8</v>
      </c>
      <c r="AT6" s="99">
        <v>16</v>
      </c>
      <c r="AU6" s="99">
        <v>9254.4</v>
      </c>
      <c r="AV6" s="99">
        <v>27</v>
      </c>
      <c r="AW6" s="99">
        <v>15616.8</v>
      </c>
      <c r="AX6" s="99">
        <v>26</v>
      </c>
      <c r="AY6" s="99">
        <v>15038.4</v>
      </c>
      <c r="AZ6" s="99">
        <v>14</v>
      </c>
      <c r="BA6" s="99">
        <v>8097.5999999999995</v>
      </c>
      <c r="BB6" s="99">
        <v>16</v>
      </c>
      <c r="BC6" s="99">
        <v>9254.4</v>
      </c>
      <c r="BD6" s="99">
        <v>21</v>
      </c>
      <c r="BE6" s="99">
        <v>12146.4</v>
      </c>
      <c r="BF6" s="99">
        <v>15</v>
      </c>
      <c r="BG6" s="99">
        <v>8676</v>
      </c>
      <c r="BH6" s="99">
        <v>18</v>
      </c>
      <c r="BI6" s="99">
        <v>10411.199999999999</v>
      </c>
      <c r="BJ6" s="99">
        <v>25</v>
      </c>
      <c r="BK6" s="99">
        <v>14460</v>
      </c>
      <c r="BL6" s="99">
        <v>26</v>
      </c>
      <c r="BM6" s="99">
        <v>15038.4</v>
      </c>
      <c r="BN6" s="99">
        <v>30</v>
      </c>
      <c r="BO6" s="99">
        <v>17352</v>
      </c>
      <c r="BP6" s="99">
        <v>19</v>
      </c>
      <c r="BQ6" s="99">
        <v>10989.6</v>
      </c>
      <c r="BR6" s="99">
        <v>19</v>
      </c>
      <c r="BS6" s="99">
        <v>10989.6</v>
      </c>
      <c r="BT6" s="99">
        <v>20</v>
      </c>
      <c r="BU6" s="99">
        <v>11568</v>
      </c>
      <c r="BV6" s="99">
        <v>16</v>
      </c>
      <c r="BW6" s="99">
        <v>9254.4</v>
      </c>
      <c r="BX6" s="99">
        <v>18</v>
      </c>
      <c r="BY6" s="99">
        <v>10411.199999999999</v>
      </c>
      <c r="BZ6" s="99">
        <v>26</v>
      </c>
      <c r="CA6" s="99">
        <v>15038.4</v>
      </c>
      <c r="CB6" s="99">
        <v>30</v>
      </c>
      <c r="CC6" s="99">
        <v>17352</v>
      </c>
      <c r="CD6" s="99">
        <v>24</v>
      </c>
      <c r="CE6" s="99">
        <v>13881.599999999999</v>
      </c>
      <c r="CF6" s="99">
        <v>32</v>
      </c>
      <c r="CG6" s="99">
        <v>18508.8</v>
      </c>
      <c r="CH6" s="99">
        <v>26</v>
      </c>
      <c r="CI6" s="99">
        <v>15038.4</v>
      </c>
      <c r="CJ6" s="99">
        <v>18</v>
      </c>
      <c r="CK6" s="99">
        <v>10411.199999999999</v>
      </c>
      <c r="CL6" s="99">
        <v>25</v>
      </c>
      <c r="CM6" s="99">
        <v>14460</v>
      </c>
      <c r="CN6" s="99">
        <v>23</v>
      </c>
      <c r="CO6" s="99">
        <v>13303.199999999999</v>
      </c>
      <c r="CP6" s="99">
        <v>20</v>
      </c>
      <c r="CQ6" s="99">
        <v>11568</v>
      </c>
      <c r="CR6" s="99">
        <v>21</v>
      </c>
      <c r="CS6" s="99">
        <v>12146.4</v>
      </c>
      <c r="CT6" s="99">
        <v>16</v>
      </c>
      <c r="CU6" s="99">
        <v>9254.4</v>
      </c>
    </row>
    <row r="7" spans="1:99">
      <c r="C7" s="98" t="s">
        <v>173</v>
      </c>
      <c r="D7" s="99">
        <v>14</v>
      </c>
      <c r="E7" s="99">
        <v>11037.6</v>
      </c>
      <c r="F7" s="99">
        <v>15</v>
      </c>
      <c r="G7" s="99">
        <v>11826</v>
      </c>
      <c r="H7" s="99">
        <v>15</v>
      </c>
      <c r="I7" s="99">
        <v>11826</v>
      </c>
      <c r="J7" s="99">
        <v>22</v>
      </c>
      <c r="K7" s="99">
        <v>17344.8</v>
      </c>
      <c r="L7" s="99">
        <v>21</v>
      </c>
      <c r="M7" s="99">
        <v>16556.399999999998</v>
      </c>
      <c r="N7" s="99">
        <v>14</v>
      </c>
      <c r="O7" s="99">
        <v>11037.6</v>
      </c>
      <c r="P7" s="99">
        <v>18</v>
      </c>
      <c r="Q7" s="99">
        <v>14191.199999999999</v>
      </c>
      <c r="R7" s="99">
        <v>17</v>
      </c>
      <c r="S7" s="99">
        <v>13402.8</v>
      </c>
      <c r="T7" s="99">
        <v>17</v>
      </c>
      <c r="U7" s="99">
        <v>13402.8</v>
      </c>
      <c r="V7" s="99">
        <v>15</v>
      </c>
      <c r="W7" s="99">
        <v>11826</v>
      </c>
      <c r="X7" s="99">
        <v>19</v>
      </c>
      <c r="Y7" s="99">
        <v>14979.6</v>
      </c>
      <c r="Z7" s="99">
        <v>15</v>
      </c>
      <c r="AA7" s="99">
        <v>11826</v>
      </c>
      <c r="AB7" s="99">
        <v>26</v>
      </c>
      <c r="AC7" s="99">
        <v>20498.399999999998</v>
      </c>
      <c r="AD7" s="99">
        <v>14</v>
      </c>
      <c r="AE7" s="99">
        <v>11037.6</v>
      </c>
      <c r="AF7" s="99">
        <v>15</v>
      </c>
      <c r="AG7" s="99">
        <v>11826</v>
      </c>
      <c r="AH7" s="99">
        <v>28</v>
      </c>
      <c r="AI7" s="99">
        <v>22075.200000000001</v>
      </c>
      <c r="AJ7" s="99">
        <v>19</v>
      </c>
      <c r="AK7" s="99">
        <v>14979.6</v>
      </c>
      <c r="AL7" s="99">
        <v>21</v>
      </c>
      <c r="AM7" s="99">
        <v>16556.399999999998</v>
      </c>
      <c r="AN7" s="99">
        <v>19</v>
      </c>
      <c r="AO7" s="99">
        <v>14979.6</v>
      </c>
      <c r="AP7" s="99">
        <v>15</v>
      </c>
      <c r="AQ7" s="99">
        <v>11826</v>
      </c>
      <c r="AR7" s="99">
        <v>19</v>
      </c>
      <c r="AS7" s="99">
        <v>14979.6</v>
      </c>
      <c r="AT7" s="99">
        <v>16</v>
      </c>
      <c r="AU7" s="99">
        <v>12614.4</v>
      </c>
      <c r="AV7" s="99">
        <v>29</v>
      </c>
      <c r="AW7" s="99">
        <v>22863.599999999999</v>
      </c>
      <c r="AX7" s="99">
        <v>25</v>
      </c>
      <c r="AY7" s="99">
        <v>19710</v>
      </c>
      <c r="AZ7" s="99">
        <v>14</v>
      </c>
      <c r="BA7" s="99">
        <v>11037.6</v>
      </c>
      <c r="BB7" s="99">
        <v>16</v>
      </c>
      <c r="BC7" s="99">
        <v>12614.4</v>
      </c>
      <c r="BD7" s="99">
        <v>20</v>
      </c>
      <c r="BE7" s="99">
        <v>15768</v>
      </c>
      <c r="BF7" s="99">
        <v>15</v>
      </c>
      <c r="BG7" s="99">
        <v>11826</v>
      </c>
      <c r="BH7" s="99">
        <v>17</v>
      </c>
      <c r="BI7" s="99">
        <v>13402.8</v>
      </c>
      <c r="BJ7" s="99">
        <v>25</v>
      </c>
      <c r="BK7" s="99">
        <v>19710</v>
      </c>
      <c r="BL7" s="99">
        <v>27</v>
      </c>
      <c r="BM7" s="99">
        <v>21286.799999999999</v>
      </c>
      <c r="BN7" s="99">
        <v>28</v>
      </c>
      <c r="BO7" s="99">
        <v>22075.200000000001</v>
      </c>
      <c r="BP7" s="99">
        <v>18</v>
      </c>
      <c r="BQ7" s="99">
        <v>14191.199999999999</v>
      </c>
      <c r="BR7" s="99">
        <v>19</v>
      </c>
      <c r="BS7" s="99">
        <v>14979.6</v>
      </c>
      <c r="BT7" s="99">
        <v>17</v>
      </c>
      <c r="BU7" s="99">
        <v>13402.8</v>
      </c>
      <c r="BV7" s="99">
        <v>18</v>
      </c>
      <c r="BW7" s="99">
        <v>14191.199999999999</v>
      </c>
      <c r="BX7" s="99">
        <v>19</v>
      </c>
      <c r="BY7" s="99">
        <v>14979.6</v>
      </c>
      <c r="BZ7" s="99">
        <v>28</v>
      </c>
      <c r="CA7" s="99">
        <v>22075.200000000001</v>
      </c>
      <c r="CB7" s="99">
        <v>31</v>
      </c>
      <c r="CC7" s="99">
        <v>24440.399999999998</v>
      </c>
      <c r="CD7" s="99">
        <v>24</v>
      </c>
      <c r="CE7" s="99">
        <v>18921.599999999999</v>
      </c>
      <c r="CF7" s="99">
        <v>31</v>
      </c>
      <c r="CG7" s="99">
        <v>24440.399999999998</v>
      </c>
      <c r="CH7" s="99">
        <v>24</v>
      </c>
      <c r="CI7" s="99">
        <v>18921.599999999999</v>
      </c>
      <c r="CJ7" s="99">
        <v>20</v>
      </c>
      <c r="CK7" s="99">
        <v>15768</v>
      </c>
      <c r="CL7" s="99">
        <v>24</v>
      </c>
      <c r="CM7" s="99">
        <v>18921.599999999999</v>
      </c>
      <c r="CN7" s="99">
        <v>23</v>
      </c>
      <c r="CO7" s="99">
        <v>18133.2</v>
      </c>
      <c r="CP7" s="99">
        <v>17</v>
      </c>
      <c r="CQ7" s="99">
        <v>13402.8</v>
      </c>
      <c r="CR7" s="99">
        <v>19</v>
      </c>
      <c r="CS7" s="99">
        <v>14979.6</v>
      </c>
      <c r="CT7" s="99">
        <v>18</v>
      </c>
      <c r="CU7" s="99">
        <v>14191.199999999999</v>
      </c>
    </row>
    <row r="8" spans="1:99">
      <c r="C8" s="98" t="s">
        <v>174</v>
      </c>
      <c r="D8" s="99">
        <v>16</v>
      </c>
      <c r="E8" s="99">
        <v>4953.5999999999995</v>
      </c>
      <c r="F8" s="99">
        <v>17</v>
      </c>
      <c r="G8" s="99">
        <v>5263.2</v>
      </c>
      <c r="H8" s="99">
        <v>15</v>
      </c>
      <c r="I8" s="99">
        <v>4643.9999999999991</v>
      </c>
      <c r="J8" s="99">
        <v>27</v>
      </c>
      <c r="K8" s="99">
        <v>8359.1999999999989</v>
      </c>
      <c r="L8" s="99">
        <v>26</v>
      </c>
      <c r="M8" s="99">
        <v>8049.5999999999995</v>
      </c>
      <c r="N8" s="99">
        <v>14</v>
      </c>
      <c r="O8" s="99">
        <v>4334.3999999999996</v>
      </c>
      <c r="P8" s="99">
        <v>19</v>
      </c>
      <c r="Q8" s="99">
        <v>5882.4</v>
      </c>
      <c r="R8" s="99">
        <v>18</v>
      </c>
      <c r="S8" s="99">
        <v>5572.7999999999993</v>
      </c>
      <c r="T8" s="99">
        <v>18</v>
      </c>
      <c r="U8" s="99">
        <v>5572.7999999999993</v>
      </c>
      <c r="V8" s="99">
        <v>19</v>
      </c>
      <c r="W8" s="99">
        <v>5882.4</v>
      </c>
      <c r="X8" s="99">
        <v>19</v>
      </c>
      <c r="Y8" s="99">
        <v>5882.4</v>
      </c>
      <c r="Z8" s="99">
        <v>14</v>
      </c>
      <c r="AA8" s="99">
        <v>4334.3999999999996</v>
      </c>
      <c r="AB8" s="99">
        <v>27</v>
      </c>
      <c r="AC8" s="99">
        <v>8359.1999999999989</v>
      </c>
      <c r="AD8" s="99">
        <v>15</v>
      </c>
      <c r="AE8" s="99">
        <v>4643.9999999999991</v>
      </c>
      <c r="AF8" s="99">
        <v>18</v>
      </c>
      <c r="AG8" s="99">
        <v>5572.7999999999993</v>
      </c>
      <c r="AH8" s="99">
        <v>28</v>
      </c>
      <c r="AI8" s="99">
        <v>8668.7999999999993</v>
      </c>
      <c r="AJ8" s="99">
        <v>20</v>
      </c>
      <c r="AK8" s="99">
        <v>6191.9999999999991</v>
      </c>
      <c r="AL8" s="99">
        <v>24</v>
      </c>
      <c r="AM8" s="99">
        <v>7430.4</v>
      </c>
      <c r="AN8" s="99">
        <v>21</v>
      </c>
      <c r="AO8" s="99">
        <v>6501.5999999999995</v>
      </c>
      <c r="AP8" s="99">
        <v>14</v>
      </c>
      <c r="AQ8" s="99">
        <v>4334.3999999999996</v>
      </c>
      <c r="AR8" s="99">
        <v>23</v>
      </c>
      <c r="AS8" s="99">
        <v>7120.7999999999993</v>
      </c>
      <c r="AT8" s="99">
        <v>16</v>
      </c>
      <c r="AU8" s="99">
        <v>4953.5999999999995</v>
      </c>
      <c r="AV8" s="99">
        <v>29</v>
      </c>
      <c r="AW8" s="99">
        <v>8978.4</v>
      </c>
      <c r="AX8" s="99">
        <v>29</v>
      </c>
      <c r="AY8" s="99">
        <v>8978.4</v>
      </c>
      <c r="AZ8" s="99">
        <v>16</v>
      </c>
      <c r="BA8" s="99">
        <v>4953.5999999999995</v>
      </c>
      <c r="BB8" s="99">
        <v>16</v>
      </c>
      <c r="BC8" s="99">
        <v>4953.5999999999995</v>
      </c>
      <c r="BD8" s="99">
        <v>20</v>
      </c>
      <c r="BE8" s="99">
        <v>6191.9999999999991</v>
      </c>
      <c r="BF8" s="99">
        <v>14</v>
      </c>
      <c r="BG8" s="99">
        <v>4334.3999999999996</v>
      </c>
      <c r="BH8" s="99">
        <v>19</v>
      </c>
      <c r="BI8" s="99">
        <v>5882.4</v>
      </c>
      <c r="BJ8" s="99">
        <v>27</v>
      </c>
      <c r="BK8" s="99">
        <v>8359.1999999999989</v>
      </c>
      <c r="BL8" s="99">
        <v>30</v>
      </c>
      <c r="BM8" s="99">
        <v>9287.9999999999982</v>
      </c>
      <c r="BN8" s="99">
        <v>29</v>
      </c>
      <c r="BO8" s="99">
        <v>8978.4</v>
      </c>
      <c r="BP8" s="99">
        <v>23</v>
      </c>
      <c r="BQ8" s="99">
        <v>7120.7999999999993</v>
      </c>
      <c r="BR8" s="99">
        <v>20</v>
      </c>
      <c r="BS8" s="99">
        <v>6191.9999999999991</v>
      </c>
      <c r="BT8" s="99">
        <v>17</v>
      </c>
      <c r="BU8" s="99">
        <v>5263.2</v>
      </c>
      <c r="BV8" s="99">
        <v>20</v>
      </c>
      <c r="BW8" s="99">
        <v>6191.9999999999991</v>
      </c>
      <c r="BX8" s="99">
        <v>21</v>
      </c>
      <c r="BY8" s="99">
        <v>6501.5999999999995</v>
      </c>
      <c r="BZ8" s="99">
        <v>27</v>
      </c>
      <c r="CA8" s="99">
        <v>8359.1999999999989</v>
      </c>
      <c r="CB8" s="99">
        <v>30</v>
      </c>
      <c r="CC8" s="99">
        <v>9287.9999999999982</v>
      </c>
      <c r="CD8" s="99">
        <v>25</v>
      </c>
      <c r="CE8" s="99">
        <v>7739.9999999999991</v>
      </c>
      <c r="CF8" s="99">
        <v>32</v>
      </c>
      <c r="CG8" s="99">
        <v>9907.1999999999989</v>
      </c>
      <c r="CH8" s="99">
        <v>23</v>
      </c>
      <c r="CI8" s="99">
        <v>7120.7999999999993</v>
      </c>
      <c r="CJ8" s="99">
        <v>19</v>
      </c>
      <c r="CK8" s="99">
        <v>5882.4</v>
      </c>
      <c r="CL8" s="99">
        <v>26</v>
      </c>
      <c r="CM8" s="99">
        <v>8049.5999999999995</v>
      </c>
      <c r="CN8" s="99">
        <v>23</v>
      </c>
      <c r="CO8" s="99">
        <v>7120.7999999999993</v>
      </c>
      <c r="CP8" s="99">
        <v>18</v>
      </c>
      <c r="CQ8" s="99">
        <v>5572.7999999999993</v>
      </c>
      <c r="CR8" s="99">
        <v>20</v>
      </c>
      <c r="CS8" s="99">
        <v>6191.9999999999991</v>
      </c>
      <c r="CT8" s="99">
        <v>18</v>
      </c>
      <c r="CU8" s="99">
        <v>5572.7999999999993</v>
      </c>
    </row>
    <row r="9" spans="1:99">
      <c r="C9" s="98" t="s">
        <v>175</v>
      </c>
      <c r="D9" s="99">
        <v>16</v>
      </c>
      <c r="E9" s="99">
        <v>11232</v>
      </c>
      <c r="F9" s="99">
        <v>15</v>
      </c>
      <c r="G9" s="99">
        <v>10530</v>
      </c>
      <c r="H9" s="99">
        <v>15</v>
      </c>
      <c r="I9" s="99">
        <v>10530</v>
      </c>
      <c r="J9" s="99">
        <v>23</v>
      </c>
      <c r="K9" s="99">
        <v>16146</v>
      </c>
      <c r="L9" s="99">
        <v>23</v>
      </c>
      <c r="M9" s="99">
        <v>16146</v>
      </c>
      <c r="N9" s="99">
        <v>14</v>
      </c>
      <c r="O9" s="99">
        <v>9828</v>
      </c>
      <c r="P9" s="99">
        <v>20</v>
      </c>
      <c r="Q9" s="99">
        <v>14040</v>
      </c>
      <c r="R9" s="99">
        <v>16</v>
      </c>
      <c r="S9" s="99">
        <v>11232</v>
      </c>
      <c r="T9" s="99">
        <v>17</v>
      </c>
      <c r="U9" s="99">
        <v>11934</v>
      </c>
      <c r="V9" s="99">
        <v>16</v>
      </c>
      <c r="W9" s="99">
        <v>11232</v>
      </c>
      <c r="X9" s="99">
        <v>16</v>
      </c>
      <c r="Y9" s="99">
        <v>11232</v>
      </c>
      <c r="Z9" s="99">
        <v>16</v>
      </c>
      <c r="AA9" s="99">
        <v>11232</v>
      </c>
      <c r="AB9" s="99">
        <v>24</v>
      </c>
      <c r="AC9" s="99">
        <v>16848</v>
      </c>
      <c r="AD9" s="99">
        <v>14</v>
      </c>
      <c r="AE9" s="99">
        <v>9828</v>
      </c>
      <c r="AF9" s="99">
        <v>16</v>
      </c>
      <c r="AG9" s="99">
        <v>11232</v>
      </c>
      <c r="AH9" s="99">
        <v>25</v>
      </c>
      <c r="AI9" s="99">
        <v>17550</v>
      </c>
      <c r="AJ9" s="99">
        <v>19</v>
      </c>
      <c r="AK9" s="99">
        <v>13338</v>
      </c>
      <c r="AL9" s="99">
        <v>25</v>
      </c>
      <c r="AM9" s="99">
        <v>17550</v>
      </c>
      <c r="AN9" s="99">
        <v>20</v>
      </c>
      <c r="AO9" s="99">
        <v>14040</v>
      </c>
      <c r="AP9" s="99">
        <v>16</v>
      </c>
      <c r="AQ9" s="99">
        <v>11232</v>
      </c>
      <c r="AR9" s="99">
        <v>22</v>
      </c>
      <c r="AS9" s="99">
        <v>15444</v>
      </c>
      <c r="AT9" s="99">
        <v>15</v>
      </c>
      <c r="AU9" s="99">
        <v>10530</v>
      </c>
      <c r="AV9" s="99">
        <v>27</v>
      </c>
      <c r="AW9" s="99">
        <v>18954</v>
      </c>
      <c r="AX9" s="99">
        <v>27</v>
      </c>
      <c r="AY9" s="99">
        <v>18954</v>
      </c>
      <c r="AZ9" s="99">
        <v>15</v>
      </c>
      <c r="BA9" s="99">
        <v>10530</v>
      </c>
      <c r="BB9" s="99">
        <v>13</v>
      </c>
      <c r="BC9" s="99">
        <v>9126</v>
      </c>
      <c r="BD9" s="99">
        <v>20</v>
      </c>
      <c r="BE9" s="99">
        <v>14040</v>
      </c>
      <c r="BF9" s="99">
        <v>14</v>
      </c>
      <c r="BG9" s="99">
        <v>9828</v>
      </c>
      <c r="BH9" s="99">
        <v>17</v>
      </c>
      <c r="BI9" s="99">
        <v>11934</v>
      </c>
      <c r="BJ9" s="99">
        <v>22</v>
      </c>
      <c r="BK9" s="99">
        <v>15444</v>
      </c>
      <c r="BL9" s="99">
        <v>24</v>
      </c>
      <c r="BM9" s="99">
        <v>16848</v>
      </c>
      <c r="BN9" s="99">
        <v>28</v>
      </c>
      <c r="BO9" s="99">
        <v>19656</v>
      </c>
      <c r="BP9" s="99">
        <v>21</v>
      </c>
      <c r="BQ9" s="99">
        <v>14742</v>
      </c>
      <c r="BR9" s="99">
        <v>18</v>
      </c>
      <c r="BS9" s="99">
        <v>12636</v>
      </c>
      <c r="BT9" s="99">
        <v>19</v>
      </c>
      <c r="BU9" s="99">
        <v>13338</v>
      </c>
      <c r="BV9" s="99">
        <v>17</v>
      </c>
      <c r="BW9" s="99">
        <v>11934</v>
      </c>
      <c r="BX9" s="99">
        <v>20</v>
      </c>
      <c r="BY9" s="99">
        <v>14040</v>
      </c>
      <c r="BZ9" s="99">
        <v>27</v>
      </c>
      <c r="CA9" s="99">
        <v>18954</v>
      </c>
      <c r="CB9" s="99">
        <v>30</v>
      </c>
      <c r="CC9" s="99">
        <v>21060</v>
      </c>
      <c r="CD9" s="99">
        <v>23</v>
      </c>
      <c r="CE9" s="99">
        <v>16146</v>
      </c>
      <c r="CF9" s="99">
        <v>28</v>
      </c>
      <c r="CG9" s="99">
        <v>19656</v>
      </c>
      <c r="CH9" s="99">
        <v>25</v>
      </c>
      <c r="CI9" s="99">
        <v>17550</v>
      </c>
      <c r="CJ9" s="99">
        <v>19</v>
      </c>
      <c r="CK9" s="99">
        <v>13338</v>
      </c>
      <c r="CL9" s="99">
        <v>24</v>
      </c>
      <c r="CM9" s="99">
        <v>16848</v>
      </c>
      <c r="CN9" s="99">
        <v>23</v>
      </c>
      <c r="CO9" s="99">
        <v>16146</v>
      </c>
      <c r="CP9" s="99">
        <v>20</v>
      </c>
      <c r="CQ9" s="99">
        <v>14040</v>
      </c>
      <c r="CR9" s="99">
        <v>21</v>
      </c>
      <c r="CS9" s="99">
        <v>14742</v>
      </c>
      <c r="CT9" s="99">
        <v>18</v>
      </c>
      <c r="CU9" s="99">
        <v>12636</v>
      </c>
    </row>
    <row r="10" spans="1:99">
      <c r="C10" s="98" t="s">
        <v>176</v>
      </c>
      <c r="D10" s="99">
        <v>16</v>
      </c>
      <c r="E10" s="99">
        <v>8716.7999999999993</v>
      </c>
      <c r="F10" s="99">
        <v>15</v>
      </c>
      <c r="G10" s="99">
        <v>8171.9999999999991</v>
      </c>
      <c r="H10" s="99">
        <v>14</v>
      </c>
      <c r="I10" s="99">
        <v>7627.1999999999989</v>
      </c>
      <c r="J10" s="99">
        <v>25</v>
      </c>
      <c r="K10" s="99">
        <v>13619.999999999998</v>
      </c>
      <c r="L10" s="99">
        <v>23</v>
      </c>
      <c r="M10" s="99">
        <v>12530.4</v>
      </c>
      <c r="N10" s="99">
        <v>14</v>
      </c>
      <c r="O10" s="99">
        <v>7627.1999999999989</v>
      </c>
      <c r="P10" s="99">
        <v>20</v>
      </c>
      <c r="Q10" s="99">
        <v>10896</v>
      </c>
      <c r="R10" s="99">
        <v>18</v>
      </c>
      <c r="S10" s="99">
        <v>9806.4</v>
      </c>
      <c r="T10" s="99">
        <v>17</v>
      </c>
      <c r="U10" s="99">
        <v>9261.5999999999985</v>
      </c>
      <c r="V10" s="99">
        <v>16</v>
      </c>
      <c r="W10" s="99">
        <v>8716.7999999999993</v>
      </c>
      <c r="X10" s="99">
        <v>20</v>
      </c>
      <c r="Y10" s="99">
        <v>10896</v>
      </c>
      <c r="Z10" s="99">
        <v>15</v>
      </c>
      <c r="AA10" s="99">
        <v>8171.9999999999991</v>
      </c>
      <c r="AB10" s="99">
        <v>25</v>
      </c>
      <c r="AC10" s="99">
        <v>13619.999999999998</v>
      </c>
      <c r="AD10" s="99">
        <v>15</v>
      </c>
      <c r="AE10" s="99">
        <v>8171.9999999999991</v>
      </c>
      <c r="AF10" s="99">
        <v>15</v>
      </c>
      <c r="AG10" s="99">
        <v>8171.9999999999991</v>
      </c>
      <c r="AH10" s="99">
        <v>29</v>
      </c>
      <c r="AI10" s="99">
        <v>15799.199999999999</v>
      </c>
      <c r="AJ10" s="99">
        <v>17</v>
      </c>
      <c r="AK10" s="99">
        <v>9261.5999999999985</v>
      </c>
      <c r="AL10" s="99">
        <v>23</v>
      </c>
      <c r="AM10" s="99">
        <v>12530.4</v>
      </c>
      <c r="AN10" s="99">
        <v>21</v>
      </c>
      <c r="AO10" s="99">
        <v>11440.8</v>
      </c>
      <c r="AP10" s="99">
        <v>16</v>
      </c>
      <c r="AQ10" s="99">
        <v>8716.7999999999993</v>
      </c>
      <c r="AR10" s="99">
        <v>23</v>
      </c>
      <c r="AS10" s="99">
        <v>12530.4</v>
      </c>
      <c r="AT10" s="99">
        <v>17</v>
      </c>
      <c r="AU10" s="99">
        <v>9261.5999999999985</v>
      </c>
      <c r="AV10" s="99">
        <v>27</v>
      </c>
      <c r="AW10" s="99">
        <v>14709.599999999999</v>
      </c>
      <c r="AX10" s="99">
        <v>28</v>
      </c>
      <c r="AY10" s="99">
        <v>15254.399999999998</v>
      </c>
      <c r="AZ10" s="99">
        <v>15</v>
      </c>
      <c r="BA10" s="99">
        <v>8171.9999999999991</v>
      </c>
      <c r="BB10" s="99">
        <v>14</v>
      </c>
      <c r="BC10" s="99">
        <v>7627.1999999999989</v>
      </c>
      <c r="BD10" s="99">
        <v>23</v>
      </c>
      <c r="BE10" s="99">
        <v>12530.4</v>
      </c>
      <c r="BF10" s="99">
        <v>16</v>
      </c>
      <c r="BG10" s="99">
        <v>8716.7999999999993</v>
      </c>
      <c r="BH10" s="99">
        <v>18</v>
      </c>
      <c r="BI10" s="99">
        <v>9806.4</v>
      </c>
      <c r="BJ10" s="99">
        <v>22</v>
      </c>
      <c r="BK10" s="99">
        <v>11985.599999999999</v>
      </c>
      <c r="BL10" s="99">
        <v>29</v>
      </c>
      <c r="BM10" s="99">
        <v>15799.199999999999</v>
      </c>
      <c r="BN10" s="99">
        <v>27</v>
      </c>
      <c r="BO10" s="99">
        <v>14709.599999999999</v>
      </c>
      <c r="BP10" s="99">
        <v>21</v>
      </c>
      <c r="BQ10" s="99">
        <v>11440.8</v>
      </c>
      <c r="BR10" s="99">
        <v>20</v>
      </c>
      <c r="BS10" s="99">
        <v>10896</v>
      </c>
      <c r="BT10" s="99">
        <v>18</v>
      </c>
      <c r="BU10" s="99">
        <v>9806.4</v>
      </c>
      <c r="BV10" s="99">
        <v>19</v>
      </c>
      <c r="BW10" s="99">
        <v>10351.199999999999</v>
      </c>
      <c r="BX10" s="99">
        <v>20</v>
      </c>
      <c r="BY10" s="99">
        <v>10896</v>
      </c>
      <c r="BZ10" s="99">
        <v>26</v>
      </c>
      <c r="CA10" s="99">
        <v>14164.8</v>
      </c>
      <c r="CB10" s="99">
        <v>31</v>
      </c>
      <c r="CC10" s="99">
        <v>16888.8</v>
      </c>
      <c r="CD10" s="99">
        <v>27</v>
      </c>
      <c r="CE10" s="99">
        <v>14709.599999999999</v>
      </c>
      <c r="CF10" s="99">
        <v>33</v>
      </c>
      <c r="CG10" s="99">
        <v>17978.399999999998</v>
      </c>
      <c r="CH10" s="99">
        <v>22</v>
      </c>
      <c r="CI10" s="99">
        <v>11985.599999999999</v>
      </c>
      <c r="CJ10" s="99">
        <v>18</v>
      </c>
      <c r="CK10" s="99">
        <v>9806.4</v>
      </c>
      <c r="CL10" s="99">
        <v>25</v>
      </c>
      <c r="CM10" s="99">
        <v>13619.999999999998</v>
      </c>
      <c r="CN10" s="99">
        <v>25</v>
      </c>
      <c r="CO10" s="99">
        <v>13619.999999999998</v>
      </c>
      <c r="CP10" s="99">
        <v>19</v>
      </c>
      <c r="CQ10" s="99">
        <v>10351.199999999999</v>
      </c>
      <c r="CR10" s="99">
        <v>23</v>
      </c>
      <c r="CS10" s="99">
        <v>12530.4</v>
      </c>
      <c r="CT10" s="99">
        <v>18</v>
      </c>
      <c r="CU10" s="99">
        <v>9806.4</v>
      </c>
    </row>
    <row r="11" spans="1:99">
      <c r="C11" s="98" t="s">
        <v>177</v>
      </c>
      <c r="D11" s="99">
        <v>16</v>
      </c>
      <c r="E11" s="99">
        <v>8524.7999999999993</v>
      </c>
      <c r="F11" s="99">
        <v>16</v>
      </c>
      <c r="G11" s="99">
        <v>8524.7999999999993</v>
      </c>
      <c r="H11" s="99">
        <v>17</v>
      </c>
      <c r="I11" s="99">
        <v>9057.5999999999985</v>
      </c>
      <c r="J11" s="99">
        <v>25</v>
      </c>
      <c r="K11" s="99">
        <v>13319.999999999998</v>
      </c>
      <c r="L11" s="99">
        <v>24</v>
      </c>
      <c r="M11" s="99">
        <v>12787.199999999999</v>
      </c>
      <c r="N11" s="99">
        <v>15</v>
      </c>
      <c r="O11" s="99">
        <v>7991.9999999999991</v>
      </c>
      <c r="P11" s="99">
        <v>18</v>
      </c>
      <c r="Q11" s="99">
        <v>9590.4</v>
      </c>
      <c r="R11" s="99">
        <v>16</v>
      </c>
      <c r="S11" s="99">
        <v>8524.7999999999993</v>
      </c>
      <c r="T11" s="99">
        <v>18</v>
      </c>
      <c r="U11" s="99">
        <v>9590.4</v>
      </c>
      <c r="V11" s="99">
        <v>16</v>
      </c>
      <c r="W11" s="99">
        <v>8524.7999999999993</v>
      </c>
      <c r="X11" s="99">
        <v>20</v>
      </c>
      <c r="Y11" s="99">
        <v>10656</v>
      </c>
      <c r="Z11" s="99">
        <v>16</v>
      </c>
      <c r="AA11" s="99">
        <v>8524.7999999999993</v>
      </c>
      <c r="AB11" s="99">
        <v>24</v>
      </c>
      <c r="AC11" s="99">
        <v>12787.199999999999</v>
      </c>
      <c r="AD11" s="99">
        <v>15</v>
      </c>
      <c r="AE11" s="99">
        <v>7991.9999999999991</v>
      </c>
      <c r="AF11" s="99">
        <v>18</v>
      </c>
      <c r="AG11" s="99">
        <v>9590.4</v>
      </c>
      <c r="AH11" s="99">
        <v>26</v>
      </c>
      <c r="AI11" s="99">
        <v>13852.8</v>
      </c>
      <c r="AJ11" s="99">
        <v>18</v>
      </c>
      <c r="AK11" s="99">
        <v>9590.4</v>
      </c>
      <c r="AL11" s="99">
        <v>22</v>
      </c>
      <c r="AM11" s="99">
        <v>11721.599999999999</v>
      </c>
      <c r="AN11" s="99">
        <v>18</v>
      </c>
      <c r="AO11" s="99">
        <v>9590.4</v>
      </c>
      <c r="AP11" s="99">
        <v>16</v>
      </c>
      <c r="AQ11" s="99">
        <v>8524.7999999999993</v>
      </c>
      <c r="AR11" s="99">
        <v>20</v>
      </c>
      <c r="AS11" s="99">
        <v>10656</v>
      </c>
      <c r="AT11" s="99">
        <v>17</v>
      </c>
      <c r="AU11" s="99">
        <v>9057.5999999999985</v>
      </c>
      <c r="AV11" s="99">
        <v>31</v>
      </c>
      <c r="AW11" s="99">
        <v>16516.8</v>
      </c>
      <c r="AX11" s="99">
        <v>28</v>
      </c>
      <c r="AY11" s="99">
        <v>14918.399999999998</v>
      </c>
      <c r="AZ11" s="99">
        <v>16</v>
      </c>
      <c r="BA11" s="99">
        <v>8524.7999999999993</v>
      </c>
      <c r="BB11" s="99">
        <v>16</v>
      </c>
      <c r="BC11" s="99">
        <v>8524.7999999999993</v>
      </c>
      <c r="BD11" s="99">
        <v>23</v>
      </c>
      <c r="BE11" s="99">
        <v>12254.4</v>
      </c>
      <c r="BF11" s="99">
        <v>15</v>
      </c>
      <c r="BG11" s="99">
        <v>7991.9999999999991</v>
      </c>
      <c r="BH11" s="99">
        <v>19</v>
      </c>
      <c r="BI11" s="99">
        <v>10123.199999999999</v>
      </c>
      <c r="BJ11" s="99">
        <v>23</v>
      </c>
      <c r="BK11" s="99">
        <v>12254.4</v>
      </c>
      <c r="BL11" s="99">
        <v>30</v>
      </c>
      <c r="BM11" s="99">
        <v>15983.999999999998</v>
      </c>
      <c r="BN11" s="99">
        <v>28</v>
      </c>
      <c r="BO11" s="99">
        <v>14918.399999999998</v>
      </c>
      <c r="BP11" s="99">
        <v>22</v>
      </c>
      <c r="BQ11" s="99">
        <v>11721.599999999999</v>
      </c>
      <c r="BR11" s="99">
        <v>19</v>
      </c>
      <c r="BS11" s="99">
        <v>10123.199999999999</v>
      </c>
      <c r="BT11" s="99">
        <v>19</v>
      </c>
      <c r="BU11" s="99">
        <v>10123.199999999999</v>
      </c>
      <c r="BV11" s="99">
        <v>16</v>
      </c>
      <c r="BW11" s="99">
        <v>8524.7999999999993</v>
      </c>
      <c r="BX11" s="99">
        <v>18</v>
      </c>
      <c r="BY11" s="99">
        <v>9590.4</v>
      </c>
      <c r="BZ11" s="99">
        <v>26</v>
      </c>
      <c r="CA11" s="99">
        <v>13852.8</v>
      </c>
      <c r="CB11" s="99">
        <v>33</v>
      </c>
      <c r="CC11" s="99">
        <v>17582.399999999998</v>
      </c>
      <c r="CD11" s="99">
        <v>27</v>
      </c>
      <c r="CE11" s="99">
        <v>14385.599999999999</v>
      </c>
      <c r="CF11" s="99">
        <v>32</v>
      </c>
      <c r="CG11" s="99">
        <v>17049.599999999999</v>
      </c>
      <c r="CH11" s="99">
        <v>23</v>
      </c>
      <c r="CI11" s="99">
        <v>12254.4</v>
      </c>
      <c r="CJ11" s="99">
        <v>18</v>
      </c>
      <c r="CK11" s="99">
        <v>9590.4</v>
      </c>
      <c r="CL11" s="99">
        <v>27</v>
      </c>
      <c r="CM11" s="99">
        <v>14385.599999999999</v>
      </c>
      <c r="CN11" s="99">
        <v>26</v>
      </c>
      <c r="CO11" s="99">
        <v>13852.8</v>
      </c>
      <c r="CP11" s="99">
        <v>20</v>
      </c>
      <c r="CQ11" s="99">
        <v>10656</v>
      </c>
      <c r="CR11" s="99">
        <v>24</v>
      </c>
      <c r="CS11" s="99">
        <v>12787.199999999999</v>
      </c>
      <c r="CT11" s="99">
        <v>19</v>
      </c>
      <c r="CU11" s="99">
        <v>10123.199999999999</v>
      </c>
    </row>
    <row r="12" spans="1:99">
      <c r="C12" s="98" t="s">
        <v>178</v>
      </c>
      <c r="D12" s="99">
        <v>16</v>
      </c>
      <c r="E12" s="99">
        <v>9004.7999999999993</v>
      </c>
      <c r="F12" s="99">
        <v>18</v>
      </c>
      <c r="G12" s="99">
        <v>10130.4</v>
      </c>
      <c r="H12" s="99">
        <v>15</v>
      </c>
      <c r="I12" s="99">
        <v>8442</v>
      </c>
      <c r="J12" s="99">
        <v>25</v>
      </c>
      <c r="K12" s="99">
        <v>14069.999999999998</v>
      </c>
      <c r="L12" s="99">
        <v>23</v>
      </c>
      <c r="M12" s="99">
        <v>12944.4</v>
      </c>
      <c r="N12" s="99">
        <v>15</v>
      </c>
      <c r="O12" s="99">
        <v>8442</v>
      </c>
      <c r="P12" s="99">
        <v>18</v>
      </c>
      <c r="Q12" s="99">
        <v>10130.4</v>
      </c>
      <c r="R12" s="99">
        <v>18</v>
      </c>
      <c r="S12" s="99">
        <v>10130.4</v>
      </c>
      <c r="T12" s="99">
        <v>18</v>
      </c>
      <c r="U12" s="99">
        <v>10130.4</v>
      </c>
      <c r="V12" s="99">
        <v>16</v>
      </c>
      <c r="W12" s="99">
        <v>9004.7999999999993</v>
      </c>
      <c r="X12" s="99">
        <v>18</v>
      </c>
      <c r="Y12" s="99">
        <v>10130.4</v>
      </c>
      <c r="Z12" s="99">
        <v>15</v>
      </c>
      <c r="AA12" s="99">
        <v>8442</v>
      </c>
      <c r="AB12" s="99">
        <v>27</v>
      </c>
      <c r="AC12" s="99">
        <v>15195.599999999999</v>
      </c>
      <c r="AD12" s="99">
        <v>15</v>
      </c>
      <c r="AE12" s="99">
        <v>8442</v>
      </c>
      <c r="AF12" s="99">
        <v>17</v>
      </c>
      <c r="AG12" s="99">
        <v>9567.5999999999985</v>
      </c>
      <c r="AH12" s="99">
        <v>27</v>
      </c>
      <c r="AI12" s="99">
        <v>15195.599999999999</v>
      </c>
      <c r="AJ12" s="99">
        <v>17</v>
      </c>
      <c r="AK12" s="99">
        <v>9567.5999999999985</v>
      </c>
      <c r="AL12" s="99">
        <v>23</v>
      </c>
      <c r="AM12" s="99">
        <v>12944.4</v>
      </c>
      <c r="AN12" s="99">
        <v>20</v>
      </c>
      <c r="AO12" s="99">
        <v>11256</v>
      </c>
      <c r="AP12" s="99">
        <v>13</v>
      </c>
      <c r="AQ12" s="99">
        <v>7316.4</v>
      </c>
      <c r="AR12" s="99">
        <v>22</v>
      </c>
      <c r="AS12" s="99">
        <v>12381.599999999999</v>
      </c>
      <c r="AT12" s="99">
        <v>14</v>
      </c>
      <c r="AU12" s="99">
        <v>7879.1999999999989</v>
      </c>
      <c r="AV12" s="99">
        <v>30</v>
      </c>
      <c r="AW12" s="99">
        <v>16884</v>
      </c>
      <c r="AX12" s="99">
        <v>29</v>
      </c>
      <c r="AY12" s="99">
        <v>16321.199999999999</v>
      </c>
      <c r="AZ12" s="99">
        <v>16</v>
      </c>
      <c r="BA12" s="99">
        <v>9004.7999999999993</v>
      </c>
      <c r="BB12" s="99">
        <v>16</v>
      </c>
      <c r="BC12" s="99">
        <v>9004.7999999999993</v>
      </c>
      <c r="BD12" s="99">
        <v>23</v>
      </c>
      <c r="BE12" s="99">
        <v>12944.4</v>
      </c>
      <c r="BF12" s="99">
        <v>14</v>
      </c>
      <c r="BG12" s="99">
        <v>7879.1999999999989</v>
      </c>
      <c r="BH12" s="99">
        <v>18</v>
      </c>
      <c r="BI12" s="99">
        <v>10130.4</v>
      </c>
      <c r="BJ12" s="99">
        <v>24</v>
      </c>
      <c r="BK12" s="99">
        <v>13507.199999999999</v>
      </c>
      <c r="BL12" s="99">
        <v>30</v>
      </c>
      <c r="BM12" s="99">
        <v>16884</v>
      </c>
      <c r="BN12" s="99">
        <v>29</v>
      </c>
      <c r="BO12" s="99">
        <v>16321.199999999999</v>
      </c>
      <c r="BP12" s="99">
        <v>19</v>
      </c>
      <c r="BQ12" s="99">
        <v>10693.199999999999</v>
      </c>
      <c r="BR12" s="99">
        <v>20</v>
      </c>
      <c r="BS12" s="99">
        <v>11256</v>
      </c>
      <c r="BT12" s="99">
        <v>19</v>
      </c>
      <c r="BU12" s="99">
        <v>10693.199999999999</v>
      </c>
      <c r="BV12" s="99">
        <v>16</v>
      </c>
      <c r="BW12" s="99">
        <v>9004.7999999999993</v>
      </c>
      <c r="BX12" s="99">
        <v>20</v>
      </c>
      <c r="BY12" s="99">
        <v>11256</v>
      </c>
      <c r="BZ12" s="99">
        <v>25</v>
      </c>
      <c r="CA12" s="99">
        <v>14069.999999999998</v>
      </c>
      <c r="CB12" s="99">
        <v>31</v>
      </c>
      <c r="CC12" s="99">
        <v>17446.8</v>
      </c>
      <c r="CD12" s="99">
        <v>25</v>
      </c>
      <c r="CE12" s="99">
        <v>14069.999999999998</v>
      </c>
      <c r="CF12" s="99">
        <v>28</v>
      </c>
      <c r="CG12" s="99">
        <v>15758.399999999998</v>
      </c>
      <c r="CH12" s="99">
        <v>24</v>
      </c>
      <c r="CI12" s="99">
        <v>13507.199999999999</v>
      </c>
      <c r="CJ12" s="99">
        <v>19</v>
      </c>
      <c r="CK12" s="99">
        <v>10693.199999999999</v>
      </c>
      <c r="CL12" s="99">
        <v>23</v>
      </c>
      <c r="CM12" s="99">
        <v>12944.4</v>
      </c>
      <c r="CN12" s="99">
        <v>24</v>
      </c>
      <c r="CO12" s="99">
        <v>13507.199999999999</v>
      </c>
      <c r="CP12" s="99">
        <v>18</v>
      </c>
      <c r="CQ12" s="99">
        <v>10130.4</v>
      </c>
      <c r="CR12" s="99">
        <v>21</v>
      </c>
      <c r="CS12" s="99">
        <v>11818.8</v>
      </c>
      <c r="CT12" s="99">
        <v>16</v>
      </c>
      <c r="CU12" s="99">
        <v>9004.7999999999993</v>
      </c>
    </row>
    <row r="13" spans="1:99">
      <c r="C13" s="98" t="s">
        <v>179</v>
      </c>
      <c r="D13" s="99">
        <v>18</v>
      </c>
      <c r="E13" s="99">
        <v>1533.6000000000001</v>
      </c>
      <c r="F13" s="99">
        <v>19</v>
      </c>
      <c r="G13" s="99">
        <v>1618.8</v>
      </c>
      <c r="H13" s="99">
        <v>15</v>
      </c>
      <c r="I13" s="99">
        <v>1278</v>
      </c>
      <c r="J13" s="99">
        <v>28</v>
      </c>
      <c r="K13" s="99">
        <v>2385.6</v>
      </c>
      <c r="L13" s="99">
        <v>26</v>
      </c>
      <c r="M13" s="99">
        <v>2215.2000000000003</v>
      </c>
      <c r="N13" s="99">
        <v>15</v>
      </c>
      <c r="O13" s="99">
        <v>1278</v>
      </c>
      <c r="P13" s="99">
        <v>22</v>
      </c>
      <c r="Q13" s="99">
        <v>1874.4</v>
      </c>
      <c r="R13" s="99">
        <v>18</v>
      </c>
      <c r="S13" s="99">
        <v>1533.6000000000001</v>
      </c>
      <c r="T13" s="99">
        <v>19</v>
      </c>
      <c r="U13" s="99">
        <v>1618.8</v>
      </c>
      <c r="V13" s="99">
        <v>16</v>
      </c>
      <c r="W13" s="99">
        <v>1363.2</v>
      </c>
      <c r="X13" s="99">
        <v>19</v>
      </c>
      <c r="Y13" s="99">
        <v>1618.8</v>
      </c>
      <c r="Z13" s="99">
        <v>17</v>
      </c>
      <c r="AA13" s="99">
        <v>1448.4</v>
      </c>
      <c r="AB13" s="99">
        <v>25</v>
      </c>
      <c r="AC13" s="99">
        <v>2130</v>
      </c>
      <c r="AD13" s="99">
        <v>15</v>
      </c>
      <c r="AE13" s="99">
        <v>1278</v>
      </c>
      <c r="AF13" s="99">
        <v>16</v>
      </c>
      <c r="AG13" s="99">
        <v>1363.2</v>
      </c>
      <c r="AH13" s="99">
        <v>30</v>
      </c>
      <c r="AI13" s="99">
        <v>2556</v>
      </c>
      <c r="AJ13" s="99">
        <v>18</v>
      </c>
      <c r="AK13" s="99">
        <v>1533.6000000000001</v>
      </c>
      <c r="AL13" s="99">
        <v>25</v>
      </c>
      <c r="AM13" s="99">
        <v>2130</v>
      </c>
      <c r="AN13" s="99">
        <v>20</v>
      </c>
      <c r="AO13" s="99">
        <v>1704</v>
      </c>
      <c r="AP13" s="99">
        <v>15</v>
      </c>
      <c r="AQ13" s="99">
        <v>1278</v>
      </c>
      <c r="AR13" s="99">
        <v>23</v>
      </c>
      <c r="AS13" s="99">
        <v>1959.6000000000001</v>
      </c>
      <c r="AT13" s="99">
        <v>15</v>
      </c>
      <c r="AU13" s="99">
        <v>1278</v>
      </c>
      <c r="AV13" s="99">
        <v>30</v>
      </c>
      <c r="AW13" s="99">
        <v>2556</v>
      </c>
      <c r="AX13" s="99">
        <v>32</v>
      </c>
      <c r="AY13" s="99">
        <v>2726.4</v>
      </c>
      <c r="AZ13" s="99">
        <v>16</v>
      </c>
      <c r="BA13" s="99">
        <v>1363.2</v>
      </c>
      <c r="BB13" s="99">
        <v>17</v>
      </c>
      <c r="BC13" s="99">
        <v>1448.4</v>
      </c>
      <c r="BD13" s="99">
        <v>22</v>
      </c>
      <c r="BE13" s="99">
        <v>1874.4</v>
      </c>
      <c r="BF13" s="99">
        <v>15</v>
      </c>
      <c r="BG13" s="99">
        <v>1278</v>
      </c>
      <c r="BH13" s="99">
        <v>19</v>
      </c>
      <c r="BI13" s="99">
        <v>1618.8</v>
      </c>
      <c r="BJ13" s="99">
        <v>26</v>
      </c>
      <c r="BK13" s="99">
        <v>2215.2000000000003</v>
      </c>
      <c r="BL13" s="99">
        <v>29</v>
      </c>
      <c r="BM13" s="99">
        <v>2470.8000000000002</v>
      </c>
      <c r="BN13" s="99">
        <v>29</v>
      </c>
      <c r="BO13" s="99">
        <v>2470.8000000000002</v>
      </c>
      <c r="BP13" s="99">
        <v>22</v>
      </c>
      <c r="BQ13" s="99">
        <v>1874.4</v>
      </c>
      <c r="BR13" s="99">
        <v>19</v>
      </c>
      <c r="BS13" s="99">
        <v>1618.8</v>
      </c>
      <c r="BT13" s="99">
        <v>19</v>
      </c>
      <c r="BU13" s="99">
        <v>1618.8</v>
      </c>
      <c r="BV13" s="99">
        <v>18</v>
      </c>
      <c r="BW13" s="99">
        <v>1533.6000000000001</v>
      </c>
      <c r="BX13" s="99">
        <v>22</v>
      </c>
      <c r="BY13" s="99">
        <v>1874.4</v>
      </c>
      <c r="BZ13" s="99">
        <v>26</v>
      </c>
      <c r="CA13" s="99">
        <v>2215.2000000000003</v>
      </c>
      <c r="CB13" s="99">
        <v>34</v>
      </c>
      <c r="CC13" s="99">
        <v>2896.8</v>
      </c>
      <c r="CD13" s="99">
        <v>26</v>
      </c>
      <c r="CE13" s="99">
        <v>2215.2000000000003</v>
      </c>
      <c r="CF13" s="99">
        <v>33</v>
      </c>
      <c r="CG13" s="99">
        <v>2811.6</v>
      </c>
      <c r="CH13" s="99">
        <v>23</v>
      </c>
      <c r="CI13" s="99">
        <v>1959.6000000000001</v>
      </c>
      <c r="CJ13" s="99">
        <v>20</v>
      </c>
      <c r="CK13" s="99">
        <v>1704</v>
      </c>
      <c r="CL13" s="99">
        <v>27</v>
      </c>
      <c r="CM13" s="99">
        <v>2300.4</v>
      </c>
      <c r="CN13" s="99">
        <v>24</v>
      </c>
      <c r="CO13" s="99">
        <v>2044.8000000000002</v>
      </c>
      <c r="CP13" s="99">
        <v>19</v>
      </c>
      <c r="CQ13" s="99">
        <v>1618.8</v>
      </c>
      <c r="CR13" s="99">
        <v>25</v>
      </c>
      <c r="CS13" s="99">
        <v>2130</v>
      </c>
      <c r="CT13" s="99">
        <v>19</v>
      </c>
      <c r="CU13" s="99">
        <v>1618.8</v>
      </c>
    </row>
    <row r="14" spans="1:99">
      <c r="C14" s="98" t="s">
        <v>180</v>
      </c>
      <c r="D14" s="99">
        <v>15</v>
      </c>
      <c r="E14" s="99">
        <v>7326</v>
      </c>
      <c r="F14" s="99">
        <v>18</v>
      </c>
      <c r="G14" s="99">
        <v>8791.1999999999989</v>
      </c>
      <c r="H14" s="99">
        <v>15</v>
      </c>
      <c r="I14" s="99">
        <v>7326</v>
      </c>
      <c r="J14" s="99">
        <v>25</v>
      </c>
      <c r="K14" s="99">
        <v>12210</v>
      </c>
      <c r="L14" s="99">
        <v>26</v>
      </c>
      <c r="M14" s="99">
        <v>12698.4</v>
      </c>
      <c r="N14" s="99">
        <v>14</v>
      </c>
      <c r="O14" s="99">
        <v>6837.5999999999995</v>
      </c>
      <c r="P14" s="99">
        <v>20</v>
      </c>
      <c r="Q14" s="99">
        <v>9768</v>
      </c>
      <c r="R14" s="99">
        <v>16</v>
      </c>
      <c r="S14" s="99">
        <v>7814.4</v>
      </c>
      <c r="T14" s="99">
        <v>19</v>
      </c>
      <c r="U14" s="99">
        <v>9279.6</v>
      </c>
      <c r="V14" s="99">
        <v>17</v>
      </c>
      <c r="W14" s="99">
        <v>8302.7999999999993</v>
      </c>
      <c r="X14" s="99">
        <v>19</v>
      </c>
      <c r="Y14" s="99">
        <v>9279.6</v>
      </c>
      <c r="Z14" s="99">
        <v>14</v>
      </c>
      <c r="AA14" s="99">
        <v>6837.5999999999995</v>
      </c>
      <c r="AB14" s="99">
        <v>27</v>
      </c>
      <c r="AC14" s="99">
        <v>13186.8</v>
      </c>
      <c r="AD14" s="99">
        <v>15</v>
      </c>
      <c r="AE14" s="99">
        <v>7326</v>
      </c>
      <c r="AF14" s="99">
        <v>17</v>
      </c>
      <c r="AG14" s="99">
        <v>8302.7999999999993</v>
      </c>
      <c r="AH14" s="99">
        <v>30</v>
      </c>
      <c r="AI14" s="99">
        <v>14652</v>
      </c>
      <c r="AJ14" s="99">
        <v>17</v>
      </c>
      <c r="AK14" s="99">
        <v>8302.7999999999993</v>
      </c>
      <c r="AL14" s="99">
        <v>22</v>
      </c>
      <c r="AM14" s="99">
        <v>10744.8</v>
      </c>
      <c r="AN14" s="99">
        <v>22</v>
      </c>
      <c r="AO14" s="99">
        <v>10744.8</v>
      </c>
      <c r="AP14" s="99">
        <v>14</v>
      </c>
      <c r="AQ14" s="99">
        <v>6837.5999999999995</v>
      </c>
      <c r="AR14" s="99">
        <v>21</v>
      </c>
      <c r="AS14" s="99">
        <v>10256.4</v>
      </c>
      <c r="AT14" s="99">
        <v>16</v>
      </c>
      <c r="AU14" s="99">
        <v>7814.4</v>
      </c>
      <c r="AV14" s="99">
        <v>29</v>
      </c>
      <c r="AW14" s="99">
        <v>14163.599999999999</v>
      </c>
      <c r="AX14" s="99">
        <v>26</v>
      </c>
      <c r="AY14" s="99">
        <v>12698.4</v>
      </c>
      <c r="AZ14" s="99">
        <v>13</v>
      </c>
      <c r="BA14" s="99">
        <v>6349.2</v>
      </c>
      <c r="BB14" s="99">
        <v>15</v>
      </c>
      <c r="BC14" s="99">
        <v>7326</v>
      </c>
      <c r="BD14" s="99">
        <v>23</v>
      </c>
      <c r="BE14" s="99">
        <v>11233.199999999999</v>
      </c>
      <c r="BF14" s="99">
        <v>17</v>
      </c>
      <c r="BG14" s="99">
        <v>8302.7999999999993</v>
      </c>
      <c r="BH14" s="99">
        <v>17</v>
      </c>
      <c r="BI14" s="99">
        <v>8302.7999999999993</v>
      </c>
      <c r="BJ14" s="99">
        <v>23</v>
      </c>
      <c r="BK14" s="99">
        <v>11233.199999999999</v>
      </c>
      <c r="BL14" s="99">
        <v>30</v>
      </c>
      <c r="BM14" s="99">
        <v>14652</v>
      </c>
      <c r="BN14" s="99">
        <v>25</v>
      </c>
      <c r="BO14" s="99">
        <v>12210</v>
      </c>
      <c r="BP14" s="99">
        <v>21</v>
      </c>
      <c r="BQ14" s="99">
        <v>10256.4</v>
      </c>
      <c r="BR14" s="99">
        <v>17</v>
      </c>
      <c r="BS14" s="99">
        <v>8302.7999999999993</v>
      </c>
      <c r="BT14" s="99">
        <v>20</v>
      </c>
      <c r="BU14" s="99">
        <v>9768</v>
      </c>
      <c r="BV14" s="99">
        <v>16</v>
      </c>
      <c r="BW14" s="99">
        <v>7814.4</v>
      </c>
      <c r="BX14" s="99">
        <v>19</v>
      </c>
      <c r="BY14" s="99">
        <v>9279.6</v>
      </c>
      <c r="BZ14" s="99">
        <v>27</v>
      </c>
      <c r="CA14" s="99">
        <v>13186.8</v>
      </c>
      <c r="CB14" s="99">
        <v>30</v>
      </c>
      <c r="CC14" s="99">
        <v>14652</v>
      </c>
      <c r="CD14" s="99">
        <v>25</v>
      </c>
      <c r="CE14" s="99">
        <v>12210</v>
      </c>
      <c r="CF14" s="99">
        <v>34</v>
      </c>
      <c r="CG14" s="99">
        <v>16605.599999999999</v>
      </c>
      <c r="CH14" s="99">
        <v>22</v>
      </c>
      <c r="CI14" s="99">
        <v>10744.8</v>
      </c>
      <c r="CJ14" s="99">
        <v>21</v>
      </c>
      <c r="CK14" s="99">
        <v>10256.4</v>
      </c>
      <c r="CL14" s="99">
        <v>28</v>
      </c>
      <c r="CM14" s="99">
        <v>13675.199999999999</v>
      </c>
      <c r="CN14" s="99">
        <v>25</v>
      </c>
      <c r="CO14" s="99">
        <v>12210</v>
      </c>
      <c r="CP14" s="99">
        <v>17</v>
      </c>
      <c r="CQ14" s="99">
        <v>8302.7999999999993</v>
      </c>
      <c r="CR14" s="99">
        <v>22</v>
      </c>
      <c r="CS14" s="99">
        <v>10744.8</v>
      </c>
      <c r="CT14" s="99">
        <v>18</v>
      </c>
      <c r="CU14" s="99">
        <v>8791.1999999999989</v>
      </c>
    </row>
    <row r="15" spans="1:99">
      <c r="C15" s="98" t="s">
        <v>181</v>
      </c>
      <c r="D15" s="99">
        <v>15</v>
      </c>
      <c r="E15" s="99">
        <v>11447.999999999998</v>
      </c>
      <c r="F15" s="99">
        <v>17</v>
      </c>
      <c r="G15" s="99">
        <v>12974.4</v>
      </c>
      <c r="H15" s="99">
        <v>14</v>
      </c>
      <c r="I15" s="99">
        <v>10684.8</v>
      </c>
      <c r="J15" s="99">
        <v>23</v>
      </c>
      <c r="K15" s="99">
        <v>17553.599999999999</v>
      </c>
      <c r="L15" s="99">
        <v>24</v>
      </c>
      <c r="M15" s="99">
        <v>18316.8</v>
      </c>
      <c r="N15" s="99">
        <v>14</v>
      </c>
      <c r="O15" s="99">
        <v>10684.8</v>
      </c>
      <c r="P15" s="99">
        <v>20</v>
      </c>
      <c r="Q15" s="99">
        <v>15263.999999999998</v>
      </c>
      <c r="R15" s="99">
        <v>16</v>
      </c>
      <c r="S15" s="99">
        <v>12211.199999999999</v>
      </c>
      <c r="T15" s="99">
        <v>18</v>
      </c>
      <c r="U15" s="99">
        <v>13737.599999999999</v>
      </c>
      <c r="V15" s="99">
        <v>17</v>
      </c>
      <c r="W15" s="99">
        <v>12974.4</v>
      </c>
      <c r="X15" s="99">
        <v>18</v>
      </c>
      <c r="Y15" s="99">
        <v>13737.599999999999</v>
      </c>
      <c r="Z15" s="99">
        <v>14</v>
      </c>
      <c r="AA15" s="99">
        <v>10684.8</v>
      </c>
      <c r="AB15" s="99">
        <v>22</v>
      </c>
      <c r="AC15" s="99">
        <v>16790.399999999998</v>
      </c>
      <c r="AD15" s="99">
        <v>13</v>
      </c>
      <c r="AE15" s="99">
        <v>9921.5999999999985</v>
      </c>
      <c r="AF15" s="99">
        <v>17</v>
      </c>
      <c r="AG15" s="99">
        <v>12974.4</v>
      </c>
      <c r="AH15" s="99">
        <v>28</v>
      </c>
      <c r="AI15" s="99">
        <v>21369.599999999999</v>
      </c>
      <c r="AJ15" s="99">
        <v>16</v>
      </c>
      <c r="AK15" s="99">
        <v>12211.199999999999</v>
      </c>
      <c r="AL15" s="99">
        <v>26</v>
      </c>
      <c r="AM15" s="99">
        <v>19843.199999999997</v>
      </c>
      <c r="AN15" s="99">
        <v>20</v>
      </c>
      <c r="AO15" s="99">
        <v>15263.999999999998</v>
      </c>
      <c r="AP15" s="99">
        <v>15</v>
      </c>
      <c r="AQ15" s="99">
        <v>11447.999999999998</v>
      </c>
      <c r="AR15" s="99">
        <v>23</v>
      </c>
      <c r="AS15" s="99">
        <v>17553.599999999999</v>
      </c>
      <c r="AT15" s="99">
        <v>14</v>
      </c>
      <c r="AU15" s="99">
        <v>10684.8</v>
      </c>
      <c r="AV15" s="99">
        <v>28</v>
      </c>
      <c r="AW15" s="99">
        <v>21369.599999999999</v>
      </c>
      <c r="AX15" s="99">
        <v>24</v>
      </c>
      <c r="AY15" s="99">
        <v>18316.8</v>
      </c>
      <c r="AZ15" s="99">
        <v>14</v>
      </c>
      <c r="BA15" s="99">
        <v>10684.8</v>
      </c>
      <c r="BB15" s="99">
        <v>14</v>
      </c>
      <c r="BC15" s="99">
        <v>10684.8</v>
      </c>
      <c r="BD15" s="99">
        <v>21</v>
      </c>
      <c r="BE15" s="99">
        <v>16027.199999999999</v>
      </c>
      <c r="BF15" s="99">
        <v>16</v>
      </c>
      <c r="BG15" s="99">
        <v>12211.199999999999</v>
      </c>
      <c r="BH15" s="99">
        <v>19</v>
      </c>
      <c r="BI15" s="99">
        <v>14500.8</v>
      </c>
      <c r="BJ15" s="99">
        <v>26</v>
      </c>
      <c r="BK15" s="99">
        <v>19843.199999999997</v>
      </c>
      <c r="BL15" s="99">
        <v>26</v>
      </c>
      <c r="BM15" s="99">
        <v>19843.199999999997</v>
      </c>
      <c r="BN15" s="99">
        <v>25</v>
      </c>
      <c r="BO15" s="99">
        <v>19080</v>
      </c>
      <c r="BP15" s="99">
        <v>19</v>
      </c>
      <c r="BQ15" s="99">
        <v>14500.8</v>
      </c>
      <c r="BR15" s="99">
        <v>20</v>
      </c>
      <c r="BS15" s="99">
        <v>15263.999999999998</v>
      </c>
      <c r="BT15" s="99">
        <v>17</v>
      </c>
      <c r="BU15" s="99">
        <v>12974.4</v>
      </c>
      <c r="BV15" s="99">
        <v>17</v>
      </c>
      <c r="BW15" s="99">
        <v>12974.4</v>
      </c>
      <c r="BX15" s="99">
        <v>21</v>
      </c>
      <c r="BY15" s="99">
        <v>16027.199999999999</v>
      </c>
      <c r="BZ15" s="99">
        <v>26</v>
      </c>
      <c r="CA15" s="99">
        <v>19843.199999999997</v>
      </c>
      <c r="CB15" s="99">
        <v>30</v>
      </c>
      <c r="CC15" s="99">
        <v>22895.999999999996</v>
      </c>
      <c r="CD15" s="99">
        <v>24</v>
      </c>
      <c r="CE15" s="99">
        <v>18316.8</v>
      </c>
      <c r="CF15" s="99">
        <v>33</v>
      </c>
      <c r="CG15" s="99">
        <v>25185.599999999999</v>
      </c>
      <c r="CH15" s="99">
        <v>22</v>
      </c>
      <c r="CI15" s="99">
        <v>16790.399999999998</v>
      </c>
      <c r="CJ15" s="99">
        <v>19</v>
      </c>
      <c r="CK15" s="99">
        <v>14500.8</v>
      </c>
      <c r="CL15" s="99">
        <v>23</v>
      </c>
      <c r="CM15" s="99">
        <v>17553.599999999999</v>
      </c>
      <c r="CN15" s="99">
        <v>25</v>
      </c>
      <c r="CO15" s="99">
        <v>19080</v>
      </c>
      <c r="CP15" s="99">
        <v>19</v>
      </c>
      <c r="CQ15" s="99">
        <v>14500.8</v>
      </c>
      <c r="CR15" s="99">
        <v>21</v>
      </c>
      <c r="CS15" s="99">
        <v>16027.199999999999</v>
      </c>
      <c r="CT15" s="99">
        <v>16</v>
      </c>
      <c r="CU15" s="99">
        <v>12211.199999999999</v>
      </c>
    </row>
    <row r="16" spans="1:99">
      <c r="C16" s="98" t="s">
        <v>182</v>
      </c>
      <c r="D16" s="99">
        <v>15</v>
      </c>
      <c r="E16" s="99">
        <v>5112</v>
      </c>
      <c r="F16" s="99">
        <v>18</v>
      </c>
      <c r="G16" s="99">
        <v>6134.4000000000005</v>
      </c>
      <c r="H16" s="99">
        <v>16</v>
      </c>
      <c r="I16" s="99">
        <v>5452.8</v>
      </c>
      <c r="J16" s="99">
        <v>25</v>
      </c>
      <c r="K16" s="99">
        <v>8520</v>
      </c>
      <c r="L16" s="99">
        <v>24</v>
      </c>
      <c r="M16" s="99">
        <v>8179.2000000000007</v>
      </c>
      <c r="N16" s="99">
        <v>15</v>
      </c>
      <c r="O16" s="99">
        <v>5112</v>
      </c>
      <c r="P16" s="99">
        <v>18</v>
      </c>
      <c r="Q16" s="99">
        <v>6134.4000000000005</v>
      </c>
      <c r="R16" s="99">
        <v>19</v>
      </c>
      <c r="S16" s="99">
        <v>6475.2</v>
      </c>
      <c r="T16" s="99">
        <v>19</v>
      </c>
      <c r="U16" s="99">
        <v>6475.2</v>
      </c>
      <c r="V16" s="99">
        <v>16</v>
      </c>
      <c r="W16" s="99">
        <v>5452.8</v>
      </c>
      <c r="X16" s="99">
        <v>17</v>
      </c>
      <c r="Y16" s="99">
        <v>5793.6</v>
      </c>
      <c r="Z16" s="99">
        <v>16</v>
      </c>
      <c r="AA16" s="99">
        <v>5452.8</v>
      </c>
      <c r="AB16" s="99">
        <v>28</v>
      </c>
      <c r="AC16" s="99">
        <v>9542.4</v>
      </c>
      <c r="AD16" s="99">
        <v>14</v>
      </c>
      <c r="AE16" s="99">
        <v>4771.2</v>
      </c>
      <c r="AF16" s="99">
        <v>17</v>
      </c>
      <c r="AG16" s="99">
        <v>5793.6</v>
      </c>
      <c r="AH16" s="99">
        <v>29</v>
      </c>
      <c r="AI16" s="99">
        <v>9883.2000000000007</v>
      </c>
      <c r="AJ16" s="99">
        <v>20</v>
      </c>
      <c r="AK16" s="99">
        <v>6816</v>
      </c>
      <c r="AL16" s="99">
        <v>24</v>
      </c>
      <c r="AM16" s="99">
        <v>8179.2000000000007</v>
      </c>
      <c r="AN16" s="99">
        <v>22</v>
      </c>
      <c r="AO16" s="99">
        <v>7497.6</v>
      </c>
      <c r="AP16" s="99">
        <v>15</v>
      </c>
      <c r="AQ16" s="99">
        <v>5112</v>
      </c>
      <c r="AR16" s="99">
        <v>23</v>
      </c>
      <c r="AS16" s="99">
        <v>7838.4000000000005</v>
      </c>
      <c r="AT16" s="99">
        <v>16</v>
      </c>
      <c r="AU16" s="99">
        <v>5452.8</v>
      </c>
      <c r="AV16" s="99">
        <v>26</v>
      </c>
      <c r="AW16" s="99">
        <v>8860.8000000000011</v>
      </c>
      <c r="AX16" s="99">
        <v>29</v>
      </c>
      <c r="AY16" s="99">
        <v>9883.2000000000007</v>
      </c>
      <c r="AZ16" s="99">
        <v>14</v>
      </c>
      <c r="BA16" s="99">
        <v>4771.2</v>
      </c>
      <c r="BB16" s="99">
        <v>17</v>
      </c>
      <c r="BC16" s="99">
        <v>5793.6</v>
      </c>
      <c r="BD16" s="99">
        <v>23</v>
      </c>
      <c r="BE16" s="99">
        <v>7838.4000000000005</v>
      </c>
      <c r="BF16" s="99">
        <v>15</v>
      </c>
      <c r="BG16" s="99">
        <v>5112</v>
      </c>
      <c r="BH16" s="99">
        <v>18</v>
      </c>
      <c r="BI16" s="99">
        <v>6134.4000000000005</v>
      </c>
      <c r="BJ16" s="99">
        <v>28</v>
      </c>
      <c r="BK16" s="99">
        <v>9542.4</v>
      </c>
      <c r="BL16" s="99">
        <v>27</v>
      </c>
      <c r="BM16" s="99">
        <v>9201.6</v>
      </c>
      <c r="BN16" s="99">
        <v>26</v>
      </c>
      <c r="BO16" s="99">
        <v>8860.8000000000011</v>
      </c>
      <c r="BP16" s="99">
        <v>22</v>
      </c>
      <c r="BQ16" s="99">
        <v>7497.6</v>
      </c>
      <c r="BR16" s="99">
        <v>18</v>
      </c>
      <c r="BS16" s="99">
        <v>6134.4000000000005</v>
      </c>
      <c r="BT16" s="99">
        <v>21</v>
      </c>
      <c r="BU16" s="99">
        <v>7156.8</v>
      </c>
      <c r="BV16" s="99">
        <v>18</v>
      </c>
      <c r="BW16" s="99">
        <v>6134.4000000000005</v>
      </c>
      <c r="BX16" s="99">
        <v>20</v>
      </c>
      <c r="BY16" s="99">
        <v>6816</v>
      </c>
      <c r="BZ16" s="99">
        <v>28</v>
      </c>
      <c r="CA16" s="99">
        <v>9542.4</v>
      </c>
      <c r="CB16" s="99">
        <v>31</v>
      </c>
      <c r="CC16" s="99">
        <v>10564.800000000001</v>
      </c>
      <c r="CD16" s="99">
        <v>29</v>
      </c>
      <c r="CE16" s="99">
        <v>9883.2000000000007</v>
      </c>
      <c r="CF16" s="99">
        <v>29</v>
      </c>
      <c r="CG16" s="99">
        <v>9883.2000000000007</v>
      </c>
      <c r="CH16" s="99">
        <v>22</v>
      </c>
      <c r="CI16" s="99">
        <v>7497.6</v>
      </c>
      <c r="CJ16" s="99">
        <v>22</v>
      </c>
      <c r="CK16" s="99">
        <v>7497.6</v>
      </c>
      <c r="CL16" s="99">
        <v>24</v>
      </c>
      <c r="CM16" s="99">
        <v>8179.2000000000007</v>
      </c>
      <c r="CN16" s="99">
        <v>23</v>
      </c>
      <c r="CO16" s="99">
        <v>7838.4000000000005</v>
      </c>
      <c r="CP16" s="99">
        <v>20</v>
      </c>
      <c r="CQ16" s="99">
        <v>6816</v>
      </c>
      <c r="CR16" s="99">
        <v>22</v>
      </c>
      <c r="CS16" s="99">
        <v>7497.6</v>
      </c>
      <c r="CT16" s="99">
        <v>18</v>
      </c>
      <c r="CU16" s="99">
        <v>6134.4000000000005</v>
      </c>
    </row>
    <row r="17" spans="2:99">
      <c r="C17" s="98" t="s">
        <v>183</v>
      </c>
      <c r="D17" s="99">
        <v>15</v>
      </c>
      <c r="E17" s="99">
        <v>6336</v>
      </c>
      <c r="F17" s="99">
        <v>17</v>
      </c>
      <c r="G17" s="99">
        <v>7180.7999999999993</v>
      </c>
      <c r="H17" s="99">
        <v>16</v>
      </c>
      <c r="I17" s="99">
        <v>6758.4</v>
      </c>
      <c r="J17" s="99">
        <v>23</v>
      </c>
      <c r="K17" s="99">
        <v>9715.1999999999989</v>
      </c>
      <c r="L17" s="99">
        <v>26</v>
      </c>
      <c r="M17" s="99">
        <v>10982.4</v>
      </c>
      <c r="N17" s="99">
        <v>14</v>
      </c>
      <c r="O17" s="99">
        <v>5913.5999999999995</v>
      </c>
      <c r="P17" s="99">
        <v>18</v>
      </c>
      <c r="Q17" s="99">
        <v>7603.2</v>
      </c>
      <c r="R17" s="99">
        <v>18</v>
      </c>
      <c r="S17" s="99">
        <v>7603.2</v>
      </c>
      <c r="T17" s="99">
        <v>18</v>
      </c>
      <c r="U17" s="99">
        <v>7603.2</v>
      </c>
      <c r="V17" s="99">
        <v>17</v>
      </c>
      <c r="W17" s="99">
        <v>7180.7999999999993</v>
      </c>
      <c r="X17" s="99">
        <v>18</v>
      </c>
      <c r="Y17" s="99">
        <v>7603.2</v>
      </c>
      <c r="Z17" s="99">
        <v>16</v>
      </c>
      <c r="AA17" s="99">
        <v>6758.4</v>
      </c>
      <c r="AB17" s="99">
        <v>28</v>
      </c>
      <c r="AC17" s="99">
        <v>11827.199999999999</v>
      </c>
      <c r="AD17" s="99">
        <v>13</v>
      </c>
      <c r="AE17" s="99">
        <v>5491.2</v>
      </c>
      <c r="AF17" s="99">
        <v>18</v>
      </c>
      <c r="AG17" s="99">
        <v>7603.2</v>
      </c>
      <c r="AH17" s="99">
        <v>26</v>
      </c>
      <c r="AI17" s="99">
        <v>10982.4</v>
      </c>
      <c r="AJ17" s="99">
        <v>17</v>
      </c>
      <c r="AK17" s="99">
        <v>7180.7999999999993</v>
      </c>
      <c r="AL17" s="99">
        <v>26</v>
      </c>
      <c r="AM17" s="99">
        <v>10982.4</v>
      </c>
      <c r="AN17" s="99">
        <v>19</v>
      </c>
      <c r="AO17" s="99">
        <v>8025.5999999999995</v>
      </c>
      <c r="AP17" s="99">
        <v>14</v>
      </c>
      <c r="AQ17" s="99">
        <v>5913.5999999999995</v>
      </c>
      <c r="AR17" s="99">
        <v>23</v>
      </c>
      <c r="AS17" s="99">
        <v>9715.1999999999989</v>
      </c>
      <c r="AT17" s="99">
        <v>15</v>
      </c>
      <c r="AU17" s="99">
        <v>6336</v>
      </c>
      <c r="AV17" s="99">
        <v>31</v>
      </c>
      <c r="AW17" s="99">
        <v>13094.4</v>
      </c>
      <c r="AX17" s="99">
        <v>30</v>
      </c>
      <c r="AY17" s="99">
        <v>12672</v>
      </c>
      <c r="AZ17" s="99">
        <v>15</v>
      </c>
      <c r="BA17" s="99">
        <v>6336</v>
      </c>
      <c r="BB17" s="99">
        <v>16</v>
      </c>
      <c r="BC17" s="99">
        <v>6758.4</v>
      </c>
      <c r="BD17" s="99">
        <v>21</v>
      </c>
      <c r="BE17" s="99">
        <v>8870.4</v>
      </c>
      <c r="BF17" s="99">
        <v>17</v>
      </c>
      <c r="BG17" s="99">
        <v>7180.7999999999993</v>
      </c>
      <c r="BH17" s="99">
        <v>18</v>
      </c>
      <c r="BI17" s="99">
        <v>7603.2</v>
      </c>
      <c r="BJ17" s="99">
        <v>23</v>
      </c>
      <c r="BK17" s="99">
        <v>9715.1999999999989</v>
      </c>
      <c r="BL17" s="99">
        <v>29</v>
      </c>
      <c r="BM17" s="99">
        <v>12249.599999999999</v>
      </c>
      <c r="BN17" s="99">
        <v>26</v>
      </c>
      <c r="BO17" s="99">
        <v>10982.4</v>
      </c>
      <c r="BP17" s="99">
        <v>23</v>
      </c>
      <c r="BQ17" s="99">
        <v>9715.1999999999989</v>
      </c>
      <c r="BR17" s="99">
        <v>18</v>
      </c>
      <c r="BS17" s="99">
        <v>7603.2</v>
      </c>
      <c r="BT17" s="99">
        <v>19</v>
      </c>
      <c r="BU17" s="99">
        <v>8025.5999999999995</v>
      </c>
      <c r="BV17" s="99">
        <v>20</v>
      </c>
      <c r="BW17" s="99">
        <v>8448</v>
      </c>
      <c r="BX17" s="99">
        <v>19</v>
      </c>
      <c r="BY17" s="99">
        <v>8025.5999999999995</v>
      </c>
      <c r="BZ17" s="99">
        <v>26</v>
      </c>
      <c r="CA17" s="99">
        <v>10982.4</v>
      </c>
      <c r="CB17" s="99">
        <v>33</v>
      </c>
      <c r="CC17" s="99">
        <v>13939.199999999999</v>
      </c>
      <c r="CD17" s="99">
        <v>28</v>
      </c>
      <c r="CE17" s="99">
        <v>11827.199999999999</v>
      </c>
      <c r="CF17" s="99">
        <v>30</v>
      </c>
      <c r="CG17" s="99">
        <v>12672</v>
      </c>
      <c r="CH17" s="99">
        <v>24</v>
      </c>
      <c r="CI17" s="99">
        <v>10137.599999999999</v>
      </c>
      <c r="CJ17" s="99">
        <v>21</v>
      </c>
      <c r="CK17" s="99">
        <v>8870.4</v>
      </c>
      <c r="CL17" s="99">
        <v>24</v>
      </c>
      <c r="CM17" s="99">
        <v>10137.599999999999</v>
      </c>
      <c r="CN17" s="99">
        <v>22</v>
      </c>
      <c r="CO17" s="99">
        <v>9292.7999999999993</v>
      </c>
      <c r="CP17" s="99">
        <v>18</v>
      </c>
      <c r="CQ17" s="99">
        <v>7603.2</v>
      </c>
      <c r="CR17" s="99">
        <v>20</v>
      </c>
      <c r="CS17" s="99">
        <v>8448</v>
      </c>
      <c r="CT17" s="99">
        <v>18</v>
      </c>
      <c r="CU17" s="99">
        <v>7603.2</v>
      </c>
    </row>
    <row r="18" spans="2:99">
      <c r="C18" s="98" t="s">
        <v>184</v>
      </c>
      <c r="D18" s="99">
        <v>16</v>
      </c>
      <c r="E18" s="99">
        <v>10444.799999999999</v>
      </c>
      <c r="F18" s="99">
        <v>16</v>
      </c>
      <c r="G18" s="99">
        <v>10444.799999999999</v>
      </c>
      <c r="H18" s="99">
        <v>14</v>
      </c>
      <c r="I18" s="99">
        <v>9139.1999999999989</v>
      </c>
      <c r="J18" s="99">
        <v>24</v>
      </c>
      <c r="K18" s="99">
        <v>15667.199999999999</v>
      </c>
      <c r="L18" s="99">
        <v>23</v>
      </c>
      <c r="M18" s="99">
        <v>15014.4</v>
      </c>
      <c r="N18" s="99">
        <v>15</v>
      </c>
      <c r="O18" s="99">
        <v>9792</v>
      </c>
      <c r="P18" s="99">
        <v>19</v>
      </c>
      <c r="Q18" s="99">
        <v>12403.199999999999</v>
      </c>
      <c r="R18" s="99">
        <v>18</v>
      </c>
      <c r="S18" s="99">
        <v>11750.4</v>
      </c>
      <c r="T18" s="99">
        <v>17</v>
      </c>
      <c r="U18" s="99">
        <v>11097.599999999999</v>
      </c>
      <c r="V18" s="99">
        <v>15</v>
      </c>
      <c r="W18" s="99">
        <v>9792</v>
      </c>
      <c r="X18" s="99">
        <v>19</v>
      </c>
      <c r="Y18" s="99">
        <v>12403.199999999999</v>
      </c>
      <c r="Z18" s="99">
        <v>16</v>
      </c>
      <c r="AA18" s="99">
        <v>10444.799999999999</v>
      </c>
      <c r="AB18" s="99">
        <v>25</v>
      </c>
      <c r="AC18" s="99">
        <v>16319.999999999998</v>
      </c>
      <c r="AD18" s="99">
        <v>15</v>
      </c>
      <c r="AE18" s="99">
        <v>9792</v>
      </c>
      <c r="AF18" s="99">
        <v>15</v>
      </c>
      <c r="AG18" s="99">
        <v>9792</v>
      </c>
      <c r="AH18" s="99">
        <v>28</v>
      </c>
      <c r="AI18" s="99">
        <v>18278.399999999998</v>
      </c>
      <c r="AJ18" s="99">
        <v>18</v>
      </c>
      <c r="AK18" s="99">
        <v>11750.4</v>
      </c>
      <c r="AL18" s="99">
        <v>22</v>
      </c>
      <c r="AM18" s="99">
        <v>14361.599999999999</v>
      </c>
      <c r="AN18" s="99">
        <v>20</v>
      </c>
      <c r="AO18" s="99">
        <v>13056</v>
      </c>
      <c r="AP18" s="99">
        <v>13</v>
      </c>
      <c r="AQ18" s="99">
        <v>8486.4</v>
      </c>
      <c r="AR18" s="99">
        <v>19</v>
      </c>
      <c r="AS18" s="99">
        <v>12403.199999999999</v>
      </c>
      <c r="AT18" s="99">
        <v>15</v>
      </c>
      <c r="AU18" s="99">
        <v>9792</v>
      </c>
      <c r="AV18" s="99">
        <v>29</v>
      </c>
      <c r="AW18" s="99">
        <v>18931.199999999997</v>
      </c>
      <c r="AX18" s="99">
        <v>28</v>
      </c>
      <c r="AY18" s="99">
        <v>18278.399999999998</v>
      </c>
      <c r="AZ18" s="99">
        <v>15</v>
      </c>
      <c r="BA18" s="99">
        <v>9792</v>
      </c>
      <c r="BB18" s="99">
        <v>16</v>
      </c>
      <c r="BC18" s="99">
        <v>10444.799999999999</v>
      </c>
      <c r="BD18" s="99">
        <v>20</v>
      </c>
      <c r="BE18" s="99">
        <v>13056</v>
      </c>
      <c r="BF18" s="99">
        <v>14</v>
      </c>
      <c r="BG18" s="99">
        <v>9139.1999999999989</v>
      </c>
      <c r="BH18" s="99">
        <v>18</v>
      </c>
      <c r="BI18" s="99">
        <v>11750.4</v>
      </c>
      <c r="BJ18" s="99">
        <v>24</v>
      </c>
      <c r="BK18" s="99">
        <v>15667.199999999999</v>
      </c>
      <c r="BL18" s="99">
        <v>25</v>
      </c>
      <c r="BM18" s="99">
        <v>16319.999999999998</v>
      </c>
      <c r="BN18" s="99">
        <v>28</v>
      </c>
      <c r="BO18" s="99">
        <v>18278.399999999998</v>
      </c>
      <c r="BP18" s="99">
        <v>18</v>
      </c>
      <c r="BQ18" s="99">
        <v>11750.4</v>
      </c>
      <c r="BR18" s="99">
        <v>20</v>
      </c>
      <c r="BS18" s="99">
        <v>13056</v>
      </c>
      <c r="BT18" s="99">
        <v>17</v>
      </c>
      <c r="BU18" s="99">
        <v>11097.599999999999</v>
      </c>
      <c r="BV18" s="99">
        <v>17</v>
      </c>
      <c r="BW18" s="99">
        <v>11097.599999999999</v>
      </c>
      <c r="BX18" s="99">
        <v>20</v>
      </c>
      <c r="BY18" s="99">
        <v>13056</v>
      </c>
      <c r="BZ18" s="99">
        <v>25</v>
      </c>
      <c r="CA18" s="99">
        <v>16319.999999999998</v>
      </c>
      <c r="CB18" s="99">
        <v>30</v>
      </c>
      <c r="CC18" s="99">
        <v>19584</v>
      </c>
      <c r="CD18" s="99">
        <v>27</v>
      </c>
      <c r="CE18" s="99">
        <v>17625.599999999999</v>
      </c>
      <c r="CF18" s="99">
        <v>31</v>
      </c>
      <c r="CG18" s="99">
        <v>20236.8</v>
      </c>
      <c r="CH18" s="99">
        <v>21</v>
      </c>
      <c r="CI18" s="99">
        <v>13708.8</v>
      </c>
      <c r="CJ18" s="99">
        <v>19</v>
      </c>
      <c r="CK18" s="99">
        <v>12403.199999999999</v>
      </c>
      <c r="CL18" s="99">
        <v>23</v>
      </c>
      <c r="CM18" s="99">
        <v>15014.4</v>
      </c>
      <c r="CN18" s="99">
        <v>23</v>
      </c>
      <c r="CO18" s="99">
        <v>15014.4</v>
      </c>
      <c r="CP18" s="99">
        <v>20</v>
      </c>
      <c r="CQ18" s="99">
        <v>13056</v>
      </c>
      <c r="CR18" s="99">
        <v>22</v>
      </c>
      <c r="CS18" s="99">
        <v>14361.599999999999</v>
      </c>
      <c r="CT18" s="99">
        <v>18</v>
      </c>
      <c r="CU18" s="99">
        <v>11750.4</v>
      </c>
    </row>
    <row r="19" spans="2:99">
      <c r="C19" s="98" t="s">
        <v>185</v>
      </c>
      <c r="D19" s="99">
        <v>16</v>
      </c>
      <c r="E19" s="99">
        <v>5280</v>
      </c>
      <c r="F19" s="99">
        <v>16</v>
      </c>
      <c r="G19" s="99">
        <v>5280</v>
      </c>
      <c r="H19" s="99">
        <v>16</v>
      </c>
      <c r="I19" s="99">
        <v>5280</v>
      </c>
      <c r="J19" s="99">
        <v>27</v>
      </c>
      <c r="K19" s="99">
        <v>8910</v>
      </c>
      <c r="L19" s="99">
        <v>26</v>
      </c>
      <c r="M19" s="99">
        <v>8580</v>
      </c>
      <c r="N19" s="99">
        <v>13</v>
      </c>
      <c r="O19" s="99">
        <v>4290</v>
      </c>
      <c r="P19" s="99">
        <v>21</v>
      </c>
      <c r="Q19" s="99">
        <v>6930</v>
      </c>
      <c r="R19" s="99">
        <v>20</v>
      </c>
      <c r="S19" s="99">
        <v>6600</v>
      </c>
      <c r="T19" s="99">
        <v>17</v>
      </c>
      <c r="U19" s="99">
        <v>5610</v>
      </c>
      <c r="V19" s="99">
        <v>15</v>
      </c>
      <c r="W19" s="99">
        <v>4950</v>
      </c>
      <c r="X19" s="99">
        <v>20</v>
      </c>
      <c r="Y19" s="99">
        <v>6600</v>
      </c>
      <c r="Z19" s="99">
        <v>17</v>
      </c>
      <c r="AA19" s="99">
        <v>5610</v>
      </c>
      <c r="AB19" s="99">
        <v>26</v>
      </c>
      <c r="AC19" s="99">
        <v>8580</v>
      </c>
      <c r="AD19" s="99">
        <v>13</v>
      </c>
      <c r="AE19" s="99">
        <v>4290</v>
      </c>
      <c r="AF19" s="99">
        <v>16</v>
      </c>
      <c r="AG19" s="99">
        <v>5280</v>
      </c>
      <c r="AH19" s="99">
        <v>30</v>
      </c>
      <c r="AI19" s="99">
        <v>9900</v>
      </c>
      <c r="AJ19" s="99">
        <v>19</v>
      </c>
      <c r="AK19" s="99">
        <v>6270</v>
      </c>
      <c r="AL19" s="99">
        <v>27</v>
      </c>
      <c r="AM19" s="99">
        <v>8910</v>
      </c>
      <c r="AN19" s="99">
        <v>21</v>
      </c>
      <c r="AO19" s="99">
        <v>6930</v>
      </c>
      <c r="AP19" s="99">
        <v>16</v>
      </c>
      <c r="AQ19" s="99">
        <v>5280</v>
      </c>
      <c r="AR19" s="99">
        <v>23</v>
      </c>
      <c r="AS19" s="99">
        <v>7590</v>
      </c>
      <c r="AT19" s="99">
        <v>15</v>
      </c>
      <c r="AU19" s="99">
        <v>4950</v>
      </c>
      <c r="AV19" s="99">
        <v>29</v>
      </c>
      <c r="AW19" s="99">
        <v>9570</v>
      </c>
      <c r="AX19" s="99">
        <v>26</v>
      </c>
      <c r="AY19" s="99">
        <v>8580</v>
      </c>
      <c r="AZ19" s="99">
        <v>15</v>
      </c>
      <c r="BA19" s="99">
        <v>4950</v>
      </c>
      <c r="BB19" s="99">
        <v>14</v>
      </c>
      <c r="BC19" s="99">
        <v>4620</v>
      </c>
      <c r="BD19" s="99">
        <v>22</v>
      </c>
      <c r="BE19" s="99">
        <v>7260</v>
      </c>
      <c r="BF19" s="99">
        <v>14</v>
      </c>
      <c r="BG19" s="99">
        <v>4620</v>
      </c>
      <c r="BH19" s="99">
        <v>18</v>
      </c>
      <c r="BI19" s="99">
        <v>5940</v>
      </c>
      <c r="BJ19" s="99">
        <v>27</v>
      </c>
      <c r="BK19" s="99">
        <v>8910</v>
      </c>
      <c r="BL19" s="99">
        <v>30</v>
      </c>
      <c r="BM19" s="99">
        <v>9900</v>
      </c>
      <c r="BN19" s="99">
        <v>26</v>
      </c>
      <c r="BO19" s="99">
        <v>8580</v>
      </c>
      <c r="BP19" s="99">
        <v>22</v>
      </c>
      <c r="BQ19" s="99">
        <v>7260</v>
      </c>
      <c r="BR19" s="99">
        <v>20</v>
      </c>
      <c r="BS19" s="99">
        <v>6600</v>
      </c>
      <c r="BT19" s="99">
        <v>18</v>
      </c>
      <c r="BU19" s="99">
        <v>5940</v>
      </c>
      <c r="BV19" s="99">
        <v>20</v>
      </c>
      <c r="BW19" s="99">
        <v>6600</v>
      </c>
      <c r="BX19" s="99">
        <v>21</v>
      </c>
      <c r="BY19" s="99">
        <v>6930</v>
      </c>
      <c r="BZ19" s="99">
        <v>27</v>
      </c>
      <c r="CA19" s="99">
        <v>8910</v>
      </c>
      <c r="CB19" s="99">
        <v>32</v>
      </c>
      <c r="CC19" s="99">
        <v>10560</v>
      </c>
      <c r="CD19" s="99">
        <v>26</v>
      </c>
      <c r="CE19" s="99">
        <v>8580</v>
      </c>
      <c r="CF19" s="99">
        <v>33</v>
      </c>
      <c r="CG19" s="99">
        <v>10890</v>
      </c>
      <c r="CH19" s="99">
        <v>25</v>
      </c>
      <c r="CI19" s="99">
        <v>8250</v>
      </c>
      <c r="CJ19" s="99">
        <v>19</v>
      </c>
      <c r="CK19" s="99">
        <v>6270</v>
      </c>
      <c r="CL19" s="99">
        <v>26</v>
      </c>
      <c r="CM19" s="99">
        <v>8580</v>
      </c>
      <c r="CN19" s="99">
        <v>22</v>
      </c>
      <c r="CO19" s="99">
        <v>7260</v>
      </c>
      <c r="CP19" s="99">
        <v>18</v>
      </c>
      <c r="CQ19" s="99">
        <v>5940</v>
      </c>
      <c r="CR19" s="99">
        <v>22</v>
      </c>
      <c r="CS19" s="99">
        <v>7260</v>
      </c>
      <c r="CT19" s="99">
        <v>19</v>
      </c>
      <c r="CU19" s="99">
        <v>6270</v>
      </c>
    </row>
    <row r="20" spans="2:99">
      <c r="B20" s="98" t="s">
        <v>127</v>
      </c>
      <c r="C20" s="98" t="s">
        <v>186</v>
      </c>
      <c r="D20" s="99">
        <v>15</v>
      </c>
      <c r="E20" s="99">
        <v>4302</v>
      </c>
      <c r="F20" s="99">
        <v>21</v>
      </c>
      <c r="G20" s="99">
        <v>6022.8</v>
      </c>
      <c r="H20" s="99">
        <v>25</v>
      </c>
      <c r="I20" s="99">
        <v>7170</v>
      </c>
      <c r="J20" s="99">
        <v>28</v>
      </c>
      <c r="K20" s="99">
        <v>8030.4000000000005</v>
      </c>
      <c r="L20" s="99">
        <v>17</v>
      </c>
      <c r="M20" s="99">
        <v>4875.6000000000004</v>
      </c>
      <c r="N20" s="99">
        <v>19</v>
      </c>
      <c r="O20" s="99">
        <v>5449.2</v>
      </c>
      <c r="P20" s="99">
        <v>27</v>
      </c>
      <c r="Q20" s="99">
        <v>7743.6</v>
      </c>
      <c r="R20" s="99">
        <v>26</v>
      </c>
      <c r="S20" s="99">
        <v>7456.8</v>
      </c>
      <c r="T20" s="99">
        <v>21</v>
      </c>
      <c r="U20" s="99">
        <v>6022.8</v>
      </c>
      <c r="V20" s="99">
        <v>26</v>
      </c>
      <c r="W20" s="99">
        <v>7456.8</v>
      </c>
      <c r="X20" s="99">
        <v>19</v>
      </c>
      <c r="Y20" s="99">
        <v>5449.2</v>
      </c>
      <c r="Z20" s="99">
        <v>17</v>
      </c>
      <c r="AA20" s="99">
        <v>4875.6000000000004</v>
      </c>
      <c r="AB20" s="99">
        <v>27</v>
      </c>
      <c r="AC20" s="99">
        <v>7743.6</v>
      </c>
      <c r="AD20" s="99">
        <v>20</v>
      </c>
      <c r="AE20" s="99">
        <v>5736</v>
      </c>
      <c r="AF20" s="99">
        <v>24</v>
      </c>
      <c r="AG20" s="99">
        <v>6883.2000000000007</v>
      </c>
      <c r="AH20" s="99">
        <v>15</v>
      </c>
      <c r="AI20" s="99">
        <v>4302</v>
      </c>
      <c r="AJ20" s="99">
        <v>21</v>
      </c>
      <c r="AK20" s="99">
        <v>6022.8</v>
      </c>
      <c r="AL20" s="99">
        <v>24</v>
      </c>
      <c r="AM20" s="99">
        <v>6883.2000000000007</v>
      </c>
      <c r="AN20" s="99">
        <v>22</v>
      </c>
      <c r="AO20" s="99">
        <v>6309.6</v>
      </c>
      <c r="AP20" s="99">
        <v>29</v>
      </c>
      <c r="AQ20" s="99">
        <v>8317.2000000000007</v>
      </c>
      <c r="AR20" s="99">
        <v>19</v>
      </c>
      <c r="AS20" s="99">
        <v>5449.2</v>
      </c>
      <c r="AT20" s="99">
        <v>15</v>
      </c>
      <c r="AU20" s="99">
        <v>4302</v>
      </c>
      <c r="AV20" s="99">
        <v>23</v>
      </c>
      <c r="AW20" s="99">
        <v>6596.4000000000005</v>
      </c>
      <c r="AX20" s="99">
        <v>26</v>
      </c>
      <c r="AY20" s="99">
        <v>7456.8</v>
      </c>
      <c r="AZ20" s="99">
        <v>28</v>
      </c>
      <c r="BA20" s="99">
        <v>8030.4000000000005</v>
      </c>
      <c r="BB20" s="99">
        <v>17</v>
      </c>
      <c r="BC20" s="99">
        <v>4875.6000000000004</v>
      </c>
      <c r="BD20" s="99">
        <v>19</v>
      </c>
      <c r="BE20" s="99">
        <v>5449.2</v>
      </c>
      <c r="BF20" s="99">
        <v>29</v>
      </c>
      <c r="BG20" s="99">
        <v>8317.2000000000007</v>
      </c>
      <c r="BH20" s="99">
        <v>17</v>
      </c>
      <c r="BI20" s="99">
        <v>4875.6000000000004</v>
      </c>
      <c r="BJ20" s="99">
        <v>20</v>
      </c>
      <c r="BK20" s="99">
        <v>5736</v>
      </c>
      <c r="BL20" s="99">
        <v>20</v>
      </c>
      <c r="BM20" s="99">
        <v>5736</v>
      </c>
      <c r="BN20" s="99">
        <v>22</v>
      </c>
      <c r="BO20" s="99">
        <v>6309.6</v>
      </c>
      <c r="BP20" s="99">
        <v>28</v>
      </c>
      <c r="BQ20" s="99">
        <v>8030.4000000000005</v>
      </c>
      <c r="BR20" s="99">
        <v>17</v>
      </c>
      <c r="BS20" s="99">
        <v>4875.6000000000004</v>
      </c>
      <c r="BT20" s="99">
        <v>24</v>
      </c>
      <c r="BU20" s="99">
        <v>6883.2000000000007</v>
      </c>
      <c r="BV20" s="99">
        <v>23</v>
      </c>
      <c r="BW20" s="99">
        <v>6596.4000000000005</v>
      </c>
      <c r="BX20" s="99">
        <v>32</v>
      </c>
      <c r="BY20" s="99">
        <v>9177.6</v>
      </c>
      <c r="BZ20" s="99">
        <v>30</v>
      </c>
      <c r="CA20" s="99">
        <v>8604</v>
      </c>
      <c r="CB20" s="99">
        <v>25</v>
      </c>
      <c r="CC20" s="99">
        <v>7170</v>
      </c>
      <c r="CD20" s="99">
        <v>23</v>
      </c>
      <c r="CE20" s="99">
        <v>6596.4000000000005</v>
      </c>
      <c r="CF20" s="99">
        <v>19</v>
      </c>
      <c r="CG20" s="99">
        <v>5449.2</v>
      </c>
      <c r="CH20" s="99">
        <v>29</v>
      </c>
      <c r="CI20" s="99">
        <v>8317.2000000000007</v>
      </c>
      <c r="CJ20" s="99">
        <v>25</v>
      </c>
      <c r="CK20" s="99">
        <v>7170</v>
      </c>
      <c r="CL20" s="99">
        <v>19</v>
      </c>
      <c r="CM20" s="99">
        <v>5449.2</v>
      </c>
      <c r="CN20" s="99">
        <v>26</v>
      </c>
      <c r="CO20" s="99">
        <v>7456.8</v>
      </c>
      <c r="CP20" s="99">
        <v>17</v>
      </c>
      <c r="CQ20" s="99">
        <v>4875.6000000000004</v>
      </c>
      <c r="CR20" s="99">
        <v>35</v>
      </c>
      <c r="CS20" s="99">
        <v>10038</v>
      </c>
      <c r="CT20" s="99">
        <v>18</v>
      </c>
      <c r="CU20" s="99">
        <v>5162.4000000000005</v>
      </c>
    </row>
    <row r="21" spans="2:99">
      <c r="C21" s="98" t="s">
        <v>187</v>
      </c>
      <c r="D21" s="99">
        <v>18</v>
      </c>
      <c r="E21" s="99">
        <v>1123.2</v>
      </c>
      <c r="F21" s="99">
        <v>22</v>
      </c>
      <c r="G21" s="99">
        <v>1372.8</v>
      </c>
      <c r="H21" s="99">
        <v>23</v>
      </c>
      <c r="I21" s="99">
        <v>1435.2</v>
      </c>
      <c r="J21" s="99">
        <v>29</v>
      </c>
      <c r="K21" s="99">
        <v>1809.6</v>
      </c>
      <c r="L21" s="99">
        <v>21</v>
      </c>
      <c r="M21" s="99">
        <v>1310.3999999999999</v>
      </c>
      <c r="N21" s="99">
        <v>20</v>
      </c>
      <c r="O21" s="99">
        <v>1248</v>
      </c>
      <c r="P21" s="99">
        <v>28</v>
      </c>
      <c r="Q21" s="99">
        <v>1747.2</v>
      </c>
      <c r="R21" s="99">
        <v>25</v>
      </c>
      <c r="S21" s="99">
        <v>1560</v>
      </c>
      <c r="T21" s="99">
        <v>21</v>
      </c>
      <c r="U21" s="99">
        <v>1310.3999999999999</v>
      </c>
      <c r="V21" s="99">
        <v>29</v>
      </c>
      <c r="W21" s="99">
        <v>1809.6</v>
      </c>
      <c r="X21" s="99">
        <v>20</v>
      </c>
      <c r="Y21" s="99">
        <v>1248</v>
      </c>
      <c r="Z21" s="99">
        <v>18</v>
      </c>
      <c r="AA21" s="99">
        <v>1123.2</v>
      </c>
      <c r="AB21" s="99">
        <v>26</v>
      </c>
      <c r="AC21" s="99">
        <v>1622.3999999999999</v>
      </c>
      <c r="AD21" s="99">
        <v>22</v>
      </c>
      <c r="AE21" s="99">
        <v>1372.8</v>
      </c>
      <c r="AF21" s="99">
        <v>21</v>
      </c>
      <c r="AG21" s="99">
        <v>1310.3999999999999</v>
      </c>
      <c r="AH21" s="99">
        <v>15</v>
      </c>
      <c r="AI21" s="99">
        <v>936</v>
      </c>
      <c r="AJ21" s="99">
        <v>20</v>
      </c>
      <c r="AK21" s="99">
        <v>1248</v>
      </c>
      <c r="AL21" s="99">
        <v>28</v>
      </c>
      <c r="AM21" s="99">
        <v>1747.2</v>
      </c>
      <c r="AN21" s="99">
        <v>24</v>
      </c>
      <c r="AO21" s="99">
        <v>1497.6</v>
      </c>
      <c r="AP21" s="99">
        <v>26</v>
      </c>
      <c r="AQ21" s="99">
        <v>1622.3999999999999</v>
      </c>
      <c r="AR21" s="99">
        <v>16</v>
      </c>
      <c r="AS21" s="99">
        <v>998.4</v>
      </c>
      <c r="AT21" s="99">
        <v>18</v>
      </c>
      <c r="AU21" s="99">
        <v>1123.2</v>
      </c>
      <c r="AV21" s="99">
        <v>27</v>
      </c>
      <c r="AW21" s="99">
        <v>1684.8</v>
      </c>
      <c r="AX21" s="99">
        <v>23</v>
      </c>
      <c r="AY21" s="99">
        <v>1435.2</v>
      </c>
      <c r="AZ21" s="99">
        <v>29</v>
      </c>
      <c r="BA21" s="99">
        <v>1809.6</v>
      </c>
      <c r="BB21" s="99">
        <v>17</v>
      </c>
      <c r="BC21" s="99">
        <v>1060.8</v>
      </c>
      <c r="BD21" s="99">
        <v>21</v>
      </c>
      <c r="BE21" s="99">
        <v>1310.3999999999999</v>
      </c>
      <c r="BF21" s="99">
        <v>31</v>
      </c>
      <c r="BG21" s="99">
        <v>1934.3999999999999</v>
      </c>
      <c r="BH21" s="99">
        <v>20</v>
      </c>
      <c r="BI21" s="99">
        <v>1248</v>
      </c>
      <c r="BJ21" s="99">
        <v>20</v>
      </c>
      <c r="BK21" s="99">
        <v>1248</v>
      </c>
      <c r="BL21" s="99">
        <v>18</v>
      </c>
      <c r="BM21" s="99">
        <v>1123.2</v>
      </c>
      <c r="BN21" s="99">
        <v>21</v>
      </c>
      <c r="BO21" s="99">
        <v>1310.3999999999999</v>
      </c>
      <c r="BP21" s="99">
        <v>33</v>
      </c>
      <c r="BQ21" s="99">
        <v>2059.1999999999998</v>
      </c>
      <c r="BR21" s="99">
        <v>18</v>
      </c>
      <c r="BS21" s="99">
        <v>1123.2</v>
      </c>
      <c r="BT21" s="99">
        <v>27</v>
      </c>
      <c r="BU21" s="99">
        <v>1684.8</v>
      </c>
      <c r="BV21" s="99">
        <v>25</v>
      </c>
      <c r="BW21" s="99">
        <v>1560</v>
      </c>
      <c r="BX21" s="99">
        <v>32</v>
      </c>
      <c r="BY21" s="99">
        <v>1996.8</v>
      </c>
      <c r="BZ21" s="99">
        <v>28</v>
      </c>
      <c r="CA21" s="99">
        <v>1747.2</v>
      </c>
      <c r="CB21" s="99">
        <v>24</v>
      </c>
      <c r="CC21" s="99">
        <v>1497.6</v>
      </c>
      <c r="CD21" s="99">
        <v>24</v>
      </c>
      <c r="CE21" s="99">
        <v>1497.6</v>
      </c>
      <c r="CF21" s="99">
        <v>21</v>
      </c>
      <c r="CG21" s="99">
        <v>1310.3999999999999</v>
      </c>
      <c r="CH21" s="99">
        <v>28</v>
      </c>
      <c r="CI21" s="99">
        <v>1747.2</v>
      </c>
      <c r="CJ21" s="99">
        <v>24</v>
      </c>
      <c r="CK21" s="99">
        <v>1497.6</v>
      </c>
      <c r="CL21" s="99">
        <v>22</v>
      </c>
      <c r="CM21" s="99">
        <v>1372.8</v>
      </c>
      <c r="CN21" s="99">
        <v>26</v>
      </c>
      <c r="CO21" s="99">
        <v>1622.3999999999999</v>
      </c>
      <c r="CP21" s="99">
        <v>20</v>
      </c>
      <c r="CQ21" s="99">
        <v>1248</v>
      </c>
      <c r="CR21" s="99">
        <v>35</v>
      </c>
      <c r="CS21" s="99">
        <v>2184</v>
      </c>
      <c r="CT21" s="99">
        <v>16</v>
      </c>
      <c r="CU21" s="99">
        <v>998.4</v>
      </c>
    </row>
    <row r="22" spans="2:99">
      <c r="C22" s="98" t="s">
        <v>188</v>
      </c>
      <c r="D22" s="99">
        <v>16</v>
      </c>
      <c r="E22" s="99">
        <v>2995.2</v>
      </c>
      <c r="F22" s="99">
        <v>22</v>
      </c>
      <c r="G22" s="99">
        <v>4118.3999999999996</v>
      </c>
      <c r="H22" s="99">
        <v>24</v>
      </c>
      <c r="I22" s="99">
        <v>4492.7999999999993</v>
      </c>
      <c r="J22" s="99">
        <v>29</v>
      </c>
      <c r="K22" s="99">
        <v>5428.7999999999993</v>
      </c>
      <c r="L22" s="99">
        <v>21</v>
      </c>
      <c r="M22" s="99">
        <v>3931.2</v>
      </c>
      <c r="N22" s="99">
        <v>20</v>
      </c>
      <c r="O22" s="99">
        <v>3744</v>
      </c>
      <c r="P22" s="99">
        <v>27</v>
      </c>
      <c r="Q22" s="99">
        <v>5054.3999999999996</v>
      </c>
      <c r="R22" s="99">
        <v>22</v>
      </c>
      <c r="S22" s="99">
        <v>4118.3999999999996</v>
      </c>
      <c r="T22" s="99">
        <v>23</v>
      </c>
      <c r="U22" s="99">
        <v>4305.5999999999995</v>
      </c>
      <c r="V22" s="99">
        <v>25</v>
      </c>
      <c r="W22" s="99">
        <v>4680</v>
      </c>
      <c r="X22" s="99">
        <v>17</v>
      </c>
      <c r="Y22" s="99">
        <v>3182.3999999999996</v>
      </c>
      <c r="Z22" s="99">
        <v>19</v>
      </c>
      <c r="AA22" s="99">
        <v>3556.7999999999997</v>
      </c>
      <c r="AB22" s="99">
        <v>26</v>
      </c>
      <c r="AC22" s="99">
        <v>4867.2</v>
      </c>
      <c r="AD22" s="99">
        <v>21</v>
      </c>
      <c r="AE22" s="99">
        <v>3931.2</v>
      </c>
      <c r="AF22" s="99">
        <v>22</v>
      </c>
      <c r="AG22" s="99">
        <v>4118.3999999999996</v>
      </c>
      <c r="AH22" s="99">
        <v>18</v>
      </c>
      <c r="AI22" s="99">
        <v>3369.6</v>
      </c>
      <c r="AJ22" s="99">
        <v>22</v>
      </c>
      <c r="AK22" s="99">
        <v>4118.3999999999996</v>
      </c>
      <c r="AL22" s="99">
        <v>24</v>
      </c>
      <c r="AM22" s="99">
        <v>4492.7999999999993</v>
      </c>
      <c r="AN22" s="99">
        <v>23</v>
      </c>
      <c r="AO22" s="99">
        <v>4305.5999999999995</v>
      </c>
      <c r="AP22" s="99">
        <v>29</v>
      </c>
      <c r="AQ22" s="99">
        <v>5428.7999999999993</v>
      </c>
      <c r="AR22" s="99">
        <v>19</v>
      </c>
      <c r="AS22" s="99">
        <v>3556.7999999999997</v>
      </c>
      <c r="AT22" s="99">
        <v>15</v>
      </c>
      <c r="AU22" s="99">
        <v>2808</v>
      </c>
      <c r="AV22" s="99">
        <v>23</v>
      </c>
      <c r="AW22" s="99">
        <v>4305.5999999999995</v>
      </c>
      <c r="AX22" s="99">
        <v>24</v>
      </c>
      <c r="AY22" s="99">
        <v>4492.7999999999993</v>
      </c>
      <c r="AZ22" s="99">
        <v>28</v>
      </c>
      <c r="BA22" s="99">
        <v>5241.5999999999995</v>
      </c>
      <c r="BB22" s="99">
        <v>17</v>
      </c>
      <c r="BC22" s="99">
        <v>3182.3999999999996</v>
      </c>
      <c r="BD22" s="99">
        <v>19</v>
      </c>
      <c r="BE22" s="99">
        <v>3556.7999999999997</v>
      </c>
      <c r="BF22" s="99">
        <v>30</v>
      </c>
      <c r="BG22" s="99">
        <v>5616</v>
      </c>
      <c r="BH22" s="99">
        <v>17</v>
      </c>
      <c r="BI22" s="99">
        <v>3182.3999999999996</v>
      </c>
      <c r="BJ22" s="99">
        <v>21</v>
      </c>
      <c r="BK22" s="99">
        <v>3931.2</v>
      </c>
      <c r="BL22" s="99">
        <v>18</v>
      </c>
      <c r="BM22" s="99">
        <v>3369.6</v>
      </c>
      <c r="BN22" s="99">
        <v>21</v>
      </c>
      <c r="BO22" s="99">
        <v>3931.2</v>
      </c>
      <c r="BP22" s="99">
        <v>33</v>
      </c>
      <c r="BQ22" s="99">
        <v>6177.5999999999995</v>
      </c>
      <c r="BR22" s="99">
        <v>19</v>
      </c>
      <c r="BS22" s="99">
        <v>3556.7999999999997</v>
      </c>
      <c r="BT22" s="99">
        <v>28</v>
      </c>
      <c r="BU22" s="99">
        <v>5241.5999999999995</v>
      </c>
      <c r="BV22" s="99">
        <v>22</v>
      </c>
      <c r="BW22" s="99">
        <v>4118.3999999999996</v>
      </c>
      <c r="BX22" s="99">
        <v>32</v>
      </c>
      <c r="BY22" s="99">
        <v>5990.4</v>
      </c>
      <c r="BZ22" s="99">
        <v>29</v>
      </c>
      <c r="CA22" s="99">
        <v>5428.7999999999993</v>
      </c>
      <c r="CB22" s="99">
        <v>23</v>
      </c>
      <c r="CC22" s="99">
        <v>4305.5999999999995</v>
      </c>
      <c r="CD22" s="99">
        <v>24</v>
      </c>
      <c r="CE22" s="99">
        <v>4492.7999999999993</v>
      </c>
      <c r="CF22" s="99">
        <v>20</v>
      </c>
      <c r="CG22" s="99">
        <v>3744</v>
      </c>
      <c r="CH22" s="99">
        <v>30</v>
      </c>
      <c r="CI22" s="99">
        <v>5616</v>
      </c>
      <c r="CJ22" s="99">
        <v>27</v>
      </c>
      <c r="CK22" s="99">
        <v>5054.3999999999996</v>
      </c>
      <c r="CL22" s="99">
        <v>22</v>
      </c>
      <c r="CM22" s="99">
        <v>4118.3999999999996</v>
      </c>
      <c r="CN22" s="99">
        <v>27</v>
      </c>
      <c r="CO22" s="99">
        <v>5054.3999999999996</v>
      </c>
      <c r="CP22" s="99">
        <v>18</v>
      </c>
      <c r="CQ22" s="99">
        <v>3369.6</v>
      </c>
      <c r="CR22" s="99">
        <v>35</v>
      </c>
      <c r="CS22" s="99">
        <v>6552</v>
      </c>
      <c r="CT22" s="99">
        <v>17</v>
      </c>
      <c r="CU22" s="99">
        <v>3182.3999999999996</v>
      </c>
    </row>
    <row r="23" spans="2:99">
      <c r="C23" s="98" t="s">
        <v>189</v>
      </c>
      <c r="D23" s="99">
        <v>17</v>
      </c>
      <c r="E23" s="99">
        <v>4998</v>
      </c>
      <c r="F23" s="99">
        <v>19</v>
      </c>
      <c r="G23" s="99">
        <v>5586</v>
      </c>
      <c r="H23" s="99">
        <v>25</v>
      </c>
      <c r="I23" s="99">
        <v>7350</v>
      </c>
      <c r="J23" s="99">
        <v>29</v>
      </c>
      <c r="K23" s="99">
        <v>8526</v>
      </c>
      <c r="L23" s="99">
        <v>20</v>
      </c>
      <c r="M23" s="99">
        <v>5880</v>
      </c>
      <c r="N23" s="99">
        <v>20</v>
      </c>
      <c r="O23" s="99">
        <v>5880</v>
      </c>
      <c r="P23" s="99">
        <v>25</v>
      </c>
      <c r="Q23" s="99">
        <v>7350</v>
      </c>
      <c r="R23" s="99">
        <v>22</v>
      </c>
      <c r="S23" s="99">
        <v>6468</v>
      </c>
      <c r="T23" s="99">
        <v>23</v>
      </c>
      <c r="U23" s="99">
        <v>6762</v>
      </c>
      <c r="V23" s="99">
        <v>29</v>
      </c>
      <c r="W23" s="99">
        <v>8526</v>
      </c>
      <c r="X23" s="99">
        <v>18</v>
      </c>
      <c r="Y23" s="99">
        <v>5292</v>
      </c>
      <c r="Z23" s="99">
        <v>17</v>
      </c>
      <c r="AA23" s="99">
        <v>4998</v>
      </c>
      <c r="AB23" s="99">
        <v>23</v>
      </c>
      <c r="AC23" s="99">
        <v>6762</v>
      </c>
      <c r="AD23" s="99">
        <v>19</v>
      </c>
      <c r="AE23" s="99">
        <v>5586</v>
      </c>
      <c r="AF23" s="99">
        <v>23</v>
      </c>
      <c r="AG23" s="99">
        <v>6762</v>
      </c>
      <c r="AH23" s="99">
        <v>18</v>
      </c>
      <c r="AI23" s="99">
        <v>5292</v>
      </c>
      <c r="AJ23" s="99">
        <v>22</v>
      </c>
      <c r="AK23" s="99">
        <v>6468</v>
      </c>
      <c r="AL23" s="99">
        <v>27</v>
      </c>
      <c r="AM23" s="99">
        <v>7938</v>
      </c>
      <c r="AN23" s="99">
        <v>26</v>
      </c>
      <c r="AO23" s="99">
        <v>7644</v>
      </c>
      <c r="AP23" s="99">
        <v>28</v>
      </c>
      <c r="AQ23" s="99">
        <v>8232</v>
      </c>
      <c r="AR23" s="99">
        <v>16</v>
      </c>
      <c r="AS23" s="99">
        <v>4704</v>
      </c>
      <c r="AT23" s="99">
        <v>17</v>
      </c>
      <c r="AU23" s="99">
        <v>4998</v>
      </c>
      <c r="AV23" s="99">
        <v>23</v>
      </c>
      <c r="AW23" s="99">
        <v>6762</v>
      </c>
      <c r="AX23" s="99">
        <v>26</v>
      </c>
      <c r="AY23" s="99">
        <v>7644</v>
      </c>
      <c r="AZ23" s="99">
        <v>29</v>
      </c>
      <c r="BA23" s="99">
        <v>8526</v>
      </c>
      <c r="BB23" s="99">
        <v>17</v>
      </c>
      <c r="BC23" s="99">
        <v>4998</v>
      </c>
      <c r="BD23" s="99">
        <v>19</v>
      </c>
      <c r="BE23" s="99">
        <v>5586</v>
      </c>
      <c r="BF23" s="99">
        <v>31</v>
      </c>
      <c r="BG23" s="99">
        <v>9114</v>
      </c>
      <c r="BH23" s="99">
        <v>18</v>
      </c>
      <c r="BI23" s="99">
        <v>5292</v>
      </c>
      <c r="BJ23" s="99">
        <v>18</v>
      </c>
      <c r="BK23" s="99">
        <v>5292</v>
      </c>
      <c r="BL23" s="99">
        <v>17</v>
      </c>
      <c r="BM23" s="99">
        <v>4998</v>
      </c>
      <c r="BN23" s="99">
        <v>23</v>
      </c>
      <c r="BO23" s="99">
        <v>6762</v>
      </c>
      <c r="BP23" s="99">
        <v>27</v>
      </c>
      <c r="BQ23" s="99">
        <v>7938</v>
      </c>
      <c r="BR23" s="99">
        <v>17</v>
      </c>
      <c r="BS23" s="99">
        <v>4998</v>
      </c>
      <c r="BT23" s="99">
        <v>29</v>
      </c>
      <c r="BU23" s="99">
        <v>8526</v>
      </c>
      <c r="BV23" s="99">
        <v>20</v>
      </c>
      <c r="BW23" s="99">
        <v>5880</v>
      </c>
      <c r="BX23" s="99">
        <v>28</v>
      </c>
      <c r="BY23" s="99">
        <v>8232</v>
      </c>
      <c r="BZ23" s="99">
        <v>29</v>
      </c>
      <c r="CA23" s="99">
        <v>8526</v>
      </c>
      <c r="CB23" s="99">
        <v>23</v>
      </c>
      <c r="CC23" s="99">
        <v>6762</v>
      </c>
      <c r="CD23" s="99">
        <v>20</v>
      </c>
      <c r="CE23" s="99">
        <v>5880</v>
      </c>
      <c r="CF23" s="99">
        <v>19</v>
      </c>
      <c r="CG23" s="99">
        <v>5586</v>
      </c>
      <c r="CH23" s="99">
        <v>27</v>
      </c>
      <c r="CI23" s="99">
        <v>7938</v>
      </c>
      <c r="CJ23" s="99">
        <v>27</v>
      </c>
      <c r="CK23" s="99">
        <v>7938</v>
      </c>
      <c r="CL23" s="99">
        <v>20</v>
      </c>
      <c r="CM23" s="99">
        <v>5880</v>
      </c>
      <c r="CN23" s="99">
        <v>23</v>
      </c>
      <c r="CO23" s="99">
        <v>6762</v>
      </c>
      <c r="CP23" s="99">
        <v>20</v>
      </c>
      <c r="CQ23" s="99">
        <v>5880</v>
      </c>
      <c r="CR23" s="99">
        <v>29</v>
      </c>
      <c r="CS23" s="99">
        <v>8526</v>
      </c>
      <c r="CT23" s="99">
        <v>16</v>
      </c>
      <c r="CU23" s="99">
        <v>4704</v>
      </c>
    </row>
    <row r="24" spans="2:99">
      <c r="C24" s="98" t="s">
        <v>190</v>
      </c>
      <c r="D24" s="99">
        <v>16</v>
      </c>
      <c r="E24" s="99">
        <v>5875.2</v>
      </c>
      <c r="F24" s="99">
        <v>19</v>
      </c>
      <c r="G24" s="99">
        <v>6976.8</v>
      </c>
      <c r="H24" s="99">
        <v>26</v>
      </c>
      <c r="I24" s="99">
        <v>9547.1999999999989</v>
      </c>
      <c r="J24" s="99">
        <v>28</v>
      </c>
      <c r="K24" s="99">
        <v>10281.6</v>
      </c>
      <c r="L24" s="99">
        <v>20</v>
      </c>
      <c r="M24" s="99">
        <v>7344</v>
      </c>
      <c r="N24" s="99">
        <v>20</v>
      </c>
      <c r="O24" s="99">
        <v>7344</v>
      </c>
      <c r="P24" s="99">
        <v>26</v>
      </c>
      <c r="Q24" s="99">
        <v>9547.1999999999989</v>
      </c>
      <c r="R24" s="99">
        <v>24</v>
      </c>
      <c r="S24" s="99">
        <v>8812.7999999999993</v>
      </c>
      <c r="T24" s="99">
        <v>21</v>
      </c>
      <c r="U24" s="99">
        <v>7711.2</v>
      </c>
      <c r="V24" s="99">
        <v>28</v>
      </c>
      <c r="W24" s="99">
        <v>10281.6</v>
      </c>
      <c r="X24" s="99">
        <v>17</v>
      </c>
      <c r="Y24" s="99">
        <v>6242.4</v>
      </c>
      <c r="Z24" s="99">
        <v>18</v>
      </c>
      <c r="AA24" s="99">
        <v>6609.5999999999995</v>
      </c>
      <c r="AB24" s="99">
        <v>23</v>
      </c>
      <c r="AC24" s="99">
        <v>8445.6</v>
      </c>
      <c r="AD24" s="99">
        <v>19</v>
      </c>
      <c r="AE24" s="99">
        <v>6976.8</v>
      </c>
      <c r="AF24" s="99">
        <v>21</v>
      </c>
      <c r="AG24" s="99">
        <v>7711.2</v>
      </c>
      <c r="AH24" s="99">
        <v>17</v>
      </c>
      <c r="AI24" s="99">
        <v>6242.4</v>
      </c>
      <c r="AJ24" s="99">
        <v>22</v>
      </c>
      <c r="AK24" s="99">
        <v>8078.4</v>
      </c>
      <c r="AL24" s="99">
        <v>27</v>
      </c>
      <c r="AM24" s="99">
        <v>9914.4</v>
      </c>
      <c r="AN24" s="99">
        <v>23</v>
      </c>
      <c r="AO24" s="99">
        <v>8445.6</v>
      </c>
      <c r="AP24" s="99">
        <v>29</v>
      </c>
      <c r="AQ24" s="99">
        <v>10648.8</v>
      </c>
      <c r="AR24" s="99">
        <v>18</v>
      </c>
      <c r="AS24" s="99">
        <v>6609.5999999999995</v>
      </c>
      <c r="AT24" s="99">
        <v>17</v>
      </c>
      <c r="AU24" s="99">
        <v>6242.4</v>
      </c>
      <c r="AV24" s="99">
        <v>23</v>
      </c>
      <c r="AW24" s="99">
        <v>8445.6</v>
      </c>
      <c r="AX24" s="99">
        <v>24</v>
      </c>
      <c r="AY24" s="99">
        <v>8812.7999999999993</v>
      </c>
      <c r="AZ24" s="99">
        <v>29</v>
      </c>
      <c r="BA24" s="99">
        <v>10648.8</v>
      </c>
      <c r="BB24" s="99">
        <v>16</v>
      </c>
      <c r="BC24" s="99">
        <v>5875.2</v>
      </c>
      <c r="BD24" s="99">
        <v>21</v>
      </c>
      <c r="BE24" s="99">
        <v>7711.2</v>
      </c>
      <c r="BF24" s="99">
        <v>28</v>
      </c>
      <c r="BG24" s="99">
        <v>10281.6</v>
      </c>
      <c r="BH24" s="99">
        <v>17</v>
      </c>
      <c r="BI24" s="99">
        <v>6242.4</v>
      </c>
      <c r="BJ24" s="99">
        <v>20</v>
      </c>
      <c r="BK24" s="99">
        <v>7344</v>
      </c>
      <c r="BL24" s="99">
        <v>20</v>
      </c>
      <c r="BM24" s="99">
        <v>7344</v>
      </c>
      <c r="BN24" s="99">
        <v>20</v>
      </c>
      <c r="BO24" s="99">
        <v>7344</v>
      </c>
      <c r="BP24" s="99">
        <v>33</v>
      </c>
      <c r="BQ24" s="99">
        <v>12117.6</v>
      </c>
      <c r="BR24" s="99">
        <v>18</v>
      </c>
      <c r="BS24" s="99">
        <v>6609.5999999999995</v>
      </c>
      <c r="BT24" s="99">
        <v>27</v>
      </c>
      <c r="BU24" s="99">
        <v>9914.4</v>
      </c>
      <c r="BV24" s="99">
        <v>20</v>
      </c>
      <c r="BW24" s="99">
        <v>7344</v>
      </c>
      <c r="BX24" s="99">
        <v>32</v>
      </c>
      <c r="BY24" s="99">
        <v>11750.4</v>
      </c>
      <c r="BZ24" s="99">
        <v>29</v>
      </c>
      <c r="CA24" s="99">
        <v>10648.8</v>
      </c>
      <c r="CB24" s="99">
        <v>22</v>
      </c>
      <c r="CC24" s="99">
        <v>8078.4</v>
      </c>
      <c r="CD24" s="99">
        <v>20</v>
      </c>
      <c r="CE24" s="99">
        <v>7344</v>
      </c>
      <c r="CF24" s="99">
        <v>20</v>
      </c>
      <c r="CG24" s="99">
        <v>7344</v>
      </c>
      <c r="CH24" s="99">
        <v>28</v>
      </c>
      <c r="CI24" s="99">
        <v>10281.6</v>
      </c>
      <c r="CJ24" s="99">
        <v>25</v>
      </c>
      <c r="CK24" s="99">
        <v>9180</v>
      </c>
      <c r="CL24" s="99">
        <v>21</v>
      </c>
      <c r="CM24" s="99">
        <v>7711.2</v>
      </c>
      <c r="CN24" s="99">
        <v>23</v>
      </c>
      <c r="CO24" s="99">
        <v>8445.6</v>
      </c>
      <c r="CP24" s="99">
        <v>19</v>
      </c>
      <c r="CQ24" s="99">
        <v>6976.8</v>
      </c>
      <c r="CR24" s="99">
        <v>33</v>
      </c>
      <c r="CS24" s="99">
        <v>12117.6</v>
      </c>
      <c r="CT24" s="99">
        <v>18</v>
      </c>
      <c r="CU24" s="99">
        <v>6609.5999999999995</v>
      </c>
    </row>
    <row r="25" spans="2:99">
      <c r="C25" s="98" t="s">
        <v>191</v>
      </c>
      <c r="D25" s="99">
        <v>17</v>
      </c>
      <c r="E25" s="99">
        <v>9016.7999999999993</v>
      </c>
      <c r="F25" s="99">
        <v>21</v>
      </c>
      <c r="G25" s="99">
        <v>11138.4</v>
      </c>
      <c r="H25" s="99">
        <v>24</v>
      </c>
      <c r="I25" s="99">
        <v>12729.599999999999</v>
      </c>
      <c r="J25" s="99">
        <v>29</v>
      </c>
      <c r="K25" s="99">
        <v>15381.599999999999</v>
      </c>
      <c r="L25" s="99">
        <v>17</v>
      </c>
      <c r="M25" s="99">
        <v>9016.7999999999993</v>
      </c>
      <c r="N25" s="99">
        <v>20</v>
      </c>
      <c r="O25" s="99">
        <v>10608</v>
      </c>
      <c r="P25" s="99">
        <v>27</v>
      </c>
      <c r="Q25" s="99">
        <v>14320.8</v>
      </c>
      <c r="R25" s="99">
        <v>22</v>
      </c>
      <c r="S25" s="99">
        <v>11668.8</v>
      </c>
      <c r="T25" s="99">
        <v>20</v>
      </c>
      <c r="U25" s="99">
        <v>10608</v>
      </c>
      <c r="V25" s="99">
        <v>28</v>
      </c>
      <c r="W25" s="99">
        <v>14851.199999999999</v>
      </c>
      <c r="X25" s="99">
        <v>19</v>
      </c>
      <c r="Y25" s="99">
        <v>10077.6</v>
      </c>
      <c r="Z25" s="99">
        <v>17</v>
      </c>
      <c r="AA25" s="99">
        <v>9016.7999999999993</v>
      </c>
      <c r="AB25" s="99">
        <v>23</v>
      </c>
      <c r="AC25" s="99">
        <v>12199.199999999999</v>
      </c>
      <c r="AD25" s="99">
        <v>19</v>
      </c>
      <c r="AE25" s="99">
        <v>10077.6</v>
      </c>
      <c r="AF25" s="99">
        <v>22</v>
      </c>
      <c r="AG25" s="99">
        <v>11668.8</v>
      </c>
      <c r="AH25" s="99">
        <v>14</v>
      </c>
      <c r="AI25" s="99">
        <v>7425.5999999999995</v>
      </c>
      <c r="AJ25" s="99">
        <v>19</v>
      </c>
      <c r="AK25" s="99">
        <v>10077.6</v>
      </c>
      <c r="AL25" s="99">
        <v>26</v>
      </c>
      <c r="AM25" s="99">
        <v>13790.4</v>
      </c>
      <c r="AN25" s="99">
        <v>22</v>
      </c>
      <c r="AO25" s="99">
        <v>11668.8</v>
      </c>
      <c r="AP25" s="99">
        <v>27</v>
      </c>
      <c r="AQ25" s="99">
        <v>14320.8</v>
      </c>
      <c r="AR25" s="99">
        <v>17</v>
      </c>
      <c r="AS25" s="99">
        <v>9016.7999999999993</v>
      </c>
      <c r="AT25" s="99">
        <v>17</v>
      </c>
      <c r="AU25" s="99">
        <v>9016.7999999999993</v>
      </c>
      <c r="AV25" s="99">
        <v>23</v>
      </c>
      <c r="AW25" s="99">
        <v>12199.199999999999</v>
      </c>
      <c r="AX25" s="99">
        <v>25</v>
      </c>
      <c r="AY25" s="99">
        <v>13260</v>
      </c>
      <c r="AZ25" s="99">
        <v>26</v>
      </c>
      <c r="BA25" s="99">
        <v>13790.4</v>
      </c>
      <c r="BB25" s="99">
        <v>17</v>
      </c>
      <c r="BC25" s="99">
        <v>9016.7999999999993</v>
      </c>
      <c r="BD25" s="99">
        <v>20</v>
      </c>
      <c r="BE25" s="99">
        <v>10608</v>
      </c>
      <c r="BF25" s="99">
        <v>29</v>
      </c>
      <c r="BG25" s="99">
        <v>15381.599999999999</v>
      </c>
      <c r="BH25" s="99">
        <v>19</v>
      </c>
      <c r="BI25" s="99">
        <v>10077.6</v>
      </c>
      <c r="BJ25" s="99">
        <v>19</v>
      </c>
      <c r="BK25" s="99">
        <v>10077.6</v>
      </c>
      <c r="BL25" s="99">
        <v>18</v>
      </c>
      <c r="BM25" s="99">
        <v>9547.1999999999989</v>
      </c>
      <c r="BN25" s="99">
        <v>19</v>
      </c>
      <c r="BO25" s="99">
        <v>10077.6</v>
      </c>
      <c r="BP25" s="99">
        <v>28</v>
      </c>
      <c r="BQ25" s="99">
        <v>14851.199999999999</v>
      </c>
      <c r="BR25" s="99">
        <v>19</v>
      </c>
      <c r="BS25" s="99">
        <v>10077.6</v>
      </c>
      <c r="BT25" s="99">
        <v>26</v>
      </c>
      <c r="BU25" s="99">
        <v>13790.4</v>
      </c>
      <c r="BV25" s="99">
        <v>22</v>
      </c>
      <c r="BW25" s="99">
        <v>11668.8</v>
      </c>
      <c r="BX25" s="99">
        <v>29</v>
      </c>
      <c r="BY25" s="99">
        <v>15381.599999999999</v>
      </c>
      <c r="BZ25" s="99">
        <v>29</v>
      </c>
      <c r="CA25" s="99">
        <v>15381.599999999999</v>
      </c>
      <c r="CB25" s="99">
        <v>22</v>
      </c>
      <c r="CC25" s="99">
        <v>11668.8</v>
      </c>
      <c r="CD25" s="99">
        <v>19</v>
      </c>
      <c r="CE25" s="99">
        <v>10077.6</v>
      </c>
      <c r="CF25" s="99">
        <v>20</v>
      </c>
      <c r="CG25" s="99">
        <v>10608</v>
      </c>
      <c r="CH25" s="99">
        <v>28</v>
      </c>
      <c r="CI25" s="99">
        <v>14851.199999999999</v>
      </c>
      <c r="CJ25" s="99">
        <v>25</v>
      </c>
      <c r="CK25" s="99">
        <v>13260</v>
      </c>
      <c r="CL25" s="99">
        <v>20</v>
      </c>
      <c r="CM25" s="99">
        <v>10608</v>
      </c>
      <c r="CN25" s="99">
        <v>26</v>
      </c>
      <c r="CO25" s="99">
        <v>13790.4</v>
      </c>
      <c r="CP25" s="99">
        <v>18</v>
      </c>
      <c r="CQ25" s="99">
        <v>9547.1999999999989</v>
      </c>
      <c r="CR25" s="99">
        <v>31</v>
      </c>
      <c r="CS25" s="99">
        <v>16442.399999999998</v>
      </c>
      <c r="CT25" s="99">
        <v>16</v>
      </c>
      <c r="CU25" s="99">
        <v>8486.4</v>
      </c>
    </row>
    <row r="26" spans="2:99">
      <c r="C26" s="98" t="s">
        <v>192</v>
      </c>
      <c r="D26" s="99">
        <v>15</v>
      </c>
      <c r="E26" s="99">
        <v>7290</v>
      </c>
      <c r="F26" s="99">
        <v>21</v>
      </c>
      <c r="G26" s="99">
        <v>10206</v>
      </c>
      <c r="H26" s="99">
        <v>22</v>
      </c>
      <c r="I26" s="99">
        <v>10692</v>
      </c>
      <c r="J26" s="99">
        <v>28</v>
      </c>
      <c r="K26" s="99">
        <v>13608</v>
      </c>
      <c r="L26" s="99">
        <v>17</v>
      </c>
      <c r="M26" s="99">
        <v>8262</v>
      </c>
      <c r="N26" s="99">
        <v>19</v>
      </c>
      <c r="O26" s="99">
        <v>9234</v>
      </c>
      <c r="P26" s="99">
        <v>23</v>
      </c>
      <c r="Q26" s="99">
        <v>11178</v>
      </c>
      <c r="R26" s="99">
        <v>25</v>
      </c>
      <c r="S26" s="99">
        <v>12150</v>
      </c>
      <c r="T26" s="99">
        <v>23</v>
      </c>
      <c r="U26" s="99">
        <v>11178</v>
      </c>
      <c r="V26" s="99">
        <v>25</v>
      </c>
      <c r="W26" s="99">
        <v>12150</v>
      </c>
      <c r="X26" s="99">
        <v>18</v>
      </c>
      <c r="Y26" s="99">
        <v>8748</v>
      </c>
      <c r="Z26" s="99">
        <v>19</v>
      </c>
      <c r="AA26" s="99">
        <v>9234</v>
      </c>
      <c r="AB26" s="99">
        <v>24</v>
      </c>
      <c r="AC26" s="99">
        <v>11664</v>
      </c>
      <c r="AD26" s="99">
        <v>19</v>
      </c>
      <c r="AE26" s="99">
        <v>9234</v>
      </c>
      <c r="AF26" s="99">
        <v>20</v>
      </c>
      <c r="AG26" s="99">
        <v>9720</v>
      </c>
      <c r="AH26" s="99">
        <v>15</v>
      </c>
      <c r="AI26" s="99">
        <v>7290</v>
      </c>
      <c r="AJ26" s="99">
        <v>20</v>
      </c>
      <c r="AK26" s="99">
        <v>9720</v>
      </c>
      <c r="AL26" s="99">
        <v>24</v>
      </c>
      <c r="AM26" s="99">
        <v>11664</v>
      </c>
      <c r="AN26" s="99">
        <v>25</v>
      </c>
      <c r="AO26" s="99">
        <v>12150</v>
      </c>
      <c r="AP26" s="99">
        <v>27</v>
      </c>
      <c r="AQ26" s="99">
        <v>13122</v>
      </c>
      <c r="AR26" s="99">
        <v>16</v>
      </c>
      <c r="AS26" s="99">
        <v>7776</v>
      </c>
      <c r="AT26" s="99">
        <v>16</v>
      </c>
      <c r="AU26" s="99">
        <v>7776</v>
      </c>
      <c r="AV26" s="99">
        <v>24</v>
      </c>
      <c r="AW26" s="99">
        <v>11664</v>
      </c>
      <c r="AX26" s="99">
        <v>25</v>
      </c>
      <c r="AY26" s="99">
        <v>12150</v>
      </c>
      <c r="AZ26" s="99">
        <v>28</v>
      </c>
      <c r="BA26" s="99">
        <v>13608</v>
      </c>
      <c r="BB26" s="99">
        <v>18</v>
      </c>
      <c r="BC26" s="99">
        <v>8748</v>
      </c>
      <c r="BD26" s="99">
        <v>18</v>
      </c>
      <c r="BE26" s="99">
        <v>8748</v>
      </c>
      <c r="BF26" s="99">
        <v>30</v>
      </c>
      <c r="BG26" s="99">
        <v>14580</v>
      </c>
      <c r="BH26" s="99">
        <v>17</v>
      </c>
      <c r="BI26" s="99">
        <v>8262</v>
      </c>
      <c r="BJ26" s="99">
        <v>18</v>
      </c>
      <c r="BK26" s="99">
        <v>8748</v>
      </c>
      <c r="BL26" s="99">
        <v>19</v>
      </c>
      <c r="BM26" s="99">
        <v>9234</v>
      </c>
      <c r="BN26" s="99">
        <v>22</v>
      </c>
      <c r="BO26" s="99">
        <v>10692</v>
      </c>
      <c r="BP26" s="99">
        <v>29</v>
      </c>
      <c r="BQ26" s="99">
        <v>14094</v>
      </c>
      <c r="BR26" s="99">
        <v>16</v>
      </c>
      <c r="BS26" s="99">
        <v>7776</v>
      </c>
      <c r="BT26" s="99">
        <v>27</v>
      </c>
      <c r="BU26" s="99">
        <v>13122</v>
      </c>
      <c r="BV26" s="99">
        <v>23</v>
      </c>
      <c r="BW26" s="99">
        <v>11178</v>
      </c>
      <c r="BX26" s="99">
        <v>29</v>
      </c>
      <c r="BY26" s="99">
        <v>14094</v>
      </c>
      <c r="BZ26" s="99">
        <v>30</v>
      </c>
      <c r="CA26" s="99">
        <v>14580</v>
      </c>
      <c r="CB26" s="99">
        <v>25</v>
      </c>
      <c r="CC26" s="99">
        <v>12150</v>
      </c>
      <c r="CD26" s="99">
        <v>20</v>
      </c>
      <c r="CE26" s="99">
        <v>9720</v>
      </c>
      <c r="CF26" s="99">
        <v>19</v>
      </c>
      <c r="CG26" s="99">
        <v>9234</v>
      </c>
      <c r="CH26" s="99">
        <v>30</v>
      </c>
      <c r="CI26" s="99">
        <v>14580</v>
      </c>
      <c r="CJ26" s="99">
        <v>24</v>
      </c>
      <c r="CK26" s="99">
        <v>11664</v>
      </c>
      <c r="CL26" s="99">
        <v>19</v>
      </c>
      <c r="CM26" s="99">
        <v>9234</v>
      </c>
      <c r="CN26" s="99">
        <v>25</v>
      </c>
      <c r="CO26" s="99">
        <v>12150</v>
      </c>
      <c r="CP26" s="99">
        <v>17</v>
      </c>
      <c r="CQ26" s="99">
        <v>8262</v>
      </c>
      <c r="CR26" s="99">
        <v>29</v>
      </c>
      <c r="CS26" s="99">
        <v>14094</v>
      </c>
      <c r="CT26" s="99">
        <v>18</v>
      </c>
      <c r="CU26" s="99">
        <v>8748</v>
      </c>
    </row>
    <row r="27" spans="2:99">
      <c r="C27" s="98" t="s">
        <v>193</v>
      </c>
      <c r="D27" s="99">
        <v>16</v>
      </c>
      <c r="E27" s="99">
        <v>6835.2</v>
      </c>
      <c r="F27" s="99">
        <v>20</v>
      </c>
      <c r="G27" s="99">
        <v>8544</v>
      </c>
      <c r="H27" s="99">
        <v>22</v>
      </c>
      <c r="I27" s="99">
        <v>9398.4</v>
      </c>
      <c r="J27" s="99">
        <v>25</v>
      </c>
      <c r="K27" s="99">
        <v>10680</v>
      </c>
      <c r="L27" s="99">
        <v>18</v>
      </c>
      <c r="M27" s="99">
        <v>7689.5999999999995</v>
      </c>
      <c r="N27" s="99">
        <v>17</v>
      </c>
      <c r="O27" s="99">
        <v>7262.4</v>
      </c>
      <c r="P27" s="99">
        <v>25</v>
      </c>
      <c r="Q27" s="99">
        <v>10680</v>
      </c>
      <c r="R27" s="99">
        <v>24</v>
      </c>
      <c r="S27" s="99">
        <v>10252.799999999999</v>
      </c>
      <c r="T27" s="99">
        <v>22</v>
      </c>
      <c r="U27" s="99">
        <v>9398.4</v>
      </c>
      <c r="V27" s="99">
        <v>27</v>
      </c>
      <c r="W27" s="99">
        <v>11534.4</v>
      </c>
      <c r="X27" s="99">
        <v>19</v>
      </c>
      <c r="Y27" s="99">
        <v>8116.8</v>
      </c>
      <c r="Z27" s="99">
        <v>18</v>
      </c>
      <c r="AA27" s="99">
        <v>7689.5999999999995</v>
      </c>
      <c r="AB27" s="99">
        <v>25</v>
      </c>
      <c r="AC27" s="99">
        <v>10680</v>
      </c>
      <c r="AD27" s="99">
        <v>18</v>
      </c>
      <c r="AE27" s="99">
        <v>7689.5999999999995</v>
      </c>
      <c r="AF27" s="99">
        <v>22</v>
      </c>
      <c r="AG27" s="99">
        <v>9398.4</v>
      </c>
      <c r="AH27" s="99">
        <v>17</v>
      </c>
      <c r="AI27" s="99">
        <v>7262.4</v>
      </c>
      <c r="AJ27" s="99">
        <v>20</v>
      </c>
      <c r="AK27" s="99">
        <v>8544</v>
      </c>
      <c r="AL27" s="99">
        <v>24</v>
      </c>
      <c r="AM27" s="99">
        <v>10252.799999999999</v>
      </c>
      <c r="AN27" s="99">
        <v>25</v>
      </c>
      <c r="AO27" s="99">
        <v>10680</v>
      </c>
      <c r="AP27" s="99">
        <v>29</v>
      </c>
      <c r="AQ27" s="99">
        <v>12388.8</v>
      </c>
      <c r="AR27" s="99">
        <v>16</v>
      </c>
      <c r="AS27" s="99">
        <v>6835.2</v>
      </c>
      <c r="AT27" s="99">
        <v>16</v>
      </c>
      <c r="AU27" s="99">
        <v>6835.2</v>
      </c>
      <c r="AV27" s="99">
        <v>25</v>
      </c>
      <c r="AW27" s="99">
        <v>10680</v>
      </c>
      <c r="AX27" s="99">
        <v>23</v>
      </c>
      <c r="AY27" s="99">
        <v>9825.6</v>
      </c>
      <c r="AZ27" s="99">
        <v>29</v>
      </c>
      <c r="BA27" s="99">
        <v>12388.8</v>
      </c>
      <c r="BB27" s="99">
        <v>18</v>
      </c>
      <c r="BC27" s="99">
        <v>7689.5999999999995</v>
      </c>
      <c r="BD27" s="99">
        <v>20</v>
      </c>
      <c r="BE27" s="99">
        <v>8544</v>
      </c>
      <c r="BF27" s="99">
        <v>28</v>
      </c>
      <c r="BG27" s="99">
        <v>11961.6</v>
      </c>
      <c r="BH27" s="99">
        <v>19</v>
      </c>
      <c r="BI27" s="99">
        <v>8116.8</v>
      </c>
      <c r="BJ27" s="99">
        <v>18</v>
      </c>
      <c r="BK27" s="99">
        <v>7689.5999999999995</v>
      </c>
      <c r="BL27" s="99">
        <v>17</v>
      </c>
      <c r="BM27" s="99">
        <v>7262.4</v>
      </c>
      <c r="BN27" s="99">
        <v>20</v>
      </c>
      <c r="BO27" s="99">
        <v>8544</v>
      </c>
      <c r="BP27" s="99">
        <v>28</v>
      </c>
      <c r="BQ27" s="99">
        <v>11961.6</v>
      </c>
      <c r="BR27" s="99">
        <v>16</v>
      </c>
      <c r="BS27" s="99">
        <v>6835.2</v>
      </c>
      <c r="BT27" s="99">
        <v>26</v>
      </c>
      <c r="BU27" s="99">
        <v>11107.199999999999</v>
      </c>
      <c r="BV27" s="99">
        <v>21</v>
      </c>
      <c r="BW27" s="99">
        <v>8971.1999999999989</v>
      </c>
      <c r="BX27" s="99">
        <v>30</v>
      </c>
      <c r="BY27" s="99">
        <v>12816</v>
      </c>
      <c r="BZ27" s="99">
        <v>31</v>
      </c>
      <c r="CA27" s="99">
        <v>13243.199999999999</v>
      </c>
      <c r="CB27" s="99">
        <v>22</v>
      </c>
      <c r="CC27" s="99">
        <v>9398.4</v>
      </c>
      <c r="CD27" s="99">
        <v>23</v>
      </c>
      <c r="CE27" s="99">
        <v>9825.6</v>
      </c>
      <c r="CF27" s="99">
        <v>21</v>
      </c>
      <c r="CG27" s="99">
        <v>8971.1999999999989</v>
      </c>
      <c r="CH27" s="99">
        <v>28</v>
      </c>
      <c r="CI27" s="99">
        <v>11961.6</v>
      </c>
      <c r="CJ27" s="99">
        <v>26</v>
      </c>
      <c r="CK27" s="99">
        <v>11107.199999999999</v>
      </c>
      <c r="CL27" s="99">
        <v>21</v>
      </c>
      <c r="CM27" s="99">
        <v>8971.1999999999989</v>
      </c>
      <c r="CN27" s="99">
        <v>26</v>
      </c>
      <c r="CO27" s="99">
        <v>11107.199999999999</v>
      </c>
      <c r="CP27" s="99">
        <v>19</v>
      </c>
      <c r="CQ27" s="99">
        <v>8116.8</v>
      </c>
      <c r="CR27" s="99">
        <v>28</v>
      </c>
      <c r="CS27" s="99">
        <v>11961.6</v>
      </c>
      <c r="CT27" s="99">
        <v>17</v>
      </c>
      <c r="CU27" s="99">
        <v>7262.4</v>
      </c>
    </row>
    <row r="28" spans="2:99">
      <c r="C28" s="98" t="s">
        <v>194</v>
      </c>
      <c r="D28" s="99">
        <v>17</v>
      </c>
      <c r="E28" s="99">
        <v>12546</v>
      </c>
      <c r="F28" s="99">
        <v>21</v>
      </c>
      <c r="G28" s="99">
        <v>15498</v>
      </c>
      <c r="H28" s="99">
        <v>21</v>
      </c>
      <c r="I28" s="99">
        <v>15498</v>
      </c>
      <c r="J28" s="99">
        <v>27</v>
      </c>
      <c r="K28" s="99">
        <v>19926</v>
      </c>
      <c r="L28" s="99">
        <v>18</v>
      </c>
      <c r="M28" s="99">
        <v>13284</v>
      </c>
      <c r="N28" s="99">
        <v>18</v>
      </c>
      <c r="O28" s="99">
        <v>13284</v>
      </c>
      <c r="P28" s="99">
        <v>23</v>
      </c>
      <c r="Q28" s="99">
        <v>16974</v>
      </c>
      <c r="R28" s="99">
        <v>21</v>
      </c>
      <c r="S28" s="99">
        <v>15498</v>
      </c>
      <c r="T28" s="99">
        <v>20</v>
      </c>
      <c r="U28" s="99">
        <v>14760</v>
      </c>
      <c r="V28" s="99">
        <v>25</v>
      </c>
      <c r="W28" s="99">
        <v>18450</v>
      </c>
      <c r="X28" s="99">
        <v>19</v>
      </c>
      <c r="Y28" s="99">
        <v>14022</v>
      </c>
      <c r="Z28" s="99">
        <v>17</v>
      </c>
      <c r="AA28" s="99">
        <v>12546</v>
      </c>
      <c r="AB28" s="99">
        <v>25</v>
      </c>
      <c r="AC28" s="99">
        <v>18450</v>
      </c>
      <c r="AD28" s="99">
        <v>18</v>
      </c>
      <c r="AE28" s="99">
        <v>13284</v>
      </c>
      <c r="AF28" s="99">
        <v>22</v>
      </c>
      <c r="AG28" s="99">
        <v>16236</v>
      </c>
      <c r="AH28" s="99">
        <v>17</v>
      </c>
      <c r="AI28" s="99">
        <v>12546</v>
      </c>
      <c r="AJ28" s="99">
        <v>19</v>
      </c>
      <c r="AK28" s="99">
        <v>14022</v>
      </c>
      <c r="AL28" s="99">
        <v>21</v>
      </c>
      <c r="AM28" s="99">
        <v>15498</v>
      </c>
      <c r="AN28" s="99">
        <v>25</v>
      </c>
      <c r="AO28" s="99">
        <v>18450</v>
      </c>
      <c r="AP28" s="99">
        <v>24</v>
      </c>
      <c r="AQ28" s="99">
        <v>17712</v>
      </c>
      <c r="AR28" s="99">
        <v>16</v>
      </c>
      <c r="AS28" s="99">
        <v>11808</v>
      </c>
      <c r="AT28" s="99">
        <v>17</v>
      </c>
      <c r="AU28" s="99">
        <v>12546</v>
      </c>
      <c r="AV28" s="99">
        <v>26</v>
      </c>
      <c r="AW28" s="99">
        <v>19188</v>
      </c>
      <c r="AX28" s="99">
        <v>24</v>
      </c>
      <c r="AY28" s="99">
        <v>17712</v>
      </c>
      <c r="AZ28" s="99">
        <v>27</v>
      </c>
      <c r="BA28" s="99">
        <v>19926</v>
      </c>
      <c r="BB28" s="99">
        <v>15</v>
      </c>
      <c r="BC28" s="99">
        <v>11070</v>
      </c>
      <c r="BD28" s="99">
        <v>19</v>
      </c>
      <c r="BE28" s="99">
        <v>14022</v>
      </c>
      <c r="BF28" s="99">
        <v>25</v>
      </c>
      <c r="BG28" s="99">
        <v>18450</v>
      </c>
      <c r="BH28" s="99">
        <v>18</v>
      </c>
      <c r="BI28" s="99">
        <v>13284</v>
      </c>
      <c r="BJ28" s="99">
        <v>18</v>
      </c>
      <c r="BK28" s="99">
        <v>13284</v>
      </c>
      <c r="BL28" s="99">
        <v>17</v>
      </c>
      <c r="BM28" s="99">
        <v>12546</v>
      </c>
      <c r="BN28" s="99">
        <v>21</v>
      </c>
      <c r="BO28" s="99">
        <v>15498</v>
      </c>
      <c r="BP28" s="99">
        <v>27</v>
      </c>
      <c r="BQ28" s="99">
        <v>19926</v>
      </c>
      <c r="BR28" s="99">
        <v>17</v>
      </c>
      <c r="BS28" s="99">
        <v>12546</v>
      </c>
      <c r="BT28" s="99">
        <v>23</v>
      </c>
      <c r="BU28" s="99">
        <v>16974</v>
      </c>
      <c r="BV28" s="99">
        <v>20</v>
      </c>
      <c r="BW28" s="99">
        <v>14760</v>
      </c>
      <c r="BX28" s="99">
        <v>27</v>
      </c>
      <c r="BY28" s="99">
        <v>19926</v>
      </c>
      <c r="BZ28" s="99">
        <v>29</v>
      </c>
      <c r="CA28" s="99">
        <v>21402</v>
      </c>
      <c r="CB28" s="99">
        <v>21</v>
      </c>
      <c r="CC28" s="99">
        <v>15498</v>
      </c>
      <c r="CD28" s="99">
        <v>21</v>
      </c>
      <c r="CE28" s="99">
        <v>15498</v>
      </c>
      <c r="CF28" s="99">
        <v>18</v>
      </c>
      <c r="CG28" s="99">
        <v>13284</v>
      </c>
      <c r="CH28" s="99">
        <v>26</v>
      </c>
      <c r="CI28" s="99">
        <v>19188</v>
      </c>
      <c r="CJ28" s="99">
        <v>24</v>
      </c>
      <c r="CK28" s="99">
        <v>17712</v>
      </c>
      <c r="CL28" s="99">
        <v>21</v>
      </c>
      <c r="CM28" s="99">
        <v>15498</v>
      </c>
      <c r="CN28" s="99">
        <v>24</v>
      </c>
      <c r="CO28" s="99">
        <v>17712</v>
      </c>
      <c r="CP28" s="99">
        <v>16</v>
      </c>
      <c r="CQ28" s="99">
        <v>11808</v>
      </c>
      <c r="CR28" s="99">
        <v>29</v>
      </c>
      <c r="CS28" s="99">
        <v>21402</v>
      </c>
      <c r="CT28" s="99">
        <v>15</v>
      </c>
      <c r="CU28" s="99">
        <v>11070</v>
      </c>
    </row>
    <row r="29" spans="2:99">
      <c r="C29" s="98" t="s">
        <v>195</v>
      </c>
      <c r="D29" s="99">
        <v>16</v>
      </c>
      <c r="E29" s="99">
        <v>5414.4</v>
      </c>
      <c r="F29" s="99">
        <v>21</v>
      </c>
      <c r="G29" s="99">
        <v>7106.4</v>
      </c>
      <c r="H29" s="99">
        <v>26</v>
      </c>
      <c r="I29" s="99">
        <v>8798.4</v>
      </c>
      <c r="J29" s="99">
        <v>28</v>
      </c>
      <c r="K29" s="99">
        <v>9475.1999999999989</v>
      </c>
      <c r="L29" s="99">
        <v>18</v>
      </c>
      <c r="M29" s="99">
        <v>6091.2</v>
      </c>
      <c r="N29" s="99">
        <v>19</v>
      </c>
      <c r="O29" s="99">
        <v>6429.5999999999995</v>
      </c>
      <c r="P29" s="99">
        <v>25</v>
      </c>
      <c r="Q29" s="99">
        <v>8460</v>
      </c>
      <c r="R29" s="99">
        <v>25</v>
      </c>
      <c r="S29" s="99">
        <v>8460</v>
      </c>
      <c r="T29" s="99">
        <v>21</v>
      </c>
      <c r="U29" s="99">
        <v>7106.4</v>
      </c>
      <c r="V29" s="99">
        <v>26</v>
      </c>
      <c r="W29" s="99">
        <v>8798.4</v>
      </c>
      <c r="X29" s="99">
        <v>19</v>
      </c>
      <c r="Y29" s="99">
        <v>6429.5999999999995</v>
      </c>
      <c r="Z29" s="99">
        <v>17</v>
      </c>
      <c r="AA29" s="99">
        <v>5752.7999999999993</v>
      </c>
      <c r="AB29" s="99">
        <v>26</v>
      </c>
      <c r="AC29" s="99">
        <v>8798.4</v>
      </c>
      <c r="AD29" s="99">
        <v>21</v>
      </c>
      <c r="AE29" s="99">
        <v>7106.4</v>
      </c>
      <c r="AF29" s="99">
        <v>24</v>
      </c>
      <c r="AG29" s="99">
        <v>8121.5999999999995</v>
      </c>
      <c r="AH29" s="99">
        <v>18</v>
      </c>
      <c r="AI29" s="99">
        <v>6091.2</v>
      </c>
      <c r="AJ29" s="99">
        <v>22</v>
      </c>
      <c r="AK29" s="99">
        <v>7444.7999999999993</v>
      </c>
      <c r="AL29" s="99">
        <v>24</v>
      </c>
      <c r="AM29" s="99">
        <v>8121.5999999999995</v>
      </c>
      <c r="AN29" s="99">
        <v>22</v>
      </c>
      <c r="AO29" s="99">
        <v>7444.7999999999993</v>
      </c>
      <c r="AP29" s="99">
        <v>29</v>
      </c>
      <c r="AQ29" s="99">
        <v>9813.5999999999985</v>
      </c>
      <c r="AR29" s="99">
        <v>16</v>
      </c>
      <c r="AS29" s="99">
        <v>5414.4</v>
      </c>
      <c r="AT29" s="99">
        <v>17</v>
      </c>
      <c r="AU29" s="99">
        <v>5752.7999999999993</v>
      </c>
      <c r="AV29" s="99">
        <v>26</v>
      </c>
      <c r="AW29" s="99">
        <v>8798.4</v>
      </c>
      <c r="AX29" s="99">
        <v>27</v>
      </c>
      <c r="AY29" s="99">
        <v>9136.7999999999993</v>
      </c>
      <c r="AZ29" s="99">
        <v>29</v>
      </c>
      <c r="BA29" s="99">
        <v>9813.5999999999985</v>
      </c>
      <c r="BB29" s="99">
        <v>18</v>
      </c>
      <c r="BC29" s="99">
        <v>6091.2</v>
      </c>
      <c r="BD29" s="99">
        <v>19</v>
      </c>
      <c r="BE29" s="99">
        <v>6429.5999999999995</v>
      </c>
      <c r="BF29" s="99">
        <v>28</v>
      </c>
      <c r="BG29" s="99">
        <v>9475.1999999999989</v>
      </c>
      <c r="BH29" s="99">
        <v>18</v>
      </c>
      <c r="BI29" s="99">
        <v>6091.2</v>
      </c>
      <c r="BJ29" s="99">
        <v>19</v>
      </c>
      <c r="BK29" s="99">
        <v>6429.5999999999995</v>
      </c>
      <c r="BL29" s="99">
        <v>20</v>
      </c>
      <c r="BM29" s="99">
        <v>6768</v>
      </c>
      <c r="BN29" s="99">
        <v>22</v>
      </c>
      <c r="BO29" s="99">
        <v>7444.7999999999993</v>
      </c>
      <c r="BP29" s="99">
        <v>28</v>
      </c>
      <c r="BQ29" s="99">
        <v>9475.1999999999989</v>
      </c>
      <c r="BR29" s="99">
        <v>19</v>
      </c>
      <c r="BS29" s="99">
        <v>6429.5999999999995</v>
      </c>
      <c r="BT29" s="99">
        <v>28</v>
      </c>
      <c r="BU29" s="99">
        <v>9475.1999999999989</v>
      </c>
      <c r="BV29" s="99">
        <v>21</v>
      </c>
      <c r="BW29" s="99">
        <v>7106.4</v>
      </c>
      <c r="BX29" s="99">
        <v>32</v>
      </c>
      <c r="BY29" s="99">
        <v>10828.8</v>
      </c>
      <c r="BZ29" s="99">
        <v>29</v>
      </c>
      <c r="CA29" s="99">
        <v>9813.5999999999985</v>
      </c>
      <c r="CB29" s="99">
        <v>21</v>
      </c>
      <c r="CC29" s="99">
        <v>7106.4</v>
      </c>
      <c r="CD29" s="99">
        <v>23</v>
      </c>
      <c r="CE29" s="99">
        <v>7783.2</v>
      </c>
      <c r="CF29" s="99">
        <v>19</v>
      </c>
      <c r="CG29" s="99">
        <v>6429.5999999999995</v>
      </c>
      <c r="CH29" s="99">
        <v>29</v>
      </c>
      <c r="CI29" s="99">
        <v>9813.5999999999985</v>
      </c>
      <c r="CJ29" s="99">
        <v>27</v>
      </c>
      <c r="CK29" s="99">
        <v>9136.7999999999993</v>
      </c>
      <c r="CL29" s="99">
        <v>22</v>
      </c>
      <c r="CM29" s="99">
        <v>7444.7999999999993</v>
      </c>
      <c r="CN29" s="99">
        <v>25</v>
      </c>
      <c r="CO29" s="99">
        <v>8460</v>
      </c>
      <c r="CP29" s="99">
        <v>17</v>
      </c>
      <c r="CQ29" s="99">
        <v>5752.7999999999993</v>
      </c>
      <c r="CR29" s="99">
        <v>30</v>
      </c>
      <c r="CS29" s="99">
        <v>10152</v>
      </c>
      <c r="CT29" s="99">
        <v>17</v>
      </c>
      <c r="CU29" s="99">
        <v>5752.7999999999993</v>
      </c>
    </row>
    <row r="30" spans="2:99">
      <c r="C30" s="98" t="s">
        <v>196</v>
      </c>
      <c r="D30" s="99">
        <v>18</v>
      </c>
      <c r="E30" s="99">
        <v>2505.6</v>
      </c>
      <c r="F30" s="99">
        <v>23</v>
      </c>
      <c r="G30" s="99">
        <v>3201.6</v>
      </c>
      <c r="H30" s="99">
        <v>24</v>
      </c>
      <c r="I30" s="99">
        <v>3340.7999999999997</v>
      </c>
      <c r="J30" s="99">
        <v>30</v>
      </c>
      <c r="K30" s="99">
        <v>4176</v>
      </c>
      <c r="L30" s="99">
        <v>18</v>
      </c>
      <c r="M30" s="99">
        <v>2505.6</v>
      </c>
      <c r="N30" s="99">
        <v>21</v>
      </c>
      <c r="O30" s="99">
        <v>2923.2</v>
      </c>
      <c r="P30" s="99">
        <v>29</v>
      </c>
      <c r="Q30" s="99">
        <v>4036.7999999999997</v>
      </c>
      <c r="R30" s="99">
        <v>23</v>
      </c>
      <c r="S30" s="99">
        <v>3201.6</v>
      </c>
      <c r="T30" s="99">
        <v>23</v>
      </c>
      <c r="U30" s="99">
        <v>3201.6</v>
      </c>
      <c r="V30" s="99">
        <v>29</v>
      </c>
      <c r="W30" s="99">
        <v>4036.7999999999997</v>
      </c>
      <c r="X30" s="99">
        <v>18</v>
      </c>
      <c r="Y30" s="99">
        <v>2505.6</v>
      </c>
      <c r="Z30" s="99">
        <v>19</v>
      </c>
      <c r="AA30" s="99">
        <v>2644.7999999999997</v>
      </c>
      <c r="AB30" s="99">
        <v>27</v>
      </c>
      <c r="AC30" s="99">
        <v>3758.3999999999996</v>
      </c>
      <c r="AD30" s="99">
        <v>21</v>
      </c>
      <c r="AE30" s="99">
        <v>2923.2</v>
      </c>
      <c r="AF30" s="99">
        <v>24</v>
      </c>
      <c r="AG30" s="99">
        <v>3340.7999999999997</v>
      </c>
      <c r="AH30" s="99">
        <v>16</v>
      </c>
      <c r="AI30" s="99">
        <v>2227.1999999999998</v>
      </c>
      <c r="AJ30" s="99">
        <v>21</v>
      </c>
      <c r="AK30" s="99">
        <v>2923.2</v>
      </c>
      <c r="AL30" s="99">
        <v>27</v>
      </c>
      <c r="AM30" s="99">
        <v>3758.3999999999996</v>
      </c>
      <c r="AN30" s="99">
        <v>25</v>
      </c>
      <c r="AO30" s="99">
        <v>3479.9999999999995</v>
      </c>
      <c r="AP30" s="99">
        <v>26</v>
      </c>
      <c r="AQ30" s="99">
        <v>3619.2</v>
      </c>
      <c r="AR30" s="99">
        <v>19</v>
      </c>
      <c r="AS30" s="99">
        <v>2644.7999999999997</v>
      </c>
      <c r="AT30" s="99">
        <v>18</v>
      </c>
      <c r="AU30" s="99">
        <v>2505.6</v>
      </c>
      <c r="AV30" s="99">
        <v>24</v>
      </c>
      <c r="AW30" s="99">
        <v>3340.7999999999997</v>
      </c>
      <c r="AX30" s="99">
        <v>27</v>
      </c>
      <c r="AY30" s="99">
        <v>3758.3999999999996</v>
      </c>
      <c r="AZ30" s="99">
        <v>26</v>
      </c>
      <c r="BA30" s="99">
        <v>3619.2</v>
      </c>
      <c r="BB30" s="99">
        <v>16</v>
      </c>
      <c r="BC30" s="99">
        <v>2227.1999999999998</v>
      </c>
      <c r="BD30" s="99">
        <v>17</v>
      </c>
      <c r="BE30" s="99">
        <v>2366.3999999999996</v>
      </c>
      <c r="BF30" s="99">
        <v>28</v>
      </c>
      <c r="BG30" s="99">
        <v>3897.5999999999995</v>
      </c>
      <c r="BH30" s="99">
        <v>19</v>
      </c>
      <c r="BI30" s="99">
        <v>2644.7999999999997</v>
      </c>
      <c r="BJ30" s="99">
        <v>21</v>
      </c>
      <c r="BK30" s="99">
        <v>2923.2</v>
      </c>
      <c r="BL30" s="99">
        <v>19</v>
      </c>
      <c r="BM30" s="99">
        <v>2644.7999999999997</v>
      </c>
      <c r="BN30" s="99">
        <v>24</v>
      </c>
      <c r="BO30" s="99">
        <v>3340.7999999999997</v>
      </c>
      <c r="BP30" s="99">
        <v>33</v>
      </c>
      <c r="BQ30" s="99">
        <v>4593.5999999999995</v>
      </c>
      <c r="BR30" s="99">
        <v>19</v>
      </c>
      <c r="BS30" s="99">
        <v>2644.7999999999997</v>
      </c>
      <c r="BT30" s="99">
        <v>24</v>
      </c>
      <c r="BU30" s="99">
        <v>3340.7999999999997</v>
      </c>
      <c r="BV30" s="99">
        <v>20</v>
      </c>
      <c r="BW30" s="99">
        <v>2784</v>
      </c>
      <c r="BX30" s="99">
        <v>32</v>
      </c>
      <c r="BY30" s="99">
        <v>4454.3999999999996</v>
      </c>
      <c r="BZ30" s="99">
        <v>31</v>
      </c>
      <c r="CA30" s="99">
        <v>4315.2</v>
      </c>
      <c r="CB30" s="99">
        <v>23</v>
      </c>
      <c r="CC30" s="99">
        <v>3201.6</v>
      </c>
      <c r="CD30" s="99">
        <v>23</v>
      </c>
      <c r="CE30" s="99">
        <v>3201.6</v>
      </c>
      <c r="CF30" s="99">
        <v>19</v>
      </c>
      <c r="CG30" s="99">
        <v>2644.7999999999997</v>
      </c>
      <c r="CH30" s="99">
        <v>31</v>
      </c>
      <c r="CI30" s="99">
        <v>4315.2</v>
      </c>
      <c r="CJ30" s="99">
        <v>26</v>
      </c>
      <c r="CK30" s="99">
        <v>3619.2</v>
      </c>
      <c r="CL30" s="99">
        <v>20</v>
      </c>
      <c r="CM30" s="99">
        <v>2784</v>
      </c>
      <c r="CN30" s="99">
        <v>24</v>
      </c>
      <c r="CO30" s="99">
        <v>3340.7999999999997</v>
      </c>
      <c r="CP30" s="99">
        <v>18</v>
      </c>
      <c r="CQ30" s="99">
        <v>2505.6</v>
      </c>
      <c r="CR30" s="99">
        <v>33</v>
      </c>
      <c r="CS30" s="99">
        <v>4593.5999999999995</v>
      </c>
      <c r="CT30" s="99">
        <v>16</v>
      </c>
      <c r="CU30" s="99">
        <v>2227.1999999999998</v>
      </c>
    </row>
    <row r="31" spans="2:99">
      <c r="C31" s="98" t="s">
        <v>197</v>
      </c>
      <c r="D31" s="99">
        <v>18</v>
      </c>
      <c r="E31" s="99">
        <v>6134.4000000000005</v>
      </c>
      <c r="F31" s="99">
        <v>22</v>
      </c>
      <c r="G31" s="99">
        <v>7497.6</v>
      </c>
      <c r="H31" s="99">
        <v>26</v>
      </c>
      <c r="I31" s="99">
        <v>8860.8000000000011</v>
      </c>
      <c r="J31" s="99">
        <v>30</v>
      </c>
      <c r="K31" s="99">
        <v>10224</v>
      </c>
      <c r="L31" s="99">
        <v>19</v>
      </c>
      <c r="M31" s="99">
        <v>6475.2</v>
      </c>
      <c r="N31" s="99">
        <v>19</v>
      </c>
      <c r="O31" s="99">
        <v>6475.2</v>
      </c>
      <c r="P31" s="99">
        <v>24</v>
      </c>
      <c r="Q31" s="99">
        <v>8179.2000000000007</v>
      </c>
      <c r="R31" s="99">
        <v>25</v>
      </c>
      <c r="S31" s="99">
        <v>8520</v>
      </c>
      <c r="T31" s="99">
        <v>20</v>
      </c>
      <c r="U31" s="99">
        <v>6816</v>
      </c>
      <c r="V31" s="99">
        <v>29</v>
      </c>
      <c r="W31" s="99">
        <v>9883.2000000000007</v>
      </c>
      <c r="X31" s="99">
        <v>19</v>
      </c>
      <c r="Y31" s="99">
        <v>6475.2</v>
      </c>
      <c r="Z31" s="99">
        <v>16</v>
      </c>
      <c r="AA31" s="99">
        <v>5452.8</v>
      </c>
      <c r="AB31" s="99">
        <v>26</v>
      </c>
      <c r="AC31" s="99">
        <v>8860.8000000000011</v>
      </c>
      <c r="AD31" s="99">
        <v>20</v>
      </c>
      <c r="AE31" s="99">
        <v>6816</v>
      </c>
      <c r="AF31" s="99">
        <v>21</v>
      </c>
      <c r="AG31" s="99">
        <v>7156.8</v>
      </c>
      <c r="AH31" s="99">
        <v>16</v>
      </c>
      <c r="AI31" s="99">
        <v>5452.8</v>
      </c>
      <c r="AJ31" s="99">
        <v>20</v>
      </c>
      <c r="AK31" s="99">
        <v>6816</v>
      </c>
      <c r="AL31" s="99">
        <v>27</v>
      </c>
      <c r="AM31" s="99">
        <v>9201.6</v>
      </c>
      <c r="AN31" s="99">
        <v>23</v>
      </c>
      <c r="AO31" s="99">
        <v>7838.4000000000005</v>
      </c>
      <c r="AP31" s="99">
        <v>29</v>
      </c>
      <c r="AQ31" s="99">
        <v>9883.2000000000007</v>
      </c>
      <c r="AR31" s="99">
        <v>17</v>
      </c>
      <c r="AS31" s="99">
        <v>5793.6</v>
      </c>
      <c r="AT31" s="99">
        <v>16</v>
      </c>
      <c r="AU31" s="99">
        <v>5452.8</v>
      </c>
      <c r="AV31" s="99">
        <v>26</v>
      </c>
      <c r="AW31" s="99">
        <v>8860.8000000000011</v>
      </c>
      <c r="AX31" s="99">
        <v>24</v>
      </c>
      <c r="AY31" s="99">
        <v>8179.2000000000007</v>
      </c>
      <c r="AZ31" s="99">
        <v>28</v>
      </c>
      <c r="BA31" s="99">
        <v>9542.4</v>
      </c>
      <c r="BB31" s="99">
        <v>16</v>
      </c>
      <c r="BC31" s="99">
        <v>5452.8</v>
      </c>
      <c r="BD31" s="99">
        <v>19</v>
      </c>
      <c r="BE31" s="99">
        <v>6475.2</v>
      </c>
      <c r="BF31" s="99">
        <v>27</v>
      </c>
      <c r="BG31" s="99">
        <v>9201.6</v>
      </c>
      <c r="BH31" s="99">
        <v>19</v>
      </c>
      <c r="BI31" s="99">
        <v>6475.2</v>
      </c>
      <c r="BJ31" s="99">
        <v>20</v>
      </c>
      <c r="BK31" s="99">
        <v>6816</v>
      </c>
      <c r="BL31" s="99">
        <v>18</v>
      </c>
      <c r="BM31" s="99">
        <v>6134.4000000000005</v>
      </c>
      <c r="BN31" s="99">
        <v>21</v>
      </c>
      <c r="BO31" s="99">
        <v>7156.8</v>
      </c>
      <c r="BP31" s="99">
        <v>33</v>
      </c>
      <c r="BQ31" s="99">
        <v>11246.4</v>
      </c>
      <c r="BR31" s="99">
        <v>16</v>
      </c>
      <c r="BS31" s="99">
        <v>5452.8</v>
      </c>
      <c r="BT31" s="99">
        <v>24</v>
      </c>
      <c r="BU31" s="99">
        <v>8179.2000000000007</v>
      </c>
      <c r="BV31" s="99">
        <v>23</v>
      </c>
      <c r="BW31" s="99">
        <v>7838.4000000000005</v>
      </c>
      <c r="BX31" s="99">
        <v>27</v>
      </c>
      <c r="BY31" s="99">
        <v>9201.6</v>
      </c>
      <c r="BZ31" s="99">
        <v>31</v>
      </c>
      <c r="CA31" s="99">
        <v>10564.800000000001</v>
      </c>
      <c r="CB31" s="99">
        <v>23</v>
      </c>
      <c r="CC31" s="99">
        <v>7838.4000000000005</v>
      </c>
      <c r="CD31" s="99">
        <v>20</v>
      </c>
      <c r="CE31" s="99">
        <v>6816</v>
      </c>
      <c r="CF31" s="99">
        <v>19</v>
      </c>
      <c r="CG31" s="99">
        <v>6475.2</v>
      </c>
      <c r="CH31" s="99">
        <v>29</v>
      </c>
      <c r="CI31" s="99">
        <v>9883.2000000000007</v>
      </c>
      <c r="CJ31" s="99">
        <v>26</v>
      </c>
      <c r="CK31" s="99">
        <v>8860.8000000000011</v>
      </c>
      <c r="CL31" s="99">
        <v>20</v>
      </c>
      <c r="CM31" s="99">
        <v>6816</v>
      </c>
      <c r="CN31" s="99">
        <v>26</v>
      </c>
      <c r="CO31" s="99">
        <v>8860.8000000000011</v>
      </c>
      <c r="CP31" s="99">
        <v>19</v>
      </c>
      <c r="CQ31" s="99">
        <v>6475.2</v>
      </c>
      <c r="CR31" s="99">
        <v>34</v>
      </c>
      <c r="CS31" s="99">
        <v>11587.2</v>
      </c>
      <c r="CT31" s="99">
        <v>18</v>
      </c>
      <c r="CU31" s="99">
        <v>6134.4000000000005</v>
      </c>
    </row>
    <row r="32" spans="2:99">
      <c r="C32" s="98" t="s">
        <v>198</v>
      </c>
      <c r="D32" s="99">
        <v>15</v>
      </c>
      <c r="E32" s="99">
        <v>12600</v>
      </c>
      <c r="F32" s="99">
        <v>20</v>
      </c>
      <c r="G32" s="99">
        <v>16800</v>
      </c>
      <c r="H32" s="99">
        <v>23</v>
      </c>
      <c r="I32" s="99">
        <v>19320</v>
      </c>
      <c r="J32" s="99">
        <v>25</v>
      </c>
      <c r="K32" s="99">
        <v>21000</v>
      </c>
      <c r="L32" s="99">
        <v>19</v>
      </c>
      <c r="M32" s="99">
        <v>15960</v>
      </c>
      <c r="N32" s="99">
        <v>19</v>
      </c>
      <c r="O32" s="99">
        <v>15960</v>
      </c>
      <c r="P32" s="99">
        <v>25</v>
      </c>
      <c r="Q32" s="99">
        <v>21000</v>
      </c>
      <c r="R32" s="99">
        <v>22</v>
      </c>
      <c r="S32" s="99">
        <v>18480</v>
      </c>
      <c r="T32" s="99">
        <v>20</v>
      </c>
      <c r="U32" s="99">
        <v>16800</v>
      </c>
      <c r="V32" s="99">
        <v>25</v>
      </c>
      <c r="W32" s="99">
        <v>21000</v>
      </c>
      <c r="X32" s="99">
        <v>16</v>
      </c>
      <c r="Y32" s="99">
        <v>13440</v>
      </c>
      <c r="Z32" s="99">
        <v>17</v>
      </c>
      <c r="AA32" s="99">
        <v>14280</v>
      </c>
      <c r="AB32" s="99">
        <v>24</v>
      </c>
      <c r="AC32" s="99">
        <v>20160</v>
      </c>
      <c r="AD32" s="99">
        <v>17</v>
      </c>
      <c r="AE32" s="99">
        <v>14280</v>
      </c>
      <c r="AF32" s="99">
        <v>20</v>
      </c>
      <c r="AG32" s="99">
        <v>16800</v>
      </c>
      <c r="AH32" s="99">
        <v>16</v>
      </c>
      <c r="AI32" s="99">
        <v>13440</v>
      </c>
      <c r="AJ32" s="99">
        <v>18</v>
      </c>
      <c r="AK32" s="99">
        <v>15120</v>
      </c>
      <c r="AL32" s="99">
        <v>24</v>
      </c>
      <c r="AM32" s="99">
        <v>20160</v>
      </c>
      <c r="AN32" s="99">
        <v>24</v>
      </c>
      <c r="AO32" s="99">
        <v>20160</v>
      </c>
      <c r="AP32" s="99">
        <v>27</v>
      </c>
      <c r="AQ32" s="99">
        <v>22680</v>
      </c>
      <c r="AR32" s="99">
        <v>16</v>
      </c>
      <c r="AS32" s="99">
        <v>13440</v>
      </c>
      <c r="AT32" s="99">
        <v>14</v>
      </c>
      <c r="AU32" s="99">
        <v>11760</v>
      </c>
      <c r="AV32" s="99">
        <v>22</v>
      </c>
      <c r="AW32" s="99">
        <v>18480</v>
      </c>
      <c r="AX32" s="99">
        <v>22</v>
      </c>
      <c r="AY32" s="99">
        <v>18480</v>
      </c>
      <c r="AZ32" s="99">
        <v>26</v>
      </c>
      <c r="BA32" s="99">
        <v>21840</v>
      </c>
      <c r="BB32" s="99">
        <v>15</v>
      </c>
      <c r="BC32" s="99">
        <v>12600</v>
      </c>
      <c r="BD32" s="99">
        <v>16</v>
      </c>
      <c r="BE32" s="99">
        <v>13440</v>
      </c>
      <c r="BF32" s="99">
        <v>28</v>
      </c>
      <c r="BG32" s="99">
        <v>23520</v>
      </c>
      <c r="BH32" s="99">
        <v>16</v>
      </c>
      <c r="BI32" s="99">
        <v>13440</v>
      </c>
      <c r="BJ32" s="99">
        <v>17</v>
      </c>
      <c r="BK32" s="99">
        <v>14280</v>
      </c>
      <c r="BL32" s="99">
        <v>17</v>
      </c>
      <c r="BM32" s="99">
        <v>14280</v>
      </c>
      <c r="BN32" s="99">
        <v>19</v>
      </c>
      <c r="BO32" s="99">
        <v>15960</v>
      </c>
      <c r="BP32" s="99">
        <v>28</v>
      </c>
      <c r="BQ32" s="99">
        <v>23520</v>
      </c>
      <c r="BR32" s="99">
        <v>16</v>
      </c>
      <c r="BS32" s="99">
        <v>13440</v>
      </c>
      <c r="BT32" s="99">
        <v>25</v>
      </c>
      <c r="BU32" s="99">
        <v>21000</v>
      </c>
      <c r="BV32" s="99">
        <v>20</v>
      </c>
      <c r="BW32" s="99">
        <v>16800</v>
      </c>
      <c r="BX32" s="99">
        <v>30</v>
      </c>
      <c r="BY32" s="99">
        <v>25200</v>
      </c>
      <c r="BZ32" s="99">
        <v>30</v>
      </c>
      <c r="CA32" s="99">
        <v>25200</v>
      </c>
      <c r="CB32" s="99">
        <v>22</v>
      </c>
      <c r="CC32" s="99">
        <v>18480</v>
      </c>
      <c r="CD32" s="99">
        <v>21</v>
      </c>
      <c r="CE32" s="99">
        <v>17640</v>
      </c>
      <c r="CF32" s="99">
        <v>19</v>
      </c>
      <c r="CG32" s="99">
        <v>15960</v>
      </c>
      <c r="CH32" s="99">
        <v>29</v>
      </c>
      <c r="CI32" s="99">
        <v>24360</v>
      </c>
      <c r="CJ32" s="99">
        <v>23</v>
      </c>
      <c r="CK32" s="99">
        <v>19320</v>
      </c>
      <c r="CL32" s="99">
        <v>18</v>
      </c>
      <c r="CM32" s="99">
        <v>15120</v>
      </c>
      <c r="CN32" s="99">
        <v>25</v>
      </c>
      <c r="CO32" s="99">
        <v>21000</v>
      </c>
      <c r="CP32" s="99">
        <v>17</v>
      </c>
      <c r="CQ32" s="99">
        <v>14280</v>
      </c>
      <c r="CR32" s="99">
        <v>32</v>
      </c>
      <c r="CS32" s="99">
        <v>26880</v>
      </c>
      <c r="CT32" s="99">
        <v>15</v>
      </c>
      <c r="CU32" s="99">
        <v>12600</v>
      </c>
    </row>
    <row r="33" spans="2:99">
      <c r="C33" s="98" t="s">
        <v>199</v>
      </c>
      <c r="D33" s="99">
        <v>14</v>
      </c>
      <c r="E33" s="99">
        <v>6636</v>
      </c>
      <c r="F33" s="99">
        <v>20</v>
      </c>
      <c r="G33" s="99">
        <v>9480</v>
      </c>
      <c r="H33" s="99">
        <v>24</v>
      </c>
      <c r="I33" s="99">
        <v>11376</v>
      </c>
      <c r="J33" s="99">
        <v>28</v>
      </c>
      <c r="K33" s="99">
        <v>13272</v>
      </c>
      <c r="L33" s="99">
        <v>18</v>
      </c>
      <c r="M33" s="99">
        <v>8532</v>
      </c>
      <c r="N33" s="99">
        <v>19</v>
      </c>
      <c r="O33" s="99">
        <v>9006</v>
      </c>
      <c r="P33" s="99">
        <v>25</v>
      </c>
      <c r="Q33" s="99">
        <v>11850</v>
      </c>
      <c r="R33" s="99">
        <v>24</v>
      </c>
      <c r="S33" s="99">
        <v>11376</v>
      </c>
      <c r="T33" s="99">
        <v>21</v>
      </c>
      <c r="U33" s="99">
        <v>9954</v>
      </c>
      <c r="V33" s="99">
        <v>24</v>
      </c>
      <c r="W33" s="99">
        <v>11376</v>
      </c>
      <c r="X33" s="99">
        <v>19</v>
      </c>
      <c r="Y33" s="99">
        <v>9006</v>
      </c>
      <c r="Z33" s="99">
        <v>17</v>
      </c>
      <c r="AA33" s="99">
        <v>8058</v>
      </c>
      <c r="AB33" s="99">
        <v>22</v>
      </c>
      <c r="AC33" s="99">
        <v>10428</v>
      </c>
      <c r="AD33" s="99">
        <v>18</v>
      </c>
      <c r="AE33" s="99">
        <v>8532</v>
      </c>
      <c r="AF33" s="99">
        <v>22</v>
      </c>
      <c r="AG33" s="99">
        <v>10428</v>
      </c>
      <c r="AH33" s="99">
        <v>15</v>
      </c>
      <c r="AI33" s="99">
        <v>7110</v>
      </c>
      <c r="AJ33" s="99">
        <v>18</v>
      </c>
      <c r="AK33" s="99">
        <v>8532</v>
      </c>
      <c r="AL33" s="99">
        <v>26</v>
      </c>
      <c r="AM33" s="99">
        <v>12324</v>
      </c>
      <c r="AN33" s="99">
        <v>22</v>
      </c>
      <c r="AO33" s="99">
        <v>10428</v>
      </c>
      <c r="AP33" s="99">
        <v>29</v>
      </c>
      <c r="AQ33" s="99">
        <v>13746</v>
      </c>
      <c r="AR33" s="99">
        <v>15</v>
      </c>
      <c r="AS33" s="99">
        <v>7110</v>
      </c>
      <c r="AT33" s="99">
        <v>15</v>
      </c>
      <c r="AU33" s="99">
        <v>7110</v>
      </c>
      <c r="AV33" s="99">
        <v>26</v>
      </c>
      <c r="AW33" s="99">
        <v>12324</v>
      </c>
      <c r="AX33" s="99">
        <v>23</v>
      </c>
      <c r="AY33" s="99">
        <v>10902</v>
      </c>
      <c r="AZ33" s="99">
        <v>29</v>
      </c>
      <c r="BA33" s="99">
        <v>13746</v>
      </c>
      <c r="BB33" s="99">
        <v>16</v>
      </c>
      <c r="BC33" s="99">
        <v>7584</v>
      </c>
      <c r="BD33" s="99">
        <v>18</v>
      </c>
      <c r="BE33" s="99">
        <v>8532</v>
      </c>
      <c r="BF33" s="99">
        <v>28</v>
      </c>
      <c r="BG33" s="99">
        <v>13272</v>
      </c>
      <c r="BH33" s="99">
        <v>19</v>
      </c>
      <c r="BI33" s="99">
        <v>9006</v>
      </c>
      <c r="BJ33" s="99">
        <v>17</v>
      </c>
      <c r="BK33" s="99">
        <v>8058</v>
      </c>
      <c r="BL33" s="99">
        <v>18</v>
      </c>
      <c r="BM33" s="99">
        <v>8532</v>
      </c>
      <c r="BN33" s="99">
        <v>20</v>
      </c>
      <c r="BO33" s="99">
        <v>9480</v>
      </c>
      <c r="BP33" s="99">
        <v>28</v>
      </c>
      <c r="BQ33" s="99">
        <v>13272</v>
      </c>
      <c r="BR33" s="99">
        <v>17</v>
      </c>
      <c r="BS33" s="99">
        <v>8058</v>
      </c>
      <c r="BT33" s="99">
        <v>24</v>
      </c>
      <c r="BU33" s="99">
        <v>11376</v>
      </c>
      <c r="BV33" s="99">
        <v>22</v>
      </c>
      <c r="BW33" s="99">
        <v>10428</v>
      </c>
      <c r="BX33" s="99">
        <v>30</v>
      </c>
      <c r="BY33" s="99">
        <v>14220</v>
      </c>
      <c r="BZ33" s="99">
        <v>28</v>
      </c>
      <c r="CA33" s="99">
        <v>13272</v>
      </c>
      <c r="CB33" s="99">
        <v>22</v>
      </c>
      <c r="CC33" s="99">
        <v>10428</v>
      </c>
      <c r="CD33" s="99">
        <v>22</v>
      </c>
      <c r="CE33" s="99">
        <v>10428</v>
      </c>
      <c r="CF33" s="99">
        <v>18</v>
      </c>
      <c r="CG33" s="99">
        <v>8532</v>
      </c>
      <c r="CH33" s="99">
        <v>30</v>
      </c>
      <c r="CI33" s="99">
        <v>14220</v>
      </c>
      <c r="CJ33" s="99">
        <v>23</v>
      </c>
      <c r="CK33" s="99">
        <v>10902</v>
      </c>
      <c r="CL33" s="99">
        <v>21</v>
      </c>
      <c r="CM33" s="99">
        <v>9954</v>
      </c>
      <c r="CN33" s="99">
        <v>27</v>
      </c>
      <c r="CO33" s="99">
        <v>12798</v>
      </c>
      <c r="CP33" s="99">
        <v>17</v>
      </c>
      <c r="CQ33" s="99">
        <v>8058</v>
      </c>
      <c r="CR33" s="99">
        <v>32</v>
      </c>
      <c r="CS33" s="99">
        <v>15168</v>
      </c>
      <c r="CT33" s="99">
        <v>15</v>
      </c>
      <c r="CU33" s="99">
        <v>7110</v>
      </c>
    </row>
    <row r="34" spans="2:99">
      <c r="C34" s="98" t="s">
        <v>200</v>
      </c>
      <c r="D34" s="99">
        <v>17</v>
      </c>
      <c r="E34" s="99">
        <v>9322.7999999999993</v>
      </c>
      <c r="F34" s="99">
        <v>20</v>
      </c>
      <c r="G34" s="99">
        <v>10968</v>
      </c>
      <c r="H34" s="99">
        <v>23</v>
      </c>
      <c r="I34" s="99">
        <v>12613.199999999999</v>
      </c>
      <c r="J34" s="99">
        <v>24</v>
      </c>
      <c r="K34" s="99">
        <v>13161.599999999999</v>
      </c>
      <c r="L34" s="99">
        <v>20</v>
      </c>
      <c r="M34" s="99">
        <v>10968</v>
      </c>
      <c r="N34" s="99">
        <v>18</v>
      </c>
      <c r="O34" s="99">
        <v>9871.1999999999989</v>
      </c>
      <c r="P34" s="99">
        <v>24</v>
      </c>
      <c r="Q34" s="99">
        <v>13161.599999999999</v>
      </c>
      <c r="R34" s="99">
        <v>24</v>
      </c>
      <c r="S34" s="99">
        <v>13161.599999999999</v>
      </c>
      <c r="T34" s="99">
        <v>20</v>
      </c>
      <c r="U34" s="99">
        <v>10968</v>
      </c>
      <c r="V34" s="99">
        <v>28</v>
      </c>
      <c r="W34" s="99">
        <v>15355.199999999999</v>
      </c>
      <c r="X34" s="99">
        <v>19</v>
      </c>
      <c r="Y34" s="99">
        <v>10419.6</v>
      </c>
      <c r="Z34" s="99">
        <v>19</v>
      </c>
      <c r="AA34" s="99">
        <v>10419.6</v>
      </c>
      <c r="AB34" s="99">
        <v>24</v>
      </c>
      <c r="AC34" s="99">
        <v>13161.599999999999</v>
      </c>
      <c r="AD34" s="99">
        <v>19</v>
      </c>
      <c r="AE34" s="99">
        <v>10419.6</v>
      </c>
      <c r="AF34" s="99">
        <v>20</v>
      </c>
      <c r="AG34" s="99">
        <v>10968</v>
      </c>
      <c r="AH34" s="99">
        <v>15</v>
      </c>
      <c r="AI34" s="99">
        <v>8226</v>
      </c>
      <c r="AJ34" s="99">
        <v>19</v>
      </c>
      <c r="AK34" s="99">
        <v>10419.6</v>
      </c>
      <c r="AL34" s="99">
        <v>26</v>
      </c>
      <c r="AM34" s="99">
        <v>14258.4</v>
      </c>
      <c r="AN34" s="99">
        <v>24</v>
      </c>
      <c r="AO34" s="99">
        <v>13161.599999999999</v>
      </c>
      <c r="AP34" s="99">
        <v>25</v>
      </c>
      <c r="AQ34" s="99">
        <v>13710</v>
      </c>
      <c r="AR34" s="99">
        <v>15</v>
      </c>
      <c r="AS34" s="99">
        <v>8226</v>
      </c>
      <c r="AT34" s="99">
        <v>17</v>
      </c>
      <c r="AU34" s="99">
        <v>9322.7999999999993</v>
      </c>
      <c r="AV34" s="99">
        <v>25</v>
      </c>
      <c r="AW34" s="99">
        <v>13710</v>
      </c>
      <c r="AX34" s="99">
        <v>23</v>
      </c>
      <c r="AY34" s="99">
        <v>12613.199999999999</v>
      </c>
      <c r="AZ34" s="99">
        <v>25</v>
      </c>
      <c r="BA34" s="99">
        <v>13710</v>
      </c>
      <c r="BB34" s="99">
        <v>17</v>
      </c>
      <c r="BC34" s="99">
        <v>9322.7999999999993</v>
      </c>
      <c r="BD34" s="99">
        <v>20</v>
      </c>
      <c r="BE34" s="99">
        <v>10968</v>
      </c>
      <c r="BF34" s="99">
        <v>27</v>
      </c>
      <c r="BG34" s="99">
        <v>14806.8</v>
      </c>
      <c r="BH34" s="99">
        <v>19</v>
      </c>
      <c r="BI34" s="99">
        <v>10419.6</v>
      </c>
      <c r="BJ34" s="99">
        <v>20</v>
      </c>
      <c r="BK34" s="99">
        <v>10968</v>
      </c>
      <c r="BL34" s="99">
        <v>18</v>
      </c>
      <c r="BM34" s="99">
        <v>9871.1999999999989</v>
      </c>
      <c r="BN34" s="99">
        <v>21</v>
      </c>
      <c r="BO34" s="99">
        <v>11516.4</v>
      </c>
      <c r="BP34" s="99">
        <v>32</v>
      </c>
      <c r="BQ34" s="99">
        <v>17548.8</v>
      </c>
      <c r="BR34" s="99">
        <v>16</v>
      </c>
      <c r="BS34" s="99">
        <v>8774.4</v>
      </c>
      <c r="BT34" s="99">
        <v>27</v>
      </c>
      <c r="BU34" s="99">
        <v>14806.8</v>
      </c>
      <c r="BV34" s="99">
        <v>20</v>
      </c>
      <c r="BW34" s="99">
        <v>10968</v>
      </c>
      <c r="BX34" s="99">
        <v>30</v>
      </c>
      <c r="BY34" s="99">
        <v>16452</v>
      </c>
      <c r="BZ34" s="99">
        <v>30</v>
      </c>
      <c r="CA34" s="99">
        <v>16452</v>
      </c>
      <c r="CB34" s="99">
        <v>22</v>
      </c>
      <c r="CC34" s="99">
        <v>12064.8</v>
      </c>
      <c r="CD34" s="99">
        <v>23</v>
      </c>
      <c r="CE34" s="99">
        <v>12613.199999999999</v>
      </c>
      <c r="CF34" s="99">
        <v>21</v>
      </c>
      <c r="CG34" s="99">
        <v>11516.4</v>
      </c>
      <c r="CH34" s="99">
        <v>28</v>
      </c>
      <c r="CI34" s="99">
        <v>15355.199999999999</v>
      </c>
      <c r="CJ34" s="99">
        <v>24</v>
      </c>
      <c r="CK34" s="99">
        <v>13161.599999999999</v>
      </c>
      <c r="CL34" s="99">
        <v>20</v>
      </c>
      <c r="CM34" s="99">
        <v>10968</v>
      </c>
      <c r="CN34" s="99">
        <v>25</v>
      </c>
      <c r="CO34" s="99">
        <v>13710</v>
      </c>
      <c r="CP34" s="99">
        <v>16</v>
      </c>
      <c r="CQ34" s="99">
        <v>8774.4</v>
      </c>
      <c r="CR34" s="99">
        <v>30</v>
      </c>
      <c r="CS34" s="99">
        <v>16452</v>
      </c>
      <c r="CT34" s="99">
        <v>15</v>
      </c>
      <c r="CU34" s="99">
        <v>8226</v>
      </c>
    </row>
    <row r="35" spans="2:99">
      <c r="C35" s="98" t="s">
        <v>201</v>
      </c>
      <c r="D35" s="99">
        <v>15</v>
      </c>
      <c r="E35" s="99">
        <v>7541.9999999999982</v>
      </c>
      <c r="F35" s="99">
        <v>21</v>
      </c>
      <c r="G35" s="99">
        <v>10558.799999999997</v>
      </c>
      <c r="H35" s="99">
        <v>22</v>
      </c>
      <c r="I35" s="99">
        <v>11061.599999999999</v>
      </c>
      <c r="J35" s="99">
        <v>25</v>
      </c>
      <c r="K35" s="99">
        <v>12569.999999999998</v>
      </c>
      <c r="L35" s="99">
        <v>17</v>
      </c>
      <c r="M35" s="99">
        <v>8547.5999999999985</v>
      </c>
      <c r="N35" s="99">
        <v>19</v>
      </c>
      <c r="O35" s="99">
        <v>9553.1999999999989</v>
      </c>
      <c r="P35" s="99">
        <v>27</v>
      </c>
      <c r="Q35" s="99">
        <v>13575.599999999997</v>
      </c>
      <c r="R35" s="99">
        <v>23</v>
      </c>
      <c r="S35" s="99">
        <v>11564.399999999998</v>
      </c>
      <c r="T35" s="99">
        <v>21</v>
      </c>
      <c r="U35" s="99">
        <v>10558.799999999997</v>
      </c>
      <c r="V35" s="99">
        <v>24</v>
      </c>
      <c r="W35" s="99">
        <v>12067.199999999997</v>
      </c>
      <c r="X35" s="99">
        <v>19</v>
      </c>
      <c r="Y35" s="99">
        <v>9553.1999999999989</v>
      </c>
      <c r="Z35" s="99">
        <v>18</v>
      </c>
      <c r="AA35" s="99">
        <v>9050.3999999999978</v>
      </c>
      <c r="AB35" s="99">
        <v>22</v>
      </c>
      <c r="AC35" s="99">
        <v>11061.599999999999</v>
      </c>
      <c r="AD35" s="99">
        <v>20</v>
      </c>
      <c r="AE35" s="99">
        <v>10055.999999999998</v>
      </c>
      <c r="AF35" s="99">
        <v>19</v>
      </c>
      <c r="AG35" s="99">
        <v>9553.1999999999989</v>
      </c>
      <c r="AH35" s="99">
        <v>16</v>
      </c>
      <c r="AI35" s="99">
        <v>8044.7999999999984</v>
      </c>
      <c r="AJ35" s="99">
        <v>19</v>
      </c>
      <c r="AK35" s="99">
        <v>9553.1999999999989</v>
      </c>
      <c r="AL35" s="99">
        <v>24</v>
      </c>
      <c r="AM35" s="99">
        <v>12067.199999999997</v>
      </c>
      <c r="AN35" s="99">
        <v>24</v>
      </c>
      <c r="AO35" s="99">
        <v>12067.199999999997</v>
      </c>
      <c r="AP35" s="99">
        <v>25</v>
      </c>
      <c r="AQ35" s="99">
        <v>12569.999999999998</v>
      </c>
      <c r="AR35" s="99">
        <v>16</v>
      </c>
      <c r="AS35" s="99">
        <v>8044.7999999999984</v>
      </c>
      <c r="AT35" s="99">
        <v>15</v>
      </c>
      <c r="AU35" s="99">
        <v>7541.9999999999982</v>
      </c>
      <c r="AV35" s="99">
        <v>23</v>
      </c>
      <c r="AW35" s="99">
        <v>11564.399999999998</v>
      </c>
      <c r="AX35" s="99">
        <v>22</v>
      </c>
      <c r="AY35" s="99">
        <v>11061.599999999999</v>
      </c>
      <c r="AZ35" s="99">
        <v>26</v>
      </c>
      <c r="BA35" s="99">
        <v>13072.799999999997</v>
      </c>
      <c r="BB35" s="99">
        <v>17</v>
      </c>
      <c r="BC35" s="99">
        <v>8547.5999999999985</v>
      </c>
      <c r="BD35" s="99">
        <v>17</v>
      </c>
      <c r="BE35" s="99">
        <v>8547.5999999999985</v>
      </c>
      <c r="BF35" s="99">
        <v>31</v>
      </c>
      <c r="BG35" s="99">
        <v>15586.799999999997</v>
      </c>
      <c r="BH35" s="99">
        <v>19</v>
      </c>
      <c r="BI35" s="99">
        <v>9553.1999999999989</v>
      </c>
      <c r="BJ35" s="99">
        <v>20</v>
      </c>
      <c r="BK35" s="99">
        <v>10055.999999999998</v>
      </c>
      <c r="BL35" s="99">
        <v>19</v>
      </c>
      <c r="BM35" s="99">
        <v>9553.1999999999989</v>
      </c>
      <c r="BN35" s="99">
        <v>20</v>
      </c>
      <c r="BO35" s="99">
        <v>10055.999999999998</v>
      </c>
      <c r="BP35" s="99">
        <v>31</v>
      </c>
      <c r="BQ35" s="99">
        <v>15586.799999999997</v>
      </c>
      <c r="BR35" s="99">
        <v>15</v>
      </c>
      <c r="BS35" s="99">
        <v>7541.9999999999982</v>
      </c>
      <c r="BT35" s="99">
        <v>27</v>
      </c>
      <c r="BU35" s="99">
        <v>13575.599999999997</v>
      </c>
      <c r="BV35" s="99">
        <v>22</v>
      </c>
      <c r="BW35" s="99">
        <v>11061.599999999999</v>
      </c>
      <c r="BX35" s="99">
        <v>31</v>
      </c>
      <c r="BY35" s="99">
        <v>15586.799999999997</v>
      </c>
      <c r="BZ35" s="99">
        <v>29</v>
      </c>
      <c r="CA35" s="99">
        <v>14581.199999999997</v>
      </c>
      <c r="CB35" s="99">
        <v>23</v>
      </c>
      <c r="CC35" s="99">
        <v>11564.399999999998</v>
      </c>
      <c r="CD35" s="99">
        <v>21</v>
      </c>
      <c r="CE35" s="99">
        <v>10558.799999999997</v>
      </c>
      <c r="CF35" s="99">
        <v>21</v>
      </c>
      <c r="CG35" s="99">
        <v>10558.799999999997</v>
      </c>
      <c r="CH35" s="99">
        <v>30</v>
      </c>
      <c r="CI35" s="99">
        <v>15083.999999999996</v>
      </c>
      <c r="CJ35" s="99">
        <v>23</v>
      </c>
      <c r="CK35" s="99">
        <v>11564.399999999998</v>
      </c>
      <c r="CL35" s="99">
        <v>20</v>
      </c>
      <c r="CM35" s="99">
        <v>10055.999999999998</v>
      </c>
      <c r="CN35" s="99">
        <v>22</v>
      </c>
      <c r="CO35" s="99">
        <v>11061.599999999999</v>
      </c>
      <c r="CP35" s="99">
        <v>19</v>
      </c>
      <c r="CQ35" s="99">
        <v>9553.1999999999989</v>
      </c>
      <c r="CR35" s="99">
        <v>31</v>
      </c>
      <c r="CS35" s="99">
        <v>15586.799999999997</v>
      </c>
      <c r="CT35" s="99">
        <v>16</v>
      </c>
      <c r="CU35" s="99">
        <v>8044.7999999999984</v>
      </c>
    </row>
    <row r="36" spans="2:99">
      <c r="C36" s="98" t="s">
        <v>202</v>
      </c>
      <c r="D36" s="99">
        <v>15</v>
      </c>
      <c r="E36" s="99">
        <v>11412</v>
      </c>
      <c r="F36" s="99">
        <v>18</v>
      </c>
      <c r="G36" s="99">
        <v>13694.4</v>
      </c>
      <c r="H36" s="99">
        <v>24</v>
      </c>
      <c r="I36" s="99">
        <v>18259.199999999997</v>
      </c>
      <c r="J36" s="99">
        <v>28</v>
      </c>
      <c r="K36" s="99">
        <v>21302.399999999998</v>
      </c>
      <c r="L36" s="99">
        <v>17</v>
      </c>
      <c r="M36" s="99">
        <v>12933.599999999999</v>
      </c>
      <c r="N36" s="99">
        <v>19</v>
      </c>
      <c r="O36" s="99">
        <v>14455.199999999999</v>
      </c>
      <c r="P36" s="99">
        <v>23</v>
      </c>
      <c r="Q36" s="99">
        <v>17498.399999999998</v>
      </c>
      <c r="R36" s="99">
        <v>23</v>
      </c>
      <c r="S36" s="99">
        <v>17498.399999999998</v>
      </c>
      <c r="T36" s="99">
        <v>22</v>
      </c>
      <c r="U36" s="99">
        <v>16737.599999999999</v>
      </c>
      <c r="V36" s="99">
        <v>25</v>
      </c>
      <c r="W36" s="99">
        <v>19020</v>
      </c>
      <c r="X36" s="99">
        <v>19</v>
      </c>
      <c r="Y36" s="99">
        <v>14455.199999999999</v>
      </c>
      <c r="Z36" s="99">
        <v>18</v>
      </c>
      <c r="AA36" s="99">
        <v>13694.4</v>
      </c>
      <c r="AB36" s="99">
        <v>24</v>
      </c>
      <c r="AC36" s="99">
        <v>18259.199999999997</v>
      </c>
      <c r="AD36" s="99">
        <v>17</v>
      </c>
      <c r="AE36" s="99">
        <v>12933.599999999999</v>
      </c>
      <c r="AF36" s="99">
        <v>22</v>
      </c>
      <c r="AG36" s="99">
        <v>16737.599999999999</v>
      </c>
      <c r="AH36" s="99">
        <v>16</v>
      </c>
      <c r="AI36" s="99">
        <v>12172.8</v>
      </c>
      <c r="AJ36" s="99">
        <v>19</v>
      </c>
      <c r="AK36" s="99">
        <v>14455.199999999999</v>
      </c>
      <c r="AL36" s="99">
        <v>25</v>
      </c>
      <c r="AM36" s="99">
        <v>19020</v>
      </c>
      <c r="AN36" s="99">
        <v>22</v>
      </c>
      <c r="AO36" s="99">
        <v>16737.599999999999</v>
      </c>
      <c r="AP36" s="99">
        <v>27</v>
      </c>
      <c r="AQ36" s="99">
        <v>20541.599999999999</v>
      </c>
      <c r="AR36" s="99">
        <v>17</v>
      </c>
      <c r="AS36" s="99">
        <v>12933.599999999999</v>
      </c>
      <c r="AT36" s="99">
        <v>15</v>
      </c>
      <c r="AU36" s="99">
        <v>11412</v>
      </c>
      <c r="AV36" s="99">
        <v>25</v>
      </c>
      <c r="AW36" s="99">
        <v>19020</v>
      </c>
      <c r="AX36" s="99">
        <v>23</v>
      </c>
      <c r="AY36" s="99">
        <v>17498.399999999998</v>
      </c>
      <c r="AZ36" s="99">
        <v>26</v>
      </c>
      <c r="BA36" s="99">
        <v>19780.8</v>
      </c>
      <c r="BB36" s="99">
        <v>15</v>
      </c>
      <c r="BC36" s="99">
        <v>11412</v>
      </c>
      <c r="BD36" s="99">
        <v>18</v>
      </c>
      <c r="BE36" s="99">
        <v>13694.4</v>
      </c>
      <c r="BF36" s="99">
        <v>28</v>
      </c>
      <c r="BG36" s="99">
        <v>21302.399999999998</v>
      </c>
      <c r="BH36" s="99">
        <v>16</v>
      </c>
      <c r="BI36" s="99">
        <v>12172.8</v>
      </c>
      <c r="BJ36" s="99">
        <v>19</v>
      </c>
      <c r="BK36" s="99">
        <v>14455.199999999999</v>
      </c>
      <c r="BL36" s="99">
        <v>18</v>
      </c>
      <c r="BM36" s="99">
        <v>13694.4</v>
      </c>
      <c r="BN36" s="99">
        <v>21</v>
      </c>
      <c r="BO36" s="99">
        <v>15976.8</v>
      </c>
      <c r="BP36" s="99">
        <v>27</v>
      </c>
      <c r="BQ36" s="99">
        <v>20541.599999999999</v>
      </c>
      <c r="BR36" s="99">
        <v>17</v>
      </c>
      <c r="BS36" s="99">
        <v>12933.599999999999</v>
      </c>
      <c r="BT36" s="99">
        <v>23</v>
      </c>
      <c r="BU36" s="99">
        <v>17498.399999999998</v>
      </c>
      <c r="BV36" s="99">
        <v>23</v>
      </c>
      <c r="BW36" s="99">
        <v>17498.399999999998</v>
      </c>
      <c r="BX36" s="99">
        <v>27</v>
      </c>
      <c r="BY36" s="99">
        <v>20541.599999999999</v>
      </c>
      <c r="BZ36" s="99">
        <v>29</v>
      </c>
      <c r="CA36" s="99">
        <v>22063.199999999997</v>
      </c>
      <c r="CB36" s="99">
        <v>24</v>
      </c>
      <c r="CC36" s="99">
        <v>18259.199999999997</v>
      </c>
      <c r="CD36" s="99">
        <v>22</v>
      </c>
      <c r="CE36" s="99">
        <v>16737.599999999999</v>
      </c>
      <c r="CF36" s="99">
        <v>17</v>
      </c>
      <c r="CG36" s="99">
        <v>12933.599999999999</v>
      </c>
      <c r="CH36" s="99">
        <v>25</v>
      </c>
      <c r="CI36" s="99">
        <v>19020</v>
      </c>
      <c r="CJ36" s="99">
        <v>22</v>
      </c>
      <c r="CK36" s="99">
        <v>16737.599999999999</v>
      </c>
      <c r="CL36" s="99">
        <v>20</v>
      </c>
      <c r="CM36" s="99">
        <v>15216</v>
      </c>
      <c r="CN36" s="99">
        <v>24</v>
      </c>
      <c r="CO36" s="99">
        <v>18259.199999999997</v>
      </c>
      <c r="CP36" s="99">
        <v>16</v>
      </c>
      <c r="CQ36" s="99">
        <v>12172.8</v>
      </c>
      <c r="CR36" s="99">
        <v>32</v>
      </c>
      <c r="CS36" s="99">
        <v>24345.599999999999</v>
      </c>
      <c r="CT36" s="99">
        <v>16</v>
      </c>
      <c r="CU36" s="99">
        <v>12172.8</v>
      </c>
    </row>
    <row r="37" spans="2:99">
      <c r="B37" s="98" t="s">
        <v>128</v>
      </c>
      <c r="C37" s="98" t="s">
        <v>203</v>
      </c>
      <c r="D37" s="99">
        <v>14</v>
      </c>
      <c r="E37" s="99">
        <v>12045.6</v>
      </c>
      <c r="F37" s="99">
        <v>13</v>
      </c>
      <c r="G37" s="99">
        <v>11185.199999999999</v>
      </c>
      <c r="H37" s="99">
        <v>16</v>
      </c>
      <c r="I37" s="99">
        <v>13766.4</v>
      </c>
      <c r="J37" s="99">
        <v>20</v>
      </c>
      <c r="K37" s="99">
        <v>17208</v>
      </c>
      <c r="L37" s="99">
        <v>15</v>
      </c>
      <c r="M37" s="99">
        <v>12906</v>
      </c>
      <c r="N37" s="99">
        <v>9</v>
      </c>
      <c r="O37" s="99">
        <v>7743.5999999999995</v>
      </c>
      <c r="P37" s="99">
        <v>11</v>
      </c>
      <c r="Q37" s="99">
        <v>9464.4</v>
      </c>
      <c r="R37" s="99">
        <v>12</v>
      </c>
      <c r="S37" s="99">
        <v>10324.799999999999</v>
      </c>
      <c r="T37" s="99">
        <v>14</v>
      </c>
      <c r="U37" s="99">
        <v>12045.6</v>
      </c>
      <c r="V37" s="99">
        <v>10</v>
      </c>
      <c r="W37" s="99">
        <v>8604</v>
      </c>
      <c r="X37" s="99">
        <v>20</v>
      </c>
      <c r="Y37" s="99">
        <v>17208</v>
      </c>
      <c r="Z37" s="99">
        <v>14</v>
      </c>
      <c r="AA37" s="99">
        <v>12045.6</v>
      </c>
      <c r="AB37" s="99">
        <v>10</v>
      </c>
      <c r="AC37" s="99">
        <v>8604</v>
      </c>
      <c r="AD37" s="99">
        <v>14</v>
      </c>
      <c r="AE37" s="99">
        <v>12045.6</v>
      </c>
      <c r="AF37" s="99">
        <v>18</v>
      </c>
      <c r="AG37" s="99">
        <v>15487.199999999999</v>
      </c>
      <c r="AH37" s="99">
        <v>12</v>
      </c>
      <c r="AI37" s="99">
        <v>10324.799999999999</v>
      </c>
      <c r="AJ37" s="99">
        <v>13</v>
      </c>
      <c r="AK37" s="99">
        <v>11185.199999999999</v>
      </c>
      <c r="AL37" s="99">
        <v>12</v>
      </c>
      <c r="AM37" s="99">
        <v>10324.799999999999</v>
      </c>
      <c r="AN37" s="99">
        <v>14</v>
      </c>
      <c r="AO37" s="99">
        <v>12045.6</v>
      </c>
      <c r="AP37" s="99">
        <v>16</v>
      </c>
      <c r="AQ37" s="99">
        <v>13766.4</v>
      </c>
      <c r="AR37" s="99">
        <v>15</v>
      </c>
      <c r="AS37" s="99">
        <v>12906</v>
      </c>
      <c r="AT37" s="99">
        <v>17</v>
      </c>
      <c r="AU37" s="99">
        <v>14626.8</v>
      </c>
      <c r="AV37" s="99">
        <v>17</v>
      </c>
      <c r="AW37" s="99">
        <v>14626.8</v>
      </c>
      <c r="AX37" s="99">
        <v>11</v>
      </c>
      <c r="AY37" s="99">
        <v>9464.4</v>
      </c>
      <c r="AZ37" s="99">
        <v>13</v>
      </c>
      <c r="BA37" s="99">
        <v>11185.199999999999</v>
      </c>
      <c r="BB37" s="99">
        <v>16</v>
      </c>
      <c r="BC37" s="99">
        <v>13766.4</v>
      </c>
      <c r="BD37" s="99">
        <v>14</v>
      </c>
      <c r="BE37" s="99">
        <v>12045.6</v>
      </c>
      <c r="BF37" s="99">
        <v>19</v>
      </c>
      <c r="BG37" s="99">
        <v>16347.6</v>
      </c>
      <c r="BH37" s="99">
        <v>16</v>
      </c>
      <c r="BI37" s="99">
        <v>13766.4</v>
      </c>
      <c r="BJ37" s="99">
        <v>16</v>
      </c>
      <c r="BK37" s="99">
        <v>13766.4</v>
      </c>
      <c r="BL37" s="99">
        <v>18</v>
      </c>
      <c r="BM37" s="99">
        <v>15487.199999999999</v>
      </c>
      <c r="BN37" s="99">
        <v>14</v>
      </c>
      <c r="BO37" s="99">
        <v>12045.6</v>
      </c>
      <c r="BP37" s="99">
        <v>15</v>
      </c>
      <c r="BQ37" s="99">
        <v>12906</v>
      </c>
      <c r="BR37" s="99">
        <v>18</v>
      </c>
      <c r="BS37" s="99">
        <v>15487.199999999999</v>
      </c>
      <c r="BT37" s="99">
        <v>14</v>
      </c>
      <c r="BU37" s="99">
        <v>12045.6</v>
      </c>
      <c r="BV37" s="99">
        <v>19</v>
      </c>
      <c r="BW37" s="99">
        <v>16347.6</v>
      </c>
      <c r="BX37" s="99">
        <v>14</v>
      </c>
      <c r="BY37" s="99">
        <v>12045.6</v>
      </c>
      <c r="BZ37" s="99">
        <v>20</v>
      </c>
      <c r="CA37" s="99">
        <v>17208</v>
      </c>
      <c r="CB37" s="99">
        <v>16</v>
      </c>
      <c r="CC37" s="99">
        <v>13766.4</v>
      </c>
      <c r="CD37" s="99">
        <v>17</v>
      </c>
      <c r="CE37" s="99">
        <v>14626.8</v>
      </c>
      <c r="CF37" s="99">
        <v>10</v>
      </c>
      <c r="CG37" s="99">
        <v>8604</v>
      </c>
      <c r="CH37" s="99">
        <v>10</v>
      </c>
      <c r="CI37" s="99">
        <v>8604</v>
      </c>
      <c r="CJ37" s="99">
        <v>16</v>
      </c>
      <c r="CK37" s="99">
        <v>13766.4</v>
      </c>
      <c r="CL37" s="99">
        <v>17</v>
      </c>
      <c r="CM37" s="99">
        <v>14626.8</v>
      </c>
      <c r="CN37" s="99">
        <v>13</v>
      </c>
      <c r="CO37" s="99">
        <v>11185.199999999999</v>
      </c>
      <c r="CP37" s="99">
        <v>17</v>
      </c>
      <c r="CQ37" s="99">
        <v>14626.8</v>
      </c>
      <c r="CR37" s="99">
        <v>9</v>
      </c>
      <c r="CS37" s="99">
        <v>7743.5999999999995</v>
      </c>
      <c r="CT37" s="99">
        <v>14</v>
      </c>
      <c r="CU37" s="99">
        <v>12045.6</v>
      </c>
    </row>
    <row r="38" spans="2:99">
      <c r="C38" s="98" t="s">
        <v>204</v>
      </c>
      <c r="D38" s="99">
        <v>13</v>
      </c>
      <c r="E38" s="99">
        <v>16146</v>
      </c>
      <c r="F38" s="99">
        <v>13</v>
      </c>
      <c r="G38" s="99">
        <v>16146</v>
      </c>
      <c r="H38" s="99">
        <v>15</v>
      </c>
      <c r="I38" s="99">
        <v>18630</v>
      </c>
      <c r="J38" s="99">
        <v>18</v>
      </c>
      <c r="K38" s="99">
        <v>22356</v>
      </c>
      <c r="L38" s="99">
        <v>14</v>
      </c>
      <c r="M38" s="99">
        <v>17388</v>
      </c>
      <c r="N38" s="99">
        <v>9</v>
      </c>
      <c r="O38" s="99">
        <v>11178</v>
      </c>
      <c r="P38" s="99">
        <v>9</v>
      </c>
      <c r="Q38" s="99">
        <v>11178</v>
      </c>
      <c r="R38" s="99">
        <v>10</v>
      </c>
      <c r="S38" s="99">
        <v>12420</v>
      </c>
      <c r="T38" s="99">
        <v>14</v>
      </c>
      <c r="U38" s="99">
        <v>17388</v>
      </c>
      <c r="V38" s="99">
        <v>10</v>
      </c>
      <c r="W38" s="99">
        <v>12420</v>
      </c>
      <c r="X38" s="99">
        <v>17</v>
      </c>
      <c r="Y38" s="99">
        <v>21114</v>
      </c>
      <c r="Z38" s="99">
        <v>14</v>
      </c>
      <c r="AA38" s="99">
        <v>17388</v>
      </c>
      <c r="AB38" s="99">
        <v>10</v>
      </c>
      <c r="AC38" s="99">
        <v>12420</v>
      </c>
      <c r="AD38" s="99">
        <v>13</v>
      </c>
      <c r="AE38" s="99">
        <v>16146</v>
      </c>
      <c r="AF38" s="99">
        <v>16</v>
      </c>
      <c r="AG38" s="99">
        <v>19872</v>
      </c>
      <c r="AH38" s="99">
        <v>11</v>
      </c>
      <c r="AI38" s="99">
        <v>13662</v>
      </c>
      <c r="AJ38" s="99">
        <v>12</v>
      </c>
      <c r="AK38" s="99">
        <v>14904</v>
      </c>
      <c r="AL38" s="99">
        <v>12</v>
      </c>
      <c r="AM38" s="99">
        <v>14904</v>
      </c>
      <c r="AN38" s="99">
        <v>13</v>
      </c>
      <c r="AO38" s="99">
        <v>16146</v>
      </c>
      <c r="AP38" s="99">
        <v>14</v>
      </c>
      <c r="AQ38" s="99">
        <v>17388</v>
      </c>
      <c r="AR38" s="99">
        <v>18</v>
      </c>
      <c r="AS38" s="99">
        <v>22356</v>
      </c>
      <c r="AT38" s="99">
        <v>16</v>
      </c>
      <c r="AU38" s="99">
        <v>19872</v>
      </c>
      <c r="AV38" s="99">
        <v>14</v>
      </c>
      <c r="AW38" s="99">
        <v>17388</v>
      </c>
      <c r="AX38" s="99">
        <v>11</v>
      </c>
      <c r="AY38" s="99">
        <v>13662</v>
      </c>
      <c r="AZ38" s="99">
        <v>10</v>
      </c>
      <c r="BA38" s="99">
        <v>12420</v>
      </c>
      <c r="BB38" s="99">
        <v>15</v>
      </c>
      <c r="BC38" s="99">
        <v>18630</v>
      </c>
      <c r="BD38" s="99">
        <v>13</v>
      </c>
      <c r="BE38" s="99">
        <v>16146</v>
      </c>
      <c r="BF38" s="99">
        <v>17</v>
      </c>
      <c r="BG38" s="99">
        <v>21114</v>
      </c>
      <c r="BH38" s="99">
        <v>17</v>
      </c>
      <c r="BI38" s="99">
        <v>21114</v>
      </c>
      <c r="BJ38" s="99">
        <v>17</v>
      </c>
      <c r="BK38" s="99">
        <v>21114</v>
      </c>
      <c r="BL38" s="99">
        <v>18</v>
      </c>
      <c r="BM38" s="99">
        <v>22356</v>
      </c>
      <c r="BN38" s="99">
        <v>13</v>
      </c>
      <c r="BO38" s="99">
        <v>16146</v>
      </c>
      <c r="BP38" s="99">
        <v>16</v>
      </c>
      <c r="BQ38" s="99">
        <v>19872</v>
      </c>
      <c r="BR38" s="99">
        <v>16</v>
      </c>
      <c r="BS38" s="99">
        <v>19872</v>
      </c>
      <c r="BT38" s="99">
        <v>13</v>
      </c>
      <c r="BU38" s="99">
        <v>16146</v>
      </c>
      <c r="BV38" s="99">
        <v>17</v>
      </c>
      <c r="BW38" s="99">
        <v>21114</v>
      </c>
      <c r="BX38" s="99">
        <v>16</v>
      </c>
      <c r="BY38" s="99">
        <v>19872</v>
      </c>
      <c r="BZ38" s="99">
        <v>19</v>
      </c>
      <c r="CA38" s="99">
        <v>23598</v>
      </c>
      <c r="CB38" s="99">
        <v>17</v>
      </c>
      <c r="CC38" s="99">
        <v>21114</v>
      </c>
      <c r="CD38" s="99">
        <v>16</v>
      </c>
      <c r="CE38" s="99">
        <v>19872</v>
      </c>
      <c r="CF38" s="99">
        <v>11</v>
      </c>
      <c r="CG38" s="99">
        <v>13662</v>
      </c>
      <c r="CH38" s="99">
        <v>9</v>
      </c>
      <c r="CI38" s="99">
        <v>11178</v>
      </c>
      <c r="CJ38" s="99">
        <v>18</v>
      </c>
      <c r="CK38" s="99">
        <v>22356</v>
      </c>
      <c r="CL38" s="99">
        <v>16</v>
      </c>
      <c r="CM38" s="99">
        <v>19872</v>
      </c>
      <c r="CN38" s="99">
        <v>13</v>
      </c>
      <c r="CO38" s="99">
        <v>16146</v>
      </c>
      <c r="CP38" s="99">
        <v>15</v>
      </c>
      <c r="CQ38" s="99">
        <v>18630</v>
      </c>
      <c r="CR38" s="99">
        <v>9</v>
      </c>
      <c r="CS38" s="99">
        <v>11178</v>
      </c>
      <c r="CT38" s="99">
        <v>12</v>
      </c>
      <c r="CU38" s="99">
        <v>14904</v>
      </c>
    </row>
    <row r="39" spans="2:99">
      <c r="C39" s="98" t="s">
        <v>205</v>
      </c>
      <c r="D39" s="99">
        <v>13</v>
      </c>
      <c r="E39" s="99">
        <v>18501.600000000002</v>
      </c>
      <c r="F39" s="99">
        <v>12</v>
      </c>
      <c r="G39" s="99">
        <v>17078.400000000001</v>
      </c>
      <c r="H39" s="99">
        <v>14</v>
      </c>
      <c r="I39" s="99">
        <v>19924.8</v>
      </c>
      <c r="J39" s="99">
        <v>17</v>
      </c>
      <c r="K39" s="99">
        <v>24194.400000000001</v>
      </c>
      <c r="L39" s="99">
        <v>14</v>
      </c>
      <c r="M39" s="99">
        <v>19924.8</v>
      </c>
      <c r="N39" s="99">
        <v>9</v>
      </c>
      <c r="O39" s="99">
        <v>12808.800000000001</v>
      </c>
      <c r="P39" s="99">
        <v>9</v>
      </c>
      <c r="Q39" s="99">
        <v>12808.800000000001</v>
      </c>
      <c r="R39" s="99">
        <v>10</v>
      </c>
      <c r="S39" s="99">
        <v>14232</v>
      </c>
      <c r="T39" s="99">
        <v>12</v>
      </c>
      <c r="U39" s="99">
        <v>17078.400000000001</v>
      </c>
      <c r="V39" s="99">
        <v>10</v>
      </c>
      <c r="W39" s="99">
        <v>14232</v>
      </c>
      <c r="X39" s="99">
        <v>18</v>
      </c>
      <c r="Y39" s="99">
        <v>25617.600000000002</v>
      </c>
      <c r="Z39" s="99">
        <v>12</v>
      </c>
      <c r="AA39" s="99">
        <v>17078.400000000001</v>
      </c>
      <c r="AB39" s="99">
        <v>9</v>
      </c>
      <c r="AC39" s="99">
        <v>12808.800000000001</v>
      </c>
      <c r="AD39" s="99">
        <v>14</v>
      </c>
      <c r="AE39" s="99">
        <v>19924.8</v>
      </c>
      <c r="AF39" s="99">
        <v>17</v>
      </c>
      <c r="AG39" s="99">
        <v>24194.400000000001</v>
      </c>
      <c r="AH39" s="99">
        <v>10</v>
      </c>
      <c r="AI39" s="99">
        <v>14232</v>
      </c>
      <c r="AJ39" s="99">
        <v>13</v>
      </c>
      <c r="AK39" s="99">
        <v>18501.600000000002</v>
      </c>
      <c r="AL39" s="99">
        <v>11</v>
      </c>
      <c r="AM39" s="99">
        <v>15655.2</v>
      </c>
      <c r="AN39" s="99">
        <v>14</v>
      </c>
      <c r="AO39" s="99">
        <v>19924.8</v>
      </c>
      <c r="AP39" s="99">
        <v>16</v>
      </c>
      <c r="AQ39" s="99">
        <v>22771.200000000001</v>
      </c>
      <c r="AR39" s="99">
        <v>15</v>
      </c>
      <c r="AS39" s="99">
        <v>21348</v>
      </c>
      <c r="AT39" s="99">
        <v>17</v>
      </c>
      <c r="AU39" s="99">
        <v>24194.400000000001</v>
      </c>
      <c r="AV39" s="99">
        <v>15</v>
      </c>
      <c r="AW39" s="99">
        <v>21348</v>
      </c>
      <c r="AX39" s="99">
        <v>11</v>
      </c>
      <c r="AY39" s="99">
        <v>15655.2</v>
      </c>
      <c r="AZ39" s="99">
        <v>12</v>
      </c>
      <c r="BA39" s="99">
        <v>17078.400000000001</v>
      </c>
      <c r="BB39" s="99">
        <v>17</v>
      </c>
      <c r="BC39" s="99">
        <v>24194.400000000001</v>
      </c>
      <c r="BD39" s="99">
        <v>13</v>
      </c>
      <c r="BE39" s="99">
        <v>18501.600000000002</v>
      </c>
      <c r="BF39" s="99">
        <v>19</v>
      </c>
      <c r="BG39" s="99">
        <v>27040.799999999999</v>
      </c>
      <c r="BH39" s="99">
        <v>16</v>
      </c>
      <c r="BI39" s="99">
        <v>22771.200000000001</v>
      </c>
      <c r="BJ39" s="99">
        <v>18</v>
      </c>
      <c r="BK39" s="99">
        <v>25617.600000000002</v>
      </c>
      <c r="BL39" s="99">
        <v>19</v>
      </c>
      <c r="BM39" s="99">
        <v>27040.799999999999</v>
      </c>
      <c r="BN39" s="99">
        <v>12</v>
      </c>
      <c r="BO39" s="99">
        <v>17078.400000000001</v>
      </c>
      <c r="BP39" s="99">
        <v>13</v>
      </c>
      <c r="BQ39" s="99">
        <v>18501.600000000002</v>
      </c>
      <c r="BR39" s="99">
        <v>18</v>
      </c>
      <c r="BS39" s="99">
        <v>25617.600000000002</v>
      </c>
      <c r="BT39" s="99">
        <v>12</v>
      </c>
      <c r="BU39" s="99">
        <v>17078.400000000001</v>
      </c>
      <c r="BV39" s="99">
        <v>18</v>
      </c>
      <c r="BW39" s="99">
        <v>25617.600000000002</v>
      </c>
      <c r="BX39" s="99">
        <v>15</v>
      </c>
      <c r="BY39" s="99">
        <v>21348</v>
      </c>
      <c r="BZ39" s="99">
        <v>18</v>
      </c>
      <c r="CA39" s="99">
        <v>25617.600000000002</v>
      </c>
      <c r="CB39" s="99">
        <v>15</v>
      </c>
      <c r="CC39" s="99">
        <v>21348</v>
      </c>
      <c r="CD39" s="99">
        <v>16</v>
      </c>
      <c r="CE39" s="99">
        <v>22771.200000000001</v>
      </c>
      <c r="CF39" s="99">
        <v>11</v>
      </c>
      <c r="CG39" s="99">
        <v>15655.2</v>
      </c>
      <c r="CH39" s="99">
        <v>10</v>
      </c>
      <c r="CI39" s="99">
        <v>14232</v>
      </c>
      <c r="CJ39" s="99">
        <v>15</v>
      </c>
      <c r="CK39" s="99">
        <v>21348</v>
      </c>
      <c r="CL39" s="99">
        <v>16</v>
      </c>
      <c r="CM39" s="99">
        <v>22771.200000000001</v>
      </c>
      <c r="CN39" s="99">
        <v>14</v>
      </c>
      <c r="CO39" s="99">
        <v>19924.8</v>
      </c>
      <c r="CP39" s="99">
        <v>16</v>
      </c>
      <c r="CQ39" s="99">
        <v>22771.200000000001</v>
      </c>
      <c r="CR39" s="99">
        <v>10</v>
      </c>
      <c r="CS39" s="99">
        <v>14232</v>
      </c>
      <c r="CT39" s="99">
        <v>13</v>
      </c>
      <c r="CU39" s="99">
        <v>18501.600000000002</v>
      </c>
    </row>
    <row r="40" spans="2:99">
      <c r="C40" s="98" t="s">
        <v>206</v>
      </c>
      <c r="D40" s="99">
        <v>14</v>
      </c>
      <c r="E40" s="99">
        <v>10147.199999999999</v>
      </c>
      <c r="F40" s="99">
        <v>12</v>
      </c>
      <c r="G40" s="99">
        <v>8697.5999999999985</v>
      </c>
      <c r="H40" s="99">
        <v>16</v>
      </c>
      <c r="I40" s="99">
        <v>11596.8</v>
      </c>
      <c r="J40" s="99">
        <v>20</v>
      </c>
      <c r="K40" s="99">
        <v>14496</v>
      </c>
      <c r="L40" s="99">
        <v>14</v>
      </c>
      <c r="M40" s="99">
        <v>10147.199999999999</v>
      </c>
      <c r="N40" s="99">
        <v>11</v>
      </c>
      <c r="O40" s="99">
        <v>7972.7999999999993</v>
      </c>
      <c r="P40" s="99">
        <v>10</v>
      </c>
      <c r="Q40" s="99">
        <v>7248</v>
      </c>
      <c r="R40" s="99">
        <v>12</v>
      </c>
      <c r="S40" s="99">
        <v>8697.5999999999985</v>
      </c>
      <c r="T40" s="99">
        <v>13</v>
      </c>
      <c r="U40" s="99">
        <v>9422.4</v>
      </c>
      <c r="V40" s="99">
        <v>11</v>
      </c>
      <c r="W40" s="99">
        <v>7972.7999999999993</v>
      </c>
      <c r="X40" s="99">
        <v>20</v>
      </c>
      <c r="Y40" s="99">
        <v>14496</v>
      </c>
      <c r="Z40" s="99">
        <v>13</v>
      </c>
      <c r="AA40" s="99">
        <v>9422.4</v>
      </c>
      <c r="AB40" s="99">
        <v>10</v>
      </c>
      <c r="AC40" s="99">
        <v>7248</v>
      </c>
      <c r="AD40" s="99">
        <v>13</v>
      </c>
      <c r="AE40" s="99">
        <v>9422.4</v>
      </c>
      <c r="AF40" s="99">
        <v>16</v>
      </c>
      <c r="AG40" s="99">
        <v>11596.8</v>
      </c>
      <c r="AH40" s="99">
        <v>11</v>
      </c>
      <c r="AI40" s="99">
        <v>7972.7999999999993</v>
      </c>
      <c r="AJ40" s="99">
        <v>14</v>
      </c>
      <c r="AK40" s="99">
        <v>10147.199999999999</v>
      </c>
      <c r="AL40" s="99">
        <v>12</v>
      </c>
      <c r="AM40" s="99">
        <v>8697.5999999999985</v>
      </c>
      <c r="AN40" s="99">
        <v>14</v>
      </c>
      <c r="AO40" s="99">
        <v>10147.199999999999</v>
      </c>
      <c r="AP40" s="99">
        <v>15</v>
      </c>
      <c r="AQ40" s="99">
        <v>10872</v>
      </c>
      <c r="AR40" s="99">
        <v>16</v>
      </c>
      <c r="AS40" s="99">
        <v>11596.8</v>
      </c>
      <c r="AT40" s="99">
        <v>18</v>
      </c>
      <c r="AU40" s="99">
        <v>13046.4</v>
      </c>
      <c r="AV40" s="99">
        <v>18</v>
      </c>
      <c r="AW40" s="99">
        <v>13046.4</v>
      </c>
      <c r="AX40" s="99">
        <v>12</v>
      </c>
      <c r="AY40" s="99">
        <v>8697.5999999999985</v>
      </c>
      <c r="AZ40" s="99">
        <v>12</v>
      </c>
      <c r="BA40" s="99">
        <v>8697.5999999999985</v>
      </c>
      <c r="BB40" s="99">
        <v>18</v>
      </c>
      <c r="BC40" s="99">
        <v>13046.4</v>
      </c>
      <c r="BD40" s="99">
        <v>15</v>
      </c>
      <c r="BE40" s="99">
        <v>10872</v>
      </c>
      <c r="BF40" s="99">
        <v>20</v>
      </c>
      <c r="BG40" s="99">
        <v>14496</v>
      </c>
      <c r="BH40" s="99">
        <v>16</v>
      </c>
      <c r="BI40" s="99">
        <v>11596.8</v>
      </c>
      <c r="BJ40" s="99">
        <v>16</v>
      </c>
      <c r="BK40" s="99">
        <v>11596.8</v>
      </c>
      <c r="BL40" s="99">
        <v>18</v>
      </c>
      <c r="BM40" s="99">
        <v>13046.4</v>
      </c>
      <c r="BN40" s="99">
        <v>13</v>
      </c>
      <c r="BO40" s="99">
        <v>9422.4</v>
      </c>
      <c r="BP40" s="99">
        <v>15</v>
      </c>
      <c r="BQ40" s="99">
        <v>10872</v>
      </c>
      <c r="BR40" s="99">
        <v>18</v>
      </c>
      <c r="BS40" s="99">
        <v>13046.4</v>
      </c>
      <c r="BT40" s="99">
        <v>13</v>
      </c>
      <c r="BU40" s="99">
        <v>9422.4</v>
      </c>
      <c r="BV40" s="99">
        <v>17</v>
      </c>
      <c r="BW40" s="99">
        <v>12321.599999999999</v>
      </c>
      <c r="BX40" s="99">
        <v>15</v>
      </c>
      <c r="BY40" s="99">
        <v>10872</v>
      </c>
      <c r="BZ40" s="99">
        <v>20</v>
      </c>
      <c r="CA40" s="99">
        <v>14496</v>
      </c>
      <c r="CB40" s="99">
        <v>15</v>
      </c>
      <c r="CC40" s="99">
        <v>10872</v>
      </c>
      <c r="CD40" s="99">
        <v>17</v>
      </c>
      <c r="CE40" s="99">
        <v>12321.599999999999</v>
      </c>
      <c r="CF40" s="99">
        <v>11</v>
      </c>
      <c r="CG40" s="99">
        <v>7972.7999999999993</v>
      </c>
      <c r="CH40" s="99">
        <v>9</v>
      </c>
      <c r="CI40" s="99">
        <v>6523.2</v>
      </c>
      <c r="CJ40" s="99">
        <v>17</v>
      </c>
      <c r="CK40" s="99">
        <v>12321.599999999999</v>
      </c>
      <c r="CL40" s="99">
        <v>16</v>
      </c>
      <c r="CM40" s="99">
        <v>11596.8</v>
      </c>
      <c r="CN40" s="99">
        <v>14</v>
      </c>
      <c r="CO40" s="99">
        <v>10147.199999999999</v>
      </c>
      <c r="CP40" s="99">
        <v>18</v>
      </c>
      <c r="CQ40" s="99">
        <v>13046.4</v>
      </c>
      <c r="CR40" s="99">
        <v>11</v>
      </c>
      <c r="CS40" s="99">
        <v>7972.7999999999993</v>
      </c>
      <c r="CT40" s="99">
        <v>13</v>
      </c>
      <c r="CU40" s="99">
        <v>9422.4</v>
      </c>
    </row>
    <row r="41" spans="2:99">
      <c r="C41" s="98" t="s">
        <v>207</v>
      </c>
      <c r="D41" s="99">
        <v>13</v>
      </c>
      <c r="E41" s="99">
        <v>8580</v>
      </c>
      <c r="F41" s="99">
        <v>12</v>
      </c>
      <c r="G41" s="99">
        <v>7920</v>
      </c>
      <c r="H41" s="99">
        <v>15</v>
      </c>
      <c r="I41" s="99">
        <v>9900</v>
      </c>
      <c r="J41" s="99">
        <v>18</v>
      </c>
      <c r="K41" s="99">
        <v>11880</v>
      </c>
      <c r="L41" s="99">
        <v>15</v>
      </c>
      <c r="M41" s="99">
        <v>9900</v>
      </c>
      <c r="N41" s="99">
        <v>10</v>
      </c>
      <c r="O41" s="99">
        <v>6600</v>
      </c>
      <c r="P41" s="99">
        <v>10</v>
      </c>
      <c r="Q41" s="99">
        <v>6600</v>
      </c>
      <c r="R41" s="99">
        <v>11</v>
      </c>
      <c r="S41" s="99">
        <v>7260</v>
      </c>
      <c r="T41" s="99">
        <v>15</v>
      </c>
      <c r="U41" s="99">
        <v>9900</v>
      </c>
      <c r="V41" s="99">
        <v>10</v>
      </c>
      <c r="W41" s="99">
        <v>6600</v>
      </c>
      <c r="X41" s="99">
        <v>20</v>
      </c>
      <c r="Y41" s="99">
        <v>13200</v>
      </c>
      <c r="Z41" s="99">
        <v>15</v>
      </c>
      <c r="AA41" s="99">
        <v>9900</v>
      </c>
      <c r="AB41" s="99">
        <v>10</v>
      </c>
      <c r="AC41" s="99">
        <v>6600</v>
      </c>
      <c r="AD41" s="99">
        <v>13</v>
      </c>
      <c r="AE41" s="99">
        <v>8580</v>
      </c>
      <c r="AF41" s="99">
        <v>17</v>
      </c>
      <c r="AG41" s="99">
        <v>11220</v>
      </c>
      <c r="AH41" s="99">
        <v>11</v>
      </c>
      <c r="AI41" s="99">
        <v>7260</v>
      </c>
      <c r="AJ41" s="99">
        <v>14</v>
      </c>
      <c r="AK41" s="99">
        <v>9240</v>
      </c>
      <c r="AL41" s="99">
        <v>12</v>
      </c>
      <c r="AM41" s="99">
        <v>7920</v>
      </c>
      <c r="AN41" s="99">
        <v>12</v>
      </c>
      <c r="AO41" s="99">
        <v>7920</v>
      </c>
      <c r="AP41" s="99">
        <v>17</v>
      </c>
      <c r="AQ41" s="99">
        <v>11220</v>
      </c>
      <c r="AR41" s="99">
        <v>18</v>
      </c>
      <c r="AS41" s="99">
        <v>11880</v>
      </c>
      <c r="AT41" s="99">
        <v>19</v>
      </c>
      <c r="AU41" s="99">
        <v>12540</v>
      </c>
      <c r="AV41" s="99">
        <v>16</v>
      </c>
      <c r="AW41" s="99">
        <v>10560</v>
      </c>
      <c r="AX41" s="99">
        <v>13</v>
      </c>
      <c r="AY41" s="99">
        <v>8580</v>
      </c>
      <c r="AZ41" s="99">
        <v>12</v>
      </c>
      <c r="BA41" s="99">
        <v>7920</v>
      </c>
      <c r="BB41" s="99">
        <v>16</v>
      </c>
      <c r="BC41" s="99">
        <v>10560</v>
      </c>
      <c r="BD41" s="99">
        <v>16</v>
      </c>
      <c r="BE41" s="99">
        <v>10560</v>
      </c>
      <c r="BF41" s="99">
        <v>18</v>
      </c>
      <c r="BG41" s="99">
        <v>11880</v>
      </c>
      <c r="BH41" s="99">
        <v>16</v>
      </c>
      <c r="BI41" s="99">
        <v>10560</v>
      </c>
      <c r="BJ41" s="99">
        <v>17</v>
      </c>
      <c r="BK41" s="99">
        <v>11220</v>
      </c>
      <c r="BL41" s="99">
        <v>19</v>
      </c>
      <c r="BM41" s="99">
        <v>12540</v>
      </c>
      <c r="BN41" s="99">
        <v>14</v>
      </c>
      <c r="BO41" s="99">
        <v>9240</v>
      </c>
      <c r="BP41" s="99">
        <v>15</v>
      </c>
      <c r="BQ41" s="99">
        <v>9900</v>
      </c>
      <c r="BR41" s="99">
        <v>19</v>
      </c>
      <c r="BS41" s="99">
        <v>12540</v>
      </c>
      <c r="BT41" s="99">
        <v>13</v>
      </c>
      <c r="BU41" s="99">
        <v>8580</v>
      </c>
      <c r="BV41" s="99">
        <v>18</v>
      </c>
      <c r="BW41" s="99">
        <v>11880</v>
      </c>
      <c r="BX41" s="99">
        <v>17</v>
      </c>
      <c r="BY41" s="99">
        <v>11220</v>
      </c>
      <c r="BZ41" s="99">
        <v>18</v>
      </c>
      <c r="CA41" s="99">
        <v>11880</v>
      </c>
      <c r="CB41" s="99">
        <v>18</v>
      </c>
      <c r="CC41" s="99">
        <v>11880</v>
      </c>
      <c r="CD41" s="99">
        <v>16</v>
      </c>
      <c r="CE41" s="99">
        <v>10560</v>
      </c>
      <c r="CF41" s="99">
        <v>12</v>
      </c>
      <c r="CG41" s="99">
        <v>7920</v>
      </c>
      <c r="CH41" s="99">
        <v>10</v>
      </c>
      <c r="CI41" s="99">
        <v>6600</v>
      </c>
      <c r="CJ41" s="99">
        <v>19</v>
      </c>
      <c r="CK41" s="99">
        <v>12540</v>
      </c>
      <c r="CL41" s="99">
        <v>15</v>
      </c>
      <c r="CM41" s="99">
        <v>9900</v>
      </c>
      <c r="CN41" s="99">
        <v>15</v>
      </c>
      <c r="CO41" s="99">
        <v>9900</v>
      </c>
      <c r="CP41" s="99">
        <v>16</v>
      </c>
      <c r="CQ41" s="99">
        <v>10560</v>
      </c>
      <c r="CR41" s="99">
        <v>10</v>
      </c>
      <c r="CS41" s="99">
        <v>6600</v>
      </c>
      <c r="CT41" s="99">
        <v>14</v>
      </c>
      <c r="CU41" s="99">
        <v>9240</v>
      </c>
    </row>
    <row r="42" spans="2:99">
      <c r="C42" s="98" t="s">
        <v>208</v>
      </c>
      <c r="D42" s="99">
        <v>15</v>
      </c>
      <c r="E42" s="99">
        <v>12690</v>
      </c>
      <c r="F42" s="99">
        <v>13</v>
      </c>
      <c r="G42" s="99">
        <v>10998</v>
      </c>
      <c r="H42" s="99">
        <v>16</v>
      </c>
      <c r="I42" s="99">
        <v>13536</v>
      </c>
      <c r="J42" s="99">
        <v>17</v>
      </c>
      <c r="K42" s="99">
        <v>14382</v>
      </c>
      <c r="L42" s="99">
        <v>14</v>
      </c>
      <c r="M42" s="99">
        <v>11844</v>
      </c>
      <c r="N42" s="99">
        <v>9</v>
      </c>
      <c r="O42" s="99">
        <v>7614</v>
      </c>
      <c r="P42" s="99">
        <v>10</v>
      </c>
      <c r="Q42" s="99">
        <v>8460</v>
      </c>
      <c r="R42" s="99">
        <v>12</v>
      </c>
      <c r="S42" s="99">
        <v>10152</v>
      </c>
      <c r="T42" s="99">
        <v>15</v>
      </c>
      <c r="U42" s="99">
        <v>12690</v>
      </c>
      <c r="V42" s="99">
        <v>10</v>
      </c>
      <c r="W42" s="99">
        <v>8460</v>
      </c>
      <c r="X42" s="99">
        <v>19</v>
      </c>
      <c r="Y42" s="99">
        <v>16074</v>
      </c>
      <c r="Z42" s="99">
        <v>12</v>
      </c>
      <c r="AA42" s="99">
        <v>10152</v>
      </c>
      <c r="AB42" s="99">
        <v>10</v>
      </c>
      <c r="AC42" s="99">
        <v>8460</v>
      </c>
      <c r="AD42" s="99">
        <v>13</v>
      </c>
      <c r="AE42" s="99">
        <v>10998</v>
      </c>
      <c r="AF42" s="99">
        <v>18</v>
      </c>
      <c r="AG42" s="99">
        <v>15228</v>
      </c>
      <c r="AH42" s="99">
        <v>11</v>
      </c>
      <c r="AI42" s="99">
        <v>9306</v>
      </c>
      <c r="AJ42" s="99">
        <v>13</v>
      </c>
      <c r="AK42" s="99">
        <v>10998</v>
      </c>
      <c r="AL42" s="99">
        <v>12</v>
      </c>
      <c r="AM42" s="99">
        <v>10152</v>
      </c>
      <c r="AN42" s="99">
        <v>12</v>
      </c>
      <c r="AO42" s="99">
        <v>10152</v>
      </c>
      <c r="AP42" s="99">
        <v>16</v>
      </c>
      <c r="AQ42" s="99">
        <v>13536</v>
      </c>
      <c r="AR42" s="99">
        <v>16</v>
      </c>
      <c r="AS42" s="99">
        <v>13536</v>
      </c>
      <c r="AT42" s="99">
        <v>16</v>
      </c>
      <c r="AU42" s="99">
        <v>13536</v>
      </c>
      <c r="AV42" s="99">
        <v>15</v>
      </c>
      <c r="AW42" s="99">
        <v>12690</v>
      </c>
      <c r="AX42" s="99">
        <v>12</v>
      </c>
      <c r="AY42" s="99">
        <v>10152</v>
      </c>
      <c r="AZ42" s="99">
        <v>11</v>
      </c>
      <c r="BA42" s="99">
        <v>9306</v>
      </c>
      <c r="BB42" s="99">
        <v>18</v>
      </c>
      <c r="BC42" s="99">
        <v>15228</v>
      </c>
      <c r="BD42" s="99">
        <v>13</v>
      </c>
      <c r="BE42" s="99">
        <v>10998</v>
      </c>
      <c r="BF42" s="99">
        <v>19</v>
      </c>
      <c r="BG42" s="99">
        <v>16074</v>
      </c>
      <c r="BH42" s="99">
        <v>16</v>
      </c>
      <c r="BI42" s="99">
        <v>13536</v>
      </c>
      <c r="BJ42" s="99">
        <v>19</v>
      </c>
      <c r="BK42" s="99">
        <v>16074</v>
      </c>
      <c r="BL42" s="99">
        <v>18</v>
      </c>
      <c r="BM42" s="99">
        <v>15228</v>
      </c>
      <c r="BN42" s="99">
        <v>13</v>
      </c>
      <c r="BO42" s="99">
        <v>10998</v>
      </c>
      <c r="BP42" s="99">
        <v>15</v>
      </c>
      <c r="BQ42" s="99">
        <v>12690</v>
      </c>
      <c r="BR42" s="99">
        <v>18</v>
      </c>
      <c r="BS42" s="99">
        <v>15228</v>
      </c>
      <c r="BT42" s="99">
        <v>14</v>
      </c>
      <c r="BU42" s="99">
        <v>11844</v>
      </c>
      <c r="BV42" s="99">
        <v>19</v>
      </c>
      <c r="BW42" s="99">
        <v>16074</v>
      </c>
      <c r="BX42" s="99">
        <v>16</v>
      </c>
      <c r="BY42" s="99">
        <v>13536</v>
      </c>
      <c r="BZ42" s="99">
        <v>21</v>
      </c>
      <c r="CA42" s="99">
        <v>17766</v>
      </c>
      <c r="CB42" s="99">
        <v>17</v>
      </c>
      <c r="CC42" s="99">
        <v>14382</v>
      </c>
      <c r="CD42" s="99">
        <v>16</v>
      </c>
      <c r="CE42" s="99">
        <v>13536</v>
      </c>
      <c r="CF42" s="99">
        <v>11</v>
      </c>
      <c r="CG42" s="99">
        <v>9306</v>
      </c>
      <c r="CH42" s="99">
        <v>9</v>
      </c>
      <c r="CI42" s="99">
        <v>7614</v>
      </c>
      <c r="CJ42" s="99">
        <v>18</v>
      </c>
      <c r="CK42" s="99">
        <v>15228</v>
      </c>
      <c r="CL42" s="99">
        <v>17</v>
      </c>
      <c r="CM42" s="99">
        <v>14382</v>
      </c>
      <c r="CN42" s="99">
        <v>14</v>
      </c>
      <c r="CO42" s="99">
        <v>11844</v>
      </c>
      <c r="CP42" s="99">
        <v>17</v>
      </c>
      <c r="CQ42" s="99">
        <v>14382</v>
      </c>
      <c r="CR42" s="99">
        <v>9</v>
      </c>
      <c r="CS42" s="99">
        <v>7614</v>
      </c>
      <c r="CT42" s="99">
        <v>14</v>
      </c>
      <c r="CU42" s="99">
        <v>11844</v>
      </c>
    </row>
    <row r="43" spans="2:99">
      <c r="C43" s="98" t="s">
        <v>209</v>
      </c>
      <c r="D43" s="99">
        <v>13</v>
      </c>
      <c r="E43" s="99">
        <v>13291.199999999999</v>
      </c>
      <c r="F43" s="99">
        <v>12</v>
      </c>
      <c r="G43" s="99">
        <v>12268.8</v>
      </c>
      <c r="H43" s="99">
        <v>17</v>
      </c>
      <c r="I43" s="99">
        <v>17380.8</v>
      </c>
      <c r="J43" s="99">
        <v>17</v>
      </c>
      <c r="K43" s="99">
        <v>17380.8</v>
      </c>
      <c r="L43" s="99">
        <v>13</v>
      </c>
      <c r="M43" s="99">
        <v>13291.199999999999</v>
      </c>
      <c r="N43" s="99">
        <v>9</v>
      </c>
      <c r="O43" s="99">
        <v>9201.6</v>
      </c>
      <c r="P43" s="99">
        <v>11</v>
      </c>
      <c r="Q43" s="99">
        <v>11246.4</v>
      </c>
      <c r="R43" s="99">
        <v>11</v>
      </c>
      <c r="S43" s="99">
        <v>11246.4</v>
      </c>
      <c r="T43" s="99">
        <v>13</v>
      </c>
      <c r="U43" s="99">
        <v>13291.199999999999</v>
      </c>
      <c r="V43" s="99">
        <v>10</v>
      </c>
      <c r="W43" s="99">
        <v>10224</v>
      </c>
      <c r="X43" s="99">
        <v>19</v>
      </c>
      <c r="Y43" s="99">
        <v>19425.599999999999</v>
      </c>
      <c r="Z43" s="99">
        <v>13</v>
      </c>
      <c r="AA43" s="99">
        <v>13291.199999999999</v>
      </c>
      <c r="AB43" s="99">
        <v>10</v>
      </c>
      <c r="AC43" s="99">
        <v>10224</v>
      </c>
      <c r="AD43" s="99">
        <v>15</v>
      </c>
      <c r="AE43" s="99">
        <v>15336</v>
      </c>
      <c r="AF43" s="99">
        <v>17</v>
      </c>
      <c r="AG43" s="99">
        <v>17380.8</v>
      </c>
      <c r="AH43" s="99">
        <v>11</v>
      </c>
      <c r="AI43" s="99">
        <v>11246.4</v>
      </c>
      <c r="AJ43" s="99">
        <v>12</v>
      </c>
      <c r="AK43" s="99">
        <v>12268.8</v>
      </c>
      <c r="AL43" s="99">
        <v>12</v>
      </c>
      <c r="AM43" s="99">
        <v>12268.8</v>
      </c>
      <c r="AN43" s="99">
        <v>12</v>
      </c>
      <c r="AO43" s="99">
        <v>12268.8</v>
      </c>
      <c r="AP43" s="99">
        <v>14</v>
      </c>
      <c r="AQ43" s="99">
        <v>14313.6</v>
      </c>
      <c r="AR43" s="99">
        <v>17</v>
      </c>
      <c r="AS43" s="99">
        <v>17380.8</v>
      </c>
      <c r="AT43" s="99">
        <v>19</v>
      </c>
      <c r="AU43" s="99">
        <v>19425.599999999999</v>
      </c>
      <c r="AV43" s="99">
        <v>15</v>
      </c>
      <c r="AW43" s="99">
        <v>15336</v>
      </c>
      <c r="AX43" s="99">
        <v>12</v>
      </c>
      <c r="AY43" s="99">
        <v>12268.8</v>
      </c>
      <c r="AZ43" s="99">
        <v>10</v>
      </c>
      <c r="BA43" s="99">
        <v>10224</v>
      </c>
      <c r="BB43" s="99">
        <v>17</v>
      </c>
      <c r="BC43" s="99">
        <v>17380.8</v>
      </c>
      <c r="BD43" s="99">
        <v>13</v>
      </c>
      <c r="BE43" s="99">
        <v>13291.199999999999</v>
      </c>
      <c r="BF43" s="99">
        <v>18</v>
      </c>
      <c r="BG43" s="99">
        <v>18403.2</v>
      </c>
      <c r="BH43" s="99">
        <v>17</v>
      </c>
      <c r="BI43" s="99">
        <v>17380.8</v>
      </c>
      <c r="BJ43" s="99">
        <v>16</v>
      </c>
      <c r="BK43" s="99">
        <v>16358.4</v>
      </c>
      <c r="BL43" s="99">
        <v>16</v>
      </c>
      <c r="BM43" s="99">
        <v>16358.4</v>
      </c>
      <c r="BN43" s="99">
        <v>12</v>
      </c>
      <c r="BO43" s="99">
        <v>12268.8</v>
      </c>
      <c r="BP43" s="99">
        <v>15</v>
      </c>
      <c r="BQ43" s="99">
        <v>15336</v>
      </c>
      <c r="BR43" s="99">
        <v>18</v>
      </c>
      <c r="BS43" s="99">
        <v>18403.2</v>
      </c>
      <c r="BT43" s="99">
        <v>13</v>
      </c>
      <c r="BU43" s="99">
        <v>13291.199999999999</v>
      </c>
      <c r="BV43" s="99">
        <v>18</v>
      </c>
      <c r="BW43" s="99">
        <v>18403.2</v>
      </c>
      <c r="BX43" s="99">
        <v>15</v>
      </c>
      <c r="BY43" s="99">
        <v>15336</v>
      </c>
      <c r="BZ43" s="99">
        <v>20</v>
      </c>
      <c r="CA43" s="99">
        <v>20448</v>
      </c>
      <c r="CB43" s="99">
        <v>14</v>
      </c>
      <c r="CC43" s="99">
        <v>14313.6</v>
      </c>
      <c r="CD43" s="99">
        <v>15</v>
      </c>
      <c r="CE43" s="99">
        <v>15336</v>
      </c>
      <c r="CF43" s="99">
        <v>10</v>
      </c>
      <c r="CG43" s="99">
        <v>10224</v>
      </c>
      <c r="CH43" s="99">
        <v>10</v>
      </c>
      <c r="CI43" s="99">
        <v>10224</v>
      </c>
      <c r="CJ43" s="99">
        <v>17</v>
      </c>
      <c r="CK43" s="99">
        <v>17380.8</v>
      </c>
      <c r="CL43" s="99">
        <v>17</v>
      </c>
      <c r="CM43" s="99">
        <v>17380.8</v>
      </c>
      <c r="CN43" s="99">
        <v>14</v>
      </c>
      <c r="CO43" s="99">
        <v>14313.6</v>
      </c>
      <c r="CP43" s="99">
        <v>17</v>
      </c>
      <c r="CQ43" s="99">
        <v>17380.8</v>
      </c>
      <c r="CR43" s="99">
        <v>10</v>
      </c>
      <c r="CS43" s="99">
        <v>10224</v>
      </c>
      <c r="CT43" s="99">
        <v>12</v>
      </c>
      <c r="CU43" s="99">
        <v>12268.8</v>
      </c>
    </row>
    <row r="44" spans="2:99">
      <c r="C44" s="98" t="s">
        <v>210</v>
      </c>
      <c r="D44" s="99">
        <v>12</v>
      </c>
      <c r="E44" s="99">
        <v>12268.8</v>
      </c>
      <c r="F44" s="99">
        <v>11</v>
      </c>
      <c r="G44" s="99">
        <v>11246.4</v>
      </c>
      <c r="H44" s="99">
        <v>14</v>
      </c>
      <c r="I44" s="99">
        <v>14313.6</v>
      </c>
      <c r="J44" s="99">
        <v>17</v>
      </c>
      <c r="K44" s="99">
        <v>17380.8</v>
      </c>
      <c r="L44" s="99">
        <v>13</v>
      </c>
      <c r="M44" s="99">
        <v>13291.199999999999</v>
      </c>
      <c r="N44" s="99">
        <v>11</v>
      </c>
      <c r="O44" s="99">
        <v>11246.4</v>
      </c>
      <c r="P44" s="99">
        <v>11</v>
      </c>
      <c r="Q44" s="99">
        <v>11246.4</v>
      </c>
      <c r="R44" s="99">
        <v>12</v>
      </c>
      <c r="S44" s="99">
        <v>12268.8</v>
      </c>
      <c r="T44" s="99">
        <v>15</v>
      </c>
      <c r="U44" s="99">
        <v>15336</v>
      </c>
      <c r="V44" s="99">
        <v>10</v>
      </c>
      <c r="W44" s="99">
        <v>10224</v>
      </c>
      <c r="X44" s="99">
        <v>19</v>
      </c>
      <c r="Y44" s="99">
        <v>19425.599999999999</v>
      </c>
      <c r="Z44" s="99">
        <v>13</v>
      </c>
      <c r="AA44" s="99">
        <v>13291.199999999999</v>
      </c>
      <c r="AB44" s="99">
        <v>10</v>
      </c>
      <c r="AC44" s="99">
        <v>10224</v>
      </c>
      <c r="AD44" s="99">
        <v>13</v>
      </c>
      <c r="AE44" s="99">
        <v>13291.199999999999</v>
      </c>
      <c r="AF44" s="99">
        <v>17</v>
      </c>
      <c r="AG44" s="99">
        <v>17380.8</v>
      </c>
      <c r="AH44" s="99">
        <v>11</v>
      </c>
      <c r="AI44" s="99">
        <v>11246.4</v>
      </c>
      <c r="AJ44" s="99">
        <v>13</v>
      </c>
      <c r="AK44" s="99">
        <v>13291.199999999999</v>
      </c>
      <c r="AL44" s="99">
        <v>12</v>
      </c>
      <c r="AM44" s="99">
        <v>12268.8</v>
      </c>
      <c r="AN44" s="99">
        <v>13</v>
      </c>
      <c r="AO44" s="99">
        <v>13291.199999999999</v>
      </c>
      <c r="AP44" s="99">
        <v>16</v>
      </c>
      <c r="AQ44" s="99">
        <v>16358.4</v>
      </c>
      <c r="AR44" s="99">
        <v>17</v>
      </c>
      <c r="AS44" s="99">
        <v>17380.8</v>
      </c>
      <c r="AT44" s="99">
        <v>16</v>
      </c>
      <c r="AU44" s="99">
        <v>16358.4</v>
      </c>
      <c r="AV44" s="99">
        <v>17</v>
      </c>
      <c r="AW44" s="99">
        <v>17380.8</v>
      </c>
      <c r="AX44" s="99">
        <v>11</v>
      </c>
      <c r="AY44" s="99">
        <v>11246.4</v>
      </c>
      <c r="AZ44" s="99">
        <v>12</v>
      </c>
      <c r="BA44" s="99">
        <v>12268.8</v>
      </c>
      <c r="BB44" s="99">
        <v>18</v>
      </c>
      <c r="BC44" s="99">
        <v>18403.2</v>
      </c>
      <c r="BD44" s="99">
        <v>15</v>
      </c>
      <c r="BE44" s="99">
        <v>15336</v>
      </c>
      <c r="BF44" s="99">
        <v>18</v>
      </c>
      <c r="BG44" s="99">
        <v>18403.2</v>
      </c>
      <c r="BH44" s="99">
        <v>17</v>
      </c>
      <c r="BI44" s="99">
        <v>17380.8</v>
      </c>
      <c r="BJ44" s="99">
        <v>16</v>
      </c>
      <c r="BK44" s="99">
        <v>16358.4</v>
      </c>
      <c r="BL44" s="99">
        <v>16</v>
      </c>
      <c r="BM44" s="99">
        <v>16358.4</v>
      </c>
      <c r="BN44" s="99">
        <v>12</v>
      </c>
      <c r="BO44" s="99">
        <v>12268.8</v>
      </c>
      <c r="BP44" s="99">
        <v>15</v>
      </c>
      <c r="BQ44" s="99">
        <v>15336</v>
      </c>
      <c r="BR44" s="99">
        <v>16</v>
      </c>
      <c r="BS44" s="99">
        <v>16358.4</v>
      </c>
      <c r="BT44" s="99">
        <v>12</v>
      </c>
      <c r="BU44" s="99">
        <v>12268.8</v>
      </c>
      <c r="BV44" s="99">
        <v>19</v>
      </c>
      <c r="BW44" s="99">
        <v>19425.599999999999</v>
      </c>
      <c r="BX44" s="99">
        <v>15</v>
      </c>
      <c r="BY44" s="99">
        <v>15336</v>
      </c>
      <c r="BZ44" s="99">
        <v>19</v>
      </c>
      <c r="CA44" s="99">
        <v>19425.599999999999</v>
      </c>
      <c r="CB44" s="99">
        <v>14</v>
      </c>
      <c r="CC44" s="99">
        <v>14313.6</v>
      </c>
      <c r="CD44" s="99">
        <v>16</v>
      </c>
      <c r="CE44" s="99">
        <v>16358.4</v>
      </c>
      <c r="CF44" s="99">
        <v>10</v>
      </c>
      <c r="CG44" s="99">
        <v>10224</v>
      </c>
      <c r="CH44" s="99">
        <v>11</v>
      </c>
      <c r="CI44" s="99">
        <v>11246.4</v>
      </c>
      <c r="CJ44" s="99">
        <v>17</v>
      </c>
      <c r="CK44" s="99">
        <v>17380.8</v>
      </c>
      <c r="CL44" s="99">
        <v>16</v>
      </c>
      <c r="CM44" s="99">
        <v>16358.4</v>
      </c>
      <c r="CN44" s="99">
        <v>13</v>
      </c>
      <c r="CO44" s="99">
        <v>13291.199999999999</v>
      </c>
      <c r="CP44" s="99">
        <v>15</v>
      </c>
      <c r="CQ44" s="99">
        <v>15336</v>
      </c>
      <c r="CR44" s="99">
        <v>10</v>
      </c>
      <c r="CS44" s="99">
        <v>10224</v>
      </c>
      <c r="CT44" s="99">
        <v>15</v>
      </c>
      <c r="CU44" s="99">
        <v>15336</v>
      </c>
    </row>
    <row r="45" spans="2:99">
      <c r="C45" s="98" t="s">
        <v>211</v>
      </c>
      <c r="D45" s="99">
        <v>13</v>
      </c>
      <c r="E45" s="99">
        <v>16239.6</v>
      </c>
      <c r="F45" s="99">
        <v>11</v>
      </c>
      <c r="G45" s="99">
        <v>13741.2</v>
      </c>
      <c r="H45" s="99">
        <v>16</v>
      </c>
      <c r="I45" s="99">
        <v>19987.2</v>
      </c>
      <c r="J45" s="99">
        <v>17</v>
      </c>
      <c r="K45" s="99">
        <v>21236.400000000001</v>
      </c>
      <c r="L45" s="99">
        <v>15</v>
      </c>
      <c r="M45" s="99">
        <v>18738</v>
      </c>
      <c r="N45" s="99">
        <v>10</v>
      </c>
      <c r="O45" s="99">
        <v>12492</v>
      </c>
      <c r="P45" s="99">
        <v>9</v>
      </c>
      <c r="Q45" s="99">
        <v>11242.800000000001</v>
      </c>
      <c r="R45" s="99">
        <v>10</v>
      </c>
      <c r="S45" s="99">
        <v>12492</v>
      </c>
      <c r="T45" s="99">
        <v>12</v>
      </c>
      <c r="U45" s="99">
        <v>14990.400000000001</v>
      </c>
      <c r="V45" s="99">
        <v>11</v>
      </c>
      <c r="W45" s="99">
        <v>13741.2</v>
      </c>
      <c r="X45" s="99">
        <v>16</v>
      </c>
      <c r="Y45" s="99">
        <v>19987.2</v>
      </c>
      <c r="Z45" s="99">
        <v>14</v>
      </c>
      <c r="AA45" s="99">
        <v>17488.8</v>
      </c>
      <c r="AB45" s="99">
        <v>10</v>
      </c>
      <c r="AC45" s="99">
        <v>12492</v>
      </c>
      <c r="AD45" s="99">
        <v>12</v>
      </c>
      <c r="AE45" s="99">
        <v>14990.400000000001</v>
      </c>
      <c r="AF45" s="99">
        <v>15</v>
      </c>
      <c r="AG45" s="99">
        <v>18738</v>
      </c>
      <c r="AH45" s="99">
        <v>10</v>
      </c>
      <c r="AI45" s="99">
        <v>12492</v>
      </c>
      <c r="AJ45" s="99">
        <v>14</v>
      </c>
      <c r="AK45" s="99">
        <v>17488.8</v>
      </c>
      <c r="AL45" s="99">
        <v>11</v>
      </c>
      <c r="AM45" s="99">
        <v>13741.2</v>
      </c>
      <c r="AN45" s="99">
        <v>13</v>
      </c>
      <c r="AO45" s="99">
        <v>16239.6</v>
      </c>
      <c r="AP45" s="99">
        <v>16</v>
      </c>
      <c r="AQ45" s="99">
        <v>19987.2</v>
      </c>
      <c r="AR45" s="99">
        <v>16</v>
      </c>
      <c r="AS45" s="99">
        <v>19987.2</v>
      </c>
      <c r="AT45" s="99">
        <v>15</v>
      </c>
      <c r="AU45" s="99">
        <v>18738</v>
      </c>
      <c r="AV45" s="99">
        <v>17</v>
      </c>
      <c r="AW45" s="99">
        <v>21236.400000000001</v>
      </c>
      <c r="AX45" s="99">
        <v>11</v>
      </c>
      <c r="AY45" s="99">
        <v>13741.2</v>
      </c>
      <c r="AZ45" s="99">
        <v>11</v>
      </c>
      <c r="BA45" s="99">
        <v>13741.2</v>
      </c>
      <c r="BB45" s="99">
        <v>16</v>
      </c>
      <c r="BC45" s="99">
        <v>19987.2</v>
      </c>
      <c r="BD45" s="99">
        <v>13</v>
      </c>
      <c r="BE45" s="99">
        <v>16239.6</v>
      </c>
      <c r="BF45" s="99">
        <v>17</v>
      </c>
      <c r="BG45" s="99">
        <v>21236.400000000001</v>
      </c>
      <c r="BH45" s="99">
        <v>17</v>
      </c>
      <c r="BI45" s="99">
        <v>21236.400000000001</v>
      </c>
      <c r="BJ45" s="99">
        <v>16</v>
      </c>
      <c r="BK45" s="99">
        <v>19987.2</v>
      </c>
      <c r="BL45" s="99">
        <v>19</v>
      </c>
      <c r="BM45" s="99">
        <v>23734.799999999999</v>
      </c>
      <c r="BN45" s="99">
        <v>14</v>
      </c>
      <c r="BO45" s="99">
        <v>17488.8</v>
      </c>
      <c r="BP45" s="99">
        <v>14</v>
      </c>
      <c r="BQ45" s="99">
        <v>17488.8</v>
      </c>
      <c r="BR45" s="99">
        <v>17</v>
      </c>
      <c r="BS45" s="99">
        <v>21236.400000000001</v>
      </c>
      <c r="BT45" s="99">
        <v>13</v>
      </c>
      <c r="BU45" s="99">
        <v>16239.6</v>
      </c>
      <c r="BV45" s="99">
        <v>19</v>
      </c>
      <c r="BW45" s="99">
        <v>23734.799999999999</v>
      </c>
      <c r="BX45" s="99">
        <v>15</v>
      </c>
      <c r="BY45" s="99">
        <v>18738</v>
      </c>
      <c r="BZ45" s="99">
        <v>18</v>
      </c>
      <c r="CA45" s="99">
        <v>22485.600000000002</v>
      </c>
      <c r="CB45" s="99">
        <v>15</v>
      </c>
      <c r="CC45" s="99">
        <v>18738</v>
      </c>
      <c r="CD45" s="99">
        <v>14</v>
      </c>
      <c r="CE45" s="99">
        <v>17488.8</v>
      </c>
      <c r="CF45" s="99">
        <v>12</v>
      </c>
      <c r="CG45" s="99">
        <v>14990.400000000001</v>
      </c>
      <c r="CH45" s="99">
        <v>9</v>
      </c>
      <c r="CI45" s="99">
        <v>11242.800000000001</v>
      </c>
      <c r="CJ45" s="99">
        <v>18</v>
      </c>
      <c r="CK45" s="99">
        <v>22485.600000000002</v>
      </c>
      <c r="CL45" s="99">
        <v>16</v>
      </c>
      <c r="CM45" s="99">
        <v>19987.2</v>
      </c>
      <c r="CN45" s="99">
        <v>12</v>
      </c>
      <c r="CO45" s="99">
        <v>14990.400000000001</v>
      </c>
      <c r="CP45" s="99">
        <v>15</v>
      </c>
      <c r="CQ45" s="99">
        <v>18738</v>
      </c>
      <c r="CR45" s="99">
        <v>9</v>
      </c>
      <c r="CS45" s="99">
        <v>11242.800000000001</v>
      </c>
      <c r="CT45" s="99">
        <v>12</v>
      </c>
      <c r="CU45" s="99">
        <v>14990.400000000001</v>
      </c>
    </row>
    <row r="46" spans="2:99">
      <c r="C46" s="98" t="s">
        <v>212</v>
      </c>
      <c r="D46" s="99">
        <v>13</v>
      </c>
      <c r="E46" s="99">
        <v>15756</v>
      </c>
      <c r="F46" s="99">
        <v>13</v>
      </c>
      <c r="G46" s="99">
        <v>15756</v>
      </c>
      <c r="H46" s="99">
        <v>16</v>
      </c>
      <c r="I46" s="99">
        <v>19392</v>
      </c>
      <c r="J46" s="99">
        <v>20</v>
      </c>
      <c r="K46" s="99">
        <v>24240</v>
      </c>
      <c r="L46" s="99">
        <v>15</v>
      </c>
      <c r="M46" s="99">
        <v>18180</v>
      </c>
      <c r="N46" s="99">
        <v>10</v>
      </c>
      <c r="O46" s="99">
        <v>12120</v>
      </c>
      <c r="P46" s="99">
        <v>10</v>
      </c>
      <c r="Q46" s="99">
        <v>12120</v>
      </c>
      <c r="R46" s="99">
        <v>11</v>
      </c>
      <c r="S46" s="99">
        <v>13332</v>
      </c>
      <c r="T46" s="99">
        <v>14</v>
      </c>
      <c r="U46" s="99">
        <v>16968</v>
      </c>
      <c r="V46" s="99">
        <v>11</v>
      </c>
      <c r="W46" s="99">
        <v>13332</v>
      </c>
      <c r="X46" s="99">
        <v>18</v>
      </c>
      <c r="Y46" s="99">
        <v>21816</v>
      </c>
      <c r="Z46" s="99">
        <v>12</v>
      </c>
      <c r="AA46" s="99">
        <v>14544</v>
      </c>
      <c r="AB46" s="99">
        <v>10</v>
      </c>
      <c r="AC46" s="99">
        <v>12120</v>
      </c>
      <c r="AD46" s="99">
        <v>12</v>
      </c>
      <c r="AE46" s="99">
        <v>14544</v>
      </c>
      <c r="AF46" s="99">
        <v>17</v>
      </c>
      <c r="AG46" s="99">
        <v>20604</v>
      </c>
      <c r="AH46" s="99">
        <v>11</v>
      </c>
      <c r="AI46" s="99">
        <v>13332</v>
      </c>
      <c r="AJ46" s="99">
        <v>13</v>
      </c>
      <c r="AK46" s="99">
        <v>15756</v>
      </c>
      <c r="AL46" s="99">
        <v>10</v>
      </c>
      <c r="AM46" s="99">
        <v>12120</v>
      </c>
      <c r="AN46" s="99">
        <v>13</v>
      </c>
      <c r="AO46" s="99">
        <v>15756</v>
      </c>
      <c r="AP46" s="99">
        <v>15</v>
      </c>
      <c r="AQ46" s="99">
        <v>18180</v>
      </c>
      <c r="AR46" s="99">
        <v>17</v>
      </c>
      <c r="AS46" s="99">
        <v>20604</v>
      </c>
      <c r="AT46" s="99">
        <v>17</v>
      </c>
      <c r="AU46" s="99">
        <v>20604</v>
      </c>
      <c r="AV46" s="99">
        <v>14</v>
      </c>
      <c r="AW46" s="99">
        <v>16968</v>
      </c>
      <c r="AX46" s="99">
        <v>11</v>
      </c>
      <c r="AY46" s="99">
        <v>13332</v>
      </c>
      <c r="AZ46" s="99">
        <v>12</v>
      </c>
      <c r="BA46" s="99">
        <v>14544</v>
      </c>
      <c r="BB46" s="99">
        <v>17</v>
      </c>
      <c r="BC46" s="99">
        <v>20604</v>
      </c>
      <c r="BD46" s="99">
        <v>15</v>
      </c>
      <c r="BE46" s="99">
        <v>18180</v>
      </c>
      <c r="BF46" s="99">
        <v>17</v>
      </c>
      <c r="BG46" s="99">
        <v>20604</v>
      </c>
      <c r="BH46" s="99">
        <v>18</v>
      </c>
      <c r="BI46" s="99">
        <v>21816</v>
      </c>
      <c r="BJ46" s="99">
        <v>18</v>
      </c>
      <c r="BK46" s="99">
        <v>21816</v>
      </c>
      <c r="BL46" s="99">
        <v>17</v>
      </c>
      <c r="BM46" s="99">
        <v>20604</v>
      </c>
      <c r="BN46" s="99">
        <v>12</v>
      </c>
      <c r="BO46" s="99">
        <v>14544</v>
      </c>
      <c r="BP46" s="99">
        <v>14</v>
      </c>
      <c r="BQ46" s="99">
        <v>16968</v>
      </c>
      <c r="BR46" s="99">
        <v>17</v>
      </c>
      <c r="BS46" s="99">
        <v>20604</v>
      </c>
      <c r="BT46" s="99">
        <v>14</v>
      </c>
      <c r="BU46" s="99">
        <v>16968</v>
      </c>
      <c r="BV46" s="99">
        <v>18</v>
      </c>
      <c r="BW46" s="99">
        <v>21816</v>
      </c>
      <c r="BX46" s="99">
        <v>15</v>
      </c>
      <c r="BY46" s="99">
        <v>18180</v>
      </c>
      <c r="BZ46" s="99">
        <v>18</v>
      </c>
      <c r="CA46" s="99">
        <v>21816</v>
      </c>
      <c r="CB46" s="99">
        <v>16</v>
      </c>
      <c r="CC46" s="99">
        <v>19392</v>
      </c>
      <c r="CD46" s="99">
        <v>15</v>
      </c>
      <c r="CE46" s="99">
        <v>18180</v>
      </c>
      <c r="CF46" s="99">
        <v>10</v>
      </c>
      <c r="CG46" s="99">
        <v>12120</v>
      </c>
      <c r="CH46" s="99">
        <v>10</v>
      </c>
      <c r="CI46" s="99">
        <v>12120</v>
      </c>
      <c r="CJ46" s="99">
        <v>15</v>
      </c>
      <c r="CK46" s="99">
        <v>18180</v>
      </c>
      <c r="CL46" s="99">
        <v>14</v>
      </c>
      <c r="CM46" s="99">
        <v>16968</v>
      </c>
      <c r="CN46" s="99">
        <v>14</v>
      </c>
      <c r="CO46" s="99">
        <v>16968</v>
      </c>
      <c r="CP46" s="99">
        <v>16</v>
      </c>
      <c r="CQ46" s="99">
        <v>19392</v>
      </c>
      <c r="CR46" s="99">
        <v>10</v>
      </c>
      <c r="CS46" s="99">
        <v>12120</v>
      </c>
      <c r="CT46" s="99">
        <v>12</v>
      </c>
      <c r="CU46" s="99">
        <v>14544</v>
      </c>
    </row>
    <row r="47" spans="2:99">
      <c r="C47" s="98" t="s">
        <v>213</v>
      </c>
      <c r="D47" s="99">
        <v>13</v>
      </c>
      <c r="E47" s="99">
        <v>19858.8</v>
      </c>
      <c r="F47" s="99">
        <v>10</v>
      </c>
      <c r="G47" s="99">
        <v>15276</v>
      </c>
      <c r="H47" s="99">
        <v>16</v>
      </c>
      <c r="I47" s="99">
        <v>24441.599999999999</v>
      </c>
      <c r="J47" s="99">
        <v>19</v>
      </c>
      <c r="K47" s="99">
        <v>29024.399999999998</v>
      </c>
      <c r="L47" s="99">
        <v>15</v>
      </c>
      <c r="M47" s="99">
        <v>22914</v>
      </c>
      <c r="N47" s="99">
        <v>10</v>
      </c>
      <c r="O47" s="99">
        <v>15276</v>
      </c>
      <c r="P47" s="99">
        <v>9</v>
      </c>
      <c r="Q47" s="99">
        <v>13748.4</v>
      </c>
      <c r="R47" s="99">
        <v>11</v>
      </c>
      <c r="S47" s="99">
        <v>16803.599999999999</v>
      </c>
      <c r="T47" s="99">
        <v>14</v>
      </c>
      <c r="U47" s="99">
        <v>21386.399999999998</v>
      </c>
      <c r="V47" s="99">
        <v>11</v>
      </c>
      <c r="W47" s="99">
        <v>16803.599999999999</v>
      </c>
      <c r="X47" s="99">
        <v>17</v>
      </c>
      <c r="Y47" s="99">
        <v>25969.199999999997</v>
      </c>
      <c r="Z47" s="99">
        <v>13</v>
      </c>
      <c r="AA47" s="99">
        <v>19858.8</v>
      </c>
      <c r="AB47" s="99">
        <v>10</v>
      </c>
      <c r="AC47" s="99">
        <v>15276</v>
      </c>
      <c r="AD47" s="99">
        <v>14</v>
      </c>
      <c r="AE47" s="99">
        <v>21386.399999999998</v>
      </c>
      <c r="AF47" s="99">
        <v>16</v>
      </c>
      <c r="AG47" s="99">
        <v>24441.599999999999</v>
      </c>
      <c r="AH47" s="99">
        <v>11</v>
      </c>
      <c r="AI47" s="99">
        <v>16803.599999999999</v>
      </c>
      <c r="AJ47" s="99">
        <v>11</v>
      </c>
      <c r="AK47" s="99">
        <v>16803.599999999999</v>
      </c>
      <c r="AL47" s="99">
        <v>11</v>
      </c>
      <c r="AM47" s="99">
        <v>16803.599999999999</v>
      </c>
      <c r="AN47" s="99">
        <v>13</v>
      </c>
      <c r="AO47" s="99">
        <v>19858.8</v>
      </c>
      <c r="AP47" s="99">
        <v>14</v>
      </c>
      <c r="AQ47" s="99">
        <v>21386.399999999998</v>
      </c>
      <c r="AR47" s="99">
        <v>16</v>
      </c>
      <c r="AS47" s="99">
        <v>24441.599999999999</v>
      </c>
      <c r="AT47" s="99">
        <v>15</v>
      </c>
      <c r="AU47" s="99">
        <v>22914</v>
      </c>
      <c r="AV47" s="99">
        <v>15</v>
      </c>
      <c r="AW47" s="99">
        <v>22914</v>
      </c>
      <c r="AX47" s="99">
        <v>12</v>
      </c>
      <c r="AY47" s="99">
        <v>18331.199999999997</v>
      </c>
      <c r="AZ47" s="99">
        <v>10</v>
      </c>
      <c r="BA47" s="99">
        <v>15276</v>
      </c>
      <c r="BB47" s="99">
        <v>14</v>
      </c>
      <c r="BC47" s="99">
        <v>21386.399999999998</v>
      </c>
      <c r="BD47" s="99">
        <v>13</v>
      </c>
      <c r="BE47" s="99">
        <v>19858.8</v>
      </c>
      <c r="BF47" s="99">
        <v>18</v>
      </c>
      <c r="BG47" s="99">
        <v>27496.799999999999</v>
      </c>
      <c r="BH47" s="99">
        <v>17</v>
      </c>
      <c r="BI47" s="99">
        <v>25969.199999999997</v>
      </c>
      <c r="BJ47" s="99">
        <v>18</v>
      </c>
      <c r="BK47" s="99">
        <v>27496.799999999999</v>
      </c>
      <c r="BL47" s="99">
        <v>16</v>
      </c>
      <c r="BM47" s="99">
        <v>24441.599999999999</v>
      </c>
      <c r="BN47" s="99">
        <v>12</v>
      </c>
      <c r="BO47" s="99">
        <v>18331.199999999997</v>
      </c>
      <c r="BP47" s="99">
        <v>14</v>
      </c>
      <c r="BQ47" s="99">
        <v>21386.399999999998</v>
      </c>
      <c r="BR47" s="99">
        <v>18</v>
      </c>
      <c r="BS47" s="99">
        <v>27496.799999999999</v>
      </c>
      <c r="BT47" s="99">
        <v>11</v>
      </c>
      <c r="BU47" s="99">
        <v>16803.599999999999</v>
      </c>
      <c r="BV47" s="99">
        <v>17</v>
      </c>
      <c r="BW47" s="99">
        <v>25969.199999999997</v>
      </c>
      <c r="BX47" s="99">
        <v>13</v>
      </c>
      <c r="BY47" s="99">
        <v>19858.8</v>
      </c>
      <c r="BZ47" s="99">
        <v>19</v>
      </c>
      <c r="CA47" s="99">
        <v>29024.399999999998</v>
      </c>
      <c r="CB47" s="99">
        <v>16</v>
      </c>
      <c r="CC47" s="99">
        <v>24441.599999999999</v>
      </c>
      <c r="CD47" s="99">
        <v>16</v>
      </c>
      <c r="CE47" s="99">
        <v>24441.599999999999</v>
      </c>
      <c r="CF47" s="99">
        <v>11</v>
      </c>
      <c r="CG47" s="99">
        <v>16803.599999999999</v>
      </c>
      <c r="CH47" s="99">
        <v>9</v>
      </c>
      <c r="CI47" s="99">
        <v>13748.4</v>
      </c>
      <c r="CJ47" s="99">
        <v>17</v>
      </c>
      <c r="CK47" s="99">
        <v>25969.199999999997</v>
      </c>
      <c r="CL47" s="99">
        <v>15</v>
      </c>
      <c r="CM47" s="99">
        <v>22914</v>
      </c>
      <c r="CN47" s="99">
        <v>13</v>
      </c>
      <c r="CO47" s="99">
        <v>19858.8</v>
      </c>
      <c r="CP47" s="99">
        <v>16</v>
      </c>
      <c r="CQ47" s="99">
        <v>24441.599999999999</v>
      </c>
      <c r="CR47" s="99">
        <v>10</v>
      </c>
      <c r="CS47" s="99">
        <v>15276</v>
      </c>
      <c r="CT47" s="99">
        <v>13</v>
      </c>
      <c r="CU47" s="99">
        <v>19858.8</v>
      </c>
    </row>
    <row r="48" spans="2:99">
      <c r="C48" s="98" t="s">
        <v>214</v>
      </c>
      <c r="D48" s="99">
        <v>13</v>
      </c>
      <c r="E48" s="99">
        <v>11278.800000000001</v>
      </c>
      <c r="F48" s="99">
        <v>12</v>
      </c>
      <c r="G48" s="99">
        <v>10411.200000000001</v>
      </c>
      <c r="H48" s="99">
        <v>15</v>
      </c>
      <c r="I48" s="99">
        <v>13014</v>
      </c>
      <c r="J48" s="99">
        <v>19</v>
      </c>
      <c r="K48" s="99">
        <v>16484.400000000001</v>
      </c>
      <c r="L48" s="99">
        <v>14</v>
      </c>
      <c r="M48" s="99">
        <v>12146.4</v>
      </c>
      <c r="N48" s="99">
        <v>10</v>
      </c>
      <c r="O48" s="99">
        <v>8676</v>
      </c>
      <c r="P48" s="99">
        <v>11</v>
      </c>
      <c r="Q48" s="99">
        <v>9543.6</v>
      </c>
      <c r="R48" s="99">
        <v>12</v>
      </c>
      <c r="S48" s="99">
        <v>10411.200000000001</v>
      </c>
      <c r="T48" s="99">
        <v>14</v>
      </c>
      <c r="U48" s="99">
        <v>12146.4</v>
      </c>
      <c r="V48" s="99">
        <v>11</v>
      </c>
      <c r="W48" s="99">
        <v>9543.6</v>
      </c>
      <c r="X48" s="99">
        <v>19</v>
      </c>
      <c r="Y48" s="99">
        <v>16484.400000000001</v>
      </c>
      <c r="Z48" s="99">
        <v>14</v>
      </c>
      <c r="AA48" s="99">
        <v>12146.4</v>
      </c>
      <c r="AB48" s="99">
        <v>10</v>
      </c>
      <c r="AC48" s="99">
        <v>8676</v>
      </c>
      <c r="AD48" s="99">
        <v>14</v>
      </c>
      <c r="AE48" s="99">
        <v>12146.4</v>
      </c>
      <c r="AF48" s="99">
        <v>17</v>
      </c>
      <c r="AG48" s="99">
        <v>14749.2</v>
      </c>
      <c r="AH48" s="99">
        <v>12</v>
      </c>
      <c r="AI48" s="99">
        <v>10411.200000000001</v>
      </c>
      <c r="AJ48" s="99">
        <v>14</v>
      </c>
      <c r="AK48" s="99">
        <v>12146.4</v>
      </c>
      <c r="AL48" s="99">
        <v>12</v>
      </c>
      <c r="AM48" s="99">
        <v>10411.200000000001</v>
      </c>
      <c r="AN48" s="99">
        <v>13</v>
      </c>
      <c r="AO48" s="99">
        <v>11278.800000000001</v>
      </c>
      <c r="AP48" s="99">
        <v>15</v>
      </c>
      <c r="AQ48" s="99">
        <v>13014</v>
      </c>
      <c r="AR48" s="99">
        <v>18</v>
      </c>
      <c r="AS48" s="99">
        <v>15616.800000000001</v>
      </c>
      <c r="AT48" s="99">
        <v>19</v>
      </c>
      <c r="AU48" s="99">
        <v>16484.400000000001</v>
      </c>
      <c r="AV48" s="99">
        <v>17</v>
      </c>
      <c r="AW48" s="99">
        <v>14749.2</v>
      </c>
      <c r="AX48" s="99">
        <v>12</v>
      </c>
      <c r="AY48" s="99">
        <v>10411.200000000001</v>
      </c>
      <c r="AZ48" s="99">
        <v>10</v>
      </c>
      <c r="BA48" s="99">
        <v>8676</v>
      </c>
      <c r="BB48" s="99">
        <v>16</v>
      </c>
      <c r="BC48" s="99">
        <v>13881.6</v>
      </c>
      <c r="BD48" s="99">
        <v>14</v>
      </c>
      <c r="BE48" s="99">
        <v>12146.4</v>
      </c>
      <c r="BF48" s="99">
        <v>19</v>
      </c>
      <c r="BG48" s="99">
        <v>16484.400000000001</v>
      </c>
      <c r="BH48" s="99">
        <v>18</v>
      </c>
      <c r="BI48" s="99">
        <v>15616.800000000001</v>
      </c>
      <c r="BJ48" s="99">
        <v>19</v>
      </c>
      <c r="BK48" s="99">
        <v>16484.400000000001</v>
      </c>
      <c r="BL48" s="99">
        <v>18</v>
      </c>
      <c r="BM48" s="99">
        <v>15616.800000000001</v>
      </c>
      <c r="BN48" s="99">
        <v>13</v>
      </c>
      <c r="BO48" s="99">
        <v>11278.800000000001</v>
      </c>
      <c r="BP48" s="99">
        <v>15</v>
      </c>
      <c r="BQ48" s="99">
        <v>13014</v>
      </c>
      <c r="BR48" s="99">
        <v>19</v>
      </c>
      <c r="BS48" s="99">
        <v>16484.400000000001</v>
      </c>
      <c r="BT48" s="99">
        <v>13</v>
      </c>
      <c r="BU48" s="99">
        <v>11278.800000000001</v>
      </c>
      <c r="BV48" s="99">
        <v>17</v>
      </c>
      <c r="BW48" s="99">
        <v>14749.2</v>
      </c>
      <c r="BX48" s="99">
        <v>15</v>
      </c>
      <c r="BY48" s="99">
        <v>13014</v>
      </c>
      <c r="BZ48" s="99">
        <v>17</v>
      </c>
      <c r="CA48" s="99">
        <v>14749.2</v>
      </c>
      <c r="CB48" s="99">
        <v>15</v>
      </c>
      <c r="CC48" s="99">
        <v>13014</v>
      </c>
      <c r="CD48" s="99">
        <v>16</v>
      </c>
      <c r="CE48" s="99">
        <v>13881.6</v>
      </c>
      <c r="CF48" s="99">
        <v>10</v>
      </c>
      <c r="CG48" s="99">
        <v>8676</v>
      </c>
      <c r="CH48" s="99">
        <v>9</v>
      </c>
      <c r="CI48" s="99">
        <v>7808.4000000000005</v>
      </c>
      <c r="CJ48" s="99">
        <v>17</v>
      </c>
      <c r="CK48" s="99">
        <v>14749.2</v>
      </c>
      <c r="CL48" s="99">
        <v>15</v>
      </c>
      <c r="CM48" s="99">
        <v>13014</v>
      </c>
      <c r="CN48" s="99">
        <v>13</v>
      </c>
      <c r="CO48" s="99">
        <v>11278.800000000001</v>
      </c>
      <c r="CP48" s="99">
        <v>18</v>
      </c>
      <c r="CQ48" s="99">
        <v>15616.800000000001</v>
      </c>
      <c r="CR48" s="99">
        <v>9</v>
      </c>
      <c r="CS48" s="99">
        <v>7808.4000000000005</v>
      </c>
      <c r="CT48" s="99">
        <v>15</v>
      </c>
      <c r="CU48" s="99">
        <v>13014</v>
      </c>
    </row>
    <row r="49" spans="2:99">
      <c r="B49" s="98" t="s">
        <v>129</v>
      </c>
      <c r="C49" s="98" t="s">
        <v>215</v>
      </c>
      <c r="D49" s="99">
        <v>10</v>
      </c>
      <c r="E49" s="99">
        <v>9852</v>
      </c>
      <c r="F49" s="99">
        <v>13</v>
      </c>
      <c r="G49" s="99">
        <v>12807.599999999999</v>
      </c>
      <c r="H49" s="99">
        <v>12</v>
      </c>
      <c r="I49" s="99">
        <v>11822.4</v>
      </c>
      <c r="J49" s="99">
        <v>13</v>
      </c>
      <c r="K49" s="99">
        <v>12807.599999999999</v>
      </c>
      <c r="L49" s="99">
        <v>13</v>
      </c>
      <c r="M49" s="99">
        <v>12807.599999999999</v>
      </c>
      <c r="N49" s="99">
        <v>12</v>
      </c>
      <c r="O49" s="99">
        <v>11822.4</v>
      </c>
      <c r="P49" s="99">
        <v>9</v>
      </c>
      <c r="Q49" s="99">
        <v>8866.7999999999993</v>
      </c>
      <c r="R49" s="99">
        <v>9</v>
      </c>
      <c r="S49" s="99">
        <v>8866.7999999999993</v>
      </c>
      <c r="T49" s="99">
        <v>14</v>
      </c>
      <c r="U49" s="99">
        <v>13792.8</v>
      </c>
      <c r="V49" s="99">
        <v>10</v>
      </c>
      <c r="W49" s="99">
        <v>9852</v>
      </c>
      <c r="X49" s="99">
        <v>15</v>
      </c>
      <c r="Y49" s="99">
        <v>14777.999999999998</v>
      </c>
      <c r="Z49" s="99">
        <v>11</v>
      </c>
      <c r="AA49" s="99">
        <v>10837.199999999999</v>
      </c>
      <c r="AB49" s="99">
        <v>11</v>
      </c>
      <c r="AC49" s="99">
        <v>10837.199999999999</v>
      </c>
      <c r="AD49" s="99">
        <v>12</v>
      </c>
      <c r="AE49" s="99">
        <v>11822.4</v>
      </c>
      <c r="AF49" s="99">
        <v>15</v>
      </c>
      <c r="AG49" s="99">
        <v>14777.999999999998</v>
      </c>
      <c r="AH49" s="99">
        <v>14</v>
      </c>
      <c r="AI49" s="99">
        <v>13792.8</v>
      </c>
      <c r="AJ49" s="99">
        <v>9</v>
      </c>
      <c r="AK49" s="99">
        <v>8866.7999999999993</v>
      </c>
      <c r="AL49" s="99">
        <v>17</v>
      </c>
      <c r="AM49" s="99">
        <v>16748.399999999998</v>
      </c>
      <c r="AN49" s="99">
        <v>10</v>
      </c>
      <c r="AO49" s="99">
        <v>9852</v>
      </c>
      <c r="AP49" s="99">
        <v>10</v>
      </c>
      <c r="AQ49" s="99">
        <v>9852</v>
      </c>
      <c r="AR49" s="99">
        <v>12</v>
      </c>
      <c r="AS49" s="99">
        <v>11822.4</v>
      </c>
      <c r="AT49" s="99">
        <v>11</v>
      </c>
      <c r="AU49" s="99">
        <v>10837.199999999999</v>
      </c>
      <c r="AV49" s="99">
        <v>15</v>
      </c>
      <c r="AW49" s="99">
        <v>14777.999999999998</v>
      </c>
      <c r="AX49" s="99">
        <v>14</v>
      </c>
      <c r="AY49" s="99">
        <v>13792.8</v>
      </c>
      <c r="AZ49" s="99">
        <v>11</v>
      </c>
      <c r="BA49" s="99">
        <v>10837.199999999999</v>
      </c>
      <c r="BB49" s="99">
        <v>14</v>
      </c>
      <c r="BC49" s="99">
        <v>13792.8</v>
      </c>
      <c r="BD49" s="99">
        <v>12</v>
      </c>
      <c r="BE49" s="99">
        <v>11822.4</v>
      </c>
      <c r="BF49" s="99">
        <v>9</v>
      </c>
      <c r="BG49" s="99">
        <v>8866.7999999999993</v>
      </c>
      <c r="BH49" s="99">
        <v>9</v>
      </c>
      <c r="BI49" s="99">
        <v>8866.7999999999993</v>
      </c>
      <c r="BJ49" s="99">
        <v>10</v>
      </c>
      <c r="BK49" s="99">
        <v>9852</v>
      </c>
      <c r="BL49" s="99">
        <v>13</v>
      </c>
      <c r="BM49" s="99">
        <v>12807.599999999999</v>
      </c>
      <c r="BN49" s="99">
        <v>9</v>
      </c>
      <c r="BO49" s="99">
        <v>8866.7999999999993</v>
      </c>
      <c r="BP49" s="99">
        <v>10</v>
      </c>
      <c r="BQ49" s="99">
        <v>9852</v>
      </c>
      <c r="BR49" s="99">
        <v>16</v>
      </c>
      <c r="BS49" s="99">
        <v>15763.199999999999</v>
      </c>
      <c r="BT49" s="99">
        <v>14</v>
      </c>
      <c r="BU49" s="99">
        <v>13792.8</v>
      </c>
      <c r="BV49" s="99">
        <v>15</v>
      </c>
      <c r="BW49" s="99">
        <v>14777.999999999998</v>
      </c>
      <c r="BX49" s="99">
        <v>9</v>
      </c>
      <c r="BY49" s="99">
        <v>8866.7999999999993</v>
      </c>
      <c r="BZ49" s="99">
        <v>11</v>
      </c>
      <c r="CA49" s="99">
        <v>10837.199999999999</v>
      </c>
      <c r="CB49" s="99">
        <v>9</v>
      </c>
      <c r="CC49" s="99">
        <v>8866.7999999999993</v>
      </c>
      <c r="CD49" s="99">
        <v>8</v>
      </c>
      <c r="CE49" s="99">
        <v>7881.5999999999995</v>
      </c>
      <c r="CF49" s="99">
        <v>14</v>
      </c>
      <c r="CG49" s="99">
        <v>13792.8</v>
      </c>
      <c r="CH49" s="99">
        <v>16</v>
      </c>
      <c r="CI49" s="99">
        <v>15763.199999999999</v>
      </c>
      <c r="CJ49" s="99">
        <v>9</v>
      </c>
      <c r="CK49" s="99">
        <v>8866.7999999999993</v>
      </c>
      <c r="CL49" s="99">
        <v>12</v>
      </c>
      <c r="CM49" s="99">
        <v>11822.4</v>
      </c>
      <c r="CN49" s="99">
        <v>14</v>
      </c>
      <c r="CO49" s="99">
        <v>13792.8</v>
      </c>
      <c r="CP49" s="99">
        <v>9</v>
      </c>
      <c r="CQ49" s="99">
        <v>8866.7999999999993</v>
      </c>
      <c r="CR49" s="99">
        <v>13</v>
      </c>
      <c r="CS49" s="99">
        <v>12807.599999999999</v>
      </c>
      <c r="CT49" s="99">
        <v>13</v>
      </c>
      <c r="CU49" s="99">
        <v>12807.599999999999</v>
      </c>
    </row>
    <row r="50" spans="2:99">
      <c r="C50" s="98" t="s">
        <v>216</v>
      </c>
      <c r="D50" s="99">
        <v>11</v>
      </c>
      <c r="E50" s="99">
        <v>3102</v>
      </c>
      <c r="F50" s="99">
        <v>13</v>
      </c>
      <c r="G50" s="99">
        <v>3666</v>
      </c>
      <c r="H50" s="99">
        <v>13</v>
      </c>
      <c r="I50" s="99">
        <v>3666</v>
      </c>
      <c r="J50" s="99">
        <v>13</v>
      </c>
      <c r="K50" s="99">
        <v>3666</v>
      </c>
      <c r="L50" s="99">
        <v>15</v>
      </c>
      <c r="M50" s="99">
        <v>4230</v>
      </c>
      <c r="N50" s="99">
        <v>14</v>
      </c>
      <c r="O50" s="99">
        <v>3948</v>
      </c>
      <c r="P50" s="99">
        <v>10</v>
      </c>
      <c r="Q50" s="99">
        <v>2820</v>
      </c>
      <c r="R50" s="99">
        <v>8</v>
      </c>
      <c r="S50" s="99">
        <v>2256</v>
      </c>
      <c r="T50" s="99">
        <v>15</v>
      </c>
      <c r="U50" s="99">
        <v>4230</v>
      </c>
      <c r="V50" s="99">
        <v>11</v>
      </c>
      <c r="W50" s="99">
        <v>3102</v>
      </c>
      <c r="X50" s="99">
        <v>16</v>
      </c>
      <c r="Y50" s="99">
        <v>4512</v>
      </c>
      <c r="Z50" s="99">
        <v>13</v>
      </c>
      <c r="AA50" s="99">
        <v>3666</v>
      </c>
      <c r="AB50" s="99">
        <v>14</v>
      </c>
      <c r="AC50" s="99">
        <v>3948</v>
      </c>
      <c r="AD50" s="99">
        <v>13</v>
      </c>
      <c r="AE50" s="99">
        <v>3666</v>
      </c>
      <c r="AF50" s="99">
        <v>17</v>
      </c>
      <c r="AG50" s="99">
        <v>4794</v>
      </c>
      <c r="AH50" s="99">
        <v>13</v>
      </c>
      <c r="AI50" s="99">
        <v>3666</v>
      </c>
      <c r="AJ50" s="99">
        <v>9</v>
      </c>
      <c r="AK50" s="99">
        <v>2538</v>
      </c>
      <c r="AL50" s="99">
        <v>16</v>
      </c>
      <c r="AM50" s="99">
        <v>4512</v>
      </c>
      <c r="AN50" s="99">
        <v>9</v>
      </c>
      <c r="AO50" s="99">
        <v>2538</v>
      </c>
      <c r="AP50" s="99">
        <v>11</v>
      </c>
      <c r="AQ50" s="99">
        <v>3102</v>
      </c>
      <c r="AR50" s="99">
        <v>15</v>
      </c>
      <c r="AS50" s="99">
        <v>4230</v>
      </c>
      <c r="AT50" s="99">
        <v>13</v>
      </c>
      <c r="AU50" s="99">
        <v>3666</v>
      </c>
      <c r="AV50" s="99">
        <v>14</v>
      </c>
      <c r="AW50" s="99">
        <v>3948</v>
      </c>
      <c r="AX50" s="99">
        <v>15</v>
      </c>
      <c r="AY50" s="99">
        <v>4230</v>
      </c>
      <c r="AZ50" s="99">
        <v>13</v>
      </c>
      <c r="BA50" s="99">
        <v>3666</v>
      </c>
      <c r="BB50" s="99">
        <v>16</v>
      </c>
      <c r="BC50" s="99">
        <v>4512</v>
      </c>
      <c r="BD50" s="99">
        <v>14</v>
      </c>
      <c r="BE50" s="99">
        <v>3948</v>
      </c>
      <c r="BF50" s="99">
        <v>9</v>
      </c>
      <c r="BG50" s="99">
        <v>2538</v>
      </c>
      <c r="BH50" s="99">
        <v>9</v>
      </c>
      <c r="BI50" s="99">
        <v>2538</v>
      </c>
      <c r="BJ50" s="99">
        <v>10</v>
      </c>
      <c r="BK50" s="99">
        <v>2820</v>
      </c>
      <c r="BL50" s="99">
        <v>14</v>
      </c>
      <c r="BM50" s="99">
        <v>3948</v>
      </c>
      <c r="BN50" s="99">
        <v>10</v>
      </c>
      <c r="BO50" s="99">
        <v>2820</v>
      </c>
      <c r="BP50" s="99">
        <v>10</v>
      </c>
      <c r="BQ50" s="99">
        <v>2820</v>
      </c>
      <c r="BR50" s="99">
        <v>18</v>
      </c>
      <c r="BS50" s="99">
        <v>5076</v>
      </c>
      <c r="BT50" s="99">
        <v>15</v>
      </c>
      <c r="BU50" s="99">
        <v>4230</v>
      </c>
      <c r="BV50" s="99">
        <v>16</v>
      </c>
      <c r="BW50" s="99">
        <v>4512</v>
      </c>
      <c r="BX50" s="99">
        <v>11</v>
      </c>
      <c r="BY50" s="99">
        <v>3102</v>
      </c>
      <c r="BZ50" s="99">
        <v>13</v>
      </c>
      <c r="CA50" s="99">
        <v>3666</v>
      </c>
      <c r="CB50" s="99">
        <v>11</v>
      </c>
      <c r="CC50" s="99">
        <v>3102</v>
      </c>
      <c r="CD50" s="99">
        <v>10</v>
      </c>
      <c r="CE50" s="99">
        <v>2820</v>
      </c>
      <c r="CF50" s="99">
        <v>14</v>
      </c>
      <c r="CG50" s="99">
        <v>3948</v>
      </c>
      <c r="CH50" s="99">
        <v>17</v>
      </c>
      <c r="CI50" s="99">
        <v>4794</v>
      </c>
      <c r="CJ50" s="99">
        <v>9</v>
      </c>
      <c r="CK50" s="99">
        <v>2538</v>
      </c>
      <c r="CL50" s="99">
        <v>13</v>
      </c>
      <c r="CM50" s="99">
        <v>3666</v>
      </c>
      <c r="CN50" s="99">
        <v>17</v>
      </c>
      <c r="CO50" s="99">
        <v>4794</v>
      </c>
      <c r="CP50" s="99">
        <v>11</v>
      </c>
      <c r="CQ50" s="99">
        <v>3102</v>
      </c>
      <c r="CR50" s="99">
        <v>14</v>
      </c>
      <c r="CS50" s="99">
        <v>3948</v>
      </c>
      <c r="CT50" s="99">
        <v>13</v>
      </c>
      <c r="CU50" s="99">
        <v>3666</v>
      </c>
    </row>
    <row r="51" spans="2:99">
      <c r="C51" s="98" t="s">
        <v>217</v>
      </c>
      <c r="D51" s="99">
        <v>12</v>
      </c>
      <c r="E51" s="99">
        <v>10252.799999999999</v>
      </c>
      <c r="F51" s="99">
        <v>13</v>
      </c>
      <c r="G51" s="99">
        <v>11107.199999999999</v>
      </c>
      <c r="H51" s="99">
        <v>11</v>
      </c>
      <c r="I51" s="99">
        <v>9398.4</v>
      </c>
      <c r="J51" s="99">
        <v>11</v>
      </c>
      <c r="K51" s="99">
        <v>9398.4</v>
      </c>
      <c r="L51" s="99">
        <v>14</v>
      </c>
      <c r="M51" s="99">
        <v>11961.6</v>
      </c>
      <c r="N51" s="99">
        <v>13</v>
      </c>
      <c r="O51" s="99">
        <v>11107.199999999999</v>
      </c>
      <c r="P51" s="99">
        <v>10</v>
      </c>
      <c r="Q51" s="99">
        <v>8544</v>
      </c>
      <c r="R51" s="99">
        <v>8</v>
      </c>
      <c r="S51" s="99">
        <v>6835.2</v>
      </c>
      <c r="T51" s="99">
        <v>12</v>
      </c>
      <c r="U51" s="99">
        <v>10252.799999999999</v>
      </c>
      <c r="V51" s="99">
        <v>11</v>
      </c>
      <c r="W51" s="99">
        <v>9398.4</v>
      </c>
      <c r="X51" s="99">
        <v>18</v>
      </c>
      <c r="Y51" s="99">
        <v>15379.199999999999</v>
      </c>
      <c r="Z51" s="99">
        <v>12</v>
      </c>
      <c r="AA51" s="99">
        <v>10252.799999999999</v>
      </c>
      <c r="AB51" s="99">
        <v>13</v>
      </c>
      <c r="AC51" s="99">
        <v>11107.199999999999</v>
      </c>
      <c r="AD51" s="99">
        <v>14</v>
      </c>
      <c r="AE51" s="99">
        <v>11961.6</v>
      </c>
      <c r="AF51" s="99">
        <v>16</v>
      </c>
      <c r="AG51" s="99">
        <v>13670.4</v>
      </c>
      <c r="AH51" s="99">
        <v>14</v>
      </c>
      <c r="AI51" s="99">
        <v>11961.6</v>
      </c>
      <c r="AJ51" s="99">
        <v>9</v>
      </c>
      <c r="AK51" s="99">
        <v>7689.5999999999995</v>
      </c>
      <c r="AL51" s="99">
        <v>16</v>
      </c>
      <c r="AM51" s="99">
        <v>13670.4</v>
      </c>
      <c r="AN51" s="99">
        <v>9</v>
      </c>
      <c r="AO51" s="99">
        <v>7689.5999999999995</v>
      </c>
      <c r="AP51" s="99">
        <v>11</v>
      </c>
      <c r="AQ51" s="99">
        <v>9398.4</v>
      </c>
      <c r="AR51" s="99">
        <v>13</v>
      </c>
      <c r="AS51" s="99">
        <v>11107.199999999999</v>
      </c>
      <c r="AT51" s="99">
        <v>12</v>
      </c>
      <c r="AU51" s="99">
        <v>10252.799999999999</v>
      </c>
      <c r="AV51" s="99">
        <v>13</v>
      </c>
      <c r="AW51" s="99">
        <v>11107.199999999999</v>
      </c>
      <c r="AX51" s="99">
        <v>15</v>
      </c>
      <c r="AY51" s="99">
        <v>12816</v>
      </c>
      <c r="AZ51" s="99">
        <v>12</v>
      </c>
      <c r="BA51" s="99">
        <v>10252.799999999999</v>
      </c>
      <c r="BB51" s="99">
        <v>15</v>
      </c>
      <c r="BC51" s="99">
        <v>12816</v>
      </c>
      <c r="BD51" s="99">
        <v>13</v>
      </c>
      <c r="BE51" s="99">
        <v>11107.199999999999</v>
      </c>
      <c r="BF51" s="99">
        <v>9</v>
      </c>
      <c r="BG51" s="99">
        <v>7689.5999999999995</v>
      </c>
      <c r="BH51" s="99">
        <v>9</v>
      </c>
      <c r="BI51" s="99">
        <v>7689.5999999999995</v>
      </c>
      <c r="BJ51" s="99">
        <v>10</v>
      </c>
      <c r="BK51" s="99">
        <v>8544</v>
      </c>
      <c r="BL51" s="99">
        <v>14</v>
      </c>
      <c r="BM51" s="99">
        <v>11961.6</v>
      </c>
      <c r="BN51" s="99">
        <v>10</v>
      </c>
      <c r="BO51" s="99">
        <v>8544</v>
      </c>
      <c r="BP51" s="99">
        <v>11</v>
      </c>
      <c r="BQ51" s="99">
        <v>9398.4</v>
      </c>
      <c r="BR51" s="99">
        <v>15</v>
      </c>
      <c r="BS51" s="99">
        <v>12816</v>
      </c>
      <c r="BT51" s="99">
        <v>13</v>
      </c>
      <c r="BU51" s="99">
        <v>11107.199999999999</v>
      </c>
      <c r="BV51" s="99">
        <v>14</v>
      </c>
      <c r="BW51" s="99">
        <v>11961.6</v>
      </c>
      <c r="BX51" s="99">
        <v>9</v>
      </c>
      <c r="BY51" s="99">
        <v>7689.5999999999995</v>
      </c>
      <c r="BZ51" s="99">
        <v>11</v>
      </c>
      <c r="CA51" s="99">
        <v>9398.4</v>
      </c>
      <c r="CB51" s="99">
        <v>9</v>
      </c>
      <c r="CC51" s="99">
        <v>7689.5999999999995</v>
      </c>
      <c r="CD51" s="99">
        <v>8</v>
      </c>
      <c r="CE51" s="99">
        <v>6835.2</v>
      </c>
      <c r="CF51" s="99">
        <v>15</v>
      </c>
      <c r="CG51" s="99">
        <v>12816</v>
      </c>
      <c r="CH51" s="99">
        <v>16</v>
      </c>
      <c r="CI51" s="99">
        <v>13670.4</v>
      </c>
      <c r="CJ51" s="99">
        <v>9</v>
      </c>
      <c r="CK51" s="99">
        <v>7689.5999999999995</v>
      </c>
      <c r="CL51" s="99">
        <v>12</v>
      </c>
      <c r="CM51" s="99">
        <v>10252.799999999999</v>
      </c>
      <c r="CN51" s="99">
        <v>15</v>
      </c>
      <c r="CO51" s="99">
        <v>12816</v>
      </c>
      <c r="CP51" s="99">
        <v>9</v>
      </c>
      <c r="CQ51" s="99">
        <v>7689.5999999999995</v>
      </c>
      <c r="CR51" s="99">
        <v>13</v>
      </c>
      <c r="CS51" s="99">
        <v>11107.199999999999</v>
      </c>
      <c r="CT51" s="99">
        <v>13</v>
      </c>
      <c r="CU51" s="99">
        <v>11107.199999999999</v>
      </c>
    </row>
    <row r="52" spans="2:99">
      <c r="C52" s="98" t="s">
        <v>218</v>
      </c>
      <c r="D52" s="99">
        <v>11</v>
      </c>
      <c r="E52" s="99">
        <v>5940</v>
      </c>
      <c r="F52" s="99">
        <v>13</v>
      </c>
      <c r="G52" s="99">
        <v>7020</v>
      </c>
      <c r="H52" s="99">
        <v>13</v>
      </c>
      <c r="I52" s="99">
        <v>7020</v>
      </c>
      <c r="J52" s="99">
        <v>13</v>
      </c>
      <c r="K52" s="99">
        <v>7020</v>
      </c>
      <c r="L52" s="99">
        <v>15</v>
      </c>
      <c r="M52" s="99">
        <v>8100</v>
      </c>
      <c r="N52" s="99">
        <v>12</v>
      </c>
      <c r="O52" s="99">
        <v>6480</v>
      </c>
      <c r="P52" s="99">
        <v>9</v>
      </c>
      <c r="Q52" s="99">
        <v>4860</v>
      </c>
      <c r="R52" s="99">
        <v>10</v>
      </c>
      <c r="S52" s="99">
        <v>5400</v>
      </c>
      <c r="T52" s="99">
        <v>13</v>
      </c>
      <c r="U52" s="99">
        <v>7020</v>
      </c>
      <c r="V52" s="99">
        <v>10</v>
      </c>
      <c r="W52" s="99">
        <v>5400</v>
      </c>
      <c r="X52" s="99">
        <v>16</v>
      </c>
      <c r="Y52" s="99">
        <v>8640</v>
      </c>
      <c r="Z52" s="99">
        <v>12</v>
      </c>
      <c r="AA52" s="99">
        <v>6480</v>
      </c>
      <c r="AB52" s="99">
        <v>12</v>
      </c>
      <c r="AC52" s="99">
        <v>6480</v>
      </c>
      <c r="AD52" s="99">
        <v>12</v>
      </c>
      <c r="AE52" s="99">
        <v>6480</v>
      </c>
      <c r="AF52" s="99">
        <v>14</v>
      </c>
      <c r="AG52" s="99">
        <v>7560</v>
      </c>
      <c r="AH52" s="99">
        <v>16</v>
      </c>
      <c r="AI52" s="99">
        <v>8640</v>
      </c>
      <c r="AJ52" s="99">
        <v>8</v>
      </c>
      <c r="AK52" s="99">
        <v>4320</v>
      </c>
      <c r="AL52" s="99">
        <v>18</v>
      </c>
      <c r="AM52" s="99">
        <v>9720</v>
      </c>
      <c r="AN52" s="99">
        <v>10</v>
      </c>
      <c r="AO52" s="99">
        <v>5400</v>
      </c>
      <c r="AP52" s="99">
        <v>10</v>
      </c>
      <c r="AQ52" s="99">
        <v>5400</v>
      </c>
      <c r="AR52" s="99">
        <v>14</v>
      </c>
      <c r="AS52" s="99">
        <v>7560</v>
      </c>
      <c r="AT52" s="99">
        <v>13</v>
      </c>
      <c r="AU52" s="99">
        <v>7020</v>
      </c>
      <c r="AV52" s="99">
        <v>16</v>
      </c>
      <c r="AW52" s="99">
        <v>8640</v>
      </c>
      <c r="AX52" s="99">
        <v>14</v>
      </c>
      <c r="AY52" s="99">
        <v>7560</v>
      </c>
      <c r="AZ52" s="99">
        <v>11</v>
      </c>
      <c r="BA52" s="99">
        <v>5940</v>
      </c>
      <c r="BB52" s="99">
        <v>16</v>
      </c>
      <c r="BC52" s="99">
        <v>8640</v>
      </c>
      <c r="BD52" s="99">
        <v>13</v>
      </c>
      <c r="BE52" s="99">
        <v>7020</v>
      </c>
      <c r="BF52" s="99">
        <v>9</v>
      </c>
      <c r="BG52" s="99">
        <v>4860</v>
      </c>
      <c r="BH52" s="99">
        <v>9</v>
      </c>
      <c r="BI52" s="99">
        <v>4860</v>
      </c>
      <c r="BJ52" s="99">
        <v>10</v>
      </c>
      <c r="BK52" s="99">
        <v>5400</v>
      </c>
      <c r="BL52" s="99">
        <v>13</v>
      </c>
      <c r="BM52" s="99">
        <v>7020</v>
      </c>
      <c r="BN52" s="99">
        <v>10</v>
      </c>
      <c r="BO52" s="99">
        <v>5400</v>
      </c>
      <c r="BP52" s="99">
        <v>11</v>
      </c>
      <c r="BQ52" s="99">
        <v>5940</v>
      </c>
      <c r="BR52" s="99">
        <v>16</v>
      </c>
      <c r="BS52" s="99">
        <v>8640</v>
      </c>
      <c r="BT52" s="99">
        <v>15</v>
      </c>
      <c r="BU52" s="99">
        <v>8100</v>
      </c>
      <c r="BV52" s="99">
        <v>15</v>
      </c>
      <c r="BW52" s="99">
        <v>8100</v>
      </c>
      <c r="BX52" s="99">
        <v>9</v>
      </c>
      <c r="BY52" s="99">
        <v>4860</v>
      </c>
      <c r="BZ52" s="99">
        <v>11</v>
      </c>
      <c r="CA52" s="99">
        <v>5940</v>
      </c>
      <c r="CB52" s="99">
        <v>9</v>
      </c>
      <c r="CC52" s="99">
        <v>4860</v>
      </c>
      <c r="CD52" s="99">
        <v>9</v>
      </c>
      <c r="CE52" s="99">
        <v>4860</v>
      </c>
      <c r="CF52" s="99">
        <v>16</v>
      </c>
      <c r="CG52" s="99">
        <v>8640</v>
      </c>
      <c r="CH52" s="99">
        <v>16</v>
      </c>
      <c r="CI52" s="99">
        <v>8640</v>
      </c>
      <c r="CJ52" s="99">
        <v>9</v>
      </c>
      <c r="CK52" s="99">
        <v>4860</v>
      </c>
      <c r="CL52" s="99">
        <v>12</v>
      </c>
      <c r="CM52" s="99">
        <v>6480</v>
      </c>
      <c r="CN52" s="99">
        <v>14</v>
      </c>
      <c r="CO52" s="99">
        <v>7560</v>
      </c>
      <c r="CP52" s="99">
        <v>11</v>
      </c>
      <c r="CQ52" s="99">
        <v>5940</v>
      </c>
      <c r="CR52" s="99">
        <v>13</v>
      </c>
      <c r="CS52" s="99">
        <v>7020</v>
      </c>
      <c r="CT52" s="99">
        <v>13</v>
      </c>
      <c r="CU52" s="99">
        <v>7020</v>
      </c>
    </row>
    <row r="53" spans="2:99">
      <c r="C53" s="98" t="s">
        <v>219</v>
      </c>
      <c r="D53" s="99">
        <v>11</v>
      </c>
      <c r="E53" s="99">
        <v>4474.8</v>
      </c>
      <c r="F53" s="99">
        <v>13</v>
      </c>
      <c r="G53" s="99">
        <v>5288.4000000000005</v>
      </c>
      <c r="H53" s="99">
        <v>12</v>
      </c>
      <c r="I53" s="99">
        <v>4881.6000000000004</v>
      </c>
      <c r="J53" s="99">
        <v>13</v>
      </c>
      <c r="K53" s="99">
        <v>5288.4000000000005</v>
      </c>
      <c r="L53" s="99">
        <v>13</v>
      </c>
      <c r="M53" s="99">
        <v>5288.4000000000005</v>
      </c>
      <c r="N53" s="99">
        <v>14</v>
      </c>
      <c r="O53" s="99">
        <v>5695.2</v>
      </c>
      <c r="P53" s="99">
        <v>11</v>
      </c>
      <c r="Q53" s="99">
        <v>4474.8</v>
      </c>
      <c r="R53" s="99">
        <v>8</v>
      </c>
      <c r="S53" s="99">
        <v>3254.4</v>
      </c>
      <c r="T53" s="99">
        <v>14</v>
      </c>
      <c r="U53" s="99">
        <v>5695.2</v>
      </c>
      <c r="V53" s="99">
        <v>10</v>
      </c>
      <c r="W53" s="99">
        <v>4068</v>
      </c>
      <c r="X53" s="99">
        <v>17</v>
      </c>
      <c r="Y53" s="99">
        <v>6915.6</v>
      </c>
      <c r="Z53" s="99">
        <v>12</v>
      </c>
      <c r="AA53" s="99">
        <v>4881.6000000000004</v>
      </c>
      <c r="AB53" s="99">
        <v>13</v>
      </c>
      <c r="AC53" s="99">
        <v>5288.4000000000005</v>
      </c>
      <c r="AD53" s="99">
        <v>13</v>
      </c>
      <c r="AE53" s="99">
        <v>5288.4000000000005</v>
      </c>
      <c r="AF53" s="99">
        <v>16</v>
      </c>
      <c r="AG53" s="99">
        <v>6508.8</v>
      </c>
      <c r="AH53" s="99">
        <v>15</v>
      </c>
      <c r="AI53" s="99">
        <v>6102</v>
      </c>
      <c r="AJ53" s="99">
        <v>8</v>
      </c>
      <c r="AK53" s="99">
        <v>3254.4</v>
      </c>
      <c r="AL53" s="99">
        <v>16</v>
      </c>
      <c r="AM53" s="99">
        <v>6508.8</v>
      </c>
      <c r="AN53" s="99">
        <v>10</v>
      </c>
      <c r="AO53" s="99">
        <v>4068</v>
      </c>
      <c r="AP53" s="99">
        <v>12</v>
      </c>
      <c r="AQ53" s="99">
        <v>4881.6000000000004</v>
      </c>
      <c r="AR53" s="99">
        <v>15</v>
      </c>
      <c r="AS53" s="99">
        <v>6102</v>
      </c>
      <c r="AT53" s="99">
        <v>12</v>
      </c>
      <c r="AU53" s="99">
        <v>4881.6000000000004</v>
      </c>
      <c r="AV53" s="99">
        <v>15</v>
      </c>
      <c r="AW53" s="99">
        <v>6102</v>
      </c>
      <c r="AX53" s="99">
        <v>14</v>
      </c>
      <c r="AY53" s="99">
        <v>5695.2</v>
      </c>
      <c r="AZ53" s="99">
        <v>13</v>
      </c>
      <c r="BA53" s="99">
        <v>5288.4000000000005</v>
      </c>
      <c r="BB53" s="99">
        <v>16</v>
      </c>
      <c r="BC53" s="99">
        <v>6508.8</v>
      </c>
      <c r="BD53" s="99">
        <v>13</v>
      </c>
      <c r="BE53" s="99">
        <v>5288.4000000000005</v>
      </c>
      <c r="BF53" s="99">
        <v>9</v>
      </c>
      <c r="BG53" s="99">
        <v>3661.2000000000003</v>
      </c>
      <c r="BH53" s="99">
        <v>10</v>
      </c>
      <c r="BI53" s="99">
        <v>4068</v>
      </c>
      <c r="BJ53" s="99">
        <v>9</v>
      </c>
      <c r="BK53" s="99">
        <v>3661.2000000000003</v>
      </c>
      <c r="BL53" s="99">
        <v>15</v>
      </c>
      <c r="BM53" s="99">
        <v>6102</v>
      </c>
      <c r="BN53" s="99">
        <v>10</v>
      </c>
      <c r="BO53" s="99">
        <v>4068</v>
      </c>
      <c r="BP53" s="99">
        <v>9</v>
      </c>
      <c r="BQ53" s="99">
        <v>3661.2000000000003</v>
      </c>
      <c r="BR53" s="99">
        <v>15</v>
      </c>
      <c r="BS53" s="99">
        <v>6102</v>
      </c>
      <c r="BT53" s="99">
        <v>14</v>
      </c>
      <c r="BU53" s="99">
        <v>5695.2</v>
      </c>
      <c r="BV53" s="99">
        <v>14</v>
      </c>
      <c r="BW53" s="99">
        <v>5695.2</v>
      </c>
      <c r="BX53" s="99">
        <v>9</v>
      </c>
      <c r="BY53" s="99">
        <v>3661.2000000000003</v>
      </c>
      <c r="BZ53" s="99">
        <v>12</v>
      </c>
      <c r="CA53" s="99">
        <v>4881.6000000000004</v>
      </c>
      <c r="CB53" s="99">
        <v>9</v>
      </c>
      <c r="CC53" s="99">
        <v>3661.2000000000003</v>
      </c>
      <c r="CD53" s="99">
        <v>8</v>
      </c>
      <c r="CE53" s="99">
        <v>3254.4</v>
      </c>
      <c r="CF53" s="99">
        <v>16</v>
      </c>
      <c r="CG53" s="99">
        <v>6508.8</v>
      </c>
      <c r="CH53" s="99">
        <v>17</v>
      </c>
      <c r="CI53" s="99">
        <v>6915.6</v>
      </c>
      <c r="CJ53" s="99">
        <v>9</v>
      </c>
      <c r="CK53" s="99">
        <v>3661.2000000000003</v>
      </c>
      <c r="CL53" s="99">
        <v>12</v>
      </c>
      <c r="CM53" s="99">
        <v>4881.6000000000004</v>
      </c>
      <c r="CN53" s="99">
        <v>17</v>
      </c>
      <c r="CO53" s="99">
        <v>6915.6</v>
      </c>
      <c r="CP53" s="99">
        <v>10</v>
      </c>
      <c r="CQ53" s="99">
        <v>4068</v>
      </c>
      <c r="CR53" s="99">
        <v>14</v>
      </c>
      <c r="CS53" s="99">
        <v>5695.2</v>
      </c>
      <c r="CT53" s="99">
        <v>13</v>
      </c>
      <c r="CU53" s="99">
        <v>5288.4000000000005</v>
      </c>
    </row>
    <row r="54" spans="2:99">
      <c r="C54" s="98" t="s">
        <v>220</v>
      </c>
      <c r="D54" s="99">
        <v>11</v>
      </c>
      <c r="E54" s="99">
        <v>3682.8</v>
      </c>
      <c r="F54" s="99">
        <v>13</v>
      </c>
      <c r="G54" s="99">
        <v>4352.4000000000005</v>
      </c>
      <c r="H54" s="99">
        <v>14</v>
      </c>
      <c r="I54" s="99">
        <v>4687.2</v>
      </c>
      <c r="J54" s="99">
        <v>14</v>
      </c>
      <c r="K54" s="99">
        <v>4687.2</v>
      </c>
      <c r="L54" s="99">
        <v>13</v>
      </c>
      <c r="M54" s="99">
        <v>4352.4000000000005</v>
      </c>
      <c r="N54" s="99">
        <v>13</v>
      </c>
      <c r="O54" s="99">
        <v>4352.4000000000005</v>
      </c>
      <c r="P54" s="99">
        <v>11</v>
      </c>
      <c r="Q54" s="99">
        <v>3682.8</v>
      </c>
      <c r="R54" s="99">
        <v>9</v>
      </c>
      <c r="S54" s="99">
        <v>3013.2000000000003</v>
      </c>
      <c r="T54" s="99">
        <v>15</v>
      </c>
      <c r="U54" s="99">
        <v>5022</v>
      </c>
      <c r="V54" s="99">
        <v>11</v>
      </c>
      <c r="W54" s="99">
        <v>3682.8</v>
      </c>
      <c r="X54" s="99">
        <v>19</v>
      </c>
      <c r="Y54" s="99">
        <v>6361.2</v>
      </c>
      <c r="Z54" s="99">
        <v>11</v>
      </c>
      <c r="AA54" s="99">
        <v>3682.8</v>
      </c>
      <c r="AB54" s="99">
        <v>13</v>
      </c>
      <c r="AC54" s="99">
        <v>4352.4000000000005</v>
      </c>
      <c r="AD54" s="99">
        <v>12</v>
      </c>
      <c r="AE54" s="99">
        <v>4017.6000000000004</v>
      </c>
      <c r="AF54" s="99">
        <v>14</v>
      </c>
      <c r="AG54" s="99">
        <v>4687.2</v>
      </c>
      <c r="AH54" s="99">
        <v>14</v>
      </c>
      <c r="AI54" s="99">
        <v>4687.2</v>
      </c>
      <c r="AJ54" s="99">
        <v>9</v>
      </c>
      <c r="AK54" s="99">
        <v>3013.2000000000003</v>
      </c>
      <c r="AL54" s="99">
        <v>17</v>
      </c>
      <c r="AM54" s="99">
        <v>5691.6</v>
      </c>
      <c r="AN54" s="99">
        <v>10</v>
      </c>
      <c r="AO54" s="99">
        <v>3348</v>
      </c>
      <c r="AP54" s="99">
        <v>10</v>
      </c>
      <c r="AQ54" s="99">
        <v>3348</v>
      </c>
      <c r="AR54" s="99">
        <v>14</v>
      </c>
      <c r="AS54" s="99">
        <v>4687.2</v>
      </c>
      <c r="AT54" s="99">
        <v>12</v>
      </c>
      <c r="AU54" s="99">
        <v>4017.6000000000004</v>
      </c>
      <c r="AV54" s="99">
        <v>16</v>
      </c>
      <c r="AW54" s="99">
        <v>5356.8</v>
      </c>
      <c r="AX54" s="99">
        <v>15</v>
      </c>
      <c r="AY54" s="99">
        <v>5022</v>
      </c>
      <c r="AZ54" s="99">
        <v>13</v>
      </c>
      <c r="BA54" s="99">
        <v>4352.4000000000005</v>
      </c>
      <c r="BB54" s="99">
        <v>16</v>
      </c>
      <c r="BC54" s="99">
        <v>5356.8</v>
      </c>
      <c r="BD54" s="99">
        <v>12</v>
      </c>
      <c r="BE54" s="99">
        <v>4017.6000000000004</v>
      </c>
      <c r="BF54" s="99">
        <v>8</v>
      </c>
      <c r="BG54" s="99">
        <v>2678.4</v>
      </c>
      <c r="BH54" s="99">
        <v>9</v>
      </c>
      <c r="BI54" s="99">
        <v>3013.2000000000003</v>
      </c>
      <c r="BJ54" s="99">
        <v>10</v>
      </c>
      <c r="BK54" s="99">
        <v>3348</v>
      </c>
      <c r="BL54" s="99">
        <v>13</v>
      </c>
      <c r="BM54" s="99">
        <v>4352.4000000000005</v>
      </c>
      <c r="BN54" s="99">
        <v>10</v>
      </c>
      <c r="BO54" s="99">
        <v>3348</v>
      </c>
      <c r="BP54" s="99">
        <v>10</v>
      </c>
      <c r="BQ54" s="99">
        <v>3348</v>
      </c>
      <c r="BR54" s="99">
        <v>16</v>
      </c>
      <c r="BS54" s="99">
        <v>5356.8</v>
      </c>
      <c r="BT54" s="99">
        <v>13</v>
      </c>
      <c r="BU54" s="99">
        <v>4352.4000000000005</v>
      </c>
      <c r="BV54" s="99">
        <v>14</v>
      </c>
      <c r="BW54" s="99">
        <v>4687.2</v>
      </c>
      <c r="BX54" s="99">
        <v>10</v>
      </c>
      <c r="BY54" s="99">
        <v>3348</v>
      </c>
      <c r="BZ54" s="99">
        <v>12</v>
      </c>
      <c r="CA54" s="99">
        <v>4017.6000000000004</v>
      </c>
      <c r="CB54" s="99">
        <v>9</v>
      </c>
      <c r="CC54" s="99">
        <v>3013.2000000000003</v>
      </c>
      <c r="CD54" s="99">
        <v>10</v>
      </c>
      <c r="CE54" s="99">
        <v>3348</v>
      </c>
      <c r="CF54" s="99">
        <v>14</v>
      </c>
      <c r="CG54" s="99">
        <v>4687.2</v>
      </c>
      <c r="CH54" s="99">
        <v>15</v>
      </c>
      <c r="CI54" s="99">
        <v>5022</v>
      </c>
      <c r="CJ54" s="99">
        <v>9</v>
      </c>
      <c r="CK54" s="99">
        <v>3013.2000000000003</v>
      </c>
      <c r="CL54" s="99">
        <v>13</v>
      </c>
      <c r="CM54" s="99">
        <v>4352.4000000000005</v>
      </c>
      <c r="CN54" s="99">
        <v>17</v>
      </c>
      <c r="CO54" s="99">
        <v>5691.6</v>
      </c>
      <c r="CP54" s="99">
        <v>11</v>
      </c>
      <c r="CQ54" s="99">
        <v>3682.8</v>
      </c>
      <c r="CR54" s="99">
        <v>15</v>
      </c>
      <c r="CS54" s="99">
        <v>5022</v>
      </c>
      <c r="CT54" s="99">
        <v>14</v>
      </c>
      <c r="CU54" s="99">
        <v>4687.2</v>
      </c>
    </row>
    <row r="55" spans="2:99">
      <c r="C55" s="98" t="s">
        <v>221</v>
      </c>
      <c r="D55" s="99">
        <v>12</v>
      </c>
      <c r="E55" s="99">
        <v>7963.2000000000007</v>
      </c>
      <c r="F55" s="99">
        <v>12</v>
      </c>
      <c r="G55" s="99">
        <v>7963.2000000000007</v>
      </c>
      <c r="H55" s="99">
        <v>13</v>
      </c>
      <c r="I55" s="99">
        <v>8626.8000000000011</v>
      </c>
      <c r="J55" s="99">
        <v>12</v>
      </c>
      <c r="K55" s="99">
        <v>7963.2000000000007</v>
      </c>
      <c r="L55" s="99">
        <v>14</v>
      </c>
      <c r="M55" s="99">
        <v>9290.4</v>
      </c>
      <c r="N55" s="99">
        <v>12</v>
      </c>
      <c r="O55" s="99">
        <v>7963.2000000000007</v>
      </c>
      <c r="P55" s="99">
        <v>9</v>
      </c>
      <c r="Q55" s="99">
        <v>5972.4000000000005</v>
      </c>
      <c r="R55" s="99">
        <v>8</v>
      </c>
      <c r="S55" s="99">
        <v>5308.8</v>
      </c>
      <c r="T55" s="99">
        <v>13</v>
      </c>
      <c r="U55" s="99">
        <v>8626.8000000000011</v>
      </c>
      <c r="V55" s="99">
        <v>10</v>
      </c>
      <c r="W55" s="99">
        <v>6636</v>
      </c>
      <c r="X55" s="99">
        <v>16</v>
      </c>
      <c r="Y55" s="99">
        <v>10617.6</v>
      </c>
      <c r="Z55" s="99">
        <v>11</v>
      </c>
      <c r="AA55" s="99">
        <v>7299.6</v>
      </c>
      <c r="AB55" s="99">
        <v>13</v>
      </c>
      <c r="AC55" s="99">
        <v>8626.8000000000011</v>
      </c>
      <c r="AD55" s="99">
        <v>14</v>
      </c>
      <c r="AE55" s="99">
        <v>9290.4</v>
      </c>
      <c r="AF55" s="99">
        <v>16</v>
      </c>
      <c r="AG55" s="99">
        <v>10617.6</v>
      </c>
      <c r="AH55" s="99">
        <v>15</v>
      </c>
      <c r="AI55" s="99">
        <v>9954</v>
      </c>
      <c r="AJ55" s="99">
        <v>10</v>
      </c>
      <c r="AK55" s="99">
        <v>6636</v>
      </c>
      <c r="AL55" s="99">
        <v>15</v>
      </c>
      <c r="AM55" s="99">
        <v>9954</v>
      </c>
      <c r="AN55" s="99">
        <v>10</v>
      </c>
      <c r="AO55" s="99">
        <v>6636</v>
      </c>
      <c r="AP55" s="99">
        <v>11</v>
      </c>
      <c r="AQ55" s="99">
        <v>7299.6</v>
      </c>
      <c r="AR55" s="99">
        <v>14</v>
      </c>
      <c r="AS55" s="99">
        <v>9290.4</v>
      </c>
      <c r="AT55" s="99">
        <v>13</v>
      </c>
      <c r="AU55" s="99">
        <v>8626.8000000000011</v>
      </c>
      <c r="AV55" s="99">
        <v>16</v>
      </c>
      <c r="AW55" s="99">
        <v>10617.6</v>
      </c>
      <c r="AX55" s="99">
        <v>13</v>
      </c>
      <c r="AY55" s="99">
        <v>8626.8000000000011</v>
      </c>
      <c r="AZ55" s="99">
        <v>11</v>
      </c>
      <c r="BA55" s="99">
        <v>7299.6</v>
      </c>
      <c r="BB55" s="99">
        <v>14</v>
      </c>
      <c r="BC55" s="99">
        <v>9290.4</v>
      </c>
      <c r="BD55" s="99">
        <v>13</v>
      </c>
      <c r="BE55" s="99">
        <v>8626.8000000000011</v>
      </c>
      <c r="BF55" s="99">
        <v>8</v>
      </c>
      <c r="BG55" s="99">
        <v>5308.8</v>
      </c>
      <c r="BH55" s="99">
        <v>10</v>
      </c>
      <c r="BI55" s="99">
        <v>6636</v>
      </c>
      <c r="BJ55" s="99">
        <v>9</v>
      </c>
      <c r="BK55" s="99">
        <v>5972.4000000000005</v>
      </c>
      <c r="BL55" s="99">
        <v>13</v>
      </c>
      <c r="BM55" s="99">
        <v>8626.8000000000011</v>
      </c>
      <c r="BN55" s="99">
        <v>9</v>
      </c>
      <c r="BO55" s="99">
        <v>5972.4000000000005</v>
      </c>
      <c r="BP55" s="99">
        <v>9</v>
      </c>
      <c r="BQ55" s="99">
        <v>5972.4000000000005</v>
      </c>
      <c r="BR55" s="99">
        <v>17</v>
      </c>
      <c r="BS55" s="99">
        <v>11281.2</v>
      </c>
      <c r="BT55" s="99">
        <v>14</v>
      </c>
      <c r="BU55" s="99">
        <v>9290.4</v>
      </c>
      <c r="BV55" s="99">
        <v>13</v>
      </c>
      <c r="BW55" s="99">
        <v>8626.8000000000011</v>
      </c>
      <c r="BX55" s="99">
        <v>9</v>
      </c>
      <c r="BY55" s="99">
        <v>5972.4000000000005</v>
      </c>
      <c r="BZ55" s="99">
        <v>12</v>
      </c>
      <c r="CA55" s="99">
        <v>7963.2000000000007</v>
      </c>
      <c r="CB55" s="99">
        <v>9</v>
      </c>
      <c r="CC55" s="99">
        <v>5972.4000000000005</v>
      </c>
      <c r="CD55" s="99">
        <v>8</v>
      </c>
      <c r="CE55" s="99">
        <v>5308.8</v>
      </c>
      <c r="CF55" s="99">
        <v>14</v>
      </c>
      <c r="CG55" s="99">
        <v>9290.4</v>
      </c>
      <c r="CH55" s="99">
        <v>16</v>
      </c>
      <c r="CI55" s="99">
        <v>10617.6</v>
      </c>
      <c r="CJ55" s="99">
        <v>9</v>
      </c>
      <c r="CK55" s="99">
        <v>5972.4000000000005</v>
      </c>
      <c r="CL55" s="99">
        <v>11</v>
      </c>
      <c r="CM55" s="99">
        <v>7299.6</v>
      </c>
      <c r="CN55" s="99">
        <v>17</v>
      </c>
      <c r="CO55" s="99">
        <v>11281.2</v>
      </c>
      <c r="CP55" s="99">
        <v>9</v>
      </c>
      <c r="CQ55" s="99">
        <v>5972.4000000000005</v>
      </c>
      <c r="CR55" s="99">
        <v>15</v>
      </c>
      <c r="CS55" s="99">
        <v>9954</v>
      </c>
      <c r="CT55" s="99">
        <v>14</v>
      </c>
      <c r="CU55" s="99">
        <v>9290.4</v>
      </c>
    </row>
    <row r="56" spans="2:99">
      <c r="C56" s="98" t="s">
        <v>222</v>
      </c>
      <c r="D56" s="99">
        <v>10</v>
      </c>
      <c r="E56" s="99">
        <v>9816</v>
      </c>
      <c r="F56" s="99">
        <v>12</v>
      </c>
      <c r="G56" s="99">
        <v>11779.199999999999</v>
      </c>
      <c r="H56" s="99">
        <v>13</v>
      </c>
      <c r="I56" s="99">
        <v>12760.8</v>
      </c>
      <c r="J56" s="99">
        <v>13</v>
      </c>
      <c r="K56" s="99">
        <v>12760.8</v>
      </c>
      <c r="L56" s="99">
        <v>14</v>
      </c>
      <c r="M56" s="99">
        <v>13742.399999999998</v>
      </c>
      <c r="N56" s="99">
        <v>12</v>
      </c>
      <c r="O56" s="99">
        <v>11779.199999999999</v>
      </c>
      <c r="P56" s="99">
        <v>9</v>
      </c>
      <c r="Q56" s="99">
        <v>8834.4</v>
      </c>
      <c r="R56" s="99">
        <v>0</v>
      </c>
      <c r="S56" s="99">
        <v>0</v>
      </c>
      <c r="T56" s="99">
        <v>14</v>
      </c>
      <c r="U56" s="99">
        <v>13742.399999999998</v>
      </c>
      <c r="V56" s="99">
        <v>10</v>
      </c>
      <c r="W56" s="99">
        <v>9816</v>
      </c>
      <c r="X56" s="99">
        <v>15</v>
      </c>
      <c r="Y56" s="99">
        <v>14723.999999999998</v>
      </c>
      <c r="Z56" s="99">
        <v>12</v>
      </c>
      <c r="AA56" s="99">
        <v>11779.199999999999</v>
      </c>
      <c r="AB56" s="99">
        <v>13</v>
      </c>
      <c r="AC56" s="99">
        <v>12760.8</v>
      </c>
      <c r="AD56" s="99">
        <v>12</v>
      </c>
      <c r="AE56" s="99">
        <v>11779.199999999999</v>
      </c>
      <c r="AF56" s="99">
        <v>15</v>
      </c>
      <c r="AG56" s="99">
        <v>14723.999999999998</v>
      </c>
      <c r="AH56" s="99">
        <v>13</v>
      </c>
      <c r="AI56" s="99">
        <v>12760.8</v>
      </c>
      <c r="AJ56" s="99">
        <v>9</v>
      </c>
      <c r="AK56" s="99">
        <v>8834.4</v>
      </c>
      <c r="AL56" s="99">
        <v>15</v>
      </c>
      <c r="AM56" s="99">
        <v>14723.999999999998</v>
      </c>
      <c r="AN56" s="99">
        <v>10</v>
      </c>
      <c r="AO56" s="99">
        <v>9816</v>
      </c>
      <c r="AP56" s="99">
        <v>11</v>
      </c>
      <c r="AQ56" s="99">
        <v>10797.599999999999</v>
      </c>
      <c r="AR56" s="99">
        <v>13</v>
      </c>
      <c r="AS56" s="99">
        <v>12760.8</v>
      </c>
      <c r="AT56" s="99">
        <v>12</v>
      </c>
      <c r="AU56" s="99">
        <v>11779.199999999999</v>
      </c>
      <c r="AV56" s="99">
        <v>14</v>
      </c>
      <c r="AW56" s="99">
        <v>13742.399999999998</v>
      </c>
      <c r="AX56" s="99">
        <v>14</v>
      </c>
      <c r="AY56" s="99">
        <v>13742.399999999998</v>
      </c>
      <c r="AZ56" s="99">
        <v>12</v>
      </c>
      <c r="BA56" s="99">
        <v>11779.199999999999</v>
      </c>
      <c r="BB56" s="99">
        <v>15</v>
      </c>
      <c r="BC56" s="99">
        <v>14723.999999999998</v>
      </c>
      <c r="BD56" s="99">
        <v>11</v>
      </c>
      <c r="BE56" s="99">
        <v>10797.599999999999</v>
      </c>
      <c r="BF56" s="99">
        <v>9</v>
      </c>
      <c r="BG56" s="99">
        <v>8834.4</v>
      </c>
      <c r="BH56" s="99">
        <v>10</v>
      </c>
      <c r="BI56" s="99">
        <v>9816</v>
      </c>
      <c r="BJ56" s="99">
        <v>8</v>
      </c>
      <c r="BK56" s="99">
        <v>7852.7999999999993</v>
      </c>
      <c r="BL56" s="99">
        <v>14</v>
      </c>
      <c r="BM56" s="99">
        <v>13742.399999999998</v>
      </c>
      <c r="BN56" s="99">
        <v>8</v>
      </c>
      <c r="BO56" s="99">
        <v>7852.7999999999993</v>
      </c>
      <c r="BP56" s="99">
        <v>9</v>
      </c>
      <c r="BQ56" s="99">
        <v>8834.4</v>
      </c>
      <c r="BR56" s="99">
        <v>15</v>
      </c>
      <c r="BS56" s="99">
        <v>14723.999999999998</v>
      </c>
      <c r="BT56" s="99">
        <v>13</v>
      </c>
      <c r="BU56" s="99">
        <v>12760.8</v>
      </c>
      <c r="BV56" s="99">
        <v>12</v>
      </c>
      <c r="BW56" s="99">
        <v>11779.199999999999</v>
      </c>
      <c r="BX56" s="99">
        <v>9</v>
      </c>
      <c r="BY56" s="99">
        <v>8834.4</v>
      </c>
      <c r="BZ56" s="99">
        <v>11</v>
      </c>
      <c r="CA56" s="99">
        <v>10797.599999999999</v>
      </c>
      <c r="CB56" s="99">
        <v>9</v>
      </c>
      <c r="CC56" s="99">
        <v>8834.4</v>
      </c>
      <c r="CD56" s="99">
        <v>9</v>
      </c>
      <c r="CE56" s="99">
        <v>8834.4</v>
      </c>
      <c r="CF56" s="99">
        <v>13</v>
      </c>
      <c r="CG56" s="99">
        <v>12760.8</v>
      </c>
      <c r="CH56" s="99">
        <v>14</v>
      </c>
      <c r="CI56" s="99">
        <v>13742.399999999998</v>
      </c>
      <c r="CJ56" s="99">
        <v>9</v>
      </c>
      <c r="CK56" s="99">
        <v>8834.4</v>
      </c>
      <c r="CL56" s="99">
        <v>11</v>
      </c>
      <c r="CM56" s="99">
        <v>10797.599999999999</v>
      </c>
      <c r="CN56" s="99">
        <v>15</v>
      </c>
      <c r="CO56" s="99">
        <v>14723.999999999998</v>
      </c>
      <c r="CP56" s="99">
        <v>9</v>
      </c>
      <c r="CQ56" s="99">
        <v>8834.4</v>
      </c>
      <c r="CR56" s="99">
        <v>14</v>
      </c>
      <c r="CS56" s="99">
        <v>13742.399999999998</v>
      </c>
      <c r="CT56" s="99">
        <v>13</v>
      </c>
      <c r="CU56" s="99">
        <v>12760.8</v>
      </c>
    </row>
    <row r="57" spans="2:99">
      <c r="C57" s="98" t="s">
        <v>223</v>
      </c>
      <c r="D57" s="99">
        <v>10</v>
      </c>
      <c r="E57" s="99">
        <v>14112</v>
      </c>
      <c r="F57" s="99">
        <v>12</v>
      </c>
      <c r="G57" s="99">
        <v>16934.400000000001</v>
      </c>
      <c r="H57" s="99">
        <v>11</v>
      </c>
      <c r="I57" s="99">
        <v>15523.2</v>
      </c>
      <c r="J57" s="99">
        <v>12</v>
      </c>
      <c r="K57" s="99">
        <v>16934.400000000001</v>
      </c>
      <c r="L57" s="99">
        <v>13</v>
      </c>
      <c r="M57" s="99">
        <v>18345.600000000002</v>
      </c>
      <c r="N57" s="99">
        <v>11</v>
      </c>
      <c r="O57" s="99">
        <v>15523.2</v>
      </c>
      <c r="P57" s="99">
        <v>8</v>
      </c>
      <c r="Q57" s="99">
        <v>11289.6</v>
      </c>
      <c r="R57" s="99">
        <v>8</v>
      </c>
      <c r="S57" s="99">
        <v>11289.6</v>
      </c>
      <c r="T57" s="99">
        <v>13</v>
      </c>
      <c r="U57" s="99">
        <v>18345.600000000002</v>
      </c>
      <c r="V57" s="99">
        <v>9</v>
      </c>
      <c r="W57" s="99">
        <v>12700.800000000001</v>
      </c>
      <c r="X57" s="99">
        <v>14</v>
      </c>
      <c r="Y57" s="99">
        <v>19756.8</v>
      </c>
      <c r="Z57" s="99">
        <v>10</v>
      </c>
      <c r="AA57" s="99">
        <v>14112</v>
      </c>
      <c r="AB57" s="99">
        <v>12</v>
      </c>
      <c r="AC57" s="99">
        <v>16934.400000000001</v>
      </c>
      <c r="AD57" s="99">
        <v>13</v>
      </c>
      <c r="AE57" s="99">
        <v>18345.600000000002</v>
      </c>
      <c r="AF57" s="99">
        <v>15</v>
      </c>
      <c r="AG57" s="99">
        <v>21168</v>
      </c>
      <c r="AH57" s="99">
        <v>14</v>
      </c>
      <c r="AI57" s="99">
        <v>19756.8</v>
      </c>
      <c r="AJ57" s="99">
        <v>8</v>
      </c>
      <c r="AK57" s="99">
        <v>11289.6</v>
      </c>
      <c r="AL57" s="99">
        <v>14</v>
      </c>
      <c r="AM57" s="99">
        <v>19756.8</v>
      </c>
      <c r="AN57" s="99">
        <v>9</v>
      </c>
      <c r="AO57" s="99">
        <v>12700.800000000001</v>
      </c>
      <c r="AP57" s="99">
        <v>11</v>
      </c>
      <c r="AQ57" s="99">
        <v>15523.2</v>
      </c>
      <c r="AR57" s="99">
        <v>12</v>
      </c>
      <c r="AS57" s="99">
        <v>16934.400000000001</v>
      </c>
      <c r="AT57" s="99">
        <v>11</v>
      </c>
      <c r="AU57" s="99">
        <v>15523.2</v>
      </c>
      <c r="AV57" s="99">
        <v>14</v>
      </c>
      <c r="AW57" s="99">
        <v>19756.8</v>
      </c>
      <c r="AX57" s="99">
        <v>12</v>
      </c>
      <c r="AY57" s="99">
        <v>16934.400000000001</v>
      </c>
      <c r="AZ57" s="99">
        <v>10</v>
      </c>
      <c r="BA57" s="99">
        <v>14112</v>
      </c>
      <c r="BB57" s="99">
        <v>15</v>
      </c>
      <c r="BC57" s="99">
        <v>21168</v>
      </c>
      <c r="BD57" s="99">
        <v>11</v>
      </c>
      <c r="BE57" s="99">
        <v>15523.2</v>
      </c>
      <c r="BF57" s="99">
        <v>8</v>
      </c>
      <c r="BG57" s="99">
        <v>11289.6</v>
      </c>
      <c r="BH57" s="99">
        <v>8</v>
      </c>
      <c r="BI57" s="99">
        <v>11289.6</v>
      </c>
      <c r="BJ57" s="99">
        <v>9</v>
      </c>
      <c r="BK57" s="99">
        <v>12700.800000000001</v>
      </c>
      <c r="BL57" s="99">
        <v>14</v>
      </c>
      <c r="BM57" s="99">
        <v>19756.8</v>
      </c>
      <c r="BN57" s="99">
        <v>9</v>
      </c>
      <c r="BO57" s="99">
        <v>12700.800000000001</v>
      </c>
      <c r="BP57" s="99">
        <v>10</v>
      </c>
      <c r="BQ57" s="99">
        <v>14112</v>
      </c>
      <c r="BR57" s="99">
        <v>14</v>
      </c>
      <c r="BS57" s="99">
        <v>19756.8</v>
      </c>
      <c r="BT57" s="99">
        <v>11</v>
      </c>
      <c r="BU57" s="99">
        <v>15523.2</v>
      </c>
      <c r="BV57" s="99">
        <v>12</v>
      </c>
      <c r="BW57" s="99">
        <v>16934.400000000001</v>
      </c>
      <c r="BX57" s="99">
        <v>9</v>
      </c>
      <c r="BY57" s="99">
        <v>12700.800000000001</v>
      </c>
      <c r="BZ57" s="99">
        <v>10</v>
      </c>
      <c r="CA57" s="99">
        <v>14112</v>
      </c>
      <c r="CB57" s="99">
        <v>10</v>
      </c>
      <c r="CC57" s="99">
        <v>14112</v>
      </c>
      <c r="CD57" s="99">
        <v>8</v>
      </c>
      <c r="CE57" s="99">
        <v>11289.6</v>
      </c>
      <c r="CF57" s="99">
        <v>12</v>
      </c>
      <c r="CG57" s="99">
        <v>16934.400000000001</v>
      </c>
      <c r="CH57" s="99">
        <v>14</v>
      </c>
      <c r="CI57" s="99">
        <v>19756.8</v>
      </c>
      <c r="CJ57" s="99">
        <v>8</v>
      </c>
      <c r="CK57" s="99">
        <v>11289.6</v>
      </c>
      <c r="CL57" s="99">
        <v>11</v>
      </c>
      <c r="CM57" s="99">
        <v>15523.2</v>
      </c>
      <c r="CN57" s="99">
        <v>16</v>
      </c>
      <c r="CO57" s="99">
        <v>22579.200000000001</v>
      </c>
      <c r="CP57" s="99">
        <v>9</v>
      </c>
      <c r="CQ57" s="99">
        <v>12700.800000000001</v>
      </c>
      <c r="CR57" s="99">
        <v>13</v>
      </c>
      <c r="CS57" s="99">
        <v>18345.600000000002</v>
      </c>
      <c r="CT57" s="99">
        <v>13</v>
      </c>
      <c r="CU57" s="99">
        <v>18345.600000000002</v>
      </c>
    </row>
    <row r="58" spans="2:99">
      <c r="C58" s="98" t="s">
        <v>224</v>
      </c>
      <c r="D58" s="99">
        <v>11</v>
      </c>
      <c r="E58" s="99">
        <v>12949.2</v>
      </c>
      <c r="F58" s="99">
        <v>12</v>
      </c>
      <c r="G58" s="99">
        <v>14126.400000000001</v>
      </c>
      <c r="H58" s="99">
        <v>13</v>
      </c>
      <c r="I58" s="99">
        <v>15303.6</v>
      </c>
      <c r="J58" s="99">
        <v>12</v>
      </c>
      <c r="K58" s="99">
        <v>14126.400000000001</v>
      </c>
      <c r="L58" s="99">
        <v>13</v>
      </c>
      <c r="M58" s="99">
        <v>15303.6</v>
      </c>
      <c r="N58" s="99">
        <v>11</v>
      </c>
      <c r="O58" s="99">
        <v>12949.2</v>
      </c>
      <c r="P58" s="99">
        <v>9</v>
      </c>
      <c r="Q58" s="99">
        <v>10594.800000000001</v>
      </c>
      <c r="R58" s="99">
        <v>9</v>
      </c>
      <c r="S58" s="99">
        <v>10594.800000000001</v>
      </c>
      <c r="T58" s="99">
        <v>13</v>
      </c>
      <c r="U58" s="99">
        <v>15303.6</v>
      </c>
      <c r="V58" s="99">
        <v>9</v>
      </c>
      <c r="W58" s="99">
        <v>10594.800000000001</v>
      </c>
      <c r="X58" s="99">
        <v>17</v>
      </c>
      <c r="Y58" s="99">
        <v>20012.400000000001</v>
      </c>
      <c r="Z58" s="99">
        <v>10</v>
      </c>
      <c r="AA58" s="99">
        <v>11772</v>
      </c>
      <c r="AB58" s="99">
        <v>13</v>
      </c>
      <c r="AC58" s="99">
        <v>15303.6</v>
      </c>
      <c r="AD58" s="99">
        <v>11</v>
      </c>
      <c r="AE58" s="99">
        <v>12949.2</v>
      </c>
      <c r="AF58" s="99">
        <v>14</v>
      </c>
      <c r="AG58" s="99">
        <v>16480.8</v>
      </c>
      <c r="AH58" s="99">
        <v>12</v>
      </c>
      <c r="AI58" s="99">
        <v>14126.400000000001</v>
      </c>
      <c r="AJ58" s="99">
        <v>8</v>
      </c>
      <c r="AK58" s="99">
        <v>9417.6</v>
      </c>
      <c r="AL58" s="99">
        <v>17</v>
      </c>
      <c r="AM58" s="99">
        <v>20012.400000000001</v>
      </c>
      <c r="AN58" s="99">
        <v>9</v>
      </c>
      <c r="AO58" s="99">
        <v>10594.800000000001</v>
      </c>
      <c r="AP58" s="99">
        <v>10</v>
      </c>
      <c r="AQ58" s="99">
        <v>11772</v>
      </c>
      <c r="AR58" s="99">
        <v>12</v>
      </c>
      <c r="AS58" s="99">
        <v>14126.400000000001</v>
      </c>
      <c r="AT58" s="99">
        <v>11</v>
      </c>
      <c r="AU58" s="99">
        <v>12949.2</v>
      </c>
      <c r="AV58" s="99">
        <v>13</v>
      </c>
      <c r="AW58" s="99">
        <v>15303.6</v>
      </c>
      <c r="AX58" s="99">
        <v>13</v>
      </c>
      <c r="AY58" s="99">
        <v>15303.6</v>
      </c>
      <c r="AZ58" s="99">
        <v>11</v>
      </c>
      <c r="BA58" s="99">
        <v>12949.2</v>
      </c>
      <c r="BB58" s="99">
        <v>15</v>
      </c>
      <c r="BC58" s="99">
        <v>17658</v>
      </c>
      <c r="BD58" s="99">
        <v>12</v>
      </c>
      <c r="BE58" s="99">
        <v>14126.400000000001</v>
      </c>
      <c r="BF58" s="99">
        <v>8</v>
      </c>
      <c r="BG58" s="99">
        <v>9417.6</v>
      </c>
      <c r="BH58" s="99">
        <v>8</v>
      </c>
      <c r="BI58" s="99">
        <v>9417.6</v>
      </c>
      <c r="BJ58" s="99">
        <v>9</v>
      </c>
      <c r="BK58" s="99">
        <v>10594.800000000001</v>
      </c>
      <c r="BL58" s="99">
        <v>12</v>
      </c>
      <c r="BM58" s="99">
        <v>14126.400000000001</v>
      </c>
      <c r="BN58" s="99">
        <v>9</v>
      </c>
      <c r="BO58" s="99">
        <v>10594.800000000001</v>
      </c>
      <c r="BP58" s="99">
        <v>9</v>
      </c>
      <c r="BQ58" s="99">
        <v>10594.800000000001</v>
      </c>
      <c r="BR58" s="99">
        <v>15</v>
      </c>
      <c r="BS58" s="99">
        <v>17658</v>
      </c>
      <c r="BT58" s="99">
        <v>14</v>
      </c>
      <c r="BU58" s="99">
        <v>16480.8</v>
      </c>
      <c r="BV58" s="99">
        <v>13</v>
      </c>
      <c r="BW58" s="99">
        <v>15303.6</v>
      </c>
      <c r="BX58" s="99">
        <v>9</v>
      </c>
      <c r="BY58" s="99">
        <v>10594.800000000001</v>
      </c>
      <c r="BZ58" s="99">
        <v>11</v>
      </c>
      <c r="CA58" s="99">
        <v>12949.2</v>
      </c>
      <c r="CB58" s="99">
        <v>10</v>
      </c>
      <c r="CC58" s="99">
        <v>11772</v>
      </c>
      <c r="CD58" s="99">
        <v>9</v>
      </c>
      <c r="CE58" s="99">
        <v>10594.800000000001</v>
      </c>
      <c r="CF58" s="99">
        <v>12</v>
      </c>
      <c r="CG58" s="99">
        <v>14126.400000000001</v>
      </c>
      <c r="CH58" s="99">
        <v>16</v>
      </c>
      <c r="CI58" s="99">
        <v>18835.2</v>
      </c>
      <c r="CJ58" s="99">
        <v>9</v>
      </c>
      <c r="CK58" s="99">
        <v>10594.800000000001</v>
      </c>
      <c r="CL58" s="99">
        <v>12</v>
      </c>
      <c r="CM58" s="99">
        <v>14126.400000000001</v>
      </c>
      <c r="CN58" s="99">
        <v>13</v>
      </c>
      <c r="CO58" s="99">
        <v>15303.6</v>
      </c>
      <c r="CP58" s="99">
        <v>9</v>
      </c>
      <c r="CQ58" s="99">
        <v>10594.800000000001</v>
      </c>
      <c r="CR58" s="99">
        <v>13</v>
      </c>
      <c r="CS58" s="99">
        <v>15303.6</v>
      </c>
      <c r="CT58" s="99">
        <v>12</v>
      </c>
      <c r="CU58" s="99">
        <v>14126.400000000001</v>
      </c>
    </row>
    <row r="59" spans="2:99">
      <c r="C59" s="98" t="s">
        <v>225</v>
      </c>
      <c r="D59" s="99">
        <v>13</v>
      </c>
      <c r="E59" s="99">
        <v>3946.7999999999997</v>
      </c>
      <c r="F59" s="99">
        <v>12</v>
      </c>
      <c r="G59" s="99">
        <v>3643.2</v>
      </c>
      <c r="H59" s="99">
        <v>12</v>
      </c>
      <c r="I59" s="99">
        <v>3643.2</v>
      </c>
      <c r="J59" s="99">
        <v>12</v>
      </c>
      <c r="K59" s="99">
        <v>3643.2</v>
      </c>
      <c r="L59" s="99">
        <v>15</v>
      </c>
      <c r="M59" s="99">
        <v>4553.9999999999991</v>
      </c>
      <c r="N59" s="99">
        <v>14</v>
      </c>
      <c r="O59" s="99">
        <v>4250.3999999999996</v>
      </c>
      <c r="P59" s="99">
        <v>9</v>
      </c>
      <c r="Q59" s="99">
        <v>2732.3999999999996</v>
      </c>
      <c r="R59" s="99">
        <v>9</v>
      </c>
      <c r="S59" s="99">
        <v>2732.3999999999996</v>
      </c>
      <c r="T59" s="99">
        <v>15</v>
      </c>
      <c r="U59" s="99">
        <v>4553.9999999999991</v>
      </c>
      <c r="V59" s="99">
        <v>12</v>
      </c>
      <c r="W59" s="99">
        <v>3643.2</v>
      </c>
      <c r="X59" s="99">
        <v>16</v>
      </c>
      <c r="Y59" s="99">
        <v>4857.5999999999995</v>
      </c>
      <c r="Z59" s="99">
        <v>12</v>
      </c>
      <c r="AA59" s="99">
        <v>3643.2</v>
      </c>
      <c r="AB59" s="99">
        <v>13</v>
      </c>
      <c r="AC59" s="99">
        <v>3946.7999999999997</v>
      </c>
      <c r="AD59" s="99">
        <v>14</v>
      </c>
      <c r="AE59" s="99">
        <v>4250.3999999999996</v>
      </c>
      <c r="AF59" s="99">
        <v>14</v>
      </c>
      <c r="AG59" s="99">
        <v>4250.3999999999996</v>
      </c>
      <c r="AH59" s="99">
        <v>16</v>
      </c>
      <c r="AI59" s="99">
        <v>4857.5999999999995</v>
      </c>
      <c r="AJ59" s="99">
        <v>10</v>
      </c>
      <c r="AK59" s="99">
        <v>3035.9999999999995</v>
      </c>
      <c r="AL59" s="99">
        <v>17</v>
      </c>
      <c r="AM59" s="99">
        <v>5161.2</v>
      </c>
      <c r="AN59" s="99">
        <v>10</v>
      </c>
      <c r="AO59" s="99">
        <v>3035.9999999999995</v>
      </c>
      <c r="AP59" s="99">
        <v>11</v>
      </c>
      <c r="AQ59" s="99">
        <v>3339.5999999999995</v>
      </c>
      <c r="AR59" s="99">
        <v>12</v>
      </c>
      <c r="AS59" s="99">
        <v>3643.2</v>
      </c>
      <c r="AT59" s="99">
        <v>12</v>
      </c>
      <c r="AU59" s="99">
        <v>3643.2</v>
      </c>
      <c r="AV59" s="99">
        <v>16</v>
      </c>
      <c r="AW59" s="99">
        <v>4857.5999999999995</v>
      </c>
      <c r="AX59" s="99">
        <v>15</v>
      </c>
      <c r="AY59" s="99">
        <v>4553.9999999999991</v>
      </c>
      <c r="AZ59" s="99">
        <v>13</v>
      </c>
      <c r="BA59" s="99">
        <v>3946.7999999999997</v>
      </c>
      <c r="BB59" s="99">
        <v>17</v>
      </c>
      <c r="BC59" s="99">
        <v>5161.2</v>
      </c>
      <c r="BD59" s="99">
        <v>13</v>
      </c>
      <c r="BE59" s="99">
        <v>3946.7999999999997</v>
      </c>
      <c r="BF59" s="99">
        <v>10</v>
      </c>
      <c r="BG59" s="99">
        <v>3035.9999999999995</v>
      </c>
      <c r="BH59" s="99">
        <v>10</v>
      </c>
      <c r="BI59" s="99">
        <v>3035.9999999999995</v>
      </c>
      <c r="BJ59" s="99">
        <v>10</v>
      </c>
      <c r="BK59" s="99">
        <v>3035.9999999999995</v>
      </c>
      <c r="BL59" s="99">
        <v>14</v>
      </c>
      <c r="BM59" s="99">
        <v>4250.3999999999996</v>
      </c>
      <c r="BN59" s="99">
        <v>10</v>
      </c>
      <c r="BO59" s="99">
        <v>3035.9999999999995</v>
      </c>
      <c r="BP59" s="99">
        <v>11</v>
      </c>
      <c r="BQ59" s="99">
        <v>3339.5999999999995</v>
      </c>
      <c r="BR59" s="99">
        <v>18</v>
      </c>
      <c r="BS59" s="99">
        <v>5464.7999999999993</v>
      </c>
      <c r="BT59" s="99">
        <v>14</v>
      </c>
      <c r="BU59" s="99">
        <v>4250.3999999999996</v>
      </c>
      <c r="BV59" s="99">
        <v>16</v>
      </c>
      <c r="BW59" s="99">
        <v>4857.5999999999995</v>
      </c>
      <c r="BX59" s="99">
        <v>10</v>
      </c>
      <c r="BY59" s="99">
        <v>3035.9999999999995</v>
      </c>
      <c r="BZ59" s="99">
        <v>12</v>
      </c>
      <c r="CA59" s="99">
        <v>3643.2</v>
      </c>
      <c r="CB59" s="99">
        <v>10</v>
      </c>
      <c r="CC59" s="99">
        <v>3035.9999999999995</v>
      </c>
      <c r="CD59" s="99">
        <v>8</v>
      </c>
      <c r="CE59" s="99">
        <v>2428.7999999999997</v>
      </c>
      <c r="CF59" s="99">
        <v>13</v>
      </c>
      <c r="CG59" s="99">
        <v>3946.7999999999997</v>
      </c>
      <c r="CH59" s="99">
        <v>17</v>
      </c>
      <c r="CI59" s="99">
        <v>5161.2</v>
      </c>
      <c r="CJ59" s="99">
        <v>9</v>
      </c>
      <c r="CK59" s="99">
        <v>2732.3999999999996</v>
      </c>
      <c r="CL59" s="99">
        <v>12</v>
      </c>
      <c r="CM59" s="99">
        <v>3643.2</v>
      </c>
      <c r="CN59" s="99">
        <v>16</v>
      </c>
      <c r="CO59" s="99">
        <v>4857.5999999999995</v>
      </c>
      <c r="CP59" s="99">
        <v>11</v>
      </c>
      <c r="CQ59" s="99">
        <v>3339.5999999999995</v>
      </c>
      <c r="CR59" s="99">
        <v>14</v>
      </c>
      <c r="CS59" s="99">
        <v>4250.3999999999996</v>
      </c>
      <c r="CT59" s="99">
        <v>13</v>
      </c>
      <c r="CU59" s="99">
        <v>3946.7999999999997</v>
      </c>
    </row>
    <row r="60" spans="2:99">
      <c r="C60" s="98" t="s">
        <v>226</v>
      </c>
      <c r="D60" s="99">
        <v>12</v>
      </c>
      <c r="E60" s="99">
        <v>7819.2000000000007</v>
      </c>
      <c r="F60" s="99">
        <v>12</v>
      </c>
      <c r="G60" s="99">
        <v>7819.2000000000007</v>
      </c>
      <c r="H60" s="99">
        <v>13</v>
      </c>
      <c r="I60" s="99">
        <v>8470.8000000000011</v>
      </c>
      <c r="J60" s="99">
        <v>14</v>
      </c>
      <c r="K60" s="99">
        <v>9122.4</v>
      </c>
      <c r="L60" s="99">
        <v>13</v>
      </c>
      <c r="M60" s="99">
        <v>8470.8000000000011</v>
      </c>
      <c r="N60" s="99">
        <v>12</v>
      </c>
      <c r="O60" s="99">
        <v>7819.2000000000007</v>
      </c>
      <c r="P60" s="99">
        <v>10</v>
      </c>
      <c r="Q60" s="99">
        <v>6516</v>
      </c>
      <c r="R60" s="99">
        <v>9</v>
      </c>
      <c r="S60" s="99">
        <v>5864.4000000000005</v>
      </c>
      <c r="T60" s="99">
        <v>13</v>
      </c>
      <c r="U60" s="99">
        <v>8470.8000000000011</v>
      </c>
      <c r="V60" s="99">
        <v>10</v>
      </c>
      <c r="W60" s="99">
        <v>6516</v>
      </c>
      <c r="X60" s="99">
        <v>15</v>
      </c>
      <c r="Y60" s="99">
        <v>9774</v>
      </c>
      <c r="Z60" s="99">
        <v>12</v>
      </c>
      <c r="AA60" s="99">
        <v>7819.2000000000007</v>
      </c>
      <c r="AB60" s="99">
        <v>12</v>
      </c>
      <c r="AC60" s="99">
        <v>7819.2000000000007</v>
      </c>
      <c r="AD60" s="99">
        <v>12</v>
      </c>
      <c r="AE60" s="99">
        <v>7819.2000000000007</v>
      </c>
      <c r="AF60" s="99">
        <v>14</v>
      </c>
      <c r="AG60" s="99">
        <v>9122.4</v>
      </c>
      <c r="AH60" s="99">
        <v>14</v>
      </c>
      <c r="AI60" s="99">
        <v>9122.4</v>
      </c>
      <c r="AJ60" s="99">
        <v>8</v>
      </c>
      <c r="AK60" s="99">
        <v>5212.8</v>
      </c>
      <c r="AL60" s="99">
        <v>18</v>
      </c>
      <c r="AM60" s="99">
        <v>11728.800000000001</v>
      </c>
      <c r="AN60" s="99">
        <v>11</v>
      </c>
      <c r="AO60" s="99">
        <v>7167.6</v>
      </c>
      <c r="AP60" s="99">
        <v>11</v>
      </c>
      <c r="AQ60" s="99">
        <v>7167.6</v>
      </c>
      <c r="AR60" s="99">
        <v>13</v>
      </c>
      <c r="AS60" s="99">
        <v>8470.8000000000011</v>
      </c>
      <c r="AT60" s="99">
        <v>11</v>
      </c>
      <c r="AU60" s="99">
        <v>7167.6</v>
      </c>
      <c r="AV60" s="99">
        <v>15</v>
      </c>
      <c r="AW60" s="99">
        <v>9774</v>
      </c>
      <c r="AX60" s="99">
        <v>14</v>
      </c>
      <c r="AY60" s="99">
        <v>9122.4</v>
      </c>
      <c r="AZ60" s="99">
        <v>12</v>
      </c>
      <c r="BA60" s="99">
        <v>7819.2000000000007</v>
      </c>
      <c r="BB60" s="99">
        <v>15</v>
      </c>
      <c r="BC60" s="99">
        <v>9774</v>
      </c>
      <c r="BD60" s="99">
        <v>13</v>
      </c>
      <c r="BE60" s="99">
        <v>8470.8000000000011</v>
      </c>
      <c r="BF60" s="99">
        <v>9</v>
      </c>
      <c r="BG60" s="99">
        <v>5864.4000000000005</v>
      </c>
      <c r="BH60" s="99">
        <v>9</v>
      </c>
      <c r="BI60" s="99">
        <v>5864.4000000000005</v>
      </c>
      <c r="BJ60" s="99">
        <v>9</v>
      </c>
      <c r="BK60" s="99">
        <v>5864.4000000000005</v>
      </c>
      <c r="BL60" s="99">
        <v>14</v>
      </c>
      <c r="BM60" s="99">
        <v>9122.4</v>
      </c>
      <c r="BN60" s="99">
        <v>10</v>
      </c>
      <c r="BO60" s="99">
        <v>6516</v>
      </c>
      <c r="BP60" s="99">
        <v>10</v>
      </c>
      <c r="BQ60" s="99">
        <v>6516</v>
      </c>
      <c r="BR60" s="99">
        <v>16</v>
      </c>
      <c r="BS60" s="99">
        <v>10425.6</v>
      </c>
      <c r="BT60" s="99">
        <v>13</v>
      </c>
      <c r="BU60" s="99">
        <v>8470.8000000000011</v>
      </c>
      <c r="BV60" s="99">
        <v>13</v>
      </c>
      <c r="BW60" s="99">
        <v>8470.8000000000011</v>
      </c>
      <c r="BX60" s="99">
        <v>9</v>
      </c>
      <c r="BY60" s="99">
        <v>5864.4000000000005</v>
      </c>
      <c r="BZ60" s="99">
        <v>11</v>
      </c>
      <c r="CA60" s="99">
        <v>7167.6</v>
      </c>
      <c r="CB60" s="99">
        <v>9</v>
      </c>
      <c r="CC60" s="99">
        <v>5864.4000000000005</v>
      </c>
      <c r="CD60" s="99">
        <v>9</v>
      </c>
      <c r="CE60" s="99">
        <v>5864.4000000000005</v>
      </c>
      <c r="CF60" s="99">
        <v>14</v>
      </c>
      <c r="CG60" s="99">
        <v>9122.4</v>
      </c>
      <c r="CH60" s="99">
        <v>16</v>
      </c>
      <c r="CI60" s="99">
        <v>10425.6</v>
      </c>
      <c r="CJ60" s="99">
        <v>8</v>
      </c>
      <c r="CK60" s="99">
        <v>5212.8</v>
      </c>
      <c r="CL60" s="99">
        <v>12</v>
      </c>
      <c r="CM60" s="99">
        <v>7819.2000000000007</v>
      </c>
      <c r="CN60" s="99">
        <v>15</v>
      </c>
      <c r="CO60" s="99">
        <v>9774</v>
      </c>
      <c r="CP60" s="99">
        <v>10</v>
      </c>
      <c r="CQ60" s="99">
        <v>6516</v>
      </c>
      <c r="CR60" s="99">
        <v>15</v>
      </c>
      <c r="CS60" s="99">
        <v>9774</v>
      </c>
      <c r="CT60" s="99">
        <v>13</v>
      </c>
      <c r="CU60" s="99">
        <v>8470.8000000000011</v>
      </c>
    </row>
    <row r="61" spans="2:99">
      <c r="C61" s="98" t="s">
        <v>227</v>
      </c>
      <c r="D61" s="99">
        <v>11</v>
      </c>
      <c r="E61" s="99">
        <v>10467.599999999999</v>
      </c>
      <c r="F61" s="99">
        <v>12</v>
      </c>
      <c r="G61" s="99">
        <v>11419.199999999999</v>
      </c>
      <c r="H61" s="99">
        <v>12</v>
      </c>
      <c r="I61" s="99">
        <v>11419.199999999999</v>
      </c>
      <c r="J61" s="99">
        <v>12</v>
      </c>
      <c r="K61" s="99">
        <v>11419.199999999999</v>
      </c>
      <c r="L61" s="99">
        <v>12</v>
      </c>
      <c r="M61" s="99">
        <v>11419.199999999999</v>
      </c>
      <c r="N61" s="99">
        <v>13</v>
      </c>
      <c r="O61" s="99">
        <v>12370.8</v>
      </c>
      <c r="P61" s="99">
        <v>10</v>
      </c>
      <c r="Q61" s="99">
        <v>9516</v>
      </c>
      <c r="R61" s="99">
        <v>8</v>
      </c>
      <c r="S61" s="99">
        <v>7612.7999999999993</v>
      </c>
      <c r="T61" s="99">
        <v>14</v>
      </c>
      <c r="U61" s="99">
        <v>13322.399999999998</v>
      </c>
      <c r="V61" s="99">
        <v>10</v>
      </c>
      <c r="W61" s="99">
        <v>9516</v>
      </c>
      <c r="X61" s="99">
        <v>15</v>
      </c>
      <c r="Y61" s="99">
        <v>14273.999999999998</v>
      </c>
      <c r="Z61" s="99">
        <v>12</v>
      </c>
      <c r="AA61" s="99">
        <v>11419.199999999999</v>
      </c>
      <c r="AB61" s="99">
        <v>12</v>
      </c>
      <c r="AC61" s="99">
        <v>11419.199999999999</v>
      </c>
      <c r="AD61" s="99">
        <v>11</v>
      </c>
      <c r="AE61" s="99">
        <v>10467.599999999999</v>
      </c>
      <c r="AF61" s="99">
        <v>13</v>
      </c>
      <c r="AG61" s="99">
        <v>12370.8</v>
      </c>
      <c r="AH61" s="99">
        <v>15</v>
      </c>
      <c r="AI61" s="99">
        <v>14273.999999999998</v>
      </c>
      <c r="AJ61" s="99">
        <v>9</v>
      </c>
      <c r="AK61" s="99">
        <v>8564.4</v>
      </c>
      <c r="AL61" s="99">
        <v>15</v>
      </c>
      <c r="AM61" s="99">
        <v>14273.999999999998</v>
      </c>
      <c r="AN61" s="99">
        <v>10</v>
      </c>
      <c r="AO61" s="99">
        <v>9516</v>
      </c>
      <c r="AP61" s="99">
        <v>10</v>
      </c>
      <c r="AQ61" s="99">
        <v>9516</v>
      </c>
      <c r="AR61" s="99">
        <v>14</v>
      </c>
      <c r="AS61" s="99">
        <v>13322.399999999998</v>
      </c>
      <c r="AT61" s="99">
        <v>12</v>
      </c>
      <c r="AU61" s="99">
        <v>11419.199999999999</v>
      </c>
      <c r="AV61" s="99">
        <v>14</v>
      </c>
      <c r="AW61" s="99">
        <v>13322.399999999998</v>
      </c>
      <c r="AX61" s="99">
        <v>13</v>
      </c>
      <c r="AY61" s="99">
        <v>12370.8</v>
      </c>
      <c r="AZ61" s="99">
        <v>12</v>
      </c>
      <c r="BA61" s="99">
        <v>11419.199999999999</v>
      </c>
      <c r="BB61" s="99">
        <v>14</v>
      </c>
      <c r="BC61" s="99">
        <v>13322.399999999998</v>
      </c>
      <c r="BD61" s="99">
        <v>12</v>
      </c>
      <c r="BE61" s="99">
        <v>11419.199999999999</v>
      </c>
      <c r="BF61" s="99">
        <v>8</v>
      </c>
      <c r="BG61" s="99">
        <v>7612.7999999999993</v>
      </c>
      <c r="BH61" s="99">
        <v>9</v>
      </c>
      <c r="BI61" s="99">
        <v>8564.4</v>
      </c>
      <c r="BJ61" s="99">
        <v>10</v>
      </c>
      <c r="BK61" s="99">
        <v>9516</v>
      </c>
      <c r="BL61" s="99">
        <v>12</v>
      </c>
      <c r="BM61" s="99">
        <v>11419.199999999999</v>
      </c>
      <c r="BN61" s="99">
        <v>10</v>
      </c>
      <c r="BO61" s="99">
        <v>9516</v>
      </c>
      <c r="BP61" s="99">
        <v>9</v>
      </c>
      <c r="BQ61" s="99">
        <v>8564.4</v>
      </c>
      <c r="BR61" s="99">
        <v>15</v>
      </c>
      <c r="BS61" s="99">
        <v>14273.999999999998</v>
      </c>
      <c r="BT61" s="99">
        <v>14</v>
      </c>
      <c r="BU61" s="99">
        <v>13322.399999999998</v>
      </c>
      <c r="BV61" s="99">
        <v>14</v>
      </c>
      <c r="BW61" s="99">
        <v>13322.399999999998</v>
      </c>
      <c r="BX61" s="99">
        <v>10</v>
      </c>
      <c r="BY61" s="99">
        <v>9516</v>
      </c>
      <c r="BZ61" s="99">
        <v>12</v>
      </c>
      <c r="CA61" s="99">
        <v>11419.199999999999</v>
      </c>
      <c r="CB61" s="99">
        <v>9</v>
      </c>
      <c r="CC61" s="99">
        <v>8564.4</v>
      </c>
      <c r="CD61" s="99">
        <v>9</v>
      </c>
      <c r="CE61" s="99">
        <v>8564.4</v>
      </c>
      <c r="CF61" s="99">
        <v>15</v>
      </c>
      <c r="CG61" s="99">
        <v>14273.999999999998</v>
      </c>
      <c r="CH61" s="99">
        <v>15</v>
      </c>
      <c r="CI61" s="99">
        <v>14273.999999999998</v>
      </c>
      <c r="CJ61" s="99">
        <v>8</v>
      </c>
      <c r="CK61" s="99">
        <v>7612.7999999999993</v>
      </c>
      <c r="CL61" s="99">
        <v>12</v>
      </c>
      <c r="CM61" s="99">
        <v>11419.199999999999</v>
      </c>
      <c r="CN61" s="99">
        <v>15</v>
      </c>
      <c r="CO61" s="99">
        <v>14273.999999999998</v>
      </c>
      <c r="CP61" s="99">
        <v>10</v>
      </c>
      <c r="CQ61" s="99">
        <v>9516</v>
      </c>
      <c r="CR61" s="99">
        <v>15</v>
      </c>
      <c r="CS61" s="99">
        <v>14273.999999999998</v>
      </c>
      <c r="CT61" s="99">
        <v>13</v>
      </c>
      <c r="CU61" s="99">
        <v>12370.8</v>
      </c>
    </row>
    <row r="62" spans="2:99">
      <c r="C62" s="98" t="s">
        <v>228</v>
      </c>
      <c r="D62" s="99">
        <v>10</v>
      </c>
      <c r="E62" s="99">
        <v>16692</v>
      </c>
      <c r="F62" s="99">
        <v>12</v>
      </c>
      <c r="G62" s="99">
        <v>20030.400000000001</v>
      </c>
      <c r="H62" s="99">
        <v>11</v>
      </c>
      <c r="I62" s="99">
        <v>18361.2</v>
      </c>
      <c r="J62" s="99">
        <v>12</v>
      </c>
      <c r="K62" s="99">
        <v>20030.400000000001</v>
      </c>
      <c r="L62" s="99">
        <v>12</v>
      </c>
      <c r="M62" s="99">
        <v>20030.400000000001</v>
      </c>
      <c r="N62" s="99">
        <v>11</v>
      </c>
      <c r="O62" s="99">
        <v>18361.2</v>
      </c>
      <c r="P62" s="99">
        <v>9</v>
      </c>
      <c r="Q62" s="99">
        <v>15022.800000000001</v>
      </c>
      <c r="R62" s="99">
        <v>0</v>
      </c>
      <c r="S62" s="99">
        <v>0</v>
      </c>
      <c r="T62" s="99">
        <v>12</v>
      </c>
      <c r="U62" s="99">
        <v>20030.400000000001</v>
      </c>
      <c r="V62" s="99">
        <v>9</v>
      </c>
      <c r="W62" s="99">
        <v>15022.800000000001</v>
      </c>
      <c r="X62" s="99">
        <v>16</v>
      </c>
      <c r="Y62" s="99">
        <v>26707.200000000001</v>
      </c>
      <c r="Z62" s="99">
        <v>11</v>
      </c>
      <c r="AA62" s="99">
        <v>18361.2</v>
      </c>
      <c r="AB62" s="99">
        <v>12</v>
      </c>
      <c r="AC62" s="99">
        <v>20030.400000000001</v>
      </c>
      <c r="AD62" s="99">
        <v>12</v>
      </c>
      <c r="AE62" s="99">
        <v>20030.400000000001</v>
      </c>
      <c r="AF62" s="99">
        <v>14</v>
      </c>
      <c r="AG62" s="99">
        <v>23368.799999999999</v>
      </c>
      <c r="AH62" s="99">
        <v>12</v>
      </c>
      <c r="AI62" s="99">
        <v>20030.400000000001</v>
      </c>
      <c r="AJ62" s="99">
        <v>8</v>
      </c>
      <c r="AK62" s="99">
        <v>13353.6</v>
      </c>
      <c r="AL62" s="99">
        <v>14</v>
      </c>
      <c r="AM62" s="99">
        <v>23368.799999999999</v>
      </c>
      <c r="AN62" s="99">
        <v>9</v>
      </c>
      <c r="AO62" s="99">
        <v>15022.800000000001</v>
      </c>
      <c r="AP62" s="99">
        <v>9</v>
      </c>
      <c r="AQ62" s="99">
        <v>15022.800000000001</v>
      </c>
      <c r="AR62" s="99">
        <v>11</v>
      </c>
      <c r="AS62" s="99">
        <v>18361.2</v>
      </c>
      <c r="AT62" s="99">
        <v>11</v>
      </c>
      <c r="AU62" s="99">
        <v>18361.2</v>
      </c>
      <c r="AV62" s="99">
        <v>13</v>
      </c>
      <c r="AW62" s="99">
        <v>21699.600000000002</v>
      </c>
      <c r="AX62" s="99">
        <v>12</v>
      </c>
      <c r="AY62" s="99">
        <v>20030.400000000001</v>
      </c>
      <c r="AZ62" s="99">
        <v>11</v>
      </c>
      <c r="BA62" s="99">
        <v>18361.2</v>
      </c>
      <c r="BB62" s="99">
        <v>13</v>
      </c>
      <c r="BC62" s="99">
        <v>21699.600000000002</v>
      </c>
      <c r="BD62" s="99">
        <v>10</v>
      </c>
      <c r="BE62" s="99">
        <v>16692</v>
      </c>
      <c r="BF62" s="99">
        <v>8</v>
      </c>
      <c r="BG62" s="99">
        <v>13353.6</v>
      </c>
      <c r="BH62" s="99">
        <v>9</v>
      </c>
      <c r="BI62" s="99">
        <v>15022.800000000001</v>
      </c>
      <c r="BJ62" s="99">
        <v>9</v>
      </c>
      <c r="BK62" s="99">
        <v>15022.800000000001</v>
      </c>
      <c r="BL62" s="99">
        <v>12</v>
      </c>
      <c r="BM62" s="99">
        <v>20030.400000000001</v>
      </c>
      <c r="BN62" s="99">
        <v>8</v>
      </c>
      <c r="BO62" s="99">
        <v>13353.6</v>
      </c>
      <c r="BP62" s="99">
        <v>8</v>
      </c>
      <c r="BQ62" s="99">
        <v>13353.6</v>
      </c>
      <c r="BR62" s="99">
        <v>16</v>
      </c>
      <c r="BS62" s="99">
        <v>26707.200000000001</v>
      </c>
      <c r="BT62" s="99">
        <v>11</v>
      </c>
      <c r="BU62" s="99">
        <v>18361.2</v>
      </c>
      <c r="BV62" s="99">
        <v>13</v>
      </c>
      <c r="BW62" s="99">
        <v>21699.600000000002</v>
      </c>
      <c r="BX62" s="99">
        <v>9</v>
      </c>
      <c r="BY62" s="99">
        <v>15022.800000000001</v>
      </c>
      <c r="BZ62" s="99">
        <v>11</v>
      </c>
      <c r="CA62" s="99">
        <v>18361.2</v>
      </c>
      <c r="CB62" s="99">
        <v>9</v>
      </c>
      <c r="CC62" s="99">
        <v>15022.800000000001</v>
      </c>
      <c r="CD62" s="99">
        <v>8</v>
      </c>
      <c r="CE62" s="99">
        <v>13353.6</v>
      </c>
      <c r="CF62" s="99">
        <v>13</v>
      </c>
      <c r="CG62" s="99">
        <v>21699.600000000002</v>
      </c>
      <c r="CH62" s="99">
        <v>15</v>
      </c>
      <c r="CI62" s="99">
        <v>25038</v>
      </c>
      <c r="CJ62" s="99">
        <v>8</v>
      </c>
      <c r="CK62" s="99">
        <v>13353.6</v>
      </c>
      <c r="CL62" s="99">
        <v>11</v>
      </c>
      <c r="CM62" s="99">
        <v>18361.2</v>
      </c>
      <c r="CN62" s="99">
        <v>14</v>
      </c>
      <c r="CO62" s="99">
        <v>23368.799999999999</v>
      </c>
      <c r="CP62" s="99">
        <v>8</v>
      </c>
      <c r="CQ62" s="99">
        <v>13353.6</v>
      </c>
      <c r="CR62" s="99">
        <v>14</v>
      </c>
      <c r="CS62" s="99">
        <v>23368.799999999999</v>
      </c>
      <c r="CT62" s="99">
        <v>13</v>
      </c>
      <c r="CU62" s="99">
        <v>21699.600000000002</v>
      </c>
    </row>
    <row r="63" spans="2:99">
      <c r="C63" s="98" t="s">
        <v>229</v>
      </c>
      <c r="D63" s="99">
        <v>12</v>
      </c>
      <c r="E63" s="99">
        <v>9547.2000000000007</v>
      </c>
      <c r="F63" s="99">
        <v>14</v>
      </c>
      <c r="G63" s="99">
        <v>11138.4</v>
      </c>
      <c r="H63" s="99">
        <v>12</v>
      </c>
      <c r="I63" s="99">
        <v>9547.2000000000007</v>
      </c>
      <c r="J63" s="99">
        <v>13</v>
      </c>
      <c r="K63" s="99">
        <v>10342.800000000001</v>
      </c>
      <c r="L63" s="99">
        <v>13</v>
      </c>
      <c r="M63" s="99">
        <v>10342.800000000001</v>
      </c>
      <c r="N63" s="99">
        <v>13</v>
      </c>
      <c r="O63" s="99">
        <v>10342.800000000001</v>
      </c>
      <c r="P63" s="99">
        <v>10</v>
      </c>
      <c r="Q63" s="99">
        <v>7956</v>
      </c>
      <c r="R63" s="99">
        <v>8</v>
      </c>
      <c r="S63" s="99">
        <v>6364.8</v>
      </c>
      <c r="T63" s="99">
        <v>13</v>
      </c>
      <c r="U63" s="99">
        <v>10342.800000000001</v>
      </c>
      <c r="V63" s="99">
        <v>10</v>
      </c>
      <c r="W63" s="99">
        <v>7956</v>
      </c>
      <c r="X63" s="99">
        <v>17</v>
      </c>
      <c r="Y63" s="99">
        <v>13525.2</v>
      </c>
      <c r="Z63" s="99">
        <v>11</v>
      </c>
      <c r="AA63" s="99">
        <v>8751.6</v>
      </c>
      <c r="AB63" s="99">
        <v>13</v>
      </c>
      <c r="AC63" s="99">
        <v>10342.800000000001</v>
      </c>
      <c r="AD63" s="99">
        <v>13</v>
      </c>
      <c r="AE63" s="99">
        <v>10342.800000000001</v>
      </c>
      <c r="AF63" s="99">
        <v>14</v>
      </c>
      <c r="AG63" s="99">
        <v>11138.4</v>
      </c>
      <c r="AH63" s="99">
        <v>13</v>
      </c>
      <c r="AI63" s="99">
        <v>10342.800000000001</v>
      </c>
      <c r="AJ63" s="99">
        <v>8</v>
      </c>
      <c r="AK63" s="99">
        <v>6364.8</v>
      </c>
      <c r="AL63" s="99">
        <v>18</v>
      </c>
      <c r="AM63" s="99">
        <v>14320.800000000001</v>
      </c>
      <c r="AN63" s="99">
        <v>9</v>
      </c>
      <c r="AO63" s="99">
        <v>7160.4000000000005</v>
      </c>
      <c r="AP63" s="99">
        <v>11</v>
      </c>
      <c r="AQ63" s="99">
        <v>8751.6</v>
      </c>
      <c r="AR63" s="99">
        <v>12</v>
      </c>
      <c r="AS63" s="99">
        <v>9547.2000000000007</v>
      </c>
      <c r="AT63" s="99">
        <v>12</v>
      </c>
      <c r="AU63" s="99">
        <v>9547.2000000000007</v>
      </c>
      <c r="AV63" s="99">
        <v>16</v>
      </c>
      <c r="AW63" s="99">
        <v>12729.6</v>
      </c>
      <c r="AX63" s="99">
        <v>12</v>
      </c>
      <c r="AY63" s="99">
        <v>9547.2000000000007</v>
      </c>
      <c r="AZ63" s="99">
        <v>12</v>
      </c>
      <c r="BA63" s="99">
        <v>9547.2000000000007</v>
      </c>
      <c r="BB63" s="99">
        <v>16</v>
      </c>
      <c r="BC63" s="99">
        <v>12729.6</v>
      </c>
      <c r="BD63" s="99">
        <v>13</v>
      </c>
      <c r="BE63" s="99">
        <v>10342.800000000001</v>
      </c>
      <c r="BF63" s="99">
        <v>9</v>
      </c>
      <c r="BG63" s="99">
        <v>7160.4000000000005</v>
      </c>
      <c r="BH63" s="99">
        <v>9</v>
      </c>
      <c r="BI63" s="99">
        <v>7160.4000000000005</v>
      </c>
      <c r="BJ63" s="99">
        <v>9</v>
      </c>
      <c r="BK63" s="99">
        <v>7160.4000000000005</v>
      </c>
      <c r="BL63" s="99">
        <v>12</v>
      </c>
      <c r="BM63" s="99">
        <v>9547.2000000000007</v>
      </c>
      <c r="BN63" s="99">
        <v>10</v>
      </c>
      <c r="BO63" s="99">
        <v>7956</v>
      </c>
      <c r="BP63" s="99">
        <v>10</v>
      </c>
      <c r="BQ63" s="99">
        <v>7956</v>
      </c>
      <c r="BR63" s="99">
        <v>16</v>
      </c>
      <c r="BS63" s="99">
        <v>12729.6</v>
      </c>
      <c r="BT63" s="99">
        <v>13</v>
      </c>
      <c r="BU63" s="99">
        <v>10342.800000000001</v>
      </c>
      <c r="BV63" s="99">
        <v>13</v>
      </c>
      <c r="BW63" s="99">
        <v>10342.800000000001</v>
      </c>
      <c r="BX63" s="99">
        <v>9</v>
      </c>
      <c r="BY63" s="99">
        <v>7160.4000000000005</v>
      </c>
      <c r="BZ63" s="99">
        <v>11</v>
      </c>
      <c r="CA63" s="99">
        <v>8751.6</v>
      </c>
      <c r="CB63" s="99">
        <v>9</v>
      </c>
      <c r="CC63" s="99">
        <v>7160.4000000000005</v>
      </c>
      <c r="CD63" s="99">
        <v>8</v>
      </c>
      <c r="CE63" s="99">
        <v>6364.8</v>
      </c>
      <c r="CF63" s="99">
        <v>14</v>
      </c>
      <c r="CG63" s="99">
        <v>11138.4</v>
      </c>
      <c r="CH63" s="99">
        <v>15</v>
      </c>
      <c r="CI63" s="99">
        <v>11934</v>
      </c>
      <c r="CJ63" s="99">
        <v>8</v>
      </c>
      <c r="CK63" s="99">
        <v>6364.8</v>
      </c>
      <c r="CL63" s="99">
        <v>11</v>
      </c>
      <c r="CM63" s="99">
        <v>8751.6</v>
      </c>
      <c r="CN63" s="99">
        <v>16</v>
      </c>
      <c r="CO63" s="99">
        <v>12729.6</v>
      </c>
      <c r="CP63" s="99">
        <v>10</v>
      </c>
      <c r="CQ63" s="99">
        <v>7956</v>
      </c>
      <c r="CR63" s="99">
        <v>14</v>
      </c>
      <c r="CS63" s="99">
        <v>11138.4</v>
      </c>
      <c r="CT63" s="99">
        <v>12</v>
      </c>
      <c r="CU63" s="99">
        <v>9547.2000000000007</v>
      </c>
    </row>
    <row r="64" spans="2:99">
      <c r="C64" s="98" t="s">
        <v>230</v>
      </c>
      <c r="D64" s="99">
        <v>10</v>
      </c>
      <c r="E64" s="99">
        <v>10091.999999999998</v>
      </c>
      <c r="F64" s="99">
        <v>13</v>
      </c>
      <c r="G64" s="99">
        <v>13119.599999999999</v>
      </c>
      <c r="H64" s="99">
        <v>11</v>
      </c>
      <c r="I64" s="99">
        <v>11101.199999999997</v>
      </c>
      <c r="J64" s="99">
        <v>11</v>
      </c>
      <c r="K64" s="99">
        <v>11101.199999999997</v>
      </c>
      <c r="L64" s="99">
        <v>14</v>
      </c>
      <c r="M64" s="99">
        <v>14128.799999999997</v>
      </c>
      <c r="N64" s="99">
        <v>11</v>
      </c>
      <c r="O64" s="99">
        <v>11101.199999999997</v>
      </c>
      <c r="P64" s="99">
        <v>10</v>
      </c>
      <c r="Q64" s="99">
        <v>10091.999999999998</v>
      </c>
      <c r="R64" s="99">
        <v>8</v>
      </c>
      <c r="S64" s="99">
        <v>8073.5999999999985</v>
      </c>
      <c r="T64" s="99">
        <v>14</v>
      </c>
      <c r="U64" s="99">
        <v>14128.799999999997</v>
      </c>
      <c r="V64" s="99">
        <v>10</v>
      </c>
      <c r="W64" s="99">
        <v>10091.999999999998</v>
      </c>
      <c r="X64" s="99">
        <v>18</v>
      </c>
      <c r="Y64" s="99">
        <v>18165.599999999999</v>
      </c>
      <c r="Z64" s="99">
        <v>12</v>
      </c>
      <c r="AA64" s="99">
        <v>12110.399999999998</v>
      </c>
      <c r="AB64" s="99">
        <v>11</v>
      </c>
      <c r="AC64" s="99">
        <v>11101.199999999997</v>
      </c>
      <c r="AD64" s="99">
        <v>12</v>
      </c>
      <c r="AE64" s="99">
        <v>12110.399999999998</v>
      </c>
      <c r="AF64" s="99">
        <v>15</v>
      </c>
      <c r="AG64" s="99">
        <v>15137.999999999996</v>
      </c>
      <c r="AH64" s="99">
        <v>14</v>
      </c>
      <c r="AI64" s="99">
        <v>14128.799999999997</v>
      </c>
      <c r="AJ64" s="99">
        <v>9</v>
      </c>
      <c r="AK64" s="99">
        <v>9082.7999999999993</v>
      </c>
      <c r="AL64" s="99">
        <v>18</v>
      </c>
      <c r="AM64" s="99">
        <v>18165.599999999999</v>
      </c>
      <c r="AN64" s="99">
        <v>10</v>
      </c>
      <c r="AO64" s="99">
        <v>10091.999999999998</v>
      </c>
      <c r="AP64" s="99">
        <v>11</v>
      </c>
      <c r="AQ64" s="99">
        <v>11101.199999999997</v>
      </c>
      <c r="AR64" s="99">
        <v>12</v>
      </c>
      <c r="AS64" s="99">
        <v>12110.399999999998</v>
      </c>
      <c r="AT64" s="99">
        <v>11</v>
      </c>
      <c r="AU64" s="99">
        <v>11101.199999999997</v>
      </c>
      <c r="AV64" s="99">
        <v>15</v>
      </c>
      <c r="AW64" s="99">
        <v>15137.999999999996</v>
      </c>
      <c r="AX64" s="99">
        <v>15</v>
      </c>
      <c r="AY64" s="99">
        <v>15137.999999999996</v>
      </c>
      <c r="AZ64" s="99">
        <v>12</v>
      </c>
      <c r="BA64" s="99">
        <v>12110.399999999998</v>
      </c>
      <c r="BB64" s="99">
        <v>14</v>
      </c>
      <c r="BC64" s="99">
        <v>14128.799999999997</v>
      </c>
      <c r="BD64" s="99">
        <v>13</v>
      </c>
      <c r="BE64" s="99">
        <v>13119.599999999999</v>
      </c>
      <c r="BF64" s="99">
        <v>9</v>
      </c>
      <c r="BG64" s="99">
        <v>9082.7999999999993</v>
      </c>
      <c r="BH64" s="99">
        <v>10</v>
      </c>
      <c r="BI64" s="99">
        <v>10091.999999999998</v>
      </c>
      <c r="BJ64" s="99">
        <v>9</v>
      </c>
      <c r="BK64" s="99">
        <v>9082.7999999999993</v>
      </c>
      <c r="BL64" s="99">
        <v>13</v>
      </c>
      <c r="BM64" s="99">
        <v>13119.599999999999</v>
      </c>
      <c r="BN64" s="99">
        <v>10</v>
      </c>
      <c r="BO64" s="99">
        <v>10091.999999999998</v>
      </c>
      <c r="BP64" s="99">
        <v>9</v>
      </c>
      <c r="BQ64" s="99">
        <v>9082.7999999999993</v>
      </c>
      <c r="BR64" s="99">
        <v>14</v>
      </c>
      <c r="BS64" s="99">
        <v>14128.799999999997</v>
      </c>
      <c r="BT64" s="99">
        <v>13</v>
      </c>
      <c r="BU64" s="99">
        <v>13119.599999999999</v>
      </c>
      <c r="BV64" s="99">
        <v>13</v>
      </c>
      <c r="BW64" s="99">
        <v>13119.599999999999</v>
      </c>
      <c r="BX64" s="99">
        <v>9</v>
      </c>
      <c r="BY64" s="99">
        <v>9082.7999999999993</v>
      </c>
      <c r="BZ64" s="99">
        <v>10</v>
      </c>
      <c r="CA64" s="99">
        <v>10091.999999999998</v>
      </c>
      <c r="CB64" s="99">
        <v>9</v>
      </c>
      <c r="CC64" s="99">
        <v>9082.7999999999993</v>
      </c>
      <c r="CD64" s="99">
        <v>8</v>
      </c>
      <c r="CE64" s="99">
        <v>8073.5999999999985</v>
      </c>
      <c r="CF64" s="99">
        <v>15</v>
      </c>
      <c r="CG64" s="99">
        <v>15137.999999999996</v>
      </c>
      <c r="CH64" s="99">
        <v>16</v>
      </c>
      <c r="CI64" s="99">
        <v>16147.199999999997</v>
      </c>
      <c r="CJ64" s="99">
        <v>9</v>
      </c>
      <c r="CK64" s="99">
        <v>9082.7999999999993</v>
      </c>
      <c r="CL64" s="99">
        <v>11</v>
      </c>
      <c r="CM64" s="99">
        <v>11101.199999999997</v>
      </c>
      <c r="CN64" s="99">
        <v>14</v>
      </c>
      <c r="CO64" s="99">
        <v>14128.799999999997</v>
      </c>
      <c r="CP64" s="99">
        <v>9</v>
      </c>
      <c r="CQ64" s="99">
        <v>9082.7999999999993</v>
      </c>
      <c r="CR64" s="99">
        <v>13</v>
      </c>
      <c r="CS64" s="99">
        <v>13119.599999999999</v>
      </c>
      <c r="CT64" s="99">
        <v>14</v>
      </c>
      <c r="CU64" s="99">
        <v>14128.799999999997</v>
      </c>
    </row>
    <row r="65" spans="2:99">
      <c r="C65" s="98" t="s">
        <v>231</v>
      </c>
      <c r="D65" s="99">
        <v>10</v>
      </c>
      <c r="E65" s="99">
        <v>10260</v>
      </c>
      <c r="F65" s="99">
        <v>13</v>
      </c>
      <c r="G65" s="99">
        <v>13338</v>
      </c>
      <c r="H65" s="99">
        <v>14</v>
      </c>
      <c r="I65" s="99">
        <v>14364</v>
      </c>
      <c r="J65" s="99">
        <v>11</v>
      </c>
      <c r="K65" s="99">
        <v>11286</v>
      </c>
      <c r="L65" s="99">
        <v>12</v>
      </c>
      <c r="M65" s="99">
        <v>12312</v>
      </c>
      <c r="N65" s="99">
        <v>13</v>
      </c>
      <c r="O65" s="99">
        <v>13338</v>
      </c>
      <c r="P65" s="99">
        <v>9</v>
      </c>
      <c r="Q65" s="99">
        <v>9234</v>
      </c>
      <c r="R65" s="99">
        <v>8</v>
      </c>
      <c r="S65" s="99">
        <v>8208</v>
      </c>
      <c r="T65" s="99">
        <v>14</v>
      </c>
      <c r="U65" s="99">
        <v>14364</v>
      </c>
      <c r="V65" s="99">
        <v>11</v>
      </c>
      <c r="W65" s="99">
        <v>11286</v>
      </c>
      <c r="X65" s="99">
        <v>16</v>
      </c>
      <c r="Y65" s="99">
        <v>16416</v>
      </c>
      <c r="Z65" s="99">
        <v>11</v>
      </c>
      <c r="AA65" s="99">
        <v>11286</v>
      </c>
      <c r="AB65" s="99">
        <v>13</v>
      </c>
      <c r="AC65" s="99">
        <v>13338</v>
      </c>
      <c r="AD65" s="99">
        <v>13</v>
      </c>
      <c r="AE65" s="99">
        <v>13338</v>
      </c>
      <c r="AF65" s="99">
        <v>15</v>
      </c>
      <c r="AG65" s="99">
        <v>15390</v>
      </c>
      <c r="AH65" s="99">
        <v>14</v>
      </c>
      <c r="AI65" s="99">
        <v>14364</v>
      </c>
      <c r="AJ65" s="99">
        <v>9</v>
      </c>
      <c r="AK65" s="99">
        <v>9234</v>
      </c>
      <c r="AL65" s="99">
        <v>16</v>
      </c>
      <c r="AM65" s="99">
        <v>16416</v>
      </c>
      <c r="AN65" s="99">
        <v>9</v>
      </c>
      <c r="AO65" s="99">
        <v>9234</v>
      </c>
      <c r="AP65" s="99">
        <v>10</v>
      </c>
      <c r="AQ65" s="99">
        <v>10260</v>
      </c>
      <c r="AR65" s="99">
        <v>12</v>
      </c>
      <c r="AS65" s="99">
        <v>12312</v>
      </c>
      <c r="AT65" s="99">
        <v>11</v>
      </c>
      <c r="AU65" s="99">
        <v>11286</v>
      </c>
      <c r="AV65" s="99">
        <v>14</v>
      </c>
      <c r="AW65" s="99">
        <v>14364</v>
      </c>
      <c r="AX65" s="99">
        <v>14</v>
      </c>
      <c r="AY65" s="99">
        <v>14364</v>
      </c>
      <c r="AZ65" s="99">
        <v>10</v>
      </c>
      <c r="BA65" s="99">
        <v>10260</v>
      </c>
      <c r="BB65" s="99">
        <v>16</v>
      </c>
      <c r="BC65" s="99">
        <v>16416</v>
      </c>
      <c r="BD65" s="99">
        <v>11</v>
      </c>
      <c r="BE65" s="99">
        <v>11286</v>
      </c>
      <c r="BF65" s="99">
        <v>8</v>
      </c>
      <c r="BG65" s="99">
        <v>8208</v>
      </c>
      <c r="BH65" s="99">
        <v>10</v>
      </c>
      <c r="BI65" s="99">
        <v>10260</v>
      </c>
      <c r="BJ65" s="99">
        <v>9</v>
      </c>
      <c r="BK65" s="99">
        <v>9234</v>
      </c>
      <c r="BL65" s="99">
        <v>12</v>
      </c>
      <c r="BM65" s="99">
        <v>12312</v>
      </c>
      <c r="BN65" s="99">
        <v>10</v>
      </c>
      <c r="BO65" s="99">
        <v>10260</v>
      </c>
      <c r="BP65" s="99">
        <v>9</v>
      </c>
      <c r="BQ65" s="99">
        <v>9234</v>
      </c>
      <c r="BR65" s="99">
        <v>16</v>
      </c>
      <c r="BS65" s="99">
        <v>16416</v>
      </c>
      <c r="BT65" s="99">
        <v>12</v>
      </c>
      <c r="BU65" s="99">
        <v>12312</v>
      </c>
      <c r="BV65" s="99">
        <v>14</v>
      </c>
      <c r="BW65" s="99">
        <v>14364</v>
      </c>
      <c r="BX65" s="99">
        <v>8</v>
      </c>
      <c r="BY65" s="99">
        <v>8208</v>
      </c>
      <c r="BZ65" s="99">
        <v>10</v>
      </c>
      <c r="CA65" s="99">
        <v>10260</v>
      </c>
      <c r="CB65" s="99">
        <v>9</v>
      </c>
      <c r="CC65" s="99">
        <v>9234</v>
      </c>
      <c r="CD65" s="99">
        <v>9</v>
      </c>
      <c r="CE65" s="99">
        <v>9234</v>
      </c>
      <c r="CF65" s="99">
        <v>15</v>
      </c>
      <c r="CG65" s="99">
        <v>15390</v>
      </c>
      <c r="CH65" s="99">
        <v>14</v>
      </c>
      <c r="CI65" s="99">
        <v>14364</v>
      </c>
      <c r="CJ65" s="99">
        <v>8</v>
      </c>
      <c r="CK65" s="99">
        <v>8208</v>
      </c>
      <c r="CL65" s="99">
        <v>11</v>
      </c>
      <c r="CM65" s="99">
        <v>11286</v>
      </c>
      <c r="CN65" s="99">
        <v>13</v>
      </c>
      <c r="CO65" s="99">
        <v>13338</v>
      </c>
      <c r="CP65" s="99">
        <v>9</v>
      </c>
      <c r="CQ65" s="99">
        <v>9234</v>
      </c>
      <c r="CR65" s="99">
        <v>15</v>
      </c>
      <c r="CS65" s="99">
        <v>15390</v>
      </c>
      <c r="CT65" s="99">
        <v>13</v>
      </c>
      <c r="CU65" s="99">
        <v>13338</v>
      </c>
    </row>
    <row r="66" spans="2:99">
      <c r="C66" s="98" t="s">
        <v>232</v>
      </c>
      <c r="D66" s="99">
        <v>11</v>
      </c>
      <c r="E66" s="99">
        <v>13094.399999999998</v>
      </c>
      <c r="F66" s="99">
        <v>11</v>
      </c>
      <c r="G66" s="99">
        <v>13094.399999999998</v>
      </c>
      <c r="H66" s="99">
        <v>13</v>
      </c>
      <c r="I66" s="99">
        <v>15475.199999999999</v>
      </c>
      <c r="J66" s="99">
        <v>13</v>
      </c>
      <c r="K66" s="99">
        <v>15475.199999999999</v>
      </c>
      <c r="L66" s="99">
        <v>14</v>
      </c>
      <c r="M66" s="99">
        <v>16665.599999999999</v>
      </c>
      <c r="N66" s="99">
        <v>12</v>
      </c>
      <c r="O66" s="99">
        <v>14284.8</v>
      </c>
      <c r="P66" s="99">
        <v>10</v>
      </c>
      <c r="Q66" s="99">
        <v>11903.999999999998</v>
      </c>
      <c r="R66" s="99">
        <v>8</v>
      </c>
      <c r="S66" s="99">
        <v>9523.1999999999989</v>
      </c>
      <c r="T66" s="99">
        <v>14</v>
      </c>
      <c r="U66" s="99">
        <v>16665.599999999999</v>
      </c>
      <c r="V66" s="99">
        <v>11</v>
      </c>
      <c r="W66" s="99">
        <v>13094.399999999998</v>
      </c>
      <c r="X66" s="99">
        <v>16</v>
      </c>
      <c r="Y66" s="99">
        <v>19046.399999999998</v>
      </c>
      <c r="Z66" s="99">
        <v>11</v>
      </c>
      <c r="AA66" s="99">
        <v>13094.399999999998</v>
      </c>
      <c r="AB66" s="99">
        <v>13</v>
      </c>
      <c r="AC66" s="99">
        <v>15475.199999999999</v>
      </c>
      <c r="AD66" s="99">
        <v>13</v>
      </c>
      <c r="AE66" s="99">
        <v>15475.199999999999</v>
      </c>
      <c r="AF66" s="99">
        <v>15</v>
      </c>
      <c r="AG66" s="99">
        <v>17855.999999999996</v>
      </c>
      <c r="AH66" s="99">
        <v>12</v>
      </c>
      <c r="AI66" s="99">
        <v>14284.8</v>
      </c>
      <c r="AJ66" s="99">
        <v>9</v>
      </c>
      <c r="AK66" s="99">
        <v>10713.599999999999</v>
      </c>
      <c r="AL66" s="99">
        <v>16</v>
      </c>
      <c r="AM66" s="99">
        <v>19046.399999999998</v>
      </c>
      <c r="AN66" s="99">
        <v>9</v>
      </c>
      <c r="AO66" s="99">
        <v>10713.599999999999</v>
      </c>
      <c r="AP66" s="99">
        <v>10</v>
      </c>
      <c r="AQ66" s="99">
        <v>11903.999999999998</v>
      </c>
      <c r="AR66" s="99">
        <v>13</v>
      </c>
      <c r="AS66" s="99">
        <v>15475.199999999999</v>
      </c>
      <c r="AT66" s="99">
        <v>11</v>
      </c>
      <c r="AU66" s="99">
        <v>13094.399999999998</v>
      </c>
      <c r="AV66" s="99">
        <v>14</v>
      </c>
      <c r="AW66" s="99">
        <v>16665.599999999999</v>
      </c>
      <c r="AX66" s="99">
        <v>13</v>
      </c>
      <c r="AY66" s="99">
        <v>15475.199999999999</v>
      </c>
      <c r="AZ66" s="99">
        <v>11</v>
      </c>
      <c r="BA66" s="99">
        <v>13094.399999999998</v>
      </c>
      <c r="BB66" s="99">
        <v>13</v>
      </c>
      <c r="BC66" s="99">
        <v>15475.199999999999</v>
      </c>
      <c r="BD66" s="99">
        <v>13</v>
      </c>
      <c r="BE66" s="99">
        <v>15475.199999999999</v>
      </c>
      <c r="BF66" s="99">
        <v>8</v>
      </c>
      <c r="BG66" s="99">
        <v>9523.1999999999989</v>
      </c>
      <c r="BH66" s="99">
        <v>9</v>
      </c>
      <c r="BI66" s="99">
        <v>10713.599999999999</v>
      </c>
      <c r="BJ66" s="99">
        <v>9</v>
      </c>
      <c r="BK66" s="99">
        <v>10713.599999999999</v>
      </c>
      <c r="BL66" s="99">
        <v>14</v>
      </c>
      <c r="BM66" s="99">
        <v>16665.599999999999</v>
      </c>
      <c r="BN66" s="99">
        <v>9</v>
      </c>
      <c r="BO66" s="99">
        <v>10713.599999999999</v>
      </c>
      <c r="BP66" s="99">
        <v>10</v>
      </c>
      <c r="BQ66" s="99">
        <v>11903.999999999998</v>
      </c>
      <c r="BR66" s="99">
        <v>15</v>
      </c>
      <c r="BS66" s="99">
        <v>17855.999999999996</v>
      </c>
      <c r="BT66" s="99">
        <v>12</v>
      </c>
      <c r="BU66" s="99">
        <v>14284.8</v>
      </c>
      <c r="BV66" s="99">
        <v>14</v>
      </c>
      <c r="BW66" s="99">
        <v>16665.599999999999</v>
      </c>
      <c r="BX66" s="99">
        <v>10</v>
      </c>
      <c r="BY66" s="99">
        <v>11903.999999999998</v>
      </c>
      <c r="BZ66" s="99">
        <v>11</v>
      </c>
      <c r="CA66" s="99">
        <v>13094.399999999998</v>
      </c>
      <c r="CB66" s="99">
        <v>8</v>
      </c>
      <c r="CC66" s="99">
        <v>9523.1999999999989</v>
      </c>
      <c r="CD66" s="99">
        <v>8</v>
      </c>
      <c r="CE66" s="99">
        <v>9523.1999999999989</v>
      </c>
      <c r="CF66" s="99">
        <v>14</v>
      </c>
      <c r="CG66" s="99">
        <v>16665.599999999999</v>
      </c>
      <c r="CH66" s="99">
        <v>14</v>
      </c>
      <c r="CI66" s="99">
        <v>16665.599999999999</v>
      </c>
      <c r="CJ66" s="99">
        <v>8</v>
      </c>
      <c r="CK66" s="99">
        <v>9523.1999999999989</v>
      </c>
      <c r="CL66" s="99">
        <v>11</v>
      </c>
      <c r="CM66" s="99">
        <v>13094.399999999998</v>
      </c>
      <c r="CN66" s="99">
        <v>14</v>
      </c>
      <c r="CO66" s="99">
        <v>16665.599999999999</v>
      </c>
      <c r="CP66" s="99">
        <v>10</v>
      </c>
      <c r="CQ66" s="99">
        <v>11903.999999999998</v>
      </c>
      <c r="CR66" s="99">
        <v>14</v>
      </c>
      <c r="CS66" s="99">
        <v>16665.599999999999</v>
      </c>
      <c r="CT66" s="99">
        <v>12</v>
      </c>
      <c r="CU66" s="99">
        <v>14284.8</v>
      </c>
    </row>
    <row r="67" spans="2:99">
      <c r="C67" s="98" t="s">
        <v>233</v>
      </c>
      <c r="D67" s="99">
        <v>11</v>
      </c>
      <c r="E67" s="99">
        <v>12355.2</v>
      </c>
      <c r="F67" s="99">
        <v>13</v>
      </c>
      <c r="G67" s="99">
        <v>14601.6</v>
      </c>
      <c r="H67" s="99">
        <v>11</v>
      </c>
      <c r="I67" s="99">
        <v>12355.2</v>
      </c>
      <c r="J67" s="99">
        <v>11</v>
      </c>
      <c r="K67" s="99">
        <v>12355.2</v>
      </c>
      <c r="L67" s="99">
        <v>14</v>
      </c>
      <c r="M67" s="99">
        <v>15724.800000000001</v>
      </c>
      <c r="N67" s="99">
        <v>11</v>
      </c>
      <c r="O67" s="99">
        <v>12355.2</v>
      </c>
      <c r="P67" s="99">
        <v>9</v>
      </c>
      <c r="Q67" s="99">
        <v>10108.800000000001</v>
      </c>
      <c r="R67" s="99">
        <v>8</v>
      </c>
      <c r="S67" s="99">
        <v>8985.6</v>
      </c>
      <c r="T67" s="99">
        <v>14</v>
      </c>
      <c r="U67" s="99">
        <v>15724.800000000001</v>
      </c>
      <c r="V67" s="99">
        <v>11</v>
      </c>
      <c r="W67" s="99">
        <v>12355.2</v>
      </c>
      <c r="X67" s="99">
        <v>16</v>
      </c>
      <c r="Y67" s="99">
        <v>17971.2</v>
      </c>
      <c r="Z67" s="99">
        <v>11</v>
      </c>
      <c r="AA67" s="99">
        <v>12355.2</v>
      </c>
      <c r="AB67" s="99">
        <v>11</v>
      </c>
      <c r="AC67" s="99">
        <v>12355.2</v>
      </c>
      <c r="AD67" s="99">
        <v>12</v>
      </c>
      <c r="AE67" s="99">
        <v>13478.400000000001</v>
      </c>
      <c r="AF67" s="99">
        <v>13</v>
      </c>
      <c r="AG67" s="99">
        <v>14601.6</v>
      </c>
      <c r="AH67" s="99">
        <v>12</v>
      </c>
      <c r="AI67" s="99">
        <v>13478.400000000001</v>
      </c>
      <c r="AJ67" s="99">
        <v>8</v>
      </c>
      <c r="AK67" s="99">
        <v>8985.6</v>
      </c>
      <c r="AL67" s="99">
        <v>15</v>
      </c>
      <c r="AM67" s="99">
        <v>16848</v>
      </c>
      <c r="AN67" s="99">
        <v>10</v>
      </c>
      <c r="AO67" s="99">
        <v>11232</v>
      </c>
      <c r="AP67" s="99">
        <v>9</v>
      </c>
      <c r="AQ67" s="99">
        <v>10108.800000000001</v>
      </c>
      <c r="AR67" s="99">
        <v>12</v>
      </c>
      <c r="AS67" s="99">
        <v>13478.400000000001</v>
      </c>
      <c r="AT67" s="99">
        <v>11</v>
      </c>
      <c r="AU67" s="99">
        <v>12355.2</v>
      </c>
      <c r="AV67" s="99">
        <v>15</v>
      </c>
      <c r="AW67" s="99">
        <v>16848</v>
      </c>
      <c r="AX67" s="99">
        <v>13</v>
      </c>
      <c r="AY67" s="99">
        <v>14601.6</v>
      </c>
      <c r="AZ67" s="99">
        <v>11</v>
      </c>
      <c r="BA67" s="99">
        <v>12355.2</v>
      </c>
      <c r="BB67" s="99">
        <v>16</v>
      </c>
      <c r="BC67" s="99">
        <v>17971.2</v>
      </c>
      <c r="BD67" s="99">
        <v>13</v>
      </c>
      <c r="BE67" s="99">
        <v>14601.6</v>
      </c>
      <c r="BF67" s="99">
        <v>8</v>
      </c>
      <c r="BG67" s="99">
        <v>8985.6</v>
      </c>
      <c r="BH67" s="99">
        <v>9</v>
      </c>
      <c r="BI67" s="99">
        <v>10108.800000000001</v>
      </c>
      <c r="BJ67" s="99">
        <v>9</v>
      </c>
      <c r="BK67" s="99">
        <v>10108.800000000001</v>
      </c>
      <c r="BL67" s="99">
        <v>14</v>
      </c>
      <c r="BM67" s="99">
        <v>15724.800000000001</v>
      </c>
      <c r="BN67" s="99">
        <v>9</v>
      </c>
      <c r="BO67" s="99">
        <v>10108.800000000001</v>
      </c>
      <c r="BP67" s="99">
        <v>9</v>
      </c>
      <c r="BQ67" s="99">
        <v>10108.800000000001</v>
      </c>
      <c r="BR67" s="99">
        <v>15</v>
      </c>
      <c r="BS67" s="99">
        <v>16848</v>
      </c>
      <c r="BT67" s="99">
        <v>12</v>
      </c>
      <c r="BU67" s="99">
        <v>13478.400000000001</v>
      </c>
      <c r="BV67" s="99">
        <v>13</v>
      </c>
      <c r="BW67" s="99">
        <v>14601.6</v>
      </c>
      <c r="BX67" s="99">
        <v>8</v>
      </c>
      <c r="BY67" s="99">
        <v>8985.6</v>
      </c>
      <c r="BZ67" s="99">
        <v>11</v>
      </c>
      <c r="CA67" s="99">
        <v>12355.2</v>
      </c>
      <c r="CB67" s="99">
        <v>9</v>
      </c>
      <c r="CC67" s="99">
        <v>10108.800000000001</v>
      </c>
      <c r="CD67" s="99">
        <v>8</v>
      </c>
      <c r="CE67" s="99">
        <v>8985.6</v>
      </c>
      <c r="CF67" s="99">
        <v>14</v>
      </c>
      <c r="CG67" s="99">
        <v>15724.800000000001</v>
      </c>
      <c r="CH67" s="99">
        <v>15</v>
      </c>
      <c r="CI67" s="99">
        <v>16848</v>
      </c>
      <c r="CJ67" s="99">
        <v>9</v>
      </c>
      <c r="CK67" s="99">
        <v>10108.800000000001</v>
      </c>
      <c r="CL67" s="99">
        <v>11</v>
      </c>
      <c r="CM67" s="99">
        <v>12355.2</v>
      </c>
      <c r="CN67" s="99">
        <v>14</v>
      </c>
      <c r="CO67" s="99">
        <v>15724.800000000001</v>
      </c>
      <c r="CP67" s="99">
        <v>9</v>
      </c>
      <c r="CQ67" s="99">
        <v>10108.800000000001</v>
      </c>
      <c r="CR67" s="99">
        <v>12</v>
      </c>
      <c r="CS67" s="99">
        <v>13478.400000000001</v>
      </c>
      <c r="CT67" s="99">
        <v>11</v>
      </c>
      <c r="CU67" s="99">
        <v>12355.2</v>
      </c>
    </row>
    <row r="68" spans="2:99">
      <c r="C68" s="98" t="s">
        <v>234</v>
      </c>
      <c r="D68" s="99">
        <v>10</v>
      </c>
      <c r="E68" s="99">
        <v>10332</v>
      </c>
      <c r="F68" s="99">
        <v>12</v>
      </c>
      <c r="G68" s="99">
        <v>12398.400000000001</v>
      </c>
      <c r="H68" s="99">
        <v>12</v>
      </c>
      <c r="I68" s="99">
        <v>12398.400000000001</v>
      </c>
      <c r="J68" s="99">
        <v>13</v>
      </c>
      <c r="K68" s="99">
        <v>13431.6</v>
      </c>
      <c r="L68" s="99">
        <v>13</v>
      </c>
      <c r="M68" s="99">
        <v>13431.6</v>
      </c>
      <c r="N68" s="99">
        <v>11</v>
      </c>
      <c r="O68" s="99">
        <v>11365.2</v>
      </c>
      <c r="P68" s="99">
        <v>10</v>
      </c>
      <c r="Q68" s="99">
        <v>10332</v>
      </c>
      <c r="R68" s="99">
        <v>8</v>
      </c>
      <c r="S68" s="99">
        <v>8265.6</v>
      </c>
      <c r="T68" s="99">
        <v>13</v>
      </c>
      <c r="U68" s="99">
        <v>13431.6</v>
      </c>
      <c r="V68" s="99">
        <v>9</v>
      </c>
      <c r="W68" s="99">
        <v>9298.8000000000011</v>
      </c>
      <c r="X68" s="99">
        <v>17</v>
      </c>
      <c r="Y68" s="99">
        <v>17564.400000000001</v>
      </c>
      <c r="Z68" s="99">
        <v>12</v>
      </c>
      <c r="AA68" s="99">
        <v>12398.400000000001</v>
      </c>
      <c r="AB68" s="99">
        <v>13</v>
      </c>
      <c r="AC68" s="99">
        <v>13431.6</v>
      </c>
      <c r="AD68" s="99">
        <v>12</v>
      </c>
      <c r="AE68" s="99">
        <v>12398.400000000001</v>
      </c>
      <c r="AF68" s="99">
        <v>13</v>
      </c>
      <c r="AG68" s="99">
        <v>13431.6</v>
      </c>
      <c r="AH68" s="99">
        <v>14</v>
      </c>
      <c r="AI68" s="99">
        <v>14464.800000000001</v>
      </c>
      <c r="AJ68" s="99">
        <v>9</v>
      </c>
      <c r="AK68" s="99">
        <v>9298.8000000000011</v>
      </c>
      <c r="AL68" s="99">
        <v>16</v>
      </c>
      <c r="AM68" s="99">
        <v>16531.2</v>
      </c>
      <c r="AN68" s="99">
        <v>10</v>
      </c>
      <c r="AO68" s="99">
        <v>10332</v>
      </c>
      <c r="AP68" s="99">
        <v>11</v>
      </c>
      <c r="AQ68" s="99">
        <v>11365.2</v>
      </c>
      <c r="AR68" s="99">
        <v>13</v>
      </c>
      <c r="AS68" s="99">
        <v>13431.6</v>
      </c>
      <c r="AT68" s="99">
        <v>11</v>
      </c>
      <c r="AU68" s="99">
        <v>11365.2</v>
      </c>
      <c r="AV68" s="99">
        <v>14</v>
      </c>
      <c r="AW68" s="99">
        <v>14464.800000000001</v>
      </c>
      <c r="AX68" s="99">
        <v>13</v>
      </c>
      <c r="AY68" s="99">
        <v>13431.6</v>
      </c>
      <c r="AZ68" s="99">
        <v>11</v>
      </c>
      <c r="BA68" s="99">
        <v>11365.2</v>
      </c>
      <c r="BB68" s="99">
        <v>15</v>
      </c>
      <c r="BC68" s="99">
        <v>15498</v>
      </c>
      <c r="BD68" s="99">
        <v>12</v>
      </c>
      <c r="BE68" s="99">
        <v>12398.400000000001</v>
      </c>
      <c r="BF68" s="99">
        <v>9</v>
      </c>
      <c r="BG68" s="99">
        <v>9298.8000000000011</v>
      </c>
      <c r="BH68" s="99">
        <v>8</v>
      </c>
      <c r="BI68" s="99">
        <v>8265.6</v>
      </c>
      <c r="BJ68" s="99">
        <v>9</v>
      </c>
      <c r="BK68" s="99">
        <v>9298.8000000000011</v>
      </c>
      <c r="BL68" s="99">
        <v>14</v>
      </c>
      <c r="BM68" s="99">
        <v>14464.800000000001</v>
      </c>
      <c r="BN68" s="99">
        <v>8</v>
      </c>
      <c r="BO68" s="99">
        <v>8265.6</v>
      </c>
      <c r="BP68" s="99">
        <v>11</v>
      </c>
      <c r="BQ68" s="99">
        <v>11365.2</v>
      </c>
      <c r="BR68" s="99">
        <v>15</v>
      </c>
      <c r="BS68" s="99">
        <v>15498</v>
      </c>
      <c r="BT68" s="99">
        <v>13</v>
      </c>
      <c r="BU68" s="99">
        <v>13431.6</v>
      </c>
      <c r="BV68" s="99">
        <v>14</v>
      </c>
      <c r="BW68" s="99">
        <v>14464.800000000001</v>
      </c>
      <c r="BX68" s="99">
        <v>9</v>
      </c>
      <c r="BY68" s="99">
        <v>9298.8000000000011</v>
      </c>
      <c r="BZ68" s="99">
        <v>10</v>
      </c>
      <c r="CA68" s="99">
        <v>10332</v>
      </c>
      <c r="CB68" s="99">
        <v>9</v>
      </c>
      <c r="CC68" s="99">
        <v>9298.8000000000011</v>
      </c>
      <c r="CD68" s="99">
        <v>8</v>
      </c>
      <c r="CE68" s="99">
        <v>8265.6</v>
      </c>
      <c r="CF68" s="99">
        <v>14</v>
      </c>
      <c r="CG68" s="99">
        <v>14464.800000000001</v>
      </c>
      <c r="CH68" s="99">
        <v>15</v>
      </c>
      <c r="CI68" s="99">
        <v>15498</v>
      </c>
      <c r="CJ68" s="99">
        <v>9</v>
      </c>
      <c r="CK68" s="99">
        <v>9298.8000000000011</v>
      </c>
      <c r="CL68" s="99">
        <v>11</v>
      </c>
      <c r="CM68" s="99">
        <v>11365.2</v>
      </c>
      <c r="CN68" s="99">
        <v>13</v>
      </c>
      <c r="CO68" s="99">
        <v>13431.6</v>
      </c>
      <c r="CP68" s="99">
        <v>9</v>
      </c>
      <c r="CQ68" s="99">
        <v>9298.8000000000011</v>
      </c>
      <c r="CR68" s="99">
        <v>14</v>
      </c>
      <c r="CS68" s="99">
        <v>14464.800000000001</v>
      </c>
      <c r="CT68" s="99">
        <v>13</v>
      </c>
      <c r="CU68" s="99">
        <v>13431.6</v>
      </c>
    </row>
    <row r="69" spans="2:99">
      <c r="C69" s="98" t="s">
        <v>235</v>
      </c>
      <c r="D69" s="99">
        <v>11</v>
      </c>
      <c r="E69" s="99">
        <v>8342.4</v>
      </c>
      <c r="F69" s="99">
        <v>12</v>
      </c>
      <c r="G69" s="99">
        <v>9100.7999999999993</v>
      </c>
      <c r="H69" s="99">
        <v>12</v>
      </c>
      <c r="I69" s="99">
        <v>9100.7999999999993</v>
      </c>
      <c r="J69" s="99">
        <v>12</v>
      </c>
      <c r="K69" s="99">
        <v>9100.7999999999993</v>
      </c>
      <c r="L69" s="99">
        <v>15</v>
      </c>
      <c r="M69" s="99">
        <v>11376</v>
      </c>
      <c r="N69" s="99">
        <v>13</v>
      </c>
      <c r="O69" s="99">
        <v>9859.1999999999989</v>
      </c>
      <c r="P69" s="99">
        <v>11</v>
      </c>
      <c r="Q69" s="99">
        <v>8342.4</v>
      </c>
      <c r="R69" s="99">
        <v>8</v>
      </c>
      <c r="S69" s="99">
        <v>6067.2</v>
      </c>
      <c r="T69" s="99">
        <v>14</v>
      </c>
      <c r="U69" s="99">
        <v>10617.6</v>
      </c>
      <c r="V69" s="99">
        <v>10</v>
      </c>
      <c r="W69" s="99">
        <v>7584</v>
      </c>
      <c r="X69" s="99">
        <v>16</v>
      </c>
      <c r="Y69" s="99">
        <v>12134.4</v>
      </c>
      <c r="Z69" s="99">
        <v>11</v>
      </c>
      <c r="AA69" s="99">
        <v>8342.4</v>
      </c>
      <c r="AB69" s="99">
        <v>12</v>
      </c>
      <c r="AC69" s="99">
        <v>9100.7999999999993</v>
      </c>
      <c r="AD69" s="99">
        <v>12</v>
      </c>
      <c r="AE69" s="99">
        <v>9100.7999999999993</v>
      </c>
      <c r="AF69" s="99">
        <v>16</v>
      </c>
      <c r="AG69" s="99">
        <v>12134.4</v>
      </c>
      <c r="AH69" s="99">
        <v>15</v>
      </c>
      <c r="AI69" s="99">
        <v>11376</v>
      </c>
      <c r="AJ69" s="99">
        <v>10</v>
      </c>
      <c r="AK69" s="99">
        <v>7584</v>
      </c>
      <c r="AL69" s="99">
        <v>18</v>
      </c>
      <c r="AM69" s="99">
        <v>13651.199999999999</v>
      </c>
      <c r="AN69" s="99">
        <v>10</v>
      </c>
      <c r="AO69" s="99">
        <v>7584</v>
      </c>
      <c r="AP69" s="99">
        <v>11</v>
      </c>
      <c r="AQ69" s="99">
        <v>8342.4</v>
      </c>
      <c r="AR69" s="99">
        <v>14</v>
      </c>
      <c r="AS69" s="99">
        <v>10617.6</v>
      </c>
      <c r="AT69" s="99">
        <v>11</v>
      </c>
      <c r="AU69" s="99">
        <v>8342.4</v>
      </c>
      <c r="AV69" s="99">
        <v>15</v>
      </c>
      <c r="AW69" s="99">
        <v>11376</v>
      </c>
      <c r="AX69" s="99">
        <v>15</v>
      </c>
      <c r="AY69" s="99">
        <v>11376</v>
      </c>
      <c r="AZ69" s="99">
        <v>11</v>
      </c>
      <c r="BA69" s="99">
        <v>8342.4</v>
      </c>
      <c r="BB69" s="99">
        <v>15</v>
      </c>
      <c r="BC69" s="99">
        <v>11376</v>
      </c>
      <c r="BD69" s="99">
        <v>13</v>
      </c>
      <c r="BE69" s="99">
        <v>9859.1999999999989</v>
      </c>
      <c r="BF69" s="99">
        <v>9</v>
      </c>
      <c r="BG69" s="99">
        <v>6825.5999999999995</v>
      </c>
      <c r="BH69" s="99">
        <v>10</v>
      </c>
      <c r="BI69" s="99">
        <v>7584</v>
      </c>
      <c r="BJ69" s="99">
        <v>9</v>
      </c>
      <c r="BK69" s="99">
        <v>6825.5999999999995</v>
      </c>
      <c r="BL69" s="99">
        <v>13</v>
      </c>
      <c r="BM69" s="99">
        <v>9859.1999999999989</v>
      </c>
      <c r="BN69" s="99">
        <v>10</v>
      </c>
      <c r="BO69" s="99">
        <v>7584</v>
      </c>
      <c r="BP69" s="99">
        <v>10</v>
      </c>
      <c r="BQ69" s="99">
        <v>7584</v>
      </c>
      <c r="BR69" s="99">
        <v>14</v>
      </c>
      <c r="BS69" s="99">
        <v>10617.6</v>
      </c>
      <c r="BT69" s="99">
        <v>14</v>
      </c>
      <c r="BU69" s="99">
        <v>10617.6</v>
      </c>
      <c r="BV69" s="99">
        <v>14</v>
      </c>
      <c r="BW69" s="99">
        <v>10617.6</v>
      </c>
      <c r="BX69" s="99">
        <v>10</v>
      </c>
      <c r="BY69" s="99">
        <v>7584</v>
      </c>
      <c r="BZ69" s="99">
        <v>11</v>
      </c>
      <c r="CA69" s="99">
        <v>8342.4</v>
      </c>
      <c r="CB69" s="99">
        <v>10</v>
      </c>
      <c r="CC69" s="99">
        <v>7584</v>
      </c>
      <c r="CD69" s="99">
        <v>9</v>
      </c>
      <c r="CE69" s="99">
        <v>6825.5999999999995</v>
      </c>
      <c r="CF69" s="99">
        <v>14</v>
      </c>
      <c r="CG69" s="99">
        <v>10617.6</v>
      </c>
      <c r="CH69" s="99">
        <v>17</v>
      </c>
      <c r="CI69" s="99">
        <v>12892.8</v>
      </c>
      <c r="CJ69" s="99">
        <v>8</v>
      </c>
      <c r="CK69" s="99">
        <v>6067.2</v>
      </c>
      <c r="CL69" s="99">
        <v>13</v>
      </c>
      <c r="CM69" s="99">
        <v>9859.1999999999989</v>
      </c>
      <c r="CN69" s="99">
        <v>16</v>
      </c>
      <c r="CO69" s="99">
        <v>12134.4</v>
      </c>
      <c r="CP69" s="99">
        <v>11</v>
      </c>
      <c r="CQ69" s="99">
        <v>8342.4</v>
      </c>
      <c r="CR69" s="99">
        <v>15</v>
      </c>
      <c r="CS69" s="99">
        <v>11376</v>
      </c>
      <c r="CT69" s="99">
        <v>14</v>
      </c>
      <c r="CU69" s="99">
        <v>10617.6</v>
      </c>
    </row>
    <row r="70" spans="2:99">
      <c r="C70" s="98" t="s">
        <v>236</v>
      </c>
      <c r="D70" s="99">
        <v>12</v>
      </c>
      <c r="E70" s="99">
        <v>6422.4</v>
      </c>
      <c r="F70" s="99">
        <v>12</v>
      </c>
      <c r="G70" s="99">
        <v>6422.4</v>
      </c>
      <c r="H70" s="99">
        <v>13</v>
      </c>
      <c r="I70" s="99">
        <v>6957.5999999999995</v>
      </c>
      <c r="J70" s="99">
        <v>12</v>
      </c>
      <c r="K70" s="99">
        <v>6422.4</v>
      </c>
      <c r="L70" s="99">
        <v>14</v>
      </c>
      <c r="M70" s="99">
        <v>7492.7999999999993</v>
      </c>
      <c r="N70" s="99">
        <v>13</v>
      </c>
      <c r="O70" s="99">
        <v>6957.5999999999995</v>
      </c>
      <c r="P70" s="99">
        <v>10</v>
      </c>
      <c r="Q70" s="99">
        <v>5351.9999999999991</v>
      </c>
      <c r="R70" s="99">
        <v>8</v>
      </c>
      <c r="S70" s="99">
        <v>4281.5999999999995</v>
      </c>
      <c r="T70" s="99">
        <v>14</v>
      </c>
      <c r="U70" s="99">
        <v>7492.7999999999993</v>
      </c>
      <c r="V70" s="99">
        <v>11</v>
      </c>
      <c r="W70" s="99">
        <v>5887.1999999999989</v>
      </c>
      <c r="X70" s="99">
        <v>18</v>
      </c>
      <c r="Y70" s="99">
        <v>9633.5999999999985</v>
      </c>
      <c r="Z70" s="99">
        <v>13</v>
      </c>
      <c r="AA70" s="99">
        <v>6957.5999999999995</v>
      </c>
      <c r="AB70" s="99">
        <v>13</v>
      </c>
      <c r="AC70" s="99">
        <v>6957.5999999999995</v>
      </c>
      <c r="AD70" s="99">
        <v>14</v>
      </c>
      <c r="AE70" s="99">
        <v>7492.7999999999993</v>
      </c>
      <c r="AF70" s="99">
        <v>16</v>
      </c>
      <c r="AG70" s="99">
        <v>8563.1999999999989</v>
      </c>
      <c r="AH70" s="99">
        <v>15</v>
      </c>
      <c r="AI70" s="99">
        <v>8027.9999999999991</v>
      </c>
      <c r="AJ70" s="99">
        <v>10</v>
      </c>
      <c r="AK70" s="99">
        <v>5351.9999999999991</v>
      </c>
      <c r="AL70" s="99">
        <v>16</v>
      </c>
      <c r="AM70" s="99">
        <v>8563.1999999999989</v>
      </c>
      <c r="AN70" s="99">
        <v>10</v>
      </c>
      <c r="AO70" s="99">
        <v>5351.9999999999991</v>
      </c>
      <c r="AP70" s="99">
        <v>10</v>
      </c>
      <c r="AQ70" s="99">
        <v>5351.9999999999991</v>
      </c>
      <c r="AR70" s="99">
        <v>12</v>
      </c>
      <c r="AS70" s="99">
        <v>6422.4</v>
      </c>
      <c r="AT70" s="99">
        <v>11</v>
      </c>
      <c r="AU70" s="99">
        <v>5887.1999999999989</v>
      </c>
      <c r="AV70" s="99">
        <v>15</v>
      </c>
      <c r="AW70" s="99">
        <v>8027.9999999999991</v>
      </c>
      <c r="AX70" s="99">
        <v>14</v>
      </c>
      <c r="AY70" s="99">
        <v>7492.7999999999993</v>
      </c>
      <c r="AZ70" s="99">
        <v>11</v>
      </c>
      <c r="BA70" s="99">
        <v>5887.1999999999989</v>
      </c>
      <c r="BB70" s="99">
        <v>15</v>
      </c>
      <c r="BC70" s="99">
        <v>8027.9999999999991</v>
      </c>
      <c r="BD70" s="99">
        <v>13</v>
      </c>
      <c r="BE70" s="99">
        <v>6957.5999999999995</v>
      </c>
      <c r="BF70" s="99">
        <v>10</v>
      </c>
      <c r="BG70" s="99">
        <v>5351.9999999999991</v>
      </c>
      <c r="BH70" s="99">
        <v>10</v>
      </c>
      <c r="BI70" s="99">
        <v>5351.9999999999991</v>
      </c>
      <c r="BJ70" s="99">
        <v>9</v>
      </c>
      <c r="BK70" s="99">
        <v>4816.7999999999993</v>
      </c>
      <c r="BL70" s="99">
        <v>14</v>
      </c>
      <c r="BM70" s="99">
        <v>7492.7999999999993</v>
      </c>
      <c r="BN70" s="99">
        <v>9</v>
      </c>
      <c r="BO70" s="99">
        <v>4816.7999999999993</v>
      </c>
      <c r="BP70" s="99">
        <v>11</v>
      </c>
      <c r="BQ70" s="99">
        <v>5887.1999999999989</v>
      </c>
      <c r="BR70" s="99">
        <v>16</v>
      </c>
      <c r="BS70" s="99">
        <v>8563.1999999999989</v>
      </c>
      <c r="BT70" s="99">
        <v>13</v>
      </c>
      <c r="BU70" s="99">
        <v>6957.5999999999995</v>
      </c>
      <c r="BV70" s="99">
        <v>15</v>
      </c>
      <c r="BW70" s="99">
        <v>8027.9999999999991</v>
      </c>
      <c r="BX70" s="99">
        <v>10</v>
      </c>
      <c r="BY70" s="99">
        <v>5351.9999999999991</v>
      </c>
      <c r="BZ70" s="99">
        <v>11</v>
      </c>
      <c r="CA70" s="99">
        <v>5887.1999999999989</v>
      </c>
      <c r="CB70" s="99">
        <v>9</v>
      </c>
      <c r="CC70" s="99">
        <v>4816.7999999999993</v>
      </c>
      <c r="CD70" s="99">
        <v>8</v>
      </c>
      <c r="CE70" s="99">
        <v>4281.5999999999995</v>
      </c>
      <c r="CF70" s="99">
        <v>15</v>
      </c>
      <c r="CG70" s="99">
        <v>8027.9999999999991</v>
      </c>
      <c r="CH70" s="99">
        <v>16</v>
      </c>
      <c r="CI70" s="99">
        <v>8563.1999999999989</v>
      </c>
      <c r="CJ70" s="99">
        <v>10</v>
      </c>
      <c r="CK70" s="99">
        <v>5351.9999999999991</v>
      </c>
      <c r="CL70" s="99">
        <v>12</v>
      </c>
      <c r="CM70" s="99">
        <v>6422.4</v>
      </c>
      <c r="CN70" s="99">
        <v>15</v>
      </c>
      <c r="CO70" s="99">
        <v>8027.9999999999991</v>
      </c>
      <c r="CP70" s="99">
        <v>10</v>
      </c>
      <c r="CQ70" s="99">
        <v>5351.9999999999991</v>
      </c>
      <c r="CR70" s="99">
        <v>14</v>
      </c>
      <c r="CS70" s="99">
        <v>7492.7999999999993</v>
      </c>
      <c r="CT70" s="99">
        <v>14</v>
      </c>
      <c r="CU70" s="99">
        <v>7492.7999999999993</v>
      </c>
    </row>
    <row r="71" spans="2:99">
      <c r="B71" s="98" t="s">
        <v>130</v>
      </c>
      <c r="C71" s="98" t="s">
        <v>237</v>
      </c>
      <c r="D71" s="99">
        <v>9</v>
      </c>
      <c r="E71" s="99">
        <v>5076</v>
      </c>
      <c r="F71" s="99">
        <v>8</v>
      </c>
      <c r="G71" s="99">
        <v>4512</v>
      </c>
      <c r="H71" s="99">
        <v>8</v>
      </c>
      <c r="I71" s="99">
        <v>4512</v>
      </c>
      <c r="J71" s="99">
        <v>8</v>
      </c>
      <c r="K71" s="99">
        <v>4512</v>
      </c>
      <c r="L71" s="99">
        <v>7</v>
      </c>
      <c r="M71" s="99">
        <v>3948</v>
      </c>
      <c r="N71" s="99">
        <v>7</v>
      </c>
      <c r="O71" s="99">
        <v>3948</v>
      </c>
      <c r="P71" s="99">
        <v>7</v>
      </c>
      <c r="Q71" s="99">
        <v>3948</v>
      </c>
      <c r="R71" s="99">
        <v>5</v>
      </c>
      <c r="S71" s="99">
        <v>2820</v>
      </c>
      <c r="T71" s="99">
        <v>9</v>
      </c>
      <c r="U71" s="99">
        <v>5076</v>
      </c>
      <c r="V71" s="99">
        <v>8</v>
      </c>
      <c r="W71" s="99">
        <v>4512</v>
      </c>
      <c r="X71" s="99">
        <v>8</v>
      </c>
      <c r="Y71" s="99">
        <v>4512</v>
      </c>
      <c r="Z71" s="99">
        <v>5</v>
      </c>
      <c r="AA71" s="99">
        <v>2820</v>
      </c>
      <c r="AB71" s="99">
        <v>5</v>
      </c>
      <c r="AC71" s="99">
        <v>2820</v>
      </c>
      <c r="AD71" s="99">
        <v>6</v>
      </c>
      <c r="AE71" s="99">
        <v>3384</v>
      </c>
      <c r="AF71" s="99">
        <v>10</v>
      </c>
      <c r="AG71" s="99">
        <v>5640</v>
      </c>
      <c r="AH71" s="99">
        <v>9</v>
      </c>
      <c r="AI71" s="99">
        <v>5076</v>
      </c>
      <c r="AJ71" s="99">
        <v>9</v>
      </c>
      <c r="AK71" s="99">
        <v>5076</v>
      </c>
      <c r="AL71" s="99">
        <v>10</v>
      </c>
      <c r="AM71" s="99">
        <v>5640</v>
      </c>
      <c r="AN71" s="99">
        <v>8</v>
      </c>
      <c r="AO71" s="99">
        <v>4512</v>
      </c>
      <c r="AP71" s="99">
        <v>10</v>
      </c>
      <c r="AQ71" s="99">
        <v>5640</v>
      </c>
      <c r="AR71" s="99">
        <v>7</v>
      </c>
      <c r="AS71" s="99">
        <v>3948</v>
      </c>
      <c r="AT71" s="99">
        <v>8</v>
      </c>
      <c r="AU71" s="99">
        <v>4512</v>
      </c>
      <c r="AV71" s="99">
        <v>6</v>
      </c>
      <c r="AW71" s="99">
        <v>3384</v>
      </c>
      <c r="AX71" s="99">
        <v>7</v>
      </c>
      <c r="AY71" s="99">
        <v>3948</v>
      </c>
      <c r="AZ71" s="99">
        <v>8</v>
      </c>
      <c r="BA71" s="99">
        <v>4512</v>
      </c>
      <c r="BB71" s="99">
        <v>5</v>
      </c>
      <c r="BC71" s="99">
        <v>2820</v>
      </c>
      <c r="BD71" s="99">
        <v>9</v>
      </c>
      <c r="BE71" s="99">
        <v>5076</v>
      </c>
      <c r="BF71" s="99">
        <v>11</v>
      </c>
      <c r="BG71" s="99">
        <v>6204</v>
      </c>
      <c r="BH71" s="99">
        <v>6</v>
      </c>
      <c r="BI71" s="99">
        <v>3384</v>
      </c>
      <c r="BJ71" s="99">
        <v>6</v>
      </c>
      <c r="BK71" s="99">
        <v>3384</v>
      </c>
      <c r="BL71" s="99">
        <v>9</v>
      </c>
      <c r="BM71" s="99">
        <v>5076</v>
      </c>
      <c r="BN71" s="99">
        <v>7</v>
      </c>
      <c r="BO71" s="99">
        <v>3948</v>
      </c>
      <c r="BP71" s="99">
        <v>9</v>
      </c>
      <c r="BQ71" s="99">
        <v>5076</v>
      </c>
      <c r="BR71" s="99">
        <v>8</v>
      </c>
      <c r="BS71" s="99">
        <v>4512</v>
      </c>
      <c r="BT71" s="99">
        <v>8</v>
      </c>
      <c r="BU71" s="99">
        <v>4512</v>
      </c>
      <c r="BV71" s="99">
        <v>10</v>
      </c>
      <c r="BW71" s="99">
        <v>5640</v>
      </c>
      <c r="BX71" s="99">
        <v>7</v>
      </c>
      <c r="BY71" s="99">
        <v>3948</v>
      </c>
      <c r="BZ71" s="99">
        <v>8</v>
      </c>
      <c r="CA71" s="99">
        <v>4512</v>
      </c>
      <c r="CB71" s="99">
        <v>8</v>
      </c>
      <c r="CC71" s="99">
        <v>4512</v>
      </c>
      <c r="CD71" s="99">
        <v>8</v>
      </c>
      <c r="CE71" s="99">
        <v>4512</v>
      </c>
      <c r="CF71" s="99">
        <v>8</v>
      </c>
      <c r="CG71" s="99">
        <v>4512</v>
      </c>
      <c r="CH71" s="99">
        <v>11</v>
      </c>
      <c r="CI71" s="99">
        <v>6204</v>
      </c>
      <c r="CJ71" s="99">
        <v>6</v>
      </c>
      <c r="CK71" s="99">
        <v>3384</v>
      </c>
      <c r="CL71" s="99">
        <v>9</v>
      </c>
      <c r="CM71" s="99">
        <v>5076</v>
      </c>
      <c r="CN71" s="99">
        <v>10</v>
      </c>
      <c r="CO71" s="99">
        <v>5640</v>
      </c>
      <c r="CP71" s="99">
        <v>7</v>
      </c>
      <c r="CQ71" s="99">
        <v>3948</v>
      </c>
      <c r="CR71" s="99">
        <v>6</v>
      </c>
      <c r="CS71" s="99">
        <v>3384</v>
      </c>
      <c r="CT71" s="99">
        <v>9</v>
      </c>
      <c r="CU71" s="99">
        <v>5076</v>
      </c>
    </row>
    <row r="72" spans="2:99">
      <c r="C72" s="98" t="s">
        <v>238</v>
      </c>
      <c r="D72" s="99">
        <v>10</v>
      </c>
      <c r="E72" s="99">
        <v>743.99999999999989</v>
      </c>
      <c r="F72" s="99">
        <v>9</v>
      </c>
      <c r="G72" s="99">
        <v>669.59999999999991</v>
      </c>
      <c r="H72" s="99">
        <v>8</v>
      </c>
      <c r="I72" s="99">
        <v>595.19999999999993</v>
      </c>
      <c r="J72" s="99">
        <v>8</v>
      </c>
      <c r="K72" s="99">
        <v>595.19999999999993</v>
      </c>
      <c r="L72" s="99">
        <v>8</v>
      </c>
      <c r="M72" s="99">
        <v>595.19999999999993</v>
      </c>
      <c r="N72" s="99">
        <v>6</v>
      </c>
      <c r="O72" s="99">
        <v>446.4</v>
      </c>
      <c r="P72" s="99">
        <v>7</v>
      </c>
      <c r="Q72" s="99">
        <v>520.79999999999995</v>
      </c>
      <c r="R72" s="99">
        <v>5</v>
      </c>
      <c r="S72" s="99">
        <v>371.99999999999994</v>
      </c>
      <c r="T72" s="99">
        <v>10</v>
      </c>
      <c r="U72" s="99">
        <v>743.99999999999989</v>
      </c>
      <c r="V72" s="99">
        <v>9</v>
      </c>
      <c r="W72" s="99">
        <v>669.59999999999991</v>
      </c>
      <c r="X72" s="99">
        <v>8</v>
      </c>
      <c r="Y72" s="99">
        <v>595.19999999999993</v>
      </c>
      <c r="Z72" s="99">
        <v>7</v>
      </c>
      <c r="AA72" s="99">
        <v>520.79999999999995</v>
      </c>
      <c r="AB72" s="99">
        <v>6</v>
      </c>
      <c r="AC72" s="99">
        <v>446.4</v>
      </c>
      <c r="AD72" s="99">
        <v>7</v>
      </c>
      <c r="AE72" s="99">
        <v>520.79999999999995</v>
      </c>
      <c r="AF72" s="99">
        <v>11</v>
      </c>
      <c r="AG72" s="99">
        <v>818.39999999999986</v>
      </c>
      <c r="AH72" s="99">
        <v>9</v>
      </c>
      <c r="AI72" s="99">
        <v>669.59999999999991</v>
      </c>
      <c r="AJ72" s="99">
        <v>9</v>
      </c>
      <c r="AK72" s="99">
        <v>669.59999999999991</v>
      </c>
      <c r="AL72" s="99">
        <v>10</v>
      </c>
      <c r="AM72" s="99">
        <v>743.99999999999989</v>
      </c>
      <c r="AN72" s="99">
        <v>9</v>
      </c>
      <c r="AO72" s="99">
        <v>669.59999999999991</v>
      </c>
      <c r="AP72" s="99">
        <v>10</v>
      </c>
      <c r="AQ72" s="99">
        <v>743.99999999999989</v>
      </c>
      <c r="AR72" s="99">
        <v>7</v>
      </c>
      <c r="AS72" s="99">
        <v>520.79999999999995</v>
      </c>
      <c r="AT72" s="99">
        <v>8</v>
      </c>
      <c r="AU72" s="99">
        <v>595.19999999999993</v>
      </c>
      <c r="AV72" s="99">
        <v>6</v>
      </c>
      <c r="AW72" s="99">
        <v>446.4</v>
      </c>
      <c r="AX72" s="99">
        <v>8</v>
      </c>
      <c r="AY72" s="99">
        <v>595.19999999999993</v>
      </c>
      <c r="AZ72" s="99">
        <v>9</v>
      </c>
      <c r="BA72" s="99">
        <v>669.59999999999991</v>
      </c>
      <c r="BB72" s="99">
        <v>5</v>
      </c>
      <c r="BC72" s="99">
        <v>371.99999999999994</v>
      </c>
      <c r="BD72" s="99">
        <v>10</v>
      </c>
      <c r="BE72" s="99">
        <v>743.99999999999989</v>
      </c>
      <c r="BF72" s="99">
        <v>11</v>
      </c>
      <c r="BG72" s="99">
        <v>818.39999999999986</v>
      </c>
      <c r="BH72" s="99">
        <v>6</v>
      </c>
      <c r="BI72" s="99">
        <v>446.4</v>
      </c>
      <c r="BJ72" s="99">
        <v>6</v>
      </c>
      <c r="BK72" s="99">
        <v>446.4</v>
      </c>
      <c r="BL72" s="99">
        <v>10</v>
      </c>
      <c r="BM72" s="99">
        <v>743.99999999999989</v>
      </c>
      <c r="BN72" s="99">
        <v>7</v>
      </c>
      <c r="BO72" s="99">
        <v>520.79999999999995</v>
      </c>
      <c r="BP72" s="99">
        <v>9</v>
      </c>
      <c r="BQ72" s="99">
        <v>669.59999999999991</v>
      </c>
      <c r="BR72" s="99">
        <v>8</v>
      </c>
      <c r="BS72" s="99">
        <v>595.19999999999993</v>
      </c>
      <c r="BT72" s="99">
        <v>9</v>
      </c>
      <c r="BU72" s="99">
        <v>669.59999999999991</v>
      </c>
      <c r="BV72" s="99">
        <v>10</v>
      </c>
      <c r="BW72" s="99">
        <v>743.99999999999989</v>
      </c>
      <c r="BX72" s="99">
        <v>8</v>
      </c>
      <c r="BY72" s="99">
        <v>595.19999999999993</v>
      </c>
      <c r="BZ72" s="99">
        <v>7</v>
      </c>
      <c r="CA72" s="99">
        <v>520.79999999999995</v>
      </c>
      <c r="CB72" s="99">
        <v>8</v>
      </c>
      <c r="CC72" s="99">
        <v>595.19999999999993</v>
      </c>
      <c r="CD72" s="99">
        <v>7</v>
      </c>
      <c r="CE72" s="99">
        <v>520.79999999999995</v>
      </c>
      <c r="CF72" s="99">
        <v>7</v>
      </c>
      <c r="CG72" s="99">
        <v>520.79999999999995</v>
      </c>
      <c r="CH72" s="99">
        <v>10</v>
      </c>
      <c r="CI72" s="99">
        <v>743.99999999999989</v>
      </c>
      <c r="CJ72" s="99">
        <v>7</v>
      </c>
      <c r="CK72" s="99">
        <v>520.79999999999995</v>
      </c>
      <c r="CL72" s="99">
        <v>11</v>
      </c>
      <c r="CM72" s="99">
        <v>818.39999999999986</v>
      </c>
      <c r="CN72" s="99">
        <v>10</v>
      </c>
      <c r="CO72" s="99">
        <v>743.99999999999989</v>
      </c>
      <c r="CP72" s="99">
        <v>8</v>
      </c>
      <c r="CQ72" s="99">
        <v>595.19999999999993</v>
      </c>
      <c r="CR72" s="99">
        <v>7</v>
      </c>
      <c r="CS72" s="99">
        <v>520.79999999999995</v>
      </c>
      <c r="CT72" s="99">
        <v>9</v>
      </c>
      <c r="CU72" s="99">
        <v>669.59999999999991</v>
      </c>
    </row>
    <row r="73" spans="2:99">
      <c r="C73" s="98" t="s">
        <v>239</v>
      </c>
      <c r="D73" s="99">
        <v>9</v>
      </c>
      <c r="E73" s="99">
        <v>5032.7999999999993</v>
      </c>
      <c r="F73" s="99">
        <v>8</v>
      </c>
      <c r="G73" s="99">
        <v>4473.5999999999995</v>
      </c>
      <c r="H73" s="99">
        <v>8</v>
      </c>
      <c r="I73" s="99">
        <v>4473.5999999999995</v>
      </c>
      <c r="J73" s="99">
        <v>8</v>
      </c>
      <c r="K73" s="99">
        <v>4473.5999999999995</v>
      </c>
      <c r="L73" s="99">
        <v>8</v>
      </c>
      <c r="M73" s="99">
        <v>4473.5999999999995</v>
      </c>
      <c r="N73" s="99">
        <v>6</v>
      </c>
      <c r="O73" s="99">
        <v>3355.2</v>
      </c>
      <c r="P73" s="99">
        <v>7</v>
      </c>
      <c r="Q73" s="99">
        <v>3914.3999999999996</v>
      </c>
      <c r="R73" s="99">
        <v>5</v>
      </c>
      <c r="S73" s="99">
        <v>2795.9999999999995</v>
      </c>
      <c r="T73" s="99">
        <v>9</v>
      </c>
      <c r="U73" s="99">
        <v>5032.7999999999993</v>
      </c>
      <c r="V73" s="99">
        <v>8</v>
      </c>
      <c r="W73" s="99">
        <v>4473.5999999999995</v>
      </c>
      <c r="X73" s="99">
        <v>7</v>
      </c>
      <c r="Y73" s="99">
        <v>3914.3999999999996</v>
      </c>
      <c r="Z73" s="99">
        <v>6</v>
      </c>
      <c r="AA73" s="99">
        <v>3355.2</v>
      </c>
      <c r="AB73" s="99">
        <v>6</v>
      </c>
      <c r="AC73" s="99">
        <v>3355.2</v>
      </c>
      <c r="AD73" s="99">
        <v>6</v>
      </c>
      <c r="AE73" s="99">
        <v>3355.2</v>
      </c>
      <c r="AF73" s="99">
        <v>9</v>
      </c>
      <c r="AG73" s="99">
        <v>5032.7999999999993</v>
      </c>
      <c r="AH73" s="99">
        <v>9</v>
      </c>
      <c r="AI73" s="99">
        <v>5032.7999999999993</v>
      </c>
      <c r="AJ73" s="99">
        <v>9</v>
      </c>
      <c r="AK73" s="99">
        <v>5032.7999999999993</v>
      </c>
      <c r="AL73" s="99">
        <v>11</v>
      </c>
      <c r="AM73" s="99">
        <v>6151.1999999999989</v>
      </c>
      <c r="AN73" s="99">
        <v>9</v>
      </c>
      <c r="AO73" s="99">
        <v>5032.7999999999993</v>
      </c>
      <c r="AP73" s="99">
        <v>9</v>
      </c>
      <c r="AQ73" s="99">
        <v>5032.7999999999993</v>
      </c>
      <c r="AR73" s="99">
        <v>7</v>
      </c>
      <c r="AS73" s="99">
        <v>3914.3999999999996</v>
      </c>
      <c r="AT73" s="99">
        <v>9</v>
      </c>
      <c r="AU73" s="99">
        <v>5032.7999999999993</v>
      </c>
      <c r="AV73" s="99">
        <v>5</v>
      </c>
      <c r="AW73" s="99">
        <v>2795.9999999999995</v>
      </c>
      <c r="AX73" s="99">
        <v>8</v>
      </c>
      <c r="AY73" s="99">
        <v>4473.5999999999995</v>
      </c>
      <c r="AZ73" s="99">
        <v>8</v>
      </c>
      <c r="BA73" s="99">
        <v>4473.5999999999995</v>
      </c>
      <c r="BB73" s="99">
        <v>6</v>
      </c>
      <c r="BC73" s="99">
        <v>3355.2</v>
      </c>
      <c r="BD73" s="99">
        <v>9</v>
      </c>
      <c r="BE73" s="99">
        <v>5032.7999999999993</v>
      </c>
      <c r="BF73" s="99">
        <v>9</v>
      </c>
      <c r="BG73" s="99">
        <v>5032.7999999999993</v>
      </c>
      <c r="BH73" s="99">
        <v>6</v>
      </c>
      <c r="BI73" s="99">
        <v>3355.2</v>
      </c>
      <c r="BJ73" s="99">
        <v>6</v>
      </c>
      <c r="BK73" s="99">
        <v>3355.2</v>
      </c>
      <c r="BL73" s="99">
        <v>10</v>
      </c>
      <c r="BM73" s="99">
        <v>5591.9999999999991</v>
      </c>
      <c r="BN73" s="99">
        <v>7</v>
      </c>
      <c r="BO73" s="99">
        <v>3914.3999999999996</v>
      </c>
      <c r="BP73" s="99">
        <v>9</v>
      </c>
      <c r="BQ73" s="99">
        <v>5032.7999999999993</v>
      </c>
      <c r="BR73" s="99">
        <v>8</v>
      </c>
      <c r="BS73" s="99">
        <v>4473.5999999999995</v>
      </c>
      <c r="BT73" s="99">
        <v>8</v>
      </c>
      <c r="BU73" s="99">
        <v>4473.5999999999995</v>
      </c>
      <c r="BV73" s="99">
        <v>9</v>
      </c>
      <c r="BW73" s="99">
        <v>5032.7999999999993</v>
      </c>
      <c r="BX73" s="99">
        <v>7</v>
      </c>
      <c r="BY73" s="99">
        <v>3914.3999999999996</v>
      </c>
      <c r="BZ73" s="99">
        <v>8</v>
      </c>
      <c r="CA73" s="99">
        <v>4473.5999999999995</v>
      </c>
      <c r="CB73" s="99">
        <v>8</v>
      </c>
      <c r="CC73" s="99">
        <v>4473.5999999999995</v>
      </c>
      <c r="CD73" s="99">
        <v>8</v>
      </c>
      <c r="CE73" s="99">
        <v>4473.5999999999995</v>
      </c>
      <c r="CF73" s="99">
        <v>7</v>
      </c>
      <c r="CG73" s="99">
        <v>3914.3999999999996</v>
      </c>
      <c r="CH73" s="99">
        <v>9</v>
      </c>
      <c r="CI73" s="99">
        <v>5032.7999999999993</v>
      </c>
      <c r="CJ73" s="99">
        <v>6</v>
      </c>
      <c r="CK73" s="99">
        <v>3355.2</v>
      </c>
      <c r="CL73" s="99">
        <v>10</v>
      </c>
      <c r="CM73" s="99">
        <v>5591.9999999999991</v>
      </c>
      <c r="CN73" s="99">
        <v>10</v>
      </c>
      <c r="CO73" s="99">
        <v>5591.9999999999991</v>
      </c>
      <c r="CP73" s="99">
        <v>8</v>
      </c>
      <c r="CQ73" s="99">
        <v>4473.5999999999995</v>
      </c>
      <c r="CR73" s="99">
        <v>6</v>
      </c>
      <c r="CS73" s="99">
        <v>3355.2</v>
      </c>
      <c r="CT73" s="99">
        <v>10</v>
      </c>
      <c r="CU73" s="99">
        <v>5591.9999999999991</v>
      </c>
    </row>
    <row r="74" spans="2:99">
      <c r="C74" s="98" t="s">
        <v>240</v>
      </c>
      <c r="D74" s="99">
        <v>9</v>
      </c>
      <c r="E74" s="99">
        <v>3628.7999999999997</v>
      </c>
      <c r="F74" s="99">
        <v>8</v>
      </c>
      <c r="G74" s="99">
        <v>3225.6</v>
      </c>
      <c r="H74" s="99">
        <v>8</v>
      </c>
      <c r="I74" s="99">
        <v>3225.6</v>
      </c>
      <c r="J74" s="99">
        <v>7</v>
      </c>
      <c r="K74" s="99">
        <v>2822.4</v>
      </c>
      <c r="L74" s="99">
        <v>7</v>
      </c>
      <c r="M74" s="99">
        <v>2822.4</v>
      </c>
      <c r="N74" s="99">
        <v>6</v>
      </c>
      <c r="O74" s="99">
        <v>2419.1999999999998</v>
      </c>
      <c r="P74" s="99">
        <v>8</v>
      </c>
      <c r="Q74" s="99">
        <v>3225.6</v>
      </c>
      <c r="R74" s="99">
        <v>5</v>
      </c>
      <c r="S74" s="99">
        <v>2016</v>
      </c>
      <c r="T74" s="99">
        <v>10</v>
      </c>
      <c r="U74" s="99">
        <v>4032</v>
      </c>
      <c r="V74" s="99">
        <v>8</v>
      </c>
      <c r="W74" s="99">
        <v>3225.6</v>
      </c>
      <c r="X74" s="99">
        <v>8</v>
      </c>
      <c r="Y74" s="99">
        <v>3225.6</v>
      </c>
      <c r="Z74" s="99">
        <v>6</v>
      </c>
      <c r="AA74" s="99">
        <v>2419.1999999999998</v>
      </c>
      <c r="AB74" s="99">
        <v>6</v>
      </c>
      <c r="AC74" s="99">
        <v>2419.1999999999998</v>
      </c>
      <c r="AD74" s="99">
        <v>6</v>
      </c>
      <c r="AE74" s="99">
        <v>2419.1999999999998</v>
      </c>
      <c r="AF74" s="99">
        <v>10</v>
      </c>
      <c r="AG74" s="99">
        <v>4032</v>
      </c>
      <c r="AH74" s="99">
        <v>10</v>
      </c>
      <c r="AI74" s="99">
        <v>4032</v>
      </c>
      <c r="AJ74" s="99">
        <v>9</v>
      </c>
      <c r="AK74" s="99">
        <v>3628.7999999999997</v>
      </c>
      <c r="AL74" s="99">
        <v>11</v>
      </c>
      <c r="AM74" s="99">
        <v>4435.2</v>
      </c>
      <c r="AN74" s="99">
        <v>9</v>
      </c>
      <c r="AO74" s="99">
        <v>3628.7999999999997</v>
      </c>
      <c r="AP74" s="99">
        <v>9</v>
      </c>
      <c r="AQ74" s="99">
        <v>3628.7999999999997</v>
      </c>
      <c r="AR74" s="99">
        <v>7</v>
      </c>
      <c r="AS74" s="99">
        <v>2822.4</v>
      </c>
      <c r="AT74" s="99">
        <v>9</v>
      </c>
      <c r="AU74" s="99">
        <v>3628.7999999999997</v>
      </c>
      <c r="AV74" s="99">
        <v>6</v>
      </c>
      <c r="AW74" s="99">
        <v>2419.1999999999998</v>
      </c>
      <c r="AX74" s="99">
        <v>9</v>
      </c>
      <c r="AY74" s="99">
        <v>3628.7999999999997</v>
      </c>
      <c r="AZ74" s="99">
        <v>8</v>
      </c>
      <c r="BA74" s="99">
        <v>3225.6</v>
      </c>
      <c r="BB74" s="99">
        <v>5</v>
      </c>
      <c r="BC74" s="99">
        <v>2016</v>
      </c>
      <c r="BD74" s="99">
        <v>9</v>
      </c>
      <c r="BE74" s="99">
        <v>3628.7999999999997</v>
      </c>
      <c r="BF74" s="99">
        <v>10</v>
      </c>
      <c r="BG74" s="99">
        <v>4032</v>
      </c>
      <c r="BH74" s="99">
        <v>6</v>
      </c>
      <c r="BI74" s="99">
        <v>2419.1999999999998</v>
      </c>
      <c r="BJ74" s="99">
        <v>7</v>
      </c>
      <c r="BK74" s="99">
        <v>2822.4</v>
      </c>
      <c r="BL74" s="99">
        <v>10</v>
      </c>
      <c r="BM74" s="99">
        <v>4032</v>
      </c>
      <c r="BN74" s="99">
        <v>7</v>
      </c>
      <c r="BO74" s="99">
        <v>2822.4</v>
      </c>
      <c r="BP74" s="99">
        <v>9</v>
      </c>
      <c r="BQ74" s="99">
        <v>3628.7999999999997</v>
      </c>
      <c r="BR74" s="99">
        <v>8</v>
      </c>
      <c r="BS74" s="99">
        <v>3225.6</v>
      </c>
      <c r="BT74" s="99">
        <v>8</v>
      </c>
      <c r="BU74" s="99">
        <v>3225.6</v>
      </c>
      <c r="BV74" s="99">
        <v>10</v>
      </c>
      <c r="BW74" s="99">
        <v>4032</v>
      </c>
      <c r="BX74" s="99">
        <v>7</v>
      </c>
      <c r="BY74" s="99">
        <v>2822.4</v>
      </c>
      <c r="BZ74" s="99">
        <v>7</v>
      </c>
      <c r="CA74" s="99">
        <v>2822.4</v>
      </c>
      <c r="CB74" s="99">
        <v>8</v>
      </c>
      <c r="CC74" s="99">
        <v>3225.6</v>
      </c>
      <c r="CD74" s="99">
        <v>7</v>
      </c>
      <c r="CE74" s="99">
        <v>2822.4</v>
      </c>
      <c r="CF74" s="99">
        <v>7</v>
      </c>
      <c r="CG74" s="99">
        <v>2822.4</v>
      </c>
      <c r="CH74" s="99">
        <v>10</v>
      </c>
      <c r="CI74" s="99">
        <v>4032</v>
      </c>
      <c r="CJ74" s="99">
        <v>6</v>
      </c>
      <c r="CK74" s="99">
        <v>2419.1999999999998</v>
      </c>
      <c r="CL74" s="99">
        <v>10</v>
      </c>
      <c r="CM74" s="99">
        <v>4032</v>
      </c>
      <c r="CN74" s="99">
        <v>10</v>
      </c>
      <c r="CO74" s="99">
        <v>4032</v>
      </c>
      <c r="CP74" s="99">
        <v>8</v>
      </c>
      <c r="CQ74" s="99">
        <v>3225.6</v>
      </c>
      <c r="CR74" s="99">
        <v>6</v>
      </c>
      <c r="CS74" s="99">
        <v>2419.1999999999998</v>
      </c>
      <c r="CT74" s="99">
        <v>10</v>
      </c>
      <c r="CU74" s="99">
        <v>4032</v>
      </c>
    </row>
    <row r="75" spans="2:99">
      <c r="C75" s="98" t="s">
        <v>241</v>
      </c>
      <c r="D75" s="99">
        <v>9</v>
      </c>
      <c r="E75" s="99">
        <v>5788.7999999999993</v>
      </c>
      <c r="F75" s="99">
        <v>7</v>
      </c>
      <c r="G75" s="99">
        <v>4502.3999999999996</v>
      </c>
      <c r="H75" s="99">
        <v>8</v>
      </c>
      <c r="I75" s="99">
        <v>5145.5999999999995</v>
      </c>
      <c r="J75" s="99">
        <v>7</v>
      </c>
      <c r="K75" s="99">
        <v>4502.3999999999996</v>
      </c>
      <c r="L75" s="99">
        <v>7</v>
      </c>
      <c r="M75" s="99">
        <v>4502.3999999999996</v>
      </c>
      <c r="N75" s="99">
        <v>6</v>
      </c>
      <c r="O75" s="99">
        <v>3859.2</v>
      </c>
      <c r="P75" s="99">
        <v>8</v>
      </c>
      <c r="Q75" s="99">
        <v>5145.5999999999995</v>
      </c>
      <c r="R75" s="99">
        <v>5</v>
      </c>
      <c r="S75" s="99">
        <v>3215.9999999999995</v>
      </c>
      <c r="T75" s="99">
        <v>10</v>
      </c>
      <c r="U75" s="99">
        <v>6431.9999999999991</v>
      </c>
      <c r="V75" s="99">
        <v>9</v>
      </c>
      <c r="W75" s="99">
        <v>5788.7999999999993</v>
      </c>
      <c r="X75" s="99">
        <v>7</v>
      </c>
      <c r="Y75" s="99">
        <v>4502.3999999999996</v>
      </c>
      <c r="Z75" s="99">
        <v>5</v>
      </c>
      <c r="AA75" s="99">
        <v>3215.9999999999995</v>
      </c>
      <c r="AB75" s="99">
        <v>6</v>
      </c>
      <c r="AC75" s="99">
        <v>3859.2</v>
      </c>
      <c r="AD75" s="99">
        <v>6</v>
      </c>
      <c r="AE75" s="99">
        <v>3859.2</v>
      </c>
      <c r="AF75" s="99">
        <v>10</v>
      </c>
      <c r="AG75" s="99">
        <v>6431.9999999999991</v>
      </c>
      <c r="AH75" s="99">
        <v>9</v>
      </c>
      <c r="AI75" s="99">
        <v>5788.7999999999993</v>
      </c>
      <c r="AJ75" s="99">
        <v>9</v>
      </c>
      <c r="AK75" s="99">
        <v>5788.7999999999993</v>
      </c>
      <c r="AL75" s="99">
        <v>11</v>
      </c>
      <c r="AM75" s="99">
        <v>7075.1999999999989</v>
      </c>
      <c r="AN75" s="99">
        <v>9</v>
      </c>
      <c r="AO75" s="99">
        <v>5788.7999999999993</v>
      </c>
      <c r="AP75" s="99">
        <v>9</v>
      </c>
      <c r="AQ75" s="99">
        <v>5788.7999999999993</v>
      </c>
      <c r="AR75" s="99">
        <v>6</v>
      </c>
      <c r="AS75" s="99">
        <v>3859.2</v>
      </c>
      <c r="AT75" s="99">
        <v>8</v>
      </c>
      <c r="AU75" s="99">
        <v>5145.5999999999995</v>
      </c>
      <c r="AV75" s="99">
        <v>6</v>
      </c>
      <c r="AW75" s="99">
        <v>3859.2</v>
      </c>
      <c r="AX75" s="99">
        <v>7</v>
      </c>
      <c r="AY75" s="99">
        <v>4502.3999999999996</v>
      </c>
      <c r="AZ75" s="99">
        <v>7</v>
      </c>
      <c r="BA75" s="99">
        <v>4502.3999999999996</v>
      </c>
      <c r="BB75" s="99">
        <v>6</v>
      </c>
      <c r="BC75" s="99">
        <v>3859.2</v>
      </c>
      <c r="BD75" s="99">
        <v>9</v>
      </c>
      <c r="BE75" s="99">
        <v>5788.7999999999993</v>
      </c>
      <c r="BF75" s="99">
        <v>10</v>
      </c>
      <c r="BG75" s="99">
        <v>6431.9999999999991</v>
      </c>
      <c r="BH75" s="99">
        <v>6</v>
      </c>
      <c r="BI75" s="99">
        <v>3859.2</v>
      </c>
      <c r="BJ75" s="99">
        <v>6</v>
      </c>
      <c r="BK75" s="99">
        <v>3859.2</v>
      </c>
      <c r="BL75" s="99">
        <v>9</v>
      </c>
      <c r="BM75" s="99">
        <v>5788.7999999999993</v>
      </c>
      <c r="BN75" s="99">
        <v>6</v>
      </c>
      <c r="BO75" s="99">
        <v>3859.2</v>
      </c>
      <c r="BP75" s="99">
        <v>8</v>
      </c>
      <c r="BQ75" s="99">
        <v>5145.5999999999995</v>
      </c>
      <c r="BR75" s="99">
        <v>8</v>
      </c>
      <c r="BS75" s="99">
        <v>5145.5999999999995</v>
      </c>
      <c r="BT75" s="99">
        <v>8</v>
      </c>
      <c r="BU75" s="99">
        <v>5145.5999999999995</v>
      </c>
      <c r="BV75" s="99">
        <v>10</v>
      </c>
      <c r="BW75" s="99">
        <v>6431.9999999999991</v>
      </c>
      <c r="BX75" s="99">
        <v>7</v>
      </c>
      <c r="BY75" s="99">
        <v>4502.3999999999996</v>
      </c>
      <c r="BZ75" s="99">
        <v>8</v>
      </c>
      <c r="CA75" s="99">
        <v>5145.5999999999995</v>
      </c>
      <c r="CB75" s="99">
        <v>8</v>
      </c>
      <c r="CC75" s="99">
        <v>5145.5999999999995</v>
      </c>
      <c r="CD75" s="99">
        <v>8</v>
      </c>
      <c r="CE75" s="99">
        <v>5145.5999999999995</v>
      </c>
      <c r="CF75" s="99">
        <v>8</v>
      </c>
      <c r="CG75" s="99">
        <v>5145.5999999999995</v>
      </c>
      <c r="CH75" s="99">
        <v>11</v>
      </c>
      <c r="CI75" s="99">
        <v>7075.1999999999989</v>
      </c>
      <c r="CJ75" s="99">
        <v>6</v>
      </c>
      <c r="CK75" s="99">
        <v>3859.2</v>
      </c>
      <c r="CL75" s="99">
        <v>11</v>
      </c>
      <c r="CM75" s="99">
        <v>7075.1999999999989</v>
      </c>
      <c r="CN75" s="99">
        <v>10</v>
      </c>
      <c r="CO75" s="99">
        <v>6431.9999999999991</v>
      </c>
      <c r="CP75" s="99">
        <v>7</v>
      </c>
      <c r="CQ75" s="99">
        <v>4502.3999999999996</v>
      </c>
      <c r="CR75" s="99">
        <v>6</v>
      </c>
      <c r="CS75" s="99">
        <v>3859.2</v>
      </c>
      <c r="CT75" s="99">
        <v>9</v>
      </c>
      <c r="CU75" s="99">
        <v>5788.7999999999993</v>
      </c>
    </row>
    <row r="76" spans="2:99">
      <c r="C76" s="98" t="s">
        <v>242</v>
      </c>
      <c r="D76" s="99">
        <v>10</v>
      </c>
      <c r="E76" s="99">
        <v>7788</v>
      </c>
      <c r="F76" s="99">
        <v>9</v>
      </c>
      <c r="G76" s="99">
        <v>7009.2</v>
      </c>
      <c r="H76" s="99">
        <v>8</v>
      </c>
      <c r="I76" s="99">
        <v>6230.4</v>
      </c>
      <c r="J76" s="99">
        <v>7</v>
      </c>
      <c r="K76" s="99">
        <v>5451.5999999999995</v>
      </c>
      <c r="L76" s="99">
        <v>8</v>
      </c>
      <c r="M76" s="99">
        <v>6230.4</v>
      </c>
      <c r="N76" s="99">
        <v>6</v>
      </c>
      <c r="O76" s="99">
        <v>4672.7999999999993</v>
      </c>
      <c r="P76" s="99">
        <v>7</v>
      </c>
      <c r="Q76" s="99">
        <v>5451.5999999999995</v>
      </c>
      <c r="R76" s="99">
        <v>5</v>
      </c>
      <c r="S76" s="99">
        <v>3894</v>
      </c>
      <c r="T76" s="99">
        <v>9</v>
      </c>
      <c r="U76" s="99">
        <v>7009.2</v>
      </c>
      <c r="V76" s="99">
        <v>8</v>
      </c>
      <c r="W76" s="99">
        <v>6230.4</v>
      </c>
      <c r="X76" s="99">
        <v>6</v>
      </c>
      <c r="Y76" s="99">
        <v>4672.7999999999993</v>
      </c>
      <c r="Z76" s="99">
        <v>6</v>
      </c>
      <c r="AA76" s="99">
        <v>4672.7999999999993</v>
      </c>
      <c r="AB76" s="99">
        <v>5</v>
      </c>
      <c r="AC76" s="99">
        <v>3894</v>
      </c>
      <c r="AD76" s="99">
        <v>6</v>
      </c>
      <c r="AE76" s="99">
        <v>4672.7999999999993</v>
      </c>
      <c r="AF76" s="99">
        <v>9</v>
      </c>
      <c r="AG76" s="99">
        <v>7009.2</v>
      </c>
      <c r="AH76" s="99">
        <v>9</v>
      </c>
      <c r="AI76" s="99">
        <v>7009.2</v>
      </c>
      <c r="AJ76" s="99">
        <v>8</v>
      </c>
      <c r="AK76" s="99">
        <v>6230.4</v>
      </c>
      <c r="AL76" s="99">
        <v>10</v>
      </c>
      <c r="AM76" s="99">
        <v>7788</v>
      </c>
      <c r="AN76" s="99">
        <v>8</v>
      </c>
      <c r="AO76" s="99">
        <v>6230.4</v>
      </c>
      <c r="AP76" s="99">
        <v>9</v>
      </c>
      <c r="AQ76" s="99">
        <v>7009.2</v>
      </c>
      <c r="AR76" s="99">
        <v>7</v>
      </c>
      <c r="AS76" s="99">
        <v>5451.5999999999995</v>
      </c>
      <c r="AT76" s="99">
        <v>9</v>
      </c>
      <c r="AU76" s="99">
        <v>7009.2</v>
      </c>
      <c r="AV76" s="99">
        <v>6</v>
      </c>
      <c r="AW76" s="99">
        <v>4672.7999999999993</v>
      </c>
      <c r="AX76" s="99">
        <v>8</v>
      </c>
      <c r="AY76" s="99">
        <v>6230.4</v>
      </c>
      <c r="AZ76" s="99">
        <v>8</v>
      </c>
      <c r="BA76" s="99">
        <v>6230.4</v>
      </c>
      <c r="BB76" s="99">
        <v>5</v>
      </c>
      <c r="BC76" s="99">
        <v>3894</v>
      </c>
      <c r="BD76" s="99">
        <v>10</v>
      </c>
      <c r="BE76" s="99">
        <v>7788</v>
      </c>
      <c r="BF76" s="99">
        <v>11</v>
      </c>
      <c r="BG76" s="99">
        <v>8566.7999999999993</v>
      </c>
      <c r="BH76" s="99">
        <v>6</v>
      </c>
      <c r="BI76" s="99">
        <v>4672.7999999999993</v>
      </c>
      <c r="BJ76" s="99">
        <v>5</v>
      </c>
      <c r="BK76" s="99">
        <v>3894</v>
      </c>
      <c r="BL76" s="99">
        <v>9</v>
      </c>
      <c r="BM76" s="99">
        <v>7009.2</v>
      </c>
      <c r="BN76" s="99">
        <v>7</v>
      </c>
      <c r="BO76" s="99">
        <v>5451.5999999999995</v>
      </c>
      <c r="BP76" s="99">
        <v>8</v>
      </c>
      <c r="BQ76" s="99">
        <v>6230.4</v>
      </c>
      <c r="BR76" s="99">
        <v>8</v>
      </c>
      <c r="BS76" s="99">
        <v>6230.4</v>
      </c>
      <c r="BT76" s="99">
        <v>8</v>
      </c>
      <c r="BU76" s="99">
        <v>6230.4</v>
      </c>
      <c r="BV76" s="99">
        <v>10</v>
      </c>
      <c r="BW76" s="99">
        <v>7788</v>
      </c>
      <c r="BX76" s="99">
        <v>7</v>
      </c>
      <c r="BY76" s="99">
        <v>5451.5999999999995</v>
      </c>
      <c r="BZ76" s="99">
        <v>8</v>
      </c>
      <c r="CA76" s="99">
        <v>6230.4</v>
      </c>
      <c r="CB76" s="99">
        <v>7</v>
      </c>
      <c r="CC76" s="99">
        <v>5451.5999999999995</v>
      </c>
      <c r="CD76" s="99">
        <v>8</v>
      </c>
      <c r="CE76" s="99">
        <v>6230.4</v>
      </c>
      <c r="CF76" s="99">
        <v>7</v>
      </c>
      <c r="CG76" s="99">
        <v>5451.5999999999995</v>
      </c>
      <c r="CH76" s="99">
        <v>9</v>
      </c>
      <c r="CI76" s="99">
        <v>7009.2</v>
      </c>
      <c r="CJ76" s="99">
        <v>6</v>
      </c>
      <c r="CK76" s="99">
        <v>4672.7999999999993</v>
      </c>
      <c r="CL76" s="99">
        <v>11</v>
      </c>
      <c r="CM76" s="99">
        <v>8566.7999999999993</v>
      </c>
      <c r="CN76" s="99">
        <v>9</v>
      </c>
      <c r="CO76" s="99">
        <v>7009.2</v>
      </c>
      <c r="CP76" s="99">
        <v>7</v>
      </c>
      <c r="CQ76" s="99">
        <v>5451.5999999999995</v>
      </c>
      <c r="CR76" s="99">
        <v>6</v>
      </c>
      <c r="CS76" s="99">
        <v>4672.7999999999993</v>
      </c>
      <c r="CT76" s="99">
        <v>10</v>
      </c>
      <c r="CU76" s="99">
        <v>7788</v>
      </c>
    </row>
    <row r="77" spans="2:99">
      <c r="C77" s="98" t="s">
        <v>243</v>
      </c>
      <c r="D77" s="99">
        <v>10</v>
      </c>
      <c r="E77" s="99">
        <v>2784</v>
      </c>
      <c r="F77" s="99">
        <v>8</v>
      </c>
      <c r="G77" s="99">
        <v>2227.1999999999998</v>
      </c>
      <c r="H77" s="99">
        <v>8</v>
      </c>
      <c r="I77" s="99">
        <v>2227.1999999999998</v>
      </c>
      <c r="J77" s="99">
        <v>8</v>
      </c>
      <c r="K77" s="99">
        <v>2227.1999999999998</v>
      </c>
      <c r="L77" s="99">
        <v>8</v>
      </c>
      <c r="M77" s="99">
        <v>2227.1999999999998</v>
      </c>
      <c r="N77" s="99">
        <v>6</v>
      </c>
      <c r="O77" s="99">
        <v>1670.3999999999999</v>
      </c>
      <c r="P77" s="99">
        <v>7</v>
      </c>
      <c r="Q77" s="99">
        <v>1948.7999999999997</v>
      </c>
      <c r="R77" s="99">
        <v>5</v>
      </c>
      <c r="S77" s="99">
        <v>1392</v>
      </c>
      <c r="T77" s="99">
        <v>9</v>
      </c>
      <c r="U77" s="99">
        <v>2505.6</v>
      </c>
      <c r="V77" s="99">
        <v>9</v>
      </c>
      <c r="W77" s="99">
        <v>2505.6</v>
      </c>
      <c r="X77" s="99">
        <v>7</v>
      </c>
      <c r="Y77" s="99">
        <v>1948.7999999999997</v>
      </c>
      <c r="Z77" s="99">
        <v>6</v>
      </c>
      <c r="AA77" s="99">
        <v>1670.3999999999999</v>
      </c>
      <c r="AB77" s="99">
        <v>6</v>
      </c>
      <c r="AC77" s="99">
        <v>1670.3999999999999</v>
      </c>
      <c r="AD77" s="99">
        <v>7</v>
      </c>
      <c r="AE77" s="99">
        <v>1948.7999999999997</v>
      </c>
      <c r="AF77" s="99">
        <v>10</v>
      </c>
      <c r="AG77" s="99">
        <v>2784</v>
      </c>
      <c r="AH77" s="99">
        <v>8</v>
      </c>
      <c r="AI77" s="99">
        <v>2227.1999999999998</v>
      </c>
      <c r="AJ77" s="99">
        <v>9</v>
      </c>
      <c r="AK77" s="99">
        <v>2505.6</v>
      </c>
      <c r="AL77" s="99">
        <v>11</v>
      </c>
      <c r="AM77" s="99">
        <v>3062.3999999999996</v>
      </c>
      <c r="AN77" s="99">
        <v>9</v>
      </c>
      <c r="AO77" s="99">
        <v>2505.6</v>
      </c>
      <c r="AP77" s="99">
        <v>10</v>
      </c>
      <c r="AQ77" s="99">
        <v>2784</v>
      </c>
      <c r="AR77" s="99">
        <v>7</v>
      </c>
      <c r="AS77" s="99">
        <v>1948.7999999999997</v>
      </c>
      <c r="AT77" s="99">
        <v>8</v>
      </c>
      <c r="AU77" s="99">
        <v>2227.1999999999998</v>
      </c>
      <c r="AV77" s="99">
        <v>7</v>
      </c>
      <c r="AW77" s="99">
        <v>1948.7999999999997</v>
      </c>
      <c r="AX77" s="99">
        <v>8</v>
      </c>
      <c r="AY77" s="99">
        <v>2227.1999999999998</v>
      </c>
      <c r="AZ77" s="99">
        <v>8</v>
      </c>
      <c r="BA77" s="99">
        <v>2227.1999999999998</v>
      </c>
      <c r="BB77" s="99">
        <v>5</v>
      </c>
      <c r="BC77" s="99">
        <v>1392</v>
      </c>
      <c r="BD77" s="99">
        <v>10</v>
      </c>
      <c r="BE77" s="99">
        <v>2784</v>
      </c>
      <c r="BF77" s="99">
        <v>9</v>
      </c>
      <c r="BG77" s="99">
        <v>2505.6</v>
      </c>
      <c r="BH77" s="99">
        <v>6</v>
      </c>
      <c r="BI77" s="99">
        <v>1670.3999999999999</v>
      </c>
      <c r="BJ77" s="99">
        <v>7</v>
      </c>
      <c r="BK77" s="99">
        <v>1948.7999999999997</v>
      </c>
      <c r="BL77" s="99">
        <v>11</v>
      </c>
      <c r="BM77" s="99">
        <v>3062.3999999999996</v>
      </c>
      <c r="BN77" s="99">
        <v>8</v>
      </c>
      <c r="BO77" s="99">
        <v>2227.1999999999998</v>
      </c>
      <c r="BP77" s="99">
        <v>10</v>
      </c>
      <c r="BQ77" s="99">
        <v>2784</v>
      </c>
      <c r="BR77" s="99">
        <v>8</v>
      </c>
      <c r="BS77" s="99">
        <v>2227.1999999999998</v>
      </c>
      <c r="BT77" s="99">
        <v>8</v>
      </c>
      <c r="BU77" s="99">
        <v>2227.1999999999998</v>
      </c>
      <c r="BV77" s="99">
        <v>10</v>
      </c>
      <c r="BW77" s="99">
        <v>2784</v>
      </c>
      <c r="BX77" s="99">
        <v>8</v>
      </c>
      <c r="BY77" s="99">
        <v>2227.1999999999998</v>
      </c>
      <c r="BZ77" s="99">
        <v>8</v>
      </c>
      <c r="CA77" s="99">
        <v>2227.1999999999998</v>
      </c>
      <c r="CB77" s="99">
        <v>8</v>
      </c>
      <c r="CC77" s="99">
        <v>2227.1999999999998</v>
      </c>
      <c r="CD77" s="99">
        <v>8</v>
      </c>
      <c r="CE77" s="99">
        <v>2227.1999999999998</v>
      </c>
      <c r="CF77" s="99">
        <v>7</v>
      </c>
      <c r="CG77" s="99">
        <v>1948.7999999999997</v>
      </c>
      <c r="CH77" s="99">
        <v>10</v>
      </c>
      <c r="CI77" s="99">
        <v>2784</v>
      </c>
      <c r="CJ77" s="99">
        <v>6</v>
      </c>
      <c r="CK77" s="99">
        <v>1670.3999999999999</v>
      </c>
      <c r="CL77" s="99">
        <v>11</v>
      </c>
      <c r="CM77" s="99">
        <v>3062.3999999999996</v>
      </c>
      <c r="CN77" s="99">
        <v>10</v>
      </c>
      <c r="CO77" s="99">
        <v>2784</v>
      </c>
      <c r="CP77" s="99">
        <v>8</v>
      </c>
      <c r="CQ77" s="99">
        <v>2227.1999999999998</v>
      </c>
      <c r="CR77" s="99">
        <v>6</v>
      </c>
      <c r="CS77" s="99">
        <v>1670.3999999999999</v>
      </c>
      <c r="CT77" s="99">
        <v>9</v>
      </c>
      <c r="CU77" s="99">
        <v>2505.6</v>
      </c>
    </row>
    <row r="78" spans="2:99">
      <c r="C78" s="98" t="s">
        <v>244</v>
      </c>
      <c r="D78" s="99">
        <v>10</v>
      </c>
      <c r="E78" s="99">
        <v>5520</v>
      </c>
      <c r="F78" s="99">
        <v>7</v>
      </c>
      <c r="G78" s="99">
        <v>3864</v>
      </c>
      <c r="H78" s="99">
        <v>8</v>
      </c>
      <c r="I78" s="99">
        <v>4416</v>
      </c>
      <c r="J78" s="99">
        <v>7</v>
      </c>
      <c r="K78" s="99">
        <v>3864</v>
      </c>
      <c r="L78" s="99">
        <v>7</v>
      </c>
      <c r="M78" s="99">
        <v>3864</v>
      </c>
      <c r="N78" s="99">
        <v>6</v>
      </c>
      <c r="O78" s="99">
        <v>3312</v>
      </c>
      <c r="P78" s="99">
        <v>7</v>
      </c>
      <c r="Q78" s="99">
        <v>3864</v>
      </c>
      <c r="R78" s="99">
        <v>6</v>
      </c>
      <c r="S78" s="99">
        <v>3312</v>
      </c>
      <c r="T78" s="99">
        <v>10</v>
      </c>
      <c r="U78" s="99">
        <v>5520</v>
      </c>
      <c r="V78" s="99">
        <v>9</v>
      </c>
      <c r="W78" s="99">
        <v>4968</v>
      </c>
      <c r="X78" s="99">
        <v>7</v>
      </c>
      <c r="Y78" s="99">
        <v>3864</v>
      </c>
      <c r="Z78" s="99">
        <v>6</v>
      </c>
      <c r="AA78" s="99">
        <v>3312</v>
      </c>
      <c r="AB78" s="99">
        <v>6</v>
      </c>
      <c r="AC78" s="99">
        <v>3312</v>
      </c>
      <c r="AD78" s="99">
        <v>6</v>
      </c>
      <c r="AE78" s="99">
        <v>3312</v>
      </c>
      <c r="AF78" s="99">
        <v>9</v>
      </c>
      <c r="AG78" s="99">
        <v>4968</v>
      </c>
      <c r="AH78" s="99">
        <v>8</v>
      </c>
      <c r="AI78" s="99">
        <v>4416</v>
      </c>
      <c r="AJ78" s="99">
        <v>10</v>
      </c>
      <c r="AK78" s="99">
        <v>5520</v>
      </c>
      <c r="AL78" s="99">
        <v>9</v>
      </c>
      <c r="AM78" s="99">
        <v>4968</v>
      </c>
      <c r="AN78" s="99">
        <v>8</v>
      </c>
      <c r="AO78" s="99">
        <v>4416</v>
      </c>
      <c r="AP78" s="99">
        <v>9</v>
      </c>
      <c r="AQ78" s="99">
        <v>4968</v>
      </c>
      <c r="AR78" s="99">
        <v>7</v>
      </c>
      <c r="AS78" s="99">
        <v>3864</v>
      </c>
      <c r="AT78" s="99">
        <v>8</v>
      </c>
      <c r="AU78" s="99">
        <v>4416</v>
      </c>
      <c r="AV78" s="99">
        <v>6</v>
      </c>
      <c r="AW78" s="99">
        <v>3312</v>
      </c>
      <c r="AX78" s="99">
        <v>8</v>
      </c>
      <c r="AY78" s="99">
        <v>4416</v>
      </c>
      <c r="AZ78" s="99">
        <v>7</v>
      </c>
      <c r="BA78" s="99">
        <v>3864</v>
      </c>
      <c r="BB78" s="99">
        <v>5</v>
      </c>
      <c r="BC78" s="99">
        <v>2760</v>
      </c>
      <c r="BD78" s="99">
        <v>9</v>
      </c>
      <c r="BE78" s="99">
        <v>4968</v>
      </c>
      <c r="BF78" s="99">
        <v>10</v>
      </c>
      <c r="BG78" s="99">
        <v>5520</v>
      </c>
      <c r="BH78" s="99">
        <v>5</v>
      </c>
      <c r="BI78" s="99">
        <v>2760</v>
      </c>
      <c r="BJ78" s="99">
        <v>5</v>
      </c>
      <c r="BK78" s="99">
        <v>2760</v>
      </c>
      <c r="BL78" s="99">
        <v>9</v>
      </c>
      <c r="BM78" s="99">
        <v>4968</v>
      </c>
      <c r="BN78" s="99">
        <v>7</v>
      </c>
      <c r="BO78" s="99">
        <v>3864</v>
      </c>
      <c r="BP78" s="99">
        <v>8</v>
      </c>
      <c r="BQ78" s="99">
        <v>4416</v>
      </c>
      <c r="BR78" s="99">
        <v>9</v>
      </c>
      <c r="BS78" s="99">
        <v>4968</v>
      </c>
      <c r="BT78" s="99">
        <v>9</v>
      </c>
      <c r="BU78" s="99">
        <v>4968</v>
      </c>
      <c r="BV78" s="99">
        <v>10</v>
      </c>
      <c r="BW78" s="99">
        <v>5520</v>
      </c>
      <c r="BX78" s="99">
        <v>7</v>
      </c>
      <c r="BY78" s="99">
        <v>3864</v>
      </c>
      <c r="BZ78" s="99">
        <v>8</v>
      </c>
      <c r="CA78" s="99">
        <v>4416</v>
      </c>
      <c r="CB78" s="99">
        <v>7</v>
      </c>
      <c r="CC78" s="99">
        <v>3864</v>
      </c>
      <c r="CD78" s="99">
        <v>8</v>
      </c>
      <c r="CE78" s="99">
        <v>4416</v>
      </c>
      <c r="CF78" s="99">
        <v>8</v>
      </c>
      <c r="CG78" s="99">
        <v>4416</v>
      </c>
      <c r="CH78" s="99">
        <v>10</v>
      </c>
      <c r="CI78" s="99">
        <v>5520</v>
      </c>
      <c r="CJ78" s="99">
        <v>6</v>
      </c>
      <c r="CK78" s="99">
        <v>3312</v>
      </c>
      <c r="CL78" s="99">
        <v>10</v>
      </c>
      <c r="CM78" s="99">
        <v>5520</v>
      </c>
      <c r="CN78" s="99">
        <v>9</v>
      </c>
      <c r="CO78" s="99">
        <v>4968</v>
      </c>
      <c r="CP78" s="99">
        <v>7</v>
      </c>
      <c r="CQ78" s="99">
        <v>3864</v>
      </c>
      <c r="CR78" s="99">
        <v>6</v>
      </c>
      <c r="CS78" s="99">
        <v>3312</v>
      </c>
      <c r="CT78" s="99">
        <v>9</v>
      </c>
      <c r="CU78" s="99">
        <v>4968</v>
      </c>
    </row>
    <row r="79" spans="2:99">
      <c r="C79" s="98" t="s">
        <v>245</v>
      </c>
      <c r="D79" s="99">
        <v>9</v>
      </c>
      <c r="E79" s="99">
        <v>6814.7999999999993</v>
      </c>
      <c r="F79" s="99">
        <v>7</v>
      </c>
      <c r="G79" s="99">
        <v>5300.4</v>
      </c>
      <c r="H79" s="99">
        <v>9</v>
      </c>
      <c r="I79" s="99">
        <v>6814.7999999999993</v>
      </c>
      <c r="J79" s="99">
        <v>7</v>
      </c>
      <c r="K79" s="99">
        <v>5300.4</v>
      </c>
      <c r="L79" s="99">
        <v>8</v>
      </c>
      <c r="M79" s="99">
        <v>6057.5999999999995</v>
      </c>
      <c r="N79" s="99">
        <v>6</v>
      </c>
      <c r="O79" s="99">
        <v>4543.2</v>
      </c>
      <c r="P79" s="99">
        <v>7</v>
      </c>
      <c r="Q79" s="99">
        <v>5300.4</v>
      </c>
      <c r="R79" s="99">
        <v>5</v>
      </c>
      <c r="S79" s="99">
        <v>3785.9999999999995</v>
      </c>
      <c r="T79" s="99">
        <v>9</v>
      </c>
      <c r="U79" s="99">
        <v>6814.7999999999993</v>
      </c>
      <c r="V79" s="99">
        <v>8</v>
      </c>
      <c r="W79" s="99">
        <v>6057.5999999999995</v>
      </c>
      <c r="X79" s="99">
        <v>6</v>
      </c>
      <c r="Y79" s="99">
        <v>4543.2</v>
      </c>
      <c r="Z79" s="99">
        <v>6</v>
      </c>
      <c r="AA79" s="99">
        <v>4543.2</v>
      </c>
      <c r="AB79" s="99">
        <v>6</v>
      </c>
      <c r="AC79" s="99">
        <v>4543.2</v>
      </c>
      <c r="AD79" s="99">
        <v>7</v>
      </c>
      <c r="AE79" s="99">
        <v>5300.4</v>
      </c>
      <c r="AF79" s="99">
        <v>9</v>
      </c>
      <c r="AG79" s="99">
        <v>6814.7999999999993</v>
      </c>
      <c r="AH79" s="99">
        <v>8</v>
      </c>
      <c r="AI79" s="99">
        <v>6057.5999999999995</v>
      </c>
      <c r="AJ79" s="99">
        <v>10</v>
      </c>
      <c r="AK79" s="99">
        <v>7571.9999999999991</v>
      </c>
      <c r="AL79" s="99">
        <v>9</v>
      </c>
      <c r="AM79" s="99">
        <v>6814.7999999999993</v>
      </c>
      <c r="AN79" s="99">
        <v>9</v>
      </c>
      <c r="AO79" s="99">
        <v>6814.7999999999993</v>
      </c>
      <c r="AP79" s="99">
        <v>9</v>
      </c>
      <c r="AQ79" s="99">
        <v>6814.7999999999993</v>
      </c>
      <c r="AR79" s="99">
        <v>6</v>
      </c>
      <c r="AS79" s="99">
        <v>4543.2</v>
      </c>
      <c r="AT79" s="99">
        <v>8</v>
      </c>
      <c r="AU79" s="99">
        <v>6057.5999999999995</v>
      </c>
      <c r="AV79" s="99">
        <v>6</v>
      </c>
      <c r="AW79" s="99">
        <v>4543.2</v>
      </c>
      <c r="AX79" s="99">
        <v>8</v>
      </c>
      <c r="AY79" s="99">
        <v>6057.5999999999995</v>
      </c>
      <c r="AZ79" s="99">
        <v>8</v>
      </c>
      <c r="BA79" s="99">
        <v>6057.5999999999995</v>
      </c>
      <c r="BB79" s="99">
        <v>5</v>
      </c>
      <c r="BC79" s="99">
        <v>3785.9999999999995</v>
      </c>
      <c r="BD79" s="99">
        <v>9</v>
      </c>
      <c r="BE79" s="99">
        <v>6814.7999999999993</v>
      </c>
      <c r="BF79" s="99">
        <v>10</v>
      </c>
      <c r="BG79" s="99">
        <v>7571.9999999999991</v>
      </c>
      <c r="BH79" s="99">
        <v>6</v>
      </c>
      <c r="BI79" s="99">
        <v>4543.2</v>
      </c>
      <c r="BJ79" s="99">
        <v>6</v>
      </c>
      <c r="BK79" s="99">
        <v>4543.2</v>
      </c>
      <c r="BL79" s="99">
        <v>9</v>
      </c>
      <c r="BM79" s="99">
        <v>6814.7999999999993</v>
      </c>
      <c r="BN79" s="99">
        <v>7</v>
      </c>
      <c r="BO79" s="99">
        <v>5300.4</v>
      </c>
      <c r="BP79" s="99">
        <v>9</v>
      </c>
      <c r="BQ79" s="99">
        <v>6814.7999999999993</v>
      </c>
      <c r="BR79" s="99">
        <v>7</v>
      </c>
      <c r="BS79" s="99">
        <v>5300.4</v>
      </c>
      <c r="BT79" s="99">
        <v>8</v>
      </c>
      <c r="BU79" s="99">
        <v>6057.5999999999995</v>
      </c>
      <c r="BV79" s="99">
        <v>10</v>
      </c>
      <c r="BW79" s="99">
        <v>7571.9999999999991</v>
      </c>
      <c r="BX79" s="99">
        <v>7</v>
      </c>
      <c r="BY79" s="99">
        <v>5300.4</v>
      </c>
      <c r="BZ79" s="99">
        <v>7</v>
      </c>
      <c r="CA79" s="99">
        <v>5300.4</v>
      </c>
      <c r="CB79" s="99">
        <v>8</v>
      </c>
      <c r="CC79" s="99">
        <v>6057.5999999999995</v>
      </c>
      <c r="CD79" s="99">
        <v>7</v>
      </c>
      <c r="CE79" s="99">
        <v>5300.4</v>
      </c>
      <c r="CF79" s="99">
        <v>7</v>
      </c>
      <c r="CG79" s="99">
        <v>5300.4</v>
      </c>
      <c r="CH79" s="99">
        <v>10</v>
      </c>
      <c r="CI79" s="99">
        <v>7571.9999999999991</v>
      </c>
      <c r="CJ79" s="99">
        <v>6</v>
      </c>
      <c r="CK79" s="99">
        <v>4543.2</v>
      </c>
      <c r="CL79" s="99">
        <v>9</v>
      </c>
      <c r="CM79" s="99">
        <v>6814.7999999999993</v>
      </c>
      <c r="CN79" s="99">
        <v>9</v>
      </c>
      <c r="CO79" s="99">
        <v>6814.7999999999993</v>
      </c>
      <c r="CP79" s="99">
        <v>7</v>
      </c>
      <c r="CQ79" s="99">
        <v>5300.4</v>
      </c>
      <c r="CR79" s="99">
        <v>6</v>
      </c>
      <c r="CS79" s="99">
        <v>4543.2</v>
      </c>
      <c r="CT79" s="99">
        <v>9</v>
      </c>
      <c r="CU79" s="99">
        <v>6814.7999999999993</v>
      </c>
    </row>
    <row r="80" spans="2:99">
      <c r="C80" s="98" t="s">
        <v>246</v>
      </c>
      <c r="D80" s="99">
        <v>10</v>
      </c>
      <c r="E80" s="99">
        <v>8051.9999999999991</v>
      </c>
      <c r="F80" s="99">
        <v>8</v>
      </c>
      <c r="G80" s="99">
        <v>6441.5999999999995</v>
      </c>
      <c r="H80" s="99">
        <v>8</v>
      </c>
      <c r="I80" s="99">
        <v>6441.5999999999995</v>
      </c>
      <c r="J80" s="99">
        <v>7</v>
      </c>
      <c r="K80" s="99">
        <v>5636.4</v>
      </c>
      <c r="L80" s="99">
        <v>7</v>
      </c>
      <c r="M80" s="99">
        <v>5636.4</v>
      </c>
      <c r="N80" s="99">
        <v>6</v>
      </c>
      <c r="O80" s="99">
        <v>4831.2</v>
      </c>
      <c r="P80" s="99">
        <v>8</v>
      </c>
      <c r="Q80" s="99">
        <v>6441.5999999999995</v>
      </c>
      <c r="R80" s="99">
        <v>5</v>
      </c>
      <c r="S80" s="99">
        <v>4025.9999999999995</v>
      </c>
      <c r="T80" s="99">
        <v>9</v>
      </c>
      <c r="U80" s="99">
        <v>7246.7999999999993</v>
      </c>
      <c r="V80" s="99">
        <v>9</v>
      </c>
      <c r="W80" s="99">
        <v>7246.7999999999993</v>
      </c>
      <c r="X80" s="99">
        <v>6</v>
      </c>
      <c r="Y80" s="99">
        <v>4831.2</v>
      </c>
      <c r="Z80" s="99">
        <v>6</v>
      </c>
      <c r="AA80" s="99">
        <v>4831.2</v>
      </c>
      <c r="AB80" s="99">
        <v>5</v>
      </c>
      <c r="AC80" s="99">
        <v>4025.9999999999995</v>
      </c>
      <c r="AD80" s="99">
        <v>6</v>
      </c>
      <c r="AE80" s="99">
        <v>4831.2</v>
      </c>
      <c r="AF80" s="99">
        <v>9</v>
      </c>
      <c r="AG80" s="99">
        <v>7246.7999999999993</v>
      </c>
      <c r="AH80" s="99">
        <v>9</v>
      </c>
      <c r="AI80" s="99">
        <v>7246.7999999999993</v>
      </c>
      <c r="AJ80" s="99">
        <v>9</v>
      </c>
      <c r="AK80" s="99">
        <v>7246.7999999999993</v>
      </c>
      <c r="AL80" s="99">
        <v>9</v>
      </c>
      <c r="AM80" s="99">
        <v>7246.7999999999993</v>
      </c>
      <c r="AN80" s="99">
        <v>9</v>
      </c>
      <c r="AO80" s="99">
        <v>7246.7999999999993</v>
      </c>
      <c r="AP80" s="99">
        <v>9</v>
      </c>
      <c r="AQ80" s="99">
        <v>7246.7999999999993</v>
      </c>
      <c r="AR80" s="99">
        <v>7</v>
      </c>
      <c r="AS80" s="99">
        <v>5636.4</v>
      </c>
      <c r="AT80" s="99">
        <v>9</v>
      </c>
      <c r="AU80" s="99">
        <v>7246.7999999999993</v>
      </c>
      <c r="AV80" s="99">
        <v>5</v>
      </c>
      <c r="AW80" s="99">
        <v>4025.9999999999995</v>
      </c>
      <c r="AX80" s="99">
        <v>8</v>
      </c>
      <c r="AY80" s="99">
        <v>6441.5999999999995</v>
      </c>
      <c r="AZ80" s="99">
        <v>8</v>
      </c>
      <c r="BA80" s="99">
        <v>6441.5999999999995</v>
      </c>
      <c r="BB80" s="99">
        <v>5</v>
      </c>
      <c r="BC80" s="99">
        <v>4025.9999999999995</v>
      </c>
      <c r="BD80" s="99">
        <v>9</v>
      </c>
      <c r="BE80" s="99">
        <v>7246.7999999999993</v>
      </c>
      <c r="BF80" s="99">
        <v>9</v>
      </c>
      <c r="BG80" s="99">
        <v>7246.7999999999993</v>
      </c>
      <c r="BH80" s="99">
        <v>6</v>
      </c>
      <c r="BI80" s="99">
        <v>4831.2</v>
      </c>
      <c r="BJ80" s="99">
        <v>6</v>
      </c>
      <c r="BK80" s="99">
        <v>4831.2</v>
      </c>
      <c r="BL80" s="99">
        <v>9</v>
      </c>
      <c r="BM80" s="99">
        <v>7246.7999999999993</v>
      </c>
      <c r="BN80" s="99">
        <v>7</v>
      </c>
      <c r="BO80" s="99">
        <v>5636.4</v>
      </c>
      <c r="BP80" s="99">
        <v>9</v>
      </c>
      <c r="BQ80" s="99">
        <v>7246.7999999999993</v>
      </c>
      <c r="BR80" s="99">
        <v>8</v>
      </c>
      <c r="BS80" s="99">
        <v>6441.5999999999995</v>
      </c>
      <c r="BT80" s="99">
        <v>9</v>
      </c>
      <c r="BU80" s="99">
        <v>7246.7999999999993</v>
      </c>
      <c r="BV80" s="99">
        <v>10</v>
      </c>
      <c r="BW80" s="99">
        <v>8051.9999999999991</v>
      </c>
      <c r="BX80" s="99">
        <v>7</v>
      </c>
      <c r="BY80" s="99">
        <v>5636.4</v>
      </c>
      <c r="BZ80" s="99">
        <v>7</v>
      </c>
      <c r="CA80" s="99">
        <v>5636.4</v>
      </c>
      <c r="CB80" s="99">
        <v>7</v>
      </c>
      <c r="CC80" s="99">
        <v>5636.4</v>
      </c>
      <c r="CD80" s="99">
        <v>7</v>
      </c>
      <c r="CE80" s="99">
        <v>5636.4</v>
      </c>
      <c r="CF80" s="99">
        <v>8</v>
      </c>
      <c r="CG80" s="99">
        <v>6441.5999999999995</v>
      </c>
      <c r="CH80" s="99">
        <v>9</v>
      </c>
      <c r="CI80" s="99">
        <v>7246.7999999999993</v>
      </c>
      <c r="CJ80" s="99">
        <v>6</v>
      </c>
      <c r="CK80" s="99">
        <v>4831.2</v>
      </c>
      <c r="CL80" s="99">
        <v>10</v>
      </c>
      <c r="CM80" s="99">
        <v>8051.9999999999991</v>
      </c>
      <c r="CN80" s="99">
        <v>9</v>
      </c>
      <c r="CO80" s="99">
        <v>7246.7999999999993</v>
      </c>
      <c r="CP80" s="99">
        <v>8</v>
      </c>
      <c r="CQ80" s="99">
        <v>6441.5999999999995</v>
      </c>
      <c r="CR80" s="99">
        <v>6</v>
      </c>
      <c r="CS80" s="99">
        <v>4831.2</v>
      </c>
      <c r="CT80" s="99">
        <v>9</v>
      </c>
      <c r="CU80" s="99">
        <v>7246.7999999999993</v>
      </c>
    </row>
    <row r="81" spans="2:99">
      <c r="C81" s="98" t="s">
        <v>247</v>
      </c>
      <c r="D81" s="99">
        <v>9</v>
      </c>
      <c r="E81" s="99">
        <v>6782.4000000000005</v>
      </c>
      <c r="F81" s="99">
        <v>8</v>
      </c>
      <c r="G81" s="99">
        <v>6028.8</v>
      </c>
      <c r="H81" s="99">
        <v>8</v>
      </c>
      <c r="I81" s="99">
        <v>6028.8</v>
      </c>
      <c r="J81" s="99">
        <v>7</v>
      </c>
      <c r="K81" s="99">
        <v>5275.2</v>
      </c>
      <c r="L81" s="99">
        <v>7</v>
      </c>
      <c r="M81" s="99">
        <v>5275.2</v>
      </c>
      <c r="N81" s="99">
        <v>7</v>
      </c>
      <c r="O81" s="99">
        <v>5275.2</v>
      </c>
      <c r="P81" s="99">
        <v>7</v>
      </c>
      <c r="Q81" s="99">
        <v>5275.2</v>
      </c>
      <c r="R81" s="99">
        <v>5</v>
      </c>
      <c r="S81" s="99">
        <v>3768</v>
      </c>
      <c r="T81" s="99">
        <v>9</v>
      </c>
      <c r="U81" s="99">
        <v>6782.4000000000005</v>
      </c>
      <c r="V81" s="99">
        <v>8</v>
      </c>
      <c r="W81" s="99">
        <v>6028.8</v>
      </c>
      <c r="X81" s="99">
        <v>8</v>
      </c>
      <c r="Y81" s="99">
        <v>6028.8</v>
      </c>
      <c r="Z81" s="99">
        <v>6</v>
      </c>
      <c r="AA81" s="99">
        <v>4521.6000000000004</v>
      </c>
      <c r="AB81" s="99">
        <v>5</v>
      </c>
      <c r="AC81" s="99">
        <v>3768</v>
      </c>
      <c r="AD81" s="99">
        <v>7</v>
      </c>
      <c r="AE81" s="99">
        <v>5275.2</v>
      </c>
      <c r="AF81" s="99">
        <v>10</v>
      </c>
      <c r="AG81" s="99">
        <v>7536</v>
      </c>
      <c r="AH81" s="99">
        <v>9</v>
      </c>
      <c r="AI81" s="99">
        <v>6782.4000000000005</v>
      </c>
      <c r="AJ81" s="99">
        <v>9</v>
      </c>
      <c r="AK81" s="99">
        <v>6782.4000000000005</v>
      </c>
      <c r="AL81" s="99">
        <v>9</v>
      </c>
      <c r="AM81" s="99">
        <v>6782.4000000000005</v>
      </c>
      <c r="AN81" s="99">
        <v>10</v>
      </c>
      <c r="AO81" s="99">
        <v>7536</v>
      </c>
      <c r="AP81" s="99">
        <v>9</v>
      </c>
      <c r="AQ81" s="99">
        <v>6782.4000000000005</v>
      </c>
      <c r="AR81" s="99">
        <v>6</v>
      </c>
      <c r="AS81" s="99">
        <v>4521.6000000000004</v>
      </c>
      <c r="AT81" s="99">
        <v>8</v>
      </c>
      <c r="AU81" s="99">
        <v>6028.8</v>
      </c>
      <c r="AV81" s="99">
        <v>6</v>
      </c>
      <c r="AW81" s="99">
        <v>4521.6000000000004</v>
      </c>
      <c r="AX81" s="99">
        <v>7</v>
      </c>
      <c r="AY81" s="99">
        <v>5275.2</v>
      </c>
      <c r="AZ81" s="99">
        <v>8</v>
      </c>
      <c r="BA81" s="99">
        <v>6028.8</v>
      </c>
      <c r="BB81" s="99">
        <v>5</v>
      </c>
      <c r="BC81" s="99">
        <v>3768</v>
      </c>
      <c r="BD81" s="99">
        <v>10</v>
      </c>
      <c r="BE81" s="99">
        <v>7536</v>
      </c>
      <c r="BF81" s="99">
        <v>10</v>
      </c>
      <c r="BG81" s="99">
        <v>7536</v>
      </c>
      <c r="BH81" s="99">
        <v>6</v>
      </c>
      <c r="BI81" s="99">
        <v>4521.6000000000004</v>
      </c>
      <c r="BJ81" s="99">
        <v>6</v>
      </c>
      <c r="BK81" s="99">
        <v>4521.6000000000004</v>
      </c>
      <c r="BL81" s="99">
        <v>9</v>
      </c>
      <c r="BM81" s="99">
        <v>6782.4000000000005</v>
      </c>
      <c r="BN81" s="99">
        <v>6</v>
      </c>
      <c r="BO81" s="99">
        <v>4521.6000000000004</v>
      </c>
      <c r="BP81" s="99">
        <v>8</v>
      </c>
      <c r="BQ81" s="99">
        <v>6028.8</v>
      </c>
      <c r="BR81" s="99">
        <v>8</v>
      </c>
      <c r="BS81" s="99">
        <v>6028.8</v>
      </c>
      <c r="BT81" s="99">
        <v>8</v>
      </c>
      <c r="BU81" s="99">
        <v>6028.8</v>
      </c>
      <c r="BV81" s="99">
        <v>9</v>
      </c>
      <c r="BW81" s="99">
        <v>6782.4000000000005</v>
      </c>
      <c r="BX81" s="99">
        <v>8</v>
      </c>
      <c r="BY81" s="99">
        <v>6028.8</v>
      </c>
      <c r="BZ81" s="99">
        <v>7</v>
      </c>
      <c r="CA81" s="99">
        <v>5275.2</v>
      </c>
      <c r="CB81" s="99">
        <v>8</v>
      </c>
      <c r="CC81" s="99">
        <v>6028.8</v>
      </c>
      <c r="CD81" s="99">
        <v>7</v>
      </c>
      <c r="CE81" s="99">
        <v>5275.2</v>
      </c>
      <c r="CF81" s="99">
        <v>7</v>
      </c>
      <c r="CG81" s="99">
        <v>5275.2</v>
      </c>
      <c r="CH81" s="99">
        <v>10</v>
      </c>
      <c r="CI81" s="99">
        <v>7536</v>
      </c>
      <c r="CJ81" s="99">
        <v>6</v>
      </c>
      <c r="CK81" s="99">
        <v>4521.6000000000004</v>
      </c>
      <c r="CL81" s="99">
        <v>10</v>
      </c>
      <c r="CM81" s="99">
        <v>7536</v>
      </c>
      <c r="CN81" s="99">
        <v>10</v>
      </c>
      <c r="CO81" s="99">
        <v>7536</v>
      </c>
      <c r="CP81" s="99">
        <v>8</v>
      </c>
      <c r="CQ81" s="99">
        <v>6028.8</v>
      </c>
      <c r="CR81" s="99">
        <v>6</v>
      </c>
      <c r="CS81" s="99">
        <v>4521.6000000000004</v>
      </c>
      <c r="CT81" s="99">
        <v>10</v>
      </c>
      <c r="CU81" s="99">
        <v>7536</v>
      </c>
    </row>
    <row r="82" spans="2:99">
      <c r="C82" s="98" t="s">
        <v>248</v>
      </c>
      <c r="D82" s="99">
        <v>10</v>
      </c>
      <c r="E82" s="99">
        <v>5087.9999999999991</v>
      </c>
      <c r="F82" s="99">
        <v>8</v>
      </c>
      <c r="G82" s="99">
        <v>4070.3999999999992</v>
      </c>
      <c r="H82" s="99">
        <v>7</v>
      </c>
      <c r="I82" s="99">
        <v>3561.5999999999995</v>
      </c>
      <c r="J82" s="99">
        <v>7</v>
      </c>
      <c r="K82" s="99">
        <v>3561.5999999999995</v>
      </c>
      <c r="L82" s="99">
        <v>7</v>
      </c>
      <c r="M82" s="99">
        <v>3561.5999999999995</v>
      </c>
      <c r="N82" s="99">
        <v>6</v>
      </c>
      <c r="O82" s="99">
        <v>3052.7999999999993</v>
      </c>
      <c r="P82" s="99">
        <v>8</v>
      </c>
      <c r="Q82" s="99">
        <v>4070.3999999999992</v>
      </c>
      <c r="R82" s="99">
        <v>5</v>
      </c>
      <c r="S82" s="99">
        <v>2543.9999999999995</v>
      </c>
      <c r="T82" s="99">
        <v>10</v>
      </c>
      <c r="U82" s="99">
        <v>5087.9999999999991</v>
      </c>
      <c r="V82" s="99">
        <v>8</v>
      </c>
      <c r="W82" s="99">
        <v>4070.3999999999992</v>
      </c>
      <c r="X82" s="99">
        <v>7</v>
      </c>
      <c r="Y82" s="99">
        <v>3561.5999999999995</v>
      </c>
      <c r="Z82" s="99">
        <v>6</v>
      </c>
      <c r="AA82" s="99">
        <v>3052.7999999999993</v>
      </c>
      <c r="AB82" s="99">
        <v>6</v>
      </c>
      <c r="AC82" s="99">
        <v>3052.7999999999993</v>
      </c>
      <c r="AD82" s="99">
        <v>7</v>
      </c>
      <c r="AE82" s="99">
        <v>3561.5999999999995</v>
      </c>
      <c r="AF82" s="99">
        <v>10</v>
      </c>
      <c r="AG82" s="99">
        <v>5087.9999999999991</v>
      </c>
      <c r="AH82" s="99">
        <v>8</v>
      </c>
      <c r="AI82" s="99">
        <v>4070.3999999999992</v>
      </c>
      <c r="AJ82" s="99">
        <v>10</v>
      </c>
      <c r="AK82" s="99">
        <v>5087.9999999999991</v>
      </c>
      <c r="AL82" s="99">
        <v>9</v>
      </c>
      <c r="AM82" s="99">
        <v>4579.1999999999989</v>
      </c>
      <c r="AN82" s="99">
        <v>9</v>
      </c>
      <c r="AO82" s="99">
        <v>4579.1999999999989</v>
      </c>
      <c r="AP82" s="99">
        <v>9</v>
      </c>
      <c r="AQ82" s="99">
        <v>4579.1999999999989</v>
      </c>
      <c r="AR82" s="99">
        <v>7</v>
      </c>
      <c r="AS82" s="99">
        <v>3561.5999999999995</v>
      </c>
      <c r="AT82" s="99">
        <v>8</v>
      </c>
      <c r="AU82" s="99">
        <v>4070.3999999999992</v>
      </c>
      <c r="AV82" s="99">
        <v>7</v>
      </c>
      <c r="AW82" s="99">
        <v>3561.5999999999995</v>
      </c>
      <c r="AX82" s="99">
        <v>8</v>
      </c>
      <c r="AY82" s="99">
        <v>4070.3999999999992</v>
      </c>
      <c r="AZ82" s="99">
        <v>8</v>
      </c>
      <c r="BA82" s="99">
        <v>4070.3999999999992</v>
      </c>
      <c r="BB82" s="99">
        <v>5</v>
      </c>
      <c r="BC82" s="99">
        <v>2543.9999999999995</v>
      </c>
      <c r="BD82" s="99">
        <v>10</v>
      </c>
      <c r="BE82" s="99">
        <v>5087.9999999999991</v>
      </c>
      <c r="BF82" s="99">
        <v>10</v>
      </c>
      <c r="BG82" s="99">
        <v>5087.9999999999991</v>
      </c>
      <c r="BH82" s="99">
        <v>6</v>
      </c>
      <c r="BI82" s="99">
        <v>3052.7999999999993</v>
      </c>
      <c r="BJ82" s="99">
        <v>6</v>
      </c>
      <c r="BK82" s="99">
        <v>3052.7999999999993</v>
      </c>
      <c r="BL82" s="99">
        <v>9</v>
      </c>
      <c r="BM82" s="99">
        <v>4579.1999999999989</v>
      </c>
      <c r="BN82" s="99">
        <v>7</v>
      </c>
      <c r="BO82" s="99">
        <v>3561.5999999999995</v>
      </c>
      <c r="BP82" s="99">
        <v>10</v>
      </c>
      <c r="BQ82" s="99">
        <v>5087.9999999999991</v>
      </c>
      <c r="BR82" s="99">
        <v>8</v>
      </c>
      <c r="BS82" s="99">
        <v>4070.3999999999992</v>
      </c>
      <c r="BT82" s="99">
        <v>9</v>
      </c>
      <c r="BU82" s="99">
        <v>4579.1999999999989</v>
      </c>
      <c r="BV82" s="99">
        <v>10</v>
      </c>
      <c r="BW82" s="99">
        <v>5087.9999999999991</v>
      </c>
      <c r="BX82" s="99">
        <v>8</v>
      </c>
      <c r="BY82" s="99">
        <v>4070.3999999999992</v>
      </c>
      <c r="BZ82" s="99">
        <v>7</v>
      </c>
      <c r="CA82" s="99">
        <v>3561.5999999999995</v>
      </c>
      <c r="CB82" s="99">
        <v>7</v>
      </c>
      <c r="CC82" s="99">
        <v>3561.5999999999995</v>
      </c>
      <c r="CD82" s="99">
        <v>8</v>
      </c>
      <c r="CE82" s="99">
        <v>4070.3999999999992</v>
      </c>
      <c r="CF82" s="99">
        <v>7</v>
      </c>
      <c r="CG82" s="99">
        <v>3561.5999999999995</v>
      </c>
      <c r="CH82" s="99">
        <v>11</v>
      </c>
      <c r="CI82" s="99">
        <v>5596.7999999999993</v>
      </c>
      <c r="CJ82" s="99">
        <v>6</v>
      </c>
      <c r="CK82" s="99">
        <v>3052.7999999999993</v>
      </c>
      <c r="CL82" s="99">
        <v>10</v>
      </c>
      <c r="CM82" s="99">
        <v>5087.9999999999991</v>
      </c>
      <c r="CN82" s="99">
        <v>11</v>
      </c>
      <c r="CO82" s="99">
        <v>5596.7999999999993</v>
      </c>
      <c r="CP82" s="99">
        <v>8</v>
      </c>
      <c r="CQ82" s="99">
        <v>4070.3999999999992</v>
      </c>
      <c r="CR82" s="99">
        <v>6</v>
      </c>
      <c r="CS82" s="99">
        <v>3052.7999999999993</v>
      </c>
      <c r="CT82" s="99">
        <v>10</v>
      </c>
      <c r="CU82" s="99">
        <v>5087.9999999999991</v>
      </c>
    </row>
    <row r="83" spans="2:99">
      <c r="C83" s="98" t="s">
        <v>249</v>
      </c>
      <c r="D83" s="99">
        <v>9</v>
      </c>
      <c r="E83" s="99">
        <v>7743.5999999999995</v>
      </c>
      <c r="F83" s="99">
        <v>8</v>
      </c>
      <c r="G83" s="99">
        <v>6883.2</v>
      </c>
      <c r="H83" s="99">
        <v>8</v>
      </c>
      <c r="I83" s="99">
        <v>6883.2</v>
      </c>
      <c r="J83" s="99">
        <v>7</v>
      </c>
      <c r="K83" s="99">
        <v>6022.8</v>
      </c>
      <c r="L83" s="99">
        <v>7</v>
      </c>
      <c r="M83" s="99">
        <v>6022.8</v>
      </c>
      <c r="N83" s="99">
        <v>6</v>
      </c>
      <c r="O83" s="99">
        <v>5162.3999999999996</v>
      </c>
      <c r="P83" s="99">
        <v>7</v>
      </c>
      <c r="Q83" s="99">
        <v>6022.8</v>
      </c>
      <c r="R83" s="99">
        <v>5</v>
      </c>
      <c r="S83" s="99">
        <v>4302</v>
      </c>
      <c r="T83" s="99">
        <v>10</v>
      </c>
      <c r="U83" s="99">
        <v>8604</v>
      </c>
      <c r="V83" s="99">
        <v>9</v>
      </c>
      <c r="W83" s="99">
        <v>7743.5999999999995</v>
      </c>
      <c r="X83" s="99">
        <v>7</v>
      </c>
      <c r="Y83" s="99">
        <v>6022.8</v>
      </c>
      <c r="Z83" s="99">
        <v>6</v>
      </c>
      <c r="AA83" s="99">
        <v>5162.3999999999996</v>
      </c>
      <c r="AB83" s="99">
        <v>6</v>
      </c>
      <c r="AC83" s="99">
        <v>5162.3999999999996</v>
      </c>
      <c r="AD83" s="99">
        <v>6</v>
      </c>
      <c r="AE83" s="99">
        <v>5162.3999999999996</v>
      </c>
      <c r="AF83" s="99">
        <v>10</v>
      </c>
      <c r="AG83" s="99">
        <v>8604</v>
      </c>
      <c r="AH83" s="99">
        <v>8</v>
      </c>
      <c r="AI83" s="99">
        <v>6883.2</v>
      </c>
      <c r="AJ83" s="99">
        <v>9</v>
      </c>
      <c r="AK83" s="99">
        <v>7743.5999999999995</v>
      </c>
      <c r="AL83" s="99">
        <v>10</v>
      </c>
      <c r="AM83" s="99">
        <v>8604</v>
      </c>
      <c r="AN83" s="99">
        <v>8</v>
      </c>
      <c r="AO83" s="99">
        <v>6883.2</v>
      </c>
      <c r="AP83" s="99">
        <v>8</v>
      </c>
      <c r="AQ83" s="99">
        <v>6883.2</v>
      </c>
      <c r="AR83" s="99">
        <v>6</v>
      </c>
      <c r="AS83" s="99">
        <v>5162.3999999999996</v>
      </c>
      <c r="AT83" s="99">
        <v>8</v>
      </c>
      <c r="AU83" s="99">
        <v>6883.2</v>
      </c>
      <c r="AV83" s="99">
        <v>5</v>
      </c>
      <c r="AW83" s="99">
        <v>4302</v>
      </c>
      <c r="AX83" s="99">
        <v>8</v>
      </c>
      <c r="AY83" s="99">
        <v>6883.2</v>
      </c>
      <c r="AZ83" s="99">
        <v>8</v>
      </c>
      <c r="BA83" s="99">
        <v>6883.2</v>
      </c>
      <c r="BB83" s="99">
        <v>5</v>
      </c>
      <c r="BC83" s="99">
        <v>4302</v>
      </c>
      <c r="BD83" s="99">
        <v>10</v>
      </c>
      <c r="BE83" s="99">
        <v>8604</v>
      </c>
      <c r="BF83" s="99">
        <v>10</v>
      </c>
      <c r="BG83" s="99">
        <v>8604</v>
      </c>
      <c r="BH83" s="99">
        <v>6</v>
      </c>
      <c r="BI83" s="99">
        <v>5162.3999999999996</v>
      </c>
      <c r="BJ83" s="99">
        <v>6</v>
      </c>
      <c r="BK83" s="99">
        <v>5162.3999999999996</v>
      </c>
      <c r="BL83" s="99">
        <v>10</v>
      </c>
      <c r="BM83" s="99">
        <v>8604</v>
      </c>
      <c r="BN83" s="99">
        <v>6</v>
      </c>
      <c r="BO83" s="99">
        <v>5162.3999999999996</v>
      </c>
      <c r="BP83" s="99">
        <v>8</v>
      </c>
      <c r="BQ83" s="99">
        <v>6883.2</v>
      </c>
      <c r="BR83" s="99">
        <v>8</v>
      </c>
      <c r="BS83" s="99">
        <v>6883.2</v>
      </c>
      <c r="BT83" s="99">
        <v>8</v>
      </c>
      <c r="BU83" s="99">
        <v>6883.2</v>
      </c>
      <c r="BV83" s="99">
        <v>9</v>
      </c>
      <c r="BW83" s="99">
        <v>7743.5999999999995</v>
      </c>
      <c r="BX83" s="99">
        <v>8</v>
      </c>
      <c r="BY83" s="99">
        <v>6883.2</v>
      </c>
      <c r="BZ83" s="99">
        <v>8</v>
      </c>
      <c r="CA83" s="99">
        <v>6883.2</v>
      </c>
      <c r="CB83" s="99">
        <v>7</v>
      </c>
      <c r="CC83" s="99">
        <v>6022.8</v>
      </c>
      <c r="CD83" s="99">
        <v>7</v>
      </c>
      <c r="CE83" s="99">
        <v>6022.8</v>
      </c>
      <c r="CF83" s="99">
        <v>7</v>
      </c>
      <c r="CG83" s="99">
        <v>6022.8</v>
      </c>
      <c r="CH83" s="99">
        <v>10</v>
      </c>
      <c r="CI83" s="99">
        <v>8604</v>
      </c>
      <c r="CJ83" s="99">
        <v>6</v>
      </c>
      <c r="CK83" s="99">
        <v>5162.3999999999996</v>
      </c>
      <c r="CL83" s="99">
        <v>9</v>
      </c>
      <c r="CM83" s="99">
        <v>7743.5999999999995</v>
      </c>
      <c r="CN83" s="99">
        <v>10</v>
      </c>
      <c r="CO83" s="99">
        <v>8604</v>
      </c>
      <c r="CP83" s="99">
        <v>7</v>
      </c>
      <c r="CQ83" s="99">
        <v>6022.8</v>
      </c>
      <c r="CR83" s="99">
        <v>6</v>
      </c>
      <c r="CS83" s="99">
        <v>5162.3999999999996</v>
      </c>
      <c r="CT83" s="99">
        <v>9</v>
      </c>
      <c r="CU83" s="99">
        <v>7743.5999999999995</v>
      </c>
    </row>
    <row r="84" spans="2:99">
      <c r="C84" s="98" t="s">
        <v>250</v>
      </c>
      <c r="D84" s="99">
        <v>10</v>
      </c>
      <c r="E84" s="99">
        <v>7811.9999999999991</v>
      </c>
      <c r="F84" s="99">
        <v>8</v>
      </c>
      <c r="G84" s="99">
        <v>6249.5999999999995</v>
      </c>
      <c r="H84" s="99">
        <v>8</v>
      </c>
      <c r="I84" s="99">
        <v>6249.5999999999995</v>
      </c>
      <c r="J84" s="99">
        <v>7</v>
      </c>
      <c r="K84" s="99">
        <v>5468.4</v>
      </c>
      <c r="L84" s="99">
        <v>7</v>
      </c>
      <c r="M84" s="99">
        <v>5468.4</v>
      </c>
      <c r="N84" s="99">
        <v>6</v>
      </c>
      <c r="O84" s="99">
        <v>4687.2</v>
      </c>
      <c r="P84" s="99">
        <v>8</v>
      </c>
      <c r="Q84" s="99">
        <v>6249.5999999999995</v>
      </c>
      <c r="R84" s="99">
        <v>5</v>
      </c>
      <c r="S84" s="99">
        <v>3905.9999999999995</v>
      </c>
      <c r="T84" s="99">
        <v>9</v>
      </c>
      <c r="U84" s="99">
        <v>7030.7999999999993</v>
      </c>
      <c r="V84" s="99">
        <v>8</v>
      </c>
      <c r="W84" s="99">
        <v>6249.5999999999995</v>
      </c>
      <c r="X84" s="99">
        <v>7</v>
      </c>
      <c r="Y84" s="99">
        <v>5468.4</v>
      </c>
      <c r="Z84" s="99">
        <v>6</v>
      </c>
      <c r="AA84" s="99">
        <v>4687.2</v>
      </c>
      <c r="AB84" s="99">
        <v>6</v>
      </c>
      <c r="AC84" s="99">
        <v>4687.2</v>
      </c>
      <c r="AD84" s="99">
        <v>6</v>
      </c>
      <c r="AE84" s="99">
        <v>4687.2</v>
      </c>
      <c r="AF84" s="99">
        <v>9</v>
      </c>
      <c r="AG84" s="99">
        <v>7030.7999999999993</v>
      </c>
      <c r="AH84" s="99">
        <v>8</v>
      </c>
      <c r="AI84" s="99">
        <v>6249.5999999999995</v>
      </c>
      <c r="AJ84" s="99">
        <v>9</v>
      </c>
      <c r="AK84" s="99">
        <v>7030.7999999999993</v>
      </c>
      <c r="AL84" s="99">
        <v>10</v>
      </c>
      <c r="AM84" s="99">
        <v>7811.9999999999991</v>
      </c>
      <c r="AN84" s="99">
        <v>8</v>
      </c>
      <c r="AO84" s="99">
        <v>6249.5999999999995</v>
      </c>
      <c r="AP84" s="99">
        <v>9</v>
      </c>
      <c r="AQ84" s="99">
        <v>7030.7999999999993</v>
      </c>
      <c r="AR84" s="99">
        <v>6</v>
      </c>
      <c r="AS84" s="99">
        <v>4687.2</v>
      </c>
      <c r="AT84" s="99">
        <v>8</v>
      </c>
      <c r="AU84" s="99">
        <v>6249.5999999999995</v>
      </c>
      <c r="AV84" s="99">
        <v>6</v>
      </c>
      <c r="AW84" s="99">
        <v>4687.2</v>
      </c>
      <c r="AX84" s="99">
        <v>8</v>
      </c>
      <c r="AY84" s="99">
        <v>6249.5999999999995</v>
      </c>
      <c r="AZ84" s="99">
        <v>7</v>
      </c>
      <c r="BA84" s="99">
        <v>5468.4</v>
      </c>
      <c r="BB84" s="99">
        <v>5</v>
      </c>
      <c r="BC84" s="99">
        <v>3905.9999999999995</v>
      </c>
      <c r="BD84" s="99">
        <v>10</v>
      </c>
      <c r="BE84" s="99">
        <v>7811.9999999999991</v>
      </c>
      <c r="BF84" s="99">
        <v>10</v>
      </c>
      <c r="BG84" s="99">
        <v>7811.9999999999991</v>
      </c>
      <c r="BH84" s="99">
        <v>5</v>
      </c>
      <c r="BI84" s="99">
        <v>3905.9999999999995</v>
      </c>
      <c r="BJ84" s="99">
        <v>6</v>
      </c>
      <c r="BK84" s="99">
        <v>4687.2</v>
      </c>
      <c r="BL84" s="99">
        <v>9</v>
      </c>
      <c r="BM84" s="99">
        <v>7030.7999999999993</v>
      </c>
      <c r="BN84" s="99">
        <v>7</v>
      </c>
      <c r="BO84" s="99">
        <v>5468.4</v>
      </c>
      <c r="BP84" s="99">
        <v>9</v>
      </c>
      <c r="BQ84" s="99">
        <v>7030.7999999999993</v>
      </c>
      <c r="BR84" s="99">
        <v>8</v>
      </c>
      <c r="BS84" s="99">
        <v>6249.5999999999995</v>
      </c>
      <c r="BT84" s="99">
        <v>7</v>
      </c>
      <c r="BU84" s="99">
        <v>5468.4</v>
      </c>
      <c r="BV84" s="99">
        <v>11</v>
      </c>
      <c r="BW84" s="99">
        <v>8593.1999999999989</v>
      </c>
      <c r="BX84" s="99">
        <v>8</v>
      </c>
      <c r="BY84" s="99">
        <v>6249.5999999999995</v>
      </c>
      <c r="BZ84" s="99">
        <v>7</v>
      </c>
      <c r="CA84" s="99">
        <v>5468.4</v>
      </c>
      <c r="CB84" s="99">
        <v>8</v>
      </c>
      <c r="CC84" s="99">
        <v>6249.5999999999995</v>
      </c>
      <c r="CD84" s="99">
        <v>7</v>
      </c>
      <c r="CE84" s="99">
        <v>5468.4</v>
      </c>
      <c r="CF84" s="99">
        <v>8</v>
      </c>
      <c r="CG84" s="99">
        <v>6249.5999999999995</v>
      </c>
      <c r="CH84" s="99">
        <v>10</v>
      </c>
      <c r="CI84" s="99">
        <v>7811.9999999999991</v>
      </c>
      <c r="CJ84" s="99">
        <v>6</v>
      </c>
      <c r="CK84" s="99">
        <v>4687.2</v>
      </c>
      <c r="CL84" s="99">
        <v>11</v>
      </c>
      <c r="CM84" s="99">
        <v>8593.1999999999989</v>
      </c>
      <c r="CN84" s="99">
        <v>10</v>
      </c>
      <c r="CO84" s="99">
        <v>7811.9999999999991</v>
      </c>
      <c r="CP84" s="99">
        <v>7</v>
      </c>
      <c r="CQ84" s="99">
        <v>5468.4</v>
      </c>
      <c r="CR84" s="99">
        <v>6</v>
      </c>
      <c r="CS84" s="99">
        <v>4687.2</v>
      </c>
      <c r="CT84" s="99">
        <v>9</v>
      </c>
      <c r="CU84" s="99">
        <v>7030.7999999999993</v>
      </c>
    </row>
    <row r="85" spans="2:99">
      <c r="C85" s="98" t="s">
        <v>251</v>
      </c>
      <c r="D85" s="99">
        <v>10</v>
      </c>
      <c r="E85" s="99">
        <v>1500</v>
      </c>
      <c r="F85" s="99">
        <v>8</v>
      </c>
      <c r="G85" s="99">
        <v>1200</v>
      </c>
      <c r="H85" s="99">
        <v>7</v>
      </c>
      <c r="I85" s="99">
        <v>1050</v>
      </c>
      <c r="J85" s="99">
        <v>8</v>
      </c>
      <c r="K85" s="99">
        <v>1200</v>
      </c>
      <c r="L85" s="99">
        <v>7</v>
      </c>
      <c r="M85" s="99">
        <v>1050</v>
      </c>
      <c r="N85" s="99">
        <v>6</v>
      </c>
      <c r="O85" s="99">
        <v>900</v>
      </c>
      <c r="P85" s="99">
        <v>7</v>
      </c>
      <c r="Q85" s="99">
        <v>1050</v>
      </c>
      <c r="R85" s="99">
        <v>5</v>
      </c>
      <c r="S85" s="99">
        <v>750</v>
      </c>
      <c r="T85" s="99">
        <v>9</v>
      </c>
      <c r="U85" s="99">
        <v>1350</v>
      </c>
      <c r="V85" s="99">
        <v>8</v>
      </c>
      <c r="W85" s="99">
        <v>1200</v>
      </c>
      <c r="X85" s="99">
        <v>7</v>
      </c>
      <c r="Y85" s="99">
        <v>1050</v>
      </c>
      <c r="Z85" s="99">
        <v>6</v>
      </c>
      <c r="AA85" s="99">
        <v>900</v>
      </c>
      <c r="AB85" s="99">
        <v>6</v>
      </c>
      <c r="AC85" s="99">
        <v>900</v>
      </c>
      <c r="AD85" s="99">
        <v>6</v>
      </c>
      <c r="AE85" s="99">
        <v>900</v>
      </c>
      <c r="AF85" s="99">
        <v>10</v>
      </c>
      <c r="AG85" s="99">
        <v>1500</v>
      </c>
      <c r="AH85" s="99">
        <v>9</v>
      </c>
      <c r="AI85" s="99">
        <v>1350</v>
      </c>
      <c r="AJ85" s="99">
        <v>9</v>
      </c>
      <c r="AK85" s="99">
        <v>1350</v>
      </c>
      <c r="AL85" s="99">
        <v>11</v>
      </c>
      <c r="AM85" s="99">
        <v>1650</v>
      </c>
      <c r="AN85" s="99">
        <v>9</v>
      </c>
      <c r="AO85" s="99">
        <v>1350</v>
      </c>
      <c r="AP85" s="99">
        <v>10</v>
      </c>
      <c r="AQ85" s="99">
        <v>1500</v>
      </c>
      <c r="AR85" s="99">
        <v>8</v>
      </c>
      <c r="AS85" s="99">
        <v>1200</v>
      </c>
      <c r="AT85" s="99">
        <v>8</v>
      </c>
      <c r="AU85" s="99">
        <v>1200</v>
      </c>
      <c r="AV85" s="99">
        <v>6</v>
      </c>
      <c r="AW85" s="99">
        <v>900</v>
      </c>
      <c r="AX85" s="99">
        <v>8</v>
      </c>
      <c r="AY85" s="99">
        <v>1200</v>
      </c>
      <c r="AZ85" s="99">
        <v>8</v>
      </c>
      <c r="BA85" s="99">
        <v>1200</v>
      </c>
      <c r="BB85" s="99">
        <v>6</v>
      </c>
      <c r="BC85" s="99">
        <v>900</v>
      </c>
      <c r="BD85" s="99">
        <v>9</v>
      </c>
      <c r="BE85" s="99">
        <v>1350</v>
      </c>
      <c r="BF85" s="99">
        <v>11</v>
      </c>
      <c r="BG85" s="99">
        <v>1650</v>
      </c>
      <c r="BH85" s="99">
        <v>6</v>
      </c>
      <c r="BI85" s="99">
        <v>900</v>
      </c>
      <c r="BJ85" s="99">
        <v>6</v>
      </c>
      <c r="BK85" s="99">
        <v>900</v>
      </c>
      <c r="BL85" s="99">
        <v>9</v>
      </c>
      <c r="BM85" s="99">
        <v>1350</v>
      </c>
      <c r="BN85" s="99">
        <v>7</v>
      </c>
      <c r="BO85" s="99">
        <v>1050</v>
      </c>
      <c r="BP85" s="99">
        <v>9</v>
      </c>
      <c r="BQ85" s="99">
        <v>1350</v>
      </c>
      <c r="BR85" s="99">
        <v>9</v>
      </c>
      <c r="BS85" s="99">
        <v>1350</v>
      </c>
      <c r="BT85" s="99">
        <v>8</v>
      </c>
      <c r="BU85" s="99">
        <v>1200</v>
      </c>
      <c r="BV85" s="99">
        <v>11</v>
      </c>
      <c r="BW85" s="99">
        <v>1650</v>
      </c>
      <c r="BX85" s="99">
        <v>7</v>
      </c>
      <c r="BY85" s="99">
        <v>1050</v>
      </c>
      <c r="BZ85" s="99">
        <v>9</v>
      </c>
      <c r="CA85" s="99">
        <v>1350</v>
      </c>
      <c r="CB85" s="99">
        <v>8</v>
      </c>
      <c r="CC85" s="99">
        <v>1200</v>
      </c>
      <c r="CD85" s="99">
        <v>7</v>
      </c>
      <c r="CE85" s="99">
        <v>1050</v>
      </c>
      <c r="CF85" s="99">
        <v>7</v>
      </c>
      <c r="CG85" s="99">
        <v>1050</v>
      </c>
      <c r="CH85" s="99">
        <v>10</v>
      </c>
      <c r="CI85" s="99">
        <v>1500</v>
      </c>
      <c r="CJ85" s="99">
        <v>6</v>
      </c>
      <c r="CK85" s="99">
        <v>900</v>
      </c>
      <c r="CL85" s="99">
        <v>11</v>
      </c>
      <c r="CM85" s="99">
        <v>1650</v>
      </c>
      <c r="CN85" s="99">
        <v>11</v>
      </c>
      <c r="CO85" s="99">
        <v>1650</v>
      </c>
      <c r="CP85" s="99">
        <v>8</v>
      </c>
      <c r="CQ85" s="99">
        <v>1200</v>
      </c>
      <c r="CR85" s="99">
        <v>6</v>
      </c>
      <c r="CS85" s="99">
        <v>900</v>
      </c>
      <c r="CT85" s="99">
        <v>10</v>
      </c>
      <c r="CU85" s="99">
        <v>1500</v>
      </c>
    </row>
    <row r="86" spans="2:99">
      <c r="C86" s="98" t="s">
        <v>252</v>
      </c>
      <c r="D86" s="99">
        <v>9</v>
      </c>
      <c r="E86" s="99">
        <v>4860</v>
      </c>
      <c r="F86" s="99">
        <v>7</v>
      </c>
      <c r="G86" s="99">
        <v>3780</v>
      </c>
      <c r="H86" s="99">
        <v>8</v>
      </c>
      <c r="I86" s="99">
        <v>4320</v>
      </c>
      <c r="J86" s="99">
        <v>8</v>
      </c>
      <c r="K86" s="99">
        <v>4320</v>
      </c>
      <c r="L86" s="99">
        <v>7</v>
      </c>
      <c r="M86" s="99">
        <v>3780</v>
      </c>
      <c r="N86" s="99">
        <v>6</v>
      </c>
      <c r="O86" s="99">
        <v>3240</v>
      </c>
      <c r="P86" s="99">
        <v>8</v>
      </c>
      <c r="Q86" s="99">
        <v>4320</v>
      </c>
      <c r="R86" s="99">
        <v>5</v>
      </c>
      <c r="S86" s="99">
        <v>2700</v>
      </c>
      <c r="T86" s="99">
        <v>10</v>
      </c>
      <c r="U86" s="99">
        <v>5400</v>
      </c>
      <c r="V86" s="99">
        <v>9</v>
      </c>
      <c r="W86" s="99">
        <v>4860</v>
      </c>
      <c r="X86" s="99">
        <v>6</v>
      </c>
      <c r="Y86" s="99">
        <v>3240</v>
      </c>
      <c r="Z86" s="99">
        <v>6</v>
      </c>
      <c r="AA86" s="99">
        <v>3240</v>
      </c>
      <c r="AB86" s="99">
        <v>5</v>
      </c>
      <c r="AC86" s="99">
        <v>2700</v>
      </c>
      <c r="AD86" s="99">
        <v>6</v>
      </c>
      <c r="AE86" s="99">
        <v>3240</v>
      </c>
      <c r="AF86" s="99">
        <v>10</v>
      </c>
      <c r="AG86" s="99">
        <v>5400</v>
      </c>
      <c r="AH86" s="99">
        <v>8</v>
      </c>
      <c r="AI86" s="99">
        <v>4320</v>
      </c>
      <c r="AJ86" s="99">
        <v>10</v>
      </c>
      <c r="AK86" s="99">
        <v>5400</v>
      </c>
      <c r="AL86" s="99">
        <v>9</v>
      </c>
      <c r="AM86" s="99">
        <v>4860</v>
      </c>
      <c r="AN86" s="99">
        <v>8</v>
      </c>
      <c r="AO86" s="99">
        <v>4320</v>
      </c>
      <c r="AP86" s="99">
        <v>9</v>
      </c>
      <c r="AQ86" s="99">
        <v>4860</v>
      </c>
      <c r="AR86" s="99">
        <v>7</v>
      </c>
      <c r="AS86" s="99">
        <v>3780</v>
      </c>
      <c r="AT86" s="99">
        <v>8</v>
      </c>
      <c r="AU86" s="99">
        <v>4320</v>
      </c>
      <c r="AV86" s="99">
        <v>6</v>
      </c>
      <c r="AW86" s="99">
        <v>3240</v>
      </c>
      <c r="AX86" s="99">
        <v>8</v>
      </c>
      <c r="AY86" s="99">
        <v>4320</v>
      </c>
      <c r="AZ86" s="99">
        <v>7</v>
      </c>
      <c r="BA86" s="99">
        <v>3780</v>
      </c>
      <c r="BB86" s="99">
        <v>6</v>
      </c>
      <c r="BC86" s="99">
        <v>3240</v>
      </c>
      <c r="BD86" s="99">
        <v>10</v>
      </c>
      <c r="BE86" s="99">
        <v>5400</v>
      </c>
      <c r="BF86" s="99">
        <v>11</v>
      </c>
      <c r="BG86" s="99">
        <v>5940</v>
      </c>
      <c r="BH86" s="99">
        <v>6</v>
      </c>
      <c r="BI86" s="99">
        <v>3240</v>
      </c>
      <c r="BJ86" s="99">
        <v>6</v>
      </c>
      <c r="BK86" s="99">
        <v>3240</v>
      </c>
      <c r="BL86" s="99">
        <v>9</v>
      </c>
      <c r="BM86" s="99">
        <v>4860</v>
      </c>
      <c r="BN86" s="99">
        <v>7</v>
      </c>
      <c r="BO86" s="99">
        <v>3780</v>
      </c>
      <c r="BP86" s="99">
        <v>9</v>
      </c>
      <c r="BQ86" s="99">
        <v>4860</v>
      </c>
      <c r="BR86" s="99">
        <v>9</v>
      </c>
      <c r="BS86" s="99">
        <v>4860</v>
      </c>
      <c r="BT86" s="99">
        <v>9</v>
      </c>
      <c r="BU86" s="99">
        <v>4860</v>
      </c>
      <c r="BV86" s="99">
        <v>10</v>
      </c>
      <c r="BW86" s="99">
        <v>5400</v>
      </c>
      <c r="BX86" s="99">
        <v>7</v>
      </c>
      <c r="BY86" s="99">
        <v>3780</v>
      </c>
      <c r="BZ86" s="99">
        <v>8</v>
      </c>
      <c r="CA86" s="99">
        <v>4320</v>
      </c>
      <c r="CB86" s="99">
        <v>7</v>
      </c>
      <c r="CC86" s="99">
        <v>3780</v>
      </c>
      <c r="CD86" s="99">
        <v>7</v>
      </c>
      <c r="CE86" s="99">
        <v>3780</v>
      </c>
      <c r="CF86" s="99">
        <v>7</v>
      </c>
      <c r="CG86" s="99">
        <v>3780</v>
      </c>
      <c r="CH86" s="99">
        <v>11</v>
      </c>
      <c r="CI86" s="99">
        <v>5940</v>
      </c>
      <c r="CJ86" s="99">
        <v>6</v>
      </c>
      <c r="CK86" s="99">
        <v>3240</v>
      </c>
      <c r="CL86" s="99">
        <v>10</v>
      </c>
      <c r="CM86" s="99">
        <v>5400</v>
      </c>
      <c r="CN86" s="99">
        <v>9</v>
      </c>
      <c r="CO86" s="99">
        <v>4860</v>
      </c>
      <c r="CP86" s="99">
        <v>8</v>
      </c>
      <c r="CQ86" s="99">
        <v>4320</v>
      </c>
      <c r="CR86" s="99">
        <v>7</v>
      </c>
      <c r="CS86" s="99">
        <v>3780</v>
      </c>
      <c r="CT86" s="99">
        <v>9</v>
      </c>
      <c r="CU86" s="99">
        <v>4860</v>
      </c>
    </row>
    <row r="87" spans="2:99">
      <c r="B87" s="98" t="s">
        <v>131</v>
      </c>
      <c r="C87" s="98" t="s">
        <v>253</v>
      </c>
      <c r="D87" s="99">
        <v>10</v>
      </c>
      <c r="E87" s="99">
        <v>10740</v>
      </c>
      <c r="F87" s="99">
        <v>11</v>
      </c>
      <c r="G87" s="99">
        <v>11814</v>
      </c>
      <c r="H87" s="99">
        <v>10</v>
      </c>
      <c r="I87" s="99">
        <v>10740</v>
      </c>
      <c r="J87" s="99">
        <v>11</v>
      </c>
      <c r="K87" s="99">
        <v>11814</v>
      </c>
      <c r="L87" s="99">
        <v>10</v>
      </c>
      <c r="M87" s="99">
        <v>10740</v>
      </c>
      <c r="N87" s="99">
        <v>8</v>
      </c>
      <c r="O87" s="99">
        <v>8592</v>
      </c>
      <c r="P87" s="99">
        <v>6</v>
      </c>
      <c r="Q87" s="99">
        <v>6444</v>
      </c>
      <c r="R87" s="99">
        <v>0</v>
      </c>
      <c r="S87" s="99">
        <v>0</v>
      </c>
      <c r="T87" s="99">
        <v>7</v>
      </c>
      <c r="U87" s="99">
        <v>7518</v>
      </c>
      <c r="V87" s="99">
        <v>9</v>
      </c>
      <c r="W87" s="99">
        <v>9666</v>
      </c>
      <c r="X87" s="99">
        <v>11</v>
      </c>
      <c r="Y87" s="99">
        <v>11814</v>
      </c>
      <c r="Z87" s="99">
        <v>8</v>
      </c>
      <c r="AA87" s="99">
        <v>8592</v>
      </c>
      <c r="AB87" s="99">
        <v>7</v>
      </c>
      <c r="AC87" s="99">
        <v>7518</v>
      </c>
      <c r="AD87" s="99">
        <v>11</v>
      </c>
      <c r="AE87" s="99">
        <v>11814</v>
      </c>
      <c r="AF87" s="99">
        <v>7</v>
      </c>
      <c r="AG87" s="99">
        <v>7518</v>
      </c>
      <c r="AH87" s="99">
        <v>7</v>
      </c>
      <c r="AI87" s="99">
        <v>7518</v>
      </c>
      <c r="AJ87" s="99">
        <v>7</v>
      </c>
      <c r="AK87" s="99">
        <v>7518</v>
      </c>
      <c r="AL87" s="99">
        <v>10</v>
      </c>
      <c r="AM87" s="99">
        <v>10740</v>
      </c>
      <c r="AN87" s="99">
        <v>12</v>
      </c>
      <c r="AO87" s="99">
        <v>12888</v>
      </c>
      <c r="AP87" s="99">
        <v>7</v>
      </c>
      <c r="AQ87" s="99">
        <v>7518</v>
      </c>
      <c r="AR87" s="99">
        <v>6</v>
      </c>
      <c r="AS87" s="99">
        <v>6444</v>
      </c>
      <c r="AT87" s="99">
        <v>8</v>
      </c>
      <c r="AU87" s="99">
        <v>8592</v>
      </c>
      <c r="AV87" s="99">
        <v>9</v>
      </c>
      <c r="AW87" s="99">
        <v>9666</v>
      </c>
      <c r="AX87" s="99">
        <v>10</v>
      </c>
      <c r="AY87" s="99">
        <v>10740</v>
      </c>
      <c r="AZ87" s="99">
        <v>7</v>
      </c>
      <c r="BA87" s="99">
        <v>7518</v>
      </c>
      <c r="BB87" s="99">
        <v>9</v>
      </c>
      <c r="BC87" s="99">
        <v>9666</v>
      </c>
      <c r="BD87" s="99">
        <v>7</v>
      </c>
      <c r="BE87" s="99">
        <v>7518</v>
      </c>
      <c r="BF87" s="99">
        <v>9</v>
      </c>
      <c r="BG87" s="99">
        <v>9666</v>
      </c>
      <c r="BH87" s="99">
        <v>8</v>
      </c>
      <c r="BI87" s="99">
        <v>8592</v>
      </c>
      <c r="BJ87" s="99">
        <v>10</v>
      </c>
      <c r="BK87" s="99">
        <v>10740</v>
      </c>
      <c r="BL87" s="99">
        <v>12</v>
      </c>
      <c r="BM87" s="99">
        <v>12888</v>
      </c>
      <c r="BN87" s="99">
        <v>11</v>
      </c>
      <c r="BO87" s="99">
        <v>11814</v>
      </c>
      <c r="BP87" s="99">
        <v>9</v>
      </c>
      <c r="BQ87" s="99">
        <v>9666</v>
      </c>
      <c r="BR87" s="99">
        <v>10</v>
      </c>
      <c r="BS87" s="99">
        <v>10740</v>
      </c>
      <c r="BT87" s="99">
        <v>9</v>
      </c>
      <c r="BU87" s="99">
        <v>9666</v>
      </c>
      <c r="BV87" s="99">
        <v>6</v>
      </c>
      <c r="BW87" s="99">
        <v>6444</v>
      </c>
      <c r="BX87" s="99">
        <v>10</v>
      </c>
      <c r="BY87" s="99">
        <v>10740</v>
      </c>
      <c r="BZ87" s="99">
        <v>7</v>
      </c>
      <c r="CA87" s="99">
        <v>7518</v>
      </c>
      <c r="CB87" s="99">
        <v>9</v>
      </c>
      <c r="CC87" s="99">
        <v>9666</v>
      </c>
      <c r="CD87" s="99">
        <v>12</v>
      </c>
      <c r="CE87" s="99">
        <v>12888</v>
      </c>
      <c r="CF87" s="99">
        <v>10</v>
      </c>
      <c r="CG87" s="99">
        <v>10740</v>
      </c>
      <c r="CH87" s="99">
        <v>10</v>
      </c>
      <c r="CI87" s="99">
        <v>10740</v>
      </c>
      <c r="CJ87" s="99">
        <v>12</v>
      </c>
      <c r="CK87" s="99">
        <v>12888</v>
      </c>
      <c r="CL87" s="99">
        <v>8</v>
      </c>
      <c r="CM87" s="99">
        <v>8592</v>
      </c>
      <c r="CN87" s="99">
        <v>11</v>
      </c>
      <c r="CO87" s="99">
        <v>11814</v>
      </c>
      <c r="CP87" s="99">
        <v>11</v>
      </c>
      <c r="CQ87" s="99">
        <v>11814</v>
      </c>
      <c r="CR87" s="99">
        <v>9</v>
      </c>
      <c r="CS87" s="99">
        <v>9666</v>
      </c>
      <c r="CT87" s="99">
        <v>8</v>
      </c>
      <c r="CU87" s="99">
        <v>8592</v>
      </c>
    </row>
    <row r="88" spans="2:99">
      <c r="C88" s="98" t="s">
        <v>254</v>
      </c>
      <c r="D88" s="99">
        <v>9</v>
      </c>
      <c r="E88" s="99">
        <v>8931.6</v>
      </c>
      <c r="F88" s="99">
        <v>10</v>
      </c>
      <c r="G88" s="99">
        <v>9924</v>
      </c>
      <c r="H88" s="99">
        <v>9</v>
      </c>
      <c r="I88" s="99">
        <v>8931.6</v>
      </c>
      <c r="J88" s="99">
        <v>11</v>
      </c>
      <c r="K88" s="99">
        <v>10916.4</v>
      </c>
      <c r="L88" s="99">
        <v>11</v>
      </c>
      <c r="M88" s="99">
        <v>10916.4</v>
      </c>
      <c r="N88" s="99">
        <v>8</v>
      </c>
      <c r="O88" s="99">
        <v>7939.2</v>
      </c>
      <c r="P88" s="99">
        <v>6</v>
      </c>
      <c r="Q88" s="99">
        <v>5954.4</v>
      </c>
      <c r="R88" s="99">
        <v>0</v>
      </c>
      <c r="S88" s="99">
        <v>0</v>
      </c>
      <c r="T88" s="99">
        <v>7</v>
      </c>
      <c r="U88" s="99">
        <v>6946.8</v>
      </c>
      <c r="V88" s="99">
        <v>10</v>
      </c>
      <c r="W88" s="99">
        <v>9924</v>
      </c>
      <c r="X88" s="99">
        <v>11</v>
      </c>
      <c r="Y88" s="99">
        <v>10916.4</v>
      </c>
      <c r="Z88" s="99">
        <v>8</v>
      </c>
      <c r="AA88" s="99">
        <v>7939.2</v>
      </c>
      <c r="AB88" s="99">
        <v>7</v>
      </c>
      <c r="AC88" s="99">
        <v>6946.8</v>
      </c>
      <c r="AD88" s="99">
        <v>11</v>
      </c>
      <c r="AE88" s="99">
        <v>10916.4</v>
      </c>
      <c r="AF88" s="99">
        <v>7</v>
      </c>
      <c r="AG88" s="99">
        <v>6946.8</v>
      </c>
      <c r="AH88" s="99">
        <v>7</v>
      </c>
      <c r="AI88" s="99">
        <v>6946.8</v>
      </c>
      <c r="AJ88" s="99">
        <v>8</v>
      </c>
      <c r="AK88" s="99">
        <v>7939.2</v>
      </c>
      <c r="AL88" s="99">
        <v>10</v>
      </c>
      <c r="AM88" s="99">
        <v>9924</v>
      </c>
      <c r="AN88" s="99">
        <v>12</v>
      </c>
      <c r="AO88" s="99">
        <v>11908.8</v>
      </c>
      <c r="AP88" s="99">
        <v>8</v>
      </c>
      <c r="AQ88" s="99">
        <v>7939.2</v>
      </c>
      <c r="AR88" s="99">
        <v>7</v>
      </c>
      <c r="AS88" s="99">
        <v>6946.8</v>
      </c>
      <c r="AT88" s="99">
        <v>7</v>
      </c>
      <c r="AU88" s="99">
        <v>6946.8</v>
      </c>
      <c r="AV88" s="99">
        <v>10</v>
      </c>
      <c r="AW88" s="99">
        <v>9924</v>
      </c>
      <c r="AX88" s="99">
        <v>10</v>
      </c>
      <c r="AY88" s="99">
        <v>9924</v>
      </c>
      <c r="AZ88" s="99">
        <v>7</v>
      </c>
      <c r="BA88" s="99">
        <v>6946.8</v>
      </c>
      <c r="BB88" s="99">
        <v>9</v>
      </c>
      <c r="BC88" s="99">
        <v>8931.6</v>
      </c>
      <c r="BD88" s="99">
        <v>7</v>
      </c>
      <c r="BE88" s="99">
        <v>6946.8</v>
      </c>
      <c r="BF88" s="99">
        <v>9</v>
      </c>
      <c r="BG88" s="99">
        <v>8931.6</v>
      </c>
      <c r="BH88" s="99">
        <v>8</v>
      </c>
      <c r="BI88" s="99">
        <v>7939.2</v>
      </c>
      <c r="BJ88" s="99">
        <v>10</v>
      </c>
      <c r="BK88" s="99">
        <v>9924</v>
      </c>
      <c r="BL88" s="99">
        <v>11</v>
      </c>
      <c r="BM88" s="99">
        <v>10916.4</v>
      </c>
      <c r="BN88" s="99">
        <v>11</v>
      </c>
      <c r="BO88" s="99">
        <v>10916.4</v>
      </c>
      <c r="BP88" s="99">
        <v>10</v>
      </c>
      <c r="BQ88" s="99">
        <v>9924</v>
      </c>
      <c r="BR88" s="99">
        <v>12</v>
      </c>
      <c r="BS88" s="99">
        <v>11908.8</v>
      </c>
      <c r="BT88" s="99">
        <v>10</v>
      </c>
      <c r="BU88" s="99">
        <v>9924</v>
      </c>
      <c r="BV88" s="99">
        <v>7</v>
      </c>
      <c r="BW88" s="99">
        <v>6946.8</v>
      </c>
      <c r="BX88" s="99">
        <v>8</v>
      </c>
      <c r="BY88" s="99">
        <v>7939.2</v>
      </c>
      <c r="BZ88" s="99">
        <v>7</v>
      </c>
      <c r="CA88" s="99">
        <v>6946.8</v>
      </c>
      <c r="CB88" s="99">
        <v>9</v>
      </c>
      <c r="CC88" s="99">
        <v>8931.6</v>
      </c>
      <c r="CD88" s="99">
        <v>12</v>
      </c>
      <c r="CE88" s="99">
        <v>11908.8</v>
      </c>
      <c r="CF88" s="99">
        <v>11</v>
      </c>
      <c r="CG88" s="99">
        <v>10916.4</v>
      </c>
      <c r="CH88" s="99">
        <v>10</v>
      </c>
      <c r="CI88" s="99">
        <v>9924</v>
      </c>
      <c r="CJ88" s="99">
        <v>12</v>
      </c>
      <c r="CK88" s="99">
        <v>11908.8</v>
      </c>
      <c r="CL88" s="99">
        <v>9</v>
      </c>
      <c r="CM88" s="99">
        <v>8931.6</v>
      </c>
      <c r="CN88" s="99">
        <v>12</v>
      </c>
      <c r="CO88" s="99">
        <v>11908.8</v>
      </c>
      <c r="CP88" s="99">
        <v>10</v>
      </c>
      <c r="CQ88" s="99">
        <v>9924</v>
      </c>
      <c r="CR88" s="99">
        <v>9</v>
      </c>
      <c r="CS88" s="99">
        <v>8931.6</v>
      </c>
      <c r="CT88" s="99">
        <v>8</v>
      </c>
      <c r="CU88" s="99">
        <v>7939.2</v>
      </c>
    </row>
    <row r="89" spans="2:99">
      <c r="C89" s="98" t="s">
        <v>255</v>
      </c>
      <c r="D89" s="99">
        <v>9</v>
      </c>
      <c r="E89" s="99">
        <v>9558</v>
      </c>
      <c r="F89" s="99">
        <v>11</v>
      </c>
      <c r="G89" s="99">
        <v>11682</v>
      </c>
      <c r="H89" s="99">
        <v>11</v>
      </c>
      <c r="I89" s="99">
        <v>11682</v>
      </c>
      <c r="J89" s="99">
        <v>10</v>
      </c>
      <c r="K89" s="99">
        <v>10620</v>
      </c>
      <c r="L89" s="99">
        <v>10</v>
      </c>
      <c r="M89" s="99">
        <v>10620</v>
      </c>
      <c r="N89" s="99">
        <v>10</v>
      </c>
      <c r="O89" s="99">
        <v>10620</v>
      </c>
      <c r="P89" s="99">
        <v>6</v>
      </c>
      <c r="Q89" s="99">
        <v>6372</v>
      </c>
      <c r="R89" s="99">
        <v>0</v>
      </c>
      <c r="S89" s="99">
        <v>0</v>
      </c>
      <c r="T89" s="99">
        <v>8</v>
      </c>
      <c r="U89" s="99">
        <v>8496</v>
      </c>
      <c r="V89" s="99">
        <v>10</v>
      </c>
      <c r="W89" s="99">
        <v>10620</v>
      </c>
      <c r="X89" s="99">
        <v>11</v>
      </c>
      <c r="Y89" s="99">
        <v>11682</v>
      </c>
      <c r="Z89" s="99">
        <v>8</v>
      </c>
      <c r="AA89" s="99">
        <v>8496</v>
      </c>
      <c r="AB89" s="99">
        <v>8</v>
      </c>
      <c r="AC89" s="99">
        <v>8496</v>
      </c>
      <c r="AD89" s="99">
        <v>12</v>
      </c>
      <c r="AE89" s="99">
        <v>12744</v>
      </c>
      <c r="AF89" s="99">
        <v>6</v>
      </c>
      <c r="AG89" s="99">
        <v>6372</v>
      </c>
      <c r="AH89" s="99">
        <v>8</v>
      </c>
      <c r="AI89" s="99">
        <v>8496</v>
      </c>
      <c r="AJ89" s="99">
        <v>7</v>
      </c>
      <c r="AK89" s="99">
        <v>7434</v>
      </c>
      <c r="AL89" s="99">
        <v>10</v>
      </c>
      <c r="AM89" s="99">
        <v>10620</v>
      </c>
      <c r="AN89" s="99">
        <v>11</v>
      </c>
      <c r="AO89" s="99">
        <v>11682</v>
      </c>
      <c r="AP89" s="99">
        <v>7</v>
      </c>
      <c r="AQ89" s="99">
        <v>7434</v>
      </c>
      <c r="AR89" s="99">
        <v>6</v>
      </c>
      <c r="AS89" s="99">
        <v>6372</v>
      </c>
      <c r="AT89" s="99">
        <v>8</v>
      </c>
      <c r="AU89" s="99">
        <v>8496</v>
      </c>
      <c r="AV89" s="99">
        <v>9</v>
      </c>
      <c r="AW89" s="99">
        <v>9558</v>
      </c>
      <c r="AX89" s="99">
        <v>9</v>
      </c>
      <c r="AY89" s="99">
        <v>9558</v>
      </c>
      <c r="AZ89" s="99">
        <v>7</v>
      </c>
      <c r="BA89" s="99">
        <v>7434</v>
      </c>
      <c r="BB89" s="99">
        <v>10</v>
      </c>
      <c r="BC89" s="99">
        <v>10620</v>
      </c>
      <c r="BD89" s="99">
        <v>7</v>
      </c>
      <c r="BE89" s="99">
        <v>7434</v>
      </c>
      <c r="BF89" s="99">
        <v>8</v>
      </c>
      <c r="BG89" s="99">
        <v>8496</v>
      </c>
      <c r="BH89" s="99">
        <v>7</v>
      </c>
      <c r="BI89" s="99">
        <v>7434</v>
      </c>
      <c r="BJ89" s="99">
        <v>11</v>
      </c>
      <c r="BK89" s="99">
        <v>11682</v>
      </c>
      <c r="BL89" s="99">
        <v>11</v>
      </c>
      <c r="BM89" s="99">
        <v>11682</v>
      </c>
      <c r="BN89" s="99">
        <v>11</v>
      </c>
      <c r="BO89" s="99">
        <v>11682</v>
      </c>
      <c r="BP89" s="99">
        <v>11</v>
      </c>
      <c r="BQ89" s="99">
        <v>11682</v>
      </c>
      <c r="BR89" s="99">
        <v>11</v>
      </c>
      <c r="BS89" s="99">
        <v>11682</v>
      </c>
      <c r="BT89" s="99">
        <v>11</v>
      </c>
      <c r="BU89" s="99">
        <v>11682</v>
      </c>
      <c r="BV89" s="99">
        <v>6</v>
      </c>
      <c r="BW89" s="99">
        <v>6372</v>
      </c>
      <c r="BX89" s="99">
        <v>9</v>
      </c>
      <c r="BY89" s="99">
        <v>9558</v>
      </c>
      <c r="BZ89" s="99">
        <v>8</v>
      </c>
      <c r="CA89" s="99">
        <v>8496</v>
      </c>
      <c r="CB89" s="99">
        <v>9</v>
      </c>
      <c r="CC89" s="99">
        <v>9558</v>
      </c>
      <c r="CD89" s="99">
        <v>11</v>
      </c>
      <c r="CE89" s="99">
        <v>11682</v>
      </c>
      <c r="CF89" s="99">
        <v>11</v>
      </c>
      <c r="CG89" s="99">
        <v>11682</v>
      </c>
      <c r="CH89" s="99">
        <v>10</v>
      </c>
      <c r="CI89" s="99">
        <v>10620</v>
      </c>
      <c r="CJ89" s="99">
        <v>13</v>
      </c>
      <c r="CK89" s="99">
        <v>13806</v>
      </c>
      <c r="CL89" s="99">
        <v>8</v>
      </c>
      <c r="CM89" s="99">
        <v>8496</v>
      </c>
      <c r="CN89" s="99">
        <v>10</v>
      </c>
      <c r="CO89" s="99">
        <v>10620</v>
      </c>
      <c r="CP89" s="99">
        <v>11</v>
      </c>
      <c r="CQ89" s="99">
        <v>11682</v>
      </c>
      <c r="CR89" s="99">
        <v>9</v>
      </c>
      <c r="CS89" s="99">
        <v>9558</v>
      </c>
      <c r="CT89" s="99">
        <v>7</v>
      </c>
      <c r="CU89" s="99">
        <v>7434</v>
      </c>
    </row>
    <row r="90" spans="2:99">
      <c r="C90" s="98" t="s">
        <v>256</v>
      </c>
      <c r="D90" s="99">
        <v>9</v>
      </c>
      <c r="E90" s="99">
        <v>9979.1999999999989</v>
      </c>
      <c r="F90" s="99">
        <v>10</v>
      </c>
      <c r="G90" s="99">
        <v>11088</v>
      </c>
      <c r="H90" s="99">
        <v>10</v>
      </c>
      <c r="I90" s="99">
        <v>11088</v>
      </c>
      <c r="J90" s="99">
        <v>10</v>
      </c>
      <c r="K90" s="99">
        <v>11088</v>
      </c>
      <c r="L90" s="99">
        <v>11</v>
      </c>
      <c r="M90" s="99">
        <v>12196.8</v>
      </c>
      <c r="N90" s="99">
        <v>9</v>
      </c>
      <c r="O90" s="99">
        <v>9979.1999999999989</v>
      </c>
      <c r="P90" s="99">
        <v>6</v>
      </c>
      <c r="Q90" s="99">
        <v>6652.7999999999993</v>
      </c>
      <c r="R90" s="99">
        <v>0</v>
      </c>
      <c r="S90" s="99">
        <v>0</v>
      </c>
      <c r="T90" s="99">
        <v>7</v>
      </c>
      <c r="U90" s="99">
        <v>7761.5999999999995</v>
      </c>
      <c r="V90" s="99">
        <v>10</v>
      </c>
      <c r="W90" s="99">
        <v>11088</v>
      </c>
      <c r="X90" s="99">
        <v>12</v>
      </c>
      <c r="Y90" s="99">
        <v>13305.599999999999</v>
      </c>
      <c r="Z90" s="99">
        <v>8</v>
      </c>
      <c r="AA90" s="99">
        <v>8870.4</v>
      </c>
      <c r="AB90" s="99">
        <v>8</v>
      </c>
      <c r="AC90" s="99">
        <v>8870.4</v>
      </c>
      <c r="AD90" s="99">
        <v>12</v>
      </c>
      <c r="AE90" s="99">
        <v>13305.599999999999</v>
      </c>
      <c r="AF90" s="99">
        <v>7</v>
      </c>
      <c r="AG90" s="99">
        <v>7761.5999999999995</v>
      </c>
      <c r="AH90" s="99">
        <v>7</v>
      </c>
      <c r="AI90" s="99">
        <v>7761.5999999999995</v>
      </c>
      <c r="AJ90" s="99">
        <v>7</v>
      </c>
      <c r="AK90" s="99">
        <v>7761.5999999999995</v>
      </c>
      <c r="AL90" s="99">
        <v>10</v>
      </c>
      <c r="AM90" s="99">
        <v>11088</v>
      </c>
      <c r="AN90" s="99">
        <v>12</v>
      </c>
      <c r="AO90" s="99">
        <v>13305.599999999999</v>
      </c>
      <c r="AP90" s="99">
        <v>7</v>
      </c>
      <c r="AQ90" s="99">
        <v>7761.5999999999995</v>
      </c>
      <c r="AR90" s="99">
        <v>6</v>
      </c>
      <c r="AS90" s="99">
        <v>6652.7999999999993</v>
      </c>
      <c r="AT90" s="99">
        <v>8</v>
      </c>
      <c r="AU90" s="99">
        <v>8870.4</v>
      </c>
      <c r="AV90" s="99">
        <v>11</v>
      </c>
      <c r="AW90" s="99">
        <v>12196.8</v>
      </c>
      <c r="AX90" s="99">
        <v>10</v>
      </c>
      <c r="AY90" s="99">
        <v>11088</v>
      </c>
      <c r="AZ90" s="99">
        <v>6</v>
      </c>
      <c r="BA90" s="99">
        <v>6652.7999999999993</v>
      </c>
      <c r="BB90" s="99">
        <v>10</v>
      </c>
      <c r="BC90" s="99">
        <v>11088</v>
      </c>
      <c r="BD90" s="99">
        <v>7</v>
      </c>
      <c r="BE90" s="99">
        <v>7761.5999999999995</v>
      </c>
      <c r="BF90" s="99">
        <v>9</v>
      </c>
      <c r="BG90" s="99">
        <v>9979.1999999999989</v>
      </c>
      <c r="BH90" s="99">
        <v>8</v>
      </c>
      <c r="BI90" s="99">
        <v>8870.4</v>
      </c>
      <c r="BJ90" s="99">
        <v>10</v>
      </c>
      <c r="BK90" s="99">
        <v>11088</v>
      </c>
      <c r="BL90" s="99">
        <v>12</v>
      </c>
      <c r="BM90" s="99">
        <v>13305.599999999999</v>
      </c>
      <c r="BN90" s="99">
        <v>10</v>
      </c>
      <c r="BO90" s="99">
        <v>11088</v>
      </c>
      <c r="BP90" s="99">
        <v>10</v>
      </c>
      <c r="BQ90" s="99">
        <v>11088</v>
      </c>
      <c r="BR90" s="99">
        <v>11</v>
      </c>
      <c r="BS90" s="99">
        <v>12196.8</v>
      </c>
      <c r="BT90" s="99">
        <v>10</v>
      </c>
      <c r="BU90" s="99">
        <v>11088</v>
      </c>
      <c r="BV90" s="99">
        <v>7</v>
      </c>
      <c r="BW90" s="99">
        <v>7761.5999999999995</v>
      </c>
      <c r="BX90" s="99">
        <v>9</v>
      </c>
      <c r="BY90" s="99">
        <v>9979.1999999999989</v>
      </c>
      <c r="BZ90" s="99">
        <v>7</v>
      </c>
      <c r="CA90" s="99">
        <v>7761.5999999999995</v>
      </c>
      <c r="CB90" s="99">
        <v>8</v>
      </c>
      <c r="CC90" s="99">
        <v>8870.4</v>
      </c>
      <c r="CD90" s="99">
        <v>12</v>
      </c>
      <c r="CE90" s="99">
        <v>13305.599999999999</v>
      </c>
      <c r="CF90" s="99">
        <v>10</v>
      </c>
      <c r="CG90" s="99">
        <v>11088</v>
      </c>
      <c r="CH90" s="99">
        <v>9</v>
      </c>
      <c r="CI90" s="99">
        <v>9979.1999999999989</v>
      </c>
      <c r="CJ90" s="99">
        <v>11</v>
      </c>
      <c r="CK90" s="99">
        <v>12196.8</v>
      </c>
      <c r="CL90" s="99">
        <v>8</v>
      </c>
      <c r="CM90" s="99">
        <v>8870.4</v>
      </c>
      <c r="CN90" s="99">
        <v>11</v>
      </c>
      <c r="CO90" s="99">
        <v>12196.8</v>
      </c>
      <c r="CP90" s="99">
        <v>12</v>
      </c>
      <c r="CQ90" s="99">
        <v>13305.599999999999</v>
      </c>
      <c r="CR90" s="99">
        <v>8</v>
      </c>
      <c r="CS90" s="99">
        <v>8870.4</v>
      </c>
      <c r="CT90" s="99">
        <v>8</v>
      </c>
      <c r="CU90" s="99">
        <v>8870.4</v>
      </c>
    </row>
    <row r="91" spans="2:99">
      <c r="C91" s="98" t="s">
        <v>257</v>
      </c>
      <c r="D91" s="99">
        <v>9</v>
      </c>
      <c r="E91" s="99">
        <v>10227.599999999999</v>
      </c>
      <c r="F91" s="99">
        <v>10</v>
      </c>
      <c r="G91" s="99">
        <v>11363.999999999998</v>
      </c>
      <c r="H91" s="99">
        <v>10</v>
      </c>
      <c r="I91" s="99">
        <v>11363.999999999998</v>
      </c>
      <c r="J91" s="99">
        <v>10</v>
      </c>
      <c r="K91" s="99">
        <v>11363.999999999998</v>
      </c>
      <c r="L91" s="99">
        <v>10</v>
      </c>
      <c r="M91" s="99">
        <v>11363.999999999998</v>
      </c>
      <c r="N91" s="99">
        <v>9</v>
      </c>
      <c r="O91" s="99">
        <v>10227.599999999999</v>
      </c>
      <c r="P91" s="99">
        <v>7</v>
      </c>
      <c r="Q91" s="99">
        <v>7954.7999999999993</v>
      </c>
      <c r="R91" s="99">
        <v>0</v>
      </c>
      <c r="S91" s="99">
        <v>0</v>
      </c>
      <c r="T91" s="99">
        <v>7</v>
      </c>
      <c r="U91" s="99">
        <v>7954.7999999999993</v>
      </c>
      <c r="V91" s="99">
        <v>10</v>
      </c>
      <c r="W91" s="99">
        <v>11363.999999999998</v>
      </c>
      <c r="X91" s="99">
        <v>12</v>
      </c>
      <c r="Y91" s="99">
        <v>13636.8</v>
      </c>
      <c r="Z91" s="99">
        <v>8</v>
      </c>
      <c r="AA91" s="99">
        <v>9091.1999999999989</v>
      </c>
      <c r="AB91" s="99">
        <v>8</v>
      </c>
      <c r="AC91" s="99">
        <v>9091.1999999999989</v>
      </c>
      <c r="AD91" s="99">
        <v>10</v>
      </c>
      <c r="AE91" s="99">
        <v>11363.999999999998</v>
      </c>
      <c r="AF91" s="99">
        <v>7</v>
      </c>
      <c r="AG91" s="99">
        <v>7954.7999999999993</v>
      </c>
      <c r="AH91" s="99">
        <v>8</v>
      </c>
      <c r="AI91" s="99">
        <v>9091.1999999999989</v>
      </c>
      <c r="AJ91" s="99">
        <v>7</v>
      </c>
      <c r="AK91" s="99">
        <v>7954.7999999999993</v>
      </c>
      <c r="AL91" s="99">
        <v>10</v>
      </c>
      <c r="AM91" s="99">
        <v>11363.999999999998</v>
      </c>
      <c r="AN91" s="99">
        <v>12</v>
      </c>
      <c r="AO91" s="99">
        <v>13636.8</v>
      </c>
      <c r="AP91" s="99">
        <v>7</v>
      </c>
      <c r="AQ91" s="99">
        <v>7954.7999999999993</v>
      </c>
      <c r="AR91" s="99">
        <v>7</v>
      </c>
      <c r="AS91" s="99">
        <v>7954.7999999999993</v>
      </c>
      <c r="AT91" s="99">
        <v>8</v>
      </c>
      <c r="AU91" s="99">
        <v>9091.1999999999989</v>
      </c>
      <c r="AV91" s="99">
        <v>10</v>
      </c>
      <c r="AW91" s="99">
        <v>11363.999999999998</v>
      </c>
      <c r="AX91" s="99">
        <v>11</v>
      </c>
      <c r="AY91" s="99">
        <v>12500.399999999998</v>
      </c>
      <c r="AZ91" s="99">
        <v>6</v>
      </c>
      <c r="BA91" s="99">
        <v>6818.4</v>
      </c>
      <c r="BB91" s="99">
        <v>10</v>
      </c>
      <c r="BC91" s="99">
        <v>11363.999999999998</v>
      </c>
      <c r="BD91" s="99">
        <v>8</v>
      </c>
      <c r="BE91" s="99">
        <v>9091.1999999999989</v>
      </c>
      <c r="BF91" s="99">
        <v>10</v>
      </c>
      <c r="BG91" s="99">
        <v>11363.999999999998</v>
      </c>
      <c r="BH91" s="99">
        <v>7</v>
      </c>
      <c r="BI91" s="99">
        <v>7954.7999999999993</v>
      </c>
      <c r="BJ91" s="99">
        <v>10</v>
      </c>
      <c r="BK91" s="99">
        <v>11363.999999999998</v>
      </c>
      <c r="BL91" s="99">
        <v>11</v>
      </c>
      <c r="BM91" s="99">
        <v>12500.399999999998</v>
      </c>
      <c r="BN91" s="99">
        <v>11</v>
      </c>
      <c r="BO91" s="99">
        <v>12500.399999999998</v>
      </c>
      <c r="BP91" s="99">
        <v>9</v>
      </c>
      <c r="BQ91" s="99">
        <v>10227.599999999999</v>
      </c>
      <c r="BR91" s="99">
        <v>10</v>
      </c>
      <c r="BS91" s="99">
        <v>11363.999999999998</v>
      </c>
      <c r="BT91" s="99">
        <v>9</v>
      </c>
      <c r="BU91" s="99">
        <v>10227.599999999999</v>
      </c>
      <c r="BV91" s="99">
        <v>7</v>
      </c>
      <c r="BW91" s="99">
        <v>7954.7999999999993</v>
      </c>
      <c r="BX91" s="99">
        <v>8</v>
      </c>
      <c r="BY91" s="99">
        <v>9091.1999999999989</v>
      </c>
      <c r="BZ91" s="99">
        <v>8</v>
      </c>
      <c r="CA91" s="99">
        <v>9091.1999999999989</v>
      </c>
      <c r="CB91" s="99">
        <v>8</v>
      </c>
      <c r="CC91" s="99">
        <v>9091.1999999999989</v>
      </c>
      <c r="CD91" s="99">
        <v>11</v>
      </c>
      <c r="CE91" s="99">
        <v>12500.399999999998</v>
      </c>
      <c r="CF91" s="99">
        <v>11</v>
      </c>
      <c r="CG91" s="99">
        <v>12500.399999999998</v>
      </c>
      <c r="CH91" s="99">
        <v>9</v>
      </c>
      <c r="CI91" s="99">
        <v>10227.599999999999</v>
      </c>
      <c r="CJ91" s="99">
        <v>13</v>
      </c>
      <c r="CK91" s="99">
        <v>14773.199999999999</v>
      </c>
      <c r="CL91" s="99">
        <v>9</v>
      </c>
      <c r="CM91" s="99">
        <v>10227.599999999999</v>
      </c>
      <c r="CN91" s="99">
        <v>10</v>
      </c>
      <c r="CO91" s="99">
        <v>11363.999999999998</v>
      </c>
      <c r="CP91" s="99">
        <v>10</v>
      </c>
      <c r="CQ91" s="99">
        <v>11363.999999999998</v>
      </c>
      <c r="CR91" s="99">
        <v>9</v>
      </c>
      <c r="CS91" s="99">
        <v>10227.599999999999</v>
      </c>
      <c r="CT91" s="99">
        <v>8</v>
      </c>
      <c r="CU91" s="99">
        <v>9091.1999999999989</v>
      </c>
    </row>
    <row r="92" spans="2:99">
      <c r="C92" s="98" t="s">
        <v>258</v>
      </c>
      <c r="D92" s="99">
        <v>9</v>
      </c>
      <c r="E92" s="99">
        <v>7063.2</v>
      </c>
      <c r="F92" s="99">
        <v>12</v>
      </c>
      <c r="G92" s="99">
        <v>9417.5999999999985</v>
      </c>
      <c r="H92" s="99">
        <v>10</v>
      </c>
      <c r="I92" s="99">
        <v>7848</v>
      </c>
      <c r="J92" s="99">
        <v>10</v>
      </c>
      <c r="K92" s="99">
        <v>7848</v>
      </c>
      <c r="L92" s="99">
        <v>11</v>
      </c>
      <c r="M92" s="99">
        <v>8632.7999999999993</v>
      </c>
      <c r="N92" s="99">
        <v>9</v>
      </c>
      <c r="O92" s="99">
        <v>7063.2</v>
      </c>
      <c r="P92" s="99">
        <v>7</v>
      </c>
      <c r="Q92" s="99">
        <v>5493.5999999999995</v>
      </c>
      <c r="R92" s="99">
        <v>0</v>
      </c>
      <c r="S92" s="99">
        <v>0</v>
      </c>
      <c r="T92" s="99">
        <v>7</v>
      </c>
      <c r="U92" s="99">
        <v>5493.5999999999995</v>
      </c>
      <c r="V92" s="99">
        <v>9</v>
      </c>
      <c r="W92" s="99">
        <v>7063.2</v>
      </c>
      <c r="X92" s="99">
        <v>12</v>
      </c>
      <c r="Y92" s="99">
        <v>9417.5999999999985</v>
      </c>
      <c r="Z92" s="99">
        <v>7</v>
      </c>
      <c r="AA92" s="99">
        <v>5493.5999999999995</v>
      </c>
      <c r="AB92" s="99">
        <v>8</v>
      </c>
      <c r="AC92" s="99">
        <v>6278.4</v>
      </c>
      <c r="AD92" s="99">
        <v>11</v>
      </c>
      <c r="AE92" s="99">
        <v>8632.7999999999993</v>
      </c>
      <c r="AF92" s="99">
        <v>7</v>
      </c>
      <c r="AG92" s="99">
        <v>5493.5999999999995</v>
      </c>
      <c r="AH92" s="99">
        <v>8</v>
      </c>
      <c r="AI92" s="99">
        <v>6278.4</v>
      </c>
      <c r="AJ92" s="99">
        <v>8</v>
      </c>
      <c r="AK92" s="99">
        <v>6278.4</v>
      </c>
      <c r="AL92" s="99">
        <v>10</v>
      </c>
      <c r="AM92" s="99">
        <v>7848</v>
      </c>
      <c r="AN92" s="99">
        <v>12</v>
      </c>
      <c r="AO92" s="99">
        <v>9417.5999999999985</v>
      </c>
      <c r="AP92" s="99">
        <v>8</v>
      </c>
      <c r="AQ92" s="99">
        <v>6278.4</v>
      </c>
      <c r="AR92" s="99">
        <v>7</v>
      </c>
      <c r="AS92" s="99">
        <v>5493.5999999999995</v>
      </c>
      <c r="AT92" s="99">
        <v>9</v>
      </c>
      <c r="AU92" s="99">
        <v>7063.2</v>
      </c>
      <c r="AV92" s="99">
        <v>10</v>
      </c>
      <c r="AW92" s="99">
        <v>7848</v>
      </c>
      <c r="AX92" s="99">
        <v>10</v>
      </c>
      <c r="AY92" s="99">
        <v>7848</v>
      </c>
      <c r="AZ92" s="99">
        <v>7</v>
      </c>
      <c r="BA92" s="99">
        <v>5493.5999999999995</v>
      </c>
      <c r="BB92" s="99">
        <v>9</v>
      </c>
      <c r="BC92" s="99">
        <v>7063.2</v>
      </c>
      <c r="BD92" s="99">
        <v>7</v>
      </c>
      <c r="BE92" s="99">
        <v>5493.5999999999995</v>
      </c>
      <c r="BF92" s="99">
        <v>10</v>
      </c>
      <c r="BG92" s="99">
        <v>7848</v>
      </c>
      <c r="BH92" s="99">
        <v>9</v>
      </c>
      <c r="BI92" s="99">
        <v>7063.2</v>
      </c>
      <c r="BJ92" s="99">
        <v>11</v>
      </c>
      <c r="BK92" s="99">
        <v>8632.7999999999993</v>
      </c>
      <c r="BL92" s="99">
        <v>12</v>
      </c>
      <c r="BM92" s="99">
        <v>9417.5999999999985</v>
      </c>
      <c r="BN92" s="99">
        <v>11</v>
      </c>
      <c r="BO92" s="99">
        <v>8632.7999999999993</v>
      </c>
      <c r="BP92" s="99">
        <v>11</v>
      </c>
      <c r="BQ92" s="99">
        <v>8632.7999999999993</v>
      </c>
      <c r="BR92" s="99">
        <v>12</v>
      </c>
      <c r="BS92" s="99">
        <v>9417.5999999999985</v>
      </c>
      <c r="BT92" s="99">
        <v>10</v>
      </c>
      <c r="BU92" s="99">
        <v>7848</v>
      </c>
      <c r="BV92" s="99">
        <v>7</v>
      </c>
      <c r="BW92" s="99">
        <v>5493.5999999999995</v>
      </c>
      <c r="BX92" s="99">
        <v>9</v>
      </c>
      <c r="BY92" s="99">
        <v>7063.2</v>
      </c>
      <c r="BZ92" s="99">
        <v>7</v>
      </c>
      <c r="CA92" s="99">
        <v>5493.5999999999995</v>
      </c>
      <c r="CB92" s="99">
        <v>9</v>
      </c>
      <c r="CC92" s="99">
        <v>7063.2</v>
      </c>
      <c r="CD92" s="99">
        <v>10</v>
      </c>
      <c r="CE92" s="99">
        <v>7848</v>
      </c>
      <c r="CF92" s="99">
        <v>10</v>
      </c>
      <c r="CG92" s="99">
        <v>7848</v>
      </c>
      <c r="CH92" s="99">
        <v>11</v>
      </c>
      <c r="CI92" s="99">
        <v>8632.7999999999993</v>
      </c>
      <c r="CJ92" s="99">
        <v>13</v>
      </c>
      <c r="CK92" s="99">
        <v>10202.4</v>
      </c>
      <c r="CL92" s="99">
        <v>8</v>
      </c>
      <c r="CM92" s="99">
        <v>6278.4</v>
      </c>
      <c r="CN92" s="99">
        <v>11</v>
      </c>
      <c r="CO92" s="99">
        <v>8632.7999999999993</v>
      </c>
      <c r="CP92" s="99">
        <v>11</v>
      </c>
      <c r="CQ92" s="99">
        <v>8632.7999999999993</v>
      </c>
      <c r="CR92" s="99">
        <v>9</v>
      </c>
      <c r="CS92" s="99">
        <v>7063.2</v>
      </c>
      <c r="CT92" s="99">
        <v>7</v>
      </c>
      <c r="CU92" s="99">
        <v>5493.5999999999995</v>
      </c>
    </row>
    <row r="93" spans="2:99">
      <c r="C93" s="98" t="s">
        <v>259</v>
      </c>
      <c r="D93" s="99">
        <v>9</v>
      </c>
      <c r="E93" s="99">
        <v>6242.4000000000005</v>
      </c>
      <c r="F93" s="99">
        <v>10</v>
      </c>
      <c r="G93" s="99">
        <v>6936</v>
      </c>
      <c r="H93" s="99">
        <v>9</v>
      </c>
      <c r="I93" s="99">
        <v>6242.4000000000005</v>
      </c>
      <c r="J93" s="99">
        <v>12</v>
      </c>
      <c r="K93" s="99">
        <v>8323.2000000000007</v>
      </c>
      <c r="L93" s="99">
        <v>10</v>
      </c>
      <c r="M93" s="99">
        <v>6936</v>
      </c>
      <c r="N93" s="99">
        <v>9</v>
      </c>
      <c r="O93" s="99">
        <v>6242.4000000000005</v>
      </c>
      <c r="P93" s="99">
        <v>7</v>
      </c>
      <c r="Q93" s="99">
        <v>4855.2</v>
      </c>
      <c r="R93" s="99">
        <v>0</v>
      </c>
      <c r="S93" s="99">
        <v>0</v>
      </c>
      <c r="T93" s="99">
        <v>7</v>
      </c>
      <c r="U93" s="99">
        <v>4855.2</v>
      </c>
      <c r="V93" s="99">
        <v>10</v>
      </c>
      <c r="W93" s="99">
        <v>6936</v>
      </c>
      <c r="X93" s="99">
        <v>12</v>
      </c>
      <c r="Y93" s="99">
        <v>8323.2000000000007</v>
      </c>
      <c r="Z93" s="99">
        <v>9</v>
      </c>
      <c r="AA93" s="99">
        <v>6242.4000000000005</v>
      </c>
      <c r="AB93" s="99">
        <v>8</v>
      </c>
      <c r="AC93" s="99">
        <v>5548.8</v>
      </c>
      <c r="AD93" s="99">
        <v>11</v>
      </c>
      <c r="AE93" s="99">
        <v>7629.6</v>
      </c>
      <c r="AF93" s="99">
        <v>7</v>
      </c>
      <c r="AG93" s="99">
        <v>4855.2</v>
      </c>
      <c r="AH93" s="99">
        <v>8</v>
      </c>
      <c r="AI93" s="99">
        <v>5548.8</v>
      </c>
      <c r="AJ93" s="99">
        <v>8</v>
      </c>
      <c r="AK93" s="99">
        <v>5548.8</v>
      </c>
      <c r="AL93" s="99">
        <v>10</v>
      </c>
      <c r="AM93" s="99">
        <v>6936</v>
      </c>
      <c r="AN93" s="99">
        <v>11</v>
      </c>
      <c r="AO93" s="99">
        <v>7629.6</v>
      </c>
      <c r="AP93" s="99">
        <v>8</v>
      </c>
      <c r="AQ93" s="99">
        <v>5548.8</v>
      </c>
      <c r="AR93" s="99">
        <v>7</v>
      </c>
      <c r="AS93" s="99">
        <v>4855.2</v>
      </c>
      <c r="AT93" s="99">
        <v>8</v>
      </c>
      <c r="AU93" s="99">
        <v>5548.8</v>
      </c>
      <c r="AV93" s="99">
        <v>10</v>
      </c>
      <c r="AW93" s="99">
        <v>6936</v>
      </c>
      <c r="AX93" s="99">
        <v>10</v>
      </c>
      <c r="AY93" s="99">
        <v>6936</v>
      </c>
      <c r="AZ93" s="99">
        <v>7</v>
      </c>
      <c r="BA93" s="99">
        <v>4855.2</v>
      </c>
      <c r="BB93" s="99">
        <v>9</v>
      </c>
      <c r="BC93" s="99">
        <v>6242.4000000000005</v>
      </c>
      <c r="BD93" s="99">
        <v>8</v>
      </c>
      <c r="BE93" s="99">
        <v>5548.8</v>
      </c>
      <c r="BF93" s="99">
        <v>10</v>
      </c>
      <c r="BG93" s="99">
        <v>6936</v>
      </c>
      <c r="BH93" s="99">
        <v>8</v>
      </c>
      <c r="BI93" s="99">
        <v>5548.8</v>
      </c>
      <c r="BJ93" s="99">
        <v>10</v>
      </c>
      <c r="BK93" s="99">
        <v>6936</v>
      </c>
      <c r="BL93" s="99">
        <v>12</v>
      </c>
      <c r="BM93" s="99">
        <v>8323.2000000000007</v>
      </c>
      <c r="BN93" s="99">
        <v>11</v>
      </c>
      <c r="BO93" s="99">
        <v>7629.6</v>
      </c>
      <c r="BP93" s="99">
        <v>9</v>
      </c>
      <c r="BQ93" s="99">
        <v>6242.4000000000005</v>
      </c>
      <c r="BR93" s="99">
        <v>12</v>
      </c>
      <c r="BS93" s="99">
        <v>8323.2000000000007</v>
      </c>
      <c r="BT93" s="99">
        <v>9</v>
      </c>
      <c r="BU93" s="99">
        <v>6242.4000000000005</v>
      </c>
      <c r="BV93" s="99">
        <v>7</v>
      </c>
      <c r="BW93" s="99">
        <v>4855.2</v>
      </c>
      <c r="BX93" s="99">
        <v>9</v>
      </c>
      <c r="BY93" s="99">
        <v>6242.4000000000005</v>
      </c>
      <c r="BZ93" s="99">
        <v>7</v>
      </c>
      <c r="CA93" s="99">
        <v>4855.2</v>
      </c>
      <c r="CB93" s="99">
        <v>9</v>
      </c>
      <c r="CC93" s="99">
        <v>6242.4000000000005</v>
      </c>
      <c r="CD93" s="99">
        <v>10</v>
      </c>
      <c r="CE93" s="99">
        <v>6936</v>
      </c>
      <c r="CF93" s="99">
        <v>10</v>
      </c>
      <c r="CG93" s="99">
        <v>6936</v>
      </c>
      <c r="CH93" s="99">
        <v>11</v>
      </c>
      <c r="CI93" s="99">
        <v>7629.6</v>
      </c>
      <c r="CJ93" s="99">
        <v>12</v>
      </c>
      <c r="CK93" s="99">
        <v>8323.2000000000007</v>
      </c>
      <c r="CL93" s="99">
        <v>9</v>
      </c>
      <c r="CM93" s="99">
        <v>6242.4000000000005</v>
      </c>
      <c r="CN93" s="99">
        <v>12</v>
      </c>
      <c r="CO93" s="99">
        <v>8323.2000000000007</v>
      </c>
      <c r="CP93" s="99">
        <v>13</v>
      </c>
      <c r="CQ93" s="99">
        <v>9016.8000000000011</v>
      </c>
      <c r="CR93" s="99">
        <v>8</v>
      </c>
      <c r="CS93" s="99">
        <v>5548.8</v>
      </c>
      <c r="CT93" s="99">
        <v>8</v>
      </c>
      <c r="CU93" s="99">
        <v>5548.8</v>
      </c>
    </row>
    <row r="94" spans="2:99">
      <c r="C94" s="98" t="s">
        <v>260</v>
      </c>
      <c r="D94" s="99">
        <v>9</v>
      </c>
      <c r="E94" s="99">
        <v>10735.199999999999</v>
      </c>
      <c r="F94" s="99">
        <v>12</v>
      </c>
      <c r="G94" s="99">
        <v>14313.599999999999</v>
      </c>
      <c r="H94" s="99">
        <v>9</v>
      </c>
      <c r="I94" s="99">
        <v>10735.199999999999</v>
      </c>
      <c r="J94" s="99">
        <v>10</v>
      </c>
      <c r="K94" s="99">
        <v>11928</v>
      </c>
      <c r="L94" s="99">
        <v>11</v>
      </c>
      <c r="M94" s="99">
        <v>13120.8</v>
      </c>
      <c r="N94" s="99">
        <v>8</v>
      </c>
      <c r="O94" s="99">
        <v>9542.4</v>
      </c>
      <c r="P94" s="99">
        <v>6</v>
      </c>
      <c r="Q94" s="99">
        <v>7156.7999999999993</v>
      </c>
      <c r="R94" s="99">
        <v>0</v>
      </c>
      <c r="S94" s="99">
        <v>0</v>
      </c>
      <c r="T94" s="99">
        <v>8</v>
      </c>
      <c r="U94" s="99">
        <v>9542.4</v>
      </c>
      <c r="V94" s="99">
        <v>9</v>
      </c>
      <c r="W94" s="99">
        <v>10735.199999999999</v>
      </c>
      <c r="X94" s="99">
        <v>11</v>
      </c>
      <c r="Y94" s="99">
        <v>13120.8</v>
      </c>
      <c r="Z94" s="99">
        <v>7</v>
      </c>
      <c r="AA94" s="99">
        <v>8349.6</v>
      </c>
      <c r="AB94" s="99">
        <v>8</v>
      </c>
      <c r="AC94" s="99">
        <v>9542.4</v>
      </c>
      <c r="AD94" s="99">
        <v>10</v>
      </c>
      <c r="AE94" s="99">
        <v>11928</v>
      </c>
      <c r="AF94" s="99">
        <v>7</v>
      </c>
      <c r="AG94" s="99">
        <v>8349.6</v>
      </c>
      <c r="AH94" s="99">
        <v>8</v>
      </c>
      <c r="AI94" s="99">
        <v>9542.4</v>
      </c>
      <c r="AJ94" s="99">
        <v>7</v>
      </c>
      <c r="AK94" s="99">
        <v>8349.6</v>
      </c>
      <c r="AL94" s="99">
        <v>10</v>
      </c>
      <c r="AM94" s="99">
        <v>11928</v>
      </c>
      <c r="AN94" s="99">
        <v>11</v>
      </c>
      <c r="AO94" s="99">
        <v>13120.8</v>
      </c>
      <c r="AP94" s="99">
        <v>7</v>
      </c>
      <c r="AQ94" s="99">
        <v>8349.6</v>
      </c>
      <c r="AR94" s="99">
        <v>6</v>
      </c>
      <c r="AS94" s="99">
        <v>7156.7999999999993</v>
      </c>
      <c r="AT94" s="99">
        <v>8</v>
      </c>
      <c r="AU94" s="99">
        <v>9542.4</v>
      </c>
      <c r="AV94" s="99">
        <v>11</v>
      </c>
      <c r="AW94" s="99">
        <v>13120.8</v>
      </c>
      <c r="AX94" s="99">
        <v>10</v>
      </c>
      <c r="AY94" s="99">
        <v>11928</v>
      </c>
      <c r="AZ94" s="99">
        <v>6</v>
      </c>
      <c r="BA94" s="99">
        <v>7156.7999999999993</v>
      </c>
      <c r="BB94" s="99">
        <v>9</v>
      </c>
      <c r="BC94" s="99">
        <v>10735.199999999999</v>
      </c>
      <c r="BD94" s="99">
        <v>8</v>
      </c>
      <c r="BE94" s="99">
        <v>9542.4</v>
      </c>
      <c r="BF94" s="99">
        <v>10</v>
      </c>
      <c r="BG94" s="99">
        <v>11928</v>
      </c>
      <c r="BH94" s="99">
        <v>8</v>
      </c>
      <c r="BI94" s="99">
        <v>9542.4</v>
      </c>
      <c r="BJ94" s="99">
        <v>11</v>
      </c>
      <c r="BK94" s="99">
        <v>13120.8</v>
      </c>
      <c r="BL94" s="99">
        <v>11</v>
      </c>
      <c r="BM94" s="99">
        <v>13120.8</v>
      </c>
      <c r="BN94" s="99">
        <v>10</v>
      </c>
      <c r="BO94" s="99">
        <v>11928</v>
      </c>
      <c r="BP94" s="99">
        <v>9</v>
      </c>
      <c r="BQ94" s="99">
        <v>10735.199999999999</v>
      </c>
      <c r="BR94" s="99">
        <v>10</v>
      </c>
      <c r="BS94" s="99">
        <v>11928</v>
      </c>
      <c r="BT94" s="99">
        <v>9</v>
      </c>
      <c r="BU94" s="99">
        <v>10735.199999999999</v>
      </c>
      <c r="BV94" s="99">
        <v>6</v>
      </c>
      <c r="BW94" s="99">
        <v>7156.7999999999993</v>
      </c>
      <c r="BX94" s="99">
        <v>10</v>
      </c>
      <c r="BY94" s="99">
        <v>11928</v>
      </c>
      <c r="BZ94" s="99">
        <v>8</v>
      </c>
      <c r="CA94" s="99">
        <v>9542.4</v>
      </c>
      <c r="CB94" s="99">
        <v>8</v>
      </c>
      <c r="CC94" s="99">
        <v>9542.4</v>
      </c>
      <c r="CD94" s="99">
        <v>10</v>
      </c>
      <c r="CE94" s="99">
        <v>11928</v>
      </c>
      <c r="CF94" s="99">
        <v>9</v>
      </c>
      <c r="CG94" s="99">
        <v>10735.199999999999</v>
      </c>
      <c r="CH94" s="99">
        <v>9</v>
      </c>
      <c r="CI94" s="99">
        <v>10735.199999999999</v>
      </c>
      <c r="CJ94" s="99">
        <v>11</v>
      </c>
      <c r="CK94" s="99">
        <v>13120.8</v>
      </c>
      <c r="CL94" s="99">
        <v>8</v>
      </c>
      <c r="CM94" s="99">
        <v>9542.4</v>
      </c>
      <c r="CN94" s="99">
        <v>11</v>
      </c>
      <c r="CO94" s="99">
        <v>13120.8</v>
      </c>
      <c r="CP94" s="99">
        <v>10</v>
      </c>
      <c r="CQ94" s="99">
        <v>11928</v>
      </c>
      <c r="CR94" s="99">
        <v>8</v>
      </c>
      <c r="CS94" s="99">
        <v>9542.4</v>
      </c>
      <c r="CT94" s="99">
        <v>7</v>
      </c>
      <c r="CU94" s="99">
        <v>8349.6</v>
      </c>
    </row>
    <row r="95" spans="2:99">
      <c r="B95" s="98" t="s">
        <v>132</v>
      </c>
      <c r="C95" s="98" t="s">
        <v>261</v>
      </c>
      <c r="D95" s="99">
        <v>8</v>
      </c>
      <c r="E95" s="99">
        <v>2630.4</v>
      </c>
      <c r="F95" s="99">
        <v>7</v>
      </c>
      <c r="G95" s="99">
        <v>2301.6</v>
      </c>
      <c r="H95" s="99">
        <v>8</v>
      </c>
      <c r="I95" s="99">
        <v>2630.4</v>
      </c>
      <c r="J95" s="99">
        <v>8</v>
      </c>
      <c r="K95" s="99">
        <v>2630.4</v>
      </c>
      <c r="L95" s="99">
        <v>9</v>
      </c>
      <c r="M95" s="99">
        <v>2959.2000000000003</v>
      </c>
      <c r="N95" s="99">
        <v>8</v>
      </c>
      <c r="O95" s="99">
        <v>2630.4</v>
      </c>
      <c r="P95" s="99">
        <v>9</v>
      </c>
      <c r="Q95" s="99">
        <v>2959.2000000000003</v>
      </c>
      <c r="R95" s="99">
        <v>0</v>
      </c>
      <c r="S95" s="99">
        <v>0</v>
      </c>
      <c r="T95" s="99">
        <v>6</v>
      </c>
      <c r="U95" s="99">
        <v>1972.8000000000002</v>
      </c>
      <c r="V95" s="99">
        <v>7</v>
      </c>
      <c r="W95" s="99">
        <v>2301.6</v>
      </c>
      <c r="X95" s="99">
        <v>9</v>
      </c>
      <c r="Y95" s="99">
        <v>2959.2000000000003</v>
      </c>
      <c r="Z95" s="99">
        <v>12</v>
      </c>
      <c r="AA95" s="99">
        <v>3945.6000000000004</v>
      </c>
      <c r="AB95" s="99">
        <v>8</v>
      </c>
      <c r="AC95" s="99">
        <v>2630.4</v>
      </c>
      <c r="AD95" s="99">
        <v>7</v>
      </c>
      <c r="AE95" s="99">
        <v>2301.6</v>
      </c>
      <c r="AF95" s="99">
        <v>10</v>
      </c>
      <c r="AG95" s="99">
        <v>3288</v>
      </c>
      <c r="AH95" s="99">
        <v>9</v>
      </c>
      <c r="AI95" s="99">
        <v>2959.2000000000003</v>
      </c>
      <c r="AJ95" s="99">
        <v>7</v>
      </c>
      <c r="AK95" s="99">
        <v>2301.6</v>
      </c>
      <c r="AL95" s="99">
        <v>12</v>
      </c>
      <c r="AM95" s="99">
        <v>3945.6000000000004</v>
      </c>
      <c r="AN95" s="99">
        <v>9</v>
      </c>
      <c r="AO95" s="99">
        <v>2959.2000000000003</v>
      </c>
      <c r="AP95" s="99">
        <v>9</v>
      </c>
      <c r="AQ95" s="99">
        <v>2959.2000000000003</v>
      </c>
      <c r="AR95" s="99">
        <v>7</v>
      </c>
      <c r="AS95" s="99">
        <v>2301.6</v>
      </c>
      <c r="AT95" s="99">
        <v>9</v>
      </c>
      <c r="AU95" s="99">
        <v>2959.2000000000003</v>
      </c>
      <c r="AV95" s="99">
        <v>6</v>
      </c>
      <c r="AW95" s="99">
        <v>1972.8000000000002</v>
      </c>
      <c r="AX95" s="99">
        <v>8</v>
      </c>
      <c r="AY95" s="99">
        <v>2630.4</v>
      </c>
      <c r="AZ95" s="99">
        <v>7</v>
      </c>
      <c r="BA95" s="99">
        <v>2301.6</v>
      </c>
      <c r="BB95" s="99">
        <v>9</v>
      </c>
      <c r="BC95" s="99">
        <v>2959.2000000000003</v>
      </c>
      <c r="BD95" s="99">
        <v>11</v>
      </c>
      <c r="BE95" s="99">
        <v>3616.8</v>
      </c>
      <c r="BF95" s="99">
        <v>9</v>
      </c>
      <c r="BG95" s="99">
        <v>2959.2000000000003</v>
      </c>
      <c r="BH95" s="99">
        <v>8</v>
      </c>
      <c r="BI95" s="99">
        <v>2630.4</v>
      </c>
      <c r="BJ95" s="99">
        <v>9</v>
      </c>
      <c r="BK95" s="99">
        <v>2959.2000000000003</v>
      </c>
      <c r="BL95" s="99">
        <v>12</v>
      </c>
      <c r="BM95" s="99">
        <v>3945.6000000000004</v>
      </c>
      <c r="BN95" s="99">
        <v>11</v>
      </c>
      <c r="BO95" s="99">
        <v>3616.8</v>
      </c>
      <c r="BP95" s="99">
        <v>12</v>
      </c>
      <c r="BQ95" s="99">
        <v>3945.6000000000004</v>
      </c>
      <c r="BR95" s="99">
        <v>9</v>
      </c>
      <c r="BS95" s="99">
        <v>2959.2000000000003</v>
      </c>
      <c r="BT95" s="99">
        <v>7</v>
      </c>
      <c r="BU95" s="99">
        <v>2301.6</v>
      </c>
      <c r="BV95" s="99">
        <v>7</v>
      </c>
      <c r="BW95" s="99">
        <v>2301.6</v>
      </c>
      <c r="BX95" s="99">
        <v>7</v>
      </c>
      <c r="BY95" s="99">
        <v>2301.6</v>
      </c>
      <c r="BZ95" s="99">
        <v>11</v>
      </c>
      <c r="CA95" s="99">
        <v>3616.8</v>
      </c>
      <c r="CB95" s="99">
        <v>10</v>
      </c>
      <c r="CC95" s="99">
        <v>3288</v>
      </c>
      <c r="CD95" s="99">
        <v>12</v>
      </c>
      <c r="CE95" s="99">
        <v>3945.6000000000004</v>
      </c>
      <c r="CF95" s="99">
        <v>9</v>
      </c>
      <c r="CG95" s="99">
        <v>2959.2000000000003</v>
      </c>
      <c r="CH95" s="99">
        <v>7</v>
      </c>
      <c r="CI95" s="99">
        <v>2301.6</v>
      </c>
      <c r="CJ95" s="99">
        <v>7</v>
      </c>
      <c r="CK95" s="99">
        <v>2301.6</v>
      </c>
      <c r="CL95" s="99">
        <v>7</v>
      </c>
      <c r="CM95" s="99">
        <v>2301.6</v>
      </c>
      <c r="CN95" s="99">
        <v>11</v>
      </c>
      <c r="CO95" s="99">
        <v>3616.8</v>
      </c>
      <c r="CP95" s="99">
        <v>9</v>
      </c>
      <c r="CQ95" s="99">
        <v>2959.2000000000003</v>
      </c>
      <c r="CR95" s="99">
        <v>10</v>
      </c>
      <c r="CS95" s="99">
        <v>3288</v>
      </c>
      <c r="CT95" s="99">
        <v>10</v>
      </c>
      <c r="CU95" s="99">
        <v>3288</v>
      </c>
    </row>
    <row r="96" spans="2:99">
      <c r="C96" s="98" t="s">
        <v>262</v>
      </c>
      <c r="D96" s="99">
        <v>8</v>
      </c>
      <c r="E96" s="99">
        <v>5558.4</v>
      </c>
      <c r="F96" s="99">
        <v>6</v>
      </c>
      <c r="G96" s="99">
        <v>4168.7999999999993</v>
      </c>
      <c r="H96" s="99">
        <v>7</v>
      </c>
      <c r="I96" s="99">
        <v>4863.5999999999995</v>
      </c>
      <c r="J96" s="99">
        <v>9</v>
      </c>
      <c r="K96" s="99">
        <v>6253.2</v>
      </c>
      <c r="L96" s="99">
        <v>8</v>
      </c>
      <c r="M96" s="99">
        <v>5558.4</v>
      </c>
      <c r="N96" s="99">
        <v>9</v>
      </c>
      <c r="O96" s="99">
        <v>6253.2</v>
      </c>
      <c r="P96" s="99">
        <v>9</v>
      </c>
      <c r="Q96" s="99">
        <v>6253.2</v>
      </c>
      <c r="R96" s="99">
        <v>0</v>
      </c>
      <c r="S96" s="99">
        <v>0</v>
      </c>
      <c r="T96" s="99">
        <v>6</v>
      </c>
      <c r="U96" s="99">
        <v>4168.7999999999993</v>
      </c>
      <c r="V96" s="99">
        <v>6</v>
      </c>
      <c r="W96" s="99">
        <v>4168.7999999999993</v>
      </c>
      <c r="X96" s="99">
        <v>9</v>
      </c>
      <c r="Y96" s="99">
        <v>6253.2</v>
      </c>
      <c r="Z96" s="99">
        <v>11</v>
      </c>
      <c r="AA96" s="99">
        <v>7642.7999999999993</v>
      </c>
      <c r="AB96" s="99">
        <v>7</v>
      </c>
      <c r="AC96" s="99">
        <v>4863.5999999999995</v>
      </c>
      <c r="AD96" s="99">
        <v>7</v>
      </c>
      <c r="AE96" s="99">
        <v>4863.5999999999995</v>
      </c>
      <c r="AF96" s="99">
        <v>10</v>
      </c>
      <c r="AG96" s="99">
        <v>6948</v>
      </c>
      <c r="AH96" s="99">
        <v>9</v>
      </c>
      <c r="AI96" s="99">
        <v>6253.2</v>
      </c>
      <c r="AJ96" s="99">
        <v>7</v>
      </c>
      <c r="AK96" s="99">
        <v>4863.5999999999995</v>
      </c>
      <c r="AL96" s="99">
        <v>12</v>
      </c>
      <c r="AM96" s="99">
        <v>8337.5999999999985</v>
      </c>
      <c r="AN96" s="99">
        <v>10</v>
      </c>
      <c r="AO96" s="99">
        <v>6948</v>
      </c>
      <c r="AP96" s="99">
        <v>10</v>
      </c>
      <c r="AQ96" s="99">
        <v>6948</v>
      </c>
      <c r="AR96" s="99">
        <v>7</v>
      </c>
      <c r="AS96" s="99">
        <v>4863.5999999999995</v>
      </c>
      <c r="AT96" s="99">
        <v>9</v>
      </c>
      <c r="AU96" s="99">
        <v>6253.2</v>
      </c>
      <c r="AV96" s="99">
        <v>6</v>
      </c>
      <c r="AW96" s="99">
        <v>4168.7999999999993</v>
      </c>
      <c r="AX96" s="99">
        <v>8</v>
      </c>
      <c r="AY96" s="99">
        <v>5558.4</v>
      </c>
      <c r="AZ96" s="99">
        <v>6</v>
      </c>
      <c r="BA96" s="99">
        <v>4168.7999999999993</v>
      </c>
      <c r="BB96" s="99">
        <v>8</v>
      </c>
      <c r="BC96" s="99">
        <v>5558.4</v>
      </c>
      <c r="BD96" s="99">
        <v>11</v>
      </c>
      <c r="BE96" s="99">
        <v>7642.7999999999993</v>
      </c>
      <c r="BF96" s="99">
        <v>8</v>
      </c>
      <c r="BG96" s="99">
        <v>5558.4</v>
      </c>
      <c r="BH96" s="99">
        <v>7</v>
      </c>
      <c r="BI96" s="99">
        <v>4863.5999999999995</v>
      </c>
      <c r="BJ96" s="99">
        <v>8</v>
      </c>
      <c r="BK96" s="99">
        <v>5558.4</v>
      </c>
      <c r="BL96" s="99">
        <v>10</v>
      </c>
      <c r="BM96" s="99">
        <v>6948</v>
      </c>
      <c r="BN96" s="99">
        <v>10</v>
      </c>
      <c r="BO96" s="99">
        <v>6948</v>
      </c>
      <c r="BP96" s="99">
        <v>11</v>
      </c>
      <c r="BQ96" s="99">
        <v>7642.7999999999993</v>
      </c>
      <c r="BR96" s="99">
        <v>8</v>
      </c>
      <c r="BS96" s="99">
        <v>5558.4</v>
      </c>
      <c r="BT96" s="99">
        <v>7</v>
      </c>
      <c r="BU96" s="99">
        <v>4863.5999999999995</v>
      </c>
      <c r="BV96" s="99">
        <v>6</v>
      </c>
      <c r="BW96" s="99">
        <v>4168.7999999999993</v>
      </c>
      <c r="BX96" s="99">
        <v>6</v>
      </c>
      <c r="BY96" s="99">
        <v>4168.7999999999993</v>
      </c>
      <c r="BZ96" s="99">
        <v>9</v>
      </c>
      <c r="CA96" s="99">
        <v>6253.2</v>
      </c>
      <c r="CB96" s="99">
        <v>11</v>
      </c>
      <c r="CC96" s="99">
        <v>7642.7999999999993</v>
      </c>
      <c r="CD96" s="99">
        <v>12</v>
      </c>
      <c r="CE96" s="99">
        <v>8337.5999999999985</v>
      </c>
      <c r="CF96" s="99">
        <v>9</v>
      </c>
      <c r="CG96" s="99">
        <v>6253.2</v>
      </c>
      <c r="CH96" s="99">
        <v>7</v>
      </c>
      <c r="CI96" s="99">
        <v>4863.5999999999995</v>
      </c>
      <c r="CJ96" s="99">
        <v>7</v>
      </c>
      <c r="CK96" s="99">
        <v>4863.5999999999995</v>
      </c>
      <c r="CL96" s="99">
        <v>7</v>
      </c>
      <c r="CM96" s="99">
        <v>4863.5999999999995</v>
      </c>
      <c r="CN96" s="99">
        <v>10</v>
      </c>
      <c r="CO96" s="99">
        <v>6948</v>
      </c>
      <c r="CP96" s="99">
        <v>9</v>
      </c>
      <c r="CQ96" s="99">
        <v>6253.2</v>
      </c>
      <c r="CR96" s="99">
        <v>11</v>
      </c>
      <c r="CS96" s="99">
        <v>7642.7999999999993</v>
      </c>
      <c r="CT96" s="99">
        <v>10</v>
      </c>
      <c r="CU96" s="99">
        <v>6948</v>
      </c>
    </row>
    <row r="97" spans="2:99">
      <c r="C97" s="98" t="s">
        <v>263</v>
      </c>
      <c r="D97" s="99">
        <v>8</v>
      </c>
      <c r="E97" s="99">
        <v>3139.2</v>
      </c>
      <c r="F97" s="99">
        <v>6</v>
      </c>
      <c r="G97" s="99">
        <v>2354.3999999999996</v>
      </c>
      <c r="H97" s="99">
        <v>8</v>
      </c>
      <c r="I97" s="99">
        <v>3139.2</v>
      </c>
      <c r="J97" s="99">
        <v>9</v>
      </c>
      <c r="K97" s="99">
        <v>3531.6</v>
      </c>
      <c r="L97" s="99">
        <v>9</v>
      </c>
      <c r="M97" s="99">
        <v>3531.6</v>
      </c>
      <c r="N97" s="99">
        <v>9</v>
      </c>
      <c r="O97" s="99">
        <v>3531.6</v>
      </c>
      <c r="P97" s="99">
        <v>8</v>
      </c>
      <c r="Q97" s="99">
        <v>3139.2</v>
      </c>
      <c r="R97" s="99">
        <v>0</v>
      </c>
      <c r="S97" s="99">
        <v>0</v>
      </c>
      <c r="T97" s="99">
        <v>6</v>
      </c>
      <c r="U97" s="99">
        <v>2354.3999999999996</v>
      </c>
      <c r="V97" s="99">
        <v>6</v>
      </c>
      <c r="W97" s="99">
        <v>2354.3999999999996</v>
      </c>
      <c r="X97" s="99">
        <v>8</v>
      </c>
      <c r="Y97" s="99">
        <v>3139.2</v>
      </c>
      <c r="Z97" s="99">
        <v>12</v>
      </c>
      <c r="AA97" s="99">
        <v>4708.7999999999993</v>
      </c>
      <c r="AB97" s="99">
        <v>7</v>
      </c>
      <c r="AC97" s="99">
        <v>2746.7999999999997</v>
      </c>
      <c r="AD97" s="99">
        <v>7</v>
      </c>
      <c r="AE97" s="99">
        <v>2746.7999999999997</v>
      </c>
      <c r="AF97" s="99">
        <v>10</v>
      </c>
      <c r="AG97" s="99">
        <v>3924</v>
      </c>
      <c r="AH97" s="99">
        <v>9</v>
      </c>
      <c r="AI97" s="99">
        <v>3531.6</v>
      </c>
      <c r="AJ97" s="99">
        <v>7</v>
      </c>
      <c r="AK97" s="99">
        <v>2746.7999999999997</v>
      </c>
      <c r="AL97" s="99">
        <v>12</v>
      </c>
      <c r="AM97" s="99">
        <v>4708.7999999999993</v>
      </c>
      <c r="AN97" s="99">
        <v>10</v>
      </c>
      <c r="AO97" s="99">
        <v>3924</v>
      </c>
      <c r="AP97" s="99">
        <v>9</v>
      </c>
      <c r="AQ97" s="99">
        <v>3531.6</v>
      </c>
      <c r="AR97" s="99">
        <v>7</v>
      </c>
      <c r="AS97" s="99">
        <v>2746.7999999999997</v>
      </c>
      <c r="AT97" s="99">
        <v>9</v>
      </c>
      <c r="AU97" s="99">
        <v>3531.6</v>
      </c>
      <c r="AV97" s="99">
        <v>6</v>
      </c>
      <c r="AW97" s="99">
        <v>2354.3999999999996</v>
      </c>
      <c r="AX97" s="99">
        <v>7</v>
      </c>
      <c r="AY97" s="99">
        <v>2746.7999999999997</v>
      </c>
      <c r="AZ97" s="99">
        <v>6</v>
      </c>
      <c r="BA97" s="99">
        <v>2354.3999999999996</v>
      </c>
      <c r="BB97" s="99">
        <v>8</v>
      </c>
      <c r="BC97" s="99">
        <v>3139.2</v>
      </c>
      <c r="BD97" s="99">
        <v>12</v>
      </c>
      <c r="BE97" s="99">
        <v>4708.7999999999993</v>
      </c>
      <c r="BF97" s="99">
        <v>9</v>
      </c>
      <c r="BG97" s="99">
        <v>3531.6</v>
      </c>
      <c r="BH97" s="99">
        <v>7</v>
      </c>
      <c r="BI97" s="99">
        <v>2746.7999999999997</v>
      </c>
      <c r="BJ97" s="99">
        <v>9</v>
      </c>
      <c r="BK97" s="99">
        <v>3531.6</v>
      </c>
      <c r="BL97" s="99">
        <v>13</v>
      </c>
      <c r="BM97" s="99">
        <v>5101.2</v>
      </c>
      <c r="BN97" s="99">
        <v>10</v>
      </c>
      <c r="BO97" s="99">
        <v>3924</v>
      </c>
      <c r="BP97" s="99">
        <v>11</v>
      </c>
      <c r="BQ97" s="99">
        <v>4316.3999999999996</v>
      </c>
      <c r="BR97" s="99">
        <v>8</v>
      </c>
      <c r="BS97" s="99">
        <v>3139.2</v>
      </c>
      <c r="BT97" s="99">
        <v>7</v>
      </c>
      <c r="BU97" s="99">
        <v>2746.7999999999997</v>
      </c>
      <c r="BV97" s="99">
        <v>7</v>
      </c>
      <c r="BW97" s="99">
        <v>2746.7999999999997</v>
      </c>
      <c r="BX97" s="99">
        <v>7</v>
      </c>
      <c r="BY97" s="99">
        <v>2746.7999999999997</v>
      </c>
      <c r="BZ97" s="99">
        <v>10</v>
      </c>
      <c r="CA97" s="99">
        <v>3924</v>
      </c>
      <c r="CB97" s="99">
        <v>11</v>
      </c>
      <c r="CC97" s="99">
        <v>4316.3999999999996</v>
      </c>
      <c r="CD97" s="99">
        <v>13</v>
      </c>
      <c r="CE97" s="99">
        <v>5101.2</v>
      </c>
      <c r="CF97" s="99">
        <v>9</v>
      </c>
      <c r="CG97" s="99">
        <v>3531.6</v>
      </c>
      <c r="CH97" s="99">
        <v>8</v>
      </c>
      <c r="CI97" s="99">
        <v>3139.2</v>
      </c>
      <c r="CJ97" s="99">
        <v>8</v>
      </c>
      <c r="CK97" s="99">
        <v>3139.2</v>
      </c>
      <c r="CL97" s="99">
        <v>7</v>
      </c>
      <c r="CM97" s="99">
        <v>2746.7999999999997</v>
      </c>
      <c r="CN97" s="99">
        <v>13</v>
      </c>
      <c r="CO97" s="99">
        <v>5101.2</v>
      </c>
      <c r="CP97" s="99">
        <v>9</v>
      </c>
      <c r="CQ97" s="99">
        <v>3531.6</v>
      </c>
      <c r="CR97" s="99">
        <v>11</v>
      </c>
      <c r="CS97" s="99">
        <v>4316.3999999999996</v>
      </c>
      <c r="CT97" s="99">
        <v>10</v>
      </c>
      <c r="CU97" s="99">
        <v>3924</v>
      </c>
    </row>
    <row r="98" spans="2:99">
      <c r="C98" s="98" t="s">
        <v>264</v>
      </c>
      <c r="D98" s="99">
        <v>8</v>
      </c>
      <c r="E98" s="99">
        <v>4204.8</v>
      </c>
      <c r="F98" s="99">
        <v>6</v>
      </c>
      <c r="G98" s="99">
        <v>3153.6000000000004</v>
      </c>
      <c r="H98" s="99">
        <v>8</v>
      </c>
      <c r="I98" s="99">
        <v>4204.8</v>
      </c>
      <c r="J98" s="99">
        <v>8</v>
      </c>
      <c r="K98" s="99">
        <v>4204.8</v>
      </c>
      <c r="L98" s="99">
        <v>9</v>
      </c>
      <c r="M98" s="99">
        <v>4730.4000000000005</v>
      </c>
      <c r="N98" s="99">
        <v>7</v>
      </c>
      <c r="O98" s="99">
        <v>3679.2000000000003</v>
      </c>
      <c r="P98" s="99">
        <v>8</v>
      </c>
      <c r="Q98" s="99">
        <v>4204.8</v>
      </c>
      <c r="R98" s="99">
        <v>0</v>
      </c>
      <c r="S98" s="99">
        <v>0</v>
      </c>
      <c r="T98" s="99">
        <v>6</v>
      </c>
      <c r="U98" s="99">
        <v>3153.6000000000004</v>
      </c>
      <c r="V98" s="99">
        <v>6</v>
      </c>
      <c r="W98" s="99">
        <v>3153.6000000000004</v>
      </c>
      <c r="X98" s="99">
        <v>7</v>
      </c>
      <c r="Y98" s="99">
        <v>3679.2000000000003</v>
      </c>
      <c r="Z98" s="99">
        <v>11</v>
      </c>
      <c r="AA98" s="99">
        <v>5781.6</v>
      </c>
      <c r="AB98" s="99">
        <v>8</v>
      </c>
      <c r="AC98" s="99">
        <v>4204.8</v>
      </c>
      <c r="AD98" s="99">
        <v>7</v>
      </c>
      <c r="AE98" s="99">
        <v>3679.2000000000003</v>
      </c>
      <c r="AF98" s="99">
        <v>11</v>
      </c>
      <c r="AG98" s="99">
        <v>5781.6</v>
      </c>
      <c r="AH98" s="99">
        <v>9</v>
      </c>
      <c r="AI98" s="99">
        <v>4730.4000000000005</v>
      </c>
      <c r="AJ98" s="99">
        <v>6</v>
      </c>
      <c r="AK98" s="99">
        <v>3153.6000000000004</v>
      </c>
      <c r="AL98" s="99">
        <v>11</v>
      </c>
      <c r="AM98" s="99">
        <v>5781.6</v>
      </c>
      <c r="AN98" s="99">
        <v>10</v>
      </c>
      <c r="AO98" s="99">
        <v>5256</v>
      </c>
      <c r="AP98" s="99">
        <v>10</v>
      </c>
      <c r="AQ98" s="99">
        <v>5256</v>
      </c>
      <c r="AR98" s="99">
        <v>6</v>
      </c>
      <c r="AS98" s="99">
        <v>3153.6000000000004</v>
      </c>
      <c r="AT98" s="99">
        <v>9</v>
      </c>
      <c r="AU98" s="99">
        <v>4730.4000000000005</v>
      </c>
      <c r="AV98" s="99">
        <v>7</v>
      </c>
      <c r="AW98" s="99">
        <v>3679.2000000000003</v>
      </c>
      <c r="AX98" s="99">
        <v>7</v>
      </c>
      <c r="AY98" s="99">
        <v>3679.2000000000003</v>
      </c>
      <c r="AZ98" s="99">
        <v>6</v>
      </c>
      <c r="BA98" s="99">
        <v>3153.6000000000004</v>
      </c>
      <c r="BB98" s="99">
        <v>7</v>
      </c>
      <c r="BC98" s="99">
        <v>3679.2000000000003</v>
      </c>
      <c r="BD98" s="99">
        <v>11</v>
      </c>
      <c r="BE98" s="99">
        <v>5781.6</v>
      </c>
      <c r="BF98" s="99">
        <v>8</v>
      </c>
      <c r="BG98" s="99">
        <v>4204.8</v>
      </c>
      <c r="BH98" s="99">
        <v>7</v>
      </c>
      <c r="BI98" s="99">
        <v>3679.2000000000003</v>
      </c>
      <c r="BJ98" s="99">
        <v>9</v>
      </c>
      <c r="BK98" s="99">
        <v>4730.4000000000005</v>
      </c>
      <c r="BL98" s="99">
        <v>11</v>
      </c>
      <c r="BM98" s="99">
        <v>5781.6</v>
      </c>
      <c r="BN98" s="99">
        <v>10</v>
      </c>
      <c r="BO98" s="99">
        <v>5256</v>
      </c>
      <c r="BP98" s="99">
        <v>12</v>
      </c>
      <c r="BQ98" s="99">
        <v>6307.2000000000007</v>
      </c>
      <c r="BR98" s="99">
        <v>9</v>
      </c>
      <c r="BS98" s="99">
        <v>4730.4000000000005</v>
      </c>
      <c r="BT98" s="99">
        <v>7</v>
      </c>
      <c r="BU98" s="99">
        <v>3679.2000000000003</v>
      </c>
      <c r="BV98" s="99">
        <v>7</v>
      </c>
      <c r="BW98" s="99">
        <v>3679.2000000000003</v>
      </c>
      <c r="BX98" s="99">
        <v>8</v>
      </c>
      <c r="BY98" s="99">
        <v>4204.8</v>
      </c>
      <c r="BZ98" s="99">
        <v>10</v>
      </c>
      <c r="CA98" s="99">
        <v>5256</v>
      </c>
      <c r="CB98" s="99">
        <v>11</v>
      </c>
      <c r="CC98" s="99">
        <v>5781.6</v>
      </c>
      <c r="CD98" s="99">
        <v>11</v>
      </c>
      <c r="CE98" s="99">
        <v>5781.6</v>
      </c>
      <c r="CF98" s="99">
        <v>8</v>
      </c>
      <c r="CG98" s="99">
        <v>4204.8</v>
      </c>
      <c r="CH98" s="99">
        <v>8</v>
      </c>
      <c r="CI98" s="99">
        <v>4204.8</v>
      </c>
      <c r="CJ98" s="99">
        <v>8</v>
      </c>
      <c r="CK98" s="99">
        <v>4204.8</v>
      </c>
      <c r="CL98" s="99">
        <v>7</v>
      </c>
      <c r="CM98" s="99">
        <v>3679.2000000000003</v>
      </c>
      <c r="CN98" s="99">
        <v>11</v>
      </c>
      <c r="CO98" s="99">
        <v>5781.6</v>
      </c>
      <c r="CP98" s="99">
        <v>9</v>
      </c>
      <c r="CQ98" s="99">
        <v>4730.4000000000005</v>
      </c>
      <c r="CR98" s="99">
        <v>11</v>
      </c>
      <c r="CS98" s="99">
        <v>5781.6</v>
      </c>
      <c r="CT98" s="99">
        <v>11</v>
      </c>
      <c r="CU98" s="99">
        <v>5781.6</v>
      </c>
    </row>
    <row r="99" spans="2:99">
      <c r="C99" s="98" t="s">
        <v>265</v>
      </c>
      <c r="D99" s="99">
        <v>6</v>
      </c>
      <c r="E99" s="99">
        <v>25250.399999999998</v>
      </c>
      <c r="F99" s="99">
        <v>5</v>
      </c>
      <c r="G99" s="99">
        <v>21042</v>
      </c>
      <c r="H99" s="99">
        <v>6</v>
      </c>
      <c r="I99" s="99">
        <v>25250.399999999998</v>
      </c>
      <c r="J99" s="99">
        <v>7</v>
      </c>
      <c r="K99" s="99">
        <v>29458.799999999996</v>
      </c>
      <c r="L99" s="99">
        <v>6</v>
      </c>
      <c r="M99" s="99">
        <v>25250.399999999998</v>
      </c>
      <c r="N99" s="99">
        <v>6</v>
      </c>
      <c r="O99" s="99">
        <v>25250.399999999998</v>
      </c>
      <c r="P99" s="99">
        <v>7</v>
      </c>
      <c r="Q99" s="99">
        <v>29458.799999999996</v>
      </c>
      <c r="R99" s="99">
        <v>0</v>
      </c>
      <c r="S99" s="99">
        <v>0</v>
      </c>
      <c r="T99" s="99">
        <v>4</v>
      </c>
      <c r="U99" s="99">
        <v>16833.599999999999</v>
      </c>
      <c r="V99" s="99">
        <v>4</v>
      </c>
      <c r="W99" s="99">
        <v>16833.599999999999</v>
      </c>
      <c r="X99" s="99">
        <v>5</v>
      </c>
      <c r="Y99" s="99">
        <v>21042</v>
      </c>
      <c r="Z99" s="99">
        <v>9</v>
      </c>
      <c r="AA99" s="99">
        <v>37875.599999999999</v>
      </c>
      <c r="AB99" s="99">
        <v>6</v>
      </c>
      <c r="AC99" s="99">
        <v>25250.399999999998</v>
      </c>
      <c r="AD99" s="99">
        <v>5</v>
      </c>
      <c r="AE99" s="99">
        <v>21042</v>
      </c>
      <c r="AF99" s="99">
        <v>8</v>
      </c>
      <c r="AG99" s="99">
        <v>33667.199999999997</v>
      </c>
      <c r="AH99" s="99">
        <v>6</v>
      </c>
      <c r="AI99" s="99">
        <v>25250.399999999998</v>
      </c>
      <c r="AJ99" s="99">
        <v>5</v>
      </c>
      <c r="AK99" s="99">
        <v>21042</v>
      </c>
      <c r="AL99" s="99">
        <v>9</v>
      </c>
      <c r="AM99" s="99">
        <v>37875.599999999999</v>
      </c>
      <c r="AN99" s="99">
        <v>7</v>
      </c>
      <c r="AO99" s="99">
        <v>29458.799999999996</v>
      </c>
      <c r="AP99" s="99">
        <v>7</v>
      </c>
      <c r="AQ99" s="99">
        <v>29458.799999999996</v>
      </c>
      <c r="AR99" s="99">
        <v>5</v>
      </c>
      <c r="AS99" s="99">
        <v>21042</v>
      </c>
      <c r="AT99" s="99">
        <v>7</v>
      </c>
      <c r="AU99" s="99">
        <v>29458.799999999996</v>
      </c>
      <c r="AV99" s="99">
        <v>5</v>
      </c>
      <c r="AW99" s="99">
        <v>21042</v>
      </c>
      <c r="AX99" s="99">
        <v>6</v>
      </c>
      <c r="AY99" s="99">
        <v>25250.399999999998</v>
      </c>
      <c r="AZ99" s="99">
        <v>5</v>
      </c>
      <c r="BA99" s="99">
        <v>21042</v>
      </c>
      <c r="BB99" s="99">
        <v>5</v>
      </c>
      <c r="BC99" s="99">
        <v>21042</v>
      </c>
      <c r="BD99" s="99">
        <v>9</v>
      </c>
      <c r="BE99" s="99">
        <v>37875.599999999999</v>
      </c>
      <c r="BF99" s="99">
        <v>6</v>
      </c>
      <c r="BG99" s="99">
        <v>25250.399999999998</v>
      </c>
      <c r="BH99" s="99">
        <v>6</v>
      </c>
      <c r="BI99" s="99">
        <v>25250.399999999998</v>
      </c>
      <c r="BJ99" s="99">
        <v>7</v>
      </c>
      <c r="BK99" s="99">
        <v>29458.799999999996</v>
      </c>
      <c r="BL99" s="99">
        <v>8</v>
      </c>
      <c r="BM99" s="99">
        <v>33667.199999999997</v>
      </c>
      <c r="BN99" s="99">
        <v>8</v>
      </c>
      <c r="BO99" s="99">
        <v>33667.199999999997</v>
      </c>
      <c r="BP99" s="99">
        <v>9</v>
      </c>
      <c r="BQ99" s="99">
        <v>37875.599999999999</v>
      </c>
      <c r="BR99" s="99">
        <v>8</v>
      </c>
      <c r="BS99" s="99">
        <v>33667.199999999997</v>
      </c>
      <c r="BT99" s="99">
        <v>5</v>
      </c>
      <c r="BU99" s="99">
        <v>21042</v>
      </c>
      <c r="BV99" s="99">
        <v>5</v>
      </c>
      <c r="BW99" s="99">
        <v>21042</v>
      </c>
      <c r="BX99" s="99">
        <v>6</v>
      </c>
      <c r="BY99" s="99">
        <v>25250.399999999998</v>
      </c>
      <c r="BZ99" s="99">
        <v>7</v>
      </c>
      <c r="CA99" s="99">
        <v>29458.799999999996</v>
      </c>
      <c r="CB99" s="99">
        <v>7</v>
      </c>
      <c r="CC99" s="99">
        <v>29458.799999999996</v>
      </c>
      <c r="CD99" s="99">
        <v>9</v>
      </c>
      <c r="CE99" s="99">
        <v>37875.599999999999</v>
      </c>
      <c r="CF99" s="99">
        <v>6</v>
      </c>
      <c r="CG99" s="99">
        <v>25250.399999999998</v>
      </c>
      <c r="CH99" s="99">
        <v>5</v>
      </c>
      <c r="CI99" s="99">
        <v>21042</v>
      </c>
      <c r="CJ99" s="99">
        <v>6</v>
      </c>
      <c r="CK99" s="99">
        <v>25250.399999999998</v>
      </c>
      <c r="CL99" s="99">
        <v>5</v>
      </c>
      <c r="CM99" s="99">
        <v>21042</v>
      </c>
      <c r="CN99" s="99">
        <v>9</v>
      </c>
      <c r="CO99" s="99">
        <v>37875.599999999999</v>
      </c>
      <c r="CP99" s="99">
        <v>7</v>
      </c>
      <c r="CQ99" s="99">
        <v>29458.799999999996</v>
      </c>
      <c r="CR99" s="99">
        <v>7</v>
      </c>
      <c r="CS99" s="99">
        <v>29458.799999999996</v>
      </c>
      <c r="CT99" s="99">
        <v>7</v>
      </c>
      <c r="CU99" s="99">
        <v>29458.799999999996</v>
      </c>
    </row>
    <row r="100" spans="2:99">
      <c r="C100" s="98" t="s">
        <v>266</v>
      </c>
      <c r="D100" s="99">
        <v>9</v>
      </c>
      <c r="E100" s="99">
        <v>2916</v>
      </c>
      <c r="F100" s="99">
        <v>6</v>
      </c>
      <c r="G100" s="99">
        <v>1944</v>
      </c>
      <c r="H100" s="99">
        <v>8</v>
      </c>
      <c r="I100" s="99">
        <v>2592</v>
      </c>
      <c r="J100" s="99">
        <v>10</v>
      </c>
      <c r="K100" s="99">
        <v>3240</v>
      </c>
      <c r="L100" s="99">
        <v>8</v>
      </c>
      <c r="M100" s="99">
        <v>2592</v>
      </c>
      <c r="N100" s="99">
        <v>8</v>
      </c>
      <c r="O100" s="99">
        <v>2592</v>
      </c>
      <c r="P100" s="99">
        <v>9</v>
      </c>
      <c r="Q100" s="99">
        <v>2916</v>
      </c>
      <c r="R100" s="99">
        <v>0</v>
      </c>
      <c r="S100" s="99">
        <v>0</v>
      </c>
      <c r="T100" s="99">
        <v>6</v>
      </c>
      <c r="U100" s="99">
        <v>1944</v>
      </c>
      <c r="V100" s="99">
        <v>7</v>
      </c>
      <c r="W100" s="99">
        <v>2268</v>
      </c>
      <c r="X100" s="99">
        <v>8</v>
      </c>
      <c r="Y100" s="99">
        <v>2592</v>
      </c>
      <c r="Z100" s="99">
        <v>10</v>
      </c>
      <c r="AA100" s="99">
        <v>3240</v>
      </c>
      <c r="AB100" s="99">
        <v>8</v>
      </c>
      <c r="AC100" s="99">
        <v>2592</v>
      </c>
      <c r="AD100" s="99">
        <v>7</v>
      </c>
      <c r="AE100" s="99">
        <v>2268</v>
      </c>
      <c r="AF100" s="99">
        <v>11</v>
      </c>
      <c r="AG100" s="99">
        <v>3564</v>
      </c>
      <c r="AH100" s="99">
        <v>9</v>
      </c>
      <c r="AI100" s="99">
        <v>2916</v>
      </c>
      <c r="AJ100" s="99">
        <v>7</v>
      </c>
      <c r="AK100" s="99">
        <v>2268</v>
      </c>
      <c r="AL100" s="99">
        <v>13</v>
      </c>
      <c r="AM100" s="99">
        <v>4212</v>
      </c>
      <c r="AN100" s="99">
        <v>10</v>
      </c>
      <c r="AO100" s="99">
        <v>3240</v>
      </c>
      <c r="AP100" s="99">
        <v>11</v>
      </c>
      <c r="AQ100" s="99">
        <v>3564</v>
      </c>
      <c r="AR100" s="99">
        <v>8</v>
      </c>
      <c r="AS100" s="99">
        <v>2592</v>
      </c>
      <c r="AT100" s="99">
        <v>9</v>
      </c>
      <c r="AU100" s="99">
        <v>2916</v>
      </c>
      <c r="AV100" s="99">
        <v>6</v>
      </c>
      <c r="AW100" s="99">
        <v>1944</v>
      </c>
      <c r="AX100" s="99">
        <v>9</v>
      </c>
      <c r="AY100" s="99">
        <v>2916</v>
      </c>
      <c r="AZ100" s="99">
        <v>6</v>
      </c>
      <c r="BA100" s="99">
        <v>1944</v>
      </c>
      <c r="BB100" s="99">
        <v>8</v>
      </c>
      <c r="BC100" s="99">
        <v>2592</v>
      </c>
      <c r="BD100" s="99">
        <v>11</v>
      </c>
      <c r="BE100" s="99">
        <v>3564</v>
      </c>
      <c r="BF100" s="99">
        <v>9</v>
      </c>
      <c r="BG100" s="99">
        <v>2916</v>
      </c>
      <c r="BH100" s="99">
        <v>8</v>
      </c>
      <c r="BI100" s="99">
        <v>2592</v>
      </c>
      <c r="BJ100" s="99">
        <v>8</v>
      </c>
      <c r="BK100" s="99">
        <v>2592</v>
      </c>
      <c r="BL100" s="99">
        <v>13</v>
      </c>
      <c r="BM100" s="99">
        <v>4212</v>
      </c>
      <c r="BN100" s="99">
        <v>11</v>
      </c>
      <c r="BO100" s="99">
        <v>3564</v>
      </c>
      <c r="BP100" s="99">
        <v>12</v>
      </c>
      <c r="BQ100" s="99">
        <v>3888</v>
      </c>
      <c r="BR100" s="99">
        <v>9</v>
      </c>
      <c r="BS100" s="99">
        <v>2916</v>
      </c>
      <c r="BT100" s="99">
        <v>7</v>
      </c>
      <c r="BU100" s="99">
        <v>2268</v>
      </c>
      <c r="BV100" s="99">
        <v>6</v>
      </c>
      <c r="BW100" s="99">
        <v>1944</v>
      </c>
      <c r="BX100" s="99">
        <v>7</v>
      </c>
      <c r="BY100" s="99">
        <v>2268</v>
      </c>
      <c r="BZ100" s="99">
        <v>11</v>
      </c>
      <c r="CA100" s="99">
        <v>3564</v>
      </c>
      <c r="CB100" s="99">
        <v>10</v>
      </c>
      <c r="CC100" s="99">
        <v>3240</v>
      </c>
      <c r="CD100" s="99">
        <v>11</v>
      </c>
      <c r="CE100" s="99">
        <v>3564</v>
      </c>
      <c r="CF100" s="99">
        <v>8</v>
      </c>
      <c r="CG100" s="99">
        <v>2592</v>
      </c>
      <c r="CH100" s="99">
        <v>9</v>
      </c>
      <c r="CI100" s="99">
        <v>2916</v>
      </c>
      <c r="CJ100" s="99">
        <v>8</v>
      </c>
      <c r="CK100" s="99">
        <v>2592</v>
      </c>
      <c r="CL100" s="99">
        <v>6</v>
      </c>
      <c r="CM100" s="99">
        <v>1944</v>
      </c>
      <c r="CN100" s="99">
        <v>12</v>
      </c>
      <c r="CO100" s="99">
        <v>3888</v>
      </c>
      <c r="CP100" s="99">
        <v>8</v>
      </c>
      <c r="CQ100" s="99">
        <v>2592</v>
      </c>
      <c r="CR100" s="99">
        <v>11</v>
      </c>
      <c r="CS100" s="99">
        <v>3564</v>
      </c>
      <c r="CT100" s="99">
        <v>9</v>
      </c>
      <c r="CU100" s="99">
        <v>2916</v>
      </c>
    </row>
    <row r="101" spans="2:99">
      <c r="C101" s="98" t="s">
        <v>267</v>
      </c>
      <c r="D101" s="99">
        <v>8</v>
      </c>
      <c r="E101" s="99">
        <v>5788.8</v>
      </c>
      <c r="F101" s="99">
        <v>6</v>
      </c>
      <c r="G101" s="99">
        <v>4341.6000000000004</v>
      </c>
      <c r="H101" s="99">
        <v>8</v>
      </c>
      <c r="I101" s="99">
        <v>5788.8</v>
      </c>
      <c r="J101" s="99">
        <v>8</v>
      </c>
      <c r="K101" s="99">
        <v>5788.8</v>
      </c>
      <c r="L101" s="99">
        <v>9</v>
      </c>
      <c r="M101" s="99">
        <v>6512.4000000000005</v>
      </c>
      <c r="N101" s="99">
        <v>9</v>
      </c>
      <c r="O101" s="99">
        <v>6512.4000000000005</v>
      </c>
      <c r="P101" s="99">
        <v>10</v>
      </c>
      <c r="Q101" s="99">
        <v>7236</v>
      </c>
      <c r="R101" s="99">
        <v>0</v>
      </c>
      <c r="S101" s="99">
        <v>0</v>
      </c>
      <c r="T101" s="99">
        <v>6</v>
      </c>
      <c r="U101" s="99">
        <v>4341.6000000000004</v>
      </c>
      <c r="V101" s="99">
        <v>6</v>
      </c>
      <c r="W101" s="99">
        <v>4341.6000000000004</v>
      </c>
      <c r="X101" s="99">
        <v>7</v>
      </c>
      <c r="Y101" s="99">
        <v>5065.2</v>
      </c>
      <c r="Z101" s="99">
        <v>11</v>
      </c>
      <c r="AA101" s="99">
        <v>7959.6</v>
      </c>
      <c r="AB101" s="99">
        <v>7</v>
      </c>
      <c r="AC101" s="99">
        <v>5065.2</v>
      </c>
      <c r="AD101" s="99">
        <v>6</v>
      </c>
      <c r="AE101" s="99">
        <v>4341.6000000000004</v>
      </c>
      <c r="AF101" s="99">
        <v>10</v>
      </c>
      <c r="AG101" s="99">
        <v>7236</v>
      </c>
      <c r="AH101" s="99">
        <v>8</v>
      </c>
      <c r="AI101" s="99">
        <v>5788.8</v>
      </c>
      <c r="AJ101" s="99">
        <v>6</v>
      </c>
      <c r="AK101" s="99">
        <v>4341.6000000000004</v>
      </c>
      <c r="AL101" s="99">
        <v>11</v>
      </c>
      <c r="AM101" s="99">
        <v>7959.6</v>
      </c>
      <c r="AN101" s="99">
        <v>8</v>
      </c>
      <c r="AO101" s="99">
        <v>5788.8</v>
      </c>
      <c r="AP101" s="99">
        <v>10</v>
      </c>
      <c r="AQ101" s="99">
        <v>7236</v>
      </c>
      <c r="AR101" s="99">
        <v>7</v>
      </c>
      <c r="AS101" s="99">
        <v>5065.2</v>
      </c>
      <c r="AT101" s="99">
        <v>10</v>
      </c>
      <c r="AU101" s="99">
        <v>7236</v>
      </c>
      <c r="AV101" s="99">
        <v>6</v>
      </c>
      <c r="AW101" s="99">
        <v>4341.6000000000004</v>
      </c>
      <c r="AX101" s="99">
        <v>8</v>
      </c>
      <c r="AY101" s="99">
        <v>5788.8</v>
      </c>
      <c r="AZ101" s="99">
        <v>6</v>
      </c>
      <c r="BA101" s="99">
        <v>4341.6000000000004</v>
      </c>
      <c r="BB101" s="99">
        <v>8</v>
      </c>
      <c r="BC101" s="99">
        <v>5788.8</v>
      </c>
      <c r="BD101" s="99">
        <v>11</v>
      </c>
      <c r="BE101" s="99">
        <v>7959.6</v>
      </c>
      <c r="BF101" s="99">
        <v>8</v>
      </c>
      <c r="BG101" s="99">
        <v>5788.8</v>
      </c>
      <c r="BH101" s="99">
        <v>7</v>
      </c>
      <c r="BI101" s="99">
        <v>5065.2</v>
      </c>
      <c r="BJ101" s="99">
        <v>8</v>
      </c>
      <c r="BK101" s="99">
        <v>5788.8</v>
      </c>
      <c r="BL101" s="99">
        <v>12</v>
      </c>
      <c r="BM101" s="99">
        <v>8683.2000000000007</v>
      </c>
      <c r="BN101" s="99">
        <v>10</v>
      </c>
      <c r="BO101" s="99">
        <v>7236</v>
      </c>
      <c r="BP101" s="99">
        <v>12</v>
      </c>
      <c r="BQ101" s="99">
        <v>8683.2000000000007</v>
      </c>
      <c r="BR101" s="99">
        <v>9</v>
      </c>
      <c r="BS101" s="99">
        <v>6512.4000000000005</v>
      </c>
      <c r="BT101" s="99">
        <v>7</v>
      </c>
      <c r="BU101" s="99">
        <v>5065.2</v>
      </c>
      <c r="BV101" s="99">
        <v>6</v>
      </c>
      <c r="BW101" s="99">
        <v>4341.6000000000004</v>
      </c>
      <c r="BX101" s="99">
        <v>7</v>
      </c>
      <c r="BY101" s="99">
        <v>5065.2</v>
      </c>
      <c r="BZ101" s="99">
        <v>11</v>
      </c>
      <c r="CA101" s="99">
        <v>7959.6</v>
      </c>
      <c r="CB101" s="99">
        <v>10</v>
      </c>
      <c r="CC101" s="99">
        <v>7236</v>
      </c>
      <c r="CD101" s="99">
        <v>11</v>
      </c>
      <c r="CE101" s="99">
        <v>7959.6</v>
      </c>
      <c r="CF101" s="99">
        <v>8</v>
      </c>
      <c r="CG101" s="99">
        <v>5788.8</v>
      </c>
      <c r="CH101" s="99">
        <v>7</v>
      </c>
      <c r="CI101" s="99">
        <v>5065.2</v>
      </c>
      <c r="CJ101" s="99">
        <v>8</v>
      </c>
      <c r="CK101" s="99">
        <v>5788.8</v>
      </c>
      <c r="CL101" s="99">
        <v>6</v>
      </c>
      <c r="CM101" s="99">
        <v>4341.6000000000004</v>
      </c>
      <c r="CN101" s="99">
        <v>11</v>
      </c>
      <c r="CO101" s="99">
        <v>7959.6</v>
      </c>
      <c r="CP101" s="99">
        <v>9</v>
      </c>
      <c r="CQ101" s="99">
        <v>6512.4000000000005</v>
      </c>
      <c r="CR101" s="99">
        <v>11</v>
      </c>
      <c r="CS101" s="99">
        <v>7959.6</v>
      </c>
      <c r="CT101" s="99">
        <v>11</v>
      </c>
      <c r="CU101" s="99">
        <v>7959.6</v>
      </c>
    </row>
    <row r="102" spans="2:99">
      <c r="C102" s="98" t="s">
        <v>268</v>
      </c>
      <c r="D102" s="99">
        <v>9</v>
      </c>
      <c r="E102" s="99">
        <v>4784.4000000000005</v>
      </c>
      <c r="F102" s="99">
        <v>7</v>
      </c>
      <c r="G102" s="99">
        <v>3721.2000000000003</v>
      </c>
      <c r="H102" s="99">
        <v>7</v>
      </c>
      <c r="I102" s="99">
        <v>3721.2000000000003</v>
      </c>
      <c r="J102" s="99">
        <v>9</v>
      </c>
      <c r="K102" s="99">
        <v>4784.4000000000005</v>
      </c>
      <c r="L102" s="99">
        <v>8</v>
      </c>
      <c r="M102" s="99">
        <v>4252.8</v>
      </c>
      <c r="N102" s="99">
        <v>9</v>
      </c>
      <c r="O102" s="99">
        <v>4784.4000000000005</v>
      </c>
      <c r="P102" s="99">
        <v>10</v>
      </c>
      <c r="Q102" s="99">
        <v>5316</v>
      </c>
      <c r="R102" s="99">
        <v>0</v>
      </c>
      <c r="S102" s="99">
        <v>0</v>
      </c>
      <c r="T102" s="99">
        <v>6</v>
      </c>
      <c r="U102" s="99">
        <v>3189.6000000000004</v>
      </c>
      <c r="V102" s="99">
        <v>6</v>
      </c>
      <c r="W102" s="99">
        <v>3189.6000000000004</v>
      </c>
      <c r="X102" s="99">
        <v>9</v>
      </c>
      <c r="Y102" s="99">
        <v>4784.4000000000005</v>
      </c>
      <c r="Z102" s="99">
        <v>12</v>
      </c>
      <c r="AA102" s="99">
        <v>6379.2000000000007</v>
      </c>
      <c r="AB102" s="99">
        <v>8</v>
      </c>
      <c r="AC102" s="99">
        <v>4252.8</v>
      </c>
      <c r="AD102" s="99">
        <v>7</v>
      </c>
      <c r="AE102" s="99">
        <v>3721.2000000000003</v>
      </c>
      <c r="AF102" s="99">
        <v>10</v>
      </c>
      <c r="AG102" s="99">
        <v>5316</v>
      </c>
      <c r="AH102" s="99">
        <v>10</v>
      </c>
      <c r="AI102" s="99">
        <v>5316</v>
      </c>
      <c r="AJ102" s="99">
        <v>7</v>
      </c>
      <c r="AK102" s="99">
        <v>3721.2000000000003</v>
      </c>
      <c r="AL102" s="99">
        <v>11</v>
      </c>
      <c r="AM102" s="99">
        <v>5847.6</v>
      </c>
      <c r="AN102" s="99">
        <v>9</v>
      </c>
      <c r="AO102" s="99">
        <v>4784.4000000000005</v>
      </c>
      <c r="AP102" s="99">
        <v>10</v>
      </c>
      <c r="AQ102" s="99">
        <v>5316</v>
      </c>
      <c r="AR102" s="99">
        <v>6</v>
      </c>
      <c r="AS102" s="99">
        <v>3189.6000000000004</v>
      </c>
      <c r="AT102" s="99">
        <v>9</v>
      </c>
      <c r="AU102" s="99">
        <v>4784.4000000000005</v>
      </c>
      <c r="AV102" s="99">
        <v>6</v>
      </c>
      <c r="AW102" s="99">
        <v>3189.6000000000004</v>
      </c>
      <c r="AX102" s="99">
        <v>8</v>
      </c>
      <c r="AY102" s="99">
        <v>4252.8</v>
      </c>
      <c r="AZ102" s="99">
        <v>6</v>
      </c>
      <c r="BA102" s="99">
        <v>3189.6000000000004</v>
      </c>
      <c r="BB102" s="99">
        <v>7</v>
      </c>
      <c r="BC102" s="99">
        <v>3721.2000000000003</v>
      </c>
      <c r="BD102" s="99">
        <v>12</v>
      </c>
      <c r="BE102" s="99">
        <v>6379.2000000000007</v>
      </c>
      <c r="BF102" s="99">
        <v>9</v>
      </c>
      <c r="BG102" s="99">
        <v>4784.4000000000005</v>
      </c>
      <c r="BH102" s="99">
        <v>8</v>
      </c>
      <c r="BI102" s="99">
        <v>4252.8</v>
      </c>
      <c r="BJ102" s="99">
        <v>8</v>
      </c>
      <c r="BK102" s="99">
        <v>4252.8</v>
      </c>
      <c r="BL102" s="99">
        <v>12</v>
      </c>
      <c r="BM102" s="99">
        <v>6379.2000000000007</v>
      </c>
      <c r="BN102" s="99">
        <v>11</v>
      </c>
      <c r="BO102" s="99">
        <v>5847.6</v>
      </c>
      <c r="BP102" s="99">
        <v>12</v>
      </c>
      <c r="BQ102" s="99">
        <v>6379.2000000000007</v>
      </c>
      <c r="BR102" s="99">
        <v>9</v>
      </c>
      <c r="BS102" s="99">
        <v>4784.4000000000005</v>
      </c>
      <c r="BT102" s="99">
        <v>7</v>
      </c>
      <c r="BU102" s="99">
        <v>3721.2000000000003</v>
      </c>
      <c r="BV102" s="99">
        <v>7</v>
      </c>
      <c r="BW102" s="99">
        <v>3721.2000000000003</v>
      </c>
      <c r="BX102" s="99">
        <v>7</v>
      </c>
      <c r="BY102" s="99">
        <v>3721.2000000000003</v>
      </c>
      <c r="BZ102" s="99">
        <v>11</v>
      </c>
      <c r="CA102" s="99">
        <v>5847.6</v>
      </c>
      <c r="CB102" s="99">
        <v>10</v>
      </c>
      <c r="CC102" s="99">
        <v>5316</v>
      </c>
      <c r="CD102" s="99">
        <v>11</v>
      </c>
      <c r="CE102" s="99">
        <v>5847.6</v>
      </c>
      <c r="CF102" s="99">
        <v>9</v>
      </c>
      <c r="CG102" s="99">
        <v>4784.4000000000005</v>
      </c>
      <c r="CH102" s="99">
        <v>7</v>
      </c>
      <c r="CI102" s="99">
        <v>3721.2000000000003</v>
      </c>
      <c r="CJ102" s="99">
        <v>7</v>
      </c>
      <c r="CK102" s="99">
        <v>3721.2000000000003</v>
      </c>
      <c r="CL102" s="99">
        <v>7</v>
      </c>
      <c r="CM102" s="99">
        <v>3721.2000000000003</v>
      </c>
      <c r="CN102" s="99">
        <v>11</v>
      </c>
      <c r="CO102" s="99">
        <v>5847.6</v>
      </c>
      <c r="CP102" s="99">
        <v>9</v>
      </c>
      <c r="CQ102" s="99">
        <v>4784.4000000000005</v>
      </c>
      <c r="CR102" s="99">
        <v>11</v>
      </c>
      <c r="CS102" s="99">
        <v>5847.6</v>
      </c>
      <c r="CT102" s="99">
        <v>10</v>
      </c>
      <c r="CU102" s="99">
        <v>5316</v>
      </c>
    </row>
    <row r="103" spans="2:99">
      <c r="C103" s="98" t="s">
        <v>269</v>
      </c>
      <c r="D103" s="99">
        <v>8</v>
      </c>
      <c r="E103" s="99">
        <v>4713.5999999999995</v>
      </c>
      <c r="F103" s="99">
        <v>7</v>
      </c>
      <c r="G103" s="99">
        <v>4124.3999999999996</v>
      </c>
      <c r="H103" s="99">
        <v>8</v>
      </c>
      <c r="I103" s="99">
        <v>4713.5999999999995</v>
      </c>
      <c r="J103" s="99">
        <v>8</v>
      </c>
      <c r="K103" s="99">
        <v>4713.5999999999995</v>
      </c>
      <c r="L103" s="99">
        <v>8</v>
      </c>
      <c r="M103" s="99">
        <v>4713.5999999999995</v>
      </c>
      <c r="N103" s="99">
        <v>8</v>
      </c>
      <c r="O103" s="99">
        <v>4713.5999999999995</v>
      </c>
      <c r="P103" s="99">
        <v>9</v>
      </c>
      <c r="Q103" s="99">
        <v>5302.7999999999993</v>
      </c>
      <c r="R103" s="99">
        <v>0</v>
      </c>
      <c r="S103" s="99">
        <v>0</v>
      </c>
      <c r="T103" s="99">
        <v>6</v>
      </c>
      <c r="U103" s="99">
        <v>3535.2</v>
      </c>
      <c r="V103" s="99">
        <v>6</v>
      </c>
      <c r="W103" s="99">
        <v>3535.2</v>
      </c>
      <c r="X103" s="99">
        <v>8</v>
      </c>
      <c r="Y103" s="99">
        <v>4713.5999999999995</v>
      </c>
      <c r="Z103" s="99">
        <v>11</v>
      </c>
      <c r="AA103" s="99">
        <v>6481.1999999999989</v>
      </c>
      <c r="AB103" s="99">
        <v>8</v>
      </c>
      <c r="AC103" s="99">
        <v>4713.5999999999995</v>
      </c>
      <c r="AD103" s="99">
        <v>6</v>
      </c>
      <c r="AE103" s="99">
        <v>3535.2</v>
      </c>
      <c r="AF103" s="99">
        <v>10</v>
      </c>
      <c r="AG103" s="99">
        <v>5891.9999999999991</v>
      </c>
      <c r="AH103" s="99">
        <v>9</v>
      </c>
      <c r="AI103" s="99">
        <v>5302.7999999999993</v>
      </c>
      <c r="AJ103" s="99">
        <v>7</v>
      </c>
      <c r="AK103" s="99">
        <v>4124.3999999999996</v>
      </c>
      <c r="AL103" s="99">
        <v>11</v>
      </c>
      <c r="AM103" s="99">
        <v>6481.1999999999989</v>
      </c>
      <c r="AN103" s="99">
        <v>10</v>
      </c>
      <c r="AO103" s="99">
        <v>5891.9999999999991</v>
      </c>
      <c r="AP103" s="99">
        <v>10</v>
      </c>
      <c r="AQ103" s="99">
        <v>5891.9999999999991</v>
      </c>
      <c r="AR103" s="99">
        <v>7</v>
      </c>
      <c r="AS103" s="99">
        <v>4124.3999999999996</v>
      </c>
      <c r="AT103" s="99">
        <v>9</v>
      </c>
      <c r="AU103" s="99">
        <v>5302.7999999999993</v>
      </c>
      <c r="AV103" s="99">
        <v>6</v>
      </c>
      <c r="AW103" s="99">
        <v>3535.2</v>
      </c>
      <c r="AX103" s="99">
        <v>8</v>
      </c>
      <c r="AY103" s="99">
        <v>4713.5999999999995</v>
      </c>
      <c r="AZ103" s="99">
        <v>7</v>
      </c>
      <c r="BA103" s="99">
        <v>4124.3999999999996</v>
      </c>
      <c r="BB103" s="99">
        <v>8</v>
      </c>
      <c r="BC103" s="99">
        <v>4713.5999999999995</v>
      </c>
      <c r="BD103" s="99">
        <v>12</v>
      </c>
      <c r="BE103" s="99">
        <v>7070.4</v>
      </c>
      <c r="BF103" s="99">
        <v>8</v>
      </c>
      <c r="BG103" s="99">
        <v>4713.5999999999995</v>
      </c>
      <c r="BH103" s="99">
        <v>7</v>
      </c>
      <c r="BI103" s="99">
        <v>4124.3999999999996</v>
      </c>
      <c r="BJ103" s="99">
        <v>9</v>
      </c>
      <c r="BK103" s="99">
        <v>5302.7999999999993</v>
      </c>
      <c r="BL103" s="99">
        <v>12</v>
      </c>
      <c r="BM103" s="99">
        <v>7070.4</v>
      </c>
      <c r="BN103" s="99">
        <v>11</v>
      </c>
      <c r="BO103" s="99">
        <v>6481.1999999999989</v>
      </c>
      <c r="BP103" s="99">
        <v>11</v>
      </c>
      <c r="BQ103" s="99">
        <v>6481.1999999999989</v>
      </c>
      <c r="BR103" s="99">
        <v>9</v>
      </c>
      <c r="BS103" s="99">
        <v>5302.7999999999993</v>
      </c>
      <c r="BT103" s="99">
        <v>7</v>
      </c>
      <c r="BU103" s="99">
        <v>4124.3999999999996</v>
      </c>
      <c r="BV103" s="99">
        <v>6</v>
      </c>
      <c r="BW103" s="99">
        <v>3535.2</v>
      </c>
      <c r="BX103" s="99">
        <v>8</v>
      </c>
      <c r="BY103" s="99">
        <v>4713.5999999999995</v>
      </c>
      <c r="BZ103" s="99">
        <v>9</v>
      </c>
      <c r="CA103" s="99">
        <v>5302.7999999999993</v>
      </c>
      <c r="CB103" s="99">
        <v>10</v>
      </c>
      <c r="CC103" s="99">
        <v>5891.9999999999991</v>
      </c>
      <c r="CD103" s="99">
        <v>12</v>
      </c>
      <c r="CE103" s="99">
        <v>7070.4</v>
      </c>
      <c r="CF103" s="99">
        <v>9</v>
      </c>
      <c r="CG103" s="99">
        <v>5302.7999999999993</v>
      </c>
      <c r="CH103" s="99">
        <v>8</v>
      </c>
      <c r="CI103" s="99">
        <v>4713.5999999999995</v>
      </c>
      <c r="CJ103" s="99">
        <v>8</v>
      </c>
      <c r="CK103" s="99">
        <v>4713.5999999999995</v>
      </c>
      <c r="CL103" s="99">
        <v>7</v>
      </c>
      <c r="CM103" s="99">
        <v>4124.3999999999996</v>
      </c>
      <c r="CN103" s="99">
        <v>12</v>
      </c>
      <c r="CO103" s="99">
        <v>7070.4</v>
      </c>
      <c r="CP103" s="99">
        <v>9</v>
      </c>
      <c r="CQ103" s="99">
        <v>5302.7999999999993</v>
      </c>
      <c r="CR103" s="99">
        <v>10</v>
      </c>
      <c r="CS103" s="99">
        <v>5891.9999999999991</v>
      </c>
      <c r="CT103" s="99">
        <v>10</v>
      </c>
      <c r="CU103" s="99">
        <v>5891.9999999999991</v>
      </c>
    </row>
    <row r="104" spans="2:99">
      <c r="C104" s="98" t="s">
        <v>270</v>
      </c>
      <c r="D104" s="99">
        <v>8</v>
      </c>
      <c r="E104" s="99">
        <v>5059.2</v>
      </c>
      <c r="F104" s="99">
        <v>6</v>
      </c>
      <c r="G104" s="99">
        <v>3794.3999999999996</v>
      </c>
      <c r="H104" s="99">
        <v>7</v>
      </c>
      <c r="I104" s="99">
        <v>4426.8</v>
      </c>
      <c r="J104" s="99">
        <v>9</v>
      </c>
      <c r="K104" s="99">
        <v>5691.5999999999995</v>
      </c>
      <c r="L104" s="99">
        <v>9</v>
      </c>
      <c r="M104" s="99">
        <v>5691.5999999999995</v>
      </c>
      <c r="N104" s="99">
        <v>9</v>
      </c>
      <c r="O104" s="99">
        <v>5691.5999999999995</v>
      </c>
      <c r="P104" s="99">
        <v>9</v>
      </c>
      <c r="Q104" s="99">
        <v>5691.5999999999995</v>
      </c>
      <c r="R104" s="99">
        <v>0</v>
      </c>
      <c r="S104" s="99">
        <v>0</v>
      </c>
      <c r="T104" s="99">
        <v>6</v>
      </c>
      <c r="U104" s="99">
        <v>3794.3999999999996</v>
      </c>
      <c r="V104" s="99">
        <v>6</v>
      </c>
      <c r="W104" s="99">
        <v>3794.3999999999996</v>
      </c>
      <c r="X104" s="99">
        <v>9</v>
      </c>
      <c r="Y104" s="99">
        <v>5691.5999999999995</v>
      </c>
      <c r="Z104" s="99">
        <v>10</v>
      </c>
      <c r="AA104" s="99">
        <v>6324</v>
      </c>
      <c r="AB104" s="99">
        <v>7</v>
      </c>
      <c r="AC104" s="99">
        <v>4426.8</v>
      </c>
      <c r="AD104" s="99">
        <v>6</v>
      </c>
      <c r="AE104" s="99">
        <v>3794.3999999999996</v>
      </c>
      <c r="AF104" s="99">
        <v>11</v>
      </c>
      <c r="AG104" s="99">
        <v>6956.4</v>
      </c>
      <c r="AH104" s="99">
        <v>9</v>
      </c>
      <c r="AI104" s="99">
        <v>5691.5999999999995</v>
      </c>
      <c r="AJ104" s="99">
        <v>7</v>
      </c>
      <c r="AK104" s="99">
        <v>4426.8</v>
      </c>
      <c r="AL104" s="99">
        <v>11</v>
      </c>
      <c r="AM104" s="99">
        <v>6956.4</v>
      </c>
      <c r="AN104" s="99">
        <v>10</v>
      </c>
      <c r="AO104" s="99">
        <v>6324</v>
      </c>
      <c r="AP104" s="99">
        <v>9</v>
      </c>
      <c r="AQ104" s="99">
        <v>5691.5999999999995</v>
      </c>
      <c r="AR104" s="99">
        <v>7</v>
      </c>
      <c r="AS104" s="99">
        <v>4426.8</v>
      </c>
      <c r="AT104" s="99">
        <v>9</v>
      </c>
      <c r="AU104" s="99">
        <v>5691.5999999999995</v>
      </c>
      <c r="AV104" s="99">
        <v>6</v>
      </c>
      <c r="AW104" s="99">
        <v>3794.3999999999996</v>
      </c>
      <c r="AX104" s="99">
        <v>8</v>
      </c>
      <c r="AY104" s="99">
        <v>5059.2</v>
      </c>
      <c r="AZ104" s="99">
        <v>7</v>
      </c>
      <c r="BA104" s="99">
        <v>4426.8</v>
      </c>
      <c r="BB104" s="99">
        <v>8</v>
      </c>
      <c r="BC104" s="99">
        <v>5059.2</v>
      </c>
      <c r="BD104" s="99">
        <v>10</v>
      </c>
      <c r="BE104" s="99">
        <v>6324</v>
      </c>
      <c r="BF104" s="99">
        <v>8</v>
      </c>
      <c r="BG104" s="99">
        <v>5059.2</v>
      </c>
      <c r="BH104" s="99">
        <v>7</v>
      </c>
      <c r="BI104" s="99">
        <v>4426.8</v>
      </c>
      <c r="BJ104" s="99">
        <v>8</v>
      </c>
      <c r="BK104" s="99">
        <v>5059.2</v>
      </c>
      <c r="BL104" s="99">
        <v>12</v>
      </c>
      <c r="BM104" s="99">
        <v>7588.7999999999993</v>
      </c>
      <c r="BN104" s="99">
        <v>10</v>
      </c>
      <c r="BO104" s="99">
        <v>6324</v>
      </c>
      <c r="BP104" s="99">
        <v>12</v>
      </c>
      <c r="BQ104" s="99">
        <v>7588.7999999999993</v>
      </c>
      <c r="BR104" s="99">
        <v>9</v>
      </c>
      <c r="BS104" s="99">
        <v>5691.5999999999995</v>
      </c>
      <c r="BT104" s="99">
        <v>6</v>
      </c>
      <c r="BU104" s="99">
        <v>3794.3999999999996</v>
      </c>
      <c r="BV104" s="99">
        <v>6</v>
      </c>
      <c r="BW104" s="99">
        <v>3794.3999999999996</v>
      </c>
      <c r="BX104" s="99">
        <v>7</v>
      </c>
      <c r="BY104" s="99">
        <v>4426.8</v>
      </c>
      <c r="BZ104" s="99">
        <v>9</v>
      </c>
      <c r="CA104" s="99">
        <v>5691.5999999999995</v>
      </c>
      <c r="CB104" s="99">
        <v>11</v>
      </c>
      <c r="CC104" s="99">
        <v>6956.4</v>
      </c>
      <c r="CD104" s="99">
        <v>11</v>
      </c>
      <c r="CE104" s="99">
        <v>6956.4</v>
      </c>
      <c r="CF104" s="99">
        <v>8</v>
      </c>
      <c r="CG104" s="99">
        <v>5059.2</v>
      </c>
      <c r="CH104" s="99">
        <v>8</v>
      </c>
      <c r="CI104" s="99">
        <v>5059.2</v>
      </c>
      <c r="CJ104" s="99">
        <v>7</v>
      </c>
      <c r="CK104" s="99">
        <v>4426.8</v>
      </c>
      <c r="CL104" s="99">
        <v>7</v>
      </c>
      <c r="CM104" s="99">
        <v>4426.8</v>
      </c>
      <c r="CN104" s="99">
        <v>12</v>
      </c>
      <c r="CO104" s="99">
        <v>7588.7999999999993</v>
      </c>
      <c r="CP104" s="99">
        <v>8</v>
      </c>
      <c r="CQ104" s="99">
        <v>5059.2</v>
      </c>
      <c r="CR104" s="99">
        <v>10</v>
      </c>
      <c r="CS104" s="99">
        <v>6324</v>
      </c>
      <c r="CT104" s="99">
        <v>10</v>
      </c>
      <c r="CU104" s="99">
        <v>6324</v>
      </c>
    </row>
    <row r="105" spans="2:99">
      <c r="C105" s="98" t="s">
        <v>271</v>
      </c>
      <c r="D105" s="99">
        <v>9</v>
      </c>
      <c r="E105" s="99">
        <v>5011.2</v>
      </c>
      <c r="F105" s="99">
        <v>6</v>
      </c>
      <c r="G105" s="99">
        <v>3340.7999999999997</v>
      </c>
      <c r="H105" s="99">
        <v>7</v>
      </c>
      <c r="I105" s="99">
        <v>3897.5999999999995</v>
      </c>
      <c r="J105" s="99">
        <v>9</v>
      </c>
      <c r="K105" s="99">
        <v>5011.2</v>
      </c>
      <c r="L105" s="99">
        <v>8</v>
      </c>
      <c r="M105" s="99">
        <v>4454.3999999999996</v>
      </c>
      <c r="N105" s="99">
        <v>8</v>
      </c>
      <c r="O105" s="99">
        <v>4454.3999999999996</v>
      </c>
      <c r="P105" s="99">
        <v>9</v>
      </c>
      <c r="Q105" s="99">
        <v>5011.2</v>
      </c>
      <c r="R105" s="99">
        <v>0</v>
      </c>
      <c r="S105" s="99">
        <v>0</v>
      </c>
      <c r="T105" s="99">
        <v>5</v>
      </c>
      <c r="U105" s="99">
        <v>2784</v>
      </c>
      <c r="V105" s="99">
        <v>6</v>
      </c>
      <c r="W105" s="99">
        <v>3340.7999999999997</v>
      </c>
      <c r="X105" s="99">
        <v>8</v>
      </c>
      <c r="Y105" s="99">
        <v>4454.3999999999996</v>
      </c>
      <c r="Z105" s="99">
        <v>12</v>
      </c>
      <c r="AA105" s="99">
        <v>6681.5999999999995</v>
      </c>
      <c r="AB105" s="99">
        <v>7</v>
      </c>
      <c r="AC105" s="99">
        <v>3897.5999999999995</v>
      </c>
      <c r="AD105" s="99">
        <v>7</v>
      </c>
      <c r="AE105" s="99">
        <v>3897.5999999999995</v>
      </c>
      <c r="AF105" s="99">
        <v>11</v>
      </c>
      <c r="AG105" s="99">
        <v>6124.7999999999993</v>
      </c>
      <c r="AH105" s="99">
        <v>9</v>
      </c>
      <c r="AI105" s="99">
        <v>5011.2</v>
      </c>
      <c r="AJ105" s="99">
        <v>7</v>
      </c>
      <c r="AK105" s="99">
        <v>3897.5999999999995</v>
      </c>
      <c r="AL105" s="99">
        <v>11</v>
      </c>
      <c r="AM105" s="99">
        <v>6124.7999999999993</v>
      </c>
      <c r="AN105" s="99">
        <v>10</v>
      </c>
      <c r="AO105" s="99">
        <v>5568</v>
      </c>
      <c r="AP105" s="99">
        <v>9</v>
      </c>
      <c r="AQ105" s="99">
        <v>5011.2</v>
      </c>
      <c r="AR105" s="99">
        <v>7</v>
      </c>
      <c r="AS105" s="99">
        <v>3897.5999999999995</v>
      </c>
      <c r="AT105" s="99">
        <v>9</v>
      </c>
      <c r="AU105" s="99">
        <v>5011.2</v>
      </c>
      <c r="AV105" s="99">
        <v>6</v>
      </c>
      <c r="AW105" s="99">
        <v>3340.7999999999997</v>
      </c>
      <c r="AX105" s="99">
        <v>8</v>
      </c>
      <c r="AY105" s="99">
        <v>4454.3999999999996</v>
      </c>
      <c r="AZ105" s="99">
        <v>6</v>
      </c>
      <c r="BA105" s="99">
        <v>3340.7999999999997</v>
      </c>
      <c r="BB105" s="99">
        <v>7</v>
      </c>
      <c r="BC105" s="99">
        <v>3897.5999999999995</v>
      </c>
      <c r="BD105" s="99">
        <v>12</v>
      </c>
      <c r="BE105" s="99">
        <v>6681.5999999999995</v>
      </c>
      <c r="BF105" s="99">
        <v>8</v>
      </c>
      <c r="BG105" s="99">
        <v>4454.3999999999996</v>
      </c>
      <c r="BH105" s="99">
        <v>7</v>
      </c>
      <c r="BI105" s="99">
        <v>3897.5999999999995</v>
      </c>
      <c r="BJ105" s="99">
        <v>8</v>
      </c>
      <c r="BK105" s="99">
        <v>4454.3999999999996</v>
      </c>
      <c r="BL105" s="99">
        <v>12</v>
      </c>
      <c r="BM105" s="99">
        <v>6681.5999999999995</v>
      </c>
      <c r="BN105" s="99">
        <v>9</v>
      </c>
      <c r="BO105" s="99">
        <v>5011.2</v>
      </c>
      <c r="BP105" s="99">
        <v>11</v>
      </c>
      <c r="BQ105" s="99">
        <v>6124.7999999999993</v>
      </c>
      <c r="BR105" s="99">
        <v>10</v>
      </c>
      <c r="BS105" s="99">
        <v>5568</v>
      </c>
      <c r="BT105" s="99">
        <v>7</v>
      </c>
      <c r="BU105" s="99">
        <v>3897.5999999999995</v>
      </c>
      <c r="BV105" s="99">
        <v>6</v>
      </c>
      <c r="BW105" s="99">
        <v>3340.7999999999997</v>
      </c>
      <c r="BX105" s="99">
        <v>7</v>
      </c>
      <c r="BY105" s="99">
        <v>3897.5999999999995</v>
      </c>
      <c r="BZ105" s="99">
        <v>10</v>
      </c>
      <c r="CA105" s="99">
        <v>5568</v>
      </c>
      <c r="CB105" s="99">
        <v>11</v>
      </c>
      <c r="CC105" s="99">
        <v>6124.7999999999993</v>
      </c>
      <c r="CD105" s="99">
        <v>11</v>
      </c>
      <c r="CE105" s="99">
        <v>6124.7999999999993</v>
      </c>
      <c r="CF105" s="99">
        <v>8</v>
      </c>
      <c r="CG105" s="99">
        <v>4454.3999999999996</v>
      </c>
      <c r="CH105" s="99">
        <v>8</v>
      </c>
      <c r="CI105" s="99">
        <v>4454.3999999999996</v>
      </c>
      <c r="CJ105" s="99">
        <v>7</v>
      </c>
      <c r="CK105" s="99">
        <v>3897.5999999999995</v>
      </c>
      <c r="CL105" s="99">
        <v>6</v>
      </c>
      <c r="CM105" s="99">
        <v>3340.7999999999997</v>
      </c>
      <c r="CN105" s="99">
        <v>12</v>
      </c>
      <c r="CO105" s="99">
        <v>6681.5999999999995</v>
      </c>
      <c r="CP105" s="99">
        <v>10</v>
      </c>
      <c r="CQ105" s="99">
        <v>5568</v>
      </c>
      <c r="CR105" s="99">
        <v>11</v>
      </c>
      <c r="CS105" s="99">
        <v>6124.7999999999993</v>
      </c>
      <c r="CT105" s="99">
        <v>10</v>
      </c>
      <c r="CU105" s="99">
        <v>5568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1010</v>
      </c>
      <c r="E109" s="99">
        <f>SUM(L$6:L$19)+SUM(N$6:N$19)+SUM(P$6:P$19)+SUM(R$6:R$19)</f>
        <v>1056</v>
      </c>
      <c r="F109" s="99">
        <f>SUM(T$6:T$19)+SUM(V$6:V$19)+SUM(X$6:X$19)+SUM(Z$6:Z$19)</f>
        <v>957</v>
      </c>
      <c r="G109" s="99">
        <f>SUM(AB$6:AB$19)+SUM(AD$6:AD$19)+SUM(AF$6:AF$19)+SUM(AH$6:AH$19)</f>
        <v>1182</v>
      </c>
      <c r="H109" s="99">
        <f>SUM(AJ$6:AJ$19)+SUM(AL$6:AL$19)+SUM(AN$6:AN$19)+SUM(AP$6:AP$19)</f>
        <v>1074</v>
      </c>
      <c r="I109" s="99">
        <f>SUM(AR$6:AR$19)+SUM(AT$6:AT$19)+SUM(AV$6:AV$19)+SUM(AX$6:AX$19)</f>
        <v>1312</v>
      </c>
      <c r="J109" s="99">
        <f>SUM(AZ$6:AZ$19)+SUM(BB$6:BB$19)+SUM(BD$6:BD$19)+SUM(BF$6:BF$19)</f>
        <v>937</v>
      </c>
      <c r="K109" s="99">
        <f>SUM(BH$6:BH$19)+SUM(BJ$6:BJ$19)+SUM(BL$6:BL$19)+SUM(BN$6:BN$19)</f>
        <v>1374</v>
      </c>
      <c r="L109" s="99">
        <f>SUM(BP$6:BP$19)+SUM(BR$6:BR$19)+SUM(BT$6:BT$19)+SUM(BV$6:BV$19)</f>
        <v>1065</v>
      </c>
      <c r="M109" s="99">
        <f>SUM(BX$6:BX$19)+SUM(BZ$6:BZ$19)+SUM(CB$6:CB$19)+SUM(CD$6:CD$19)</f>
        <v>1444</v>
      </c>
      <c r="N109" s="99">
        <f>SUM(CF$6:CF$19)+SUM(CH$6:CH$19)+SUM(CJ$6:CJ$19)+SUM(CL$6:CL$19)</f>
        <v>1386</v>
      </c>
      <c r="O109" s="99">
        <f>SUM(CN$6:CN$19)+SUM(CP$6:CP$19)+SUM(CR$6:CR$19)+SUM(CT$6:CT$19)</f>
        <v>1146</v>
      </c>
    </row>
    <row r="110" spans="2:99">
      <c r="C110" s="98" t="s">
        <v>127</v>
      </c>
      <c r="D110" s="99">
        <f>SUM(D$20:D$36)+SUM(F$20:F$36)+SUM(H$20:H$36)+SUM(J$20:J$36)</f>
        <v>1500</v>
      </c>
      <c r="E110" s="99">
        <f>SUM(L$20:L$36)+SUM(N$20:N$36)+SUM(P$20:P$36)+SUM(R$20:R$36)</f>
        <v>1474</v>
      </c>
      <c r="F110" s="99">
        <f>SUM(T$20:T$36)+SUM(V$20:V$36)+SUM(X$20:X$36)+SUM(Z$20:Z$36)</f>
        <v>1429</v>
      </c>
      <c r="G110" s="99">
        <f>SUM(AB$20:AB$36)+SUM(AD$20:AD$36)+SUM(AF$20:AF$36)+SUM(AH$20:AH$36)</f>
        <v>1388</v>
      </c>
      <c r="H110" s="99">
        <f>SUM(AJ$20:AJ$36)+SUM(AL$20:AL$36)+SUM(AN$20:AN$36)+SUM(AP$20:AP$36)</f>
        <v>1635</v>
      </c>
      <c r="I110" s="99">
        <f>SUM(AR$20:AR$36)+SUM(AT$20:AT$36)+SUM(AV$20:AV$36)+SUM(AX$20:AX$36)</f>
        <v>1384</v>
      </c>
      <c r="J110" s="99">
        <f>SUM(AZ$20:AZ$36)+SUM(BB$20:BB$36)+SUM(BD$20:BD$36)+SUM(BF$20:BF$36)</f>
        <v>1556</v>
      </c>
      <c r="K110" s="99">
        <f>SUM(BH$20:BH$36)+SUM(BJ$20:BJ$36)+SUM(BL$20:BL$36)+SUM(BN$20:BN$36)</f>
        <v>1300</v>
      </c>
      <c r="L110" s="99">
        <f>SUM(BP$20:BP$36)+SUM(BR$20:BR$36)+SUM(BT$20:BT$36)+SUM(BV$20:BV$36)</f>
        <v>1604</v>
      </c>
      <c r="M110" s="99">
        <f>SUM(BX$20:BX$36)+SUM(BZ$20:BZ$36)+SUM(CB$20:CB$36)+SUM(CD$20:CD$36)</f>
        <v>1767</v>
      </c>
      <c r="N110" s="99">
        <f>SUM(CF$20:CF$36)+SUM(CH$20:CH$36)+SUM(CJ$20:CJ$36)+SUM(CL$20:CL$36)</f>
        <v>1582</v>
      </c>
      <c r="O110" s="99">
        <f>SUM(CN$20:CN$36)+SUM(CP$20:CP$36)+SUM(CR$20:CR$36)+SUM(CT$20:CT$36)</f>
        <v>1544</v>
      </c>
    </row>
    <row r="111" spans="2:99">
      <c r="C111" s="98" t="s">
        <v>128</v>
      </c>
      <c r="D111" s="99">
        <f>SUM(D$37:D$48)+SUM(F$37:F$48)+SUM(H$37:H$48)+SUM(J$37:J$48)</f>
        <v>708</v>
      </c>
      <c r="E111" s="99">
        <f>SUM(L$37:L$48)+SUM(N$37:N$48)+SUM(P$37:P$48)+SUM(R$37:R$48)</f>
        <v>542</v>
      </c>
      <c r="F111" s="99">
        <f>SUM(T$37:T$48)+SUM(V$37:V$48)+SUM(X$37:X$48)+SUM(Z$37:Z$48)</f>
        <v>671</v>
      </c>
      <c r="G111" s="99">
        <f>SUM(AB$37:AB$48)+SUM(AD$37:AD$48)+SUM(AF$37:AF$48)+SUM(AH$37:AH$48)</f>
        <v>612</v>
      </c>
      <c r="H111" s="99">
        <f>SUM(AJ$37:AJ$48)+SUM(AL$37:AL$48)+SUM(AN$37:AN$48)+SUM(AP$37:AP$48)</f>
        <v>635</v>
      </c>
      <c r="I111" s="99">
        <f>SUM(AR$37:AR$48)+SUM(AT$37:AT$48)+SUM(AV$37:AV$48)+SUM(AX$37:AX$48)</f>
        <v>732</v>
      </c>
      <c r="J111" s="99">
        <f>SUM(AZ$37:AZ$48)+SUM(BB$37:BB$48)+SUM(BD$37:BD$48)+SUM(BF$37:BF$48)</f>
        <v>719</v>
      </c>
      <c r="K111" s="99">
        <f>SUM(BH$37:BH$48)+SUM(BJ$37:BJ$48)+SUM(BL$37:BL$48)+SUM(BN$37:BN$48)</f>
        <v>773</v>
      </c>
      <c r="L111" s="99">
        <f>SUM(BP$37:BP$48)+SUM(BR$37:BR$48)+SUM(BT$37:BT$48)+SUM(BV$37:BV$48)</f>
        <v>759</v>
      </c>
      <c r="M111" s="99">
        <f>SUM(BX$37:BX$48)+SUM(BZ$37:BZ$48)+SUM(CB$37:CB$48)+SUM(CD$37:CD$48)</f>
        <v>786</v>
      </c>
      <c r="N111" s="99">
        <f>SUM(CF$37:CF$48)+SUM(CH$37:CH$48)+SUM(CJ$37:CJ$48)+SUM(CL$37:CL$48)</f>
        <v>638</v>
      </c>
      <c r="O111" s="99">
        <f>SUM(CN$37:CN$48)+SUM(CP$37:CP$48)+SUM(CR$37:CR$48)+SUM(CT$37:CT$48)</f>
        <v>633</v>
      </c>
    </row>
    <row r="112" spans="2:99">
      <c r="C112" s="98" t="s">
        <v>129</v>
      </c>
      <c r="D112" s="99">
        <f>SUM(D$49:D$70)+SUM(F$49:F$70)+SUM(H$49:H$70)+SUM(J$49:J$70)</f>
        <v>1059</v>
      </c>
      <c r="E112" s="99">
        <f>SUM(L$49:L$70)+SUM(N$49:N$70)+SUM(P$49:P$70)+SUM(R$49:R$70)</f>
        <v>948</v>
      </c>
      <c r="F112" s="99">
        <f>SUM(T$49:T$70)+SUM(V$49:V$70)+SUM(X$49:X$70)+SUM(Z$49:Z$70)</f>
        <v>1137</v>
      </c>
      <c r="G112" s="99">
        <f>SUM(AB$49:AB$70)+SUM(AD$49:AD$70)+SUM(AF$49:AF$70)+SUM(AH$49:AH$70)</f>
        <v>1181</v>
      </c>
      <c r="H112" s="99">
        <f>SUM(AJ$49:AJ$70)+SUM(AL$49:AL$70)+SUM(AN$49:AN$70)+SUM(AP$49:AP$70)</f>
        <v>996</v>
      </c>
      <c r="I112" s="99">
        <f>SUM(AR$49:AR$70)+SUM(AT$49:AT$70)+SUM(AV$49:AV$70)+SUM(AX$49:AX$70)</f>
        <v>1163</v>
      </c>
      <c r="J112" s="99">
        <f>SUM(AZ$49:AZ$70)+SUM(BB$49:BB$70)+SUM(BD$49:BD$70)+SUM(BF$49:BF$70)</f>
        <v>1049</v>
      </c>
      <c r="K112" s="99">
        <f>SUM(BH$49:BH$70)+SUM(BJ$49:BJ$70)+SUM(BL$49:BL$70)+SUM(BN$49:BN$70)</f>
        <v>907</v>
      </c>
      <c r="L112" s="99">
        <f>SUM(BP$49:BP$70)+SUM(BR$49:BR$70)+SUM(BT$49:BT$70)+SUM(BV$49:BV$70)</f>
        <v>1152</v>
      </c>
      <c r="M112" s="99">
        <f>SUM(BX$49:BX$70)+SUM(BZ$49:BZ$70)+SUM(CB$49:CB$70)+SUM(CD$49:CD$70)</f>
        <v>839</v>
      </c>
      <c r="N112" s="99">
        <f>SUM(CF$49:CF$70)+SUM(CH$49:CH$70)+SUM(CJ$49:CJ$70)+SUM(CL$49:CL$70)</f>
        <v>1100</v>
      </c>
      <c r="O112" s="99">
        <f>SUM(CN$49:CN$70)+SUM(CP$49:CP$70)+SUM(CR$49:CR$70)+SUM(CT$49:CT$70)</f>
        <v>1135</v>
      </c>
    </row>
    <row r="113" spans="2:15">
      <c r="C113" s="98" t="s">
        <v>130</v>
      </c>
      <c r="D113" s="99">
        <f>SUM(D$71:D$86)+SUM(F$71:F$86)+SUM(H$71:H$86)+SUM(J$71:J$86)</f>
        <v>523</v>
      </c>
      <c r="E113" s="99">
        <f>SUM(L$71:L$86)+SUM(N$71:N$86)+SUM(P$71:P$86)+SUM(R$71:R$86)</f>
        <v>414</v>
      </c>
      <c r="F113" s="99">
        <f>SUM(T$71:T$86)+SUM(V$71:V$86)+SUM(X$71:X$86)+SUM(Z$71:Z$86)</f>
        <v>493</v>
      </c>
      <c r="G113" s="99">
        <f>SUM(AB$71:AB$86)+SUM(AD$71:AD$86)+SUM(AF$71:AF$86)+SUM(AH$71:AH$86)</f>
        <v>485</v>
      </c>
      <c r="H113" s="99">
        <f>SUM(AJ$71:AJ$86)+SUM(AL$71:AL$86)+SUM(AN$71:AN$86)+SUM(AP$71:AP$86)</f>
        <v>592</v>
      </c>
      <c r="I113" s="99">
        <f>SUM(AR$71:AR$86)+SUM(AT$71:AT$86)+SUM(AV$71:AV$86)+SUM(AX$71:AX$86)</f>
        <v>461</v>
      </c>
      <c r="J113" s="99">
        <f>SUM(AZ$71:AZ$86)+SUM(BB$71:BB$86)+SUM(BD$71:BD$86)+SUM(BF$71:BF$86)</f>
        <v>523</v>
      </c>
      <c r="K113" s="99">
        <f>SUM(BH$71:BH$86)+SUM(BJ$71:BJ$86)+SUM(BL$71:BL$86)+SUM(BN$71:BN$86)</f>
        <v>450</v>
      </c>
      <c r="L113" s="99">
        <f>SUM(BP$71:BP$86)+SUM(BR$71:BR$86)+SUM(BT$71:BT$86)+SUM(BV$71:BV$86)</f>
        <v>562</v>
      </c>
      <c r="M113" s="99">
        <f>SUM(BX$71:BX$86)+SUM(BZ$71:BZ$86)+SUM(CB$71:CB$86)+SUM(CD$71:CD$86)</f>
        <v>481</v>
      </c>
      <c r="N113" s="99">
        <f>SUM(CF$71:CF$86)+SUM(CH$71:CH$86)+SUM(CJ$71:CJ$86)+SUM(CL$71:CL$86)</f>
        <v>538</v>
      </c>
      <c r="O113" s="99">
        <f>SUM(CN$71:CN$86)+SUM(CP$71:CP$86)+SUM(CR$71:CR$86)+SUM(CT$71:CT$86)</f>
        <v>526</v>
      </c>
    </row>
    <row r="114" spans="2:15">
      <c r="C114" s="98" t="s">
        <v>131</v>
      </c>
      <c r="D114" s="99">
        <f>SUM(D$87:D$94)+SUM(F$87:F$94)+SUM(H$87:H$94)+SUM(J$87:J$94)</f>
        <v>321</v>
      </c>
      <c r="E114" s="99">
        <f>SUM(L$87:L$94)+SUM(N$87:N$94)+SUM(P$87:P$94)+SUM(R$87:R$94)</f>
        <v>205</v>
      </c>
      <c r="F114" s="99">
        <f>SUM(T$87:T$94)+SUM(V$87:V$94)+SUM(X$87:X$94)+SUM(Z$87:Z$94)</f>
        <v>290</v>
      </c>
      <c r="G114" s="99">
        <f>SUM(AB$87:AB$94)+SUM(AD$87:AD$94)+SUM(AF$87:AF$94)+SUM(AH$87:AH$94)</f>
        <v>266</v>
      </c>
      <c r="H114" s="99">
        <f>SUM(AJ$87:AJ$94)+SUM(AL$87:AL$94)+SUM(AN$87:AN$94)+SUM(AP$87:AP$94)</f>
        <v>291</v>
      </c>
      <c r="I114" s="99">
        <f>SUM(AR$87:AR$94)+SUM(AT$87:AT$94)+SUM(AV$87:AV$94)+SUM(AX$87:AX$94)</f>
        <v>276</v>
      </c>
      <c r="J114" s="99">
        <f>SUM(AZ$87:AZ$94)+SUM(BB$87:BB$94)+SUM(BD$87:BD$94)+SUM(BF$87:BF$94)</f>
        <v>262</v>
      </c>
      <c r="K114" s="99">
        <f>SUM(BH$87:BH$94)+SUM(BJ$87:BJ$94)+SUM(BL$87:BL$94)+SUM(BN$87:BN$94)</f>
        <v>324</v>
      </c>
      <c r="L114" s="99">
        <f>SUM(BP$87:BP$94)+SUM(BR$87:BR$94)+SUM(BT$87:BT$94)+SUM(BV$87:BV$94)</f>
        <v>296</v>
      </c>
      <c r="M114" s="99">
        <f>SUM(BX$87:BX$94)+SUM(BZ$87:BZ$94)+SUM(CB$87:CB$94)+SUM(CD$87:CD$94)</f>
        <v>288</v>
      </c>
      <c r="N114" s="99">
        <f>SUM(CF$87:CF$94)+SUM(CH$87:CH$94)+SUM(CJ$87:CJ$94)+SUM(CL$87:CL$94)</f>
        <v>325</v>
      </c>
      <c r="O114" s="99">
        <f>SUM(CN$87:CN$94)+SUM(CP$87:CP$94)+SUM(CR$87:CR$94)+SUM(CT$87:CT$94)</f>
        <v>306</v>
      </c>
    </row>
    <row r="115" spans="2:15">
      <c r="C115" s="98" t="s">
        <v>132</v>
      </c>
      <c r="D115" s="99">
        <f>SUM(D$95:D$105)+SUM(F$95:F$105)+SUM(H$95:H$105)+SUM(J$95:J$105)</f>
        <v>333</v>
      </c>
      <c r="E115" s="99">
        <f>SUM(L$95:L$105)+SUM(N$95:N$105)+SUM(P$95:P$105)+SUM(R$95:R$105)</f>
        <v>278</v>
      </c>
      <c r="F115" s="99">
        <f>SUM(T$95:T$105)+SUM(V$95:V$105)+SUM(X$95:X$105)+SUM(Z$95:Z$105)</f>
        <v>337</v>
      </c>
      <c r="G115" s="99">
        <f>SUM(AB$95:AB$105)+SUM(AD$95:AD$105)+SUM(AF$95:AF$105)+SUM(AH$95:AH$105)</f>
        <v>361</v>
      </c>
      <c r="H115" s="99">
        <f>SUM(AJ$95:AJ$105)+SUM(AL$95:AL$105)+SUM(AN$95:AN$105)+SUM(AP$95:AP$105)</f>
        <v>404</v>
      </c>
      <c r="I115" s="99">
        <f>SUM(AR$95:AR$105)+SUM(AT$95:AT$105)+SUM(AV$95:AV$105)+SUM(AX$95:AX$105)</f>
        <v>323</v>
      </c>
      <c r="J115" s="99">
        <f>SUM(AZ$95:AZ$105)+SUM(BB$95:BB$105)+SUM(BD$95:BD$105)+SUM(BF$95:BF$105)</f>
        <v>363</v>
      </c>
      <c r="K115" s="99">
        <f>SUM(BH$95:BH$105)+SUM(BJ$95:BJ$105)+SUM(BL$95:BL$105)+SUM(BN$95:BN$105)</f>
        <v>408</v>
      </c>
      <c r="L115" s="99">
        <f>SUM(BP$95:BP$105)+SUM(BR$95:BR$105)+SUM(BT$95:BT$105)+SUM(BV$95:BV$105)</f>
        <v>365</v>
      </c>
      <c r="M115" s="99">
        <f>SUM(BX$95:BX$105)+SUM(BZ$95:BZ$105)+SUM(CB$95:CB$105)+SUM(CD$95:CD$105)</f>
        <v>421</v>
      </c>
      <c r="N115" s="99">
        <f>SUM(CF$95:CF$105)+SUM(CH$95:CH$105)+SUM(CJ$95:CJ$105)+SUM(CL$95:CL$105)</f>
        <v>326</v>
      </c>
      <c r="O115" s="99">
        <f>SUM(CN$95:CN$105)+SUM(CP$95:CP$105)+SUM(CR$95:CR$105)+SUM(CT$95:CT$105)</f>
        <v>442</v>
      </c>
    </row>
    <row r="116" spans="2:15">
      <c r="C116" s="98" t="s">
        <v>278</v>
      </c>
      <c r="D116" s="99">
        <f t="shared" ref="D116:O116" si="0">SUM(D$109:D$115)</f>
        <v>5454</v>
      </c>
      <c r="E116" s="99">
        <f t="shared" si="0"/>
        <v>4917</v>
      </c>
      <c r="F116" s="99">
        <f t="shared" si="0"/>
        <v>5314</v>
      </c>
      <c r="G116" s="99">
        <f t="shared" si="0"/>
        <v>5475</v>
      </c>
      <c r="H116" s="99">
        <f t="shared" si="0"/>
        <v>5627</v>
      </c>
      <c r="I116" s="99">
        <f t="shared" si="0"/>
        <v>5651</v>
      </c>
      <c r="J116" s="99">
        <f t="shared" si="0"/>
        <v>5409</v>
      </c>
      <c r="K116" s="99">
        <f t="shared" si="0"/>
        <v>5536</v>
      </c>
      <c r="L116" s="99">
        <f t="shared" si="0"/>
        <v>5803</v>
      </c>
      <c r="M116" s="99">
        <f t="shared" si="0"/>
        <v>6026</v>
      </c>
      <c r="N116" s="99">
        <f t="shared" si="0"/>
        <v>5895</v>
      </c>
      <c r="O116" s="99">
        <f t="shared" si="0"/>
        <v>5732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D109*pricing!D6*2000</f>
        <v>3434000</v>
      </c>
      <c r="E120" s="99">
        <f>E109*pricing!E6*2000</f>
        <v>3590400</v>
      </c>
      <c r="F120" s="99">
        <f>F109*pricing!F6*2000</f>
        <v>3253799.9999999995</v>
      </c>
      <c r="G120" s="99">
        <f>G109*pricing!G6*2000</f>
        <v>4018799.9999999995</v>
      </c>
      <c r="H120" s="99">
        <f>H109*pricing!H6*2000</f>
        <v>3651600</v>
      </c>
      <c r="I120" s="99">
        <f>I109*pricing!I6*2000</f>
        <v>4460800</v>
      </c>
      <c r="J120" s="99">
        <f>J109*pricing!J6*2000</f>
        <v>3185799.9999999995</v>
      </c>
      <c r="K120" s="99">
        <f>K109*pricing!K6*2000</f>
        <v>4671599.9999999991</v>
      </c>
      <c r="L120" s="99">
        <f>L109*pricing!L6*2000</f>
        <v>3621000</v>
      </c>
      <c r="M120" s="99">
        <f>M109*pricing!M6*2000</f>
        <v>4909599.9999999991</v>
      </c>
      <c r="N120" s="99">
        <f>N109*pricing!N6*2000</f>
        <v>4712400</v>
      </c>
      <c r="O120" s="99">
        <f>O109*pricing!O6*2000</f>
        <v>3896400</v>
      </c>
    </row>
    <row r="121" spans="2:15">
      <c r="C121" s="98" t="s">
        <v>127</v>
      </c>
      <c r="D121" s="99">
        <f>D110*pricing!D7*2000</f>
        <v>6000000</v>
      </c>
      <c r="E121" s="99">
        <f>E110*pricing!E7*2000</f>
        <v>5896000</v>
      </c>
      <c r="F121" s="99">
        <f>F110*pricing!F7*2000</f>
        <v>5716000</v>
      </c>
      <c r="G121" s="99">
        <f>G110*pricing!G7*2000</f>
        <v>5552000</v>
      </c>
      <c r="H121" s="99">
        <f>H110*pricing!H7*2000</f>
        <v>6540000</v>
      </c>
      <c r="I121" s="99">
        <f>I110*pricing!I7*2000</f>
        <v>5536000</v>
      </c>
      <c r="J121" s="99">
        <f>J110*pricing!J7*2000</f>
        <v>6224000</v>
      </c>
      <c r="K121" s="99">
        <f>K110*pricing!K7*2000</f>
        <v>5200000</v>
      </c>
      <c r="L121" s="99">
        <f>L110*pricing!L7*2000</f>
        <v>6416000</v>
      </c>
      <c r="M121" s="99">
        <f>M110*pricing!M7*2000</f>
        <v>7068000</v>
      </c>
      <c r="N121" s="99">
        <f>N110*pricing!N7*2000</f>
        <v>6328000</v>
      </c>
      <c r="O121" s="99">
        <f>O110*pricing!O7*2000</f>
        <v>6176000</v>
      </c>
    </row>
    <row r="122" spans="2:15">
      <c r="C122" s="98" t="s">
        <v>128</v>
      </c>
      <c r="D122" s="99">
        <f>D111*pricing!D8*2000</f>
        <v>3186000</v>
      </c>
      <c r="E122" s="99">
        <f>E111*pricing!E8*2000</f>
        <v>2439000</v>
      </c>
      <c r="F122" s="99">
        <f>F111*pricing!F8*2000</f>
        <v>3019500</v>
      </c>
      <c r="G122" s="99">
        <f>G111*pricing!G8*2000</f>
        <v>2754000</v>
      </c>
      <c r="H122" s="99">
        <f>H111*pricing!H8*2000</f>
        <v>2857500</v>
      </c>
      <c r="I122" s="99">
        <f>I111*pricing!I8*2000</f>
        <v>3294000</v>
      </c>
      <c r="J122" s="99">
        <f>J111*pricing!J8*2000</f>
        <v>3235500</v>
      </c>
      <c r="K122" s="99">
        <f>K111*pricing!K8*2000</f>
        <v>3478500</v>
      </c>
      <c r="L122" s="99">
        <f>L111*pricing!L8*2000</f>
        <v>3415500</v>
      </c>
      <c r="M122" s="99">
        <f>M111*pricing!M8*2000</f>
        <v>3537000</v>
      </c>
      <c r="N122" s="99">
        <f>N111*pricing!N8*2000</f>
        <v>2871000</v>
      </c>
      <c r="O122" s="99">
        <f>O111*pricing!O8*2000</f>
        <v>2848500</v>
      </c>
    </row>
    <row r="123" spans="2:15">
      <c r="C123" s="98" t="s">
        <v>129</v>
      </c>
      <c r="D123" s="99">
        <f>D112*pricing!D9*2000</f>
        <v>4765500</v>
      </c>
      <c r="E123" s="99">
        <f>E112*pricing!E9*2000</f>
        <v>4266000</v>
      </c>
      <c r="F123" s="99">
        <f>F112*pricing!F9*2000</f>
        <v>5116500</v>
      </c>
      <c r="G123" s="99">
        <f>G112*pricing!G9*2000</f>
        <v>5314500</v>
      </c>
      <c r="H123" s="99">
        <f>H112*pricing!H9*2000</f>
        <v>4482000</v>
      </c>
      <c r="I123" s="99">
        <f>I112*pricing!I9*2000</f>
        <v>5233500</v>
      </c>
      <c r="J123" s="99">
        <f>J112*pricing!J9*2000</f>
        <v>4720500</v>
      </c>
      <c r="K123" s="99">
        <f>K112*pricing!K9*2000</f>
        <v>4081500</v>
      </c>
      <c r="L123" s="99">
        <f>L112*pricing!L9*2000</f>
        <v>5184000</v>
      </c>
      <c r="M123" s="99">
        <f>M112*pricing!M9*2000</f>
        <v>3775500</v>
      </c>
      <c r="N123" s="99">
        <f>N112*pricing!N9*2000</f>
        <v>4950000</v>
      </c>
      <c r="O123" s="99">
        <f>O112*pricing!O9*2000</f>
        <v>5107500</v>
      </c>
    </row>
    <row r="124" spans="2:15">
      <c r="C124" s="98" t="s">
        <v>130</v>
      </c>
      <c r="D124" s="99">
        <f>D113*pricing!D10*2000</f>
        <v>2615000</v>
      </c>
      <c r="E124" s="99">
        <f>E113*pricing!E10*2000</f>
        <v>2070000</v>
      </c>
      <c r="F124" s="99">
        <f>F113*pricing!F10*2000</f>
        <v>2465000</v>
      </c>
      <c r="G124" s="99">
        <f>G113*pricing!G10*2000</f>
        <v>2425000</v>
      </c>
      <c r="H124" s="99">
        <f>H113*pricing!H10*2000</f>
        <v>2960000</v>
      </c>
      <c r="I124" s="99">
        <f>I113*pricing!I10*2000</f>
        <v>2305000</v>
      </c>
      <c r="J124" s="99">
        <f>J113*pricing!J10*2000</f>
        <v>2615000</v>
      </c>
      <c r="K124" s="99">
        <f>K113*pricing!K10*2000</f>
        <v>2250000</v>
      </c>
      <c r="L124" s="99">
        <f>L113*pricing!L10*2000</f>
        <v>2810000</v>
      </c>
      <c r="M124" s="99">
        <f>M113*pricing!M10*2000</f>
        <v>2405000</v>
      </c>
      <c r="N124" s="99">
        <f>N113*pricing!N10*2000</f>
        <v>2690000</v>
      </c>
      <c r="O124" s="99">
        <f>O113*pricing!O10*2000</f>
        <v>2630000</v>
      </c>
    </row>
    <row r="125" spans="2:15">
      <c r="C125" s="98" t="s">
        <v>131</v>
      </c>
      <c r="D125" s="99">
        <f>D114*pricing!D11*2000</f>
        <v>1669200</v>
      </c>
      <c r="E125" s="99">
        <f>E114*pricing!E11*2000</f>
        <v>1066000</v>
      </c>
      <c r="F125" s="99">
        <f>F114*pricing!F11*2000</f>
        <v>1508000</v>
      </c>
      <c r="G125" s="99">
        <f>G114*pricing!G11*2000</f>
        <v>1383200</v>
      </c>
      <c r="H125" s="99">
        <f>H114*pricing!H11*2000</f>
        <v>1513200</v>
      </c>
      <c r="I125" s="99">
        <f>I114*pricing!I11*2000</f>
        <v>1435200</v>
      </c>
      <c r="J125" s="99">
        <f>J114*pricing!J11*2000</f>
        <v>1362400</v>
      </c>
      <c r="K125" s="99">
        <f>K114*pricing!K11*2000</f>
        <v>1684800</v>
      </c>
      <c r="L125" s="99">
        <f>L114*pricing!L11*2000</f>
        <v>1539200</v>
      </c>
      <c r="M125" s="99">
        <f>M114*pricing!M11*2000</f>
        <v>1497600.0000000002</v>
      </c>
      <c r="N125" s="99">
        <f>N114*pricing!N11*2000</f>
        <v>1690000</v>
      </c>
      <c r="O125" s="99">
        <f>O114*pricing!O11*2000</f>
        <v>1591200</v>
      </c>
    </row>
    <row r="126" spans="2:15">
      <c r="C126" s="98" t="s">
        <v>132</v>
      </c>
      <c r="D126" s="99">
        <f>D115*pricing!D12*2000</f>
        <v>1798200</v>
      </c>
      <c r="E126" s="99">
        <f>E115*pricing!E12*2000</f>
        <v>1501200</v>
      </c>
      <c r="F126" s="99">
        <f>F115*pricing!F12*2000</f>
        <v>1819800.0000000002</v>
      </c>
      <c r="G126" s="99">
        <f>G115*pricing!G12*2000</f>
        <v>1949400</v>
      </c>
      <c r="H126" s="99">
        <f>H115*pricing!H12*2000</f>
        <v>2181600.0000000005</v>
      </c>
      <c r="I126" s="99">
        <f>I115*pricing!I12*2000</f>
        <v>1744200</v>
      </c>
      <c r="J126" s="99">
        <f>J115*pricing!J12*2000</f>
        <v>1960200</v>
      </c>
      <c r="K126" s="99">
        <f>K115*pricing!K12*2000</f>
        <v>2203200.0000000005</v>
      </c>
      <c r="L126" s="99">
        <f>L115*pricing!L12*2000</f>
        <v>1971000.0000000002</v>
      </c>
      <c r="M126" s="99">
        <f>M115*pricing!M12*2000</f>
        <v>2273400</v>
      </c>
      <c r="N126" s="99">
        <f>N115*pricing!N12*2000</f>
        <v>1760400</v>
      </c>
      <c r="O126" s="99">
        <f>O115*pricing!O12*2000</f>
        <v>2386800</v>
      </c>
    </row>
    <row r="127" spans="2:15">
      <c r="C127" s="98" t="s">
        <v>278</v>
      </c>
      <c r="D127" s="99">
        <f t="shared" ref="D127:O127" si="1">SUM(D$120:D$126)</f>
        <v>23467900</v>
      </c>
      <c r="E127" s="99">
        <f t="shared" si="1"/>
        <v>20828600</v>
      </c>
      <c r="F127" s="99">
        <f t="shared" si="1"/>
        <v>22898600</v>
      </c>
      <c r="G127" s="99">
        <f t="shared" si="1"/>
        <v>23396900</v>
      </c>
      <c r="H127" s="99">
        <f t="shared" si="1"/>
        <v>24185900</v>
      </c>
      <c r="I127" s="99">
        <f t="shared" si="1"/>
        <v>24008700</v>
      </c>
      <c r="J127" s="99">
        <f t="shared" si="1"/>
        <v>23303400</v>
      </c>
      <c r="K127" s="99">
        <f t="shared" si="1"/>
        <v>23569600</v>
      </c>
      <c r="L127" s="99">
        <f t="shared" si="1"/>
        <v>24956700</v>
      </c>
      <c r="M127" s="99">
        <f t="shared" si="1"/>
        <v>25466100</v>
      </c>
      <c r="N127" s="99">
        <f t="shared" si="1"/>
        <v>25001800</v>
      </c>
      <c r="O127" s="99">
        <f t="shared" si="1"/>
        <v>24636400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504176.4</v>
      </c>
      <c r="E131" s="105">
        <f>SUM(M$6:M$19)+SUM(O$6:O$19)+SUM(Q$6:Q$19)+SUM(S$6:S$19)</f>
        <v>529492.79999999993</v>
      </c>
      <c r="F131" s="105">
        <f>SUM(U$6:U$19)+SUM(W$6:W$19)+SUM(Y$6:Y$19)+SUM(AA$6:AA$19)</f>
        <v>482163.60000000003</v>
      </c>
      <c r="G131" s="105">
        <f>SUM(AC$6:AC$19)+SUM(AE$6:AE$19)+SUM(AG$6:AG$19)+SUM(AI$6:AI$19)</f>
        <v>594511.19999999995</v>
      </c>
      <c r="H131" s="105">
        <f>SUM(AK$6:AK$19)+SUM(AM$6:AM$19)+SUM(AO$6:AO$19)+SUM(AQ$6:AQ$19)</f>
        <v>541016.4</v>
      </c>
      <c r="I131" s="105">
        <f>SUM(AS$6:AS$19)+SUM(AU$6:AU$19)+SUM(AW$6:AW$19)+SUM(AY$6:AY$19)</f>
        <v>658411.19999999995</v>
      </c>
      <c r="J131" s="105">
        <f>SUM(BA$6:BA$19)+SUM(BC$6:BC$19)+SUM(BE$6:BE$19)+SUM(BG$6:BG$19)</f>
        <v>471879.6</v>
      </c>
      <c r="K131" s="105">
        <f>SUM(BI$6:BI$19)+SUM(BK$6:BK$19)+SUM(BM$6:BM$19)+SUM(BO$6:BO$19)</f>
        <v>690626.39999999991</v>
      </c>
      <c r="L131" s="105">
        <f>SUM(BQ$6:BQ$19)+SUM(BS$6:BS$19)+SUM(BU$6:BU$19)+SUM(BW$6:BW$19)</f>
        <v>534236.39999999991</v>
      </c>
      <c r="M131" s="105">
        <f>SUM(BY$6:BY$19)+SUM(CA$6:CA$19)+SUM(CC$6:CC$19)+SUM(CE$6:CE$19)</f>
        <v>726861.6</v>
      </c>
      <c r="N131" s="105">
        <f>SUM(CG$6:CG$19)+SUM(CI$6:CI$19)+SUM(CK$6:CK$19)+SUM(CM$6:CM$19)</f>
        <v>698712</v>
      </c>
      <c r="O131" s="105">
        <f>SUM(CO$6:CO$19)+SUM(CQ$6:CQ$19)+SUM(CS$6:CS$19)+SUM(CU$6:CU$19)</f>
        <v>578616</v>
      </c>
    </row>
    <row r="132" spans="2:15">
      <c r="C132" s="104" t="s">
        <v>127</v>
      </c>
      <c r="D132" s="105">
        <f>SUM(E$20:E$36)+SUM(G$20:G$36)+SUM(I$20:I$36)+SUM(K$20:K$36)</f>
        <v>636115.19999999995</v>
      </c>
      <c r="E132" s="105">
        <f>SUM(M$20:M$36)+SUM(O$20:O$36)+SUM(Q$20:Q$36)+SUM(S$20:S$36)</f>
        <v>624938.4</v>
      </c>
      <c r="F132" s="105">
        <f>SUM(U$20:U$36)+SUM(W$20:W$36)+SUM(Y$20:Y$36)+SUM(AA$20:AA$36)</f>
        <v>609140.4</v>
      </c>
      <c r="G132" s="105">
        <f>SUM(AC$20:AC$36)+SUM(AE$20:AE$36)+SUM(AG$20:AG$36)+SUM(AI$20:AI$36)</f>
        <v>588222</v>
      </c>
      <c r="H132" s="105">
        <f>SUM(AK$20:AK$36)+SUM(AM$20:AM$36)+SUM(AO$20:AO$36)+SUM(AQ$20:AQ$36)</f>
        <v>695480.4</v>
      </c>
      <c r="I132" s="105">
        <f>SUM(AS$20:AS$36)+SUM(AU$20:AU$36)+SUM(AW$20:AW$36)+SUM(AY$20:AY$36)</f>
        <v>588909.6</v>
      </c>
      <c r="J132" s="105">
        <f>SUM(BA$20:BA$36)+SUM(BC$20:BC$36)+SUM(BE$20:BE$36)+SUM(BG$20:BG$36)</f>
        <v>661535.99999999988</v>
      </c>
      <c r="K132" s="105">
        <f>SUM(BI$20:BI$36)+SUM(BK$20:BK$36)+SUM(BM$20:BM$36)+SUM(BO$20:BO$36)</f>
        <v>551758.80000000005</v>
      </c>
      <c r="L132" s="105">
        <f>SUM(BQ$20:BQ$36)+SUM(BS$20:BS$36)+SUM(BU$20:BU$36)+SUM(BW$20:BW$36)</f>
        <v>679670.39999999991</v>
      </c>
      <c r="M132" s="105">
        <f>SUM(BY$20:BY$36)+SUM(CA$20:CA$36)+SUM(CC$20:CC$36)+SUM(CE$20:CE$36)</f>
        <v>753855.6</v>
      </c>
      <c r="N132" s="105">
        <f>SUM(CG$20:CG$36)+SUM(CI$20:CI$36)+SUM(CK$20:CK$36)+SUM(CM$20:CM$36)</f>
        <v>672200.39999999991</v>
      </c>
      <c r="O132" s="105">
        <f>SUM(CO$20:CO$36)+SUM(CQ$20:CQ$36)+SUM(CS$20:CS$36)+SUM(CU$20:CU$36)</f>
        <v>655821.6</v>
      </c>
    </row>
    <row r="133" spans="2:15">
      <c r="C133" s="104" t="s">
        <v>128</v>
      </c>
      <c r="D133" s="105">
        <f>SUM(E$37:E$48)+SUM(G$37:G$48)+SUM(I$37:I$48)+SUM(K$37:K$48)</f>
        <v>743674.79999999993</v>
      </c>
      <c r="E133" s="105">
        <f>SUM(M$37:M$48)+SUM(O$37:O$48)+SUM(Q$37:Q$48)+SUM(S$37:S$48)</f>
        <v>568147.19999999995</v>
      </c>
      <c r="F133" s="105">
        <f>SUM(U$37:U$48)+SUM(W$37:W$48)+SUM(Y$37:Y$48)+SUM(AA$37:AA$48)</f>
        <v>702224.39999999991</v>
      </c>
      <c r="G133" s="105">
        <f>SUM(AC$37:AC$48)+SUM(AE$37:AE$48)+SUM(AG$37:AG$48)+SUM(AI$37:AI$48)</f>
        <v>643146</v>
      </c>
      <c r="H133" s="105">
        <f>SUM(AK$37:AK$48)+SUM(AM$37:AM$48)+SUM(AO$37:AO$48)+SUM(AQ$37:AQ$48)</f>
        <v>665820</v>
      </c>
      <c r="I133" s="105">
        <f>SUM(AS$37:AS$48)+SUM(AU$37:AU$48)+SUM(AW$37:AW$48)+SUM(AY$37:AY$48)</f>
        <v>765159.6</v>
      </c>
      <c r="J133" s="105">
        <f>SUM(BA$37:BA$48)+SUM(BC$37:BC$48)+SUM(BE$37:BE$48)+SUM(BG$37:BG$48)</f>
        <v>752161.2</v>
      </c>
      <c r="K133" s="105">
        <f>SUM(BI$37:BI$48)+SUM(BK$37:BK$48)+SUM(BM$37:BM$48)+SUM(BO$37:BO$48)</f>
        <v>814557.60000000009</v>
      </c>
      <c r="L133" s="105">
        <f>SUM(BQ$37:BQ$48)+SUM(BS$37:BS$48)+SUM(BU$37:BU$48)+SUM(BW$37:BW$48)</f>
        <v>796064.39999999991</v>
      </c>
      <c r="M133" s="105">
        <f>SUM(BY$37:BY$48)+SUM(CA$37:CA$48)+SUM(CC$37:CC$48)+SUM(CE$37:CE$48)</f>
        <v>824820</v>
      </c>
      <c r="N133" s="105">
        <f>SUM(CG$37:CG$48)+SUM(CI$37:CI$48)+SUM(CK$37:CK$48)+SUM(CM$37:CM$48)</f>
        <v>670776</v>
      </c>
      <c r="O133" s="105">
        <f>SUM(CO$37:CO$48)+SUM(CQ$37:CQ$48)+SUM(CS$37:CS$48)+SUM(CU$37:CU$48)</f>
        <v>662974.79999999993</v>
      </c>
    </row>
    <row r="134" spans="2:15">
      <c r="C134" s="104" t="s">
        <v>129</v>
      </c>
      <c r="D134" s="105">
        <f>SUM(E$49:E$70)+SUM(G$49:G$70)+SUM(I$49:I$70)+SUM(K$49:K$70)</f>
        <v>887953.2</v>
      </c>
      <c r="E134" s="105">
        <f>SUM(M$49:M$70)+SUM(O$49:O$70)+SUM(Q$49:Q$70)+SUM(S$49:S$70)</f>
        <v>783242.4</v>
      </c>
      <c r="F134" s="105">
        <f>SUM(U$49:U$70)+SUM(W$49:W$70)+SUM(Y$49:Y$70)+SUM(AA$49:AA$70)</f>
        <v>951747.6</v>
      </c>
      <c r="G134" s="105">
        <f>SUM(AC$49:AC$70)+SUM(AE$49:AE$70)+SUM(AG$49:AG$70)+SUM(AI$49:AI$70)</f>
        <v>989415.6</v>
      </c>
      <c r="H134" s="105">
        <f>SUM(AK$49:AK$70)+SUM(AM$49:AM$70)+SUM(AO$49:AO$70)+SUM(AQ$49:AQ$70)</f>
        <v>834706.79999999993</v>
      </c>
      <c r="I134" s="105">
        <f>SUM(AS$49:AS$70)+SUM(AU$49:AU$70)+SUM(AW$49:AW$70)+SUM(AY$49:AY$70)</f>
        <v>968784.00000000012</v>
      </c>
      <c r="J134" s="105">
        <f>SUM(BA$49:BA$70)+SUM(BC$49:BC$70)+SUM(BE$49:BE$70)+SUM(BG$49:BG$70)</f>
        <v>873326.4</v>
      </c>
      <c r="K134" s="105">
        <f>SUM(BI$49:BI$70)+SUM(BK$49:BK$70)+SUM(BM$49:BM$70)+SUM(BO$49:BO$70)</f>
        <v>760483.2</v>
      </c>
      <c r="L134" s="105">
        <f>SUM(BQ$49:BQ$70)+SUM(BS$49:BS$70)+SUM(BU$49:BU$70)+SUM(BW$49:BW$70)</f>
        <v>959346.00000000012</v>
      </c>
      <c r="M134" s="105">
        <f>SUM(BY$49:BY$70)+SUM(CA$49:CA$70)+SUM(CC$49:CC$70)+SUM(CE$49:CE$70)</f>
        <v>702885.6</v>
      </c>
      <c r="N134" s="105">
        <f>SUM(CG$49:CG$70)+SUM(CI$49:CI$70)+SUM(CK$49:CK$70)+SUM(CM$49:CM$70)</f>
        <v>920200.8</v>
      </c>
      <c r="O134" s="105">
        <f>SUM(CO$49:CO$70)+SUM(CQ$49:CQ$70)+SUM(CS$49:CS$70)+SUM(CU$49:CU$70)</f>
        <v>947890.79999999993</v>
      </c>
    </row>
    <row r="135" spans="2:15">
      <c r="C135" s="104" t="s">
        <v>130</v>
      </c>
      <c r="D135" s="105">
        <f>SUM(E$71:E$86)+SUM(G$71:G$86)+SUM(I$71:I$86)+SUM(K$71:K$86)</f>
        <v>292861.2</v>
      </c>
      <c r="E135" s="105">
        <f>SUM(M$71:M$86)+SUM(O$71:O$86)+SUM(Q$71:Q$86)+SUM(S$71:S$86)</f>
        <v>233239.19999999998</v>
      </c>
      <c r="F135" s="105">
        <f>SUM(U$71:U$86)+SUM(W$71:W$86)+SUM(Y$71:Y$86)+SUM(AA$71:AA$86)</f>
        <v>275404.80000000005</v>
      </c>
      <c r="G135" s="105">
        <f>SUM(AC$71:AC$86)+SUM(AE$71:AE$86)+SUM(AG$71:AG$86)+SUM(AI$71:AI$86)</f>
        <v>270194.40000000002</v>
      </c>
      <c r="H135" s="105">
        <f>SUM(AK$71:AK$86)+SUM(AM$71:AM$86)+SUM(AO$71:AO$86)+SUM(AQ$71:AQ$86)</f>
        <v>329935.2</v>
      </c>
      <c r="I135" s="105">
        <f>SUM(AS$71:AS$86)+SUM(AU$71:AU$86)+SUM(AW$71:AW$86)+SUM(AY$71:AY$86)</f>
        <v>257184</v>
      </c>
      <c r="J135" s="105">
        <f>SUM(BA$71:BA$86)+SUM(BC$71:BC$86)+SUM(BE$71:BE$86)+SUM(BG$71:BG$86)</f>
        <v>292797.59999999998</v>
      </c>
      <c r="K135" s="105">
        <f>SUM(BI$71:BI$86)+SUM(BK$71:BK$86)+SUM(BM$71:BM$86)+SUM(BO$71:BO$86)</f>
        <v>250761.60000000001</v>
      </c>
      <c r="L135" s="105">
        <f>SUM(BQ$71:BQ$86)+SUM(BS$71:BS$86)+SUM(BU$71:BU$86)+SUM(BW$71:BW$86)</f>
        <v>313477.2</v>
      </c>
      <c r="M135" s="105">
        <f>SUM(BY$71:BY$86)+SUM(CA$71:CA$86)+SUM(CC$71:CC$86)+SUM(CE$71:CE$86)</f>
        <v>269450.40000000002</v>
      </c>
      <c r="N135" s="105">
        <f>SUM(CG$71:CG$86)+SUM(CI$71:CI$86)+SUM(CK$71:CK$86)+SUM(CM$71:CM$86)</f>
        <v>301374</v>
      </c>
      <c r="O135" s="105">
        <f>SUM(CO$71:CO$86)+SUM(CQ$71:CQ$86)+SUM(CS$71:CS$86)+SUM(CU$71:CU$86)</f>
        <v>293373.60000000003</v>
      </c>
    </row>
    <row r="136" spans="2:15">
      <c r="C136" s="104" t="s">
        <v>131</v>
      </c>
      <c r="D136" s="105">
        <f>SUM(E$87:E$94)+SUM(G$87:G$94)+SUM(I$87:I$94)+SUM(K$87:K$94)</f>
        <v>322549.20000000007</v>
      </c>
      <c r="E136" s="105">
        <f>SUM(M$87:M$94)+SUM(O$87:O$94)+SUM(Q$87:Q$94)+SUM(S$87:S$94)</f>
        <v>205616.39999999997</v>
      </c>
      <c r="F136" s="105">
        <f>SUM(U$87:U$94)+SUM(W$87:W$94)+SUM(Y$87:Y$94)+SUM(AA$87:AA$94)</f>
        <v>291255.59999999998</v>
      </c>
      <c r="G136" s="105">
        <f>SUM(AC$87:AC$94)+SUM(AE$87:AE$94)+SUM(AG$87:AG$94)+SUM(AI$87:AI$94)</f>
        <v>267061.2</v>
      </c>
      <c r="H136" s="105">
        <f>SUM(AK$87:AK$94)+SUM(AM$87:AM$94)+SUM(AO$87:AO$94)+SUM(AQ$87:AQ$94)</f>
        <v>291606</v>
      </c>
      <c r="I136" s="105">
        <f>SUM(AS$87:AS$94)+SUM(AU$87:AU$94)+SUM(AW$87:AW$94)+SUM(AY$87:AY$94)</f>
        <v>277162.8</v>
      </c>
      <c r="J136" s="105">
        <f>SUM(BA$87:BA$94)+SUM(BC$87:BC$94)+SUM(BE$87:BE$94)+SUM(BG$87:BG$94)</f>
        <v>263071.19999999995</v>
      </c>
      <c r="K136" s="105">
        <f>SUM(BI$87:BI$94)+SUM(BK$87:BK$94)+SUM(BM$87:BM$94)+SUM(BO$87:BO$94)</f>
        <v>324777.59999999998</v>
      </c>
      <c r="L136" s="105">
        <f>SUM(BQ$87:BQ$94)+SUM(BS$87:BS$94)+SUM(BU$87:BU$94)+SUM(BW$87:BW$94)</f>
        <v>296156.39999999997</v>
      </c>
      <c r="M136" s="105">
        <f>SUM(BY$87:BY$94)+SUM(CA$87:CA$94)+SUM(CC$87:CC$94)+SUM(CE$87:CE$94)</f>
        <v>290208</v>
      </c>
      <c r="N136" s="105">
        <f>SUM(CG$87:CG$94)+SUM(CI$87:CI$94)+SUM(CK$87:CK$94)+SUM(CM$87:CM$94)</f>
        <v>325334.39999999997</v>
      </c>
      <c r="O136" s="105">
        <f>SUM(CO$87:CO$94)+SUM(CQ$87:CQ$94)+SUM(CS$87:CS$94)+SUM(CU$87:CU$94)</f>
        <v>306374.40000000002</v>
      </c>
    </row>
    <row r="137" spans="2:15">
      <c r="C137" s="104" t="s">
        <v>132</v>
      </c>
      <c r="D137" s="105">
        <f>SUM(E$95:E$105)+SUM(G$95:G$105)+SUM(I$95:I$105)+SUM(K$95:K$105)</f>
        <v>263880</v>
      </c>
      <c r="E137" s="105">
        <f>SUM(M$95:M$105)+SUM(O$95:O$105)+SUM(Q$95:Q$105)+SUM(S$95:S$105)</f>
        <v>217828.8</v>
      </c>
      <c r="F137" s="105">
        <f>SUM(U$95:U$105)+SUM(W$95:W$105)+SUM(Y$95:Y$105)+SUM(AA$95:AA$105)</f>
        <v>258747.59999999998</v>
      </c>
      <c r="G137" s="105">
        <f>SUM(AC$95:AC$105)+SUM(AE$95:AE$105)+SUM(AG$95:AG$105)+SUM(AI$95:AI$105)</f>
        <v>282284.39999999997</v>
      </c>
      <c r="H137" s="105">
        <f>SUM(AK$95:AK$105)+SUM(AM$95:AM$105)+SUM(AO$95:AO$105)+SUM(AQ$95:AQ$105)</f>
        <v>316125.59999999998</v>
      </c>
      <c r="I137" s="105">
        <f>SUM(AS$95:AS$105)+SUM(AU$95:AU$105)+SUM(AW$95:AW$105)+SUM(AY$95:AY$105)</f>
        <v>255691.19999999998</v>
      </c>
      <c r="J137" s="105">
        <f>SUM(BA$95:BA$105)+SUM(BC$95:BC$105)+SUM(BE$95:BE$105)+SUM(BG$95:BG$105)</f>
        <v>283363.19999999995</v>
      </c>
      <c r="K137" s="105">
        <f>SUM(BI$95:BI$105)+SUM(BK$95:BK$105)+SUM(BM$95:BM$105)+SUM(BO$95:BO$105)</f>
        <v>321152.39999999997</v>
      </c>
      <c r="L137" s="105">
        <f>SUM(BQ$95:BQ$105)+SUM(BS$95:BS$105)+SUM(BU$95:BU$105)+SUM(BW$95:BW$105)</f>
        <v>292182</v>
      </c>
      <c r="M137" s="105">
        <f>SUM(BY$95:BY$105)+SUM(CA$95:CA$105)+SUM(CC$95:CC$105)+SUM(CE$95:CE$105)</f>
        <v>329024.40000000002</v>
      </c>
      <c r="N137" s="105">
        <f>SUM(CG$95:CG$105)+SUM(CI$95:CI$105)+SUM(CK$95:CK$105)+SUM(CM$95:CM$105)</f>
        <v>253093.19999999995</v>
      </c>
      <c r="O137" s="105">
        <f>SUM(CO$95:CO$105)+SUM(CQ$95:CQ$105)+SUM(CS$95:CS$105)+SUM(CU$95:CU$105)</f>
        <v>344686.8</v>
      </c>
    </row>
    <row r="138" spans="2:15">
      <c r="C138" s="104" t="s">
        <v>278</v>
      </c>
      <c r="D138" s="99">
        <f t="shared" ref="D138:O138" si="2">SUM(D$131:D$137)</f>
        <v>3651210</v>
      </c>
      <c r="E138" s="99">
        <f t="shared" si="2"/>
        <v>3162505.1999999997</v>
      </c>
      <c r="F138" s="99">
        <f t="shared" si="2"/>
        <v>3570684</v>
      </c>
      <c r="G138" s="99">
        <f t="shared" si="2"/>
        <v>3634834.8</v>
      </c>
      <c r="H138" s="99">
        <f t="shared" si="2"/>
        <v>3674690.4000000004</v>
      </c>
      <c r="I138" s="99">
        <f t="shared" si="2"/>
        <v>3771302.4</v>
      </c>
      <c r="J138" s="99">
        <f t="shared" si="2"/>
        <v>3598135.2</v>
      </c>
      <c r="K138" s="99">
        <f t="shared" si="2"/>
        <v>3714117.6</v>
      </c>
      <c r="L138" s="99">
        <f t="shared" si="2"/>
        <v>3871132.8</v>
      </c>
      <c r="M138" s="99">
        <f t="shared" si="2"/>
        <v>3897105.6</v>
      </c>
      <c r="N138" s="99">
        <f t="shared" si="2"/>
        <v>3841690.8</v>
      </c>
      <c r="O138" s="99">
        <f t="shared" si="2"/>
        <v>3789737.9999999995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282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8</v>
      </c>
      <c r="E6" s="99">
        <v>4627.2</v>
      </c>
      <c r="F6" s="99">
        <v>10</v>
      </c>
      <c r="G6" s="99">
        <v>5784</v>
      </c>
      <c r="H6" s="99">
        <v>9</v>
      </c>
      <c r="I6" s="99">
        <v>5205.5999999999995</v>
      </c>
      <c r="J6" s="99">
        <v>5</v>
      </c>
      <c r="K6" s="99">
        <v>2892</v>
      </c>
      <c r="L6" s="99">
        <v>4.2302690022050333</v>
      </c>
      <c r="M6" s="99">
        <v>2446.7875908753913</v>
      </c>
      <c r="N6" s="99">
        <v>7</v>
      </c>
      <c r="O6" s="99">
        <v>4048.7999999999997</v>
      </c>
      <c r="P6" s="99">
        <v>7</v>
      </c>
      <c r="Q6" s="99">
        <v>4048.7999999999997</v>
      </c>
      <c r="R6" s="99">
        <v>6</v>
      </c>
      <c r="S6" s="99">
        <v>3470.3999999999996</v>
      </c>
      <c r="T6" s="99">
        <v>7</v>
      </c>
      <c r="U6" s="99">
        <v>4048.7999999999997</v>
      </c>
      <c r="V6" s="99">
        <v>6</v>
      </c>
      <c r="W6" s="99">
        <v>3470.3999999999996</v>
      </c>
      <c r="X6" s="99">
        <v>12</v>
      </c>
      <c r="Y6" s="99">
        <v>6940.7999999999993</v>
      </c>
      <c r="Z6" s="99">
        <v>7</v>
      </c>
      <c r="AA6" s="99">
        <v>4048.7999999999997</v>
      </c>
      <c r="AB6" s="99">
        <v>6</v>
      </c>
      <c r="AC6" s="99">
        <v>3470.3999999999996</v>
      </c>
      <c r="AD6" s="99">
        <v>7.090121454784752</v>
      </c>
      <c r="AE6" s="99">
        <v>4100.9262494475006</v>
      </c>
      <c r="AF6" s="99">
        <v>6.9929194094935703</v>
      </c>
      <c r="AG6" s="99">
        <v>4044.704586451081</v>
      </c>
      <c r="AH6" s="99">
        <v>9.7029125681862016</v>
      </c>
      <c r="AI6" s="99">
        <v>5612.1646294388984</v>
      </c>
      <c r="AJ6" s="99">
        <v>6</v>
      </c>
      <c r="AK6" s="99">
        <v>3470.3999999999996</v>
      </c>
      <c r="AL6" s="99">
        <v>10</v>
      </c>
      <c r="AM6" s="99">
        <v>5784</v>
      </c>
      <c r="AN6" s="99">
        <v>10</v>
      </c>
      <c r="AO6" s="99">
        <v>5784</v>
      </c>
      <c r="AP6" s="99">
        <v>8</v>
      </c>
      <c r="AQ6" s="99">
        <v>4627.2</v>
      </c>
      <c r="AR6" s="99">
        <v>6.3178736587584599</v>
      </c>
      <c r="AS6" s="99">
        <v>3654.258124225893</v>
      </c>
      <c r="AT6" s="99">
        <v>4.4910514928548286</v>
      </c>
      <c r="AU6" s="99">
        <v>2597.6241834672328</v>
      </c>
      <c r="AV6" s="99">
        <v>8.6986752615663452</v>
      </c>
      <c r="AW6" s="99">
        <v>5031.3137712899743</v>
      </c>
      <c r="AX6" s="99">
        <v>6</v>
      </c>
      <c r="AY6" s="99">
        <v>3470.3999999999996</v>
      </c>
      <c r="AZ6" s="99">
        <v>11</v>
      </c>
      <c r="BA6" s="99">
        <v>6362.4</v>
      </c>
      <c r="BB6" s="99">
        <v>6.6112420333702753</v>
      </c>
      <c r="BC6" s="99">
        <v>3823.9423921013672</v>
      </c>
      <c r="BD6" s="99">
        <v>7</v>
      </c>
      <c r="BE6" s="99">
        <v>4048.7999999999997</v>
      </c>
      <c r="BF6" s="99">
        <v>6.0053911280812073</v>
      </c>
      <c r="BG6" s="99">
        <v>3473.5182284821703</v>
      </c>
      <c r="BH6" s="99">
        <v>2.9072972354661921</v>
      </c>
      <c r="BI6" s="99">
        <v>1681.5807209936454</v>
      </c>
      <c r="BJ6" s="99">
        <v>10</v>
      </c>
      <c r="BK6" s="99">
        <v>5784</v>
      </c>
      <c r="BL6" s="99">
        <v>11</v>
      </c>
      <c r="BM6" s="99">
        <v>6362.4</v>
      </c>
      <c r="BN6" s="99">
        <v>7</v>
      </c>
      <c r="BO6" s="99">
        <v>4048.7999999999997</v>
      </c>
      <c r="BP6" s="99">
        <v>9</v>
      </c>
      <c r="BQ6" s="99">
        <v>5205.5999999999995</v>
      </c>
      <c r="BR6" s="99">
        <v>6.5190249535281364</v>
      </c>
      <c r="BS6" s="99">
        <v>3770.6040331206741</v>
      </c>
      <c r="BT6" s="99">
        <v>8.6812439659449545</v>
      </c>
      <c r="BU6" s="99">
        <v>5021.2315099025618</v>
      </c>
      <c r="BV6" s="99">
        <v>8.786195675241002</v>
      </c>
      <c r="BW6" s="99">
        <v>5081.9355785593953</v>
      </c>
      <c r="BX6" s="99">
        <v>7.3670262091784107</v>
      </c>
      <c r="BY6" s="99">
        <v>4261.0879593887921</v>
      </c>
      <c r="BZ6" s="99">
        <v>9</v>
      </c>
      <c r="CA6" s="99">
        <v>5205.5999999999995</v>
      </c>
      <c r="CB6" s="99">
        <v>12</v>
      </c>
      <c r="CC6" s="99">
        <v>6940.7999999999993</v>
      </c>
      <c r="CD6" s="99">
        <v>9</v>
      </c>
      <c r="CE6" s="99">
        <v>5205.5999999999995</v>
      </c>
      <c r="CF6" s="99">
        <v>7.9488791480355943</v>
      </c>
      <c r="CG6" s="99">
        <v>4597.6316992237871</v>
      </c>
      <c r="CH6" s="99">
        <v>0</v>
      </c>
      <c r="CI6" s="99">
        <v>0</v>
      </c>
      <c r="CJ6" s="99">
        <v>6.4686083787908002</v>
      </c>
      <c r="CK6" s="99">
        <v>3741.4430862925988</v>
      </c>
      <c r="CL6" s="99">
        <v>8</v>
      </c>
      <c r="CM6" s="99">
        <v>4627.2</v>
      </c>
      <c r="CN6" s="99">
        <v>8</v>
      </c>
      <c r="CO6" s="99">
        <v>4627.2</v>
      </c>
      <c r="CP6" s="99">
        <v>7</v>
      </c>
      <c r="CQ6" s="99">
        <v>4048.7999999999997</v>
      </c>
      <c r="CR6" s="99">
        <v>9</v>
      </c>
      <c r="CS6" s="99">
        <v>5205.5999999999995</v>
      </c>
      <c r="CT6" s="99">
        <v>8</v>
      </c>
      <c r="CU6" s="99">
        <v>4627.2</v>
      </c>
    </row>
    <row r="7" spans="1:99">
      <c r="C7" s="98" t="s">
        <v>173</v>
      </c>
      <c r="D7" s="99">
        <v>8</v>
      </c>
      <c r="E7" s="99">
        <v>6307.2</v>
      </c>
      <c r="F7" s="99">
        <v>9</v>
      </c>
      <c r="G7" s="99">
        <v>7095.5999999999995</v>
      </c>
      <c r="H7" s="99">
        <v>9</v>
      </c>
      <c r="I7" s="99">
        <v>7095.5999999999995</v>
      </c>
      <c r="J7" s="99">
        <v>5</v>
      </c>
      <c r="K7" s="99">
        <v>3942</v>
      </c>
      <c r="L7" s="99">
        <v>4.2302690022050333</v>
      </c>
      <c r="M7" s="99">
        <v>3335.1440813384484</v>
      </c>
      <c r="N7" s="99">
        <v>7</v>
      </c>
      <c r="O7" s="99">
        <v>5518.8</v>
      </c>
      <c r="P7" s="99">
        <v>7</v>
      </c>
      <c r="Q7" s="99">
        <v>5518.8</v>
      </c>
      <c r="R7" s="99">
        <v>6</v>
      </c>
      <c r="S7" s="99">
        <v>4730.3999999999996</v>
      </c>
      <c r="T7" s="99">
        <v>8</v>
      </c>
      <c r="U7" s="99">
        <v>6307.2</v>
      </c>
      <c r="V7" s="99">
        <v>6</v>
      </c>
      <c r="W7" s="99">
        <v>4730.3999999999996</v>
      </c>
      <c r="X7" s="99">
        <v>10</v>
      </c>
      <c r="Y7" s="99">
        <v>7884</v>
      </c>
      <c r="Z7" s="99">
        <v>7</v>
      </c>
      <c r="AA7" s="99">
        <v>5518.8</v>
      </c>
      <c r="AB7" s="99">
        <v>5</v>
      </c>
      <c r="AC7" s="99">
        <v>3942</v>
      </c>
      <c r="AD7" s="99">
        <v>7.090121454784752</v>
      </c>
      <c r="AE7" s="99">
        <v>5589.8517549522985</v>
      </c>
      <c r="AF7" s="99">
        <v>6.2159283639942844</v>
      </c>
      <c r="AG7" s="99">
        <v>4900.637922173094</v>
      </c>
      <c r="AH7" s="99">
        <v>8.7326213113675806</v>
      </c>
      <c r="AI7" s="99">
        <v>6884.7986418822002</v>
      </c>
      <c r="AJ7" s="99">
        <v>5</v>
      </c>
      <c r="AK7" s="99">
        <v>3942</v>
      </c>
      <c r="AL7" s="99">
        <v>10</v>
      </c>
      <c r="AM7" s="99">
        <v>7884</v>
      </c>
      <c r="AN7" s="99">
        <v>9</v>
      </c>
      <c r="AO7" s="99">
        <v>7095.5999999999995</v>
      </c>
      <c r="AP7" s="99">
        <v>9</v>
      </c>
      <c r="AQ7" s="99">
        <v>7095.5999999999995</v>
      </c>
      <c r="AR7" s="99">
        <v>7.2204270385810974</v>
      </c>
      <c r="AS7" s="99">
        <v>5692.5846772173372</v>
      </c>
      <c r="AT7" s="99">
        <v>4.4910514928548286</v>
      </c>
      <c r="AU7" s="99">
        <v>3540.7449969667468</v>
      </c>
      <c r="AV7" s="99">
        <v>8.6986752615663452</v>
      </c>
      <c r="AW7" s="99">
        <v>6858.0355762189065</v>
      </c>
      <c r="AX7" s="99">
        <v>5</v>
      </c>
      <c r="AY7" s="99">
        <v>3942</v>
      </c>
      <c r="AZ7" s="99">
        <v>10</v>
      </c>
      <c r="BA7" s="99">
        <v>7884</v>
      </c>
      <c r="BB7" s="99">
        <v>7.1621788694844648</v>
      </c>
      <c r="BC7" s="99">
        <v>5646.6618207015517</v>
      </c>
      <c r="BD7" s="99">
        <v>8</v>
      </c>
      <c r="BE7" s="99">
        <v>6307.2</v>
      </c>
      <c r="BF7" s="99">
        <v>6.7560650190913583</v>
      </c>
      <c r="BG7" s="99">
        <v>5326.4816610516264</v>
      </c>
      <c r="BH7" s="99">
        <v>2.5842642093032819</v>
      </c>
      <c r="BI7" s="99">
        <v>2037.4339026147074</v>
      </c>
      <c r="BJ7" s="99">
        <v>9</v>
      </c>
      <c r="BK7" s="99">
        <v>7095.5999999999995</v>
      </c>
      <c r="BL7" s="99">
        <v>10</v>
      </c>
      <c r="BM7" s="99">
        <v>7884</v>
      </c>
      <c r="BN7" s="99">
        <v>7</v>
      </c>
      <c r="BO7" s="99">
        <v>5518.8</v>
      </c>
      <c r="BP7" s="99">
        <v>9</v>
      </c>
      <c r="BQ7" s="99">
        <v>7095.5999999999995</v>
      </c>
      <c r="BR7" s="99">
        <v>6.5190249535281364</v>
      </c>
      <c r="BS7" s="99">
        <v>5139.5992733615822</v>
      </c>
      <c r="BT7" s="99">
        <v>9.6458266288277255</v>
      </c>
      <c r="BU7" s="99">
        <v>7604.7697141677781</v>
      </c>
      <c r="BV7" s="99">
        <v>8.786195675241002</v>
      </c>
      <c r="BW7" s="99">
        <v>6927.0366703600057</v>
      </c>
      <c r="BX7" s="99">
        <v>7.3670262091784107</v>
      </c>
      <c r="BY7" s="99">
        <v>5808.1634633162585</v>
      </c>
      <c r="BZ7" s="99">
        <v>9</v>
      </c>
      <c r="CA7" s="99">
        <v>7095.5999999999995</v>
      </c>
      <c r="CB7" s="99">
        <v>12</v>
      </c>
      <c r="CC7" s="99">
        <v>9460.7999999999993</v>
      </c>
      <c r="CD7" s="99">
        <v>10</v>
      </c>
      <c r="CE7" s="99">
        <v>7884</v>
      </c>
      <c r="CF7" s="99">
        <v>7.9488791480355943</v>
      </c>
      <c r="CG7" s="99">
        <v>6266.8963203112626</v>
      </c>
      <c r="CH7" s="99">
        <v>0</v>
      </c>
      <c r="CI7" s="99">
        <v>0</v>
      </c>
      <c r="CJ7" s="99">
        <v>5.6600323314419496</v>
      </c>
      <c r="CK7" s="99">
        <v>4462.3694901088329</v>
      </c>
      <c r="CL7" s="99">
        <v>7</v>
      </c>
      <c r="CM7" s="99">
        <v>5518.8</v>
      </c>
      <c r="CN7" s="99">
        <v>7</v>
      </c>
      <c r="CO7" s="99">
        <v>5518.8</v>
      </c>
      <c r="CP7" s="99">
        <v>7</v>
      </c>
      <c r="CQ7" s="99">
        <v>5518.8</v>
      </c>
      <c r="CR7" s="99">
        <v>8</v>
      </c>
      <c r="CS7" s="99">
        <v>6307.2</v>
      </c>
      <c r="CT7" s="99">
        <v>7</v>
      </c>
      <c r="CU7" s="99">
        <v>5518.8</v>
      </c>
    </row>
    <row r="8" spans="1:99">
      <c r="C8" s="98" t="s">
        <v>174</v>
      </c>
      <c r="D8" s="99">
        <v>8</v>
      </c>
      <c r="E8" s="99">
        <v>2476.7999999999997</v>
      </c>
      <c r="F8" s="99">
        <v>10</v>
      </c>
      <c r="G8" s="99">
        <v>3095.9999999999995</v>
      </c>
      <c r="H8" s="99">
        <v>9</v>
      </c>
      <c r="I8" s="99">
        <v>2786.3999999999996</v>
      </c>
      <c r="J8" s="99">
        <v>5</v>
      </c>
      <c r="K8" s="99">
        <v>1547.9999999999998</v>
      </c>
      <c r="L8" s="99">
        <v>4.2302690022050333</v>
      </c>
      <c r="M8" s="99">
        <v>1309.6912830826782</v>
      </c>
      <c r="N8" s="99">
        <v>7</v>
      </c>
      <c r="O8" s="99">
        <v>2167.1999999999998</v>
      </c>
      <c r="P8" s="99">
        <v>7</v>
      </c>
      <c r="Q8" s="99">
        <v>2167.1999999999998</v>
      </c>
      <c r="R8" s="99">
        <v>6</v>
      </c>
      <c r="S8" s="99">
        <v>1857.6</v>
      </c>
      <c r="T8" s="99">
        <v>7</v>
      </c>
      <c r="U8" s="99">
        <v>2167.1999999999998</v>
      </c>
      <c r="V8" s="99">
        <v>7</v>
      </c>
      <c r="W8" s="99">
        <v>2167.1999999999998</v>
      </c>
      <c r="X8" s="99">
        <v>12</v>
      </c>
      <c r="Y8" s="99">
        <v>3715.2</v>
      </c>
      <c r="Z8" s="99">
        <v>7</v>
      </c>
      <c r="AA8" s="99">
        <v>2167.1999999999998</v>
      </c>
      <c r="AB8" s="99">
        <v>6</v>
      </c>
      <c r="AC8" s="99">
        <v>1857.6</v>
      </c>
      <c r="AD8" s="99">
        <v>7.9763866366328466</v>
      </c>
      <c r="AE8" s="99">
        <v>2469.4893027015291</v>
      </c>
      <c r="AF8" s="99">
        <v>6.9929194094935703</v>
      </c>
      <c r="AG8" s="99">
        <v>2165.0078491792092</v>
      </c>
      <c r="AH8" s="99">
        <v>9.7029125681862016</v>
      </c>
      <c r="AI8" s="99">
        <v>3004.0217311104475</v>
      </c>
      <c r="AJ8" s="99">
        <v>6</v>
      </c>
      <c r="AK8" s="99">
        <v>1857.6</v>
      </c>
      <c r="AL8" s="99">
        <v>9</v>
      </c>
      <c r="AM8" s="99">
        <v>2786.3999999999996</v>
      </c>
      <c r="AN8" s="99">
        <v>9</v>
      </c>
      <c r="AO8" s="99">
        <v>2786.3999999999996</v>
      </c>
      <c r="AP8" s="99">
        <v>8</v>
      </c>
      <c r="AQ8" s="99">
        <v>2476.7999999999997</v>
      </c>
      <c r="AR8" s="99">
        <v>6.3178736587584599</v>
      </c>
      <c r="AS8" s="99">
        <v>1956.0136847516189</v>
      </c>
      <c r="AT8" s="99">
        <v>4.4910514928548286</v>
      </c>
      <c r="AU8" s="99">
        <v>1390.4295421878548</v>
      </c>
      <c r="AV8" s="99">
        <v>8.6986752615663452</v>
      </c>
      <c r="AW8" s="99">
        <v>2693.1098609809401</v>
      </c>
      <c r="AX8" s="99">
        <v>6</v>
      </c>
      <c r="AY8" s="99">
        <v>1857.6</v>
      </c>
      <c r="AZ8" s="99">
        <v>10</v>
      </c>
      <c r="BA8" s="99">
        <v>3095.9999999999995</v>
      </c>
      <c r="BB8" s="99">
        <v>7.1621788694844648</v>
      </c>
      <c r="BC8" s="99">
        <v>2217.4105779923902</v>
      </c>
      <c r="BD8" s="99">
        <v>8</v>
      </c>
      <c r="BE8" s="99">
        <v>2476.7999999999997</v>
      </c>
      <c r="BF8" s="99">
        <v>6.0053911280812073</v>
      </c>
      <c r="BG8" s="99">
        <v>1859.2690932539415</v>
      </c>
      <c r="BH8" s="99">
        <v>2.5842642093032819</v>
      </c>
      <c r="BI8" s="99">
        <v>800.088199200296</v>
      </c>
      <c r="BJ8" s="99">
        <v>9</v>
      </c>
      <c r="BK8" s="99">
        <v>2786.3999999999996</v>
      </c>
      <c r="BL8" s="99">
        <v>11</v>
      </c>
      <c r="BM8" s="99">
        <v>3405.5999999999995</v>
      </c>
      <c r="BN8" s="99">
        <v>8</v>
      </c>
      <c r="BO8" s="99">
        <v>2476.7999999999997</v>
      </c>
      <c r="BP8" s="99">
        <v>9</v>
      </c>
      <c r="BQ8" s="99">
        <v>2786.3999999999996</v>
      </c>
      <c r="BR8" s="99">
        <v>6.5190249535281364</v>
      </c>
      <c r="BS8" s="99">
        <v>2018.2901256123107</v>
      </c>
      <c r="BT8" s="99">
        <v>8.6812439659449545</v>
      </c>
      <c r="BU8" s="99">
        <v>2687.7131318565575</v>
      </c>
      <c r="BV8" s="99">
        <v>10.250561621114501</v>
      </c>
      <c r="BW8" s="99">
        <v>3173.5738778970494</v>
      </c>
      <c r="BX8" s="99">
        <v>8.1855846768649005</v>
      </c>
      <c r="BY8" s="99">
        <v>2534.2570159573729</v>
      </c>
      <c r="BZ8" s="99">
        <v>9</v>
      </c>
      <c r="CA8" s="99">
        <v>2786.3999999999996</v>
      </c>
      <c r="CB8" s="99">
        <v>13</v>
      </c>
      <c r="CC8" s="99">
        <v>4024.7999999999997</v>
      </c>
      <c r="CD8" s="99">
        <v>9</v>
      </c>
      <c r="CE8" s="99">
        <v>2786.3999999999996</v>
      </c>
      <c r="CF8" s="99">
        <v>8.7437670628391526</v>
      </c>
      <c r="CG8" s="99">
        <v>2707.0702826550014</v>
      </c>
      <c r="CH8" s="99">
        <v>0</v>
      </c>
      <c r="CI8" s="99">
        <v>0</v>
      </c>
      <c r="CJ8" s="99">
        <v>6.4686083787908002</v>
      </c>
      <c r="CK8" s="99">
        <v>2002.6811540736314</v>
      </c>
      <c r="CL8" s="99">
        <v>7</v>
      </c>
      <c r="CM8" s="99">
        <v>2167.1999999999998</v>
      </c>
      <c r="CN8" s="99">
        <v>8</v>
      </c>
      <c r="CO8" s="99">
        <v>2476.7999999999997</v>
      </c>
      <c r="CP8" s="99">
        <v>7</v>
      </c>
      <c r="CQ8" s="99">
        <v>2167.1999999999998</v>
      </c>
      <c r="CR8" s="99">
        <v>10</v>
      </c>
      <c r="CS8" s="99">
        <v>3095.9999999999995</v>
      </c>
      <c r="CT8" s="99">
        <v>8</v>
      </c>
      <c r="CU8" s="99">
        <v>2476.7999999999997</v>
      </c>
    </row>
    <row r="9" spans="1:99">
      <c r="C9" s="98" t="s">
        <v>175</v>
      </c>
      <c r="D9" s="99">
        <v>8</v>
      </c>
      <c r="E9" s="99">
        <v>5616</v>
      </c>
      <c r="F9" s="99">
        <v>9</v>
      </c>
      <c r="G9" s="99">
        <v>6318</v>
      </c>
      <c r="H9" s="99">
        <v>9</v>
      </c>
      <c r="I9" s="99">
        <v>6318</v>
      </c>
      <c r="J9" s="99">
        <v>6</v>
      </c>
      <c r="K9" s="99">
        <v>4212</v>
      </c>
      <c r="L9" s="99">
        <v>4.8345931453771804</v>
      </c>
      <c r="M9" s="99">
        <v>3393.8843880547806</v>
      </c>
      <c r="N9" s="99">
        <v>7</v>
      </c>
      <c r="O9" s="99">
        <v>4914</v>
      </c>
      <c r="P9" s="99">
        <v>7</v>
      </c>
      <c r="Q9" s="99">
        <v>4914</v>
      </c>
      <c r="R9" s="99">
        <v>6</v>
      </c>
      <c r="S9" s="99">
        <v>4212</v>
      </c>
      <c r="T9" s="99">
        <v>7</v>
      </c>
      <c r="U9" s="99">
        <v>4914</v>
      </c>
      <c r="V9" s="99">
        <v>6</v>
      </c>
      <c r="W9" s="99">
        <v>4212</v>
      </c>
      <c r="X9" s="99">
        <v>12</v>
      </c>
      <c r="Y9" s="99">
        <v>8424</v>
      </c>
      <c r="Z9" s="99">
        <v>7</v>
      </c>
      <c r="AA9" s="99">
        <v>4914</v>
      </c>
      <c r="AB9" s="99">
        <v>6</v>
      </c>
      <c r="AC9" s="99">
        <v>4212</v>
      </c>
      <c r="AD9" s="99">
        <v>6.2038562729366582</v>
      </c>
      <c r="AE9" s="99">
        <v>4355.1071036015337</v>
      </c>
      <c r="AF9" s="99">
        <v>6.9929194094935703</v>
      </c>
      <c r="AG9" s="99">
        <v>4909.0294254644859</v>
      </c>
      <c r="AH9" s="99">
        <v>8.7326213113675806</v>
      </c>
      <c r="AI9" s="99">
        <v>6130.3001605800418</v>
      </c>
      <c r="AJ9" s="99">
        <v>6</v>
      </c>
      <c r="AK9" s="99">
        <v>4212</v>
      </c>
      <c r="AL9" s="99">
        <v>9</v>
      </c>
      <c r="AM9" s="99">
        <v>6318</v>
      </c>
      <c r="AN9" s="99">
        <v>9</v>
      </c>
      <c r="AO9" s="99">
        <v>6318</v>
      </c>
      <c r="AP9" s="99">
        <v>9</v>
      </c>
      <c r="AQ9" s="99">
        <v>6318</v>
      </c>
      <c r="AR9" s="99">
        <v>7.2204270385810974</v>
      </c>
      <c r="AS9" s="99">
        <v>5068.7397810839302</v>
      </c>
      <c r="AT9" s="99">
        <v>4.4910514928548286</v>
      </c>
      <c r="AU9" s="99">
        <v>3152.7181479840897</v>
      </c>
      <c r="AV9" s="99">
        <v>8.6986752615663452</v>
      </c>
      <c r="AW9" s="99">
        <v>6106.4700336195747</v>
      </c>
      <c r="AX9" s="99">
        <v>6</v>
      </c>
      <c r="AY9" s="99">
        <v>4212</v>
      </c>
      <c r="AZ9" s="99">
        <v>10</v>
      </c>
      <c r="BA9" s="99">
        <v>7020</v>
      </c>
      <c r="BB9" s="99">
        <v>6.0603051972560849</v>
      </c>
      <c r="BC9" s="99">
        <v>4254.3342484737714</v>
      </c>
      <c r="BD9" s="99">
        <v>7</v>
      </c>
      <c r="BE9" s="99">
        <v>4914</v>
      </c>
      <c r="BF9" s="99">
        <v>6.7560650190913583</v>
      </c>
      <c r="BG9" s="99">
        <v>4742.7576434021339</v>
      </c>
      <c r="BH9" s="99">
        <v>2.2612311831403713</v>
      </c>
      <c r="BI9" s="99">
        <v>1587.3842905645406</v>
      </c>
      <c r="BJ9" s="99">
        <v>10</v>
      </c>
      <c r="BK9" s="99">
        <v>7020</v>
      </c>
      <c r="BL9" s="99">
        <v>11</v>
      </c>
      <c r="BM9" s="99">
        <v>7722</v>
      </c>
      <c r="BN9" s="99">
        <v>6</v>
      </c>
      <c r="BO9" s="99">
        <v>4212</v>
      </c>
      <c r="BP9" s="99">
        <v>11</v>
      </c>
      <c r="BQ9" s="99">
        <v>7722</v>
      </c>
      <c r="BR9" s="99">
        <v>6.5190249535281364</v>
      </c>
      <c r="BS9" s="99">
        <v>4576.3555173767518</v>
      </c>
      <c r="BT9" s="99">
        <v>7.7166613030621809</v>
      </c>
      <c r="BU9" s="99">
        <v>5417.0962347496506</v>
      </c>
      <c r="BV9" s="99">
        <v>8.0540127023042505</v>
      </c>
      <c r="BW9" s="99">
        <v>5653.9169170175837</v>
      </c>
      <c r="BX9" s="99">
        <v>7.3670262091784107</v>
      </c>
      <c r="BY9" s="99">
        <v>5171.6523988432446</v>
      </c>
      <c r="BZ9" s="99">
        <v>10</v>
      </c>
      <c r="CA9" s="99">
        <v>7020</v>
      </c>
      <c r="CB9" s="99">
        <v>13</v>
      </c>
      <c r="CC9" s="99">
        <v>9126</v>
      </c>
      <c r="CD9" s="99">
        <v>8</v>
      </c>
      <c r="CE9" s="99">
        <v>5616</v>
      </c>
      <c r="CF9" s="99">
        <v>7.9488791480355943</v>
      </c>
      <c r="CG9" s="99">
        <v>5580.1131619209873</v>
      </c>
      <c r="CH9" s="99">
        <v>0</v>
      </c>
      <c r="CI9" s="99">
        <v>0</v>
      </c>
      <c r="CJ9" s="99">
        <v>5.6600323314419496</v>
      </c>
      <c r="CK9" s="99">
        <v>3973.3426966722486</v>
      </c>
      <c r="CL9" s="99">
        <v>8</v>
      </c>
      <c r="CM9" s="99">
        <v>5616</v>
      </c>
      <c r="CN9" s="99">
        <v>8</v>
      </c>
      <c r="CO9" s="99">
        <v>5616</v>
      </c>
      <c r="CP9" s="99">
        <v>7</v>
      </c>
      <c r="CQ9" s="99">
        <v>4914</v>
      </c>
      <c r="CR9" s="99">
        <v>9</v>
      </c>
      <c r="CS9" s="99">
        <v>6318</v>
      </c>
      <c r="CT9" s="99">
        <v>8</v>
      </c>
      <c r="CU9" s="99">
        <v>5616</v>
      </c>
    </row>
    <row r="10" spans="1:99">
      <c r="C10" s="98" t="s">
        <v>176</v>
      </c>
      <c r="D10" s="99">
        <v>8</v>
      </c>
      <c r="E10" s="99">
        <v>4358.3999999999996</v>
      </c>
      <c r="F10" s="99">
        <v>10</v>
      </c>
      <c r="G10" s="99">
        <v>5448</v>
      </c>
      <c r="H10" s="99">
        <v>10</v>
      </c>
      <c r="I10" s="99">
        <v>5448</v>
      </c>
      <c r="J10" s="99">
        <v>5</v>
      </c>
      <c r="K10" s="99">
        <v>2724</v>
      </c>
      <c r="L10" s="99">
        <v>4.2302690022050333</v>
      </c>
      <c r="M10" s="99">
        <v>2304.6505524013019</v>
      </c>
      <c r="N10" s="99">
        <v>7</v>
      </c>
      <c r="O10" s="99">
        <v>3813.5999999999995</v>
      </c>
      <c r="P10" s="99">
        <v>6</v>
      </c>
      <c r="Q10" s="99">
        <v>3268.7999999999997</v>
      </c>
      <c r="R10" s="99">
        <v>6</v>
      </c>
      <c r="S10" s="99">
        <v>3268.7999999999997</v>
      </c>
      <c r="T10" s="99">
        <v>7</v>
      </c>
      <c r="U10" s="99">
        <v>3813.5999999999995</v>
      </c>
      <c r="V10" s="99">
        <v>6</v>
      </c>
      <c r="W10" s="99">
        <v>3268.7999999999997</v>
      </c>
      <c r="X10" s="99">
        <v>12</v>
      </c>
      <c r="Y10" s="99">
        <v>6537.5999999999995</v>
      </c>
      <c r="Z10" s="99">
        <v>7</v>
      </c>
      <c r="AA10" s="99">
        <v>3813.5999999999995</v>
      </c>
      <c r="AB10" s="99">
        <v>6</v>
      </c>
      <c r="AC10" s="99">
        <v>3268.7999999999997</v>
      </c>
      <c r="AD10" s="99">
        <v>7.090121454784752</v>
      </c>
      <c r="AE10" s="99">
        <v>3862.6981685667324</v>
      </c>
      <c r="AF10" s="99">
        <v>6.2159283639942844</v>
      </c>
      <c r="AG10" s="99">
        <v>3386.437772704086</v>
      </c>
      <c r="AH10" s="99">
        <v>9.7029125681862016</v>
      </c>
      <c r="AI10" s="99">
        <v>5286.1467671478422</v>
      </c>
      <c r="AJ10" s="99">
        <v>5</v>
      </c>
      <c r="AK10" s="99">
        <v>2724</v>
      </c>
      <c r="AL10" s="99">
        <v>10</v>
      </c>
      <c r="AM10" s="99">
        <v>5448</v>
      </c>
      <c r="AN10" s="99">
        <v>10</v>
      </c>
      <c r="AO10" s="99">
        <v>5448</v>
      </c>
      <c r="AP10" s="99">
        <v>9</v>
      </c>
      <c r="AQ10" s="99">
        <v>4903.2</v>
      </c>
      <c r="AR10" s="99">
        <v>6.3178736587584599</v>
      </c>
      <c r="AS10" s="99">
        <v>3441.9775692916087</v>
      </c>
      <c r="AT10" s="99">
        <v>4.4910514928548286</v>
      </c>
      <c r="AU10" s="99">
        <v>2446.7248533073102</v>
      </c>
      <c r="AV10" s="99">
        <v>8.6986752615663452</v>
      </c>
      <c r="AW10" s="99">
        <v>4739.0382825013448</v>
      </c>
      <c r="AX10" s="99">
        <v>5</v>
      </c>
      <c r="AY10" s="99">
        <v>2724</v>
      </c>
      <c r="AZ10" s="99">
        <v>11</v>
      </c>
      <c r="BA10" s="99">
        <v>5992.7999999999993</v>
      </c>
      <c r="BB10" s="99">
        <v>6.0603051972560849</v>
      </c>
      <c r="BC10" s="99">
        <v>3301.6542714651146</v>
      </c>
      <c r="BD10" s="99">
        <v>9</v>
      </c>
      <c r="BE10" s="99">
        <v>4903.2</v>
      </c>
      <c r="BF10" s="99">
        <v>6.0053911280812073</v>
      </c>
      <c r="BG10" s="99">
        <v>3271.7370865786415</v>
      </c>
      <c r="BH10" s="99">
        <v>2.5842642093032819</v>
      </c>
      <c r="BI10" s="99">
        <v>1407.9071412284279</v>
      </c>
      <c r="BJ10" s="99">
        <v>11</v>
      </c>
      <c r="BK10" s="99">
        <v>5992.7999999999993</v>
      </c>
      <c r="BL10" s="99">
        <v>10</v>
      </c>
      <c r="BM10" s="99">
        <v>5448</v>
      </c>
      <c r="BN10" s="99">
        <v>7</v>
      </c>
      <c r="BO10" s="99">
        <v>3813.5999999999995</v>
      </c>
      <c r="BP10" s="99">
        <v>10</v>
      </c>
      <c r="BQ10" s="99">
        <v>5448</v>
      </c>
      <c r="BR10" s="99">
        <v>6.5190249535281364</v>
      </c>
      <c r="BS10" s="99">
        <v>3551.5647946821282</v>
      </c>
      <c r="BT10" s="99">
        <v>9.6458266288277255</v>
      </c>
      <c r="BU10" s="99">
        <v>5255.0463473853442</v>
      </c>
      <c r="BV10" s="99">
        <v>9.5183786481777517</v>
      </c>
      <c r="BW10" s="99">
        <v>5185.6126875272384</v>
      </c>
      <c r="BX10" s="99">
        <v>7.3670262091784107</v>
      </c>
      <c r="BY10" s="99">
        <v>4013.5558787603977</v>
      </c>
      <c r="BZ10" s="99">
        <v>10</v>
      </c>
      <c r="CA10" s="99">
        <v>5448</v>
      </c>
      <c r="CB10" s="99">
        <v>12</v>
      </c>
      <c r="CC10" s="99">
        <v>6537.5999999999995</v>
      </c>
      <c r="CD10" s="99">
        <v>9</v>
      </c>
      <c r="CE10" s="99">
        <v>4903.2</v>
      </c>
      <c r="CF10" s="99">
        <v>8.7437670628391526</v>
      </c>
      <c r="CG10" s="99">
        <v>4763.6042958347698</v>
      </c>
      <c r="CH10" s="99">
        <v>0</v>
      </c>
      <c r="CI10" s="99">
        <v>0</v>
      </c>
      <c r="CJ10" s="99">
        <v>6.4686083787908002</v>
      </c>
      <c r="CK10" s="99">
        <v>3524.0978447652278</v>
      </c>
      <c r="CL10" s="99">
        <v>8</v>
      </c>
      <c r="CM10" s="99">
        <v>4358.3999999999996</v>
      </c>
      <c r="CN10" s="99">
        <v>8</v>
      </c>
      <c r="CO10" s="99">
        <v>4358.3999999999996</v>
      </c>
      <c r="CP10" s="99">
        <v>7</v>
      </c>
      <c r="CQ10" s="99">
        <v>3813.5999999999995</v>
      </c>
      <c r="CR10" s="99">
        <v>9</v>
      </c>
      <c r="CS10" s="99">
        <v>4903.2</v>
      </c>
      <c r="CT10" s="99">
        <v>7</v>
      </c>
      <c r="CU10" s="99">
        <v>3813.5999999999995</v>
      </c>
    </row>
    <row r="11" spans="1:99">
      <c r="C11" s="98" t="s">
        <v>177</v>
      </c>
      <c r="D11" s="99">
        <v>8</v>
      </c>
      <c r="E11" s="99">
        <v>4262.3999999999996</v>
      </c>
      <c r="F11" s="99">
        <v>10</v>
      </c>
      <c r="G11" s="99">
        <v>5328</v>
      </c>
      <c r="H11" s="99">
        <v>9</v>
      </c>
      <c r="I11" s="99">
        <v>4795.2</v>
      </c>
      <c r="J11" s="99">
        <v>5</v>
      </c>
      <c r="K11" s="99">
        <v>2664</v>
      </c>
      <c r="L11" s="99">
        <v>4.2302690022050333</v>
      </c>
      <c r="M11" s="99">
        <v>2253.8873243748417</v>
      </c>
      <c r="N11" s="99">
        <v>7</v>
      </c>
      <c r="O11" s="99">
        <v>3729.5999999999995</v>
      </c>
      <c r="P11" s="99">
        <v>6</v>
      </c>
      <c r="Q11" s="99">
        <v>3196.7999999999997</v>
      </c>
      <c r="R11" s="99">
        <v>5</v>
      </c>
      <c r="S11" s="99">
        <v>2664</v>
      </c>
      <c r="T11" s="99">
        <v>8</v>
      </c>
      <c r="U11" s="99">
        <v>4262.3999999999996</v>
      </c>
      <c r="V11" s="99">
        <v>7</v>
      </c>
      <c r="W11" s="99">
        <v>3729.5999999999995</v>
      </c>
      <c r="X11" s="99">
        <v>11</v>
      </c>
      <c r="Y11" s="99">
        <v>5860.7999999999993</v>
      </c>
      <c r="Z11" s="99">
        <v>7</v>
      </c>
      <c r="AA11" s="99">
        <v>3729.5999999999995</v>
      </c>
      <c r="AB11" s="99">
        <v>6</v>
      </c>
      <c r="AC11" s="99">
        <v>3196.7999999999997</v>
      </c>
      <c r="AD11" s="99">
        <v>7.9763866366328466</v>
      </c>
      <c r="AE11" s="99">
        <v>4249.81879999798</v>
      </c>
      <c r="AF11" s="99">
        <v>6.9929194094935703</v>
      </c>
      <c r="AG11" s="99">
        <v>3725.8274613781741</v>
      </c>
      <c r="AH11" s="99">
        <v>9.7029125681862016</v>
      </c>
      <c r="AI11" s="99">
        <v>5169.7118163296082</v>
      </c>
      <c r="AJ11" s="99">
        <v>6</v>
      </c>
      <c r="AK11" s="99">
        <v>3196.7999999999997</v>
      </c>
      <c r="AL11" s="99">
        <v>9</v>
      </c>
      <c r="AM11" s="99">
        <v>4795.2</v>
      </c>
      <c r="AN11" s="99">
        <v>9</v>
      </c>
      <c r="AO11" s="99">
        <v>4795.2</v>
      </c>
      <c r="AP11" s="99">
        <v>9</v>
      </c>
      <c r="AQ11" s="99">
        <v>4795.2</v>
      </c>
      <c r="AR11" s="99">
        <v>7.2204270385810974</v>
      </c>
      <c r="AS11" s="99">
        <v>3847.0435261560083</v>
      </c>
      <c r="AT11" s="99">
        <v>3.9296700562479749</v>
      </c>
      <c r="AU11" s="99">
        <v>2093.728205968921</v>
      </c>
      <c r="AV11" s="99">
        <v>9.5685427877229809</v>
      </c>
      <c r="AW11" s="99">
        <v>5098.1195972988035</v>
      </c>
      <c r="AX11" s="99">
        <v>7</v>
      </c>
      <c r="AY11" s="99">
        <v>3729.5999999999995</v>
      </c>
      <c r="AZ11" s="99">
        <v>10</v>
      </c>
      <c r="BA11" s="99">
        <v>5328</v>
      </c>
      <c r="BB11" s="99">
        <v>6.6112420333702753</v>
      </c>
      <c r="BC11" s="99">
        <v>3522.4697553796823</v>
      </c>
      <c r="BD11" s="99">
        <v>8</v>
      </c>
      <c r="BE11" s="99">
        <v>4262.3999999999996</v>
      </c>
      <c r="BF11" s="99">
        <v>6.0053911280812073</v>
      </c>
      <c r="BG11" s="99">
        <v>3199.672393041667</v>
      </c>
      <c r="BH11" s="99">
        <v>2.2612311831403713</v>
      </c>
      <c r="BI11" s="99">
        <v>1204.7839743771897</v>
      </c>
      <c r="BJ11" s="99">
        <v>10</v>
      </c>
      <c r="BK11" s="99">
        <v>5328</v>
      </c>
      <c r="BL11" s="99">
        <v>12</v>
      </c>
      <c r="BM11" s="99">
        <v>6393.5999999999995</v>
      </c>
      <c r="BN11" s="99">
        <v>7</v>
      </c>
      <c r="BO11" s="99">
        <v>3729.5999999999995</v>
      </c>
      <c r="BP11" s="99">
        <v>10</v>
      </c>
      <c r="BQ11" s="99">
        <v>5328</v>
      </c>
      <c r="BR11" s="99">
        <v>6.5190249535281364</v>
      </c>
      <c r="BS11" s="99">
        <v>3473.3364952397906</v>
      </c>
      <c r="BT11" s="99">
        <v>8.6812439659449545</v>
      </c>
      <c r="BU11" s="99">
        <v>4625.3667850554712</v>
      </c>
      <c r="BV11" s="99">
        <v>9.5183786481777517</v>
      </c>
      <c r="BW11" s="99">
        <v>5071.3921437491053</v>
      </c>
      <c r="BX11" s="99">
        <v>7.3670262091784107</v>
      </c>
      <c r="BY11" s="99">
        <v>3925.1515642502568</v>
      </c>
      <c r="BZ11" s="99">
        <v>10</v>
      </c>
      <c r="CA11" s="99">
        <v>5328</v>
      </c>
      <c r="CB11" s="99">
        <v>14</v>
      </c>
      <c r="CC11" s="99">
        <v>7459.1999999999989</v>
      </c>
      <c r="CD11" s="99">
        <v>9</v>
      </c>
      <c r="CE11" s="99">
        <v>4795.2</v>
      </c>
      <c r="CF11" s="99">
        <v>7.9488791480355943</v>
      </c>
      <c r="CG11" s="99">
        <v>4235.1628100733642</v>
      </c>
      <c r="CH11" s="99">
        <v>0</v>
      </c>
      <c r="CI11" s="99">
        <v>0</v>
      </c>
      <c r="CJ11" s="99">
        <v>5.6600323314419496</v>
      </c>
      <c r="CK11" s="99">
        <v>3015.6652261922704</v>
      </c>
      <c r="CL11" s="99">
        <v>8</v>
      </c>
      <c r="CM11" s="99">
        <v>4262.3999999999996</v>
      </c>
      <c r="CN11" s="99">
        <v>7</v>
      </c>
      <c r="CO11" s="99">
        <v>3729.5999999999995</v>
      </c>
      <c r="CP11" s="99">
        <v>7</v>
      </c>
      <c r="CQ11" s="99">
        <v>3729.5999999999995</v>
      </c>
      <c r="CR11" s="99">
        <v>9</v>
      </c>
      <c r="CS11" s="99">
        <v>4795.2</v>
      </c>
      <c r="CT11" s="99">
        <v>8</v>
      </c>
      <c r="CU11" s="99">
        <v>4262.3999999999996</v>
      </c>
    </row>
    <row r="12" spans="1:99">
      <c r="C12" s="98" t="s">
        <v>178</v>
      </c>
      <c r="D12" s="99">
        <v>7</v>
      </c>
      <c r="E12" s="99">
        <v>3939.5999999999995</v>
      </c>
      <c r="F12" s="99">
        <v>10</v>
      </c>
      <c r="G12" s="99">
        <v>5628</v>
      </c>
      <c r="H12" s="99">
        <v>10</v>
      </c>
      <c r="I12" s="99">
        <v>5628</v>
      </c>
      <c r="J12" s="99">
        <v>5</v>
      </c>
      <c r="K12" s="99">
        <v>2814</v>
      </c>
      <c r="L12" s="99">
        <v>4.8345931453771804</v>
      </c>
      <c r="M12" s="99">
        <v>2720.9090222182767</v>
      </c>
      <c r="N12" s="99">
        <v>7</v>
      </c>
      <c r="O12" s="99">
        <v>3939.5999999999995</v>
      </c>
      <c r="P12" s="99">
        <v>6</v>
      </c>
      <c r="Q12" s="99">
        <v>3376.7999999999997</v>
      </c>
      <c r="R12" s="99">
        <v>6</v>
      </c>
      <c r="S12" s="99">
        <v>3376.7999999999997</v>
      </c>
      <c r="T12" s="99">
        <v>7</v>
      </c>
      <c r="U12" s="99">
        <v>3939.5999999999995</v>
      </c>
      <c r="V12" s="99">
        <v>7</v>
      </c>
      <c r="W12" s="99">
        <v>3939.5999999999995</v>
      </c>
      <c r="X12" s="99">
        <v>12</v>
      </c>
      <c r="Y12" s="99">
        <v>6753.5999999999995</v>
      </c>
      <c r="Z12" s="99">
        <v>7</v>
      </c>
      <c r="AA12" s="99">
        <v>3939.5999999999995</v>
      </c>
      <c r="AB12" s="99">
        <v>6</v>
      </c>
      <c r="AC12" s="99">
        <v>3376.7999999999997</v>
      </c>
      <c r="AD12" s="99">
        <v>7.090121454784752</v>
      </c>
      <c r="AE12" s="99">
        <v>3990.3203547528583</v>
      </c>
      <c r="AF12" s="99">
        <v>6.9929194094935703</v>
      </c>
      <c r="AG12" s="99">
        <v>3935.615043662981</v>
      </c>
      <c r="AH12" s="99">
        <v>9.7029125681862016</v>
      </c>
      <c r="AI12" s="99">
        <v>5460.7991933751937</v>
      </c>
      <c r="AJ12" s="99">
        <v>6</v>
      </c>
      <c r="AK12" s="99">
        <v>3376.7999999999997</v>
      </c>
      <c r="AL12" s="99">
        <v>9</v>
      </c>
      <c r="AM12" s="99">
        <v>5065.2</v>
      </c>
      <c r="AN12" s="99">
        <v>10</v>
      </c>
      <c r="AO12" s="99">
        <v>5628</v>
      </c>
      <c r="AP12" s="99">
        <v>8</v>
      </c>
      <c r="AQ12" s="99">
        <v>4502.3999999999996</v>
      </c>
      <c r="AR12" s="99">
        <v>7.2204270385810974</v>
      </c>
      <c r="AS12" s="99">
        <v>4063.6563373134413</v>
      </c>
      <c r="AT12" s="99">
        <v>4.4910514928548286</v>
      </c>
      <c r="AU12" s="99">
        <v>2527.5637801786975</v>
      </c>
      <c r="AV12" s="99">
        <v>9.5685427877229809</v>
      </c>
      <c r="AW12" s="99">
        <v>5385.1758809304929</v>
      </c>
      <c r="AX12" s="99">
        <v>6</v>
      </c>
      <c r="AY12" s="99">
        <v>3376.7999999999997</v>
      </c>
      <c r="AZ12" s="99">
        <v>10</v>
      </c>
      <c r="BA12" s="99">
        <v>5628</v>
      </c>
      <c r="BB12" s="99">
        <v>6.6112420333702753</v>
      </c>
      <c r="BC12" s="99">
        <v>3720.8070163807906</v>
      </c>
      <c r="BD12" s="99">
        <v>9</v>
      </c>
      <c r="BE12" s="99">
        <v>5065.2</v>
      </c>
      <c r="BF12" s="99">
        <v>6.7560650190913583</v>
      </c>
      <c r="BG12" s="99">
        <v>3802.3133927446161</v>
      </c>
      <c r="BH12" s="99">
        <v>2.5842642093032819</v>
      </c>
      <c r="BI12" s="99">
        <v>1454.4238969958869</v>
      </c>
      <c r="BJ12" s="99">
        <v>10</v>
      </c>
      <c r="BK12" s="99">
        <v>5628</v>
      </c>
      <c r="BL12" s="99">
        <v>11</v>
      </c>
      <c r="BM12" s="99">
        <v>6190.7999999999993</v>
      </c>
      <c r="BN12" s="99">
        <v>7</v>
      </c>
      <c r="BO12" s="99">
        <v>3939.5999999999995</v>
      </c>
      <c r="BP12" s="99">
        <v>9</v>
      </c>
      <c r="BQ12" s="99">
        <v>5065.2</v>
      </c>
      <c r="BR12" s="99">
        <v>6.5190249535281364</v>
      </c>
      <c r="BS12" s="99">
        <v>3668.9072438456346</v>
      </c>
      <c r="BT12" s="99">
        <v>9.6458266288277255</v>
      </c>
      <c r="BU12" s="99">
        <v>5428.6712267042431</v>
      </c>
      <c r="BV12" s="99">
        <v>8.0540127023042505</v>
      </c>
      <c r="BW12" s="99">
        <v>4532.7983488568316</v>
      </c>
      <c r="BX12" s="99">
        <v>7.3670262091784107</v>
      </c>
      <c r="BY12" s="99">
        <v>4146.1623505256093</v>
      </c>
      <c r="BZ12" s="99">
        <v>9</v>
      </c>
      <c r="CA12" s="99">
        <v>5065.2</v>
      </c>
      <c r="CB12" s="99">
        <v>13</v>
      </c>
      <c r="CC12" s="99">
        <v>7316.4</v>
      </c>
      <c r="CD12" s="99">
        <v>10</v>
      </c>
      <c r="CE12" s="99">
        <v>5628</v>
      </c>
      <c r="CF12" s="99">
        <v>8.7437670628391526</v>
      </c>
      <c r="CG12" s="99">
        <v>4920.9921029658744</v>
      </c>
      <c r="CH12" s="99">
        <v>0</v>
      </c>
      <c r="CI12" s="99">
        <v>0</v>
      </c>
      <c r="CJ12" s="99">
        <v>5.6600323314419496</v>
      </c>
      <c r="CK12" s="99">
        <v>3185.4661961355291</v>
      </c>
      <c r="CL12" s="99">
        <v>8</v>
      </c>
      <c r="CM12" s="99">
        <v>4502.3999999999996</v>
      </c>
      <c r="CN12" s="99">
        <v>7</v>
      </c>
      <c r="CO12" s="99">
        <v>3939.5999999999995</v>
      </c>
      <c r="CP12" s="99">
        <v>7</v>
      </c>
      <c r="CQ12" s="99">
        <v>3939.5999999999995</v>
      </c>
      <c r="CR12" s="99">
        <v>9</v>
      </c>
      <c r="CS12" s="99">
        <v>5065.2</v>
      </c>
      <c r="CT12" s="99">
        <v>8</v>
      </c>
      <c r="CU12" s="99">
        <v>4502.3999999999996</v>
      </c>
    </row>
    <row r="13" spans="1:99">
      <c r="C13" s="98" t="s">
        <v>179</v>
      </c>
      <c r="D13" s="99">
        <v>9</v>
      </c>
      <c r="E13" s="99">
        <v>766.80000000000007</v>
      </c>
      <c r="F13" s="99">
        <v>10</v>
      </c>
      <c r="G13" s="99">
        <v>852</v>
      </c>
      <c r="H13" s="99">
        <v>10</v>
      </c>
      <c r="I13" s="99">
        <v>852</v>
      </c>
      <c r="J13" s="99">
        <v>6</v>
      </c>
      <c r="K13" s="99">
        <v>511.20000000000005</v>
      </c>
      <c r="L13" s="99">
        <v>4.8345931453771804</v>
      </c>
      <c r="M13" s="99">
        <v>411.90733598613576</v>
      </c>
      <c r="N13" s="99">
        <v>7</v>
      </c>
      <c r="O13" s="99">
        <v>596.4</v>
      </c>
      <c r="P13" s="99">
        <v>7</v>
      </c>
      <c r="Q13" s="99">
        <v>596.4</v>
      </c>
      <c r="R13" s="99">
        <v>7</v>
      </c>
      <c r="S13" s="99">
        <v>596.4</v>
      </c>
      <c r="T13" s="99">
        <v>8</v>
      </c>
      <c r="U13" s="99">
        <v>681.6</v>
      </c>
      <c r="V13" s="99">
        <v>7</v>
      </c>
      <c r="W13" s="99">
        <v>596.4</v>
      </c>
      <c r="X13" s="99">
        <v>11</v>
      </c>
      <c r="Y13" s="99">
        <v>937.2</v>
      </c>
      <c r="Z13" s="99">
        <v>6</v>
      </c>
      <c r="AA13" s="99">
        <v>511.20000000000005</v>
      </c>
      <c r="AB13" s="99">
        <v>6</v>
      </c>
      <c r="AC13" s="99">
        <v>511.20000000000005</v>
      </c>
      <c r="AD13" s="99">
        <v>7.9763866366328466</v>
      </c>
      <c r="AE13" s="99">
        <v>679.58814144111852</v>
      </c>
      <c r="AF13" s="99">
        <v>7.7699104549928562</v>
      </c>
      <c r="AG13" s="99">
        <v>661.99637076539136</v>
      </c>
      <c r="AH13" s="99">
        <v>10.673203825004821</v>
      </c>
      <c r="AI13" s="99">
        <v>909.35696589041072</v>
      </c>
      <c r="AJ13" s="99">
        <v>6</v>
      </c>
      <c r="AK13" s="99">
        <v>511.20000000000005</v>
      </c>
      <c r="AL13" s="99">
        <v>10</v>
      </c>
      <c r="AM13" s="99">
        <v>852</v>
      </c>
      <c r="AN13" s="99">
        <v>10</v>
      </c>
      <c r="AO13" s="99">
        <v>852</v>
      </c>
      <c r="AP13" s="99">
        <v>9</v>
      </c>
      <c r="AQ13" s="99">
        <v>766.80000000000007</v>
      </c>
      <c r="AR13" s="99">
        <v>7.2204270385810974</v>
      </c>
      <c r="AS13" s="99">
        <v>615.1803836871095</v>
      </c>
      <c r="AT13" s="99">
        <v>3.9296700562479749</v>
      </c>
      <c r="AU13" s="99">
        <v>334.8078887923275</v>
      </c>
      <c r="AV13" s="99">
        <v>8.6986752615663452</v>
      </c>
      <c r="AW13" s="99">
        <v>741.1271322854526</v>
      </c>
      <c r="AX13" s="99">
        <v>6</v>
      </c>
      <c r="AY13" s="99">
        <v>511.20000000000005</v>
      </c>
      <c r="AZ13" s="99">
        <v>10</v>
      </c>
      <c r="BA13" s="99">
        <v>852</v>
      </c>
      <c r="BB13" s="99">
        <v>6.6112420333702753</v>
      </c>
      <c r="BC13" s="99">
        <v>563.27782124314751</v>
      </c>
      <c r="BD13" s="99">
        <v>8</v>
      </c>
      <c r="BE13" s="99">
        <v>681.6</v>
      </c>
      <c r="BF13" s="99">
        <v>6.7560650190913583</v>
      </c>
      <c r="BG13" s="99">
        <v>575.61673962658369</v>
      </c>
      <c r="BH13" s="99">
        <v>2.9072972354661921</v>
      </c>
      <c r="BI13" s="99">
        <v>247.70172446171958</v>
      </c>
      <c r="BJ13" s="99">
        <v>10</v>
      </c>
      <c r="BK13" s="99">
        <v>852</v>
      </c>
      <c r="BL13" s="99">
        <v>12</v>
      </c>
      <c r="BM13" s="99">
        <v>1022.4000000000001</v>
      </c>
      <c r="BN13" s="99">
        <v>7</v>
      </c>
      <c r="BO13" s="99">
        <v>596.4</v>
      </c>
      <c r="BP13" s="99">
        <v>11</v>
      </c>
      <c r="BQ13" s="99">
        <v>937.2</v>
      </c>
      <c r="BR13" s="99">
        <v>6.5190249535281364</v>
      </c>
      <c r="BS13" s="99">
        <v>555.42092604059724</v>
      </c>
      <c r="BT13" s="99">
        <v>8.6812439659449545</v>
      </c>
      <c r="BU13" s="99">
        <v>739.64198589851014</v>
      </c>
      <c r="BV13" s="99">
        <v>8.0540127023042505</v>
      </c>
      <c r="BW13" s="99">
        <v>686.20188223632215</v>
      </c>
      <c r="BX13" s="99">
        <v>7.3670262091784107</v>
      </c>
      <c r="BY13" s="99">
        <v>627.67063302200063</v>
      </c>
      <c r="BZ13" s="99">
        <v>10</v>
      </c>
      <c r="CA13" s="99">
        <v>852</v>
      </c>
      <c r="CB13" s="99">
        <v>12</v>
      </c>
      <c r="CC13" s="99">
        <v>1022.4000000000001</v>
      </c>
      <c r="CD13" s="99">
        <v>10</v>
      </c>
      <c r="CE13" s="99">
        <v>852</v>
      </c>
      <c r="CF13" s="99">
        <v>8.7437670628391526</v>
      </c>
      <c r="CG13" s="99">
        <v>744.96895375389579</v>
      </c>
      <c r="CH13" s="99">
        <v>0</v>
      </c>
      <c r="CI13" s="99">
        <v>0</v>
      </c>
      <c r="CJ13" s="99">
        <v>6.4686083787908002</v>
      </c>
      <c r="CK13" s="99">
        <v>551.12543387297615</v>
      </c>
      <c r="CL13" s="99">
        <v>7</v>
      </c>
      <c r="CM13" s="99">
        <v>596.4</v>
      </c>
      <c r="CN13" s="99">
        <v>7</v>
      </c>
      <c r="CO13" s="99">
        <v>596.4</v>
      </c>
      <c r="CP13" s="99">
        <v>7</v>
      </c>
      <c r="CQ13" s="99">
        <v>596.4</v>
      </c>
      <c r="CR13" s="99">
        <v>10</v>
      </c>
      <c r="CS13" s="99">
        <v>852</v>
      </c>
      <c r="CT13" s="99">
        <v>8</v>
      </c>
      <c r="CU13" s="99">
        <v>681.6</v>
      </c>
    </row>
    <row r="14" spans="1:99">
      <c r="C14" s="98" t="s">
        <v>180</v>
      </c>
      <c r="D14" s="99">
        <v>7</v>
      </c>
      <c r="E14" s="99">
        <v>3418.7999999999997</v>
      </c>
      <c r="F14" s="99">
        <v>10</v>
      </c>
      <c r="G14" s="99">
        <v>4884</v>
      </c>
      <c r="H14" s="99">
        <v>9</v>
      </c>
      <c r="I14" s="99">
        <v>4395.5999999999995</v>
      </c>
      <c r="J14" s="99">
        <v>5</v>
      </c>
      <c r="K14" s="99">
        <v>2442</v>
      </c>
      <c r="L14" s="99">
        <v>4.8345931453771804</v>
      </c>
      <c r="M14" s="99">
        <v>2361.2152922022146</v>
      </c>
      <c r="N14" s="99">
        <v>7</v>
      </c>
      <c r="O14" s="99">
        <v>3418.7999999999997</v>
      </c>
      <c r="P14" s="99">
        <v>6</v>
      </c>
      <c r="Q14" s="99">
        <v>2930.3999999999996</v>
      </c>
      <c r="R14" s="99">
        <v>7</v>
      </c>
      <c r="S14" s="99">
        <v>3418.7999999999997</v>
      </c>
      <c r="T14" s="99">
        <v>8</v>
      </c>
      <c r="U14" s="99">
        <v>3907.2</v>
      </c>
      <c r="V14" s="99">
        <v>7</v>
      </c>
      <c r="W14" s="99">
        <v>3418.7999999999997</v>
      </c>
      <c r="X14" s="99">
        <v>10</v>
      </c>
      <c r="Y14" s="99">
        <v>4884</v>
      </c>
      <c r="Z14" s="99">
        <v>7</v>
      </c>
      <c r="AA14" s="99">
        <v>3418.7999999999997</v>
      </c>
      <c r="AB14" s="99">
        <v>6</v>
      </c>
      <c r="AC14" s="99">
        <v>2930.3999999999996</v>
      </c>
      <c r="AD14" s="99">
        <v>6.2038562729366582</v>
      </c>
      <c r="AE14" s="99">
        <v>3029.9634037022638</v>
      </c>
      <c r="AF14" s="99">
        <v>7.7699104549928562</v>
      </c>
      <c r="AG14" s="99">
        <v>3794.8242662185107</v>
      </c>
      <c r="AH14" s="99">
        <v>8.7326213113675806</v>
      </c>
      <c r="AI14" s="99">
        <v>4265.0122484719259</v>
      </c>
      <c r="AJ14" s="99">
        <v>6</v>
      </c>
      <c r="AK14" s="99">
        <v>2930.3999999999996</v>
      </c>
      <c r="AL14" s="99">
        <v>10</v>
      </c>
      <c r="AM14" s="99">
        <v>4884</v>
      </c>
      <c r="AN14" s="99">
        <v>8</v>
      </c>
      <c r="AO14" s="99">
        <v>3907.2</v>
      </c>
      <c r="AP14" s="99">
        <v>9</v>
      </c>
      <c r="AQ14" s="99">
        <v>4395.5999999999995</v>
      </c>
      <c r="AR14" s="99">
        <v>6.3178736587584599</v>
      </c>
      <c r="AS14" s="99">
        <v>3085.6494949376315</v>
      </c>
      <c r="AT14" s="99">
        <v>4.4910514928548286</v>
      </c>
      <c r="AU14" s="99">
        <v>2193.429549110298</v>
      </c>
      <c r="AV14" s="99">
        <v>9.5685427877229809</v>
      </c>
      <c r="AW14" s="99">
        <v>4673.2762975239038</v>
      </c>
      <c r="AX14" s="99">
        <v>6</v>
      </c>
      <c r="AY14" s="99">
        <v>2930.3999999999996</v>
      </c>
      <c r="AZ14" s="99">
        <v>9</v>
      </c>
      <c r="BA14" s="99">
        <v>4395.5999999999995</v>
      </c>
      <c r="BB14" s="99">
        <v>6.0603051972560849</v>
      </c>
      <c r="BC14" s="99">
        <v>2959.8530583398715</v>
      </c>
      <c r="BD14" s="99">
        <v>8</v>
      </c>
      <c r="BE14" s="99">
        <v>3907.2</v>
      </c>
      <c r="BF14" s="99">
        <v>6.0053911280812073</v>
      </c>
      <c r="BG14" s="99">
        <v>2933.0330269548617</v>
      </c>
      <c r="BH14" s="99">
        <v>2.5842642093032819</v>
      </c>
      <c r="BI14" s="99">
        <v>1262.1546398237228</v>
      </c>
      <c r="BJ14" s="99">
        <v>9</v>
      </c>
      <c r="BK14" s="99">
        <v>4395.5999999999995</v>
      </c>
      <c r="BL14" s="99">
        <v>10</v>
      </c>
      <c r="BM14" s="99">
        <v>4884</v>
      </c>
      <c r="BN14" s="99">
        <v>7</v>
      </c>
      <c r="BO14" s="99">
        <v>3418.7999999999997</v>
      </c>
      <c r="BP14" s="99">
        <v>10</v>
      </c>
      <c r="BQ14" s="99">
        <v>4884</v>
      </c>
      <c r="BR14" s="99">
        <v>6.5190249535281364</v>
      </c>
      <c r="BS14" s="99">
        <v>3183.8917873031419</v>
      </c>
      <c r="BT14" s="99">
        <v>8.6812439659449545</v>
      </c>
      <c r="BU14" s="99">
        <v>4239.9195529675153</v>
      </c>
      <c r="BV14" s="99">
        <v>9.5183786481777517</v>
      </c>
      <c r="BW14" s="99">
        <v>4648.7761317700133</v>
      </c>
      <c r="BX14" s="99">
        <v>7.3670262091784107</v>
      </c>
      <c r="BY14" s="99">
        <v>3598.0556005627354</v>
      </c>
      <c r="BZ14" s="99">
        <v>9</v>
      </c>
      <c r="CA14" s="99">
        <v>4395.5999999999995</v>
      </c>
      <c r="CB14" s="99">
        <v>11</v>
      </c>
      <c r="CC14" s="99">
        <v>5372.4</v>
      </c>
      <c r="CD14" s="99">
        <v>9</v>
      </c>
      <c r="CE14" s="99">
        <v>4395.5999999999995</v>
      </c>
      <c r="CF14" s="99">
        <v>8.7437670628391526</v>
      </c>
      <c r="CG14" s="99">
        <v>4270.4558334906424</v>
      </c>
      <c r="CH14" s="99">
        <v>0</v>
      </c>
      <c r="CI14" s="99">
        <v>0</v>
      </c>
      <c r="CJ14" s="99">
        <v>7.2771844261396508</v>
      </c>
      <c r="CK14" s="99">
        <v>3554.1768737266052</v>
      </c>
      <c r="CL14" s="99">
        <v>8</v>
      </c>
      <c r="CM14" s="99">
        <v>3907.2</v>
      </c>
      <c r="CN14" s="99">
        <v>7</v>
      </c>
      <c r="CO14" s="99">
        <v>3418.7999999999997</v>
      </c>
      <c r="CP14" s="99">
        <v>7</v>
      </c>
      <c r="CQ14" s="99">
        <v>3418.7999999999997</v>
      </c>
      <c r="CR14" s="99">
        <v>10</v>
      </c>
      <c r="CS14" s="99">
        <v>4884</v>
      </c>
      <c r="CT14" s="99">
        <v>8</v>
      </c>
      <c r="CU14" s="99">
        <v>3907.2</v>
      </c>
    </row>
    <row r="15" spans="1:99">
      <c r="C15" s="98" t="s">
        <v>181</v>
      </c>
      <c r="D15" s="99">
        <v>7</v>
      </c>
      <c r="E15" s="99">
        <v>5342.4</v>
      </c>
      <c r="F15" s="99">
        <v>10</v>
      </c>
      <c r="G15" s="99">
        <v>7631.9999999999991</v>
      </c>
      <c r="H15" s="99">
        <v>9</v>
      </c>
      <c r="I15" s="99">
        <v>6868.7999999999993</v>
      </c>
      <c r="J15" s="99">
        <v>5</v>
      </c>
      <c r="K15" s="99">
        <v>3815.9999999999995</v>
      </c>
      <c r="L15" s="99">
        <v>4.2302690022050333</v>
      </c>
      <c r="M15" s="99">
        <v>3228.5413024828813</v>
      </c>
      <c r="N15" s="99">
        <v>7</v>
      </c>
      <c r="O15" s="99">
        <v>5342.4</v>
      </c>
      <c r="P15" s="99">
        <v>6</v>
      </c>
      <c r="Q15" s="99">
        <v>4579.2</v>
      </c>
      <c r="R15" s="99">
        <v>6</v>
      </c>
      <c r="S15" s="99">
        <v>4579.2</v>
      </c>
      <c r="T15" s="99">
        <v>7</v>
      </c>
      <c r="U15" s="99">
        <v>5342.4</v>
      </c>
      <c r="V15" s="99">
        <v>6</v>
      </c>
      <c r="W15" s="99">
        <v>4579.2</v>
      </c>
      <c r="X15" s="99">
        <v>10</v>
      </c>
      <c r="Y15" s="99">
        <v>7631.9999999999991</v>
      </c>
      <c r="Z15" s="99">
        <v>6</v>
      </c>
      <c r="AA15" s="99">
        <v>4579.2</v>
      </c>
      <c r="AB15" s="99">
        <v>6</v>
      </c>
      <c r="AC15" s="99">
        <v>4579.2</v>
      </c>
      <c r="AD15" s="99">
        <v>6.2038562729366582</v>
      </c>
      <c r="AE15" s="99">
        <v>4734.7831075052572</v>
      </c>
      <c r="AF15" s="99">
        <v>6.9929194094935703</v>
      </c>
      <c r="AG15" s="99">
        <v>5336.9960933254924</v>
      </c>
      <c r="AH15" s="99">
        <v>9.7029125681862016</v>
      </c>
      <c r="AI15" s="99">
        <v>7405.2628720397088</v>
      </c>
      <c r="AJ15" s="99">
        <v>6</v>
      </c>
      <c r="AK15" s="99">
        <v>4579.2</v>
      </c>
      <c r="AL15" s="99">
        <v>9</v>
      </c>
      <c r="AM15" s="99">
        <v>6868.7999999999993</v>
      </c>
      <c r="AN15" s="99">
        <v>9</v>
      </c>
      <c r="AO15" s="99">
        <v>6868.7999999999993</v>
      </c>
      <c r="AP15" s="99">
        <v>8</v>
      </c>
      <c r="AQ15" s="99">
        <v>6105.5999999999995</v>
      </c>
      <c r="AR15" s="99">
        <v>6.3178736587584599</v>
      </c>
      <c r="AS15" s="99">
        <v>4821.8011763644563</v>
      </c>
      <c r="AT15" s="99">
        <v>3.9296700562479749</v>
      </c>
      <c r="AU15" s="99">
        <v>2999.124186928454</v>
      </c>
      <c r="AV15" s="99">
        <v>8.6986752615663452</v>
      </c>
      <c r="AW15" s="99">
        <v>6638.8289596274344</v>
      </c>
      <c r="AX15" s="99">
        <v>5</v>
      </c>
      <c r="AY15" s="99">
        <v>3815.9999999999995</v>
      </c>
      <c r="AZ15" s="99">
        <v>9</v>
      </c>
      <c r="BA15" s="99">
        <v>6868.7999999999993</v>
      </c>
      <c r="BB15" s="99">
        <v>6.0603051972560849</v>
      </c>
      <c r="BC15" s="99">
        <v>4625.2249265458431</v>
      </c>
      <c r="BD15" s="99">
        <v>8</v>
      </c>
      <c r="BE15" s="99">
        <v>6105.5999999999995</v>
      </c>
      <c r="BF15" s="99">
        <v>6.7560650190913583</v>
      </c>
      <c r="BG15" s="99">
        <v>5156.2288225705242</v>
      </c>
      <c r="BH15" s="99">
        <v>2.5842642093032819</v>
      </c>
      <c r="BI15" s="99">
        <v>1972.3104445402646</v>
      </c>
      <c r="BJ15" s="99">
        <v>10</v>
      </c>
      <c r="BK15" s="99">
        <v>7631.9999999999991</v>
      </c>
      <c r="BL15" s="99">
        <v>12</v>
      </c>
      <c r="BM15" s="99">
        <v>9158.4</v>
      </c>
      <c r="BN15" s="99">
        <v>7</v>
      </c>
      <c r="BO15" s="99">
        <v>5342.4</v>
      </c>
      <c r="BP15" s="99">
        <v>9</v>
      </c>
      <c r="BQ15" s="99">
        <v>6868.7999999999993</v>
      </c>
      <c r="BR15" s="99">
        <v>5.5877356744526887</v>
      </c>
      <c r="BS15" s="99">
        <v>4264.5598667422919</v>
      </c>
      <c r="BT15" s="99">
        <v>7.7166613030621809</v>
      </c>
      <c r="BU15" s="99">
        <v>5889.3559064970559</v>
      </c>
      <c r="BV15" s="99">
        <v>9.5183786481777517</v>
      </c>
      <c r="BW15" s="99">
        <v>7264.4265842892592</v>
      </c>
      <c r="BX15" s="99">
        <v>7.3670262091784107</v>
      </c>
      <c r="BY15" s="99">
        <v>5622.5144028449622</v>
      </c>
      <c r="BZ15" s="99">
        <v>8</v>
      </c>
      <c r="CA15" s="99">
        <v>6105.5999999999995</v>
      </c>
      <c r="CB15" s="99">
        <v>11</v>
      </c>
      <c r="CC15" s="99">
        <v>8395.1999999999989</v>
      </c>
      <c r="CD15" s="99">
        <v>10</v>
      </c>
      <c r="CE15" s="99">
        <v>7631.9999999999991</v>
      </c>
      <c r="CF15" s="99">
        <v>7.9488791480355943</v>
      </c>
      <c r="CG15" s="99">
        <v>6066.5845657807649</v>
      </c>
      <c r="CH15" s="99">
        <v>0</v>
      </c>
      <c r="CI15" s="99">
        <v>0</v>
      </c>
      <c r="CJ15" s="99">
        <v>6.4686083787908002</v>
      </c>
      <c r="CK15" s="99">
        <v>4936.8419146931383</v>
      </c>
      <c r="CL15" s="99">
        <v>7</v>
      </c>
      <c r="CM15" s="99">
        <v>5342.4</v>
      </c>
      <c r="CN15" s="99">
        <v>8</v>
      </c>
      <c r="CO15" s="99">
        <v>6105.5999999999995</v>
      </c>
      <c r="CP15" s="99">
        <v>7</v>
      </c>
      <c r="CQ15" s="99">
        <v>5342.4</v>
      </c>
      <c r="CR15" s="99">
        <v>9</v>
      </c>
      <c r="CS15" s="99">
        <v>6868.7999999999993</v>
      </c>
      <c r="CT15" s="99">
        <v>8</v>
      </c>
      <c r="CU15" s="99">
        <v>6105.5999999999995</v>
      </c>
    </row>
    <row r="16" spans="1:99">
      <c r="C16" s="98" t="s">
        <v>182</v>
      </c>
      <c r="D16" s="99">
        <v>8</v>
      </c>
      <c r="E16" s="99">
        <v>2726.4</v>
      </c>
      <c r="F16" s="99">
        <v>9</v>
      </c>
      <c r="G16" s="99">
        <v>3067.2000000000003</v>
      </c>
      <c r="H16" s="99">
        <v>9</v>
      </c>
      <c r="I16" s="99">
        <v>3067.2000000000003</v>
      </c>
      <c r="J16" s="99">
        <v>5</v>
      </c>
      <c r="K16" s="99">
        <v>1704</v>
      </c>
      <c r="L16" s="99">
        <v>4.2302690022050333</v>
      </c>
      <c r="M16" s="99">
        <v>1441.6756759514753</v>
      </c>
      <c r="N16" s="99">
        <v>7</v>
      </c>
      <c r="O16" s="99">
        <v>2385.6</v>
      </c>
      <c r="P16" s="99">
        <v>7</v>
      </c>
      <c r="Q16" s="99">
        <v>2385.6</v>
      </c>
      <c r="R16" s="99">
        <v>6</v>
      </c>
      <c r="S16" s="99">
        <v>2044.8000000000002</v>
      </c>
      <c r="T16" s="99">
        <v>8</v>
      </c>
      <c r="U16" s="99">
        <v>2726.4</v>
      </c>
      <c r="V16" s="99">
        <v>6</v>
      </c>
      <c r="W16" s="99">
        <v>2044.8000000000002</v>
      </c>
      <c r="X16" s="99">
        <v>11</v>
      </c>
      <c r="Y16" s="99">
        <v>3748.8</v>
      </c>
      <c r="Z16" s="99">
        <v>7</v>
      </c>
      <c r="AA16" s="99">
        <v>2385.6</v>
      </c>
      <c r="AB16" s="99">
        <v>6</v>
      </c>
      <c r="AC16" s="99">
        <v>2044.8000000000002</v>
      </c>
      <c r="AD16" s="99">
        <v>7.090121454784752</v>
      </c>
      <c r="AE16" s="99">
        <v>2416.3133917906434</v>
      </c>
      <c r="AF16" s="99">
        <v>7.7699104549928562</v>
      </c>
      <c r="AG16" s="99">
        <v>2647.9854830615654</v>
      </c>
      <c r="AH16" s="99">
        <v>8.7326213113675806</v>
      </c>
      <c r="AI16" s="99">
        <v>2976.0773429140718</v>
      </c>
      <c r="AJ16" s="99">
        <v>6</v>
      </c>
      <c r="AK16" s="99">
        <v>2044.8000000000002</v>
      </c>
      <c r="AL16" s="99">
        <v>9</v>
      </c>
      <c r="AM16" s="99">
        <v>3067.2000000000003</v>
      </c>
      <c r="AN16" s="99">
        <v>10</v>
      </c>
      <c r="AO16" s="99">
        <v>3408</v>
      </c>
      <c r="AP16" s="99">
        <v>9</v>
      </c>
      <c r="AQ16" s="99">
        <v>3067.2000000000003</v>
      </c>
      <c r="AR16" s="99">
        <v>7.2204270385810974</v>
      </c>
      <c r="AS16" s="99">
        <v>2460.721534748438</v>
      </c>
      <c r="AT16" s="99">
        <v>4.4910514928548286</v>
      </c>
      <c r="AU16" s="99">
        <v>1530.5503487649257</v>
      </c>
      <c r="AV16" s="99">
        <v>9.5685427877229809</v>
      </c>
      <c r="AW16" s="99">
        <v>3260.9593820559921</v>
      </c>
      <c r="AX16" s="99">
        <v>6</v>
      </c>
      <c r="AY16" s="99">
        <v>2044.8000000000002</v>
      </c>
      <c r="AZ16" s="99">
        <v>10</v>
      </c>
      <c r="BA16" s="99">
        <v>3408</v>
      </c>
      <c r="BB16" s="99">
        <v>6.6112420333702753</v>
      </c>
      <c r="BC16" s="99">
        <v>2253.1112849725901</v>
      </c>
      <c r="BD16" s="99">
        <v>8</v>
      </c>
      <c r="BE16" s="99">
        <v>2726.4</v>
      </c>
      <c r="BF16" s="99">
        <v>6.7560650190913583</v>
      </c>
      <c r="BG16" s="99">
        <v>2302.4669585063348</v>
      </c>
      <c r="BH16" s="99">
        <v>2.5842642093032819</v>
      </c>
      <c r="BI16" s="99">
        <v>880.71724253055856</v>
      </c>
      <c r="BJ16" s="99">
        <v>9</v>
      </c>
      <c r="BK16" s="99">
        <v>3067.2000000000003</v>
      </c>
      <c r="BL16" s="99">
        <v>11</v>
      </c>
      <c r="BM16" s="99">
        <v>3748.8</v>
      </c>
      <c r="BN16" s="99">
        <v>7</v>
      </c>
      <c r="BO16" s="99">
        <v>2385.6</v>
      </c>
      <c r="BP16" s="99">
        <v>10</v>
      </c>
      <c r="BQ16" s="99">
        <v>3408</v>
      </c>
      <c r="BR16" s="99">
        <v>6.5190249535281364</v>
      </c>
      <c r="BS16" s="99">
        <v>2221.6837041623889</v>
      </c>
      <c r="BT16" s="99">
        <v>8.6812439659449545</v>
      </c>
      <c r="BU16" s="99">
        <v>2958.5679435940406</v>
      </c>
      <c r="BV16" s="99">
        <v>8.0540127023042505</v>
      </c>
      <c r="BW16" s="99">
        <v>2744.8075289452886</v>
      </c>
      <c r="BX16" s="99">
        <v>7.3670262091784107</v>
      </c>
      <c r="BY16" s="99">
        <v>2510.6825320880025</v>
      </c>
      <c r="BZ16" s="99">
        <v>9</v>
      </c>
      <c r="CA16" s="99">
        <v>3067.2000000000003</v>
      </c>
      <c r="CB16" s="99">
        <v>13</v>
      </c>
      <c r="CC16" s="99">
        <v>4430.4000000000005</v>
      </c>
      <c r="CD16" s="99">
        <v>9</v>
      </c>
      <c r="CE16" s="99">
        <v>3067.2000000000003</v>
      </c>
      <c r="CF16" s="99">
        <v>7.9488791480355943</v>
      </c>
      <c r="CG16" s="99">
        <v>2708.9780136505306</v>
      </c>
      <c r="CH16" s="99">
        <v>0</v>
      </c>
      <c r="CI16" s="99">
        <v>0</v>
      </c>
      <c r="CJ16" s="99">
        <v>6.4686083787908002</v>
      </c>
      <c r="CK16" s="99">
        <v>2204.5017354919046</v>
      </c>
      <c r="CL16" s="99">
        <v>8</v>
      </c>
      <c r="CM16" s="99">
        <v>2726.4</v>
      </c>
      <c r="CN16" s="99">
        <v>8</v>
      </c>
      <c r="CO16" s="99">
        <v>2726.4</v>
      </c>
      <c r="CP16" s="99">
        <v>7</v>
      </c>
      <c r="CQ16" s="99">
        <v>2385.6</v>
      </c>
      <c r="CR16" s="99">
        <v>8</v>
      </c>
      <c r="CS16" s="99">
        <v>2726.4</v>
      </c>
      <c r="CT16" s="99">
        <v>7</v>
      </c>
      <c r="CU16" s="99">
        <v>2385.6</v>
      </c>
    </row>
    <row r="17" spans="2:99">
      <c r="C17" s="98" t="s">
        <v>183</v>
      </c>
      <c r="D17" s="99">
        <v>8</v>
      </c>
      <c r="E17" s="99">
        <v>3379.2</v>
      </c>
      <c r="F17" s="99">
        <v>9</v>
      </c>
      <c r="G17" s="99">
        <v>3801.6</v>
      </c>
      <c r="H17" s="99">
        <v>9</v>
      </c>
      <c r="I17" s="99">
        <v>3801.6</v>
      </c>
      <c r="J17" s="99">
        <v>6</v>
      </c>
      <c r="K17" s="99">
        <v>2534.3999999999996</v>
      </c>
      <c r="L17" s="99">
        <v>4.8345931453771804</v>
      </c>
      <c r="M17" s="99">
        <v>2042.1321446073209</v>
      </c>
      <c r="N17" s="99">
        <v>7</v>
      </c>
      <c r="O17" s="99">
        <v>2956.7999999999997</v>
      </c>
      <c r="P17" s="99">
        <v>6</v>
      </c>
      <c r="Q17" s="99">
        <v>2534.3999999999996</v>
      </c>
      <c r="R17" s="99">
        <v>6</v>
      </c>
      <c r="S17" s="99">
        <v>2534.3999999999996</v>
      </c>
      <c r="T17" s="99">
        <v>7</v>
      </c>
      <c r="U17" s="99">
        <v>2956.7999999999997</v>
      </c>
      <c r="V17" s="99">
        <v>7</v>
      </c>
      <c r="W17" s="99">
        <v>2956.7999999999997</v>
      </c>
      <c r="X17" s="99">
        <v>11</v>
      </c>
      <c r="Y17" s="99">
        <v>4646.3999999999996</v>
      </c>
      <c r="Z17" s="99">
        <v>7</v>
      </c>
      <c r="AA17" s="99">
        <v>2956.7999999999997</v>
      </c>
      <c r="AB17" s="99">
        <v>6</v>
      </c>
      <c r="AC17" s="99">
        <v>2534.3999999999996</v>
      </c>
      <c r="AD17" s="99">
        <v>7.090121454784752</v>
      </c>
      <c r="AE17" s="99">
        <v>2994.8673025010789</v>
      </c>
      <c r="AF17" s="99">
        <v>6.9929194094935703</v>
      </c>
      <c r="AG17" s="99">
        <v>2953.809158570084</v>
      </c>
      <c r="AH17" s="99">
        <v>8.7326213113675806</v>
      </c>
      <c r="AI17" s="99">
        <v>3688.6592419216659</v>
      </c>
      <c r="AJ17" s="99">
        <v>6</v>
      </c>
      <c r="AK17" s="99">
        <v>2534.3999999999996</v>
      </c>
      <c r="AL17" s="99">
        <v>10</v>
      </c>
      <c r="AM17" s="99">
        <v>4224</v>
      </c>
      <c r="AN17" s="99">
        <v>9</v>
      </c>
      <c r="AO17" s="99">
        <v>3801.6</v>
      </c>
      <c r="AP17" s="99">
        <v>8</v>
      </c>
      <c r="AQ17" s="99">
        <v>3379.2</v>
      </c>
      <c r="AR17" s="99">
        <v>6.3178736587584599</v>
      </c>
      <c r="AS17" s="99">
        <v>2668.6698334595735</v>
      </c>
      <c r="AT17" s="99">
        <v>3.9296700562479749</v>
      </c>
      <c r="AU17" s="99">
        <v>1659.8926317591445</v>
      </c>
      <c r="AV17" s="99">
        <v>8.6986752615663452</v>
      </c>
      <c r="AW17" s="99">
        <v>3674.320430485624</v>
      </c>
      <c r="AX17" s="99">
        <v>6</v>
      </c>
      <c r="AY17" s="99">
        <v>2534.3999999999996</v>
      </c>
      <c r="AZ17" s="99">
        <v>11</v>
      </c>
      <c r="BA17" s="99">
        <v>4646.3999999999996</v>
      </c>
      <c r="BB17" s="99">
        <v>6.0603051972560849</v>
      </c>
      <c r="BC17" s="99">
        <v>2559.8729153209702</v>
      </c>
      <c r="BD17" s="99">
        <v>9</v>
      </c>
      <c r="BE17" s="99">
        <v>3801.6</v>
      </c>
      <c r="BF17" s="99">
        <v>6.0053911280812073</v>
      </c>
      <c r="BG17" s="99">
        <v>2536.6772125015018</v>
      </c>
      <c r="BH17" s="99">
        <v>2.9072972354661921</v>
      </c>
      <c r="BI17" s="99">
        <v>1228.0423522609194</v>
      </c>
      <c r="BJ17" s="99">
        <v>10</v>
      </c>
      <c r="BK17" s="99">
        <v>4224</v>
      </c>
      <c r="BL17" s="99">
        <v>12</v>
      </c>
      <c r="BM17" s="99">
        <v>5068.7999999999993</v>
      </c>
      <c r="BN17" s="99">
        <v>7</v>
      </c>
      <c r="BO17" s="99">
        <v>2956.7999999999997</v>
      </c>
      <c r="BP17" s="99">
        <v>10</v>
      </c>
      <c r="BQ17" s="99">
        <v>4224</v>
      </c>
      <c r="BR17" s="99">
        <v>6.5190249535281364</v>
      </c>
      <c r="BS17" s="99">
        <v>2753.6361403702845</v>
      </c>
      <c r="BT17" s="99">
        <v>8.6812439659449545</v>
      </c>
      <c r="BU17" s="99">
        <v>3666.9574512151485</v>
      </c>
      <c r="BV17" s="99">
        <v>8.786195675241002</v>
      </c>
      <c r="BW17" s="99">
        <v>3711.2890532217989</v>
      </c>
      <c r="BX17" s="99">
        <v>8.1855846768649005</v>
      </c>
      <c r="BY17" s="99">
        <v>3457.5909675077337</v>
      </c>
      <c r="BZ17" s="99">
        <v>9</v>
      </c>
      <c r="CA17" s="99">
        <v>3801.6</v>
      </c>
      <c r="CB17" s="99">
        <v>13</v>
      </c>
      <c r="CC17" s="99">
        <v>5491.2</v>
      </c>
      <c r="CD17" s="99">
        <v>10</v>
      </c>
      <c r="CE17" s="99">
        <v>4224</v>
      </c>
      <c r="CF17" s="99">
        <v>8.7437670628391526</v>
      </c>
      <c r="CG17" s="99">
        <v>3693.3672073432581</v>
      </c>
      <c r="CH17" s="99">
        <v>0</v>
      </c>
      <c r="CI17" s="99">
        <v>0</v>
      </c>
      <c r="CJ17" s="99">
        <v>6.4686083787908002</v>
      </c>
      <c r="CK17" s="99">
        <v>2732.3401792012337</v>
      </c>
      <c r="CL17" s="99">
        <v>7</v>
      </c>
      <c r="CM17" s="99">
        <v>2956.7999999999997</v>
      </c>
      <c r="CN17" s="99">
        <v>8</v>
      </c>
      <c r="CO17" s="99">
        <v>3379.2</v>
      </c>
      <c r="CP17" s="99">
        <v>6</v>
      </c>
      <c r="CQ17" s="99">
        <v>2534.3999999999996</v>
      </c>
      <c r="CR17" s="99">
        <v>10</v>
      </c>
      <c r="CS17" s="99">
        <v>4224</v>
      </c>
      <c r="CT17" s="99">
        <v>8</v>
      </c>
      <c r="CU17" s="99">
        <v>3379.2</v>
      </c>
    </row>
    <row r="18" spans="2:99">
      <c r="C18" s="98" t="s">
        <v>184</v>
      </c>
      <c r="D18" s="99">
        <v>8</v>
      </c>
      <c r="E18" s="99">
        <v>5222.3999999999996</v>
      </c>
      <c r="F18" s="99">
        <v>9</v>
      </c>
      <c r="G18" s="99">
        <v>5875.2</v>
      </c>
      <c r="H18" s="99">
        <v>10</v>
      </c>
      <c r="I18" s="99">
        <v>6528</v>
      </c>
      <c r="J18" s="99">
        <v>6</v>
      </c>
      <c r="K18" s="99">
        <v>3916.7999999999997</v>
      </c>
      <c r="L18" s="99">
        <v>4.8345931453771804</v>
      </c>
      <c r="M18" s="99">
        <v>3156.022405302223</v>
      </c>
      <c r="N18" s="99">
        <v>7</v>
      </c>
      <c r="O18" s="99">
        <v>4569.5999999999995</v>
      </c>
      <c r="P18" s="99">
        <v>6</v>
      </c>
      <c r="Q18" s="99">
        <v>3916.7999999999997</v>
      </c>
      <c r="R18" s="99">
        <v>6</v>
      </c>
      <c r="S18" s="99">
        <v>3916.7999999999997</v>
      </c>
      <c r="T18" s="99">
        <v>7</v>
      </c>
      <c r="U18" s="99">
        <v>4569.5999999999995</v>
      </c>
      <c r="V18" s="99">
        <v>7</v>
      </c>
      <c r="W18" s="99">
        <v>4569.5999999999995</v>
      </c>
      <c r="X18" s="99">
        <v>10</v>
      </c>
      <c r="Y18" s="99">
        <v>6528</v>
      </c>
      <c r="Z18" s="99">
        <v>7</v>
      </c>
      <c r="AA18" s="99">
        <v>4569.5999999999995</v>
      </c>
      <c r="AB18" s="99">
        <v>5</v>
      </c>
      <c r="AC18" s="99">
        <v>3264</v>
      </c>
      <c r="AD18" s="99">
        <v>7.090121454784752</v>
      </c>
      <c r="AE18" s="99">
        <v>4628.4312856834858</v>
      </c>
      <c r="AF18" s="99">
        <v>7.7699104549928562</v>
      </c>
      <c r="AG18" s="99">
        <v>5072.1975450193358</v>
      </c>
      <c r="AH18" s="99">
        <v>8.7326213113675806</v>
      </c>
      <c r="AI18" s="99">
        <v>5700.6551920607562</v>
      </c>
      <c r="AJ18" s="99">
        <v>6</v>
      </c>
      <c r="AK18" s="99">
        <v>3916.7999999999997</v>
      </c>
      <c r="AL18" s="99">
        <v>10</v>
      </c>
      <c r="AM18" s="99">
        <v>6528</v>
      </c>
      <c r="AN18" s="99">
        <v>9</v>
      </c>
      <c r="AO18" s="99">
        <v>5875.2</v>
      </c>
      <c r="AP18" s="99">
        <v>8</v>
      </c>
      <c r="AQ18" s="99">
        <v>5222.3999999999996</v>
      </c>
      <c r="AR18" s="99">
        <v>6.3178736587584599</v>
      </c>
      <c r="AS18" s="99">
        <v>4124.3079244375222</v>
      </c>
      <c r="AT18" s="99">
        <v>4.4910514928548286</v>
      </c>
      <c r="AU18" s="99">
        <v>2931.7584145356318</v>
      </c>
      <c r="AV18" s="99">
        <v>8.6986752615663452</v>
      </c>
      <c r="AW18" s="99">
        <v>5678.4952107505096</v>
      </c>
      <c r="AX18" s="99">
        <v>6</v>
      </c>
      <c r="AY18" s="99">
        <v>3916.7999999999997</v>
      </c>
      <c r="AZ18" s="99">
        <v>9</v>
      </c>
      <c r="BA18" s="99">
        <v>5875.2</v>
      </c>
      <c r="BB18" s="99">
        <v>6.0603051972560849</v>
      </c>
      <c r="BC18" s="99">
        <v>3956.167232768772</v>
      </c>
      <c r="BD18" s="99">
        <v>8</v>
      </c>
      <c r="BE18" s="99">
        <v>5222.3999999999996</v>
      </c>
      <c r="BF18" s="99">
        <v>6.0053911280812073</v>
      </c>
      <c r="BG18" s="99">
        <v>3920.3193284114118</v>
      </c>
      <c r="BH18" s="99">
        <v>2.9072972354661921</v>
      </c>
      <c r="BI18" s="99">
        <v>1897.8836353123302</v>
      </c>
      <c r="BJ18" s="99">
        <v>10</v>
      </c>
      <c r="BK18" s="99">
        <v>6528</v>
      </c>
      <c r="BL18" s="99">
        <v>12</v>
      </c>
      <c r="BM18" s="99">
        <v>7833.5999999999995</v>
      </c>
      <c r="BN18" s="99">
        <v>6</v>
      </c>
      <c r="BO18" s="99">
        <v>3916.7999999999997</v>
      </c>
      <c r="BP18" s="99">
        <v>10</v>
      </c>
      <c r="BQ18" s="99">
        <v>6528</v>
      </c>
      <c r="BR18" s="99">
        <v>5.5877356744526887</v>
      </c>
      <c r="BS18" s="99">
        <v>3647.673848282715</v>
      </c>
      <c r="BT18" s="99">
        <v>9.6458266288277255</v>
      </c>
      <c r="BU18" s="99">
        <v>6296.795623298739</v>
      </c>
      <c r="BV18" s="99">
        <v>8.786195675241002</v>
      </c>
      <c r="BW18" s="99">
        <v>5735.628536797326</v>
      </c>
      <c r="BX18" s="99">
        <v>7.3670262091784107</v>
      </c>
      <c r="BY18" s="99">
        <v>4809.1947093516665</v>
      </c>
      <c r="BZ18" s="99">
        <v>10</v>
      </c>
      <c r="CA18" s="99">
        <v>6528</v>
      </c>
      <c r="CB18" s="99">
        <v>12</v>
      </c>
      <c r="CC18" s="99">
        <v>7833.5999999999995</v>
      </c>
      <c r="CD18" s="99">
        <v>9</v>
      </c>
      <c r="CE18" s="99">
        <v>5875.2</v>
      </c>
      <c r="CF18" s="99">
        <v>8.7437670628391526</v>
      </c>
      <c r="CG18" s="99">
        <v>5707.9311386213985</v>
      </c>
      <c r="CH18" s="99">
        <v>0</v>
      </c>
      <c r="CI18" s="99">
        <v>0</v>
      </c>
      <c r="CJ18" s="99">
        <v>6.4686083787908002</v>
      </c>
      <c r="CK18" s="99">
        <v>4222.7075496746338</v>
      </c>
      <c r="CL18" s="99">
        <v>8</v>
      </c>
      <c r="CM18" s="99">
        <v>5222.3999999999996</v>
      </c>
      <c r="CN18" s="99">
        <v>8</v>
      </c>
      <c r="CO18" s="99">
        <v>5222.3999999999996</v>
      </c>
      <c r="CP18" s="99">
        <v>8</v>
      </c>
      <c r="CQ18" s="99">
        <v>5222.3999999999996</v>
      </c>
      <c r="CR18" s="99">
        <v>9</v>
      </c>
      <c r="CS18" s="99">
        <v>5875.2</v>
      </c>
      <c r="CT18" s="99">
        <v>8</v>
      </c>
      <c r="CU18" s="99">
        <v>5222.3999999999996</v>
      </c>
    </row>
    <row r="19" spans="2:99">
      <c r="C19" s="98" t="s">
        <v>185</v>
      </c>
      <c r="D19" s="99">
        <v>8</v>
      </c>
      <c r="E19" s="99">
        <v>2640</v>
      </c>
      <c r="F19" s="99">
        <v>9</v>
      </c>
      <c r="G19" s="99">
        <v>2970</v>
      </c>
      <c r="H19" s="99">
        <v>10</v>
      </c>
      <c r="I19" s="99">
        <v>3300</v>
      </c>
      <c r="J19" s="99">
        <v>6</v>
      </c>
      <c r="K19" s="99">
        <v>1980</v>
      </c>
      <c r="L19" s="99">
        <v>4.8345931453771804</v>
      </c>
      <c r="M19" s="99">
        <v>1595.4157379744695</v>
      </c>
      <c r="N19" s="99">
        <v>8</v>
      </c>
      <c r="O19" s="99">
        <v>2640</v>
      </c>
      <c r="P19" s="99">
        <v>6</v>
      </c>
      <c r="Q19" s="99">
        <v>1980</v>
      </c>
      <c r="R19" s="99">
        <v>7</v>
      </c>
      <c r="S19" s="99">
        <v>2310</v>
      </c>
      <c r="T19" s="99">
        <v>7</v>
      </c>
      <c r="U19" s="99">
        <v>2310</v>
      </c>
      <c r="V19" s="99">
        <v>7</v>
      </c>
      <c r="W19" s="99">
        <v>2310</v>
      </c>
      <c r="X19" s="99">
        <v>11</v>
      </c>
      <c r="Y19" s="99">
        <v>3630</v>
      </c>
      <c r="Z19" s="99">
        <v>7</v>
      </c>
      <c r="AA19" s="99">
        <v>2310</v>
      </c>
      <c r="AB19" s="99">
        <v>6</v>
      </c>
      <c r="AC19" s="99">
        <v>1980</v>
      </c>
      <c r="AD19" s="99">
        <v>7.090121454784752</v>
      </c>
      <c r="AE19" s="99">
        <v>2339.7400800789683</v>
      </c>
      <c r="AF19" s="99">
        <v>6.9929194094935703</v>
      </c>
      <c r="AG19" s="99">
        <v>2307.6634051328783</v>
      </c>
      <c r="AH19" s="99">
        <v>9.7029125681862016</v>
      </c>
      <c r="AI19" s="99">
        <v>3201.9611475014467</v>
      </c>
      <c r="AJ19" s="99">
        <v>6</v>
      </c>
      <c r="AK19" s="99">
        <v>1980</v>
      </c>
      <c r="AL19" s="99">
        <v>9</v>
      </c>
      <c r="AM19" s="99">
        <v>2970</v>
      </c>
      <c r="AN19" s="99">
        <v>9</v>
      </c>
      <c r="AO19" s="99">
        <v>2970</v>
      </c>
      <c r="AP19" s="99">
        <v>8</v>
      </c>
      <c r="AQ19" s="99">
        <v>2640</v>
      </c>
      <c r="AR19" s="99">
        <v>6.3178736587584599</v>
      </c>
      <c r="AS19" s="99">
        <v>2084.8983073902918</v>
      </c>
      <c r="AT19" s="99">
        <v>4.4910514928548286</v>
      </c>
      <c r="AU19" s="99">
        <v>1482.0469926420935</v>
      </c>
      <c r="AV19" s="99">
        <v>8.6986752615663452</v>
      </c>
      <c r="AW19" s="99">
        <v>2870.5628363168939</v>
      </c>
      <c r="AX19" s="99">
        <v>6</v>
      </c>
      <c r="AY19" s="99">
        <v>1980</v>
      </c>
      <c r="AZ19" s="99">
        <v>11</v>
      </c>
      <c r="BA19" s="99">
        <v>3630</v>
      </c>
      <c r="BB19" s="99">
        <v>6.6112420333702753</v>
      </c>
      <c r="BC19" s="99">
        <v>2181.7098710121909</v>
      </c>
      <c r="BD19" s="99">
        <v>8</v>
      </c>
      <c r="BE19" s="99">
        <v>2640</v>
      </c>
      <c r="BF19" s="99">
        <v>6.7560650190913583</v>
      </c>
      <c r="BG19" s="99">
        <v>2229.5014563001482</v>
      </c>
      <c r="BH19" s="99">
        <v>2.9072972354661921</v>
      </c>
      <c r="BI19" s="99">
        <v>959.40808770384342</v>
      </c>
      <c r="BJ19" s="99">
        <v>10</v>
      </c>
      <c r="BK19" s="99">
        <v>3300</v>
      </c>
      <c r="BL19" s="99">
        <v>11</v>
      </c>
      <c r="BM19" s="99">
        <v>3630</v>
      </c>
      <c r="BN19" s="99">
        <v>7</v>
      </c>
      <c r="BO19" s="99">
        <v>2310</v>
      </c>
      <c r="BP19" s="99">
        <v>9</v>
      </c>
      <c r="BQ19" s="99">
        <v>2970</v>
      </c>
      <c r="BR19" s="99">
        <v>5.5877356744526887</v>
      </c>
      <c r="BS19" s="99">
        <v>1843.9527725693872</v>
      </c>
      <c r="BT19" s="99">
        <v>8.6812439659449545</v>
      </c>
      <c r="BU19" s="99">
        <v>2864.8105087618351</v>
      </c>
      <c r="BV19" s="99">
        <v>9.5183786481777517</v>
      </c>
      <c r="BW19" s="99">
        <v>3141.0649538986581</v>
      </c>
      <c r="BX19" s="99">
        <v>7.3670262091784107</v>
      </c>
      <c r="BY19" s="99">
        <v>2431.1186490288756</v>
      </c>
      <c r="BZ19" s="99">
        <v>9</v>
      </c>
      <c r="CA19" s="99">
        <v>2970</v>
      </c>
      <c r="CB19" s="99">
        <v>14</v>
      </c>
      <c r="CC19" s="99">
        <v>4620</v>
      </c>
      <c r="CD19" s="99">
        <v>10</v>
      </c>
      <c r="CE19" s="99">
        <v>3300</v>
      </c>
      <c r="CF19" s="99">
        <v>7.9488791480355943</v>
      </c>
      <c r="CG19" s="99">
        <v>2623.1301188517459</v>
      </c>
      <c r="CH19" s="99">
        <v>0</v>
      </c>
      <c r="CI19" s="99">
        <v>0</v>
      </c>
      <c r="CJ19" s="99">
        <v>6.4686083787908002</v>
      </c>
      <c r="CK19" s="99">
        <v>2134.6407650009642</v>
      </c>
      <c r="CL19" s="99">
        <v>7</v>
      </c>
      <c r="CM19" s="99">
        <v>2310</v>
      </c>
      <c r="CN19" s="99">
        <v>8</v>
      </c>
      <c r="CO19" s="99">
        <v>2640</v>
      </c>
      <c r="CP19" s="99">
        <v>7</v>
      </c>
      <c r="CQ19" s="99">
        <v>2310</v>
      </c>
      <c r="CR19" s="99">
        <v>8</v>
      </c>
      <c r="CS19" s="99">
        <v>2640</v>
      </c>
      <c r="CT19" s="99">
        <v>8</v>
      </c>
      <c r="CU19" s="99">
        <v>2640</v>
      </c>
    </row>
    <row r="20" spans="2:99">
      <c r="B20" s="98" t="s">
        <v>127</v>
      </c>
      <c r="C20" s="98" t="s">
        <v>186</v>
      </c>
      <c r="D20" s="99">
        <v>12</v>
      </c>
      <c r="E20" s="99">
        <v>3441.6000000000004</v>
      </c>
      <c r="F20" s="99">
        <v>13</v>
      </c>
      <c r="G20" s="99">
        <v>3728.4</v>
      </c>
      <c r="H20" s="99">
        <v>18</v>
      </c>
      <c r="I20" s="99">
        <v>5162.4000000000005</v>
      </c>
      <c r="J20" s="99">
        <v>15</v>
      </c>
      <c r="K20" s="99">
        <v>4302</v>
      </c>
      <c r="L20" s="99">
        <v>7.8562138612379186</v>
      </c>
      <c r="M20" s="99">
        <v>2253.1621354030353</v>
      </c>
      <c r="N20" s="99">
        <v>16</v>
      </c>
      <c r="O20" s="99">
        <v>4588.8</v>
      </c>
      <c r="P20" s="99">
        <v>18</v>
      </c>
      <c r="Q20" s="99">
        <v>5162.4000000000005</v>
      </c>
      <c r="R20" s="99">
        <v>18</v>
      </c>
      <c r="S20" s="99">
        <v>5162.4000000000005</v>
      </c>
      <c r="T20" s="99">
        <v>19</v>
      </c>
      <c r="U20" s="99">
        <v>5449.2</v>
      </c>
      <c r="V20" s="99">
        <v>16</v>
      </c>
      <c r="W20" s="99">
        <v>4588.8</v>
      </c>
      <c r="X20" s="99">
        <v>17</v>
      </c>
      <c r="Y20" s="99">
        <v>4875.6000000000004</v>
      </c>
      <c r="Z20" s="99">
        <v>17</v>
      </c>
      <c r="AA20" s="99">
        <v>4875.6000000000004</v>
      </c>
      <c r="AB20" s="99">
        <v>11</v>
      </c>
      <c r="AC20" s="99">
        <v>3154.8</v>
      </c>
      <c r="AD20" s="99">
        <v>9.7489170003290333</v>
      </c>
      <c r="AE20" s="99">
        <v>2795.989395694367</v>
      </c>
      <c r="AF20" s="99">
        <v>17.093803000984281</v>
      </c>
      <c r="AG20" s="99">
        <v>4902.502700682292</v>
      </c>
      <c r="AH20" s="99">
        <v>10.673203825004821</v>
      </c>
      <c r="AI20" s="99">
        <v>3061.0748570113828</v>
      </c>
      <c r="AJ20" s="99">
        <v>22</v>
      </c>
      <c r="AK20" s="99">
        <v>6309.6</v>
      </c>
      <c r="AL20" s="99">
        <v>17</v>
      </c>
      <c r="AM20" s="99">
        <v>4875.6000000000004</v>
      </c>
      <c r="AN20" s="99">
        <v>14</v>
      </c>
      <c r="AO20" s="99">
        <v>4015.2000000000003</v>
      </c>
      <c r="AP20" s="99">
        <v>11</v>
      </c>
      <c r="AQ20" s="99">
        <v>3154.8</v>
      </c>
      <c r="AR20" s="99">
        <v>9.9280871780490099</v>
      </c>
      <c r="AS20" s="99">
        <v>2847.375402664456</v>
      </c>
      <c r="AT20" s="99">
        <v>11.789010168743925</v>
      </c>
      <c r="AU20" s="99">
        <v>3381.0881163957579</v>
      </c>
      <c r="AV20" s="99">
        <v>10.438410313879615</v>
      </c>
      <c r="AW20" s="99">
        <v>2993.7360780206736</v>
      </c>
      <c r="AX20" s="99">
        <v>20</v>
      </c>
      <c r="AY20" s="99">
        <v>5736</v>
      </c>
      <c r="AZ20" s="99">
        <v>22</v>
      </c>
      <c r="BA20" s="99">
        <v>6309.6</v>
      </c>
      <c r="BB20" s="99">
        <v>11.569673558397982</v>
      </c>
      <c r="BC20" s="99">
        <v>3318.1823765485415</v>
      </c>
      <c r="BD20" s="99">
        <v>20</v>
      </c>
      <c r="BE20" s="99">
        <v>5736</v>
      </c>
      <c r="BF20" s="99">
        <v>12.761456147172566</v>
      </c>
      <c r="BG20" s="99">
        <v>3659.9856230090923</v>
      </c>
      <c r="BH20" s="99">
        <v>5.1685284186065639</v>
      </c>
      <c r="BI20" s="99">
        <v>1482.3339504563626</v>
      </c>
      <c r="BJ20" s="99">
        <v>19</v>
      </c>
      <c r="BK20" s="99">
        <v>5449.2</v>
      </c>
      <c r="BL20" s="99">
        <v>15</v>
      </c>
      <c r="BM20" s="99">
        <v>4302</v>
      </c>
      <c r="BN20" s="99">
        <v>12</v>
      </c>
      <c r="BO20" s="99">
        <v>3441.6000000000004</v>
      </c>
      <c r="BP20" s="99">
        <v>21</v>
      </c>
      <c r="BQ20" s="99">
        <v>6022.8</v>
      </c>
      <c r="BR20" s="99">
        <v>12.106760627980826</v>
      </c>
      <c r="BS20" s="99">
        <v>3472.2189481049008</v>
      </c>
      <c r="BT20" s="99">
        <v>19.291653257655451</v>
      </c>
      <c r="BU20" s="99">
        <v>5532.8461542955838</v>
      </c>
      <c r="BV20" s="99">
        <v>11.714927566988003</v>
      </c>
      <c r="BW20" s="99">
        <v>3359.8412262121592</v>
      </c>
      <c r="BX20" s="99">
        <v>17.189727821416295</v>
      </c>
      <c r="BY20" s="99">
        <v>4930.0139391821931</v>
      </c>
      <c r="BZ20" s="99">
        <v>18</v>
      </c>
      <c r="CA20" s="99">
        <v>5162.4000000000005</v>
      </c>
      <c r="CB20" s="99">
        <v>20</v>
      </c>
      <c r="CC20" s="99">
        <v>5736</v>
      </c>
      <c r="CD20" s="99">
        <v>17</v>
      </c>
      <c r="CE20" s="99">
        <v>4875.6000000000004</v>
      </c>
      <c r="CF20" s="99">
        <v>16.692646210874745</v>
      </c>
      <c r="CG20" s="99">
        <v>4787.4509332788775</v>
      </c>
      <c r="CH20" s="99">
        <v>0</v>
      </c>
      <c r="CI20" s="99">
        <v>0</v>
      </c>
      <c r="CJ20" s="99">
        <v>16.171520946977001</v>
      </c>
      <c r="CK20" s="99">
        <v>4637.9922075930044</v>
      </c>
      <c r="CL20" s="99">
        <v>12</v>
      </c>
      <c r="CM20" s="99">
        <v>3441.6000000000004</v>
      </c>
      <c r="CN20" s="99">
        <v>13</v>
      </c>
      <c r="CO20" s="99">
        <v>3728.4</v>
      </c>
      <c r="CP20" s="99">
        <v>16</v>
      </c>
      <c r="CQ20" s="99">
        <v>4588.8</v>
      </c>
      <c r="CR20" s="99">
        <v>25</v>
      </c>
      <c r="CS20" s="99">
        <v>7170</v>
      </c>
      <c r="CT20" s="99">
        <v>15</v>
      </c>
      <c r="CU20" s="99">
        <v>4302</v>
      </c>
    </row>
    <row r="21" spans="2:99">
      <c r="C21" s="98" t="s">
        <v>187</v>
      </c>
      <c r="D21" s="99">
        <v>12</v>
      </c>
      <c r="E21" s="99">
        <v>748.8</v>
      </c>
      <c r="F21" s="99">
        <v>13</v>
      </c>
      <c r="G21" s="99">
        <v>811.19999999999993</v>
      </c>
      <c r="H21" s="99">
        <v>15</v>
      </c>
      <c r="I21" s="99">
        <v>936</v>
      </c>
      <c r="J21" s="99">
        <v>16</v>
      </c>
      <c r="K21" s="99">
        <v>998.4</v>
      </c>
      <c r="L21" s="99">
        <v>7.8562138612379186</v>
      </c>
      <c r="M21" s="99">
        <v>490.2277449412461</v>
      </c>
      <c r="N21" s="99">
        <v>18</v>
      </c>
      <c r="O21" s="99">
        <v>1123.2</v>
      </c>
      <c r="P21" s="99">
        <v>19</v>
      </c>
      <c r="Q21" s="99">
        <v>1185.5999999999999</v>
      </c>
      <c r="R21" s="99">
        <v>18</v>
      </c>
      <c r="S21" s="99">
        <v>1123.2</v>
      </c>
      <c r="T21" s="99">
        <v>18</v>
      </c>
      <c r="U21" s="99">
        <v>1123.2</v>
      </c>
      <c r="V21" s="99">
        <v>14</v>
      </c>
      <c r="W21" s="99">
        <v>873.6</v>
      </c>
      <c r="X21" s="99">
        <v>17</v>
      </c>
      <c r="Y21" s="99">
        <v>1060.8</v>
      </c>
      <c r="Z21" s="99">
        <v>14</v>
      </c>
      <c r="AA21" s="99">
        <v>873.6</v>
      </c>
      <c r="AB21" s="99">
        <v>10</v>
      </c>
      <c r="AC21" s="99">
        <v>624</v>
      </c>
      <c r="AD21" s="99">
        <v>9.7489170003290333</v>
      </c>
      <c r="AE21" s="99">
        <v>608.33242082053164</v>
      </c>
      <c r="AF21" s="99">
        <v>14.762829864486426</v>
      </c>
      <c r="AG21" s="99">
        <v>921.20058354395292</v>
      </c>
      <c r="AH21" s="99">
        <v>12.613786338642059</v>
      </c>
      <c r="AI21" s="99">
        <v>787.10026753126454</v>
      </c>
      <c r="AJ21" s="99">
        <v>20</v>
      </c>
      <c r="AK21" s="99">
        <v>1248</v>
      </c>
      <c r="AL21" s="99">
        <v>17</v>
      </c>
      <c r="AM21" s="99">
        <v>1060.8</v>
      </c>
      <c r="AN21" s="99">
        <v>15</v>
      </c>
      <c r="AO21" s="99">
        <v>936</v>
      </c>
      <c r="AP21" s="99">
        <v>11</v>
      </c>
      <c r="AQ21" s="99">
        <v>686.4</v>
      </c>
      <c r="AR21" s="99">
        <v>10.830640557871646</v>
      </c>
      <c r="AS21" s="99">
        <v>675.83197081119067</v>
      </c>
      <c r="AT21" s="99">
        <v>10.104865858923365</v>
      </c>
      <c r="AU21" s="99">
        <v>630.54362959681794</v>
      </c>
      <c r="AV21" s="99">
        <v>11.308277840036251</v>
      </c>
      <c r="AW21" s="99">
        <v>705.63653721826199</v>
      </c>
      <c r="AX21" s="99">
        <v>24</v>
      </c>
      <c r="AY21" s="99">
        <v>1497.6</v>
      </c>
      <c r="AZ21" s="99">
        <v>21</v>
      </c>
      <c r="BA21" s="99">
        <v>1310.3999999999999</v>
      </c>
      <c r="BB21" s="99">
        <v>11.569673558397982</v>
      </c>
      <c r="BC21" s="99">
        <v>721.9476300440341</v>
      </c>
      <c r="BD21" s="99">
        <v>21</v>
      </c>
      <c r="BE21" s="99">
        <v>1310.3999999999999</v>
      </c>
      <c r="BF21" s="99">
        <v>13.512130038182717</v>
      </c>
      <c r="BG21" s="99">
        <v>843.15691438260149</v>
      </c>
      <c r="BH21" s="99">
        <v>4.5224623662807426</v>
      </c>
      <c r="BI21" s="99">
        <v>282.20165165591834</v>
      </c>
      <c r="BJ21" s="99">
        <v>18</v>
      </c>
      <c r="BK21" s="99">
        <v>1123.2</v>
      </c>
      <c r="BL21" s="99">
        <v>15</v>
      </c>
      <c r="BM21" s="99">
        <v>936</v>
      </c>
      <c r="BN21" s="99">
        <v>12</v>
      </c>
      <c r="BO21" s="99">
        <v>748.8</v>
      </c>
      <c r="BP21" s="99">
        <v>23</v>
      </c>
      <c r="BQ21" s="99">
        <v>1435.2</v>
      </c>
      <c r="BR21" s="99">
        <v>13.969339186131721</v>
      </c>
      <c r="BS21" s="99">
        <v>871.68676521461941</v>
      </c>
      <c r="BT21" s="99">
        <v>20.256235920538227</v>
      </c>
      <c r="BU21" s="99">
        <v>1263.9891214415854</v>
      </c>
      <c r="BV21" s="99">
        <v>13.179293512861502</v>
      </c>
      <c r="BW21" s="99">
        <v>822.38791520255768</v>
      </c>
      <c r="BX21" s="99">
        <v>16.371169353729801</v>
      </c>
      <c r="BY21" s="99">
        <v>1021.5609676727396</v>
      </c>
      <c r="BZ21" s="99">
        <v>18</v>
      </c>
      <c r="CA21" s="99">
        <v>1123.2</v>
      </c>
      <c r="CB21" s="99">
        <v>20</v>
      </c>
      <c r="CC21" s="99">
        <v>1248</v>
      </c>
      <c r="CD21" s="99">
        <v>15</v>
      </c>
      <c r="CE21" s="99">
        <v>936</v>
      </c>
      <c r="CF21" s="99">
        <v>16.692646210874745</v>
      </c>
      <c r="CG21" s="99">
        <v>1041.621123558584</v>
      </c>
      <c r="CH21" s="99">
        <v>0</v>
      </c>
      <c r="CI21" s="99">
        <v>0</v>
      </c>
      <c r="CJ21" s="99">
        <v>16.980096994325852</v>
      </c>
      <c r="CK21" s="99">
        <v>1059.5580524459331</v>
      </c>
      <c r="CL21" s="99">
        <v>13</v>
      </c>
      <c r="CM21" s="99">
        <v>811.19999999999993</v>
      </c>
      <c r="CN21" s="99">
        <v>14</v>
      </c>
      <c r="CO21" s="99">
        <v>873.6</v>
      </c>
      <c r="CP21" s="99">
        <v>15</v>
      </c>
      <c r="CQ21" s="99">
        <v>936</v>
      </c>
      <c r="CR21" s="99">
        <v>24</v>
      </c>
      <c r="CS21" s="99">
        <v>1497.6</v>
      </c>
      <c r="CT21" s="99">
        <v>13</v>
      </c>
      <c r="CU21" s="99">
        <v>811.19999999999993</v>
      </c>
    </row>
    <row r="22" spans="2:99">
      <c r="C22" s="98" t="s">
        <v>188</v>
      </c>
      <c r="D22" s="99">
        <v>13</v>
      </c>
      <c r="E22" s="99">
        <v>2433.6</v>
      </c>
      <c r="F22" s="99">
        <v>11</v>
      </c>
      <c r="G22" s="99">
        <v>2059.1999999999998</v>
      </c>
      <c r="H22" s="99">
        <v>18</v>
      </c>
      <c r="I22" s="99">
        <v>3369.6</v>
      </c>
      <c r="J22" s="99">
        <v>15</v>
      </c>
      <c r="K22" s="99">
        <v>2808</v>
      </c>
      <c r="L22" s="99">
        <v>7.2518897180657715</v>
      </c>
      <c r="M22" s="99">
        <v>1357.5537552219123</v>
      </c>
      <c r="N22" s="99">
        <v>16</v>
      </c>
      <c r="O22" s="99">
        <v>2995.2</v>
      </c>
      <c r="P22" s="99">
        <v>20</v>
      </c>
      <c r="Q22" s="99">
        <v>3744</v>
      </c>
      <c r="R22" s="99">
        <v>20</v>
      </c>
      <c r="S22" s="99">
        <v>3744</v>
      </c>
      <c r="T22" s="99">
        <v>21</v>
      </c>
      <c r="U22" s="99">
        <v>3931.2</v>
      </c>
      <c r="V22" s="99">
        <v>16</v>
      </c>
      <c r="W22" s="99">
        <v>2995.2</v>
      </c>
      <c r="X22" s="99">
        <v>18</v>
      </c>
      <c r="Y22" s="99">
        <v>3369.6</v>
      </c>
      <c r="Z22" s="99">
        <v>14</v>
      </c>
      <c r="AA22" s="99">
        <v>2620.7999999999997</v>
      </c>
      <c r="AB22" s="99">
        <v>10</v>
      </c>
      <c r="AC22" s="99">
        <v>1872</v>
      </c>
      <c r="AD22" s="99">
        <v>9.7489170003290333</v>
      </c>
      <c r="AE22" s="99">
        <v>1824.997262461595</v>
      </c>
      <c r="AF22" s="99">
        <v>15.539820909985712</v>
      </c>
      <c r="AG22" s="99">
        <v>2909.0544743493251</v>
      </c>
      <c r="AH22" s="99">
        <v>12.613786338642059</v>
      </c>
      <c r="AI22" s="99">
        <v>2361.3008025937934</v>
      </c>
      <c r="AJ22" s="99">
        <v>19</v>
      </c>
      <c r="AK22" s="99">
        <v>3556.7999999999997</v>
      </c>
      <c r="AL22" s="99">
        <v>16</v>
      </c>
      <c r="AM22" s="99">
        <v>2995.2</v>
      </c>
      <c r="AN22" s="99">
        <v>15</v>
      </c>
      <c r="AO22" s="99">
        <v>2808</v>
      </c>
      <c r="AP22" s="99">
        <v>12</v>
      </c>
      <c r="AQ22" s="99">
        <v>2246.3999999999996</v>
      </c>
      <c r="AR22" s="99">
        <v>9.9280871780490099</v>
      </c>
      <c r="AS22" s="99">
        <v>1858.5379197307745</v>
      </c>
      <c r="AT22" s="99">
        <v>10.104865858923365</v>
      </c>
      <c r="AU22" s="99">
        <v>1891.6308887904538</v>
      </c>
      <c r="AV22" s="99">
        <v>12.178145366192883</v>
      </c>
      <c r="AW22" s="99">
        <v>2279.7488125513078</v>
      </c>
      <c r="AX22" s="99">
        <v>20</v>
      </c>
      <c r="AY22" s="99">
        <v>3744</v>
      </c>
      <c r="AZ22" s="99">
        <v>20</v>
      </c>
      <c r="BA22" s="99">
        <v>3744</v>
      </c>
      <c r="BB22" s="99">
        <v>11.018736722283792</v>
      </c>
      <c r="BC22" s="99">
        <v>2062.7075144115256</v>
      </c>
      <c r="BD22" s="99">
        <v>18</v>
      </c>
      <c r="BE22" s="99">
        <v>3369.6</v>
      </c>
      <c r="BF22" s="99">
        <v>13.512130038182717</v>
      </c>
      <c r="BG22" s="99">
        <v>2529.4707431478046</v>
      </c>
      <c r="BH22" s="99">
        <v>4.5224623662807426</v>
      </c>
      <c r="BI22" s="99">
        <v>846.60495496775502</v>
      </c>
      <c r="BJ22" s="99">
        <v>17</v>
      </c>
      <c r="BK22" s="99">
        <v>3182.3999999999996</v>
      </c>
      <c r="BL22" s="99">
        <v>15</v>
      </c>
      <c r="BM22" s="99">
        <v>2808</v>
      </c>
      <c r="BN22" s="99">
        <v>12</v>
      </c>
      <c r="BO22" s="99">
        <v>2246.3999999999996</v>
      </c>
      <c r="BP22" s="99">
        <v>21</v>
      </c>
      <c r="BQ22" s="99">
        <v>3931.2</v>
      </c>
      <c r="BR22" s="99">
        <v>13.969339186131721</v>
      </c>
      <c r="BS22" s="99">
        <v>2615.0602956438579</v>
      </c>
      <c r="BT22" s="99">
        <v>23.149983909186542</v>
      </c>
      <c r="BU22" s="99">
        <v>4333.6769877997203</v>
      </c>
      <c r="BV22" s="99">
        <v>13.179293512861502</v>
      </c>
      <c r="BW22" s="99">
        <v>2467.1637456076733</v>
      </c>
      <c r="BX22" s="99">
        <v>17.189727821416295</v>
      </c>
      <c r="BY22" s="99">
        <v>3217.9170481691303</v>
      </c>
      <c r="BZ22" s="99">
        <v>19</v>
      </c>
      <c r="CA22" s="99">
        <v>3556.7999999999997</v>
      </c>
      <c r="CB22" s="99">
        <v>21</v>
      </c>
      <c r="CC22" s="99">
        <v>3931.2</v>
      </c>
      <c r="CD22" s="99">
        <v>16</v>
      </c>
      <c r="CE22" s="99">
        <v>2995.2</v>
      </c>
      <c r="CF22" s="99">
        <v>16.692646210874745</v>
      </c>
      <c r="CG22" s="99">
        <v>3124.8633706757519</v>
      </c>
      <c r="CH22" s="99">
        <v>0</v>
      </c>
      <c r="CI22" s="99">
        <v>0</v>
      </c>
      <c r="CJ22" s="99">
        <v>16.980096994325852</v>
      </c>
      <c r="CK22" s="99">
        <v>3178.674157337799</v>
      </c>
      <c r="CL22" s="99">
        <v>12</v>
      </c>
      <c r="CM22" s="99">
        <v>2246.3999999999996</v>
      </c>
      <c r="CN22" s="99">
        <v>12</v>
      </c>
      <c r="CO22" s="99">
        <v>2246.3999999999996</v>
      </c>
      <c r="CP22" s="99">
        <v>15</v>
      </c>
      <c r="CQ22" s="99">
        <v>2808</v>
      </c>
      <c r="CR22" s="99">
        <v>25</v>
      </c>
      <c r="CS22" s="99">
        <v>4680</v>
      </c>
      <c r="CT22" s="99">
        <v>15</v>
      </c>
      <c r="CU22" s="99">
        <v>2808</v>
      </c>
    </row>
    <row r="23" spans="2:99">
      <c r="C23" s="98" t="s">
        <v>189</v>
      </c>
      <c r="D23" s="99">
        <v>13</v>
      </c>
      <c r="E23" s="99">
        <v>3822</v>
      </c>
      <c r="F23" s="99">
        <v>12</v>
      </c>
      <c r="G23" s="99">
        <v>3528</v>
      </c>
      <c r="H23" s="99">
        <v>17</v>
      </c>
      <c r="I23" s="99">
        <v>4998</v>
      </c>
      <c r="J23" s="99">
        <v>15</v>
      </c>
      <c r="K23" s="99">
        <v>4410</v>
      </c>
      <c r="L23" s="99">
        <v>6.6475655748936235</v>
      </c>
      <c r="M23" s="99">
        <v>1954.3842790187252</v>
      </c>
      <c r="N23" s="99">
        <v>17</v>
      </c>
      <c r="O23" s="99">
        <v>4998</v>
      </c>
      <c r="P23" s="99">
        <v>18</v>
      </c>
      <c r="Q23" s="99">
        <v>5292</v>
      </c>
      <c r="R23" s="99">
        <v>18</v>
      </c>
      <c r="S23" s="99">
        <v>5292</v>
      </c>
      <c r="T23" s="99">
        <v>21</v>
      </c>
      <c r="U23" s="99">
        <v>6174</v>
      </c>
      <c r="V23" s="99">
        <v>16</v>
      </c>
      <c r="W23" s="99">
        <v>4704</v>
      </c>
      <c r="X23" s="99">
        <v>15</v>
      </c>
      <c r="Y23" s="99">
        <v>4410</v>
      </c>
      <c r="Z23" s="99">
        <v>14</v>
      </c>
      <c r="AA23" s="99">
        <v>4116</v>
      </c>
      <c r="AB23" s="99">
        <v>11</v>
      </c>
      <c r="AC23" s="99">
        <v>3234</v>
      </c>
      <c r="AD23" s="99">
        <v>10.635182182177129</v>
      </c>
      <c r="AE23" s="99">
        <v>3126.7435615600757</v>
      </c>
      <c r="AF23" s="99">
        <v>17.093803000984281</v>
      </c>
      <c r="AG23" s="99">
        <v>5025.5780822893785</v>
      </c>
      <c r="AH23" s="99">
        <v>13.584077595460682</v>
      </c>
      <c r="AI23" s="99">
        <v>3993.7188130654404</v>
      </c>
      <c r="AJ23" s="99">
        <v>23</v>
      </c>
      <c r="AK23" s="99">
        <v>6762</v>
      </c>
      <c r="AL23" s="99">
        <v>17</v>
      </c>
      <c r="AM23" s="99">
        <v>4998</v>
      </c>
      <c r="AN23" s="99">
        <v>15</v>
      </c>
      <c r="AO23" s="99">
        <v>4410</v>
      </c>
      <c r="AP23" s="99">
        <v>11</v>
      </c>
      <c r="AQ23" s="99">
        <v>3234</v>
      </c>
      <c r="AR23" s="99">
        <v>9.9280871780490099</v>
      </c>
      <c r="AS23" s="99">
        <v>2918.8576303464088</v>
      </c>
      <c r="AT23" s="99">
        <v>10.666247295530217</v>
      </c>
      <c r="AU23" s="99">
        <v>3135.876704885884</v>
      </c>
      <c r="AV23" s="99">
        <v>12.178145366192883</v>
      </c>
      <c r="AW23" s="99">
        <v>3580.3747376607075</v>
      </c>
      <c r="AX23" s="99">
        <v>21</v>
      </c>
      <c r="AY23" s="99">
        <v>6174</v>
      </c>
      <c r="AZ23" s="99">
        <v>19</v>
      </c>
      <c r="BA23" s="99">
        <v>5586</v>
      </c>
      <c r="BB23" s="99">
        <v>11.018736722283792</v>
      </c>
      <c r="BC23" s="99">
        <v>3239.5085963514348</v>
      </c>
      <c r="BD23" s="99">
        <v>18</v>
      </c>
      <c r="BE23" s="99">
        <v>5292</v>
      </c>
      <c r="BF23" s="99">
        <v>12.761456147172566</v>
      </c>
      <c r="BG23" s="99">
        <v>3751.8681072687345</v>
      </c>
      <c r="BH23" s="99">
        <v>4.8454953924436532</v>
      </c>
      <c r="BI23" s="99">
        <v>1424.575645378434</v>
      </c>
      <c r="BJ23" s="99">
        <v>19</v>
      </c>
      <c r="BK23" s="99">
        <v>5586</v>
      </c>
      <c r="BL23" s="99">
        <v>14</v>
      </c>
      <c r="BM23" s="99">
        <v>4116</v>
      </c>
      <c r="BN23" s="99">
        <v>12</v>
      </c>
      <c r="BO23" s="99">
        <v>3528</v>
      </c>
      <c r="BP23" s="99">
        <v>20</v>
      </c>
      <c r="BQ23" s="99">
        <v>5880</v>
      </c>
      <c r="BR23" s="99">
        <v>13.038049907056273</v>
      </c>
      <c r="BS23" s="99">
        <v>3833.1866726745443</v>
      </c>
      <c r="BT23" s="99">
        <v>21.220818583420996</v>
      </c>
      <c r="BU23" s="99">
        <v>6238.9206635257733</v>
      </c>
      <c r="BV23" s="99">
        <v>13.179293512861502</v>
      </c>
      <c r="BW23" s="99">
        <v>3874.7122927812816</v>
      </c>
      <c r="BX23" s="99">
        <v>14.734052418356821</v>
      </c>
      <c r="BY23" s="99">
        <v>4331.8114109969056</v>
      </c>
      <c r="BZ23" s="99">
        <v>17</v>
      </c>
      <c r="CA23" s="99">
        <v>4998</v>
      </c>
      <c r="CB23" s="99">
        <v>20</v>
      </c>
      <c r="CC23" s="99">
        <v>5880</v>
      </c>
      <c r="CD23" s="99">
        <v>14</v>
      </c>
      <c r="CE23" s="99">
        <v>4116</v>
      </c>
      <c r="CF23" s="99">
        <v>17.487534125678305</v>
      </c>
      <c r="CG23" s="99">
        <v>5141.3350329494215</v>
      </c>
      <c r="CH23" s="99">
        <v>0</v>
      </c>
      <c r="CI23" s="99">
        <v>0</v>
      </c>
      <c r="CJ23" s="99">
        <v>16.980096994325852</v>
      </c>
      <c r="CK23" s="99">
        <v>4992.1485163318002</v>
      </c>
      <c r="CL23" s="99">
        <v>12</v>
      </c>
      <c r="CM23" s="99">
        <v>3528</v>
      </c>
      <c r="CN23" s="99">
        <v>14</v>
      </c>
      <c r="CO23" s="99">
        <v>4116</v>
      </c>
      <c r="CP23" s="99">
        <v>16</v>
      </c>
      <c r="CQ23" s="99">
        <v>4704</v>
      </c>
      <c r="CR23" s="99">
        <v>22</v>
      </c>
      <c r="CS23" s="99">
        <v>6468</v>
      </c>
      <c r="CT23" s="99">
        <v>14</v>
      </c>
      <c r="CU23" s="99">
        <v>4116</v>
      </c>
    </row>
    <row r="24" spans="2:99">
      <c r="C24" s="98" t="s">
        <v>190</v>
      </c>
      <c r="D24" s="99">
        <v>14</v>
      </c>
      <c r="E24" s="99">
        <v>5140.8</v>
      </c>
      <c r="F24" s="99">
        <v>13</v>
      </c>
      <c r="G24" s="99">
        <v>4773.5999999999995</v>
      </c>
      <c r="H24" s="99">
        <v>18</v>
      </c>
      <c r="I24" s="99">
        <v>6609.5999999999995</v>
      </c>
      <c r="J24" s="99">
        <v>14</v>
      </c>
      <c r="K24" s="99">
        <v>5140.8</v>
      </c>
      <c r="L24" s="99">
        <v>7.2518897180657715</v>
      </c>
      <c r="M24" s="99">
        <v>2662.8939044737513</v>
      </c>
      <c r="N24" s="99">
        <v>16</v>
      </c>
      <c r="O24" s="99">
        <v>5875.2</v>
      </c>
      <c r="P24" s="99">
        <v>18</v>
      </c>
      <c r="Q24" s="99">
        <v>6609.5999999999995</v>
      </c>
      <c r="R24" s="99">
        <v>19</v>
      </c>
      <c r="S24" s="99">
        <v>6976.8</v>
      </c>
      <c r="T24" s="99">
        <v>18</v>
      </c>
      <c r="U24" s="99">
        <v>6609.5999999999995</v>
      </c>
      <c r="V24" s="99">
        <v>14</v>
      </c>
      <c r="W24" s="99">
        <v>5140.8</v>
      </c>
      <c r="X24" s="99">
        <v>18</v>
      </c>
      <c r="Y24" s="99">
        <v>6609.5999999999995</v>
      </c>
      <c r="Z24" s="99">
        <v>16</v>
      </c>
      <c r="AA24" s="99">
        <v>5875.2</v>
      </c>
      <c r="AB24" s="99">
        <v>10</v>
      </c>
      <c r="AC24" s="99">
        <v>3672</v>
      </c>
      <c r="AD24" s="99">
        <v>11.521447364025224</v>
      </c>
      <c r="AE24" s="99">
        <v>4230.6754720700619</v>
      </c>
      <c r="AF24" s="99">
        <v>14.762829864486426</v>
      </c>
      <c r="AG24" s="99">
        <v>5420.9111262394154</v>
      </c>
      <c r="AH24" s="99">
        <v>12.613786338642059</v>
      </c>
      <c r="AI24" s="99">
        <v>4631.7823435493638</v>
      </c>
      <c r="AJ24" s="99">
        <v>22</v>
      </c>
      <c r="AK24" s="99">
        <v>8078.4</v>
      </c>
      <c r="AL24" s="99">
        <v>16</v>
      </c>
      <c r="AM24" s="99">
        <v>5875.2</v>
      </c>
      <c r="AN24" s="99">
        <v>15</v>
      </c>
      <c r="AO24" s="99">
        <v>5508</v>
      </c>
      <c r="AP24" s="99">
        <v>11</v>
      </c>
      <c r="AQ24" s="99">
        <v>4039.2</v>
      </c>
      <c r="AR24" s="99">
        <v>10.830640557871646</v>
      </c>
      <c r="AS24" s="99">
        <v>3977.0112128504684</v>
      </c>
      <c r="AT24" s="99">
        <v>10.666247295530217</v>
      </c>
      <c r="AU24" s="99">
        <v>3916.6460069186955</v>
      </c>
      <c r="AV24" s="99">
        <v>11.308277840036251</v>
      </c>
      <c r="AW24" s="99">
        <v>4152.3996228613114</v>
      </c>
      <c r="AX24" s="99">
        <v>21</v>
      </c>
      <c r="AY24" s="99">
        <v>7711.2</v>
      </c>
      <c r="AZ24" s="99">
        <v>21</v>
      </c>
      <c r="BA24" s="99">
        <v>7711.2</v>
      </c>
      <c r="BB24" s="99">
        <v>12.12061039451217</v>
      </c>
      <c r="BC24" s="99">
        <v>4450.6881368648683</v>
      </c>
      <c r="BD24" s="99">
        <v>21</v>
      </c>
      <c r="BE24" s="99">
        <v>7711.2</v>
      </c>
      <c r="BF24" s="99">
        <v>12.761456147172566</v>
      </c>
      <c r="BG24" s="99">
        <v>4686.0066972417662</v>
      </c>
      <c r="BH24" s="99">
        <v>4.5224623662807426</v>
      </c>
      <c r="BI24" s="99">
        <v>1660.6481808982887</v>
      </c>
      <c r="BJ24" s="99">
        <v>19</v>
      </c>
      <c r="BK24" s="99">
        <v>6976.8</v>
      </c>
      <c r="BL24" s="99">
        <v>16</v>
      </c>
      <c r="BM24" s="99">
        <v>5875.2</v>
      </c>
      <c r="BN24" s="99">
        <v>12</v>
      </c>
      <c r="BO24" s="99">
        <v>4406.3999999999996</v>
      </c>
      <c r="BP24" s="99">
        <v>21</v>
      </c>
      <c r="BQ24" s="99">
        <v>7711.2</v>
      </c>
      <c r="BR24" s="99">
        <v>13.969339186131721</v>
      </c>
      <c r="BS24" s="99">
        <v>5129.5413491475683</v>
      </c>
      <c r="BT24" s="99">
        <v>21.220818583420996</v>
      </c>
      <c r="BU24" s="99">
        <v>7792.28458383219</v>
      </c>
      <c r="BV24" s="99">
        <v>11.714927566988003</v>
      </c>
      <c r="BW24" s="99">
        <v>4301.7214025979947</v>
      </c>
      <c r="BX24" s="99">
        <v>16.371169353729801</v>
      </c>
      <c r="BY24" s="99">
        <v>6011.4933866895826</v>
      </c>
      <c r="BZ24" s="99">
        <v>19</v>
      </c>
      <c r="CA24" s="99">
        <v>6976.8</v>
      </c>
      <c r="CB24" s="99">
        <v>20</v>
      </c>
      <c r="CC24" s="99">
        <v>7344</v>
      </c>
      <c r="CD24" s="99">
        <v>15</v>
      </c>
      <c r="CE24" s="99">
        <v>5508</v>
      </c>
      <c r="CF24" s="99">
        <v>17.487534125678305</v>
      </c>
      <c r="CG24" s="99">
        <v>6421.4225309490739</v>
      </c>
      <c r="CH24" s="99">
        <v>0</v>
      </c>
      <c r="CI24" s="99">
        <v>0</v>
      </c>
      <c r="CJ24" s="99">
        <v>19.405825136372403</v>
      </c>
      <c r="CK24" s="99">
        <v>7125.8189900759462</v>
      </c>
      <c r="CL24" s="99">
        <v>13</v>
      </c>
      <c r="CM24" s="99">
        <v>4773.5999999999995</v>
      </c>
      <c r="CN24" s="99">
        <v>12</v>
      </c>
      <c r="CO24" s="99">
        <v>4406.3999999999996</v>
      </c>
      <c r="CP24" s="99">
        <v>14</v>
      </c>
      <c r="CQ24" s="99">
        <v>5140.8</v>
      </c>
      <c r="CR24" s="99">
        <v>24</v>
      </c>
      <c r="CS24" s="99">
        <v>8812.7999999999993</v>
      </c>
      <c r="CT24" s="99">
        <v>14</v>
      </c>
      <c r="CU24" s="99">
        <v>5140.8</v>
      </c>
    </row>
    <row r="25" spans="2:99">
      <c r="C25" s="98" t="s">
        <v>191</v>
      </c>
      <c r="D25" s="99">
        <v>12</v>
      </c>
      <c r="E25" s="99">
        <v>6364.7999999999993</v>
      </c>
      <c r="F25" s="99">
        <v>12</v>
      </c>
      <c r="G25" s="99">
        <v>6364.7999999999993</v>
      </c>
      <c r="H25" s="99">
        <v>18</v>
      </c>
      <c r="I25" s="99">
        <v>9547.1999999999989</v>
      </c>
      <c r="J25" s="99">
        <v>14</v>
      </c>
      <c r="K25" s="99">
        <v>7425.5999999999995</v>
      </c>
      <c r="L25" s="99">
        <v>7.8562138612379186</v>
      </c>
      <c r="M25" s="99">
        <v>4166.9358320005922</v>
      </c>
      <c r="N25" s="99">
        <v>16</v>
      </c>
      <c r="O25" s="99">
        <v>8486.4</v>
      </c>
      <c r="P25" s="99">
        <v>19</v>
      </c>
      <c r="Q25" s="99">
        <v>10077.6</v>
      </c>
      <c r="R25" s="99">
        <v>17</v>
      </c>
      <c r="S25" s="99">
        <v>9016.7999999999993</v>
      </c>
      <c r="T25" s="99">
        <v>20</v>
      </c>
      <c r="U25" s="99">
        <v>10608</v>
      </c>
      <c r="V25" s="99">
        <v>14</v>
      </c>
      <c r="W25" s="99">
        <v>7425.5999999999995</v>
      </c>
      <c r="X25" s="99">
        <v>15</v>
      </c>
      <c r="Y25" s="99">
        <v>7956</v>
      </c>
      <c r="Z25" s="99">
        <v>14</v>
      </c>
      <c r="AA25" s="99">
        <v>7425.5999999999995</v>
      </c>
      <c r="AB25" s="99">
        <v>11</v>
      </c>
      <c r="AC25" s="99">
        <v>5834.4</v>
      </c>
      <c r="AD25" s="99">
        <v>9.7489170003290333</v>
      </c>
      <c r="AE25" s="99">
        <v>5170.8255769745192</v>
      </c>
      <c r="AF25" s="99">
        <v>15.539820909985712</v>
      </c>
      <c r="AG25" s="99">
        <v>8242.321010656422</v>
      </c>
      <c r="AH25" s="99">
        <v>10.673203825004821</v>
      </c>
      <c r="AI25" s="99">
        <v>5661.0673087825571</v>
      </c>
      <c r="AJ25" s="99">
        <v>22</v>
      </c>
      <c r="AK25" s="99">
        <v>11668.8</v>
      </c>
      <c r="AL25" s="99">
        <v>17</v>
      </c>
      <c r="AM25" s="99">
        <v>9016.7999999999993</v>
      </c>
      <c r="AN25" s="99">
        <v>13</v>
      </c>
      <c r="AO25" s="99">
        <v>6895.2</v>
      </c>
      <c r="AP25" s="99">
        <v>10</v>
      </c>
      <c r="AQ25" s="99">
        <v>5304</v>
      </c>
      <c r="AR25" s="99">
        <v>9.0255337982263715</v>
      </c>
      <c r="AS25" s="99">
        <v>4787.1431265792671</v>
      </c>
      <c r="AT25" s="99">
        <v>10.104865858923365</v>
      </c>
      <c r="AU25" s="99">
        <v>5359.6208515729522</v>
      </c>
      <c r="AV25" s="99">
        <v>10.438410313879615</v>
      </c>
      <c r="AW25" s="99">
        <v>5536.5328304817476</v>
      </c>
      <c r="AX25" s="99">
        <v>23</v>
      </c>
      <c r="AY25" s="99">
        <v>12199.199999999999</v>
      </c>
      <c r="AZ25" s="99">
        <v>20</v>
      </c>
      <c r="BA25" s="99">
        <v>10608</v>
      </c>
      <c r="BB25" s="99">
        <v>11.569673558397982</v>
      </c>
      <c r="BC25" s="99">
        <v>6136.5548553742892</v>
      </c>
      <c r="BD25" s="99">
        <v>19</v>
      </c>
      <c r="BE25" s="99">
        <v>10077.6</v>
      </c>
      <c r="BF25" s="99">
        <v>12.010782256162415</v>
      </c>
      <c r="BG25" s="99">
        <v>6370.5189086685441</v>
      </c>
      <c r="BH25" s="99">
        <v>5.1685284186065639</v>
      </c>
      <c r="BI25" s="99">
        <v>2741.3874732289214</v>
      </c>
      <c r="BJ25" s="99">
        <v>18</v>
      </c>
      <c r="BK25" s="99">
        <v>9547.1999999999989</v>
      </c>
      <c r="BL25" s="99">
        <v>16</v>
      </c>
      <c r="BM25" s="99">
        <v>8486.4</v>
      </c>
      <c r="BN25" s="99">
        <v>13</v>
      </c>
      <c r="BO25" s="99">
        <v>6895.2</v>
      </c>
      <c r="BP25" s="99">
        <v>20</v>
      </c>
      <c r="BQ25" s="99">
        <v>10608</v>
      </c>
      <c r="BR25" s="99">
        <v>13.038049907056273</v>
      </c>
      <c r="BS25" s="99">
        <v>6915.3816707026472</v>
      </c>
      <c r="BT25" s="99">
        <v>19.291653257655451</v>
      </c>
      <c r="BU25" s="99">
        <v>10232.292887860451</v>
      </c>
      <c r="BV25" s="99">
        <v>13.911476485798252</v>
      </c>
      <c r="BW25" s="99">
        <v>7378.6471280673923</v>
      </c>
      <c r="BX25" s="99">
        <v>16.371169353729801</v>
      </c>
      <c r="BY25" s="99">
        <v>8683.2682252182858</v>
      </c>
      <c r="BZ25" s="99">
        <v>18</v>
      </c>
      <c r="CA25" s="99">
        <v>9547.1999999999989</v>
      </c>
      <c r="CB25" s="99">
        <v>22</v>
      </c>
      <c r="CC25" s="99">
        <v>11668.8</v>
      </c>
      <c r="CD25" s="99">
        <v>17</v>
      </c>
      <c r="CE25" s="99">
        <v>9016.7999999999993</v>
      </c>
      <c r="CF25" s="99">
        <v>16.692646210874745</v>
      </c>
      <c r="CG25" s="99">
        <v>8853.7795502479639</v>
      </c>
      <c r="CH25" s="99">
        <v>0</v>
      </c>
      <c r="CI25" s="99">
        <v>0</v>
      </c>
      <c r="CJ25" s="99">
        <v>19.405825136372403</v>
      </c>
      <c r="CK25" s="99">
        <v>10292.849652331923</v>
      </c>
      <c r="CL25" s="99">
        <v>13</v>
      </c>
      <c r="CM25" s="99">
        <v>6895.2</v>
      </c>
      <c r="CN25" s="99">
        <v>13</v>
      </c>
      <c r="CO25" s="99">
        <v>6895.2</v>
      </c>
      <c r="CP25" s="99">
        <v>16</v>
      </c>
      <c r="CQ25" s="99">
        <v>8486.4</v>
      </c>
      <c r="CR25" s="99">
        <v>23</v>
      </c>
      <c r="CS25" s="99">
        <v>12199.199999999999</v>
      </c>
      <c r="CT25" s="99">
        <v>14</v>
      </c>
      <c r="CU25" s="99">
        <v>7425.5999999999995</v>
      </c>
    </row>
    <row r="26" spans="2:99">
      <c r="C26" s="98" t="s">
        <v>192</v>
      </c>
      <c r="D26" s="99">
        <v>12</v>
      </c>
      <c r="E26" s="99">
        <v>5832</v>
      </c>
      <c r="F26" s="99">
        <v>13</v>
      </c>
      <c r="G26" s="99">
        <v>6318</v>
      </c>
      <c r="H26" s="99">
        <v>15</v>
      </c>
      <c r="I26" s="99">
        <v>7290</v>
      </c>
      <c r="J26" s="99">
        <v>14</v>
      </c>
      <c r="K26" s="99">
        <v>6804</v>
      </c>
      <c r="L26" s="99">
        <v>7.2518897180657715</v>
      </c>
      <c r="M26" s="99">
        <v>3524.4184029799649</v>
      </c>
      <c r="N26" s="99">
        <v>17</v>
      </c>
      <c r="O26" s="99">
        <v>8262</v>
      </c>
      <c r="P26" s="99">
        <v>18</v>
      </c>
      <c r="Q26" s="99">
        <v>8748</v>
      </c>
      <c r="R26" s="99">
        <v>19</v>
      </c>
      <c r="S26" s="99">
        <v>9234</v>
      </c>
      <c r="T26" s="99">
        <v>21</v>
      </c>
      <c r="U26" s="99">
        <v>10206</v>
      </c>
      <c r="V26" s="99">
        <v>15</v>
      </c>
      <c r="W26" s="99">
        <v>7290</v>
      </c>
      <c r="X26" s="99">
        <v>15</v>
      </c>
      <c r="Y26" s="99">
        <v>7290</v>
      </c>
      <c r="Z26" s="99">
        <v>14</v>
      </c>
      <c r="AA26" s="99">
        <v>6804</v>
      </c>
      <c r="AB26" s="99">
        <v>12</v>
      </c>
      <c r="AC26" s="99">
        <v>5832</v>
      </c>
      <c r="AD26" s="99">
        <v>11.521447364025224</v>
      </c>
      <c r="AE26" s="99">
        <v>5599.4234189162589</v>
      </c>
      <c r="AF26" s="99">
        <v>17.093803000984281</v>
      </c>
      <c r="AG26" s="99">
        <v>8307.5882584783612</v>
      </c>
      <c r="AH26" s="99">
        <v>12.613786338642059</v>
      </c>
      <c r="AI26" s="99">
        <v>6130.3001605800409</v>
      </c>
      <c r="AJ26" s="99">
        <v>21</v>
      </c>
      <c r="AK26" s="99">
        <v>10206</v>
      </c>
      <c r="AL26" s="99">
        <v>17</v>
      </c>
      <c r="AM26" s="99">
        <v>8262</v>
      </c>
      <c r="AN26" s="99">
        <v>13</v>
      </c>
      <c r="AO26" s="99">
        <v>6318</v>
      </c>
      <c r="AP26" s="99">
        <v>10</v>
      </c>
      <c r="AQ26" s="99">
        <v>4860</v>
      </c>
      <c r="AR26" s="99">
        <v>10.830640557871646</v>
      </c>
      <c r="AS26" s="99">
        <v>5263.6913111256199</v>
      </c>
      <c r="AT26" s="99">
        <v>11.227628732137072</v>
      </c>
      <c r="AU26" s="99">
        <v>5456.6275638186171</v>
      </c>
      <c r="AV26" s="99">
        <v>12.178145366192883</v>
      </c>
      <c r="AW26" s="99">
        <v>5918.5786479697408</v>
      </c>
      <c r="AX26" s="99">
        <v>19</v>
      </c>
      <c r="AY26" s="99">
        <v>9234</v>
      </c>
      <c r="AZ26" s="99">
        <v>20</v>
      </c>
      <c r="BA26" s="99">
        <v>9720</v>
      </c>
      <c r="BB26" s="99">
        <v>11.018736722283792</v>
      </c>
      <c r="BC26" s="99">
        <v>5355.1060470299235</v>
      </c>
      <c r="BD26" s="99">
        <v>19</v>
      </c>
      <c r="BE26" s="99">
        <v>9234</v>
      </c>
      <c r="BF26" s="99">
        <v>12.010782256162415</v>
      </c>
      <c r="BG26" s="99">
        <v>5837.2401764949336</v>
      </c>
      <c r="BH26" s="99">
        <v>4.8454953924436532</v>
      </c>
      <c r="BI26" s="99">
        <v>2354.9107607276155</v>
      </c>
      <c r="BJ26" s="99">
        <v>19</v>
      </c>
      <c r="BK26" s="99">
        <v>9234</v>
      </c>
      <c r="BL26" s="99">
        <v>17</v>
      </c>
      <c r="BM26" s="99">
        <v>8262</v>
      </c>
      <c r="BN26" s="99">
        <v>11</v>
      </c>
      <c r="BO26" s="99">
        <v>5346</v>
      </c>
      <c r="BP26" s="99">
        <v>20</v>
      </c>
      <c r="BQ26" s="99">
        <v>9720</v>
      </c>
      <c r="BR26" s="99">
        <v>12.106760627980826</v>
      </c>
      <c r="BS26" s="99">
        <v>5883.8856651986816</v>
      </c>
      <c r="BT26" s="99">
        <v>21.220818583420996</v>
      </c>
      <c r="BU26" s="99">
        <v>10313.317831542605</v>
      </c>
      <c r="BV26" s="99">
        <v>11.714927566988003</v>
      </c>
      <c r="BW26" s="99">
        <v>5693.4547975561691</v>
      </c>
      <c r="BX26" s="99">
        <v>14.734052418356821</v>
      </c>
      <c r="BY26" s="99">
        <v>7160.749475321415</v>
      </c>
      <c r="BZ26" s="99">
        <v>18</v>
      </c>
      <c r="CA26" s="99">
        <v>8748</v>
      </c>
      <c r="CB26" s="99">
        <v>22</v>
      </c>
      <c r="CC26" s="99">
        <v>10692</v>
      </c>
      <c r="CD26" s="99">
        <v>15</v>
      </c>
      <c r="CE26" s="99">
        <v>7290</v>
      </c>
      <c r="CF26" s="99">
        <v>16.692646210874745</v>
      </c>
      <c r="CG26" s="99">
        <v>8112.6260584851261</v>
      </c>
      <c r="CH26" s="99">
        <v>0</v>
      </c>
      <c r="CI26" s="99">
        <v>0</v>
      </c>
      <c r="CJ26" s="99">
        <v>17.788673041674702</v>
      </c>
      <c r="CK26" s="99">
        <v>8645.295098253906</v>
      </c>
      <c r="CL26" s="99">
        <v>12</v>
      </c>
      <c r="CM26" s="99">
        <v>5832</v>
      </c>
      <c r="CN26" s="99">
        <v>12</v>
      </c>
      <c r="CO26" s="99">
        <v>5832</v>
      </c>
      <c r="CP26" s="99">
        <v>16</v>
      </c>
      <c r="CQ26" s="99">
        <v>7776</v>
      </c>
      <c r="CR26" s="99">
        <v>21</v>
      </c>
      <c r="CS26" s="99">
        <v>10206</v>
      </c>
      <c r="CT26" s="99">
        <v>14</v>
      </c>
      <c r="CU26" s="99">
        <v>6804</v>
      </c>
    </row>
    <row r="27" spans="2:99">
      <c r="C27" s="98" t="s">
        <v>193</v>
      </c>
      <c r="D27" s="99">
        <v>13</v>
      </c>
      <c r="E27" s="99">
        <v>5553.5999999999995</v>
      </c>
      <c r="F27" s="99">
        <v>13</v>
      </c>
      <c r="G27" s="99">
        <v>5553.5999999999995</v>
      </c>
      <c r="H27" s="99">
        <v>17</v>
      </c>
      <c r="I27" s="99">
        <v>7262.4</v>
      </c>
      <c r="J27" s="99">
        <v>15</v>
      </c>
      <c r="K27" s="99">
        <v>6408</v>
      </c>
      <c r="L27" s="99">
        <v>6.6475655748936235</v>
      </c>
      <c r="M27" s="99">
        <v>2839.8400135945558</v>
      </c>
      <c r="N27" s="99">
        <v>18</v>
      </c>
      <c r="O27" s="99">
        <v>7689.5999999999995</v>
      </c>
      <c r="P27" s="99">
        <v>20</v>
      </c>
      <c r="Q27" s="99">
        <v>8544</v>
      </c>
      <c r="R27" s="99">
        <v>18</v>
      </c>
      <c r="S27" s="99">
        <v>7689.5999999999995</v>
      </c>
      <c r="T27" s="99">
        <v>19</v>
      </c>
      <c r="U27" s="99">
        <v>8116.8</v>
      </c>
      <c r="V27" s="99">
        <v>14</v>
      </c>
      <c r="W27" s="99">
        <v>5980.8</v>
      </c>
      <c r="X27" s="99">
        <v>15</v>
      </c>
      <c r="Y27" s="99">
        <v>6408</v>
      </c>
      <c r="Z27" s="99">
        <v>16</v>
      </c>
      <c r="AA27" s="99">
        <v>6835.2</v>
      </c>
      <c r="AB27" s="99">
        <v>12</v>
      </c>
      <c r="AC27" s="99">
        <v>5126.3999999999996</v>
      </c>
      <c r="AD27" s="99">
        <v>9.7489170003290333</v>
      </c>
      <c r="AE27" s="99">
        <v>4164.7373425405631</v>
      </c>
      <c r="AF27" s="99">
        <v>15.539820909985712</v>
      </c>
      <c r="AG27" s="99">
        <v>6638.6114927458957</v>
      </c>
      <c r="AH27" s="99">
        <v>11.64349508182344</v>
      </c>
      <c r="AI27" s="99">
        <v>4974.1010989549732</v>
      </c>
      <c r="AJ27" s="99">
        <v>21</v>
      </c>
      <c r="AK27" s="99">
        <v>8971.1999999999989</v>
      </c>
      <c r="AL27" s="99">
        <v>18</v>
      </c>
      <c r="AM27" s="99">
        <v>7689.5999999999995</v>
      </c>
      <c r="AN27" s="99">
        <v>13</v>
      </c>
      <c r="AO27" s="99">
        <v>5553.5999999999995</v>
      </c>
      <c r="AP27" s="99">
        <v>12</v>
      </c>
      <c r="AQ27" s="99">
        <v>5126.3999999999996</v>
      </c>
      <c r="AR27" s="99">
        <v>10.830640557871646</v>
      </c>
      <c r="AS27" s="99">
        <v>4626.8496463227675</v>
      </c>
      <c r="AT27" s="99">
        <v>10.666247295530217</v>
      </c>
      <c r="AU27" s="99">
        <v>4556.6208446505088</v>
      </c>
      <c r="AV27" s="99">
        <v>10.438410313879615</v>
      </c>
      <c r="AW27" s="99">
        <v>4459.2888860893718</v>
      </c>
      <c r="AX27" s="99">
        <v>19</v>
      </c>
      <c r="AY27" s="99">
        <v>8116.8</v>
      </c>
      <c r="AZ27" s="99">
        <v>21</v>
      </c>
      <c r="BA27" s="99">
        <v>8971.1999999999989</v>
      </c>
      <c r="BB27" s="99">
        <v>9.9168630500554116</v>
      </c>
      <c r="BC27" s="99">
        <v>4236.4838949836721</v>
      </c>
      <c r="BD27" s="99">
        <v>18</v>
      </c>
      <c r="BE27" s="99">
        <v>7689.5999999999995</v>
      </c>
      <c r="BF27" s="99">
        <v>12.010782256162415</v>
      </c>
      <c r="BG27" s="99">
        <v>5131.0061798325833</v>
      </c>
      <c r="BH27" s="99">
        <v>4.8454953924436532</v>
      </c>
      <c r="BI27" s="99">
        <v>2069.9956316519288</v>
      </c>
      <c r="BJ27" s="99">
        <v>19</v>
      </c>
      <c r="BK27" s="99">
        <v>8116.8</v>
      </c>
      <c r="BL27" s="99">
        <v>16</v>
      </c>
      <c r="BM27" s="99">
        <v>6835.2</v>
      </c>
      <c r="BN27" s="99">
        <v>11</v>
      </c>
      <c r="BO27" s="99">
        <v>4699.2</v>
      </c>
      <c r="BP27" s="99">
        <v>20</v>
      </c>
      <c r="BQ27" s="99">
        <v>8544</v>
      </c>
      <c r="BR27" s="99">
        <v>11.175471348905377</v>
      </c>
      <c r="BS27" s="99">
        <v>4774.1613602523767</v>
      </c>
      <c r="BT27" s="99">
        <v>20.256235920538227</v>
      </c>
      <c r="BU27" s="99">
        <v>8653.4639852539312</v>
      </c>
      <c r="BV27" s="99">
        <v>12.447110539924752</v>
      </c>
      <c r="BW27" s="99">
        <v>5317.4056226558541</v>
      </c>
      <c r="BX27" s="99">
        <v>14.734052418356821</v>
      </c>
      <c r="BY27" s="99">
        <v>6294.3871931220338</v>
      </c>
      <c r="BZ27" s="99">
        <v>17</v>
      </c>
      <c r="CA27" s="99">
        <v>7262.4</v>
      </c>
      <c r="CB27" s="99">
        <v>21</v>
      </c>
      <c r="CC27" s="99">
        <v>8971.1999999999989</v>
      </c>
      <c r="CD27" s="99">
        <v>16</v>
      </c>
      <c r="CE27" s="99">
        <v>6835.2</v>
      </c>
      <c r="CF27" s="99">
        <v>15.897758296071189</v>
      </c>
      <c r="CG27" s="99">
        <v>6791.5223440816117</v>
      </c>
      <c r="CH27" s="99">
        <v>0</v>
      </c>
      <c r="CI27" s="99">
        <v>0</v>
      </c>
      <c r="CJ27" s="99">
        <v>18.597249089023549</v>
      </c>
      <c r="CK27" s="99">
        <v>7944.7448108308599</v>
      </c>
      <c r="CL27" s="99">
        <v>13</v>
      </c>
      <c r="CM27" s="99">
        <v>5553.5999999999995</v>
      </c>
      <c r="CN27" s="99">
        <v>13</v>
      </c>
      <c r="CO27" s="99">
        <v>5553.5999999999995</v>
      </c>
      <c r="CP27" s="99">
        <v>15</v>
      </c>
      <c r="CQ27" s="99">
        <v>6408</v>
      </c>
      <c r="CR27" s="99">
        <v>22</v>
      </c>
      <c r="CS27" s="99">
        <v>9398.4</v>
      </c>
      <c r="CT27" s="99">
        <v>13</v>
      </c>
      <c r="CU27" s="99">
        <v>5553.5999999999995</v>
      </c>
    </row>
    <row r="28" spans="2:99">
      <c r="C28" s="98" t="s">
        <v>194</v>
      </c>
      <c r="D28" s="99">
        <v>12</v>
      </c>
      <c r="E28" s="99">
        <v>8856</v>
      </c>
      <c r="F28" s="99">
        <v>12</v>
      </c>
      <c r="G28" s="99">
        <v>8856</v>
      </c>
      <c r="H28" s="99">
        <v>14</v>
      </c>
      <c r="I28" s="99">
        <v>10332</v>
      </c>
      <c r="J28" s="99">
        <v>14</v>
      </c>
      <c r="K28" s="99">
        <v>10332</v>
      </c>
      <c r="L28" s="99">
        <v>7.8562138612379186</v>
      </c>
      <c r="M28" s="99">
        <v>5797.8858295935843</v>
      </c>
      <c r="N28" s="99">
        <v>16</v>
      </c>
      <c r="O28" s="99">
        <v>11808</v>
      </c>
      <c r="P28" s="99">
        <v>18</v>
      </c>
      <c r="Q28" s="99">
        <v>13284</v>
      </c>
      <c r="R28" s="99">
        <v>18</v>
      </c>
      <c r="S28" s="99">
        <v>13284</v>
      </c>
      <c r="T28" s="99">
        <v>17</v>
      </c>
      <c r="U28" s="99">
        <v>12546</v>
      </c>
      <c r="V28" s="99">
        <v>16</v>
      </c>
      <c r="W28" s="99">
        <v>11808</v>
      </c>
      <c r="X28" s="99">
        <v>16</v>
      </c>
      <c r="Y28" s="99">
        <v>11808</v>
      </c>
      <c r="Z28" s="99">
        <v>16</v>
      </c>
      <c r="AA28" s="99">
        <v>11808</v>
      </c>
      <c r="AB28" s="99">
        <v>12</v>
      </c>
      <c r="AC28" s="99">
        <v>8856</v>
      </c>
      <c r="AD28" s="99">
        <v>9.7489170003290333</v>
      </c>
      <c r="AE28" s="99">
        <v>7194.7007462428264</v>
      </c>
      <c r="AF28" s="99">
        <v>13.985838818987141</v>
      </c>
      <c r="AG28" s="99">
        <v>10321.549048412509</v>
      </c>
      <c r="AH28" s="99">
        <v>12.613786338642059</v>
      </c>
      <c r="AI28" s="99">
        <v>9308.9743179178404</v>
      </c>
      <c r="AJ28" s="99">
        <v>20</v>
      </c>
      <c r="AK28" s="99">
        <v>14760</v>
      </c>
      <c r="AL28" s="99">
        <v>16</v>
      </c>
      <c r="AM28" s="99">
        <v>11808</v>
      </c>
      <c r="AN28" s="99">
        <v>12</v>
      </c>
      <c r="AO28" s="99">
        <v>8856</v>
      </c>
      <c r="AP28" s="99">
        <v>10</v>
      </c>
      <c r="AQ28" s="99">
        <v>7380</v>
      </c>
      <c r="AR28" s="99">
        <v>9.9280871780490099</v>
      </c>
      <c r="AS28" s="99">
        <v>7326.9283374001689</v>
      </c>
      <c r="AT28" s="99">
        <v>9.5434844223165101</v>
      </c>
      <c r="AU28" s="99">
        <v>7043.0915036695842</v>
      </c>
      <c r="AV28" s="99">
        <v>10.438410313879615</v>
      </c>
      <c r="AW28" s="99">
        <v>7703.5468116431557</v>
      </c>
      <c r="AX28" s="99">
        <v>21</v>
      </c>
      <c r="AY28" s="99">
        <v>15498</v>
      </c>
      <c r="AZ28" s="99">
        <v>19</v>
      </c>
      <c r="BA28" s="99">
        <v>14022</v>
      </c>
      <c r="BB28" s="99">
        <v>11.569673558397982</v>
      </c>
      <c r="BC28" s="99">
        <v>8538.4190860977105</v>
      </c>
      <c r="BD28" s="99">
        <v>20</v>
      </c>
      <c r="BE28" s="99">
        <v>14760</v>
      </c>
      <c r="BF28" s="99">
        <v>12.761456147172566</v>
      </c>
      <c r="BG28" s="99">
        <v>9417.9546366133545</v>
      </c>
      <c r="BH28" s="99">
        <v>4.5224623662807426</v>
      </c>
      <c r="BI28" s="99">
        <v>3337.577226315188</v>
      </c>
      <c r="BJ28" s="99">
        <v>20</v>
      </c>
      <c r="BK28" s="99">
        <v>14760</v>
      </c>
      <c r="BL28" s="99">
        <v>16</v>
      </c>
      <c r="BM28" s="99">
        <v>11808</v>
      </c>
      <c r="BN28" s="99">
        <v>12</v>
      </c>
      <c r="BO28" s="99">
        <v>8856</v>
      </c>
      <c r="BP28" s="99">
        <v>20</v>
      </c>
      <c r="BQ28" s="99">
        <v>14760</v>
      </c>
      <c r="BR28" s="99">
        <v>12.106760627980826</v>
      </c>
      <c r="BS28" s="99">
        <v>8934.7893434498492</v>
      </c>
      <c r="BT28" s="99">
        <v>19.291653257655451</v>
      </c>
      <c r="BU28" s="99">
        <v>14237.240104149723</v>
      </c>
      <c r="BV28" s="99">
        <v>13.179293512861502</v>
      </c>
      <c r="BW28" s="99">
        <v>9726.3186124917884</v>
      </c>
      <c r="BX28" s="99">
        <v>15.552610886043313</v>
      </c>
      <c r="BY28" s="99">
        <v>11477.826833899964</v>
      </c>
      <c r="BZ28" s="99">
        <v>17</v>
      </c>
      <c r="CA28" s="99">
        <v>12546</v>
      </c>
      <c r="CB28" s="99">
        <v>21</v>
      </c>
      <c r="CC28" s="99">
        <v>15498</v>
      </c>
      <c r="CD28" s="99">
        <v>15</v>
      </c>
      <c r="CE28" s="99">
        <v>11070</v>
      </c>
      <c r="CF28" s="99">
        <v>16.692646210874745</v>
      </c>
      <c r="CG28" s="99">
        <v>12319.172903625562</v>
      </c>
      <c r="CH28" s="99">
        <v>0</v>
      </c>
      <c r="CI28" s="99">
        <v>0</v>
      </c>
      <c r="CJ28" s="99">
        <v>16.171520946977001</v>
      </c>
      <c r="CK28" s="99">
        <v>11934.582458869027</v>
      </c>
      <c r="CL28" s="99">
        <v>13</v>
      </c>
      <c r="CM28" s="99">
        <v>9594</v>
      </c>
      <c r="CN28" s="99">
        <v>13</v>
      </c>
      <c r="CO28" s="99">
        <v>9594</v>
      </c>
      <c r="CP28" s="99">
        <v>15</v>
      </c>
      <c r="CQ28" s="99">
        <v>11070</v>
      </c>
      <c r="CR28" s="99">
        <v>21</v>
      </c>
      <c r="CS28" s="99">
        <v>15498</v>
      </c>
      <c r="CT28" s="99">
        <v>13</v>
      </c>
      <c r="CU28" s="99">
        <v>9594</v>
      </c>
    </row>
    <row r="29" spans="2:99">
      <c r="C29" s="98" t="s">
        <v>195</v>
      </c>
      <c r="D29" s="99">
        <v>13</v>
      </c>
      <c r="E29" s="99">
        <v>4399.2</v>
      </c>
      <c r="F29" s="99">
        <v>13</v>
      </c>
      <c r="G29" s="99">
        <v>4399.2</v>
      </c>
      <c r="H29" s="99">
        <v>17</v>
      </c>
      <c r="I29" s="99">
        <v>5752.7999999999993</v>
      </c>
      <c r="J29" s="99">
        <v>15</v>
      </c>
      <c r="K29" s="99">
        <v>5076</v>
      </c>
      <c r="L29" s="99">
        <v>7.8562138612379186</v>
      </c>
      <c r="M29" s="99">
        <v>2658.5427706429114</v>
      </c>
      <c r="N29" s="99">
        <v>16</v>
      </c>
      <c r="O29" s="99">
        <v>5414.4</v>
      </c>
      <c r="P29" s="99">
        <v>19</v>
      </c>
      <c r="Q29" s="99">
        <v>6429.5999999999995</v>
      </c>
      <c r="R29" s="99">
        <v>20</v>
      </c>
      <c r="S29" s="99">
        <v>6768</v>
      </c>
      <c r="T29" s="99">
        <v>19</v>
      </c>
      <c r="U29" s="99">
        <v>6429.5999999999995</v>
      </c>
      <c r="V29" s="99">
        <v>14</v>
      </c>
      <c r="W29" s="99">
        <v>4737.5999999999995</v>
      </c>
      <c r="X29" s="99">
        <v>18</v>
      </c>
      <c r="Y29" s="99">
        <v>6091.2</v>
      </c>
      <c r="Z29" s="99">
        <v>14</v>
      </c>
      <c r="AA29" s="99">
        <v>4737.5999999999995</v>
      </c>
      <c r="AB29" s="99">
        <v>12</v>
      </c>
      <c r="AC29" s="99">
        <v>4060.7999999999997</v>
      </c>
      <c r="AD29" s="99">
        <v>10.635182182177129</v>
      </c>
      <c r="AE29" s="99">
        <v>3598.9456504487403</v>
      </c>
      <c r="AF29" s="99">
        <v>16.316811955484997</v>
      </c>
      <c r="AG29" s="99">
        <v>5521.609165736123</v>
      </c>
      <c r="AH29" s="99">
        <v>12.613786338642059</v>
      </c>
      <c r="AI29" s="99">
        <v>4268.5052969964727</v>
      </c>
      <c r="AJ29" s="99">
        <v>19</v>
      </c>
      <c r="AK29" s="99">
        <v>6429.5999999999995</v>
      </c>
      <c r="AL29" s="99">
        <v>18</v>
      </c>
      <c r="AM29" s="99">
        <v>6091.2</v>
      </c>
      <c r="AN29" s="99">
        <v>12</v>
      </c>
      <c r="AO29" s="99">
        <v>4060.7999999999997</v>
      </c>
      <c r="AP29" s="99">
        <v>11</v>
      </c>
      <c r="AQ29" s="99">
        <v>3722.3999999999996</v>
      </c>
      <c r="AR29" s="99">
        <v>9.9280871780490099</v>
      </c>
      <c r="AS29" s="99">
        <v>3359.6647010517845</v>
      </c>
      <c r="AT29" s="99">
        <v>11.227628732137072</v>
      </c>
      <c r="AU29" s="99">
        <v>3799.4295629551848</v>
      </c>
      <c r="AV29" s="99">
        <v>12.178145366192883</v>
      </c>
      <c r="AW29" s="99">
        <v>4121.0843919196714</v>
      </c>
      <c r="AX29" s="99">
        <v>23</v>
      </c>
      <c r="AY29" s="99">
        <v>7783.2</v>
      </c>
      <c r="AZ29" s="99">
        <v>22</v>
      </c>
      <c r="BA29" s="99">
        <v>7444.7999999999993</v>
      </c>
      <c r="BB29" s="99">
        <v>10.467799886169601</v>
      </c>
      <c r="BC29" s="99">
        <v>3542.3034814797929</v>
      </c>
      <c r="BD29" s="99">
        <v>20</v>
      </c>
      <c r="BE29" s="99">
        <v>6768</v>
      </c>
      <c r="BF29" s="99">
        <v>12.761456147172566</v>
      </c>
      <c r="BG29" s="99">
        <v>4318.4767602031961</v>
      </c>
      <c r="BH29" s="99">
        <v>4.8454953924436532</v>
      </c>
      <c r="BI29" s="99">
        <v>1639.7156408029321</v>
      </c>
      <c r="BJ29" s="99">
        <v>19</v>
      </c>
      <c r="BK29" s="99">
        <v>6429.5999999999995</v>
      </c>
      <c r="BL29" s="99">
        <v>17</v>
      </c>
      <c r="BM29" s="99">
        <v>5752.7999999999993</v>
      </c>
      <c r="BN29" s="99">
        <v>11</v>
      </c>
      <c r="BO29" s="99">
        <v>3722.3999999999996</v>
      </c>
      <c r="BP29" s="99">
        <v>20</v>
      </c>
      <c r="BQ29" s="99">
        <v>6768</v>
      </c>
      <c r="BR29" s="99">
        <v>12.106760627980826</v>
      </c>
      <c r="BS29" s="99">
        <v>4096.9277965087113</v>
      </c>
      <c r="BT29" s="99">
        <v>18.327070594772678</v>
      </c>
      <c r="BU29" s="99">
        <v>6201.8806892710736</v>
      </c>
      <c r="BV29" s="99">
        <v>11.714927566988003</v>
      </c>
      <c r="BW29" s="99">
        <v>3964.3314886687399</v>
      </c>
      <c r="BX29" s="99">
        <v>13.915493950670333</v>
      </c>
      <c r="BY29" s="99">
        <v>4709.0031529068401</v>
      </c>
      <c r="BZ29" s="99">
        <v>19</v>
      </c>
      <c r="CA29" s="99">
        <v>6429.5999999999995</v>
      </c>
      <c r="CB29" s="99">
        <v>21</v>
      </c>
      <c r="CC29" s="99">
        <v>7106.4</v>
      </c>
      <c r="CD29" s="99">
        <v>16</v>
      </c>
      <c r="CE29" s="99">
        <v>5414.4</v>
      </c>
      <c r="CF29" s="99">
        <v>18.282422040481865</v>
      </c>
      <c r="CG29" s="99">
        <v>6186.7716184990632</v>
      </c>
      <c r="CH29" s="99">
        <v>0</v>
      </c>
      <c r="CI29" s="99">
        <v>0</v>
      </c>
      <c r="CJ29" s="99">
        <v>16.171520946977001</v>
      </c>
      <c r="CK29" s="99">
        <v>5472.4426884570166</v>
      </c>
      <c r="CL29" s="99">
        <v>12</v>
      </c>
      <c r="CM29" s="99">
        <v>4060.7999999999997</v>
      </c>
      <c r="CN29" s="99">
        <v>14</v>
      </c>
      <c r="CO29" s="99">
        <v>4737.5999999999995</v>
      </c>
      <c r="CP29" s="99">
        <v>15</v>
      </c>
      <c r="CQ29" s="99">
        <v>5076</v>
      </c>
      <c r="CR29" s="99">
        <v>24</v>
      </c>
      <c r="CS29" s="99">
        <v>8121.5999999999995</v>
      </c>
      <c r="CT29" s="99">
        <v>14</v>
      </c>
      <c r="CU29" s="99">
        <v>4737.5999999999995</v>
      </c>
    </row>
    <row r="30" spans="2:99">
      <c r="C30" s="98" t="s">
        <v>196</v>
      </c>
      <c r="D30" s="99">
        <v>13</v>
      </c>
      <c r="E30" s="99">
        <v>1809.6</v>
      </c>
      <c r="F30" s="99">
        <v>13</v>
      </c>
      <c r="G30" s="99">
        <v>1809.6</v>
      </c>
      <c r="H30" s="99">
        <v>16</v>
      </c>
      <c r="I30" s="99">
        <v>2227.1999999999998</v>
      </c>
      <c r="J30" s="99">
        <v>15</v>
      </c>
      <c r="K30" s="99">
        <v>2088</v>
      </c>
      <c r="L30" s="99">
        <v>7.8562138612379186</v>
      </c>
      <c r="M30" s="99">
        <v>1093.5849694843182</v>
      </c>
      <c r="N30" s="99">
        <v>19</v>
      </c>
      <c r="O30" s="99">
        <v>2644.7999999999997</v>
      </c>
      <c r="P30" s="99">
        <v>19</v>
      </c>
      <c r="Q30" s="99">
        <v>2644.7999999999997</v>
      </c>
      <c r="R30" s="99">
        <v>18</v>
      </c>
      <c r="S30" s="99">
        <v>2505.6</v>
      </c>
      <c r="T30" s="99">
        <v>21</v>
      </c>
      <c r="U30" s="99">
        <v>2923.2</v>
      </c>
      <c r="V30" s="99">
        <v>15</v>
      </c>
      <c r="W30" s="99">
        <v>2088</v>
      </c>
      <c r="X30" s="99">
        <v>15</v>
      </c>
      <c r="Y30" s="99">
        <v>2088</v>
      </c>
      <c r="Z30" s="99">
        <v>14</v>
      </c>
      <c r="AA30" s="99">
        <v>1948.7999999999997</v>
      </c>
      <c r="AB30" s="99">
        <v>11</v>
      </c>
      <c r="AC30" s="99">
        <v>1531.1999999999998</v>
      </c>
      <c r="AD30" s="99">
        <v>9.7489170003290333</v>
      </c>
      <c r="AE30" s="99">
        <v>1357.0492464458014</v>
      </c>
      <c r="AF30" s="99">
        <v>14.762829864486426</v>
      </c>
      <c r="AG30" s="99">
        <v>2054.9859171365101</v>
      </c>
      <c r="AH30" s="99">
        <v>11.64349508182344</v>
      </c>
      <c r="AI30" s="99">
        <v>1620.7745153898227</v>
      </c>
      <c r="AJ30" s="99">
        <v>20</v>
      </c>
      <c r="AK30" s="99">
        <v>2784</v>
      </c>
      <c r="AL30" s="99">
        <v>17</v>
      </c>
      <c r="AM30" s="99">
        <v>2366.3999999999996</v>
      </c>
      <c r="AN30" s="99">
        <v>14</v>
      </c>
      <c r="AO30" s="99">
        <v>1948.7999999999997</v>
      </c>
      <c r="AP30" s="99">
        <v>11</v>
      </c>
      <c r="AQ30" s="99">
        <v>1531.1999999999998</v>
      </c>
      <c r="AR30" s="99">
        <v>9.9280871780490099</v>
      </c>
      <c r="AS30" s="99">
        <v>1381.989735184422</v>
      </c>
      <c r="AT30" s="99">
        <v>11.789010168743925</v>
      </c>
      <c r="AU30" s="99">
        <v>1641.0302154891542</v>
      </c>
      <c r="AV30" s="99">
        <v>12.178145366192883</v>
      </c>
      <c r="AW30" s="99">
        <v>1695.1978349740491</v>
      </c>
      <c r="AX30" s="99">
        <v>21</v>
      </c>
      <c r="AY30" s="99">
        <v>2923.2</v>
      </c>
      <c r="AZ30" s="99">
        <v>21</v>
      </c>
      <c r="BA30" s="99">
        <v>2923.2</v>
      </c>
      <c r="BB30" s="99">
        <v>11.018736722283792</v>
      </c>
      <c r="BC30" s="99">
        <v>1533.8081517419039</v>
      </c>
      <c r="BD30" s="99">
        <v>20</v>
      </c>
      <c r="BE30" s="99">
        <v>2784</v>
      </c>
      <c r="BF30" s="99">
        <v>12.761456147172566</v>
      </c>
      <c r="BG30" s="99">
        <v>1776.3946956864211</v>
      </c>
      <c r="BH30" s="99">
        <v>4.8454953924436532</v>
      </c>
      <c r="BI30" s="99">
        <v>674.49295862815643</v>
      </c>
      <c r="BJ30" s="99">
        <v>19</v>
      </c>
      <c r="BK30" s="99">
        <v>2644.7999999999997</v>
      </c>
      <c r="BL30" s="99">
        <v>15</v>
      </c>
      <c r="BM30" s="99">
        <v>2088</v>
      </c>
      <c r="BN30" s="99">
        <v>12</v>
      </c>
      <c r="BO30" s="99">
        <v>1670.3999999999999</v>
      </c>
      <c r="BP30" s="99">
        <v>20</v>
      </c>
      <c r="BQ30" s="99">
        <v>2784</v>
      </c>
      <c r="BR30" s="99">
        <v>13.969339186131721</v>
      </c>
      <c r="BS30" s="99">
        <v>1944.5320147095354</v>
      </c>
      <c r="BT30" s="99">
        <v>23.149983909186542</v>
      </c>
      <c r="BU30" s="99">
        <v>3222.4777601587662</v>
      </c>
      <c r="BV30" s="99">
        <v>12.447110539924752</v>
      </c>
      <c r="BW30" s="99">
        <v>1732.6377871575253</v>
      </c>
      <c r="BX30" s="99">
        <v>14.734052418356821</v>
      </c>
      <c r="BY30" s="99">
        <v>2050.9800966352695</v>
      </c>
      <c r="BZ30" s="99">
        <v>18</v>
      </c>
      <c r="CA30" s="99">
        <v>2505.6</v>
      </c>
      <c r="CB30" s="99">
        <v>21</v>
      </c>
      <c r="CC30" s="99">
        <v>2923.2</v>
      </c>
      <c r="CD30" s="99">
        <v>17</v>
      </c>
      <c r="CE30" s="99">
        <v>2366.3999999999996</v>
      </c>
      <c r="CF30" s="99">
        <v>17.487534125678305</v>
      </c>
      <c r="CG30" s="99">
        <v>2434.2647502944201</v>
      </c>
      <c r="CH30" s="99">
        <v>0</v>
      </c>
      <c r="CI30" s="99">
        <v>0</v>
      </c>
      <c r="CJ30" s="99">
        <v>19.405825136372403</v>
      </c>
      <c r="CK30" s="99">
        <v>2701.2908589830381</v>
      </c>
      <c r="CL30" s="99">
        <v>14</v>
      </c>
      <c r="CM30" s="99">
        <v>1948.7999999999997</v>
      </c>
      <c r="CN30" s="99">
        <v>15</v>
      </c>
      <c r="CO30" s="99">
        <v>2088</v>
      </c>
      <c r="CP30" s="99">
        <v>17</v>
      </c>
      <c r="CQ30" s="99">
        <v>2366.3999999999996</v>
      </c>
      <c r="CR30" s="99">
        <v>25</v>
      </c>
      <c r="CS30" s="99">
        <v>3479.9999999999995</v>
      </c>
      <c r="CT30" s="99">
        <v>13</v>
      </c>
      <c r="CU30" s="99">
        <v>1809.6</v>
      </c>
    </row>
    <row r="31" spans="2:99">
      <c r="C31" s="98" t="s">
        <v>197</v>
      </c>
      <c r="D31" s="99">
        <v>13</v>
      </c>
      <c r="E31" s="99">
        <v>4430.4000000000005</v>
      </c>
      <c r="F31" s="99">
        <v>13</v>
      </c>
      <c r="G31" s="99">
        <v>4430.4000000000005</v>
      </c>
      <c r="H31" s="99">
        <v>18</v>
      </c>
      <c r="I31" s="99">
        <v>6134.4000000000005</v>
      </c>
      <c r="J31" s="99">
        <v>14</v>
      </c>
      <c r="K31" s="99">
        <v>4771.2</v>
      </c>
      <c r="L31" s="99">
        <v>7.2518897180657715</v>
      </c>
      <c r="M31" s="99">
        <v>2471.4440159168148</v>
      </c>
      <c r="N31" s="99">
        <v>19</v>
      </c>
      <c r="O31" s="99">
        <v>6475.2</v>
      </c>
      <c r="P31" s="99">
        <v>17</v>
      </c>
      <c r="Q31" s="99">
        <v>5793.6</v>
      </c>
      <c r="R31" s="99">
        <v>19</v>
      </c>
      <c r="S31" s="99">
        <v>6475.2</v>
      </c>
      <c r="T31" s="99">
        <v>18</v>
      </c>
      <c r="U31" s="99">
        <v>6134.4000000000005</v>
      </c>
      <c r="V31" s="99">
        <v>16</v>
      </c>
      <c r="W31" s="99">
        <v>5452.8</v>
      </c>
      <c r="X31" s="99">
        <v>15</v>
      </c>
      <c r="Y31" s="99">
        <v>5112</v>
      </c>
      <c r="Z31" s="99">
        <v>15</v>
      </c>
      <c r="AA31" s="99">
        <v>5112</v>
      </c>
      <c r="AB31" s="99">
        <v>12</v>
      </c>
      <c r="AC31" s="99">
        <v>4089.6000000000004</v>
      </c>
      <c r="AD31" s="99">
        <v>10.635182182177129</v>
      </c>
      <c r="AE31" s="99">
        <v>3624.4700876859656</v>
      </c>
      <c r="AF31" s="99">
        <v>15.539820909985712</v>
      </c>
      <c r="AG31" s="99">
        <v>5295.9709661231309</v>
      </c>
      <c r="AH31" s="99">
        <v>10.673203825004821</v>
      </c>
      <c r="AI31" s="99">
        <v>3637.4278635616429</v>
      </c>
      <c r="AJ31" s="99">
        <v>20</v>
      </c>
      <c r="AK31" s="99">
        <v>6816</v>
      </c>
      <c r="AL31" s="99">
        <v>18</v>
      </c>
      <c r="AM31" s="99">
        <v>6134.4000000000005</v>
      </c>
      <c r="AN31" s="99">
        <v>13</v>
      </c>
      <c r="AO31" s="99">
        <v>4430.4000000000005</v>
      </c>
      <c r="AP31" s="99">
        <v>12</v>
      </c>
      <c r="AQ31" s="99">
        <v>4089.6000000000004</v>
      </c>
      <c r="AR31" s="99">
        <v>10.830640557871646</v>
      </c>
      <c r="AS31" s="99">
        <v>3691.0823021226574</v>
      </c>
      <c r="AT31" s="99">
        <v>11.789010168743925</v>
      </c>
      <c r="AU31" s="99">
        <v>4017.6946655079296</v>
      </c>
      <c r="AV31" s="99">
        <v>10.438410313879615</v>
      </c>
      <c r="AW31" s="99">
        <v>3557.410234970173</v>
      </c>
      <c r="AX31" s="99">
        <v>22</v>
      </c>
      <c r="AY31" s="99">
        <v>7497.6</v>
      </c>
      <c r="AZ31" s="99">
        <v>19</v>
      </c>
      <c r="BA31" s="99">
        <v>6475.2</v>
      </c>
      <c r="BB31" s="99">
        <v>10.467799886169601</v>
      </c>
      <c r="BC31" s="99">
        <v>3567.4262012066001</v>
      </c>
      <c r="BD31" s="99">
        <v>19</v>
      </c>
      <c r="BE31" s="99">
        <v>6475.2</v>
      </c>
      <c r="BF31" s="99">
        <v>12.761456147172566</v>
      </c>
      <c r="BG31" s="99">
        <v>4349.1042549564108</v>
      </c>
      <c r="BH31" s="99">
        <v>5.1685284186065639</v>
      </c>
      <c r="BI31" s="99">
        <v>1761.4344850611171</v>
      </c>
      <c r="BJ31" s="99">
        <v>18</v>
      </c>
      <c r="BK31" s="99">
        <v>6134.4000000000005</v>
      </c>
      <c r="BL31" s="99">
        <v>14</v>
      </c>
      <c r="BM31" s="99">
        <v>4771.2</v>
      </c>
      <c r="BN31" s="99">
        <v>13</v>
      </c>
      <c r="BO31" s="99">
        <v>4430.4000000000005</v>
      </c>
      <c r="BP31" s="99">
        <v>21</v>
      </c>
      <c r="BQ31" s="99">
        <v>7156.8</v>
      </c>
      <c r="BR31" s="99">
        <v>12.106760627980826</v>
      </c>
      <c r="BS31" s="99">
        <v>4125.9840220158658</v>
      </c>
      <c r="BT31" s="99">
        <v>21.220818583420996</v>
      </c>
      <c r="BU31" s="99">
        <v>7232.0549732298759</v>
      </c>
      <c r="BV31" s="99">
        <v>12.447110539924752</v>
      </c>
      <c r="BW31" s="99">
        <v>4241.9752720063561</v>
      </c>
      <c r="BX31" s="99">
        <v>15.552610886043313</v>
      </c>
      <c r="BY31" s="99">
        <v>5300.3297899635609</v>
      </c>
      <c r="BZ31" s="99">
        <v>19</v>
      </c>
      <c r="CA31" s="99">
        <v>6475.2</v>
      </c>
      <c r="CB31" s="99">
        <v>21</v>
      </c>
      <c r="CC31" s="99">
        <v>7156.8</v>
      </c>
      <c r="CD31" s="99">
        <v>17</v>
      </c>
      <c r="CE31" s="99">
        <v>5793.6</v>
      </c>
      <c r="CF31" s="99">
        <v>16.692646210874745</v>
      </c>
      <c r="CG31" s="99">
        <v>5688.8538286661133</v>
      </c>
      <c r="CH31" s="99">
        <v>0</v>
      </c>
      <c r="CI31" s="99">
        <v>0</v>
      </c>
      <c r="CJ31" s="99">
        <v>16.171520946977001</v>
      </c>
      <c r="CK31" s="99">
        <v>5511.2543387297619</v>
      </c>
      <c r="CL31" s="99">
        <v>11</v>
      </c>
      <c r="CM31" s="99">
        <v>3748.8</v>
      </c>
      <c r="CN31" s="99">
        <v>12</v>
      </c>
      <c r="CO31" s="99">
        <v>4089.6000000000004</v>
      </c>
      <c r="CP31" s="99">
        <v>17</v>
      </c>
      <c r="CQ31" s="99">
        <v>5793.6</v>
      </c>
      <c r="CR31" s="99">
        <v>25</v>
      </c>
      <c r="CS31" s="99">
        <v>8520</v>
      </c>
      <c r="CT31" s="99">
        <v>14</v>
      </c>
      <c r="CU31" s="99">
        <v>4771.2</v>
      </c>
    </row>
    <row r="32" spans="2:99">
      <c r="C32" s="98" t="s">
        <v>198</v>
      </c>
      <c r="D32" s="99">
        <v>12</v>
      </c>
      <c r="E32" s="99">
        <v>10080</v>
      </c>
      <c r="F32" s="99">
        <v>12</v>
      </c>
      <c r="G32" s="99">
        <v>10080</v>
      </c>
      <c r="H32" s="99">
        <v>15</v>
      </c>
      <c r="I32" s="99">
        <v>12600</v>
      </c>
      <c r="J32" s="99">
        <v>16</v>
      </c>
      <c r="K32" s="99">
        <v>13440</v>
      </c>
      <c r="L32" s="99">
        <v>7.2518897180657715</v>
      </c>
      <c r="M32" s="99">
        <v>6091.5873631752484</v>
      </c>
      <c r="N32" s="99">
        <v>18</v>
      </c>
      <c r="O32" s="99">
        <v>15120</v>
      </c>
      <c r="P32" s="99">
        <v>19</v>
      </c>
      <c r="Q32" s="99">
        <v>15960</v>
      </c>
      <c r="R32" s="99">
        <v>18</v>
      </c>
      <c r="S32" s="99">
        <v>15120</v>
      </c>
      <c r="T32" s="99">
        <v>21</v>
      </c>
      <c r="U32" s="99">
        <v>17640</v>
      </c>
      <c r="V32" s="99">
        <v>16</v>
      </c>
      <c r="W32" s="99">
        <v>13440</v>
      </c>
      <c r="X32" s="99">
        <v>16</v>
      </c>
      <c r="Y32" s="99">
        <v>13440</v>
      </c>
      <c r="Z32" s="99">
        <v>14</v>
      </c>
      <c r="AA32" s="99">
        <v>11760</v>
      </c>
      <c r="AB32" s="99">
        <v>11</v>
      </c>
      <c r="AC32" s="99">
        <v>9240</v>
      </c>
      <c r="AD32" s="99">
        <v>9.7489170003290333</v>
      </c>
      <c r="AE32" s="99">
        <v>8189.0902802763876</v>
      </c>
      <c r="AF32" s="99">
        <v>14.762829864486426</v>
      </c>
      <c r="AG32" s="99">
        <v>12400.777086168597</v>
      </c>
      <c r="AH32" s="99">
        <v>12.613786338642059</v>
      </c>
      <c r="AI32" s="99">
        <v>10595.58052445933</v>
      </c>
      <c r="AJ32" s="99">
        <v>18</v>
      </c>
      <c r="AK32" s="99">
        <v>15120</v>
      </c>
      <c r="AL32" s="99">
        <v>17</v>
      </c>
      <c r="AM32" s="99">
        <v>14280</v>
      </c>
      <c r="AN32" s="99">
        <v>13</v>
      </c>
      <c r="AO32" s="99">
        <v>10920</v>
      </c>
      <c r="AP32" s="99">
        <v>11</v>
      </c>
      <c r="AQ32" s="99">
        <v>9240</v>
      </c>
      <c r="AR32" s="99">
        <v>9.9280871780490099</v>
      </c>
      <c r="AS32" s="99">
        <v>8339.5932295611674</v>
      </c>
      <c r="AT32" s="99">
        <v>11.227628732137072</v>
      </c>
      <c r="AU32" s="99">
        <v>9431.2081349951404</v>
      </c>
      <c r="AV32" s="99">
        <v>10.438410313879615</v>
      </c>
      <c r="AW32" s="99">
        <v>8768.2646636588761</v>
      </c>
      <c r="AX32" s="99">
        <v>22</v>
      </c>
      <c r="AY32" s="99">
        <v>18480</v>
      </c>
      <c r="AZ32" s="99">
        <v>21</v>
      </c>
      <c r="BA32" s="99">
        <v>17640</v>
      </c>
      <c r="BB32" s="99">
        <v>11.018736722283792</v>
      </c>
      <c r="BC32" s="99">
        <v>9255.7388467183864</v>
      </c>
      <c r="BD32" s="99">
        <v>20</v>
      </c>
      <c r="BE32" s="99">
        <v>16800</v>
      </c>
      <c r="BF32" s="99">
        <v>11.260108365152265</v>
      </c>
      <c r="BG32" s="99">
        <v>9458.4910267279029</v>
      </c>
      <c r="BH32" s="99">
        <v>4.8454953924436532</v>
      </c>
      <c r="BI32" s="99">
        <v>4070.2161296526688</v>
      </c>
      <c r="BJ32" s="99">
        <v>19</v>
      </c>
      <c r="BK32" s="99">
        <v>15960</v>
      </c>
      <c r="BL32" s="99">
        <v>16</v>
      </c>
      <c r="BM32" s="99">
        <v>13440</v>
      </c>
      <c r="BN32" s="99">
        <v>12</v>
      </c>
      <c r="BO32" s="99">
        <v>10080</v>
      </c>
      <c r="BP32" s="99">
        <v>19</v>
      </c>
      <c r="BQ32" s="99">
        <v>15960</v>
      </c>
      <c r="BR32" s="99">
        <v>13.038049907056273</v>
      </c>
      <c r="BS32" s="99">
        <v>10951.96192192727</v>
      </c>
      <c r="BT32" s="99">
        <v>19.291653257655451</v>
      </c>
      <c r="BU32" s="99">
        <v>16204.98873643058</v>
      </c>
      <c r="BV32" s="99">
        <v>12.447110539924752</v>
      </c>
      <c r="BW32" s="99">
        <v>10455.572853536793</v>
      </c>
      <c r="BX32" s="99">
        <v>15.552610886043313</v>
      </c>
      <c r="BY32" s="99">
        <v>13064.193144276383</v>
      </c>
      <c r="BZ32" s="99">
        <v>19</v>
      </c>
      <c r="CA32" s="99">
        <v>15960</v>
      </c>
      <c r="CB32" s="99">
        <v>22</v>
      </c>
      <c r="CC32" s="99">
        <v>18480</v>
      </c>
      <c r="CD32" s="99">
        <v>15</v>
      </c>
      <c r="CE32" s="99">
        <v>12600</v>
      </c>
      <c r="CF32" s="99">
        <v>16.692646210874745</v>
      </c>
      <c r="CG32" s="99">
        <v>14021.822817134786</v>
      </c>
      <c r="CH32" s="99">
        <v>0</v>
      </c>
      <c r="CI32" s="99">
        <v>0</v>
      </c>
      <c r="CJ32" s="99">
        <v>18.597249089023549</v>
      </c>
      <c r="CK32" s="99">
        <v>15621.689234779782</v>
      </c>
      <c r="CL32" s="99">
        <v>12</v>
      </c>
      <c r="CM32" s="99">
        <v>10080</v>
      </c>
      <c r="CN32" s="99">
        <v>12</v>
      </c>
      <c r="CO32" s="99">
        <v>10080</v>
      </c>
      <c r="CP32" s="99">
        <v>14</v>
      </c>
      <c r="CQ32" s="99">
        <v>11760</v>
      </c>
      <c r="CR32" s="99">
        <v>24</v>
      </c>
      <c r="CS32" s="99">
        <v>20160</v>
      </c>
      <c r="CT32" s="99">
        <v>12</v>
      </c>
      <c r="CU32" s="99">
        <v>10080</v>
      </c>
    </row>
    <row r="33" spans="2:99">
      <c r="C33" s="98" t="s">
        <v>199</v>
      </c>
      <c r="D33" s="99">
        <v>12</v>
      </c>
      <c r="E33" s="99">
        <v>5688</v>
      </c>
      <c r="F33" s="99">
        <v>11</v>
      </c>
      <c r="G33" s="99">
        <v>5214</v>
      </c>
      <c r="H33" s="99">
        <v>15</v>
      </c>
      <c r="I33" s="99">
        <v>7110</v>
      </c>
      <c r="J33" s="99">
        <v>16</v>
      </c>
      <c r="K33" s="99">
        <v>7584</v>
      </c>
      <c r="L33" s="99">
        <v>7.8562138612379186</v>
      </c>
      <c r="M33" s="99">
        <v>3723.8453702267734</v>
      </c>
      <c r="N33" s="99">
        <v>18</v>
      </c>
      <c r="O33" s="99">
        <v>8532</v>
      </c>
      <c r="P33" s="99">
        <v>19</v>
      </c>
      <c r="Q33" s="99">
        <v>9006</v>
      </c>
      <c r="R33" s="99">
        <v>18</v>
      </c>
      <c r="S33" s="99">
        <v>8532</v>
      </c>
      <c r="T33" s="99">
        <v>20</v>
      </c>
      <c r="U33" s="99">
        <v>9480</v>
      </c>
      <c r="V33" s="99">
        <v>15</v>
      </c>
      <c r="W33" s="99">
        <v>7110</v>
      </c>
      <c r="X33" s="99">
        <v>18</v>
      </c>
      <c r="Y33" s="99">
        <v>8532</v>
      </c>
      <c r="Z33" s="99">
        <v>15</v>
      </c>
      <c r="AA33" s="99">
        <v>7110</v>
      </c>
      <c r="AB33" s="99">
        <v>10</v>
      </c>
      <c r="AC33" s="99">
        <v>4740</v>
      </c>
      <c r="AD33" s="99">
        <v>9.7489170003290333</v>
      </c>
      <c r="AE33" s="99">
        <v>4620.9866581559618</v>
      </c>
      <c r="AF33" s="99">
        <v>15.539820909985712</v>
      </c>
      <c r="AG33" s="99">
        <v>7365.8751113332273</v>
      </c>
      <c r="AH33" s="99">
        <v>12.613786338642059</v>
      </c>
      <c r="AI33" s="99">
        <v>5978.9347245163362</v>
      </c>
      <c r="AJ33" s="99">
        <v>20</v>
      </c>
      <c r="AK33" s="99">
        <v>9480</v>
      </c>
      <c r="AL33" s="99">
        <v>16</v>
      </c>
      <c r="AM33" s="99">
        <v>7584</v>
      </c>
      <c r="AN33" s="99">
        <v>14</v>
      </c>
      <c r="AO33" s="99">
        <v>6636</v>
      </c>
      <c r="AP33" s="99">
        <v>11</v>
      </c>
      <c r="AQ33" s="99">
        <v>5214</v>
      </c>
      <c r="AR33" s="99">
        <v>9.9280871780490099</v>
      </c>
      <c r="AS33" s="99">
        <v>4705.9133223952304</v>
      </c>
      <c r="AT33" s="99">
        <v>10.666247295530217</v>
      </c>
      <c r="AU33" s="99">
        <v>5055.801218081323</v>
      </c>
      <c r="AV33" s="99">
        <v>12.178145366192883</v>
      </c>
      <c r="AW33" s="99">
        <v>5772.4409035754261</v>
      </c>
      <c r="AX33" s="99">
        <v>23</v>
      </c>
      <c r="AY33" s="99">
        <v>10902</v>
      </c>
      <c r="AZ33" s="99">
        <v>19</v>
      </c>
      <c r="BA33" s="99">
        <v>9006</v>
      </c>
      <c r="BB33" s="99">
        <v>12.12061039451217</v>
      </c>
      <c r="BC33" s="99">
        <v>5745.1693269987682</v>
      </c>
      <c r="BD33" s="99">
        <v>18</v>
      </c>
      <c r="BE33" s="99">
        <v>8532</v>
      </c>
      <c r="BF33" s="99">
        <v>12.010782256162415</v>
      </c>
      <c r="BG33" s="99">
        <v>5693.1107894209845</v>
      </c>
      <c r="BH33" s="99">
        <v>4.5224623662807426</v>
      </c>
      <c r="BI33" s="99">
        <v>2143.647161617072</v>
      </c>
      <c r="BJ33" s="99">
        <v>17</v>
      </c>
      <c r="BK33" s="99">
        <v>8058</v>
      </c>
      <c r="BL33" s="99">
        <v>14</v>
      </c>
      <c r="BM33" s="99">
        <v>6636</v>
      </c>
      <c r="BN33" s="99">
        <v>13</v>
      </c>
      <c r="BO33" s="99">
        <v>6162</v>
      </c>
      <c r="BP33" s="99">
        <v>22</v>
      </c>
      <c r="BQ33" s="99">
        <v>10428</v>
      </c>
      <c r="BR33" s="99">
        <v>12.106760627980826</v>
      </c>
      <c r="BS33" s="99">
        <v>5738.6045376629118</v>
      </c>
      <c r="BT33" s="99">
        <v>21.220818583420996</v>
      </c>
      <c r="BU33" s="99">
        <v>10058.668008541552</v>
      </c>
      <c r="BV33" s="99">
        <v>12.447110539924752</v>
      </c>
      <c r="BW33" s="99">
        <v>5899.9303959243325</v>
      </c>
      <c r="BX33" s="99">
        <v>15.552610886043313</v>
      </c>
      <c r="BY33" s="99">
        <v>7371.9375599845307</v>
      </c>
      <c r="BZ33" s="99">
        <v>17</v>
      </c>
      <c r="CA33" s="99">
        <v>8058</v>
      </c>
      <c r="CB33" s="99">
        <v>22</v>
      </c>
      <c r="CC33" s="99">
        <v>10428</v>
      </c>
      <c r="CD33" s="99">
        <v>16</v>
      </c>
      <c r="CE33" s="99">
        <v>7584</v>
      </c>
      <c r="CF33" s="99">
        <v>16.692646210874745</v>
      </c>
      <c r="CG33" s="99">
        <v>7912.3143039546294</v>
      </c>
      <c r="CH33" s="99">
        <v>0</v>
      </c>
      <c r="CI33" s="99">
        <v>0</v>
      </c>
      <c r="CJ33" s="99">
        <v>19.405825136372403</v>
      </c>
      <c r="CK33" s="99">
        <v>9198.3611146405183</v>
      </c>
      <c r="CL33" s="99">
        <v>11</v>
      </c>
      <c r="CM33" s="99">
        <v>5214</v>
      </c>
      <c r="CN33" s="99">
        <v>14</v>
      </c>
      <c r="CO33" s="99">
        <v>6636</v>
      </c>
      <c r="CP33" s="99">
        <v>16</v>
      </c>
      <c r="CQ33" s="99">
        <v>7584</v>
      </c>
      <c r="CR33" s="99">
        <v>21</v>
      </c>
      <c r="CS33" s="99">
        <v>9954</v>
      </c>
      <c r="CT33" s="99">
        <v>13</v>
      </c>
      <c r="CU33" s="99">
        <v>6162</v>
      </c>
    </row>
    <row r="34" spans="2:99">
      <c r="C34" s="98" t="s">
        <v>200</v>
      </c>
      <c r="D34" s="99">
        <v>11</v>
      </c>
      <c r="E34" s="99">
        <v>6032.4</v>
      </c>
      <c r="F34" s="99">
        <v>11</v>
      </c>
      <c r="G34" s="99">
        <v>6032.4</v>
      </c>
      <c r="H34" s="99">
        <v>17</v>
      </c>
      <c r="I34" s="99">
        <v>9322.7999999999993</v>
      </c>
      <c r="J34" s="99">
        <v>15</v>
      </c>
      <c r="K34" s="99">
        <v>8226</v>
      </c>
      <c r="L34" s="99">
        <v>6.6475655748936235</v>
      </c>
      <c r="M34" s="99">
        <v>3645.524961271663</v>
      </c>
      <c r="N34" s="99">
        <v>16</v>
      </c>
      <c r="O34" s="99">
        <v>8774.4</v>
      </c>
      <c r="P34" s="99">
        <v>18</v>
      </c>
      <c r="Q34" s="99">
        <v>9871.1999999999989</v>
      </c>
      <c r="R34" s="99">
        <v>16</v>
      </c>
      <c r="S34" s="99">
        <v>8774.4</v>
      </c>
      <c r="T34" s="99">
        <v>18</v>
      </c>
      <c r="U34" s="99">
        <v>9871.1999999999989</v>
      </c>
      <c r="V34" s="99">
        <v>16</v>
      </c>
      <c r="W34" s="99">
        <v>8774.4</v>
      </c>
      <c r="X34" s="99">
        <v>15</v>
      </c>
      <c r="Y34" s="99">
        <v>8226</v>
      </c>
      <c r="Z34" s="99">
        <v>15</v>
      </c>
      <c r="AA34" s="99">
        <v>8226</v>
      </c>
      <c r="AB34" s="99">
        <v>11</v>
      </c>
      <c r="AC34" s="99">
        <v>6032.4</v>
      </c>
      <c r="AD34" s="99">
        <v>9.7489170003290333</v>
      </c>
      <c r="AE34" s="99">
        <v>5346.3060829804417</v>
      </c>
      <c r="AF34" s="99">
        <v>15.539820909985712</v>
      </c>
      <c r="AG34" s="99">
        <v>8522.0377870361644</v>
      </c>
      <c r="AH34" s="99">
        <v>10.673203825004821</v>
      </c>
      <c r="AI34" s="99">
        <v>5853.1849776326435</v>
      </c>
      <c r="AJ34" s="99">
        <v>21</v>
      </c>
      <c r="AK34" s="99">
        <v>11516.4</v>
      </c>
      <c r="AL34" s="99">
        <v>18</v>
      </c>
      <c r="AM34" s="99">
        <v>9871.1999999999989</v>
      </c>
      <c r="AN34" s="99">
        <v>14</v>
      </c>
      <c r="AO34" s="99">
        <v>7677.5999999999995</v>
      </c>
      <c r="AP34" s="99">
        <v>12</v>
      </c>
      <c r="AQ34" s="99">
        <v>6580.7999999999993</v>
      </c>
      <c r="AR34" s="99">
        <v>9.9280871780490099</v>
      </c>
      <c r="AS34" s="99">
        <v>5444.5630084420764</v>
      </c>
      <c r="AT34" s="99">
        <v>10.104865858923365</v>
      </c>
      <c r="AU34" s="99">
        <v>5541.5084370335726</v>
      </c>
      <c r="AV34" s="99">
        <v>11.308277840036251</v>
      </c>
      <c r="AW34" s="99">
        <v>6201.4595674758793</v>
      </c>
      <c r="AX34" s="99">
        <v>20</v>
      </c>
      <c r="AY34" s="99">
        <v>10968</v>
      </c>
      <c r="AZ34" s="99">
        <v>19</v>
      </c>
      <c r="BA34" s="99">
        <v>10419.6</v>
      </c>
      <c r="BB34" s="99">
        <v>10.467799886169601</v>
      </c>
      <c r="BC34" s="99">
        <v>5740.5414575754094</v>
      </c>
      <c r="BD34" s="99">
        <v>18</v>
      </c>
      <c r="BE34" s="99">
        <v>9871.1999999999989</v>
      </c>
      <c r="BF34" s="99">
        <v>14.262803929192868</v>
      </c>
      <c r="BG34" s="99">
        <v>7821.7216747693683</v>
      </c>
      <c r="BH34" s="99">
        <v>5.1685284186065639</v>
      </c>
      <c r="BI34" s="99">
        <v>2834.4209847638394</v>
      </c>
      <c r="BJ34" s="99">
        <v>18</v>
      </c>
      <c r="BK34" s="99">
        <v>9871.1999999999989</v>
      </c>
      <c r="BL34" s="99">
        <v>16</v>
      </c>
      <c r="BM34" s="99">
        <v>8774.4</v>
      </c>
      <c r="BN34" s="99">
        <v>12</v>
      </c>
      <c r="BO34" s="99">
        <v>6580.7999999999993</v>
      </c>
      <c r="BP34" s="99">
        <v>19</v>
      </c>
      <c r="BQ34" s="99">
        <v>10419.6</v>
      </c>
      <c r="BR34" s="99">
        <v>12.106760627980826</v>
      </c>
      <c r="BS34" s="99">
        <v>6639.3475283846847</v>
      </c>
      <c r="BT34" s="99">
        <v>22.185401246303769</v>
      </c>
      <c r="BU34" s="99">
        <v>12166.474043472987</v>
      </c>
      <c r="BV34" s="99">
        <v>13.179293512861502</v>
      </c>
      <c r="BW34" s="99">
        <v>7227.5245624532472</v>
      </c>
      <c r="BX34" s="99">
        <v>16.371169353729801</v>
      </c>
      <c r="BY34" s="99">
        <v>8977.9492735854219</v>
      </c>
      <c r="BZ34" s="99">
        <v>18</v>
      </c>
      <c r="CA34" s="99">
        <v>9871.1999999999989</v>
      </c>
      <c r="CB34" s="99">
        <v>21</v>
      </c>
      <c r="CC34" s="99">
        <v>11516.4</v>
      </c>
      <c r="CD34" s="99">
        <v>15</v>
      </c>
      <c r="CE34" s="99">
        <v>8226</v>
      </c>
      <c r="CF34" s="99">
        <v>16.692646210874745</v>
      </c>
      <c r="CG34" s="99">
        <v>9154.2471820437095</v>
      </c>
      <c r="CH34" s="99">
        <v>0</v>
      </c>
      <c r="CI34" s="99">
        <v>0</v>
      </c>
      <c r="CJ34" s="99">
        <v>17.788673041674702</v>
      </c>
      <c r="CK34" s="99">
        <v>9755.308296054407</v>
      </c>
      <c r="CL34" s="99">
        <v>12</v>
      </c>
      <c r="CM34" s="99">
        <v>6580.7999999999993</v>
      </c>
      <c r="CN34" s="99">
        <v>13</v>
      </c>
      <c r="CO34" s="99">
        <v>7129.2</v>
      </c>
      <c r="CP34" s="99">
        <v>15</v>
      </c>
      <c r="CQ34" s="99">
        <v>8226</v>
      </c>
      <c r="CR34" s="99">
        <v>24</v>
      </c>
      <c r="CS34" s="99">
        <v>13161.599999999999</v>
      </c>
      <c r="CT34" s="99">
        <v>14</v>
      </c>
      <c r="CU34" s="99">
        <v>7677.5999999999995</v>
      </c>
    </row>
    <row r="35" spans="2:99">
      <c r="C35" s="98" t="s">
        <v>201</v>
      </c>
      <c r="D35" s="99">
        <v>11</v>
      </c>
      <c r="E35" s="99">
        <v>5530.7999999999993</v>
      </c>
      <c r="F35" s="99">
        <v>13</v>
      </c>
      <c r="G35" s="99">
        <v>6536.3999999999987</v>
      </c>
      <c r="H35" s="99">
        <v>15</v>
      </c>
      <c r="I35" s="99">
        <v>7541.9999999999982</v>
      </c>
      <c r="J35" s="99">
        <v>15</v>
      </c>
      <c r="K35" s="99">
        <v>7541.9999999999982</v>
      </c>
      <c r="L35" s="99">
        <v>7.2518897180657715</v>
      </c>
      <c r="M35" s="99">
        <v>3646.2501502434693</v>
      </c>
      <c r="N35" s="99">
        <v>16</v>
      </c>
      <c r="O35" s="99">
        <v>8044.7999999999984</v>
      </c>
      <c r="P35" s="99">
        <v>20</v>
      </c>
      <c r="Q35" s="99">
        <v>10055.999999999998</v>
      </c>
      <c r="R35" s="99">
        <v>18</v>
      </c>
      <c r="S35" s="99">
        <v>9050.3999999999978</v>
      </c>
      <c r="T35" s="99">
        <v>17</v>
      </c>
      <c r="U35" s="99">
        <v>8547.5999999999985</v>
      </c>
      <c r="V35" s="99">
        <v>16</v>
      </c>
      <c r="W35" s="99">
        <v>8044.7999999999984</v>
      </c>
      <c r="X35" s="99">
        <v>18</v>
      </c>
      <c r="Y35" s="99">
        <v>9050.3999999999978</v>
      </c>
      <c r="Z35" s="99">
        <v>16</v>
      </c>
      <c r="AA35" s="99">
        <v>8044.7999999999984</v>
      </c>
      <c r="AB35" s="99">
        <v>11</v>
      </c>
      <c r="AC35" s="99">
        <v>5530.7999999999993</v>
      </c>
      <c r="AD35" s="99">
        <v>10.635182182177129</v>
      </c>
      <c r="AE35" s="99">
        <v>5347.3696011986594</v>
      </c>
      <c r="AF35" s="99">
        <v>17.093803000984281</v>
      </c>
      <c r="AG35" s="99">
        <v>8594.7641488948939</v>
      </c>
      <c r="AH35" s="99">
        <v>11.64349508182344</v>
      </c>
      <c r="AI35" s="99">
        <v>5854.3493271408242</v>
      </c>
      <c r="AJ35" s="99">
        <v>23</v>
      </c>
      <c r="AK35" s="99">
        <v>11564.399999999998</v>
      </c>
      <c r="AL35" s="99">
        <v>16</v>
      </c>
      <c r="AM35" s="99">
        <v>8044.7999999999984</v>
      </c>
      <c r="AN35" s="99">
        <v>12</v>
      </c>
      <c r="AO35" s="99">
        <v>6033.5999999999985</v>
      </c>
      <c r="AP35" s="99">
        <v>11</v>
      </c>
      <c r="AQ35" s="99">
        <v>5530.7999999999993</v>
      </c>
      <c r="AR35" s="99">
        <v>10.830640557871646</v>
      </c>
      <c r="AS35" s="99">
        <v>5445.6460724978624</v>
      </c>
      <c r="AT35" s="99">
        <v>11.789010168743925</v>
      </c>
      <c r="AU35" s="99">
        <v>5927.5143128444442</v>
      </c>
      <c r="AV35" s="99">
        <v>10.438410313879615</v>
      </c>
      <c r="AW35" s="99">
        <v>5248.4327058186691</v>
      </c>
      <c r="AX35" s="99">
        <v>20</v>
      </c>
      <c r="AY35" s="99">
        <v>10055.999999999998</v>
      </c>
      <c r="AZ35" s="99">
        <v>20</v>
      </c>
      <c r="BA35" s="99">
        <v>10055.999999999998</v>
      </c>
      <c r="BB35" s="99">
        <v>10.467799886169601</v>
      </c>
      <c r="BC35" s="99">
        <v>5263.2097827660746</v>
      </c>
      <c r="BD35" s="99">
        <v>20</v>
      </c>
      <c r="BE35" s="99">
        <v>10055.999999999998</v>
      </c>
      <c r="BF35" s="99">
        <v>12.010782256162415</v>
      </c>
      <c r="BG35" s="99">
        <v>6039.0213183984606</v>
      </c>
      <c r="BH35" s="99">
        <v>5.1685284186065639</v>
      </c>
      <c r="BI35" s="99">
        <v>2598.7360888753797</v>
      </c>
      <c r="BJ35" s="99">
        <v>17</v>
      </c>
      <c r="BK35" s="99">
        <v>8547.5999999999985</v>
      </c>
      <c r="BL35" s="99">
        <v>14</v>
      </c>
      <c r="BM35" s="99">
        <v>7039.1999999999989</v>
      </c>
      <c r="BN35" s="99">
        <v>13</v>
      </c>
      <c r="BO35" s="99">
        <v>6536.3999999999987</v>
      </c>
      <c r="BP35" s="99">
        <v>20</v>
      </c>
      <c r="BQ35" s="99">
        <v>10055.999999999998</v>
      </c>
      <c r="BR35" s="99">
        <v>12.106760627980826</v>
      </c>
      <c r="BS35" s="99">
        <v>6087.2792437487578</v>
      </c>
      <c r="BT35" s="99">
        <v>21.220818583420996</v>
      </c>
      <c r="BU35" s="99">
        <v>10669.827583744074</v>
      </c>
      <c r="BV35" s="99">
        <v>12.447110539924752</v>
      </c>
      <c r="BW35" s="99">
        <v>6258.407179474164</v>
      </c>
      <c r="BX35" s="99">
        <v>14.734052418356821</v>
      </c>
      <c r="BY35" s="99">
        <v>7408.2815559498085</v>
      </c>
      <c r="BZ35" s="99">
        <v>18</v>
      </c>
      <c r="CA35" s="99">
        <v>9050.3999999999978</v>
      </c>
      <c r="CB35" s="99">
        <v>21</v>
      </c>
      <c r="CC35" s="99">
        <v>10558.799999999997</v>
      </c>
      <c r="CD35" s="99">
        <v>15</v>
      </c>
      <c r="CE35" s="99">
        <v>7541.9999999999982</v>
      </c>
      <c r="CF35" s="99">
        <v>17.487534125678305</v>
      </c>
      <c r="CG35" s="99">
        <v>8792.7321583910507</v>
      </c>
      <c r="CH35" s="99">
        <v>0</v>
      </c>
      <c r="CI35" s="99">
        <v>0</v>
      </c>
      <c r="CJ35" s="99">
        <v>16.980096994325852</v>
      </c>
      <c r="CK35" s="99">
        <v>8537.5927687470357</v>
      </c>
      <c r="CL35" s="99">
        <v>12</v>
      </c>
      <c r="CM35" s="99">
        <v>6033.5999999999985</v>
      </c>
      <c r="CN35" s="99">
        <v>13</v>
      </c>
      <c r="CO35" s="99">
        <v>6536.3999999999987</v>
      </c>
      <c r="CP35" s="99">
        <v>16</v>
      </c>
      <c r="CQ35" s="99">
        <v>8044.7999999999984</v>
      </c>
      <c r="CR35" s="99">
        <v>24</v>
      </c>
      <c r="CS35" s="99">
        <v>12067.199999999997</v>
      </c>
      <c r="CT35" s="99">
        <v>14</v>
      </c>
      <c r="CU35" s="99">
        <v>7039.1999999999989</v>
      </c>
    </row>
    <row r="36" spans="2:99">
      <c r="C36" s="98" t="s">
        <v>202</v>
      </c>
      <c r="D36" s="99">
        <v>12</v>
      </c>
      <c r="E36" s="99">
        <v>9129.5999999999985</v>
      </c>
      <c r="F36" s="99">
        <v>13</v>
      </c>
      <c r="G36" s="99">
        <v>9890.4</v>
      </c>
      <c r="H36" s="99">
        <v>17</v>
      </c>
      <c r="I36" s="99">
        <v>12933.599999999999</v>
      </c>
      <c r="J36" s="99">
        <v>14</v>
      </c>
      <c r="K36" s="99">
        <v>10651.199999999999</v>
      </c>
      <c r="L36" s="99">
        <v>6.6475655748936235</v>
      </c>
      <c r="M36" s="99">
        <v>5057.4678893790688</v>
      </c>
      <c r="N36" s="99">
        <v>15</v>
      </c>
      <c r="O36" s="99">
        <v>11412</v>
      </c>
      <c r="P36" s="99">
        <v>19</v>
      </c>
      <c r="Q36" s="99">
        <v>14455.199999999999</v>
      </c>
      <c r="R36" s="99">
        <v>17</v>
      </c>
      <c r="S36" s="99">
        <v>12933.599999999999</v>
      </c>
      <c r="T36" s="99">
        <v>18</v>
      </c>
      <c r="U36" s="99">
        <v>13694.4</v>
      </c>
      <c r="V36" s="99">
        <v>15</v>
      </c>
      <c r="W36" s="99">
        <v>11412</v>
      </c>
      <c r="X36" s="99">
        <v>17</v>
      </c>
      <c r="Y36" s="99">
        <v>12933.599999999999</v>
      </c>
      <c r="Z36" s="99">
        <v>15</v>
      </c>
      <c r="AA36" s="99">
        <v>11412</v>
      </c>
      <c r="AB36" s="99">
        <v>11</v>
      </c>
      <c r="AC36" s="99">
        <v>8368.7999999999993</v>
      </c>
      <c r="AD36" s="99">
        <v>9.7489170003290333</v>
      </c>
      <c r="AE36" s="99">
        <v>7416.9760538503278</v>
      </c>
      <c r="AF36" s="99">
        <v>14.762829864486426</v>
      </c>
      <c r="AG36" s="99">
        <v>11231.560960901272</v>
      </c>
      <c r="AH36" s="99">
        <v>11.64349508182344</v>
      </c>
      <c r="AI36" s="99">
        <v>8858.3710582512722</v>
      </c>
      <c r="AJ36" s="99">
        <v>21</v>
      </c>
      <c r="AK36" s="99">
        <v>15976.8</v>
      </c>
      <c r="AL36" s="99">
        <v>16</v>
      </c>
      <c r="AM36" s="99">
        <v>12172.8</v>
      </c>
      <c r="AN36" s="99">
        <v>14</v>
      </c>
      <c r="AO36" s="99">
        <v>10651.199999999999</v>
      </c>
      <c r="AP36" s="99">
        <v>11</v>
      </c>
      <c r="AQ36" s="99">
        <v>8368.7999999999993</v>
      </c>
      <c r="AR36" s="99">
        <v>10.830640557871646</v>
      </c>
      <c r="AS36" s="99">
        <v>8239.9513364287486</v>
      </c>
      <c r="AT36" s="99">
        <v>11.227628732137072</v>
      </c>
      <c r="AU36" s="99">
        <v>8541.9799394098845</v>
      </c>
      <c r="AV36" s="99">
        <v>10.438410313879615</v>
      </c>
      <c r="AW36" s="99">
        <v>7941.5425667996105</v>
      </c>
      <c r="AX36" s="99">
        <v>21</v>
      </c>
      <c r="AY36" s="99">
        <v>15976.8</v>
      </c>
      <c r="AZ36" s="99">
        <v>21</v>
      </c>
      <c r="BA36" s="99">
        <v>15976.8</v>
      </c>
      <c r="BB36" s="99">
        <v>11.018736722283792</v>
      </c>
      <c r="BC36" s="99">
        <v>8383.0548983135086</v>
      </c>
      <c r="BD36" s="99">
        <v>19</v>
      </c>
      <c r="BE36" s="99">
        <v>14455.199999999999</v>
      </c>
      <c r="BF36" s="99">
        <v>12.010782256162415</v>
      </c>
      <c r="BG36" s="99">
        <v>9137.8031404883641</v>
      </c>
      <c r="BH36" s="99">
        <v>4.5224623662807426</v>
      </c>
      <c r="BI36" s="99">
        <v>3440.6893682663886</v>
      </c>
      <c r="BJ36" s="99">
        <v>19</v>
      </c>
      <c r="BK36" s="99">
        <v>14455.199999999999</v>
      </c>
      <c r="BL36" s="99">
        <v>15</v>
      </c>
      <c r="BM36" s="99">
        <v>11412</v>
      </c>
      <c r="BN36" s="99">
        <v>11</v>
      </c>
      <c r="BO36" s="99">
        <v>8368.7999999999993</v>
      </c>
      <c r="BP36" s="99">
        <v>20</v>
      </c>
      <c r="BQ36" s="99">
        <v>15216</v>
      </c>
      <c r="BR36" s="99">
        <v>13.038049907056273</v>
      </c>
      <c r="BS36" s="99">
        <v>9919.348369288411</v>
      </c>
      <c r="BT36" s="99">
        <v>21.220818583420996</v>
      </c>
      <c r="BU36" s="99">
        <v>16144.798778266693</v>
      </c>
      <c r="BV36" s="99">
        <v>11.714927566988003</v>
      </c>
      <c r="BW36" s="99">
        <v>8912.7168929644722</v>
      </c>
      <c r="BX36" s="99">
        <v>15.552610886043313</v>
      </c>
      <c r="BY36" s="99">
        <v>11832.426362101753</v>
      </c>
      <c r="BZ36" s="99">
        <v>20</v>
      </c>
      <c r="CA36" s="99">
        <v>15216</v>
      </c>
      <c r="CB36" s="99">
        <v>19</v>
      </c>
      <c r="CC36" s="99">
        <v>14455.199999999999</v>
      </c>
      <c r="CD36" s="99">
        <v>15</v>
      </c>
      <c r="CE36" s="99">
        <v>11412</v>
      </c>
      <c r="CF36" s="99">
        <v>17.487534125678305</v>
      </c>
      <c r="CG36" s="99">
        <v>13304.515962816055</v>
      </c>
      <c r="CH36" s="99">
        <v>0</v>
      </c>
      <c r="CI36" s="99">
        <v>0</v>
      </c>
      <c r="CJ36" s="99">
        <v>18.597249089023549</v>
      </c>
      <c r="CK36" s="99">
        <v>14148.787106929116</v>
      </c>
      <c r="CL36" s="99">
        <v>13</v>
      </c>
      <c r="CM36" s="99">
        <v>9890.4</v>
      </c>
      <c r="CN36" s="99">
        <v>12</v>
      </c>
      <c r="CO36" s="99">
        <v>9129.5999999999985</v>
      </c>
      <c r="CP36" s="99">
        <v>16</v>
      </c>
      <c r="CQ36" s="99">
        <v>12172.8</v>
      </c>
      <c r="CR36" s="99">
        <v>22</v>
      </c>
      <c r="CS36" s="99">
        <v>16737.599999999999</v>
      </c>
      <c r="CT36" s="99">
        <v>13</v>
      </c>
      <c r="CU36" s="99">
        <v>9890.4</v>
      </c>
    </row>
    <row r="37" spans="2:99">
      <c r="B37" s="98" t="s">
        <v>128</v>
      </c>
      <c r="C37" s="98" t="s">
        <v>203</v>
      </c>
      <c r="D37" s="99">
        <v>9</v>
      </c>
      <c r="E37" s="99">
        <v>7743.5999999999995</v>
      </c>
      <c r="F37" s="99">
        <v>13</v>
      </c>
      <c r="G37" s="99">
        <v>11185.199999999999</v>
      </c>
      <c r="H37" s="99">
        <v>10</v>
      </c>
      <c r="I37" s="99">
        <v>8604</v>
      </c>
      <c r="J37" s="99">
        <v>13</v>
      </c>
      <c r="K37" s="99">
        <v>11185.199999999999</v>
      </c>
      <c r="L37" s="99">
        <v>8.4605380044100666</v>
      </c>
      <c r="M37" s="99">
        <v>7279.4468989944207</v>
      </c>
      <c r="N37" s="99">
        <v>9</v>
      </c>
      <c r="O37" s="99">
        <v>7743.5999999999995</v>
      </c>
      <c r="P37" s="99">
        <v>8</v>
      </c>
      <c r="Q37" s="99">
        <v>6883.2</v>
      </c>
      <c r="R37" s="99">
        <v>9</v>
      </c>
      <c r="S37" s="99">
        <v>7743.5999999999995</v>
      </c>
      <c r="T37" s="99">
        <v>8</v>
      </c>
      <c r="U37" s="99">
        <v>6883.2</v>
      </c>
      <c r="V37" s="99">
        <v>12</v>
      </c>
      <c r="W37" s="99">
        <v>10324.799999999999</v>
      </c>
      <c r="X37" s="99">
        <v>9</v>
      </c>
      <c r="Y37" s="99">
        <v>7743.5999999999995</v>
      </c>
      <c r="Z37" s="99">
        <v>13</v>
      </c>
      <c r="AA37" s="99">
        <v>11185.199999999999</v>
      </c>
      <c r="AB37" s="99">
        <v>13</v>
      </c>
      <c r="AC37" s="99">
        <v>11185.199999999999</v>
      </c>
      <c r="AD37" s="99">
        <v>11.521447364025224</v>
      </c>
      <c r="AE37" s="99">
        <v>9913.0533120073032</v>
      </c>
      <c r="AF37" s="99">
        <v>10.100883591490712</v>
      </c>
      <c r="AG37" s="99">
        <v>8690.8002421186084</v>
      </c>
      <c r="AH37" s="99">
        <v>6.7920387977303411</v>
      </c>
      <c r="AI37" s="99">
        <v>5843.8701815671857</v>
      </c>
      <c r="AJ37" s="99">
        <v>15</v>
      </c>
      <c r="AK37" s="99">
        <v>12906</v>
      </c>
      <c r="AL37" s="99">
        <v>15</v>
      </c>
      <c r="AM37" s="99">
        <v>12906</v>
      </c>
      <c r="AN37" s="99">
        <v>9</v>
      </c>
      <c r="AO37" s="99">
        <v>7743.5999999999995</v>
      </c>
      <c r="AP37" s="99">
        <v>11</v>
      </c>
      <c r="AQ37" s="99">
        <v>9464.4</v>
      </c>
      <c r="AR37" s="99">
        <v>9.0255337982263715</v>
      </c>
      <c r="AS37" s="99">
        <v>7765.5692799939698</v>
      </c>
      <c r="AT37" s="99">
        <v>6.7365772392822425</v>
      </c>
      <c r="AU37" s="99">
        <v>5796.1510566784409</v>
      </c>
      <c r="AV37" s="99">
        <v>9.5685427877229809</v>
      </c>
      <c r="AW37" s="99">
        <v>8232.7742145568518</v>
      </c>
      <c r="AX37" s="99">
        <v>9</v>
      </c>
      <c r="AY37" s="99">
        <v>7743.5999999999995</v>
      </c>
      <c r="AZ37" s="99">
        <v>11</v>
      </c>
      <c r="BA37" s="99">
        <v>9464.4</v>
      </c>
      <c r="BB37" s="99">
        <v>4.4074946889135163</v>
      </c>
      <c r="BC37" s="99">
        <v>3792.2084303411893</v>
      </c>
      <c r="BD37" s="99">
        <v>10</v>
      </c>
      <c r="BE37" s="99">
        <v>8604</v>
      </c>
      <c r="BF37" s="99">
        <v>9.008086692121811</v>
      </c>
      <c r="BG37" s="99">
        <v>7750.5577899016062</v>
      </c>
      <c r="BH37" s="99">
        <v>3.2303302616291023</v>
      </c>
      <c r="BI37" s="99">
        <v>2779.3761571056793</v>
      </c>
      <c r="BJ37" s="99">
        <v>9</v>
      </c>
      <c r="BK37" s="99">
        <v>7743.5999999999995</v>
      </c>
      <c r="BL37" s="99">
        <v>10</v>
      </c>
      <c r="BM37" s="99">
        <v>8604</v>
      </c>
      <c r="BN37" s="99">
        <v>14</v>
      </c>
      <c r="BO37" s="99">
        <v>12045.6</v>
      </c>
      <c r="BP37" s="99">
        <v>9</v>
      </c>
      <c r="BQ37" s="99">
        <v>7743.5999999999995</v>
      </c>
      <c r="BR37" s="99">
        <v>10.244182069829927</v>
      </c>
      <c r="BS37" s="99">
        <v>8814.0942528816686</v>
      </c>
      <c r="BT37" s="99">
        <v>11.574991954593271</v>
      </c>
      <c r="BU37" s="99">
        <v>9959.1230777320507</v>
      </c>
      <c r="BV37" s="99">
        <v>11.714927566988003</v>
      </c>
      <c r="BW37" s="99">
        <v>10079.523678636477</v>
      </c>
      <c r="BX37" s="99">
        <v>6.5484677414919208</v>
      </c>
      <c r="BY37" s="99">
        <v>5634.3016447796481</v>
      </c>
      <c r="BZ37" s="99">
        <v>9</v>
      </c>
      <c r="CA37" s="99">
        <v>7743.5999999999995</v>
      </c>
      <c r="CB37" s="99">
        <v>8</v>
      </c>
      <c r="CC37" s="99">
        <v>6883.2</v>
      </c>
      <c r="CD37" s="99">
        <v>14</v>
      </c>
      <c r="CE37" s="99">
        <v>12045.6</v>
      </c>
      <c r="CF37" s="99">
        <v>6.3591033184284749</v>
      </c>
      <c r="CG37" s="99">
        <v>5471.3724951758595</v>
      </c>
      <c r="CH37" s="99">
        <v>0</v>
      </c>
      <c r="CI37" s="99">
        <v>0</v>
      </c>
      <c r="CJ37" s="99">
        <v>7.2771844261396508</v>
      </c>
      <c r="CK37" s="99">
        <v>6261.2894802505552</v>
      </c>
      <c r="CL37" s="99">
        <v>9</v>
      </c>
      <c r="CM37" s="99">
        <v>7743.5999999999995</v>
      </c>
      <c r="CN37" s="99">
        <v>15</v>
      </c>
      <c r="CO37" s="99">
        <v>12906</v>
      </c>
      <c r="CP37" s="99">
        <v>11</v>
      </c>
      <c r="CQ37" s="99">
        <v>9464.4</v>
      </c>
      <c r="CR37" s="99">
        <v>13</v>
      </c>
      <c r="CS37" s="99">
        <v>11185.199999999999</v>
      </c>
      <c r="CT37" s="99">
        <v>8</v>
      </c>
      <c r="CU37" s="99">
        <v>6883.2</v>
      </c>
    </row>
    <row r="38" spans="2:99">
      <c r="C38" s="98" t="s">
        <v>204</v>
      </c>
      <c r="D38" s="99">
        <v>10</v>
      </c>
      <c r="E38" s="99">
        <v>12420</v>
      </c>
      <c r="F38" s="99">
        <v>12</v>
      </c>
      <c r="G38" s="99">
        <v>14904</v>
      </c>
      <c r="H38" s="99">
        <v>8</v>
      </c>
      <c r="I38" s="99">
        <v>9936</v>
      </c>
      <c r="J38" s="99">
        <v>12</v>
      </c>
      <c r="K38" s="99">
        <v>14904</v>
      </c>
      <c r="L38" s="99">
        <v>8.4605380044100666</v>
      </c>
      <c r="M38" s="99">
        <v>10507.988201477303</v>
      </c>
      <c r="N38" s="99">
        <v>8</v>
      </c>
      <c r="O38" s="99">
        <v>9936</v>
      </c>
      <c r="P38" s="99">
        <v>7</v>
      </c>
      <c r="Q38" s="99">
        <v>8694</v>
      </c>
      <c r="R38" s="99">
        <v>9</v>
      </c>
      <c r="S38" s="99">
        <v>11178</v>
      </c>
      <c r="T38" s="99">
        <v>9</v>
      </c>
      <c r="U38" s="99">
        <v>11178</v>
      </c>
      <c r="V38" s="99">
        <v>14</v>
      </c>
      <c r="W38" s="99">
        <v>17388</v>
      </c>
      <c r="X38" s="99">
        <v>9</v>
      </c>
      <c r="Y38" s="99">
        <v>11178</v>
      </c>
      <c r="Z38" s="99">
        <v>13</v>
      </c>
      <c r="AA38" s="99">
        <v>16146</v>
      </c>
      <c r="AB38" s="99">
        <v>12</v>
      </c>
      <c r="AC38" s="99">
        <v>14904</v>
      </c>
      <c r="AD38" s="99">
        <v>11.521447364025224</v>
      </c>
      <c r="AE38" s="99">
        <v>14309.637626119329</v>
      </c>
      <c r="AF38" s="99">
        <v>11.654865682489284</v>
      </c>
      <c r="AG38" s="99">
        <v>14475.34317765169</v>
      </c>
      <c r="AH38" s="99">
        <v>7.7623300545489604</v>
      </c>
      <c r="AI38" s="99">
        <v>9640.8139277498085</v>
      </c>
      <c r="AJ38" s="99">
        <v>15</v>
      </c>
      <c r="AK38" s="99">
        <v>18630</v>
      </c>
      <c r="AL38" s="99">
        <v>14</v>
      </c>
      <c r="AM38" s="99">
        <v>17388</v>
      </c>
      <c r="AN38" s="99">
        <v>10</v>
      </c>
      <c r="AO38" s="99">
        <v>12420</v>
      </c>
      <c r="AP38" s="99">
        <v>10</v>
      </c>
      <c r="AQ38" s="99">
        <v>12420</v>
      </c>
      <c r="AR38" s="99">
        <v>8.1229804184037349</v>
      </c>
      <c r="AS38" s="99">
        <v>10088.741679657438</v>
      </c>
      <c r="AT38" s="99">
        <v>6.1751958026753897</v>
      </c>
      <c r="AU38" s="99">
        <v>7669.5931869228343</v>
      </c>
      <c r="AV38" s="99">
        <v>9.5685427877229809</v>
      </c>
      <c r="AW38" s="99">
        <v>11884.130142351942</v>
      </c>
      <c r="AX38" s="99">
        <v>8</v>
      </c>
      <c r="AY38" s="99">
        <v>9936</v>
      </c>
      <c r="AZ38" s="99">
        <v>9</v>
      </c>
      <c r="BA38" s="99">
        <v>11178</v>
      </c>
      <c r="BB38" s="99">
        <v>4.4074946889135163</v>
      </c>
      <c r="BC38" s="99">
        <v>5474.1084036305874</v>
      </c>
      <c r="BD38" s="99">
        <v>11</v>
      </c>
      <c r="BE38" s="99">
        <v>13662</v>
      </c>
      <c r="BF38" s="99">
        <v>9.008086692121811</v>
      </c>
      <c r="BG38" s="99">
        <v>11188.043671615289</v>
      </c>
      <c r="BH38" s="99">
        <v>3.553363287792012</v>
      </c>
      <c r="BI38" s="99">
        <v>4413.2772034376794</v>
      </c>
      <c r="BJ38" s="99">
        <v>10</v>
      </c>
      <c r="BK38" s="99">
        <v>12420</v>
      </c>
      <c r="BL38" s="99">
        <v>11</v>
      </c>
      <c r="BM38" s="99">
        <v>13662</v>
      </c>
      <c r="BN38" s="99">
        <v>15</v>
      </c>
      <c r="BO38" s="99">
        <v>18630</v>
      </c>
      <c r="BP38" s="99">
        <v>9</v>
      </c>
      <c r="BQ38" s="99">
        <v>11178</v>
      </c>
      <c r="BR38" s="99">
        <v>10.244182069829927</v>
      </c>
      <c r="BS38" s="99">
        <v>12723.274130728769</v>
      </c>
      <c r="BT38" s="99">
        <v>12.539574617476044</v>
      </c>
      <c r="BU38" s="99">
        <v>15574.151674905246</v>
      </c>
      <c r="BV38" s="99">
        <v>10.250561621114501</v>
      </c>
      <c r="BW38" s="99">
        <v>12731.197533424211</v>
      </c>
      <c r="BX38" s="99">
        <v>7.3670262091784107</v>
      </c>
      <c r="BY38" s="99">
        <v>9149.8465517995865</v>
      </c>
      <c r="BZ38" s="99">
        <v>8</v>
      </c>
      <c r="CA38" s="99">
        <v>9936</v>
      </c>
      <c r="CB38" s="99">
        <v>8</v>
      </c>
      <c r="CC38" s="99">
        <v>9936</v>
      </c>
      <c r="CD38" s="99">
        <v>12</v>
      </c>
      <c r="CE38" s="99">
        <v>14904</v>
      </c>
      <c r="CF38" s="99">
        <v>6.3591033184284749</v>
      </c>
      <c r="CG38" s="99">
        <v>7898.0063214881657</v>
      </c>
      <c r="CH38" s="99">
        <v>0</v>
      </c>
      <c r="CI38" s="99">
        <v>0</v>
      </c>
      <c r="CJ38" s="99">
        <v>8.0857604734885005</v>
      </c>
      <c r="CK38" s="99">
        <v>10042.514508072718</v>
      </c>
      <c r="CL38" s="99">
        <v>10</v>
      </c>
      <c r="CM38" s="99">
        <v>12420</v>
      </c>
      <c r="CN38" s="99">
        <v>14</v>
      </c>
      <c r="CO38" s="99">
        <v>17388</v>
      </c>
      <c r="CP38" s="99">
        <v>12</v>
      </c>
      <c r="CQ38" s="99">
        <v>14904</v>
      </c>
      <c r="CR38" s="99">
        <v>15</v>
      </c>
      <c r="CS38" s="99">
        <v>18630</v>
      </c>
      <c r="CT38" s="99">
        <v>8</v>
      </c>
      <c r="CU38" s="99">
        <v>9936</v>
      </c>
    </row>
    <row r="39" spans="2:99">
      <c r="C39" s="98" t="s">
        <v>205</v>
      </c>
      <c r="D39" s="99">
        <v>9</v>
      </c>
      <c r="E39" s="99">
        <v>12808.800000000001</v>
      </c>
      <c r="F39" s="99">
        <v>12</v>
      </c>
      <c r="G39" s="99">
        <v>17078.400000000001</v>
      </c>
      <c r="H39" s="99">
        <v>8</v>
      </c>
      <c r="I39" s="99">
        <v>11385.6</v>
      </c>
      <c r="J39" s="99">
        <v>14</v>
      </c>
      <c r="K39" s="99">
        <v>19924.8</v>
      </c>
      <c r="L39" s="99">
        <v>7.8562138612379186</v>
      </c>
      <c r="M39" s="99">
        <v>11180.963567313805</v>
      </c>
      <c r="N39" s="99">
        <v>9</v>
      </c>
      <c r="O39" s="99">
        <v>12808.800000000001</v>
      </c>
      <c r="P39" s="99">
        <v>8</v>
      </c>
      <c r="Q39" s="99">
        <v>11385.6</v>
      </c>
      <c r="R39" s="99">
        <v>9</v>
      </c>
      <c r="S39" s="99">
        <v>12808.800000000001</v>
      </c>
      <c r="T39" s="99">
        <v>7</v>
      </c>
      <c r="U39" s="99">
        <v>9962.4</v>
      </c>
      <c r="V39" s="99">
        <v>14</v>
      </c>
      <c r="W39" s="99">
        <v>19924.8</v>
      </c>
      <c r="X39" s="99">
        <v>8</v>
      </c>
      <c r="Y39" s="99">
        <v>11385.6</v>
      </c>
      <c r="Z39" s="99">
        <v>13</v>
      </c>
      <c r="AA39" s="99">
        <v>18501.600000000002</v>
      </c>
      <c r="AB39" s="99">
        <v>11</v>
      </c>
      <c r="AC39" s="99">
        <v>15655.2</v>
      </c>
      <c r="AD39" s="99">
        <v>10.635182182177129</v>
      </c>
      <c r="AE39" s="99">
        <v>15135.991281674491</v>
      </c>
      <c r="AF39" s="99">
        <v>10.877874636989999</v>
      </c>
      <c r="AG39" s="99">
        <v>15481.391183364167</v>
      </c>
      <c r="AH39" s="99">
        <v>8.7326213113675806</v>
      </c>
      <c r="AI39" s="99">
        <v>12428.266650338341</v>
      </c>
      <c r="AJ39" s="99">
        <v>13</v>
      </c>
      <c r="AK39" s="99">
        <v>18501.600000000002</v>
      </c>
      <c r="AL39" s="99">
        <v>14</v>
      </c>
      <c r="AM39" s="99">
        <v>19924.8</v>
      </c>
      <c r="AN39" s="99">
        <v>9</v>
      </c>
      <c r="AO39" s="99">
        <v>12808.800000000001</v>
      </c>
      <c r="AP39" s="99">
        <v>9</v>
      </c>
      <c r="AQ39" s="99">
        <v>12808.800000000001</v>
      </c>
      <c r="AR39" s="99">
        <v>7.2204270385810974</v>
      </c>
      <c r="AS39" s="99">
        <v>10276.111761308619</v>
      </c>
      <c r="AT39" s="99">
        <v>6.1751958026753897</v>
      </c>
      <c r="AU39" s="99">
        <v>8788.5386663676145</v>
      </c>
      <c r="AV39" s="99">
        <v>9.5685427877229809</v>
      </c>
      <c r="AW39" s="99">
        <v>13617.950095487347</v>
      </c>
      <c r="AX39" s="99">
        <v>8</v>
      </c>
      <c r="AY39" s="99">
        <v>11385.6</v>
      </c>
      <c r="AZ39" s="99">
        <v>10</v>
      </c>
      <c r="BA39" s="99">
        <v>14232</v>
      </c>
      <c r="BB39" s="99">
        <v>4.9584315250277058</v>
      </c>
      <c r="BC39" s="99">
        <v>7056.8397464194313</v>
      </c>
      <c r="BD39" s="99">
        <v>10</v>
      </c>
      <c r="BE39" s="99">
        <v>14232</v>
      </c>
      <c r="BF39" s="99">
        <v>7.5067389101015092</v>
      </c>
      <c r="BG39" s="99">
        <v>10683.590816856467</v>
      </c>
      <c r="BH39" s="99">
        <v>3.2303302616291023</v>
      </c>
      <c r="BI39" s="99">
        <v>4597.4060283505387</v>
      </c>
      <c r="BJ39" s="99">
        <v>10</v>
      </c>
      <c r="BK39" s="99">
        <v>14232</v>
      </c>
      <c r="BL39" s="99">
        <v>10</v>
      </c>
      <c r="BM39" s="99">
        <v>14232</v>
      </c>
      <c r="BN39" s="99">
        <v>13</v>
      </c>
      <c r="BO39" s="99">
        <v>18501.600000000002</v>
      </c>
      <c r="BP39" s="99">
        <v>9</v>
      </c>
      <c r="BQ39" s="99">
        <v>12808.800000000001</v>
      </c>
      <c r="BR39" s="99">
        <v>9.3128927907544803</v>
      </c>
      <c r="BS39" s="99">
        <v>13254.109019801777</v>
      </c>
      <c r="BT39" s="99">
        <v>10.610409291710498</v>
      </c>
      <c r="BU39" s="99">
        <v>15100.734503962381</v>
      </c>
      <c r="BV39" s="99">
        <v>11.714927566988003</v>
      </c>
      <c r="BW39" s="99">
        <v>16672.684913337325</v>
      </c>
      <c r="BX39" s="99">
        <v>5.7299092738054318</v>
      </c>
      <c r="BY39" s="99">
        <v>8154.8068784798907</v>
      </c>
      <c r="BZ39" s="99">
        <v>8</v>
      </c>
      <c r="CA39" s="99">
        <v>11385.6</v>
      </c>
      <c r="CB39" s="99">
        <v>8</v>
      </c>
      <c r="CC39" s="99">
        <v>11385.6</v>
      </c>
      <c r="CD39" s="99">
        <v>12</v>
      </c>
      <c r="CE39" s="99">
        <v>17078.400000000001</v>
      </c>
      <c r="CF39" s="99">
        <v>6.3591033184284749</v>
      </c>
      <c r="CG39" s="99">
        <v>9050.2758427874051</v>
      </c>
      <c r="CH39" s="99">
        <v>0</v>
      </c>
      <c r="CI39" s="99">
        <v>0</v>
      </c>
      <c r="CJ39" s="99">
        <v>8.0857604734885005</v>
      </c>
      <c r="CK39" s="99">
        <v>11507.654305868835</v>
      </c>
      <c r="CL39" s="99">
        <v>9</v>
      </c>
      <c r="CM39" s="99">
        <v>12808.800000000001</v>
      </c>
      <c r="CN39" s="99">
        <v>13</v>
      </c>
      <c r="CO39" s="99">
        <v>18501.600000000002</v>
      </c>
      <c r="CP39" s="99">
        <v>11</v>
      </c>
      <c r="CQ39" s="99">
        <v>15655.2</v>
      </c>
      <c r="CR39" s="99">
        <v>14</v>
      </c>
      <c r="CS39" s="99">
        <v>19924.8</v>
      </c>
      <c r="CT39" s="99">
        <v>7</v>
      </c>
      <c r="CU39" s="99">
        <v>9962.4</v>
      </c>
    </row>
    <row r="40" spans="2:99">
      <c r="C40" s="98" t="s">
        <v>206</v>
      </c>
      <c r="D40" s="99">
        <v>9</v>
      </c>
      <c r="E40" s="99">
        <v>6523.2</v>
      </c>
      <c r="F40" s="99">
        <v>12</v>
      </c>
      <c r="G40" s="99">
        <v>8697.5999999999985</v>
      </c>
      <c r="H40" s="99">
        <v>10</v>
      </c>
      <c r="I40" s="99">
        <v>7248</v>
      </c>
      <c r="J40" s="99">
        <v>15</v>
      </c>
      <c r="K40" s="99">
        <v>10872</v>
      </c>
      <c r="L40" s="99">
        <v>8.4605380044100666</v>
      </c>
      <c r="M40" s="99">
        <v>6132.1979455964156</v>
      </c>
      <c r="N40" s="99">
        <v>8</v>
      </c>
      <c r="O40" s="99">
        <v>5798.4</v>
      </c>
      <c r="P40" s="99">
        <v>8</v>
      </c>
      <c r="Q40" s="99">
        <v>5798.4</v>
      </c>
      <c r="R40" s="99">
        <v>9</v>
      </c>
      <c r="S40" s="99">
        <v>6523.2</v>
      </c>
      <c r="T40" s="99">
        <v>9</v>
      </c>
      <c r="U40" s="99">
        <v>6523.2</v>
      </c>
      <c r="V40" s="99">
        <v>14</v>
      </c>
      <c r="W40" s="99">
        <v>10147.199999999999</v>
      </c>
      <c r="X40" s="99">
        <v>9</v>
      </c>
      <c r="Y40" s="99">
        <v>6523.2</v>
      </c>
      <c r="Z40" s="99">
        <v>14</v>
      </c>
      <c r="AA40" s="99">
        <v>10147.199999999999</v>
      </c>
      <c r="AB40" s="99">
        <v>13</v>
      </c>
      <c r="AC40" s="99">
        <v>9422.4</v>
      </c>
      <c r="AD40" s="99">
        <v>12.407712545873316</v>
      </c>
      <c r="AE40" s="99">
        <v>8993.11005324898</v>
      </c>
      <c r="AF40" s="99">
        <v>10.877874636989999</v>
      </c>
      <c r="AG40" s="99">
        <v>7884.2835368903507</v>
      </c>
      <c r="AH40" s="99">
        <v>7.7623300545489604</v>
      </c>
      <c r="AI40" s="99">
        <v>5626.1368235370865</v>
      </c>
      <c r="AJ40" s="99">
        <v>14</v>
      </c>
      <c r="AK40" s="99">
        <v>10147.199999999999</v>
      </c>
      <c r="AL40" s="99">
        <v>16</v>
      </c>
      <c r="AM40" s="99">
        <v>11596.8</v>
      </c>
      <c r="AN40" s="99">
        <v>9</v>
      </c>
      <c r="AO40" s="99">
        <v>6523.2</v>
      </c>
      <c r="AP40" s="99">
        <v>10</v>
      </c>
      <c r="AQ40" s="99">
        <v>7248</v>
      </c>
      <c r="AR40" s="99">
        <v>9.0255337982263715</v>
      </c>
      <c r="AS40" s="99">
        <v>6541.7068969544735</v>
      </c>
      <c r="AT40" s="99">
        <v>6.1751958026753897</v>
      </c>
      <c r="AU40" s="99">
        <v>4475.7819177791225</v>
      </c>
      <c r="AV40" s="99">
        <v>8.6986752615663452</v>
      </c>
      <c r="AW40" s="99">
        <v>6304.7998295832867</v>
      </c>
      <c r="AX40" s="99">
        <v>8</v>
      </c>
      <c r="AY40" s="99">
        <v>5798.4</v>
      </c>
      <c r="AZ40" s="99">
        <v>10</v>
      </c>
      <c r="BA40" s="99">
        <v>7248</v>
      </c>
      <c r="BB40" s="99">
        <v>4.4074946889135163</v>
      </c>
      <c r="BC40" s="99">
        <v>3194.5521505245165</v>
      </c>
      <c r="BD40" s="99">
        <v>11</v>
      </c>
      <c r="BE40" s="99">
        <v>7972.7999999999993</v>
      </c>
      <c r="BF40" s="99">
        <v>9.008086692121811</v>
      </c>
      <c r="BG40" s="99">
        <v>6529.0612344498886</v>
      </c>
      <c r="BH40" s="99">
        <v>3.553363287792012</v>
      </c>
      <c r="BI40" s="99">
        <v>2575.4777109916504</v>
      </c>
      <c r="BJ40" s="99">
        <v>9</v>
      </c>
      <c r="BK40" s="99">
        <v>6523.2</v>
      </c>
      <c r="BL40" s="99">
        <v>12</v>
      </c>
      <c r="BM40" s="99">
        <v>8697.5999999999985</v>
      </c>
      <c r="BN40" s="99">
        <v>13</v>
      </c>
      <c r="BO40" s="99">
        <v>9422.4</v>
      </c>
      <c r="BP40" s="99">
        <v>9</v>
      </c>
      <c r="BQ40" s="99">
        <v>6523.2</v>
      </c>
      <c r="BR40" s="99">
        <v>11.175471348905377</v>
      </c>
      <c r="BS40" s="99">
        <v>8099.981633686617</v>
      </c>
      <c r="BT40" s="99">
        <v>12.539574617476044</v>
      </c>
      <c r="BU40" s="99">
        <v>9088.6836827466359</v>
      </c>
      <c r="BV40" s="99">
        <v>10.982744594051253</v>
      </c>
      <c r="BW40" s="99">
        <v>7960.2932817683477</v>
      </c>
      <c r="BX40" s="99">
        <v>6.5484677414919208</v>
      </c>
      <c r="BY40" s="99">
        <v>4746.3294190333436</v>
      </c>
      <c r="BZ40" s="99">
        <v>8</v>
      </c>
      <c r="CA40" s="99">
        <v>5798.4</v>
      </c>
      <c r="CB40" s="99">
        <v>7</v>
      </c>
      <c r="CC40" s="99">
        <v>5073.5999999999995</v>
      </c>
      <c r="CD40" s="99">
        <v>14</v>
      </c>
      <c r="CE40" s="99">
        <v>10147.199999999999</v>
      </c>
      <c r="CF40" s="99">
        <v>7.1539912332320341</v>
      </c>
      <c r="CG40" s="99">
        <v>5185.2128458465777</v>
      </c>
      <c r="CH40" s="99">
        <v>0</v>
      </c>
      <c r="CI40" s="99">
        <v>0</v>
      </c>
      <c r="CJ40" s="99">
        <v>7.2771844261396508</v>
      </c>
      <c r="CK40" s="99">
        <v>5274.5032720660183</v>
      </c>
      <c r="CL40" s="99">
        <v>10</v>
      </c>
      <c r="CM40" s="99">
        <v>7248</v>
      </c>
      <c r="CN40" s="99">
        <v>16</v>
      </c>
      <c r="CO40" s="99">
        <v>11596.8</v>
      </c>
      <c r="CP40" s="99">
        <v>11</v>
      </c>
      <c r="CQ40" s="99">
        <v>7972.7999999999993</v>
      </c>
      <c r="CR40" s="99">
        <v>14</v>
      </c>
      <c r="CS40" s="99">
        <v>10147.199999999999</v>
      </c>
      <c r="CT40" s="99">
        <v>9</v>
      </c>
      <c r="CU40" s="99">
        <v>6523.2</v>
      </c>
    </row>
    <row r="41" spans="2:99">
      <c r="C41" s="98" t="s">
        <v>207</v>
      </c>
      <c r="D41" s="99">
        <v>9</v>
      </c>
      <c r="E41" s="99">
        <v>5940</v>
      </c>
      <c r="F41" s="99">
        <v>12</v>
      </c>
      <c r="G41" s="99">
        <v>7920</v>
      </c>
      <c r="H41" s="99">
        <v>10</v>
      </c>
      <c r="I41" s="99">
        <v>6600</v>
      </c>
      <c r="J41" s="99">
        <v>13</v>
      </c>
      <c r="K41" s="99">
        <v>8580</v>
      </c>
      <c r="L41" s="99">
        <v>8.4605380044100666</v>
      </c>
      <c r="M41" s="99">
        <v>5583.9550829106438</v>
      </c>
      <c r="N41" s="99">
        <v>8</v>
      </c>
      <c r="O41" s="99">
        <v>5280</v>
      </c>
      <c r="P41" s="99">
        <v>8</v>
      </c>
      <c r="Q41" s="99">
        <v>5280</v>
      </c>
      <c r="R41" s="99">
        <v>10</v>
      </c>
      <c r="S41" s="99">
        <v>6600</v>
      </c>
      <c r="T41" s="99">
        <v>9</v>
      </c>
      <c r="U41" s="99">
        <v>5940</v>
      </c>
      <c r="V41" s="99">
        <v>13</v>
      </c>
      <c r="W41" s="99">
        <v>8580</v>
      </c>
      <c r="X41" s="99">
        <v>9</v>
      </c>
      <c r="Y41" s="99">
        <v>5940</v>
      </c>
      <c r="Z41" s="99">
        <v>14</v>
      </c>
      <c r="AA41" s="99">
        <v>9240</v>
      </c>
      <c r="AB41" s="99">
        <v>12</v>
      </c>
      <c r="AC41" s="99">
        <v>7920</v>
      </c>
      <c r="AD41" s="99">
        <v>12.407712545873316</v>
      </c>
      <c r="AE41" s="99">
        <v>8189.0902802763885</v>
      </c>
      <c r="AF41" s="99">
        <v>10.100883591490712</v>
      </c>
      <c r="AG41" s="99">
        <v>6666.5831703838703</v>
      </c>
      <c r="AH41" s="99">
        <v>8.7326213113675806</v>
      </c>
      <c r="AI41" s="99">
        <v>5763.5300655026031</v>
      </c>
      <c r="AJ41" s="99">
        <v>14</v>
      </c>
      <c r="AK41" s="99">
        <v>9240</v>
      </c>
      <c r="AL41" s="99">
        <v>15</v>
      </c>
      <c r="AM41" s="99">
        <v>9900</v>
      </c>
      <c r="AN41" s="99">
        <v>11</v>
      </c>
      <c r="AO41" s="99">
        <v>7260</v>
      </c>
      <c r="AP41" s="99">
        <v>11</v>
      </c>
      <c r="AQ41" s="99">
        <v>7260</v>
      </c>
      <c r="AR41" s="99">
        <v>8.1229804184037349</v>
      </c>
      <c r="AS41" s="99">
        <v>5361.1670761464648</v>
      </c>
      <c r="AT41" s="99">
        <v>5.613814366068536</v>
      </c>
      <c r="AU41" s="99">
        <v>3705.1174816052339</v>
      </c>
      <c r="AV41" s="99">
        <v>8.6986752615663452</v>
      </c>
      <c r="AW41" s="99">
        <v>5741.1256726337879</v>
      </c>
      <c r="AX41" s="99">
        <v>8</v>
      </c>
      <c r="AY41" s="99">
        <v>5280</v>
      </c>
      <c r="AZ41" s="99">
        <v>10</v>
      </c>
      <c r="BA41" s="99">
        <v>6600</v>
      </c>
      <c r="BB41" s="99">
        <v>4.9584315250277058</v>
      </c>
      <c r="BC41" s="99">
        <v>3272.5648065182859</v>
      </c>
      <c r="BD41" s="99">
        <v>10</v>
      </c>
      <c r="BE41" s="99">
        <v>6600</v>
      </c>
      <c r="BF41" s="99">
        <v>8.257412801111661</v>
      </c>
      <c r="BG41" s="99">
        <v>5449.8924487336963</v>
      </c>
      <c r="BH41" s="99">
        <v>3.553363287792012</v>
      </c>
      <c r="BI41" s="99">
        <v>2345.2197699427279</v>
      </c>
      <c r="BJ41" s="99">
        <v>9</v>
      </c>
      <c r="BK41" s="99">
        <v>5940</v>
      </c>
      <c r="BL41" s="99">
        <v>10</v>
      </c>
      <c r="BM41" s="99">
        <v>6600</v>
      </c>
      <c r="BN41" s="99">
        <v>14</v>
      </c>
      <c r="BO41" s="99">
        <v>9240</v>
      </c>
      <c r="BP41" s="99">
        <v>10</v>
      </c>
      <c r="BQ41" s="99">
        <v>6600</v>
      </c>
      <c r="BR41" s="99">
        <v>10.244182069829927</v>
      </c>
      <c r="BS41" s="99">
        <v>6761.1601660877523</v>
      </c>
      <c r="BT41" s="99">
        <v>13.504157280358818</v>
      </c>
      <c r="BU41" s="99">
        <v>8912.74380503682</v>
      </c>
      <c r="BV41" s="99">
        <v>11.714927566988003</v>
      </c>
      <c r="BW41" s="99">
        <v>7731.8521942120815</v>
      </c>
      <c r="BX41" s="99">
        <v>7.3670262091784107</v>
      </c>
      <c r="BY41" s="99">
        <v>4862.2372980577511</v>
      </c>
      <c r="BZ41" s="99">
        <v>9</v>
      </c>
      <c r="CA41" s="99">
        <v>5940</v>
      </c>
      <c r="CB41" s="99">
        <v>7</v>
      </c>
      <c r="CC41" s="99">
        <v>4620</v>
      </c>
      <c r="CD41" s="99">
        <v>14</v>
      </c>
      <c r="CE41" s="99">
        <v>9240</v>
      </c>
      <c r="CF41" s="99">
        <v>6.3591033184284749</v>
      </c>
      <c r="CG41" s="99">
        <v>4197.0081901627937</v>
      </c>
      <c r="CH41" s="99">
        <v>0</v>
      </c>
      <c r="CI41" s="99">
        <v>0</v>
      </c>
      <c r="CJ41" s="99">
        <v>8.0857604734885005</v>
      </c>
      <c r="CK41" s="99">
        <v>5336.6019125024104</v>
      </c>
      <c r="CL41" s="99">
        <v>9</v>
      </c>
      <c r="CM41" s="99">
        <v>5940</v>
      </c>
      <c r="CN41" s="99">
        <v>15</v>
      </c>
      <c r="CO41" s="99">
        <v>9900</v>
      </c>
      <c r="CP41" s="99">
        <v>13</v>
      </c>
      <c r="CQ41" s="99">
        <v>8580</v>
      </c>
      <c r="CR41" s="99">
        <v>16</v>
      </c>
      <c r="CS41" s="99">
        <v>10560</v>
      </c>
      <c r="CT41" s="99">
        <v>8</v>
      </c>
      <c r="CU41" s="99">
        <v>5280</v>
      </c>
    </row>
    <row r="42" spans="2:99">
      <c r="C42" s="98" t="s">
        <v>208</v>
      </c>
      <c r="D42" s="99">
        <v>9</v>
      </c>
      <c r="E42" s="99">
        <v>7614</v>
      </c>
      <c r="F42" s="99">
        <v>13</v>
      </c>
      <c r="G42" s="99">
        <v>10998</v>
      </c>
      <c r="H42" s="99">
        <v>10</v>
      </c>
      <c r="I42" s="99">
        <v>8460</v>
      </c>
      <c r="J42" s="99">
        <v>14</v>
      </c>
      <c r="K42" s="99">
        <v>11844</v>
      </c>
      <c r="L42" s="99">
        <v>9.0648621475822146</v>
      </c>
      <c r="M42" s="99">
        <v>7668.8733768545535</v>
      </c>
      <c r="N42" s="99">
        <v>8</v>
      </c>
      <c r="O42" s="99">
        <v>6768</v>
      </c>
      <c r="P42" s="99">
        <v>8</v>
      </c>
      <c r="Q42" s="99">
        <v>6768</v>
      </c>
      <c r="R42" s="99">
        <v>9</v>
      </c>
      <c r="S42" s="99">
        <v>7614</v>
      </c>
      <c r="T42" s="99">
        <v>8</v>
      </c>
      <c r="U42" s="99">
        <v>6768</v>
      </c>
      <c r="V42" s="99">
        <v>13</v>
      </c>
      <c r="W42" s="99">
        <v>10998</v>
      </c>
      <c r="X42" s="99">
        <v>8</v>
      </c>
      <c r="Y42" s="99">
        <v>6768</v>
      </c>
      <c r="Z42" s="99">
        <v>15</v>
      </c>
      <c r="AA42" s="99">
        <v>12690</v>
      </c>
      <c r="AB42" s="99">
        <v>13</v>
      </c>
      <c r="AC42" s="99">
        <v>10998</v>
      </c>
      <c r="AD42" s="99">
        <v>12.407712545873316</v>
      </c>
      <c r="AE42" s="99">
        <v>10496.924813808826</v>
      </c>
      <c r="AF42" s="99">
        <v>10.877874636989999</v>
      </c>
      <c r="AG42" s="99">
        <v>9202.6819428935396</v>
      </c>
      <c r="AH42" s="99">
        <v>7.7623300545489604</v>
      </c>
      <c r="AI42" s="99">
        <v>6566.9312261484201</v>
      </c>
      <c r="AJ42" s="99">
        <v>15</v>
      </c>
      <c r="AK42" s="99">
        <v>12690</v>
      </c>
      <c r="AL42" s="99">
        <v>15</v>
      </c>
      <c r="AM42" s="99">
        <v>12690</v>
      </c>
      <c r="AN42" s="99">
        <v>9</v>
      </c>
      <c r="AO42" s="99">
        <v>7614</v>
      </c>
      <c r="AP42" s="99">
        <v>10</v>
      </c>
      <c r="AQ42" s="99">
        <v>8460</v>
      </c>
      <c r="AR42" s="99">
        <v>8.1229804184037349</v>
      </c>
      <c r="AS42" s="99">
        <v>6872.0414339695599</v>
      </c>
      <c r="AT42" s="99">
        <v>5.613814366068536</v>
      </c>
      <c r="AU42" s="99">
        <v>4749.2869536939816</v>
      </c>
      <c r="AV42" s="99">
        <v>8.6986752615663452</v>
      </c>
      <c r="AW42" s="99">
        <v>7359.079271285128</v>
      </c>
      <c r="AX42" s="99">
        <v>8</v>
      </c>
      <c r="AY42" s="99">
        <v>6768</v>
      </c>
      <c r="AZ42" s="99">
        <v>11</v>
      </c>
      <c r="BA42" s="99">
        <v>9306</v>
      </c>
      <c r="BB42" s="99">
        <v>4.9584315250277058</v>
      </c>
      <c r="BC42" s="99">
        <v>4194.8330701734394</v>
      </c>
      <c r="BD42" s="99">
        <v>11</v>
      </c>
      <c r="BE42" s="99">
        <v>9306</v>
      </c>
      <c r="BF42" s="99">
        <v>8.257412801111661</v>
      </c>
      <c r="BG42" s="99">
        <v>6985.7712297404651</v>
      </c>
      <c r="BH42" s="99">
        <v>3.553363287792012</v>
      </c>
      <c r="BI42" s="99">
        <v>3006.1453414720422</v>
      </c>
      <c r="BJ42" s="99">
        <v>11</v>
      </c>
      <c r="BK42" s="99">
        <v>9306</v>
      </c>
      <c r="BL42" s="99">
        <v>12</v>
      </c>
      <c r="BM42" s="99">
        <v>10152</v>
      </c>
      <c r="BN42" s="99">
        <v>14</v>
      </c>
      <c r="BO42" s="99">
        <v>11844</v>
      </c>
      <c r="BP42" s="99">
        <v>9</v>
      </c>
      <c r="BQ42" s="99">
        <v>7614</v>
      </c>
      <c r="BR42" s="99">
        <v>9.3128927907544803</v>
      </c>
      <c r="BS42" s="99">
        <v>7878.7073009782907</v>
      </c>
      <c r="BT42" s="99">
        <v>12.539574617476044</v>
      </c>
      <c r="BU42" s="99">
        <v>10608.480126384733</v>
      </c>
      <c r="BV42" s="99">
        <v>12.447110539924752</v>
      </c>
      <c r="BW42" s="99">
        <v>10530.25551677634</v>
      </c>
      <c r="BX42" s="99">
        <v>7.3670262091784107</v>
      </c>
      <c r="BY42" s="99">
        <v>6232.5041729649356</v>
      </c>
      <c r="BZ42" s="99">
        <v>8</v>
      </c>
      <c r="CA42" s="99">
        <v>6768</v>
      </c>
      <c r="CB42" s="99">
        <v>8</v>
      </c>
      <c r="CC42" s="99">
        <v>6768</v>
      </c>
      <c r="CD42" s="99">
        <v>14</v>
      </c>
      <c r="CE42" s="99">
        <v>11844</v>
      </c>
      <c r="CF42" s="99">
        <v>7.1539912332320341</v>
      </c>
      <c r="CG42" s="99">
        <v>6052.2765833143012</v>
      </c>
      <c r="CH42" s="99">
        <v>0</v>
      </c>
      <c r="CI42" s="99">
        <v>0</v>
      </c>
      <c r="CJ42" s="99">
        <v>7.2771844261396508</v>
      </c>
      <c r="CK42" s="99">
        <v>6156.4980245141442</v>
      </c>
      <c r="CL42" s="99">
        <v>9</v>
      </c>
      <c r="CM42" s="99">
        <v>7614</v>
      </c>
      <c r="CN42" s="99">
        <v>15</v>
      </c>
      <c r="CO42" s="99">
        <v>12690</v>
      </c>
      <c r="CP42" s="99">
        <v>12</v>
      </c>
      <c r="CQ42" s="99">
        <v>10152</v>
      </c>
      <c r="CR42" s="99">
        <v>13</v>
      </c>
      <c r="CS42" s="99">
        <v>10998</v>
      </c>
      <c r="CT42" s="99">
        <v>7</v>
      </c>
      <c r="CU42" s="99">
        <v>5922</v>
      </c>
    </row>
    <row r="43" spans="2:99">
      <c r="C43" s="98" t="s">
        <v>209</v>
      </c>
      <c r="D43" s="99">
        <v>9</v>
      </c>
      <c r="E43" s="99">
        <v>9201.6</v>
      </c>
      <c r="F43" s="99">
        <v>13</v>
      </c>
      <c r="G43" s="99">
        <v>13291.199999999999</v>
      </c>
      <c r="H43" s="99">
        <v>10</v>
      </c>
      <c r="I43" s="99">
        <v>10224</v>
      </c>
      <c r="J43" s="99">
        <v>13</v>
      </c>
      <c r="K43" s="99">
        <v>13291.199999999999</v>
      </c>
      <c r="L43" s="99">
        <v>9.0648621475822146</v>
      </c>
      <c r="M43" s="99">
        <v>9267.9150596880554</v>
      </c>
      <c r="N43" s="99">
        <v>9</v>
      </c>
      <c r="O43" s="99">
        <v>9201.6</v>
      </c>
      <c r="P43" s="99">
        <v>8</v>
      </c>
      <c r="Q43" s="99">
        <v>8179.2</v>
      </c>
      <c r="R43" s="99">
        <v>9</v>
      </c>
      <c r="S43" s="99">
        <v>9201.6</v>
      </c>
      <c r="T43" s="99">
        <v>8</v>
      </c>
      <c r="U43" s="99">
        <v>8179.2</v>
      </c>
      <c r="V43" s="99">
        <v>13</v>
      </c>
      <c r="W43" s="99">
        <v>13291.199999999999</v>
      </c>
      <c r="X43" s="99">
        <v>9</v>
      </c>
      <c r="Y43" s="99">
        <v>9201.6</v>
      </c>
      <c r="Z43" s="99">
        <v>15</v>
      </c>
      <c r="AA43" s="99">
        <v>15336</v>
      </c>
      <c r="AB43" s="99">
        <v>12</v>
      </c>
      <c r="AC43" s="99">
        <v>12268.8</v>
      </c>
      <c r="AD43" s="99">
        <v>11.521447364025224</v>
      </c>
      <c r="AE43" s="99">
        <v>11779.527784979389</v>
      </c>
      <c r="AF43" s="99">
        <v>10.877874636989999</v>
      </c>
      <c r="AG43" s="99">
        <v>11121.539028858575</v>
      </c>
      <c r="AH43" s="99">
        <v>8.7326213113675806</v>
      </c>
      <c r="AI43" s="99">
        <v>8928.2320287422135</v>
      </c>
      <c r="AJ43" s="99">
        <v>14</v>
      </c>
      <c r="AK43" s="99">
        <v>14313.6</v>
      </c>
      <c r="AL43" s="99">
        <v>14</v>
      </c>
      <c r="AM43" s="99">
        <v>14313.6</v>
      </c>
      <c r="AN43" s="99">
        <v>9</v>
      </c>
      <c r="AO43" s="99">
        <v>9201.6</v>
      </c>
      <c r="AP43" s="99">
        <v>10</v>
      </c>
      <c r="AQ43" s="99">
        <v>10224</v>
      </c>
      <c r="AR43" s="99">
        <v>8.1229804184037349</v>
      </c>
      <c r="AS43" s="99">
        <v>8304.9351797759791</v>
      </c>
      <c r="AT43" s="99">
        <v>6.1751958026753897</v>
      </c>
      <c r="AU43" s="99">
        <v>6313.5201886553186</v>
      </c>
      <c r="AV43" s="99">
        <v>8.6986752615663452</v>
      </c>
      <c r="AW43" s="99">
        <v>8893.5255874254308</v>
      </c>
      <c r="AX43" s="99">
        <v>9</v>
      </c>
      <c r="AY43" s="99">
        <v>9201.6</v>
      </c>
      <c r="AZ43" s="99">
        <v>9</v>
      </c>
      <c r="BA43" s="99">
        <v>9201.6</v>
      </c>
      <c r="BB43" s="99">
        <v>4.9584315250277058</v>
      </c>
      <c r="BC43" s="99">
        <v>5069.5003911883259</v>
      </c>
      <c r="BD43" s="99">
        <v>11</v>
      </c>
      <c r="BE43" s="99">
        <v>11246.4</v>
      </c>
      <c r="BF43" s="99">
        <v>8.257412801111661</v>
      </c>
      <c r="BG43" s="99">
        <v>8442.3788478565621</v>
      </c>
      <c r="BH43" s="99">
        <v>3.553363287792012</v>
      </c>
      <c r="BI43" s="99">
        <v>3632.9586254385531</v>
      </c>
      <c r="BJ43" s="99">
        <v>10</v>
      </c>
      <c r="BK43" s="99">
        <v>10224</v>
      </c>
      <c r="BL43" s="99">
        <v>10</v>
      </c>
      <c r="BM43" s="99">
        <v>10224</v>
      </c>
      <c r="BN43" s="99">
        <v>14</v>
      </c>
      <c r="BO43" s="99">
        <v>14313.6</v>
      </c>
      <c r="BP43" s="99">
        <v>8</v>
      </c>
      <c r="BQ43" s="99">
        <v>8179.2</v>
      </c>
      <c r="BR43" s="99">
        <v>11.175471348905377</v>
      </c>
      <c r="BS43" s="99">
        <v>11425.801907120858</v>
      </c>
      <c r="BT43" s="99">
        <v>12.539574617476044</v>
      </c>
      <c r="BU43" s="99">
        <v>12820.461088907507</v>
      </c>
      <c r="BV43" s="99">
        <v>10.250561621114501</v>
      </c>
      <c r="BW43" s="99">
        <v>10480.174201427466</v>
      </c>
      <c r="BX43" s="99">
        <v>7.3670262091784107</v>
      </c>
      <c r="BY43" s="99">
        <v>7532.0475962640066</v>
      </c>
      <c r="BZ43" s="99">
        <v>8</v>
      </c>
      <c r="CA43" s="99">
        <v>8179.2</v>
      </c>
      <c r="CB43" s="99">
        <v>7</v>
      </c>
      <c r="CC43" s="99">
        <v>7156.8</v>
      </c>
      <c r="CD43" s="99">
        <v>14</v>
      </c>
      <c r="CE43" s="99">
        <v>14313.6</v>
      </c>
      <c r="CF43" s="99">
        <v>6.3591033184284749</v>
      </c>
      <c r="CG43" s="99">
        <v>6501.5472327612724</v>
      </c>
      <c r="CH43" s="99">
        <v>0</v>
      </c>
      <c r="CI43" s="99">
        <v>0</v>
      </c>
      <c r="CJ43" s="99">
        <v>7.2771844261396508</v>
      </c>
      <c r="CK43" s="99">
        <v>7440.1933572851785</v>
      </c>
      <c r="CL43" s="99">
        <v>9</v>
      </c>
      <c r="CM43" s="99">
        <v>9201.6</v>
      </c>
      <c r="CN43" s="99">
        <v>15</v>
      </c>
      <c r="CO43" s="99">
        <v>15336</v>
      </c>
      <c r="CP43" s="99">
        <v>12</v>
      </c>
      <c r="CQ43" s="99">
        <v>12268.8</v>
      </c>
      <c r="CR43" s="99">
        <v>15</v>
      </c>
      <c r="CS43" s="99">
        <v>15336</v>
      </c>
      <c r="CT43" s="99">
        <v>8</v>
      </c>
      <c r="CU43" s="99">
        <v>8179.2</v>
      </c>
    </row>
    <row r="44" spans="2:99">
      <c r="C44" s="98" t="s">
        <v>210</v>
      </c>
      <c r="D44" s="99">
        <v>10</v>
      </c>
      <c r="E44" s="99">
        <v>10224</v>
      </c>
      <c r="F44" s="99">
        <v>13</v>
      </c>
      <c r="G44" s="99">
        <v>13291.199999999999</v>
      </c>
      <c r="H44" s="99">
        <v>9</v>
      </c>
      <c r="I44" s="99">
        <v>9201.6</v>
      </c>
      <c r="J44" s="99">
        <v>12</v>
      </c>
      <c r="K44" s="99">
        <v>12268.8</v>
      </c>
      <c r="L44" s="99">
        <v>7.8562138612379186</v>
      </c>
      <c r="M44" s="99">
        <v>8032.1930517296478</v>
      </c>
      <c r="N44" s="99">
        <v>8</v>
      </c>
      <c r="O44" s="99">
        <v>8179.2</v>
      </c>
      <c r="P44" s="99">
        <v>8</v>
      </c>
      <c r="Q44" s="99">
        <v>8179.2</v>
      </c>
      <c r="R44" s="99">
        <v>8</v>
      </c>
      <c r="S44" s="99">
        <v>8179.2</v>
      </c>
      <c r="T44" s="99">
        <v>8</v>
      </c>
      <c r="U44" s="99">
        <v>8179.2</v>
      </c>
      <c r="V44" s="99">
        <v>12</v>
      </c>
      <c r="W44" s="99">
        <v>12268.8</v>
      </c>
      <c r="X44" s="99">
        <v>9</v>
      </c>
      <c r="Y44" s="99">
        <v>9201.6</v>
      </c>
      <c r="Z44" s="99">
        <v>15</v>
      </c>
      <c r="AA44" s="99">
        <v>15336</v>
      </c>
      <c r="AB44" s="99">
        <v>12</v>
      </c>
      <c r="AC44" s="99">
        <v>12268.8</v>
      </c>
      <c r="AD44" s="99">
        <v>11.521447364025224</v>
      </c>
      <c r="AE44" s="99">
        <v>11779.527784979389</v>
      </c>
      <c r="AF44" s="99">
        <v>10.100883591490712</v>
      </c>
      <c r="AG44" s="99">
        <v>10327.143383940103</v>
      </c>
      <c r="AH44" s="99">
        <v>7.7623300545489604</v>
      </c>
      <c r="AI44" s="99">
        <v>7936.2062477708569</v>
      </c>
      <c r="AJ44" s="99">
        <v>13</v>
      </c>
      <c r="AK44" s="99">
        <v>13291.199999999999</v>
      </c>
      <c r="AL44" s="99">
        <v>15</v>
      </c>
      <c r="AM44" s="99">
        <v>15336</v>
      </c>
      <c r="AN44" s="99">
        <v>9</v>
      </c>
      <c r="AO44" s="99">
        <v>9201.6</v>
      </c>
      <c r="AP44" s="99">
        <v>9</v>
      </c>
      <c r="AQ44" s="99">
        <v>9201.6</v>
      </c>
      <c r="AR44" s="99">
        <v>9.0255337982263715</v>
      </c>
      <c r="AS44" s="99">
        <v>9227.7057553066425</v>
      </c>
      <c r="AT44" s="99">
        <v>6.1751958026753897</v>
      </c>
      <c r="AU44" s="99">
        <v>6313.5201886553186</v>
      </c>
      <c r="AV44" s="99">
        <v>8.6986752615663452</v>
      </c>
      <c r="AW44" s="99">
        <v>8893.5255874254308</v>
      </c>
      <c r="AX44" s="99">
        <v>8</v>
      </c>
      <c r="AY44" s="99">
        <v>8179.2</v>
      </c>
      <c r="AZ44" s="99">
        <v>11</v>
      </c>
      <c r="BA44" s="99">
        <v>11246.4</v>
      </c>
      <c r="BB44" s="99">
        <v>4.9584315250277058</v>
      </c>
      <c r="BC44" s="99">
        <v>5069.5003911883259</v>
      </c>
      <c r="BD44" s="99">
        <v>10</v>
      </c>
      <c r="BE44" s="99">
        <v>10224</v>
      </c>
      <c r="BF44" s="99">
        <v>7.5067389101015092</v>
      </c>
      <c r="BG44" s="99">
        <v>7674.8898616877832</v>
      </c>
      <c r="BH44" s="99">
        <v>3.553363287792012</v>
      </c>
      <c r="BI44" s="99">
        <v>3632.9586254385531</v>
      </c>
      <c r="BJ44" s="99">
        <v>9</v>
      </c>
      <c r="BK44" s="99">
        <v>9201.6</v>
      </c>
      <c r="BL44" s="99">
        <v>10</v>
      </c>
      <c r="BM44" s="99">
        <v>10224</v>
      </c>
      <c r="BN44" s="99">
        <v>15</v>
      </c>
      <c r="BO44" s="99">
        <v>15336</v>
      </c>
      <c r="BP44" s="99">
        <v>9</v>
      </c>
      <c r="BQ44" s="99">
        <v>9201.6</v>
      </c>
      <c r="BR44" s="99">
        <v>9.3128927907544803</v>
      </c>
      <c r="BS44" s="99">
        <v>9521.50158926738</v>
      </c>
      <c r="BT44" s="99">
        <v>11.574991954593271</v>
      </c>
      <c r="BU44" s="99">
        <v>11834.27177437616</v>
      </c>
      <c r="BV44" s="99">
        <v>11.714927566988003</v>
      </c>
      <c r="BW44" s="99">
        <v>11977.341944488533</v>
      </c>
      <c r="BX44" s="99">
        <v>6.5484677414919208</v>
      </c>
      <c r="BY44" s="99">
        <v>6695.15341890134</v>
      </c>
      <c r="BZ44" s="99">
        <v>7</v>
      </c>
      <c r="CA44" s="99">
        <v>7156.8</v>
      </c>
      <c r="CB44" s="99">
        <v>8</v>
      </c>
      <c r="CC44" s="99">
        <v>8179.2</v>
      </c>
      <c r="CD44" s="99">
        <v>12</v>
      </c>
      <c r="CE44" s="99">
        <v>12268.8</v>
      </c>
      <c r="CF44" s="99">
        <v>6.3591033184284749</v>
      </c>
      <c r="CG44" s="99">
        <v>6501.5472327612724</v>
      </c>
      <c r="CH44" s="99">
        <v>0</v>
      </c>
      <c r="CI44" s="99">
        <v>0</v>
      </c>
      <c r="CJ44" s="99">
        <v>8.0857604734885005</v>
      </c>
      <c r="CK44" s="99">
        <v>8266.8815080946424</v>
      </c>
      <c r="CL44" s="99">
        <v>10</v>
      </c>
      <c r="CM44" s="99">
        <v>10224</v>
      </c>
      <c r="CN44" s="99">
        <v>14</v>
      </c>
      <c r="CO44" s="99">
        <v>14313.6</v>
      </c>
      <c r="CP44" s="99">
        <v>12</v>
      </c>
      <c r="CQ44" s="99">
        <v>12268.8</v>
      </c>
      <c r="CR44" s="99">
        <v>16</v>
      </c>
      <c r="CS44" s="99">
        <v>16358.4</v>
      </c>
      <c r="CT44" s="99">
        <v>8</v>
      </c>
      <c r="CU44" s="99">
        <v>8179.2</v>
      </c>
    </row>
    <row r="45" spans="2:99">
      <c r="C45" s="98" t="s">
        <v>211</v>
      </c>
      <c r="D45" s="99">
        <v>8</v>
      </c>
      <c r="E45" s="99">
        <v>9993.6</v>
      </c>
      <c r="F45" s="99">
        <v>12</v>
      </c>
      <c r="G45" s="99">
        <v>14990.400000000001</v>
      </c>
      <c r="H45" s="99">
        <v>9</v>
      </c>
      <c r="I45" s="99">
        <v>11242.800000000001</v>
      </c>
      <c r="J45" s="99">
        <v>14</v>
      </c>
      <c r="K45" s="99">
        <v>17488.8</v>
      </c>
      <c r="L45" s="99">
        <v>7.8562138612379186</v>
      </c>
      <c r="M45" s="99">
        <v>9813.9823554584091</v>
      </c>
      <c r="N45" s="99">
        <v>9</v>
      </c>
      <c r="O45" s="99">
        <v>11242.800000000001</v>
      </c>
      <c r="P45" s="99">
        <v>8</v>
      </c>
      <c r="Q45" s="99">
        <v>9993.6</v>
      </c>
      <c r="R45" s="99">
        <v>8</v>
      </c>
      <c r="S45" s="99">
        <v>9993.6</v>
      </c>
      <c r="T45" s="99">
        <v>8</v>
      </c>
      <c r="U45" s="99">
        <v>9993.6</v>
      </c>
      <c r="V45" s="99">
        <v>14</v>
      </c>
      <c r="W45" s="99">
        <v>17488.8</v>
      </c>
      <c r="X45" s="99">
        <v>9</v>
      </c>
      <c r="Y45" s="99">
        <v>11242.800000000001</v>
      </c>
      <c r="Z45" s="99">
        <v>15</v>
      </c>
      <c r="AA45" s="99">
        <v>18738</v>
      </c>
      <c r="AB45" s="99">
        <v>12</v>
      </c>
      <c r="AC45" s="99">
        <v>14990.400000000001</v>
      </c>
      <c r="AD45" s="99">
        <v>11.521447364025224</v>
      </c>
      <c r="AE45" s="99">
        <v>14392.592047140311</v>
      </c>
      <c r="AF45" s="99">
        <v>10.877874636989999</v>
      </c>
      <c r="AG45" s="99">
        <v>13588.640996527907</v>
      </c>
      <c r="AH45" s="99">
        <v>8.7326213113675806</v>
      </c>
      <c r="AI45" s="99">
        <v>10908.790542160383</v>
      </c>
      <c r="AJ45" s="99">
        <v>14</v>
      </c>
      <c r="AK45" s="99">
        <v>17488.8</v>
      </c>
      <c r="AL45" s="99">
        <v>14</v>
      </c>
      <c r="AM45" s="99">
        <v>17488.8</v>
      </c>
      <c r="AN45" s="99">
        <v>10</v>
      </c>
      <c r="AO45" s="99">
        <v>12492</v>
      </c>
      <c r="AP45" s="99">
        <v>10</v>
      </c>
      <c r="AQ45" s="99">
        <v>12492</v>
      </c>
      <c r="AR45" s="99">
        <v>9.0255337982263715</v>
      </c>
      <c r="AS45" s="99">
        <v>11274.696820744384</v>
      </c>
      <c r="AT45" s="99">
        <v>6.1751958026753897</v>
      </c>
      <c r="AU45" s="99">
        <v>7714.0545967020971</v>
      </c>
      <c r="AV45" s="99">
        <v>8.6986752615663452</v>
      </c>
      <c r="AW45" s="99">
        <v>10866.385136748679</v>
      </c>
      <c r="AX45" s="99">
        <v>8</v>
      </c>
      <c r="AY45" s="99">
        <v>9993.6</v>
      </c>
      <c r="AZ45" s="99">
        <v>10</v>
      </c>
      <c r="BA45" s="99">
        <v>12492</v>
      </c>
      <c r="BB45" s="99">
        <v>4.9584315250277058</v>
      </c>
      <c r="BC45" s="99">
        <v>6194.0726610646107</v>
      </c>
      <c r="BD45" s="99">
        <v>10</v>
      </c>
      <c r="BE45" s="99">
        <v>12492</v>
      </c>
      <c r="BF45" s="99">
        <v>9.008086692121811</v>
      </c>
      <c r="BG45" s="99">
        <v>11252.901895798566</v>
      </c>
      <c r="BH45" s="99">
        <v>3.8763963139549222</v>
      </c>
      <c r="BI45" s="99">
        <v>4842.3942753924894</v>
      </c>
      <c r="BJ45" s="99">
        <v>9</v>
      </c>
      <c r="BK45" s="99">
        <v>11242.800000000001</v>
      </c>
      <c r="BL45" s="99">
        <v>10</v>
      </c>
      <c r="BM45" s="99">
        <v>12492</v>
      </c>
      <c r="BN45" s="99">
        <v>14</v>
      </c>
      <c r="BO45" s="99">
        <v>17488.8</v>
      </c>
      <c r="BP45" s="99">
        <v>10</v>
      </c>
      <c r="BQ45" s="99">
        <v>12492</v>
      </c>
      <c r="BR45" s="99">
        <v>11.175471348905377</v>
      </c>
      <c r="BS45" s="99">
        <v>13960.398809052598</v>
      </c>
      <c r="BT45" s="99">
        <v>10.610409291710498</v>
      </c>
      <c r="BU45" s="99">
        <v>13254.523287204755</v>
      </c>
      <c r="BV45" s="99">
        <v>10.250561621114501</v>
      </c>
      <c r="BW45" s="99">
        <v>12805.001577096236</v>
      </c>
      <c r="BX45" s="99">
        <v>6.5484677414919208</v>
      </c>
      <c r="BY45" s="99">
        <v>8180.3459026717073</v>
      </c>
      <c r="BZ45" s="99">
        <v>8</v>
      </c>
      <c r="CA45" s="99">
        <v>9993.6</v>
      </c>
      <c r="CB45" s="99">
        <v>7</v>
      </c>
      <c r="CC45" s="99">
        <v>8744.4</v>
      </c>
      <c r="CD45" s="99">
        <v>12</v>
      </c>
      <c r="CE45" s="99">
        <v>14990.400000000001</v>
      </c>
      <c r="CF45" s="99">
        <v>6.3591033184284749</v>
      </c>
      <c r="CG45" s="99">
        <v>7943.791865380851</v>
      </c>
      <c r="CH45" s="99">
        <v>0</v>
      </c>
      <c r="CI45" s="99">
        <v>0</v>
      </c>
      <c r="CJ45" s="99">
        <v>8.0857604734885005</v>
      </c>
      <c r="CK45" s="99">
        <v>10100.731983481835</v>
      </c>
      <c r="CL45" s="99">
        <v>9</v>
      </c>
      <c r="CM45" s="99">
        <v>11242.800000000001</v>
      </c>
      <c r="CN45" s="99">
        <v>16</v>
      </c>
      <c r="CO45" s="99">
        <v>19987.2</v>
      </c>
      <c r="CP45" s="99">
        <v>12</v>
      </c>
      <c r="CQ45" s="99">
        <v>14990.400000000001</v>
      </c>
      <c r="CR45" s="99">
        <v>15</v>
      </c>
      <c r="CS45" s="99">
        <v>18738</v>
      </c>
      <c r="CT45" s="99">
        <v>8</v>
      </c>
      <c r="CU45" s="99">
        <v>9993.6</v>
      </c>
    </row>
    <row r="46" spans="2:99">
      <c r="C46" s="98" t="s">
        <v>212</v>
      </c>
      <c r="D46" s="99">
        <v>8</v>
      </c>
      <c r="E46" s="99">
        <v>9696</v>
      </c>
      <c r="F46" s="99">
        <v>11</v>
      </c>
      <c r="G46" s="99">
        <v>13332</v>
      </c>
      <c r="H46" s="99">
        <v>10</v>
      </c>
      <c r="I46" s="99">
        <v>12120</v>
      </c>
      <c r="J46" s="99">
        <v>14</v>
      </c>
      <c r="K46" s="99">
        <v>16968</v>
      </c>
      <c r="L46" s="99">
        <v>9.0648621475822146</v>
      </c>
      <c r="M46" s="99">
        <v>10986.612922869645</v>
      </c>
      <c r="N46" s="99">
        <v>8</v>
      </c>
      <c r="O46" s="99">
        <v>9696</v>
      </c>
      <c r="P46" s="99">
        <v>7</v>
      </c>
      <c r="Q46" s="99">
        <v>8484</v>
      </c>
      <c r="R46" s="99">
        <v>9</v>
      </c>
      <c r="S46" s="99">
        <v>10908</v>
      </c>
      <c r="T46" s="99">
        <v>8</v>
      </c>
      <c r="U46" s="99">
        <v>9696</v>
      </c>
      <c r="V46" s="99">
        <v>14</v>
      </c>
      <c r="W46" s="99">
        <v>16968</v>
      </c>
      <c r="X46" s="99">
        <v>9</v>
      </c>
      <c r="Y46" s="99">
        <v>10908</v>
      </c>
      <c r="Z46" s="99">
        <v>14</v>
      </c>
      <c r="AA46" s="99">
        <v>16968</v>
      </c>
      <c r="AB46" s="99">
        <v>11</v>
      </c>
      <c r="AC46" s="99">
        <v>13332</v>
      </c>
      <c r="AD46" s="99">
        <v>10.635182182177129</v>
      </c>
      <c r="AE46" s="99">
        <v>12889.84080479868</v>
      </c>
      <c r="AF46" s="99">
        <v>10.100883591490712</v>
      </c>
      <c r="AG46" s="99">
        <v>12242.270912886743</v>
      </c>
      <c r="AH46" s="99">
        <v>7.7623300545489604</v>
      </c>
      <c r="AI46" s="99">
        <v>9407.9440261133404</v>
      </c>
      <c r="AJ46" s="99">
        <v>12</v>
      </c>
      <c r="AK46" s="99">
        <v>14544</v>
      </c>
      <c r="AL46" s="99">
        <v>14</v>
      </c>
      <c r="AM46" s="99">
        <v>16968</v>
      </c>
      <c r="AN46" s="99">
        <v>9</v>
      </c>
      <c r="AO46" s="99">
        <v>10908</v>
      </c>
      <c r="AP46" s="99">
        <v>10</v>
      </c>
      <c r="AQ46" s="99">
        <v>12120</v>
      </c>
      <c r="AR46" s="99">
        <v>9.0255337982263715</v>
      </c>
      <c r="AS46" s="99">
        <v>10938.946963450362</v>
      </c>
      <c r="AT46" s="99">
        <v>6.1751958026753897</v>
      </c>
      <c r="AU46" s="99">
        <v>7484.3373128425719</v>
      </c>
      <c r="AV46" s="99">
        <v>9.5685427877229809</v>
      </c>
      <c r="AW46" s="99">
        <v>11597.073858720252</v>
      </c>
      <c r="AX46" s="99">
        <v>8</v>
      </c>
      <c r="AY46" s="99">
        <v>9696</v>
      </c>
      <c r="AZ46" s="99">
        <v>10</v>
      </c>
      <c r="BA46" s="99">
        <v>12120</v>
      </c>
      <c r="BB46" s="99">
        <v>4.4074946889135163</v>
      </c>
      <c r="BC46" s="99">
        <v>5341.8835629631812</v>
      </c>
      <c r="BD46" s="99">
        <v>11</v>
      </c>
      <c r="BE46" s="99">
        <v>13332</v>
      </c>
      <c r="BF46" s="99">
        <v>9.008086692121811</v>
      </c>
      <c r="BG46" s="99">
        <v>10917.801070851636</v>
      </c>
      <c r="BH46" s="99">
        <v>3.2303302616291023</v>
      </c>
      <c r="BI46" s="99">
        <v>3915.1602770944719</v>
      </c>
      <c r="BJ46" s="99">
        <v>9</v>
      </c>
      <c r="BK46" s="99">
        <v>10908</v>
      </c>
      <c r="BL46" s="99">
        <v>10</v>
      </c>
      <c r="BM46" s="99">
        <v>12120</v>
      </c>
      <c r="BN46" s="99">
        <v>14</v>
      </c>
      <c r="BO46" s="99">
        <v>16968</v>
      </c>
      <c r="BP46" s="99">
        <v>10</v>
      </c>
      <c r="BQ46" s="99">
        <v>12120</v>
      </c>
      <c r="BR46" s="99">
        <v>10.244182069829927</v>
      </c>
      <c r="BS46" s="99">
        <v>12415.948668633871</v>
      </c>
      <c r="BT46" s="99">
        <v>11.574991954593271</v>
      </c>
      <c r="BU46" s="99">
        <v>14028.890248967044</v>
      </c>
      <c r="BV46" s="99">
        <v>10.250561621114501</v>
      </c>
      <c r="BW46" s="99">
        <v>12423.680684790776</v>
      </c>
      <c r="BX46" s="99">
        <v>6.5484677414919208</v>
      </c>
      <c r="BY46" s="99">
        <v>7936.7429026882082</v>
      </c>
      <c r="BZ46" s="99">
        <v>7</v>
      </c>
      <c r="CA46" s="99">
        <v>8484</v>
      </c>
      <c r="CB46" s="99">
        <v>7</v>
      </c>
      <c r="CC46" s="99">
        <v>8484</v>
      </c>
      <c r="CD46" s="99">
        <v>12</v>
      </c>
      <c r="CE46" s="99">
        <v>14544</v>
      </c>
      <c r="CF46" s="99">
        <v>5.5642154036249156</v>
      </c>
      <c r="CG46" s="99">
        <v>6743.829069193398</v>
      </c>
      <c r="CH46" s="99">
        <v>0</v>
      </c>
      <c r="CI46" s="99">
        <v>0</v>
      </c>
      <c r="CJ46" s="99">
        <v>8.0857604734885005</v>
      </c>
      <c r="CK46" s="99">
        <v>9799.9416938680624</v>
      </c>
      <c r="CL46" s="99">
        <v>10</v>
      </c>
      <c r="CM46" s="99">
        <v>12120</v>
      </c>
      <c r="CN46" s="99">
        <v>15</v>
      </c>
      <c r="CO46" s="99">
        <v>18180</v>
      </c>
      <c r="CP46" s="99">
        <v>13</v>
      </c>
      <c r="CQ46" s="99">
        <v>15756</v>
      </c>
      <c r="CR46" s="99">
        <v>15</v>
      </c>
      <c r="CS46" s="99">
        <v>18180</v>
      </c>
      <c r="CT46" s="99">
        <v>7</v>
      </c>
      <c r="CU46" s="99">
        <v>8484</v>
      </c>
    </row>
    <row r="47" spans="2:99">
      <c r="C47" s="98" t="s">
        <v>213</v>
      </c>
      <c r="D47" s="99">
        <v>9</v>
      </c>
      <c r="E47" s="99">
        <v>13748.4</v>
      </c>
      <c r="F47" s="99">
        <v>11</v>
      </c>
      <c r="G47" s="99">
        <v>16803.599999999999</v>
      </c>
      <c r="H47" s="99">
        <v>9</v>
      </c>
      <c r="I47" s="99">
        <v>13748.4</v>
      </c>
      <c r="J47" s="99">
        <v>13</v>
      </c>
      <c r="K47" s="99">
        <v>19858.8</v>
      </c>
      <c r="L47" s="99">
        <v>7.8562138612379186</v>
      </c>
      <c r="M47" s="99">
        <v>12001.152294427044</v>
      </c>
      <c r="N47" s="99">
        <v>8</v>
      </c>
      <c r="O47" s="99">
        <v>12220.8</v>
      </c>
      <c r="P47" s="99">
        <v>8</v>
      </c>
      <c r="Q47" s="99">
        <v>12220.8</v>
      </c>
      <c r="R47" s="99">
        <v>8</v>
      </c>
      <c r="S47" s="99">
        <v>12220.8</v>
      </c>
      <c r="T47" s="99">
        <v>8</v>
      </c>
      <c r="U47" s="99">
        <v>12220.8</v>
      </c>
      <c r="V47" s="99">
        <v>14</v>
      </c>
      <c r="W47" s="99">
        <v>21386.399999999998</v>
      </c>
      <c r="X47" s="99">
        <v>9</v>
      </c>
      <c r="Y47" s="99">
        <v>13748.4</v>
      </c>
      <c r="Z47" s="99">
        <v>15</v>
      </c>
      <c r="AA47" s="99">
        <v>22914</v>
      </c>
      <c r="AB47" s="99">
        <v>11</v>
      </c>
      <c r="AC47" s="99">
        <v>16803.599999999999</v>
      </c>
      <c r="AD47" s="99">
        <v>10.635182182177129</v>
      </c>
      <c r="AE47" s="99">
        <v>16246.304301493781</v>
      </c>
      <c r="AF47" s="99">
        <v>10.877874636989999</v>
      </c>
      <c r="AG47" s="99">
        <v>16617.041295465922</v>
      </c>
      <c r="AH47" s="99">
        <v>7.7623300545489604</v>
      </c>
      <c r="AI47" s="99">
        <v>11857.735391328992</v>
      </c>
      <c r="AJ47" s="99">
        <v>12</v>
      </c>
      <c r="AK47" s="99">
        <v>18331.199999999997</v>
      </c>
      <c r="AL47" s="99">
        <v>13</v>
      </c>
      <c r="AM47" s="99">
        <v>19858.8</v>
      </c>
      <c r="AN47" s="99">
        <v>10</v>
      </c>
      <c r="AO47" s="99">
        <v>15276</v>
      </c>
      <c r="AP47" s="99">
        <v>10</v>
      </c>
      <c r="AQ47" s="99">
        <v>15276</v>
      </c>
      <c r="AR47" s="99">
        <v>8.1229804184037349</v>
      </c>
      <c r="AS47" s="99">
        <v>12408.664887153545</v>
      </c>
      <c r="AT47" s="99">
        <v>5.613814366068536</v>
      </c>
      <c r="AU47" s="99">
        <v>8575.6628256062959</v>
      </c>
      <c r="AV47" s="99">
        <v>7.8288077354097112</v>
      </c>
      <c r="AW47" s="99">
        <v>11959.286696611875</v>
      </c>
      <c r="AX47" s="99">
        <v>9</v>
      </c>
      <c r="AY47" s="99">
        <v>13748.4</v>
      </c>
      <c r="AZ47" s="99">
        <v>10</v>
      </c>
      <c r="BA47" s="99">
        <v>15276</v>
      </c>
      <c r="BB47" s="99">
        <v>4.4074946889135163</v>
      </c>
      <c r="BC47" s="99">
        <v>6732.888886784287</v>
      </c>
      <c r="BD47" s="99">
        <v>10</v>
      </c>
      <c r="BE47" s="99">
        <v>15276</v>
      </c>
      <c r="BF47" s="99">
        <v>9.008086692121811</v>
      </c>
      <c r="BG47" s="99">
        <v>13760.753230885277</v>
      </c>
      <c r="BH47" s="99">
        <v>3.2303302616291023</v>
      </c>
      <c r="BI47" s="99">
        <v>4934.6525076646167</v>
      </c>
      <c r="BJ47" s="99">
        <v>9</v>
      </c>
      <c r="BK47" s="99">
        <v>13748.4</v>
      </c>
      <c r="BL47" s="99">
        <v>10</v>
      </c>
      <c r="BM47" s="99">
        <v>15276</v>
      </c>
      <c r="BN47" s="99">
        <v>13</v>
      </c>
      <c r="BO47" s="99">
        <v>19858.8</v>
      </c>
      <c r="BP47" s="99">
        <v>8</v>
      </c>
      <c r="BQ47" s="99">
        <v>12220.8</v>
      </c>
      <c r="BR47" s="99">
        <v>10.244182069829927</v>
      </c>
      <c r="BS47" s="99">
        <v>15649.012529872196</v>
      </c>
      <c r="BT47" s="99">
        <v>11.574991954593271</v>
      </c>
      <c r="BU47" s="99">
        <v>17681.957709836679</v>
      </c>
      <c r="BV47" s="99">
        <v>10.982744594051253</v>
      </c>
      <c r="BW47" s="99">
        <v>16777.240641872693</v>
      </c>
      <c r="BX47" s="99">
        <v>6.5484677414919208</v>
      </c>
      <c r="BY47" s="99">
        <v>10003.439321903057</v>
      </c>
      <c r="BZ47" s="99">
        <v>8</v>
      </c>
      <c r="CA47" s="99">
        <v>12220.8</v>
      </c>
      <c r="CB47" s="99">
        <v>8</v>
      </c>
      <c r="CC47" s="99">
        <v>12220.8</v>
      </c>
      <c r="CD47" s="99">
        <v>12</v>
      </c>
      <c r="CE47" s="99">
        <v>18331.199999999997</v>
      </c>
      <c r="CF47" s="99">
        <v>6.3591033184284749</v>
      </c>
      <c r="CG47" s="99">
        <v>9714.1662292313376</v>
      </c>
      <c r="CH47" s="99">
        <v>0</v>
      </c>
      <c r="CI47" s="99">
        <v>0</v>
      </c>
      <c r="CJ47" s="99">
        <v>6.4686083787908002</v>
      </c>
      <c r="CK47" s="99">
        <v>9881.4461594408258</v>
      </c>
      <c r="CL47" s="99">
        <v>9</v>
      </c>
      <c r="CM47" s="99">
        <v>13748.4</v>
      </c>
      <c r="CN47" s="99">
        <v>14</v>
      </c>
      <c r="CO47" s="99">
        <v>21386.399999999998</v>
      </c>
      <c r="CP47" s="99">
        <v>11</v>
      </c>
      <c r="CQ47" s="99">
        <v>16803.599999999999</v>
      </c>
      <c r="CR47" s="99">
        <v>13</v>
      </c>
      <c r="CS47" s="99">
        <v>19858.8</v>
      </c>
      <c r="CT47" s="99">
        <v>8</v>
      </c>
      <c r="CU47" s="99">
        <v>12220.8</v>
      </c>
    </row>
    <row r="48" spans="2:99">
      <c r="C48" s="98" t="s">
        <v>214</v>
      </c>
      <c r="D48" s="99">
        <v>9</v>
      </c>
      <c r="E48" s="99">
        <v>7808.4000000000005</v>
      </c>
      <c r="F48" s="99">
        <v>14</v>
      </c>
      <c r="G48" s="99">
        <v>12146.4</v>
      </c>
      <c r="H48" s="99">
        <v>9</v>
      </c>
      <c r="I48" s="99">
        <v>7808.4000000000005</v>
      </c>
      <c r="J48" s="99">
        <v>14</v>
      </c>
      <c r="K48" s="99">
        <v>12146.4</v>
      </c>
      <c r="L48" s="99">
        <v>9.0648621475822146</v>
      </c>
      <c r="M48" s="99">
        <v>7864.6743992423299</v>
      </c>
      <c r="N48" s="99">
        <v>8</v>
      </c>
      <c r="O48" s="99">
        <v>6940.8</v>
      </c>
      <c r="P48" s="99">
        <v>9</v>
      </c>
      <c r="Q48" s="99">
        <v>7808.4000000000005</v>
      </c>
      <c r="R48" s="99">
        <v>9</v>
      </c>
      <c r="S48" s="99">
        <v>7808.4000000000005</v>
      </c>
      <c r="T48" s="99">
        <v>8</v>
      </c>
      <c r="U48" s="99">
        <v>6940.8</v>
      </c>
      <c r="V48" s="99">
        <v>12</v>
      </c>
      <c r="W48" s="99">
        <v>10411.200000000001</v>
      </c>
      <c r="X48" s="99">
        <v>9</v>
      </c>
      <c r="Y48" s="99">
        <v>7808.4000000000005</v>
      </c>
      <c r="Z48" s="99">
        <v>15</v>
      </c>
      <c r="AA48" s="99">
        <v>13014</v>
      </c>
      <c r="AB48" s="99">
        <v>12</v>
      </c>
      <c r="AC48" s="99">
        <v>10411.200000000001</v>
      </c>
      <c r="AD48" s="99">
        <v>10.635182182177129</v>
      </c>
      <c r="AE48" s="99">
        <v>9227.0840612568772</v>
      </c>
      <c r="AF48" s="99">
        <v>10.100883591490712</v>
      </c>
      <c r="AG48" s="99">
        <v>8763.5266039773414</v>
      </c>
      <c r="AH48" s="99">
        <v>7.7623300545489604</v>
      </c>
      <c r="AI48" s="99">
        <v>6734.597555326678</v>
      </c>
      <c r="AJ48" s="99">
        <v>12</v>
      </c>
      <c r="AK48" s="99">
        <v>10411.200000000001</v>
      </c>
      <c r="AL48" s="99">
        <v>15</v>
      </c>
      <c r="AM48" s="99">
        <v>13014</v>
      </c>
      <c r="AN48" s="99">
        <v>9</v>
      </c>
      <c r="AO48" s="99">
        <v>7808.4000000000005</v>
      </c>
      <c r="AP48" s="99">
        <v>11</v>
      </c>
      <c r="AQ48" s="99">
        <v>9543.6</v>
      </c>
      <c r="AR48" s="99">
        <v>8.1229804184037349</v>
      </c>
      <c r="AS48" s="99">
        <v>7047.4978110070806</v>
      </c>
      <c r="AT48" s="99">
        <v>5.613814366068536</v>
      </c>
      <c r="AU48" s="99">
        <v>4870.5453440010624</v>
      </c>
      <c r="AV48" s="99">
        <v>9.5685427877229809</v>
      </c>
      <c r="AW48" s="99">
        <v>8301.6677226284592</v>
      </c>
      <c r="AX48" s="99">
        <v>9</v>
      </c>
      <c r="AY48" s="99">
        <v>7808.4000000000005</v>
      </c>
      <c r="AZ48" s="99">
        <v>9</v>
      </c>
      <c r="BA48" s="99">
        <v>7808.4000000000005</v>
      </c>
      <c r="BB48" s="99">
        <v>4.9584315250277058</v>
      </c>
      <c r="BC48" s="99">
        <v>4301.9351911140375</v>
      </c>
      <c r="BD48" s="99">
        <v>10</v>
      </c>
      <c r="BE48" s="99">
        <v>8676</v>
      </c>
      <c r="BF48" s="99">
        <v>8.257412801111661</v>
      </c>
      <c r="BG48" s="99">
        <v>7164.1313462444768</v>
      </c>
      <c r="BH48" s="99">
        <v>3.2303302616291023</v>
      </c>
      <c r="BI48" s="99">
        <v>2802.6345349894091</v>
      </c>
      <c r="BJ48" s="99">
        <v>9</v>
      </c>
      <c r="BK48" s="99">
        <v>7808.4000000000005</v>
      </c>
      <c r="BL48" s="99">
        <v>11</v>
      </c>
      <c r="BM48" s="99">
        <v>9543.6</v>
      </c>
      <c r="BN48" s="99">
        <v>13</v>
      </c>
      <c r="BO48" s="99">
        <v>11278.800000000001</v>
      </c>
      <c r="BP48" s="99">
        <v>10</v>
      </c>
      <c r="BQ48" s="99">
        <v>8676</v>
      </c>
      <c r="BR48" s="99">
        <v>11.175471348905377</v>
      </c>
      <c r="BS48" s="99">
        <v>9695.8389423103054</v>
      </c>
      <c r="BT48" s="99">
        <v>11.574991954593271</v>
      </c>
      <c r="BU48" s="99">
        <v>10042.463019805122</v>
      </c>
      <c r="BV48" s="99">
        <v>10.250561621114501</v>
      </c>
      <c r="BW48" s="99">
        <v>8893.3872624789419</v>
      </c>
      <c r="BX48" s="99">
        <v>7.3670262091784107</v>
      </c>
      <c r="BY48" s="99">
        <v>6391.6319390831895</v>
      </c>
      <c r="BZ48" s="99">
        <v>8</v>
      </c>
      <c r="CA48" s="99">
        <v>6940.8</v>
      </c>
      <c r="CB48" s="99">
        <v>8</v>
      </c>
      <c r="CC48" s="99">
        <v>6940.8</v>
      </c>
      <c r="CD48" s="99">
        <v>14</v>
      </c>
      <c r="CE48" s="99">
        <v>12146.4</v>
      </c>
      <c r="CF48" s="99">
        <v>7.1539912332320341</v>
      </c>
      <c r="CG48" s="99">
        <v>6206.8027939521126</v>
      </c>
      <c r="CH48" s="99">
        <v>0</v>
      </c>
      <c r="CI48" s="99">
        <v>0</v>
      </c>
      <c r="CJ48" s="99">
        <v>7.2771844261396508</v>
      </c>
      <c r="CK48" s="99">
        <v>6313.6852081187608</v>
      </c>
      <c r="CL48" s="99">
        <v>10</v>
      </c>
      <c r="CM48" s="99">
        <v>8676</v>
      </c>
      <c r="CN48" s="99">
        <v>16</v>
      </c>
      <c r="CO48" s="99">
        <v>13881.6</v>
      </c>
      <c r="CP48" s="99">
        <v>12</v>
      </c>
      <c r="CQ48" s="99">
        <v>10411.200000000001</v>
      </c>
      <c r="CR48" s="99">
        <v>13</v>
      </c>
      <c r="CS48" s="99">
        <v>11278.800000000001</v>
      </c>
      <c r="CT48" s="99">
        <v>7</v>
      </c>
      <c r="CU48" s="99">
        <v>6073.2</v>
      </c>
    </row>
    <row r="49" spans="2:99">
      <c r="B49" s="98" t="s">
        <v>129</v>
      </c>
      <c r="C49" s="98" t="s">
        <v>215</v>
      </c>
      <c r="D49" s="99">
        <v>5</v>
      </c>
      <c r="E49" s="99">
        <v>4926</v>
      </c>
      <c r="F49" s="99">
        <v>9</v>
      </c>
      <c r="G49" s="99">
        <v>8866.7999999999993</v>
      </c>
      <c r="H49" s="99">
        <v>9</v>
      </c>
      <c r="I49" s="99">
        <v>8866.7999999999993</v>
      </c>
      <c r="J49" s="99">
        <v>9</v>
      </c>
      <c r="K49" s="99">
        <v>8866.7999999999993</v>
      </c>
      <c r="L49" s="99">
        <v>7</v>
      </c>
      <c r="M49" s="99">
        <v>6896.4</v>
      </c>
      <c r="N49" s="99">
        <v>7</v>
      </c>
      <c r="O49" s="99">
        <v>6896.4</v>
      </c>
      <c r="P49" s="99">
        <v>9</v>
      </c>
      <c r="Q49" s="99">
        <v>8866.7999999999993</v>
      </c>
      <c r="R49" s="99">
        <v>8</v>
      </c>
      <c r="S49" s="99">
        <v>7881.5999999999995</v>
      </c>
      <c r="T49" s="99">
        <v>12</v>
      </c>
      <c r="U49" s="99">
        <v>11822.4</v>
      </c>
      <c r="V49" s="99">
        <v>3.6113470740813476</v>
      </c>
      <c r="W49" s="99">
        <v>3557.8991373849435</v>
      </c>
      <c r="X49" s="99">
        <v>6</v>
      </c>
      <c r="Y49" s="99">
        <v>5911.2</v>
      </c>
      <c r="Z49" s="99">
        <v>10</v>
      </c>
      <c r="AA49" s="99">
        <v>9852</v>
      </c>
      <c r="AB49" s="99">
        <v>7.0680223864749472</v>
      </c>
      <c r="AC49" s="99">
        <v>6963.4156551551177</v>
      </c>
      <c r="AD49" s="99">
        <v>7</v>
      </c>
      <c r="AE49" s="99">
        <v>6896.4</v>
      </c>
      <c r="AF49" s="99">
        <v>7</v>
      </c>
      <c r="AG49" s="99">
        <v>6896.4</v>
      </c>
      <c r="AH49" s="99">
        <v>5.7502690012382871</v>
      </c>
      <c r="AI49" s="99">
        <v>5665.1650200199601</v>
      </c>
      <c r="AJ49" s="99">
        <v>7</v>
      </c>
      <c r="AK49" s="99">
        <v>6896.4</v>
      </c>
      <c r="AL49" s="99">
        <v>9</v>
      </c>
      <c r="AM49" s="99">
        <v>8866.7999999999993</v>
      </c>
      <c r="AN49" s="99">
        <v>3.7792138715436754</v>
      </c>
      <c r="AO49" s="99">
        <v>3723.2815062448285</v>
      </c>
      <c r="AP49" s="99">
        <v>6</v>
      </c>
      <c r="AQ49" s="99">
        <v>5911.2</v>
      </c>
      <c r="AR49" s="99">
        <v>8.4379030616042439</v>
      </c>
      <c r="AS49" s="99">
        <v>8313.0220962925014</v>
      </c>
      <c r="AT49" s="99">
        <v>6</v>
      </c>
      <c r="AU49" s="99">
        <v>5911.2</v>
      </c>
      <c r="AV49" s="99">
        <v>9.3418459230332935</v>
      </c>
      <c r="AW49" s="99">
        <v>9203.5866033723996</v>
      </c>
      <c r="AX49" s="99">
        <v>7</v>
      </c>
      <c r="AY49" s="99">
        <v>6896.4</v>
      </c>
      <c r="AZ49" s="99">
        <v>6</v>
      </c>
      <c r="BA49" s="99">
        <v>5911.2</v>
      </c>
      <c r="BB49" s="99">
        <v>8</v>
      </c>
      <c r="BC49" s="99">
        <v>7881.5999999999995</v>
      </c>
      <c r="BD49" s="99">
        <v>3.6013298297515863</v>
      </c>
      <c r="BE49" s="99">
        <v>3548.0301482712625</v>
      </c>
      <c r="BF49" s="99">
        <v>0</v>
      </c>
      <c r="BG49" s="99">
        <v>0</v>
      </c>
      <c r="BH49" s="99">
        <v>9</v>
      </c>
      <c r="BI49" s="99">
        <v>8866.7999999999993</v>
      </c>
      <c r="BJ49" s="99">
        <v>6</v>
      </c>
      <c r="BK49" s="99">
        <v>5911.2</v>
      </c>
      <c r="BL49" s="99">
        <v>8</v>
      </c>
      <c r="BM49" s="99">
        <v>7881.5999999999995</v>
      </c>
      <c r="BN49" s="99">
        <v>10</v>
      </c>
      <c r="BO49" s="99">
        <v>9852</v>
      </c>
      <c r="BP49" s="99">
        <v>9</v>
      </c>
      <c r="BQ49" s="99">
        <v>8866.7999999999993</v>
      </c>
      <c r="BR49" s="99">
        <v>10</v>
      </c>
      <c r="BS49" s="99">
        <v>9852</v>
      </c>
      <c r="BT49" s="99">
        <v>11</v>
      </c>
      <c r="BU49" s="99">
        <v>10837.199999999999</v>
      </c>
      <c r="BV49" s="99">
        <v>10</v>
      </c>
      <c r="BW49" s="99">
        <v>9852</v>
      </c>
      <c r="BX49" s="99">
        <v>9.0622726640474145</v>
      </c>
      <c r="BY49" s="99">
        <v>8928.1510286195116</v>
      </c>
      <c r="BZ49" s="99">
        <v>4.7415251250768424</v>
      </c>
      <c r="CA49" s="99">
        <v>4671.350553225705</v>
      </c>
      <c r="CB49" s="99">
        <v>7.5718915874658093</v>
      </c>
      <c r="CC49" s="99">
        <v>7459.8275919713151</v>
      </c>
      <c r="CD49" s="99">
        <v>0</v>
      </c>
      <c r="CE49" s="99">
        <v>0</v>
      </c>
      <c r="CF49" s="99">
        <v>10</v>
      </c>
      <c r="CG49" s="99">
        <v>9852</v>
      </c>
      <c r="CH49" s="99">
        <v>8</v>
      </c>
      <c r="CI49" s="99">
        <v>7881.5999999999995</v>
      </c>
      <c r="CJ49" s="99">
        <v>8</v>
      </c>
      <c r="CK49" s="99">
        <v>7881.5999999999995</v>
      </c>
      <c r="CL49" s="99">
        <v>11</v>
      </c>
      <c r="CM49" s="99">
        <v>10837.199999999999</v>
      </c>
      <c r="CN49" s="99">
        <v>9</v>
      </c>
      <c r="CO49" s="99">
        <v>8866.7999999999993</v>
      </c>
      <c r="CP49" s="99">
        <v>7</v>
      </c>
      <c r="CQ49" s="99">
        <v>6896.4</v>
      </c>
      <c r="CR49" s="99">
        <v>10</v>
      </c>
      <c r="CS49" s="99">
        <v>9852</v>
      </c>
      <c r="CT49" s="99">
        <v>7</v>
      </c>
      <c r="CU49" s="99">
        <v>6896.4</v>
      </c>
    </row>
    <row r="50" spans="2:99">
      <c r="C50" s="98" t="s">
        <v>216</v>
      </c>
      <c r="D50" s="99">
        <v>6</v>
      </c>
      <c r="E50" s="99">
        <v>1692</v>
      </c>
      <c r="F50" s="99">
        <v>9</v>
      </c>
      <c r="G50" s="99">
        <v>2538</v>
      </c>
      <c r="H50" s="99">
        <v>10</v>
      </c>
      <c r="I50" s="99">
        <v>2820</v>
      </c>
      <c r="J50" s="99">
        <v>9</v>
      </c>
      <c r="K50" s="99">
        <v>2538</v>
      </c>
      <c r="L50" s="99">
        <v>3.6259448590328858</v>
      </c>
      <c r="M50" s="99">
        <v>1022.5164502472738</v>
      </c>
      <c r="N50" s="99">
        <v>9</v>
      </c>
      <c r="O50" s="99">
        <v>2538</v>
      </c>
      <c r="P50" s="99">
        <v>10</v>
      </c>
      <c r="Q50" s="99">
        <v>2820</v>
      </c>
      <c r="R50" s="99">
        <v>9</v>
      </c>
      <c r="S50" s="99">
        <v>2538</v>
      </c>
      <c r="T50" s="99">
        <v>11</v>
      </c>
      <c r="U50" s="99">
        <v>3102</v>
      </c>
      <c r="V50" s="99">
        <v>8</v>
      </c>
      <c r="W50" s="99">
        <v>2256</v>
      </c>
      <c r="X50" s="99">
        <v>6</v>
      </c>
      <c r="Y50" s="99">
        <v>1692</v>
      </c>
      <c r="Z50" s="99">
        <v>10</v>
      </c>
      <c r="AA50" s="99">
        <v>2820</v>
      </c>
      <c r="AB50" s="99">
        <v>8</v>
      </c>
      <c r="AC50" s="99">
        <v>2256</v>
      </c>
      <c r="AD50" s="99">
        <v>7.090121454784752</v>
      </c>
      <c r="AE50" s="99">
        <v>1999.4142502493</v>
      </c>
      <c r="AF50" s="99">
        <v>6.2159283639942844</v>
      </c>
      <c r="AG50" s="99">
        <v>1752.8917986463882</v>
      </c>
      <c r="AH50" s="99">
        <v>9.7029125681862016</v>
      </c>
      <c r="AI50" s="99">
        <v>2736.2213442285088</v>
      </c>
      <c r="AJ50" s="99">
        <v>8</v>
      </c>
      <c r="AK50" s="99">
        <v>2256</v>
      </c>
      <c r="AL50" s="99">
        <v>8</v>
      </c>
      <c r="AM50" s="99">
        <v>2256</v>
      </c>
      <c r="AN50" s="99">
        <v>10</v>
      </c>
      <c r="AO50" s="99">
        <v>2820</v>
      </c>
      <c r="AP50" s="99">
        <v>7</v>
      </c>
      <c r="AQ50" s="99">
        <v>1974</v>
      </c>
      <c r="AR50" s="99">
        <v>9.0255337982263715</v>
      </c>
      <c r="AS50" s="99">
        <v>2545.2005310998366</v>
      </c>
      <c r="AT50" s="99">
        <v>3.3682886196411213</v>
      </c>
      <c r="AU50" s="99">
        <v>949.8573907387962</v>
      </c>
      <c r="AV50" s="99">
        <v>10.438410313879615</v>
      </c>
      <c r="AW50" s="99">
        <v>2943.6317085140513</v>
      </c>
      <c r="AX50" s="99">
        <v>6</v>
      </c>
      <c r="AY50" s="99">
        <v>1692</v>
      </c>
      <c r="AZ50" s="99">
        <v>6</v>
      </c>
      <c r="BA50" s="99">
        <v>1692</v>
      </c>
      <c r="BB50" s="99">
        <v>4.4074946889135163</v>
      </c>
      <c r="BC50" s="99">
        <v>1242.9135022736116</v>
      </c>
      <c r="BD50" s="99">
        <v>7</v>
      </c>
      <c r="BE50" s="99">
        <v>1974</v>
      </c>
      <c r="BF50" s="99">
        <v>6.7560650190913583</v>
      </c>
      <c r="BG50" s="99">
        <v>1905.2103353837631</v>
      </c>
      <c r="BH50" s="99">
        <v>2.9072972354661921</v>
      </c>
      <c r="BI50" s="99">
        <v>819.85782040146614</v>
      </c>
      <c r="BJ50" s="99">
        <v>6</v>
      </c>
      <c r="BK50" s="99">
        <v>1692</v>
      </c>
      <c r="BL50" s="99">
        <v>8</v>
      </c>
      <c r="BM50" s="99">
        <v>2256</v>
      </c>
      <c r="BN50" s="99">
        <v>11</v>
      </c>
      <c r="BO50" s="99">
        <v>3102</v>
      </c>
      <c r="BP50" s="99">
        <v>11</v>
      </c>
      <c r="BQ50" s="99">
        <v>3102</v>
      </c>
      <c r="BR50" s="99">
        <v>10.244182069829927</v>
      </c>
      <c r="BS50" s="99">
        <v>2888.8593436920396</v>
      </c>
      <c r="BT50" s="99">
        <v>10.610409291710498</v>
      </c>
      <c r="BU50" s="99">
        <v>2992.1354202623606</v>
      </c>
      <c r="BV50" s="99">
        <v>7.3218297293675008</v>
      </c>
      <c r="BW50" s="99">
        <v>2064.7559836816354</v>
      </c>
      <c r="BX50" s="99">
        <v>9.0041431445513922</v>
      </c>
      <c r="BY50" s="99">
        <v>2539.1683667634925</v>
      </c>
      <c r="BZ50" s="99">
        <v>6</v>
      </c>
      <c r="CA50" s="99">
        <v>1692</v>
      </c>
      <c r="CB50" s="99">
        <v>10</v>
      </c>
      <c r="CC50" s="99">
        <v>2820</v>
      </c>
      <c r="CD50" s="99">
        <v>7</v>
      </c>
      <c r="CE50" s="99">
        <v>1974</v>
      </c>
      <c r="CF50" s="99">
        <v>9.5386549776427128</v>
      </c>
      <c r="CG50" s="99">
        <v>2689.9007036952448</v>
      </c>
      <c r="CH50" s="99">
        <v>0</v>
      </c>
      <c r="CI50" s="99">
        <v>0</v>
      </c>
      <c r="CJ50" s="99">
        <v>7.2771844261396508</v>
      </c>
      <c r="CK50" s="99">
        <v>2052.1660081713817</v>
      </c>
      <c r="CL50" s="99">
        <v>10</v>
      </c>
      <c r="CM50" s="99">
        <v>2820</v>
      </c>
      <c r="CN50" s="99">
        <v>9</v>
      </c>
      <c r="CO50" s="99">
        <v>2538</v>
      </c>
      <c r="CP50" s="99">
        <v>7</v>
      </c>
      <c r="CQ50" s="99">
        <v>1974</v>
      </c>
      <c r="CR50" s="99">
        <v>12</v>
      </c>
      <c r="CS50" s="99">
        <v>3384</v>
      </c>
      <c r="CT50" s="99">
        <v>6</v>
      </c>
      <c r="CU50" s="99">
        <v>1692</v>
      </c>
    </row>
    <row r="51" spans="2:99">
      <c r="C51" s="98" t="s">
        <v>217</v>
      </c>
      <c r="D51" s="99">
        <v>6</v>
      </c>
      <c r="E51" s="99">
        <v>5126.3999999999996</v>
      </c>
      <c r="F51" s="99">
        <v>8</v>
      </c>
      <c r="G51" s="99">
        <v>6835.2</v>
      </c>
      <c r="H51" s="99">
        <v>10</v>
      </c>
      <c r="I51" s="99">
        <v>8544</v>
      </c>
      <c r="J51" s="99">
        <v>9</v>
      </c>
      <c r="K51" s="99">
        <v>7689.5999999999995</v>
      </c>
      <c r="L51" s="99">
        <v>3.6259448590328858</v>
      </c>
      <c r="M51" s="99">
        <v>3098.0072875576975</v>
      </c>
      <c r="N51" s="99">
        <v>8</v>
      </c>
      <c r="O51" s="99">
        <v>6835.2</v>
      </c>
      <c r="P51" s="99">
        <v>9</v>
      </c>
      <c r="Q51" s="99">
        <v>7689.5999999999995</v>
      </c>
      <c r="R51" s="99">
        <v>7</v>
      </c>
      <c r="S51" s="99">
        <v>5980.8</v>
      </c>
      <c r="T51" s="99">
        <v>12</v>
      </c>
      <c r="U51" s="99">
        <v>10252.799999999999</v>
      </c>
      <c r="V51" s="99">
        <v>7</v>
      </c>
      <c r="W51" s="99">
        <v>5980.8</v>
      </c>
      <c r="X51" s="99">
        <v>6</v>
      </c>
      <c r="Y51" s="99">
        <v>5126.3999999999996</v>
      </c>
      <c r="Z51" s="99">
        <v>10</v>
      </c>
      <c r="AA51" s="99">
        <v>8544</v>
      </c>
      <c r="AB51" s="99">
        <v>8</v>
      </c>
      <c r="AC51" s="99">
        <v>6835.2</v>
      </c>
      <c r="AD51" s="99">
        <v>7.090121454784752</v>
      </c>
      <c r="AE51" s="99">
        <v>6057.7997709680922</v>
      </c>
      <c r="AF51" s="99">
        <v>6.2159283639942844</v>
      </c>
      <c r="AG51" s="99">
        <v>5310.8891941967167</v>
      </c>
      <c r="AH51" s="99">
        <v>8.7326213113675806</v>
      </c>
      <c r="AI51" s="99">
        <v>7461.1516484324602</v>
      </c>
      <c r="AJ51" s="99">
        <v>6</v>
      </c>
      <c r="AK51" s="99">
        <v>5126.3999999999996</v>
      </c>
      <c r="AL51" s="99">
        <v>8</v>
      </c>
      <c r="AM51" s="99">
        <v>6835.2</v>
      </c>
      <c r="AN51" s="99">
        <v>10</v>
      </c>
      <c r="AO51" s="99">
        <v>8544</v>
      </c>
      <c r="AP51" s="99">
        <v>7</v>
      </c>
      <c r="AQ51" s="99">
        <v>5980.8</v>
      </c>
      <c r="AR51" s="99">
        <v>9.0255337982263715</v>
      </c>
      <c r="AS51" s="99">
        <v>7711.4160772046116</v>
      </c>
      <c r="AT51" s="99">
        <v>3.3682886196411213</v>
      </c>
      <c r="AU51" s="99">
        <v>2877.8657966213741</v>
      </c>
      <c r="AV51" s="99">
        <v>9.5685427877229809</v>
      </c>
      <c r="AW51" s="99">
        <v>8175.3629578305145</v>
      </c>
      <c r="AX51" s="99">
        <v>7</v>
      </c>
      <c r="AY51" s="99">
        <v>5980.8</v>
      </c>
      <c r="AZ51" s="99">
        <v>6</v>
      </c>
      <c r="BA51" s="99">
        <v>5126.3999999999996</v>
      </c>
      <c r="BB51" s="99">
        <v>4.4074946889135163</v>
      </c>
      <c r="BC51" s="99">
        <v>3765.763462207708</v>
      </c>
      <c r="BD51" s="99">
        <v>6</v>
      </c>
      <c r="BE51" s="99">
        <v>5126.3999999999996</v>
      </c>
      <c r="BF51" s="99">
        <v>6.0053911280812073</v>
      </c>
      <c r="BG51" s="99">
        <v>5131.0061798325833</v>
      </c>
      <c r="BH51" s="99">
        <v>2.9072972354661921</v>
      </c>
      <c r="BI51" s="99">
        <v>2483.9947579823147</v>
      </c>
      <c r="BJ51" s="99">
        <v>6</v>
      </c>
      <c r="BK51" s="99">
        <v>5126.3999999999996</v>
      </c>
      <c r="BL51" s="99">
        <v>7</v>
      </c>
      <c r="BM51" s="99">
        <v>5980.8</v>
      </c>
      <c r="BN51" s="99">
        <v>11</v>
      </c>
      <c r="BO51" s="99">
        <v>9398.4</v>
      </c>
      <c r="BP51" s="99">
        <v>10</v>
      </c>
      <c r="BQ51" s="99">
        <v>8544</v>
      </c>
      <c r="BR51" s="99">
        <v>10.244182069829927</v>
      </c>
      <c r="BS51" s="99">
        <v>8752.6291604626895</v>
      </c>
      <c r="BT51" s="99">
        <v>9.6458266288277255</v>
      </c>
      <c r="BU51" s="99">
        <v>8241.3942716704078</v>
      </c>
      <c r="BV51" s="99">
        <v>7.3218297293675008</v>
      </c>
      <c r="BW51" s="99">
        <v>6255.7713207715924</v>
      </c>
      <c r="BX51" s="99">
        <v>8.1855846768649005</v>
      </c>
      <c r="BY51" s="99">
        <v>6993.7635479133705</v>
      </c>
      <c r="BZ51" s="99">
        <v>7</v>
      </c>
      <c r="CA51" s="99">
        <v>5980.8</v>
      </c>
      <c r="CB51" s="99">
        <v>10</v>
      </c>
      <c r="CC51" s="99">
        <v>8544</v>
      </c>
      <c r="CD51" s="99">
        <v>7</v>
      </c>
      <c r="CE51" s="99">
        <v>5980.8</v>
      </c>
      <c r="CF51" s="99">
        <v>7.9488791480355943</v>
      </c>
      <c r="CG51" s="99">
        <v>6791.5223440816117</v>
      </c>
      <c r="CH51" s="99">
        <v>0</v>
      </c>
      <c r="CI51" s="99">
        <v>0</v>
      </c>
      <c r="CJ51" s="99">
        <v>6.4686083787908002</v>
      </c>
      <c r="CK51" s="99">
        <v>5526.7789988388595</v>
      </c>
      <c r="CL51" s="99">
        <v>10</v>
      </c>
      <c r="CM51" s="99">
        <v>8544</v>
      </c>
      <c r="CN51" s="99">
        <v>9</v>
      </c>
      <c r="CO51" s="99">
        <v>7689.5999999999995</v>
      </c>
      <c r="CP51" s="99">
        <v>6</v>
      </c>
      <c r="CQ51" s="99">
        <v>5126.3999999999996</v>
      </c>
      <c r="CR51" s="99">
        <v>9</v>
      </c>
      <c r="CS51" s="99">
        <v>7689.5999999999995</v>
      </c>
      <c r="CT51" s="99">
        <v>7</v>
      </c>
      <c r="CU51" s="99">
        <v>5980.8</v>
      </c>
    </row>
    <row r="52" spans="2:99">
      <c r="C52" s="98" t="s">
        <v>218</v>
      </c>
      <c r="D52" s="99">
        <v>6</v>
      </c>
      <c r="E52" s="99">
        <v>3240</v>
      </c>
      <c r="F52" s="99">
        <v>9</v>
      </c>
      <c r="G52" s="99">
        <v>4860</v>
      </c>
      <c r="H52" s="99">
        <v>11</v>
      </c>
      <c r="I52" s="99">
        <v>5940</v>
      </c>
      <c r="J52" s="99">
        <v>9</v>
      </c>
      <c r="K52" s="99">
        <v>4860</v>
      </c>
      <c r="L52" s="99">
        <v>3.6259448590328858</v>
      </c>
      <c r="M52" s="99">
        <v>1958.0102238777583</v>
      </c>
      <c r="N52" s="99">
        <v>8</v>
      </c>
      <c r="O52" s="99">
        <v>4320</v>
      </c>
      <c r="P52" s="99">
        <v>9</v>
      </c>
      <c r="Q52" s="99">
        <v>4860</v>
      </c>
      <c r="R52" s="99">
        <v>9</v>
      </c>
      <c r="S52" s="99">
        <v>4860</v>
      </c>
      <c r="T52" s="99">
        <v>10</v>
      </c>
      <c r="U52" s="99">
        <v>5400</v>
      </c>
      <c r="V52" s="99">
        <v>8</v>
      </c>
      <c r="W52" s="99">
        <v>4320</v>
      </c>
      <c r="X52" s="99">
        <v>6</v>
      </c>
      <c r="Y52" s="99">
        <v>3240</v>
      </c>
      <c r="Z52" s="99">
        <v>11</v>
      </c>
      <c r="AA52" s="99">
        <v>5940</v>
      </c>
      <c r="AB52" s="99">
        <v>9</v>
      </c>
      <c r="AC52" s="99">
        <v>4860</v>
      </c>
      <c r="AD52" s="99">
        <v>7.9763866366328466</v>
      </c>
      <c r="AE52" s="99">
        <v>4307.2487837817371</v>
      </c>
      <c r="AF52" s="99">
        <v>6.2159283639942844</v>
      </c>
      <c r="AG52" s="99">
        <v>3356.6013165569134</v>
      </c>
      <c r="AH52" s="99">
        <v>9.7029125681862016</v>
      </c>
      <c r="AI52" s="99">
        <v>5239.5727868205486</v>
      </c>
      <c r="AJ52" s="99">
        <v>7</v>
      </c>
      <c r="AK52" s="99">
        <v>3780</v>
      </c>
      <c r="AL52" s="99">
        <v>9</v>
      </c>
      <c r="AM52" s="99">
        <v>4860</v>
      </c>
      <c r="AN52" s="99">
        <v>9</v>
      </c>
      <c r="AO52" s="99">
        <v>4860</v>
      </c>
      <c r="AP52" s="99">
        <v>6</v>
      </c>
      <c r="AQ52" s="99">
        <v>3240</v>
      </c>
      <c r="AR52" s="99">
        <v>9.0255337982263715</v>
      </c>
      <c r="AS52" s="99">
        <v>4873.7882510422405</v>
      </c>
      <c r="AT52" s="99">
        <v>3.9296700562479749</v>
      </c>
      <c r="AU52" s="99">
        <v>2122.0218303739066</v>
      </c>
      <c r="AV52" s="99">
        <v>8.6986752615663452</v>
      </c>
      <c r="AW52" s="99">
        <v>4697.2846412458266</v>
      </c>
      <c r="AX52" s="99">
        <v>7</v>
      </c>
      <c r="AY52" s="99">
        <v>3780</v>
      </c>
      <c r="AZ52" s="99">
        <v>6</v>
      </c>
      <c r="BA52" s="99">
        <v>3240</v>
      </c>
      <c r="BB52" s="99">
        <v>3.8565578527993267</v>
      </c>
      <c r="BC52" s="99">
        <v>2082.5412405116363</v>
      </c>
      <c r="BD52" s="99">
        <v>7</v>
      </c>
      <c r="BE52" s="99">
        <v>3780</v>
      </c>
      <c r="BF52" s="99">
        <v>6.0053911280812073</v>
      </c>
      <c r="BG52" s="99">
        <v>3242.9112091638522</v>
      </c>
      <c r="BH52" s="99">
        <v>2.5842642093032819</v>
      </c>
      <c r="BI52" s="99">
        <v>1395.5026730237723</v>
      </c>
      <c r="BJ52" s="99">
        <v>5</v>
      </c>
      <c r="BK52" s="99">
        <v>2700</v>
      </c>
      <c r="BL52" s="99">
        <v>9</v>
      </c>
      <c r="BM52" s="99">
        <v>4860</v>
      </c>
      <c r="BN52" s="99">
        <v>11</v>
      </c>
      <c r="BO52" s="99">
        <v>5940</v>
      </c>
      <c r="BP52" s="99">
        <v>10</v>
      </c>
      <c r="BQ52" s="99">
        <v>5400</v>
      </c>
      <c r="BR52" s="99">
        <v>9.3128927907544803</v>
      </c>
      <c r="BS52" s="99">
        <v>5028.962107007419</v>
      </c>
      <c r="BT52" s="99">
        <v>10.610409291710498</v>
      </c>
      <c r="BU52" s="99">
        <v>5729.6210175236693</v>
      </c>
      <c r="BV52" s="99">
        <v>6.589646756430751</v>
      </c>
      <c r="BW52" s="99">
        <v>3558.4092484726057</v>
      </c>
      <c r="BX52" s="99">
        <v>8.1855846768649005</v>
      </c>
      <c r="BY52" s="99">
        <v>4420.215725507046</v>
      </c>
      <c r="BZ52" s="99">
        <v>6</v>
      </c>
      <c r="CA52" s="99">
        <v>3240</v>
      </c>
      <c r="CB52" s="99">
        <v>11</v>
      </c>
      <c r="CC52" s="99">
        <v>5940</v>
      </c>
      <c r="CD52" s="99">
        <v>7</v>
      </c>
      <c r="CE52" s="99">
        <v>3780</v>
      </c>
      <c r="CF52" s="99">
        <v>8.7437670628391526</v>
      </c>
      <c r="CG52" s="99">
        <v>4721.6342139331427</v>
      </c>
      <c r="CH52" s="99">
        <v>0</v>
      </c>
      <c r="CI52" s="99">
        <v>0</v>
      </c>
      <c r="CJ52" s="99">
        <v>6.4686083787908002</v>
      </c>
      <c r="CK52" s="99">
        <v>3493.0485245470322</v>
      </c>
      <c r="CL52" s="99">
        <v>11</v>
      </c>
      <c r="CM52" s="99">
        <v>5940</v>
      </c>
      <c r="CN52" s="99">
        <v>9</v>
      </c>
      <c r="CO52" s="99">
        <v>4860</v>
      </c>
      <c r="CP52" s="99">
        <v>7</v>
      </c>
      <c r="CQ52" s="99">
        <v>3780</v>
      </c>
      <c r="CR52" s="99">
        <v>11</v>
      </c>
      <c r="CS52" s="99">
        <v>5940</v>
      </c>
      <c r="CT52" s="99">
        <v>7</v>
      </c>
      <c r="CU52" s="99">
        <v>3780</v>
      </c>
    </row>
    <row r="53" spans="2:99">
      <c r="C53" s="98" t="s">
        <v>219</v>
      </c>
      <c r="D53" s="99">
        <v>5</v>
      </c>
      <c r="E53" s="99">
        <v>2034</v>
      </c>
      <c r="F53" s="99">
        <v>8</v>
      </c>
      <c r="G53" s="99">
        <v>3254.4</v>
      </c>
      <c r="H53" s="99">
        <v>12</v>
      </c>
      <c r="I53" s="99">
        <v>4881.6000000000004</v>
      </c>
      <c r="J53" s="99">
        <v>9</v>
      </c>
      <c r="K53" s="99">
        <v>3661.2000000000003</v>
      </c>
      <c r="L53" s="99">
        <v>3.6259448590328858</v>
      </c>
      <c r="M53" s="99">
        <v>1475.034368654578</v>
      </c>
      <c r="N53" s="99">
        <v>9</v>
      </c>
      <c r="O53" s="99">
        <v>3661.2000000000003</v>
      </c>
      <c r="P53" s="99">
        <v>9</v>
      </c>
      <c r="Q53" s="99">
        <v>3661.2000000000003</v>
      </c>
      <c r="R53" s="99">
        <v>7</v>
      </c>
      <c r="S53" s="99">
        <v>2847.6</v>
      </c>
      <c r="T53" s="99">
        <v>10</v>
      </c>
      <c r="U53" s="99">
        <v>4068</v>
      </c>
      <c r="V53" s="99">
        <v>7</v>
      </c>
      <c r="W53" s="99">
        <v>2847.6</v>
      </c>
      <c r="X53" s="99">
        <v>7</v>
      </c>
      <c r="Y53" s="99">
        <v>2847.6</v>
      </c>
      <c r="Z53" s="99">
        <v>11</v>
      </c>
      <c r="AA53" s="99">
        <v>4474.8</v>
      </c>
      <c r="AB53" s="99">
        <v>8</v>
      </c>
      <c r="AC53" s="99">
        <v>3254.4</v>
      </c>
      <c r="AD53" s="99">
        <v>7.090121454784752</v>
      </c>
      <c r="AE53" s="99">
        <v>2884.2614078064371</v>
      </c>
      <c r="AF53" s="99">
        <v>5.4389373184949994</v>
      </c>
      <c r="AG53" s="99">
        <v>2212.559701163766</v>
      </c>
      <c r="AH53" s="99">
        <v>8.7326213113675806</v>
      </c>
      <c r="AI53" s="99">
        <v>3552.4303494643318</v>
      </c>
      <c r="AJ53" s="99">
        <v>7</v>
      </c>
      <c r="AK53" s="99">
        <v>2847.6</v>
      </c>
      <c r="AL53" s="99">
        <v>8</v>
      </c>
      <c r="AM53" s="99">
        <v>3254.4</v>
      </c>
      <c r="AN53" s="99">
        <v>10</v>
      </c>
      <c r="AO53" s="99">
        <v>4068</v>
      </c>
      <c r="AP53" s="99">
        <v>7</v>
      </c>
      <c r="AQ53" s="99">
        <v>2847.6</v>
      </c>
      <c r="AR53" s="99">
        <v>9.0255337982263715</v>
      </c>
      <c r="AS53" s="99">
        <v>3671.587149118488</v>
      </c>
      <c r="AT53" s="99">
        <v>3.9296700562479749</v>
      </c>
      <c r="AU53" s="99">
        <v>1598.5897788816762</v>
      </c>
      <c r="AV53" s="99">
        <v>8.6986752615663452</v>
      </c>
      <c r="AW53" s="99">
        <v>3538.6210964051893</v>
      </c>
      <c r="AX53" s="99">
        <v>7</v>
      </c>
      <c r="AY53" s="99">
        <v>2847.6</v>
      </c>
      <c r="AZ53" s="99">
        <v>6</v>
      </c>
      <c r="BA53" s="99">
        <v>2440.8000000000002</v>
      </c>
      <c r="BB53" s="99">
        <v>4.4074946889135163</v>
      </c>
      <c r="BC53" s="99">
        <v>1792.9688394500185</v>
      </c>
      <c r="BD53" s="99">
        <v>6</v>
      </c>
      <c r="BE53" s="99">
        <v>2440.8000000000002</v>
      </c>
      <c r="BF53" s="99">
        <v>6.0053911280812073</v>
      </c>
      <c r="BG53" s="99">
        <v>2442.9931109034351</v>
      </c>
      <c r="BH53" s="99">
        <v>2.9072972354661921</v>
      </c>
      <c r="BI53" s="99">
        <v>1182.6885153876469</v>
      </c>
      <c r="BJ53" s="99">
        <v>5</v>
      </c>
      <c r="BK53" s="99">
        <v>2034</v>
      </c>
      <c r="BL53" s="99">
        <v>7</v>
      </c>
      <c r="BM53" s="99">
        <v>2847.6</v>
      </c>
      <c r="BN53" s="99">
        <v>11</v>
      </c>
      <c r="BO53" s="99">
        <v>4474.8</v>
      </c>
      <c r="BP53" s="99">
        <v>9</v>
      </c>
      <c r="BQ53" s="99">
        <v>3661.2000000000003</v>
      </c>
      <c r="BR53" s="99">
        <v>9.3128927907544803</v>
      </c>
      <c r="BS53" s="99">
        <v>3788.4847872789228</v>
      </c>
      <c r="BT53" s="99">
        <v>9.6458266288277255</v>
      </c>
      <c r="BU53" s="99">
        <v>3923.9222726071189</v>
      </c>
      <c r="BV53" s="99">
        <v>6.589646756430751</v>
      </c>
      <c r="BW53" s="99">
        <v>2680.6683005160294</v>
      </c>
      <c r="BX53" s="99">
        <v>8.1855846768649005</v>
      </c>
      <c r="BY53" s="99">
        <v>3329.8958465486417</v>
      </c>
      <c r="BZ53" s="99">
        <v>6</v>
      </c>
      <c r="CA53" s="99">
        <v>2440.8000000000002</v>
      </c>
      <c r="CB53" s="99">
        <v>10</v>
      </c>
      <c r="CC53" s="99">
        <v>4068</v>
      </c>
      <c r="CD53" s="99">
        <v>7</v>
      </c>
      <c r="CE53" s="99">
        <v>2847.6</v>
      </c>
      <c r="CF53" s="99">
        <v>7.9488791480355943</v>
      </c>
      <c r="CG53" s="99">
        <v>3233.6040374208796</v>
      </c>
      <c r="CH53" s="99">
        <v>0</v>
      </c>
      <c r="CI53" s="99">
        <v>0</v>
      </c>
      <c r="CJ53" s="99">
        <v>6.4686083787908002</v>
      </c>
      <c r="CK53" s="99">
        <v>2631.4298884920977</v>
      </c>
      <c r="CL53" s="99">
        <v>10</v>
      </c>
      <c r="CM53" s="99">
        <v>4068</v>
      </c>
      <c r="CN53" s="99">
        <v>10</v>
      </c>
      <c r="CO53" s="99">
        <v>4068</v>
      </c>
      <c r="CP53" s="99">
        <v>7</v>
      </c>
      <c r="CQ53" s="99">
        <v>2847.6</v>
      </c>
      <c r="CR53" s="99">
        <v>11</v>
      </c>
      <c r="CS53" s="99">
        <v>4474.8</v>
      </c>
      <c r="CT53" s="99">
        <v>7</v>
      </c>
      <c r="CU53" s="99">
        <v>2847.6</v>
      </c>
    </row>
    <row r="54" spans="2:99">
      <c r="C54" s="98" t="s">
        <v>220</v>
      </c>
      <c r="D54" s="99">
        <v>6</v>
      </c>
      <c r="E54" s="99">
        <v>2008.8000000000002</v>
      </c>
      <c r="F54" s="99">
        <v>9</v>
      </c>
      <c r="G54" s="99">
        <v>3013.2000000000003</v>
      </c>
      <c r="H54" s="99">
        <v>11</v>
      </c>
      <c r="I54" s="99">
        <v>3682.8</v>
      </c>
      <c r="J54" s="99">
        <v>9</v>
      </c>
      <c r="K54" s="99">
        <v>3013.2000000000003</v>
      </c>
      <c r="L54" s="99">
        <v>3.6259448590328858</v>
      </c>
      <c r="M54" s="99">
        <v>1213.9663388042102</v>
      </c>
      <c r="N54" s="99">
        <v>8</v>
      </c>
      <c r="O54" s="99">
        <v>2678.4</v>
      </c>
      <c r="P54" s="99">
        <v>10</v>
      </c>
      <c r="Q54" s="99">
        <v>3348</v>
      </c>
      <c r="R54" s="99">
        <v>8</v>
      </c>
      <c r="S54" s="99">
        <v>2678.4</v>
      </c>
      <c r="T54" s="99">
        <v>11</v>
      </c>
      <c r="U54" s="99">
        <v>3682.8</v>
      </c>
      <c r="V54" s="99">
        <v>8</v>
      </c>
      <c r="W54" s="99">
        <v>2678.4</v>
      </c>
      <c r="X54" s="99">
        <v>6</v>
      </c>
      <c r="Y54" s="99">
        <v>2008.8000000000002</v>
      </c>
      <c r="Z54" s="99">
        <v>11</v>
      </c>
      <c r="AA54" s="99">
        <v>3682.8</v>
      </c>
      <c r="AB54" s="99">
        <v>9</v>
      </c>
      <c r="AC54" s="99">
        <v>3013.2000000000003</v>
      </c>
      <c r="AD54" s="99">
        <v>7.9763866366328466</v>
      </c>
      <c r="AE54" s="99">
        <v>2670.494245944677</v>
      </c>
      <c r="AF54" s="99">
        <v>5.4389373184949994</v>
      </c>
      <c r="AG54" s="99">
        <v>1820.9562142321258</v>
      </c>
      <c r="AH54" s="99">
        <v>8.7326213113675806</v>
      </c>
      <c r="AI54" s="99">
        <v>2923.6816150458662</v>
      </c>
      <c r="AJ54" s="99">
        <v>7</v>
      </c>
      <c r="AK54" s="99">
        <v>2343.6</v>
      </c>
      <c r="AL54" s="99">
        <v>8</v>
      </c>
      <c r="AM54" s="99">
        <v>2678.4</v>
      </c>
      <c r="AN54" s="99">
        <v>10</v>
      </c>
      <c r="AO54" s="99">
        <v>3348</v>
      </c>
      <c r="AP54" s="99">
        <v>6</v>
      </c>
      <c r="AQ54" s="99">
        <v>2008.8000000000002</v>
      </c>
      <c r="AR54" s="99">
        <v>9.9280871780490099</v>
      </c>
      <c r="AS54" s="99">
        <v>3323.9235872108088</v>
      </c>
      <c r="AT54" s="99">
        <v>3.9296700562479749</v>
      </c>
      <c r="AU54" s="99">
        <v>1315.6535348318221</v>
      </c>
      <c r="AV54" s="99">
        <v>9.5685427877229809</v>
      </c>
      <c r="AW54" s="99">
        <v>3203.5481253296543</v>
      </c>
      <c r="AX54" s="99">
        <v>8</v>
      </c>
      <c r="AY54" s="99">
        <v>2678.4</v>
      </c>
      <c r="AZ54" s="99">
        <v>6</v>
      </c>
      <c r="BA54" s="99">
        <v>2008.8000000000002</v>
      </c>
      <c r="BB54" s="99">
        <v>3.8565578527993267</v>
      </c>
      <c r="BC54" s="99">
        <v>1291.1755691172145</v>
      </c>
      <c r="BD54" s="99">
        <v>7</v>
      </c>
      <c r="BE54" s="99">
        <v>2343.6</v>
      </c>
      <c r="BF54" s="99">
        <v>5.2547172370710564</v>
      </c>
      <c r="BG54" s="99">
        <v>1759.2793309713898</v>
      </c>
      <c r="BH54" s="99">
        <v>2.9072972354661921</v>
      </c>
      <c r="BI54" s="99">
        <v>973.36311443408113</v>
      </c>
      <c r="BJ54" s="99">
        <v>6</v>
      </c>
      <c r="BK54" s="99">
        <v>2008.8000000000002</v>
      </c>
      <c r="BL54" s="99">
        <v>8</v>
      </c>
      <c r="BM54" s="99">
        <v>2678.4</v>
      </c>
      <c r="BN54" s="99">
        <v>11</v>
      </c>
      <c r="BO54" s="99">
        <v>3682.8</v>
      </c>
      <c r="BP54" s="99">
        <v>10</v>
      </c>
      <c r="BQ54" s="99">
        <v>3348</v>
      </c>
      <c r="BR54" s="99">
        <v>10.244182069829927</v>
      </c>
      <c r="BS54" s="99">
        <v>3429.7521569790597</v>
      </c>
      <c r="BT54" s="99">
        <v>10.610409291710498</v>
      </c>
      <c r="BU54" s="99">
        <v>3552.3650308646747</v>
      </c>
      <c r="BV54" s="99">
        <v>6.589646756430751</v>
      </c>
      <c r="BW54" s="99">
        <v>2206.2137340530157</v>
      </c>
      <c r="BX54" s="99">
        <v>9.0041431445513922</v>
      </c>
      <c r="BY54" s="99">
        <v>3014.5871247958062</v>
      </c>
      <c r="BZ54" s="99">
        <v>7</v>
      </c>
      <c r="CA54" s="99">
        <v>2343.6</v>
      </c>
      <c r="CB54" s="99">
        <v>11</v>
      </c>
      <c r="CC54" s="99">
        <v>3682.8</v>
      </c>
      <c r="CD54" s="99">
        <v>7</v>
      </c>
      <c r="CE54" s="99">
        <v>2343.6</v>
      </c>
      <c r="CF54" s="99">
        <v>7.9488791480355943</v>
      </c>
      <c r="CG54" s="99">
        <v>2661.2847387623169</v>
      </c>
      <c r="CH54" s="99">
        <v>0</v>
      </c>
      <c r="CI54" s="99">
        <v>0</v>
      </c>
      <c r="CJ54" s="99">
        <v>6.4686083787908002</v>
      </c>
      <c r="CK54" s="99">
        <v>2165.6900852191598</v>
      </c>
      <c r="CL54" s="99">
        <v>10</v>
      </c>
      <c r="CM54" s="99">
        <v>3348</v>
      </c>
      <c r="CN54" s="99">
        <v>10</v>
      </c>
      <c r="CO54" s="99">
        <v>3348</v>
      </c>
      <c r="CP54" s="99">
        <v>7</v>
      </c>
      <c r="CQ54" s="99">
        <v>2343.6</v>
      </c>
      <c r="CR54" s="99">
        <v>11</v>
      </c>
      <c r="CS54" s="99">
        <v>3682.8</v>
      </c>
      <c r="CT54" s="99">
        <v>7</v>
      </c>
      <c r="CU54" s="99">
        <v>2343.6</v>
      </c>
    </row>
    <row r="55" spans="2:99">
      <c r="C55" s="98" t="s">
        <v>221</v>
      </c>
      <c r="D55" s="99">
        <v>6</v>
      </c>
      <c r="E55" s="99">
        <v>3981.6000000000004</v>
      </c>
      <c r="F55" s="99">
        <v>8</v>
      </c>
      <c r="G55" s="99">
        <v>5308.8</v>
      </c>
      <c r="H55" s="99">
        <v>11</v>
      </c>
      <c r="I55" s="99">
        <v>7299.6</v>
      </c>
      <c r="J55" s="99">
        <v>9</v>
      </c>
      <c r="K55" s="99">
        <v>5972.4000000000005</v>
      </c>
      <c r="L55" s="99">
        <v>3.6259448590328858</v>
      </c>
      <c r="M55" s="99">
        <v>2406.1770084542231</v>
      </c>
      <c r="N55" s="99">
        <v>9</v>
      </c>
      <c r="O55" s="99">
        <v>5972.4000000000005</v>
      </c>
      <c r="P55" s="99">
        <v>9</v>
      </c>
      <c r="Q55" s="99">
        <v>5972.4000000000005</v>
      </c>
      <c r="R55" s="99">
        <v>8</v>
      </c>
      <c r="S55" s="99">
        <v>5308.8</v>
      </c>
      <c r="T55" s="99">
        <v>11</v>
      </c>
      <c r="U55" s="99">
        <v>7299.6</v>
      </c>
      <c r="V55" s="99">
        <v>8</v>
      </c>
      <c r="W55" s="99">
        <v>5308.8</v>
      </c>
      <c r="X55" s="99">
        <v>6</v>
      </c>
      <c r="Y55" s="99">
        <v>3981.6000000000004</v>
      </c>
      <c r="Z55" s="99">
        <v>10</v>
      </c>
      <c r="AA55" s="99">
        <v>6636</v>
      </c>
      <c r="AB55" s="99">
        <v>9</v>
      </c>
      <c r="AC55" s="99">
        <v>5972.4000000000005</v>
      </c>
      <c r="AD55" s="99">
        <v>7.090121454784752</v>
      </c>
      <c r="AE55" s="99">
        <v>4705.0045973951619</v>
      </c>
      <c r="AF55" s="99">
        <v>5.4389373184949994</v>
      </c>
      <c r="AG55" s="99">
        <v>3609.2788045532816</v>
      </c>
      <c r="AH55" s="99">
        <v>8.7326213113675806</v>
      </c>
      <c r="AI55" s="99">
        <v>5794.9675022235269</v>
      </c>
      <c r="AJ55" s="99">
        <v>7</v>
      </c>
      <c r="AK55" s="99">
        <v>4645.2</v>
      </c>
      <c r="AL55" s="99">
        <v>8</v>
      </c>
      <c r="AM55" s="99">
        <v>5308.8</v>
      </c>
      <c r="AN55" s="99">
        <v>9</v>
      </c>
      <c r="AO55" s="99">
        <v>5972.4000000000005</v>
      </c>
      <c r="AP55" s="99">
        <v>7</v>
      </c>
      <c r="AQ55" s="99">
        <v>4645.2</v>
      </c>
      <c r="AR55" s="99">
        <v>9.9280871780490099</v>
      </c>
      <c r="AS55" s="99">
        <v>6588.2786513533229</v>
      </c>
      <c r="AT55" s="99">
        <v>3.9296700562479749</v>
      </c>
      <c r="AU55" s="99">
        <v>2607.7290493261562</v>
      </c>
      <c r="AV55" s="99">
        <v>10.438410313879615</v>
      </c>
      <c r="AW55" s="99">
        <v>6926.9290842905129</v>
      </c>
      <c r="AX55" s="99">
        <v>7</v>
      </c>
      <c r="AY55" s="99">
        <v>4645.2</v>
      </c>
      <c r="AZ55" s="99">
        <v>6</v>
      </c>
      <c r="BA55" s="99">
        <v>3981.6000000000004</v>
      </c>
      <c r="BB55" s="99">
        <v>4.4074946889135163</v>
      </c>
      <c r="BC55" s="99">
        <v>2924.8134755630094</v>
      </c>
      <c r="BD55" s="99">
        <v>6</v>
      </c>
      <c r="BE55" s="99">
        <v>3981.6000000000004</v>
      </c>
      <c r="BF55" s="99">
        <v>5.2547172370710564</v>
      </c>
      <c r="BG55" s="99">
        <v>3487.0303585203533</v>
      </c>
      <c r="BH55" s="99">
        <v>2.9072972354661921</v>
      </c>
      <c r="BI55" s="99">
        <v>1929.2824454553652</v>
      </c>
      <c r="BJ55" s="99">
        <v>6</v>
      </c>
      <c r="BK55" s="99">
        <v>3981.6000000000004</v>
      </c>
      <c r="BL55" s="99">
        <v>8</v>
      </c>
      <c r="BM55" s="99">
        <v>5308.8</v>
      </c>
      <c r="BN55" s="99">
        <v>10</v>
      </c>
      <c r="BO55" s="99">
        <v>6636</v>
      </c>
      <c r="BP55" s="99">
        <v>10</v>
      </c>
      <c r="BQ55" s="99">
        <v>6636</v>
      </c>
      <c r="BR55" s="99">
        <v>9.3128927907544803</v>
      </c>
      <c r="BS55" s="99">
        <v>6180.0356559446736</v>
      </c>
      <c r="BT55" s="99">
        <v>10.610409291710498</v>
      </c>
      <c r="BU55" s="99">
        <v>7041.0676059790867</v>
      </c>
      <c r="BV55" s="99">
        <v>7.3218297293675008</v>
      </c>
      <c r="BW55" s="99">
        <v>4858.766208408274</v>
      </c>
      <c r="BX55" s="99">
        <v>8.1855846768649005</v>
      </c>
      <c r="BY55" s="99">
        <v>5431.9539915675477</v>
      </c>
      <c r="BZ55" s="99">
        <v>6</v>
      </c>
      <c r="CA55" s="99">
        <v>3981.6000000000004</v>
      </c>
      <c r="CB55" s="99">
        <v>10</v>
      </c>
      <c r="CC55" s="99">
        <v>6636</v>
      </c>
      <c r="CD55" s="99">
        <v>7</v>
      </c>
      <c r="CE55" s="99">
        <v>4645.2</v>
      </c>
      <c r="CF55" s="99">
        <v>8.7437670628391526</v>
      </c>
      <c r="CG55" s="99">
        <v>5802.3638229000617</v>
      </c>
      <c r="CH55" s="99">
        <v>0</v>
      </c>
      <c r="CI55" s="99">
        <v>0</v>
      </c>
      <c r="CJ55" s="99">
        <v>7.2771844261396508</v>
      </c>
      <c r="CK55" s="99">
        <v>4829.1395851862726</v>
      </c>
      <c r="CL55" s="99">
        <v>10</v>
      </c>
      <c r="CM55" s="99">
        <v>6636</v>
      </c>
      <c r="CN55" s="99">
        <v>10</v>
      </c>
      <c r="CO55" s="99">
        <v>6636</v>
      </c>
      <c r="CP55" s="99">
        <v>7</v>
      </c>
      <c r="CQ55" s="99">
        <v>4645.2</v>
      </c>
      <c r="CR55" s="99">
        <v>11</v>
      </c>
      <c r="CS55" s="99">
        <v>7299.6</v>
      </c>
      <c r="CT55" s="99">
        <v>7</v>
      </c>
      <c r="CU55" s="99">
        <v>4645.2</v>
      </c>
    </row>
    <row r="56" spans="2:99">
      <c r="C56" s="98" t="s">
        <v>222</v>
      </c>
      <c r="D56" s="99">
        <v>6</v>
      </c>
      <c r="E56" s="99">
        <v>5889.5999999999995</v>
      </c>
      <c r="F56" s="99">
        <v>8</v>
      </c>
      <c r="G56" s="99">
        <v>7852.7999999999993</v>
      </c>
      <c r="H56" s="99">
        <v>11</v>
      </c>
      <c r="I56" s="99">
        <v>10797.599999999999</v>
      </c>
      <c r="J56" s="99">
        <v>9</v>
      </c>
      <c r="K56" s="99">
        <v>8834.4</v>
      </c>
      <c r="L56" s="99">
        <v>6</v>
      </c>
      <c r="M56" s="99">
        <v>5889.5999999999995</v>
      </c>
      <c r="N56" s="99">
        <v>8</v>
      </c>
      <c r="O56" s="99">
        <v>7852.7999999999993</v>
      </c>
      <c r="P56" s="99">
        <v>3.4831545582151815</v>
      </c>
      <c r="Q56" s="99">
        <v>3419.064514344022</v>
      </c>
      <c r="R56" s="99">
        <v>0</v>
      </c>
      <c r="S56" s="99">
        <v>0</v>
      </c>
      <c r="T56" s="99">
        <v>0</v>
      </c>
      <c r="U56" s="99">
        <v>0</v>
      </c>
      <c r="V56" s="99">
        <v>0</v>
      </c>
      <c r="W56" s="99">
        <v>0</v>
      </c>
      <c r="X56" s="99">
        <v>4.0494460742053198</v>
      </c>
      <c r="Y56" s="99">
        <v>3974.9362664399414</v>
      </c>
      <c r="Z56" s="99">
        <v>7.4494526836795973</v>
      </c>
      <c r="AA56" s="99">
        <v>7312.3827542998924</v>
      </c>
      <c r="AB56" s="99">
        <v>7.0582523751511728</v>
      </c>
      <c r="AC56" s="99">
        <v>6928.3805314483907</v>
      </c>
      <c r="AD56" s="99">
        <v>4.1791861416282128</v>
      </c>
      <c r="AE56" s="99">
        <v>4102.2891166222535</v>
      </c>
      <c r="AF56" s="99">
        <v>8</v>
      </c>
      <c r="AG56" s="99">
        <v>7852.7999999999993</v>
      </c>
      <c r="AH56" s="99">
        <v>10</v>
      </c>
      <c r="AI56" s="99">
        <v>9816</v>
      </c>
      <c r="AJ56" s="99">
        <v>7</v>
      </c>
      <c r="AK56" s="99">
        <v>6871.1999999999989</v>
      </c>
      <c r="AL56" s="99">
        <v>8</v>
      </c>
      <c r="AM56" s="99">
        <v>7852.7999999999993</v>
      </c>
      <c r="AN56" s="99">
        <v>8.3567808214028787</v>
      </c>
      <c r="AO56" s="99">
        <v>8203.0160542890644</v>
      </c>
      <c r="AP56" s="99">
        <v>4.1460763922667212</v>
      </c>
      <c r="AQ56" s="99">
        <v>4069.7885866490133</v>
      </c>
      <c r="AR56" s="99">
        <v>11</v>
      </c>
      <c r="AS56" s="99">
        <v>10797.599999999999</v>
      </c>
      <c r="AT56" s="99">
        <v>6</v>
      </c>
      <c r="AU56" s="99">
        <v>5889.5999999999995</v>
      </c>
      <c r="AV56" s="99">
        <v>9.3201759632366539</v>
      </c>
      <c r="AW56" s="99">
        <v>9148.6847255130979</v>
      </c>
      <c r="AX56" s="99">
        <v>5.5833271629194554</v>
      </c>
      <c r="AY56" s="99">
        <v>5480.5939431217366</v>
      </c>
      <c r="AZ56" s="99">
        <v>5.0944644159357253</v>
      </c>
      <c r="BA56" s="99">
        <v>5000.7262706825077</v>
      </c>
      <c r="BB56" s="99">
        <v>6.6596311943256152</v>
      </c>
      <c r="BC56" s="99">
        <v>6537.0939803500232</v>
      </c>
      <c r="BD56" s="99">
        <v>6.0409769303718708</v>
      </c>
      <c r="BE56" s="99">
        <v>5929.822954853028</v>
      </c>
      <c r="BF56" s="99">
        <v>3.4836854893602043</v>
      </c>
      <c r="BG56" s="99">
        <v>3419.5856763559764</v>
      </c>
      <c r="BH56" s="99">
        <v>8.8755576774030818</v>
      </c>
      <c r="BI56" s="99">
        <v>8712.2474161388636</v>
      </c>
      <c r="BJ56" s="99">
        <v>3.4564159356274429</v>
      </c>
      <c r="BK56" s="99">
        <v>3392.8178824118977</v>
      </c>
      <c r="BL56" s="99">
        <v>5.264279896466916</v>
      </c>
      <c r="BM56" s="99">
        <v>5167.417146371924</v>
      </c>
      <c r="BN56" s="99">
        <v>11</v>
      </c>
      <c r="BO56" s="99">
        <v>10797.599999999999</v>
      </c>
      <c r="BP56" s="99">
        <v>7.4703278162079965</v>
      </c>
      <c r="BQ56" s="99">
        <v>7332.8737843897688</v>
      </c>
      <c r="BR56" s="99">
        <v>4.4500593174744854</v>
      </c>
      <c r="BS56" s="99">
        <v>4368.1782260329546</v>
      </c>
      <c r="BT56" s="99">
        <v>11</v>
      </c>
      <c r="BU56" s="99">
        <v>10797.599999999999</v>
      </c>
      <c r="BV56" s="99">
        <v>8.6186892101626871</v>
      </c>
      <c r="BW56" s="99">
        <v>8460.1053286956922</v>
      </c>
      <c r="BX56" s="99">
        <v>6.8997843303207151</v>
      </c>
      <c r="BY56" s="99">
        <v>6772.828298642813</v>
      </c>
      <c r="BZ56" s="99">
        <v>5.8184146224108</v>
      </c>
      <c r="CA56" s="99">
        <v>5711.3557933584407</v>
      </c>
      <c r="CB56" s="99">
        <v>9.1915998192279478</v>
      </c>
      <c r="CC56" s="99">
        <v>9022.4743825541518</v>
      </c>
      <c r="CD56" s="99">
        <v>3.5898954128163081</v>
      </c>
      <c r="CE56" s="99">
        <v>3523.8413372204877</v>
      </c>
      <c r="CF56" s="99">
        <v>8.3559998356617715</v>
      </c>
      <c r="CG56" s="99">
        <v>8202.2494386855942</v>
      </c>
      <c r="CH56" s="99">
        <v>7.8964198447003726</v>
      </c>
      <c r="CI56" s="99">
        <v>7751.1257195578846</v>
      </c>
      <c r="CJ56" s="99">
        <v>8</v>
      </c>
      <c r="CK56" s="99">
        <v>7852.7999999999993</v>
      </c>
      <c r="CL56" s="99">
        <v>7.5586697075932126</v>
      </c>
      <c r="CM56" s="99">
        <v>7419.5901849734964</v>
      </c>
      <c r="CN56" s="99">
        <v>7.036413723000333</v>
      </c>
      <c r="CO56" s="99">
        <v>6906.9437104971266</v>
      </c>
      <c r="CP56" s="99">
        <v>4.5998562202138089</v>
      </c>
      <c r="CQ56" s="99">
        <v>4515.2188657618744</v>
      </c>
      <c r="CR56" s="99">
        <v>10</v>
      </c>
      <c r="CS56" s="99">
        <v>9816</v>
      </c>
      <c r="CT56" s="99">
        <v>5.3799741550487381</v>
      </c>
      <c r="CU56" s="99">
        <v>5280.9826305958404</v>
      </c>
    </row>
    <row r="57" spans="2:99">
      <c r="C57" s="98" t="s">
        <v>223</v>
      </c>
      <c r="D57" s="99">
        <v>5</v>
      </c>
      <c r="E57" s="99">
        <v>7056</v>
      </c>
      <c r="F57" s="99">
        <v>8</v>
      </c>
      <c r="G57" s="99">
        <v>11289.6</v>
      </c>
      <c r="H57" s="99">
        <v>10</v>
      </c>
      <c r="I57" s="99">
        <v>14112</v>
      </c>
      <c r="J57" s="99">
        <v>8</v>
      </c>
      <c r="K57" s="99">
        <v>11289.6</v>
      </c>
      <c r="L57" s="99">
        <v>3.6259448590328858</v>
      </c>
      <c r="M57" s="99">
        <v>5116.9333850672083</v>
      </c>
      <c r="N57" s="99">
        <v>7</v>
      </c>
      <c r="O57" s="99">
        <v>9878.4</v>
      </c>
      <c r="P57" s="99">
        <v>8</v>
      </c>
      <c r="Q57" s="99">
        <v>11289.6</v>
      </c>
      <c r="R57" s="99">
        <v>8</v>
      </c>
      <c r="S57" s="99">
        <v>11289.6</v>
      </c>
      <c r="T57" s="99">
        <v>11</v>
      </c>
      <c r="U57" s="99">
        <v>15523.2</v>
      </c>
      <c r="V57" s="99">
        <v>6</v>
      </c>
      <c r="W57" s="99">
        <v>8467.2000000000007</v>
      </c>
      <c r="X57" s="99">
        <v>6</v>
      </c>
      <c r="Y57" s="99">
        <v>8467.2000000000007</v>
      </c>
      <c r="Z57" s="99">
        <v>11</v>
      </c>
      <c r="AA57" s="99">
        <v>15523.2</v>
      </c>
      <c r="AB57" s="99">
        <v>9</v>
      </c>
      <c r="AC57" s="99">
        <v>12700.800000000001</v>
      </c>
      <c r="AD57" s="99">
        <v>7.090121454784752</v>
      </c>
      <c r="AE57" s="99">
        <v>10005.579396992242</v>
      </c>
      <c r="AF57" s="99">
        <v>5.4389373184949994</v>
      </c>
      <c r="AG57" s="99">
        <v>7675.4283438601433</v>
      </c>
      <c r="AH57" s="99">
        <v>8.7326213113675806</v>
      </c>
      <c r="AI57" s="99">
        <v>12323.47519460193</v>
      </c>
      <c r="AJ57" s="99">
        <v>6</v>
      </c>
      <c r="AK57" s="99">
        <v>8467.2000000000007</v>
      </c>
      <c r="AL57" s="99">
        <v>8</v>
      </c>
      <c r="AM57" s="99">
        <v>11289.6</v>
      </c>
      <c r="AN57" s="99">
        <v>10</v>
      </c>
      <c r="AO57" s="99">
        <v>14112</v>
      </c>
      <c r="AP57" s="99">
        <v>6</v>
      </c>
      <c r="AQ57" s="99">
        <v>8467.2000000000007</v>
      </c>
      <c r="AR57" s="99">
        <v>9.0255337982263715</v>
      </c>
      <c r="AS57" s="99">
        <v>12736.833296057055</v>
      </c>
      <c r="AT57" s="99">
        <v>3.3682886196411213</v>
      </c>
      <c r="AU57" s="99">
        <v>4753.3289000375507</v>
      </c>
      <c r="AV57" s="99">
        <v>8.6986752615663452</v>
      </c>
      <c r="AW57" s="99">
        <v>12275.570529122428</v>
      </c>
      <c r="AX57" s="99">
        <v>6</v>
      </c>
      <c r="AY57" s="99">
        <v>8467.2000000000007</v>
      </c>
      <c r="AZ57" s="99">
        <v>6</v>
      </c>
      <c r="BA57" s="99">
        <v>8467.2000000000007</v>
      </c>
      <c r="BB57" s="99">
        <v>3.8565578527993267</v>
      </c>
      <c r="BC57" s="99">
        <v>5442.37444187041</v>
      </c>
      <c r="BD57" s="99">
        <v>7</v>
      </c>
      <c r="BE57" s="99">
        <v>9878.4</v>
      </c>
      <c r="BF57" s="99">
        <v>5.2547172370710564</v>
      </c>
      <c r="BG57" s="99">
        <v>7415.4569649546747</v>
      </c>
      <c r="BH57" s="99">
        <v>2.9072972354661921</v>
      </c>
      <c r="BI57" s="99">
        <v>4102.7778586898903</v>
      </c>
      <c r="BJ57" s="99">
        <v>6</v>
      </c>
      <c r="BK57" s="99">
        <v>8467.2000000000007</v>
      </c>
      <c r="BL57" s="99">
        <v>8</v>
      </c>
      <c r="BM57" s="99">
        <v>11289.6</v>
      </c>
      <c r="BN57" s="99">
        <v>10</v>
      </c>
      <c r="BO57" s="99">
        <v>14112</v>
      </c>
      <c r="BP57" s="99">
        <v>9</v>
      </c>
      <c r="BQ57" s="99">
        <v>12700.800000000001</v>
      </c>
      <c r="BR57" s="99">
        <v>8.3816035116790317</v>
      </c>
      <c r="BS57" s="99">
        <v>11828.11887568145</v>
      </c>
      <c r="BT57" s="99">
        <v>9.6458266288277255</v>
      </c>
      <c r="BU57" s="99">
        <v>13612.190538601686</v>
      </c>
      <c r="BV57" s="99">
        <v>6.589646756430751</v>
      </c>
      <c r="BW57" s="99">
        <v>9299.3095026750761</v>
      </c>
      <c r="BX57" s="99">
        <v>8.1855846768649005</v>
      </c>
      <c r="BY57" s="99">
        <v>11551.497095991748</v>
      </c>
      <c r="BZ57" s="99">
        <v>7</v>
      </c>
      <c r="CA57" s="99">
        <v>9878.4</v>
      </c>
      <c r="CB57" s="99">
        <v>10</v>
      </c>
      <c r="CC57" s="99">
        <v>14112</v>
      </c>
      <c r="CD57" s="99">
        <v>7</v>
      </c>
      <c r="CE57" s="99">
        <v>9878.4</v>
      </c>
      <c r="CF57" s="99">
        <v>7.1539912332320341</v>
      </c>
      <c r="CG57" s="99">
        <v>10095.712428337047</v>
      </c>
      <c r="CH57" s="99">
        <v>0</v>
      </c>
      <c r="CI57" s="99">
        <v>0</v>
      </c>
      <c r="CJ57" s="99">
        <v>6.4686083787908002</v>
      </c>
      <c r="CK57" s="99">
        <v>9128.500144149577</v>
      </c>
      <c r="CL57" s="99">
        <v>9</v>
      </c>
      <c r="CM57" s="99">
        <v>12700.800000000001</v>
      </c>
      <c r="CN57" s="99">
        <v>8</v>
      </c>
      <c r="CO57" s="99">
        <v>11289.6</v>
      </c>
      <c r="CP57" s="99">
        <v>7</v>
      </c>
      <c r="CQ57" s="99">
        <v>9878.4</v>
      </c>
      <c r="CR57" s="99">
        <v>10</v>
      </c>
      <c r="CS57" s="99">
        <v>14112</v>
      </c>
      <c r="CT57" s="99">
        <v>6</v>
      </c>
      <c r="CU57" s="99">
        <v>8467.2000000000007</v>
      </c>
    </row>
    <row r="58" spans="2:99">
      <c r="C58" s="98" t="s">
        <v>224</v>
      </c>
      <c r="D58" s="99">
        <v>5</v>
      </c>
      <c r="E58" s="99">
        <v>5886</v>
      </c>
      <c r="F58" s="99">
        <v>8</v>
      </c>
      <c r="G58" s="99">
        <v>9417.6</v>
      </c>
      <c r="H58" s="99">
        <v>10</v>
      </c>
      <c r="I58" s="99">
        <v>11772</v>
      </c>
      <c r="J58" s="99">
        <v>9</v>
      </c>
      <c r="K58" s="99">
        <v>10594.800000000001</v>
      </c>
      <c r="L58" s="99">
        <v>6</v>
      </c>
      <c r="M58" s="99">
        <v>7063.2000000000007</v>
      </c>
      <c r="N58" s="99">
        <v>7</v>
      </c>
      <c r="O58" s="99">
        <v>8240.4</v>
      </c>
      <c r="P58" s="99">
        <v>8</v>
      </c>
      <c r="Q58" s="99">
        <v>9417.6</v>
      </c>
      <c r="R58" s="99">
        <v>8</v>
      </c>
      <c r="S58" s="99">
        <v>9417.6</v>
      </c>
      <c r="T58" s="99">
        <v>11</v>
      </c>
      <c r="U58" s="99">
        <v>12949.2</v>
      </c>
      <c r="V58" s="99">
        <v>3.6113470740813476</v>
      </c>
      <c r="W58" s="99">
        <v>4251.2777756085625</v>
      </c>
      <c r="X58" s="99">
        <v>6</v>
      </c>
      <c r="Y58" s="99">
        <v>7063.2000000000007</v>
      </c>
      <c r="Z58" s="99">
        <v>10</v>
      </c>
      <c r="AA58" s="99">
        <v>11772</v>
      </c>
      <c r="AB58" s="99">
        <v>7.0680223864749472</v>
      </c>
      <c r="AC58" s="99">
        <v>8320.4759533583074</v>
      </c>
      <c r="AD58" s="99">
        <v>8</v>
      </c>
      <c r="AE58" s="99">
        <v>9417.6</v>
      </c>
      <c r="AF58" s="99">
        <v>7</v>
      </c>
      <c r="AG58" s="99">
        <v>8240.4</v>
      </c>
      <c r="AH58" s="99">
        <v>5.1752421011144589</v>
      </c>
      <c r="AI58" s="99">
        <v>6092.2950014319413</v>
      </c>
      <c r="AJ58" s="99">
        <v>7</v>
      </c>
      <c r="AK58" s="99">
        <v>8240.4</v>
      </c>
      <c r="AL58" s="99">
        <v>8</v>
      </c>
      <c r="AM58" s="99">
        <v>9417.6</v>
      </c>
      <c r="AN58" s="99">
        <v>3.7792138715436754</v>
      </c>
      <c r="AO58" s="99">
        <v>4448.8905695812145</v>
      </c>
      <c r="AP58" s="99">
        <v>7</v>
      </c>
      <c r="AQ58" s="99">
        <v>8240.4</v>
      </c>
      <c r="AR58" s="99">
        <v>8.4379030616042439</v>
      </c>
      <c r="AS58" s="99">
        <v>9933.0994841205156</v>
      </c>
      <c r="AT58" s="99">
        <v>6</v>
      </c>
      <c r="AU58" s="99">
        <v>7063.2000000000007</v>
      </c>
      <c r="AV58" s="99">
        <v>8.4925872027575409</v>
      </c>
      <c r="AW58" s="99">
        <v>9997.473655086178</v>
      </c>
      <c r="AX58" s="99">
        <v>7</v>
      </c>
      <c r="AY58" s="99">
        <v>8240.4</v>
      </c>
      <c r="AZ58" s="99">
        <v>6</v>
      </c>
      <c r="BA58" s="99">
        <v>7063.2000000000007</v>
      </c>
      <c r="BB58" s="99">
        <v>7</v>
      </c>
      <c r="BC58" s="99">
        <v>8240.4</v>
      </c>
      <c r="BD58" s="99">
        <v>3.6013298297515863</v>
      </c>
      <c r="BE58" s="99">
        <v>4239.4854755835677</v>
      </c>
      <c r="BF58" s="99">
        <v>0</v>
      </c>
      <c r="BG58" s="99">
        <v>0</v>
      </c>
      <c r="BH58" s="99">
        <v>9</v>
      </c>
      <c r="BI58" s="99">
        <v>10594.800000000001</v>
      </c>
      <c r="BJ58" s="99">
        <v>6</v>
      </c>
      <c r="BK58" s="99">
        <v>7063.2000000000007</v>
      </c>
      <c r="BL58" s="99">
        <v>8</v>
      </c>
      <c r="BM58" s="99">
        <v>9417.6</v>
      </c>
      <c r="BN58" s="99">
        <v>10</v>
      </c>
      <c r="BO58" s="99">
        <v>11772</v>
      </c>
      <c r="BP58" s="99">
        <v>9</v>
      </c>
      <c r="BQ58" s="99">
        <v>10594.800000000001</v>
      </c>
      <c r="BR58" s="99">
        <v>9</v>
      </c>
      <c r="BS58" s="99">
        <v>10594.800000000001</v>
      </c>
      <c r="BT58" s="99">
        <v>11</v>
      </c>
      <c r="BU58" s="99">
        <v>12949.2</v>
      </c>
      <c r="BV58" s="99">
        <v>9</v>
      </c>
      <c r="BW58" s="99">
        <v>10594.800000000001</v>
      </c>
      <c r="BX58" s="99">
        <v>8.1560453976426714</v>
      </c>
      <c r="BY58" s="99">
        <v>9601.2966421049532</v>
      </c>
      <c r="BZ58" s="99">
        <v>4.7415251250768424</v>
      </c>
      <c r="CA58" s="99">
        <v>5581.7233772404588</v>
      </c>
      <c r="CB58" s="99">
        <v>8.3290807462123908</v>
      </c>
      <c r="CC58" s="99">
        <v>9804.9938544412271</v>
      </c>
      <c r="CD58" s="99">
        <v>0</v>
      </c>
      <c r="CE58" s="99">
        <v>0</v>
      </c>
      <c r="CF58" s="99">
        <v>11</v>
      </c>
      <c r="CG58" s="99">
        <v>12949.2</v>
      </c>
      <c r="CH58" s="99">
        <v>9</v>
      </c>
      <c r="CI58" s="99">
        <v>10594.800000000001</v>
      </c>
      <c r="CJ58" s="99">
        <v>8</v>
      </c>
      <c r="CK58" s="99">
        <v>9417.6</v>
      </c>
      <c r="CL58" s="99">
        <v>10</v>
      </c>
      <c r="CM58" s="99">
        <v>11772</v>
      </c>
      <c r="CN58" s="99">
        <v>9</v>
      </c>
      <c r="CO58" s="99">
        <v>10594.800000000001</v>
      </c>
      <c r="CP58" s="99">
        <v>6</v>
      </c>
      <c r="CQ58" s="99">
        <v>7063.2000000000007</v>
      </c>
      <c r="CR58" s="99">
        <v>10</v>
      </c>
      <c r="CS58" s="99">
        <v>11772</v>
      </c>
      <c r="CT58" s="99">
        <v>7</v>
      </c>
      <c r="CU58" s="99">
        <v>8240.4</v>
      </c>
    </row>
    <row r="59" spans="2:99">
      <c r="C59" s="98" t="s">
        <v>225</v>
      </c>
      <c r="D59" s="99">
        <v>6</v>
      </c>
      <c r="E59" s="99">
        <v>1821.6</v>
      </c>
      <c r="F59" s="99">
        <v>9</v>
      </c>
      <c r="G59" s="99">
        <v>2732.3999999999996</v>
      </c>
      <c r="H59" s="99">
        <v>10</v>
      </c>
      <c r="I59" s="99">
        <v>3035.9999999999995</v>
      </c>
      <c r="J59" s="99">
        <v>9</v>
      </c>
      <c r="K59" s="99">
        <v>2732.3999999999996</v>
      </c>
      <c r="L59" s="99">
        <v>4.2302690022050333</v>
      </c>
      <c r="M59" s="99">
        <v>1284.3096690694479</v>
      </c>
      <c r="N59" s="99">
        <v>9</v>
      </c>
      <c r="O59" s="99">
        <v>2732.3999999999996</v>
      </c>
      <c r="P59" s="99">
        <v>9</v>
      </c>
      <c r="Q59" s="99">
        <v>2732.3999999999996</v>
      </c>
      <c r="R59" s="99">
        <v>7</v>
      </c>
      <c r="S59" s="99">
        <v>2125.1999999999998</v>
      </c>
      <c r="T59" s="99">
        <v>12</v>
      </c>
      <c r="U59" s="99">
        <v>3643.2</v>
      </c>
      <c r="V59" s="99">
        <v>8</v>
      </c>
      <c r="W59" s="99">
        <v>2428.7999999999997</v>
      </c>
      <c r="X59" s="99">
        <v>6</v>
      </c>
      <c r="Y59" s="99">
        <v>1821.6</v>
      </c>
      <c r="Z59" s="99">
        <v>11</v>
      </c>
      <c r="AA59" s="99">
        <v>3339.5999999999995</v>
      </c>
      <c r="AB59" s="99">
        <v>9</v>
      </c>
      <c r="AC59" s="99">
        <v>2732.3999999999996</v>
      </c>
      <c r="AD59" s="99">
        <v>7.090121454784752</v>
      </c>
      <c r="AE59" s="99">
        <v>2152.5608736726504</v>
      </c>
      <c r="AF59" s="99">
        <v>6.2159283639942844</v>
      </c>
      <c r="AG59" s="99">
        <v>1887.1558513086645</v>
      </c>
      <c r="AH59" s="99">
        <v>8.7326213113675806</v>
      </c>
      <c r="AI59" s="99">
        <v>2651.2238301311972</v>
      </c>
      <c r="AJ59" s="99">
        <v>7</v>
      </c>
      <c r="AK59" s="99">
        <v>2125.1999999999998</v>
      </c>
      <c r="AL59" s="99">
        <v>9</v>
      </c>
      <c r="AM59" s="99">
        <v>2732.3999999999996</v>
      </c>
      <c r="AN59" s="99">
        <v>10</v>
      </c>
      <c r="AO59" s="99">
        <v>3035.9999999999995</v>
      </c>
      <c r="AP59" s="99">
        <v>7</v>
      </c>
      <c r="AQ59" s="99">
        <v>2125.1999999999998</v>
      </c>
      <c r="AR59" s="99">
        <v>9.0255337982263715</v>
      </c>
      <c r="AS59" s="99">
        <v>2740.1520611415262</v>
      </c>
      <c r="AT59" s="99">
        <v>3.9296700562479749</v>
      </c>
      <c r="AU59" s="99">
        <v>1193.0478290768851</v>
      </c>
      <c r="AV59" s="99">
        <v>10.438410313879615</v>
      </c>
      <c r="AW59" s="99">
        <v>3169.1013712938507</v>
      </c>
      <c r="AX59" s="99">
        <v>7</v>
      </c>
      <c r="AY59" s="99">
        <v>2125.1999999999998</v>
      </c>
      <c r="AZ59" s="99">
        <v>6</v>
      </c>
      <c r="BA59" s="99">
        <v>1821.6</v>
      </c>
      <c r="BB59" s="99">
        <v>4.4074946889135163</v>
      </c>
      <c r="BC59" s="99">
        <v>1338.1153875541434</v>
      </c>
      <c r="BD59" s="99">
        <v>7</v>
      </c>
      <c r="BE59" s="99">
        <v>2125.1999999999998</v>
      </c>
      <c r="BF59" s="99">
        <v>6.0053911280812073</v>
      </c>
      <c r="BG59" s="99">
        <v>1823.2367464854544</v>
      </c>
      <c r="BH59" s="99">
        <v>3.2303302616291023</v>
      </c>
      <c r="BI59" s="99">
        <v>980.72826743059534</v>
      </c>
      <c r="BJ59" s="99">
        <v>6</v>
      </c>
      <c r="BK59" s="99">
        <v>1821.6</v>
      </c>
      <c r="BL59" s="99">
        <v>8</v>
      </c>
      <c r="BM59" s="99">
        <v>2428.7999999999997</v>
      </c>
      <c r="BN59" s="99">
        <v>10</v>
      </c>
      <c r="BO59" s="99">
        <v>3035.9999999999995</v>
      </c>
      <c r="BP59" s="99">
        <v>9</v>
      </c>
      <c r="BQ59" s="99">
        <v>2732.3999999999996</v>
      </c>
      <c r="BR59" s="99">
        <v>10.244182069829927</v>
      </c>
      <c r="BS59" s="99">
        <v>3110.1336764003654</v>
      </c>
      <c r="BT59" s="99">
        <v>11.574991954593271</v>
      </c>
      <c r="BU59" s="99">
        <v>3514.1675574145165</v>
      </c>
      <c r="BV59" s="99">
        <v>7.3218297293675008</v>
      </c>
      <c r="BW59" s="99">
        <v>2222.9075058359731</v>
      </c>
      <c r="BX59" s="99">
        <v>8.1855846768649005</v>
      </c>
      <c r="BY59" s="99">
        <v>2485.1435078961836</v>
      </c>
      <c r="BZ59" s="99">
        <v>6</v>
      </c>
      <c r="CA59" s="99">
        <v>1821.6</v>
      </c>
      <c r="CB59" s="99">
        <v>10</v>
      </c>
      <c r="CC59" s="99">
        <v>3035.9999999999995</v>
      </c>
      <c r="CD59" s="99">
        <v>8</v>
      </c>
      <c r="CE59" s="99">
        <v>2428.7999999999997</v>
      </c>
      <c r="CF59" s="99">
        <v>9.5386549776427128</v>
      </c>
      <c r="CG59" s="99">
        <v>2895.9356512123272</v>
      </c>
      <c r="CH59" s="99">
        <v>0</v>
      </c>
      <c r="CI59" s="99">
        <v>0</v>
      </c>
      <c r="CJ59" s="99">
        <v>6.4686083787908002</v>
      </c>
      <c r="CK59" s="99">
        <v>1963.8695038008868</v>
      </c>
      <c r="CL59" s="99">
        <v>11</v>
      </c>
      <c r="CM59" s="99">
        <v>3339.5999999999995</v>
      </c>
      <c r="CN59" s="99">
        <v>9</v>
      </c>
      <c r="CO59" s="99">
        <v>2732.3999999999996</v>
      </c>
      <c r="CP59" s="99">
        <v>7</v>
      </c>
      <c r="CQ59" s="99">
        <v>2125.1999999999998</v>
      </c>
      <c r="CR59" s="99">
        <v>11</v>
      </c>
      <c r="CS59" s="99">
        <v>3339.5999999999995</v>
      </c>
      <c r="CT59" s="99">
        <v>6</v>
      </c>
      <c r="CU59" s="99">
        <v>1821.6</v>
      </c>
    </row>
    <row r="60" spans="2:99">
      <c r="C60" s="98" t="s">
        <v>226</v>
      </c>
      <c r="D60" s="99">
        <v>5</v>
      </c>
      <c r="E60" s="99">
        <v>3258</v>
      </c>
      <c r="F60" s="99">
        <v>8</v>
      </c>
      <c r="G60" s="99">
        <v>5212.8</v>
      </c>
      <c r="H60" s="99">
        <v>11</v>
      </c>
      <c r="I60" s="99">
        <v>7167.6</v>
      </c>
      <c r="J60" s="99">
        <v>9</v>
      </c>
      <c r="K60" s="99">
        <v>5864.4000000000005</v>
      </c>
      <c r="L60" s="99">
        <v>3.6259448590328858</v>
      </c>
      <c r="M60" s="99">
        <v>2362.6656701458282</v>
      </c>
      <c r="N60" s="99">
        <v>7</v>
      </c>
      <c r="O60" s="99">
        <v>4561.2</v>
      </c>
      <c r="P60" s="99">
        <v>8</v>
      </c>
      <c r="Q60" s="99">
        <v>5212.8</v>
      </c>
      <c r="R60" s="99">
        <v>8</v>
      </c>
      <c r="S60" s="99">
        <v>5212.8</v>
      </c>
      <c r="T60" s="99">
        <v>10</v>
      </c>
      <c r="U60" s="99">
        <v>6516</v>
      </c>
      <c r="V60" s="99">
        <v>7</v>
      </c>
      <c r="W60" s="99">
        <v>4561.2</v>
      </c>
      <c r="X60" s="99">
        <v>6</v>
      </c>
      <c r="Y60" s="99">
        <v>3909.6000000000004</v>
      </c>
      <c r="Z60" s="99">
        <v>12</v>
      </c>
      <c r="AA60" s="99">
        <v>7819.2000000000007</v>
      </c>
      <c r="AB60" s="99">
        <v>8</v>
      </c>
      <c r="AC60" s="99">
        <v>5212.8</v>
      </c>
      <c r="AD60" s="99">
        <v>7.9763866366328466</v>
      </c>
      <c r="AE60" s="99">
        <v>5197.4135324299632</v>
      </c>
      <c r="AF60" s="99">
        <v>6.2159283639942844</v>
      </c>
      <c r="AG60" s="99">
        <v>4050.2989219786759</v>
      </c>
      <c r="AH60" s="99">
        <v>8.7326213113675806</v>
      </c>
      <c r="AI60" s="99">
        <v>5690.1760464871159</v>
      </c>
      <c r="AJ60" s="99">
        <v>8</v>
      </c>
      <c r="AK60" s="99">
        <v>5212.8</v>
      </c>
      <c r="AL60" s="99">
        <v>8</v>
      </c>
      <c r="AM60" s="99">
        <v>5212.8</v>
      </c>
      <c r="AN60" s="99">
        <v>9</v>
      </c>
      <c r="AO60" s="99">
        <v>5864.4000000000005</v>
      </c>
      <c r="AP60" s="99">
        <v>7</v>
      </c>
      <c r="AQ60" s="99">
        <v>4561.2</v>
      </c>
      <c r="AR60" s="99">
        <v>9.9280871780490099</v>
      </c>
      <c r="AS60" s="99">
        <v>6469.1416052167351</v>
      </c>
      <c r="AT60" s="99">
        <v>3.9296700562479749</v>
      </c>
      <c r="AU60" s="99">
        <v>2560.5730086511808</v>
      </c>
      <c r="AV60" s="99">
        <v>9.5685427877229809</v>
      </c>
      <c r="AW60" s="99">
        <v>6234.8624804802948</v>
      </c>
      <c r="AX60" s="99">
        <v>7</v>
      </c>
      <c r="AY60" s="99">
        <v>4561.2</v>
      </c>
      <c r="AZ60" s="99">
        <v>6</v>
      </c>
      <c r="BA60" s="99">
        <v>3909.6000000000004</v>
      </c>
      <c r="BB60" s="99">
        <v>4.4074946889135163</v>
      </c>
      <c r="BC60" s="99">
        <v>2871.9235392960472</v>
      </c>
      <c r="BD60" s="99">
        <v>6</v>
      </c>
      <c r="BE60" s="99">
        <v>3909.6000000000004</v>
      </c>
      <c r="BF60" s="99">
        <v>6.0053911280812073</v>
      </c>
      <c r="BG60" s="99">
        <v>3913.112859057715</v>
      </c>
      <c r="BH60" s="99">
        <v>2.5842642093032819</v>
      </c>
      <c r="BI60" s="99">
        <v>1683.9065587820185</v>
      </c>
      <c r="BJ60" s="99">
        <v>5</v>
      </c>
      <c r="BK60" s="99">
        <v>3258</v>
      </c>
      <c r="BL60" s="99">
        <v>8</v>
      </c>
      <c r="BM60" s="99">
        <v>5212.8</v>
      </c>
      <c r="BN60" s="99">
        <v>10</v>
      </c>
      <c r="BO60" s="99">
        <v>6516</v>
      </c>
      <c r="BP60" s="99">
        <v>9</v>
      </c>
      <c r="BQ60" s="99">
        <v>5864.4000000000005</v>
      </c>
      <c r="BR60" s="99">
        <v>9.3128927907544803</v>
      </c>
      <c r="BS60" s="99">
        <v>6068.2809424556199</v>
      </c>
      <c r="BT60" s="99">
        <v>10.610409291710498</v>
      </c>
      <c r="BU60" s="99">
        <v>6913.7426944785611</v>
      </c>
      <c r="BV60" s="99">
        <v>7.3218297293675008</v>
      </c>
      <c r="BW60" s="99">
        <v>4770.9042516558638</v>
      </c>
      <c r="BX60" s="99">
        <v>7.3670262091784107</v>
      </c>
      <c r="BY60" s="99">
        <v>4800.354277900653</v>
      </c>
      <c r="BZ60" s="99">
        <v>6</v>
      </c>
      <c r="CA60" s="99">
        <v>3909.6000000000004</v>
      </c>
      <c r="CB60" s="99">
        <v>10</v>
      </c>
      <c r="CC60" s="99">
        <v>6516</v>
      </c>
      <c r="CD60" s="99">
        <v>6</v>
      </c>
      <c r="CE60" s="99">
        <v>3909.6000000000004</v>
      </c>
      <c r="CF60" s="99">
        <v>7.9488791480355943</v>
      </c>
      <c r="CG60" s="99">
        <v>5179.4896528599938</v>
      </c>
      <c r="CH60" s="99">
        <v>0</v>
      </c>
      <c r="CI60" s="99">
        <v>0</v>
      </c>
      <c r="CJ60" s="99">
        <v>6.4686083787908002</v>
      </c>
      <c r="CK60" s="99">
        <v>4214.9452196200855</v>
      </c>
      <c r="CL60" s="99">
        <v>11</v>
      </c>
      <c r="CM60" s="99">
        <v>7167.6</v>
      </c>
      <c r="CN60" s="99">
        <v>9</v>
      </c>
      <c r="CO60" s="99">
        <v>5864.4000000000005</v>
      </c>
      <c r="CP60" s="99">
        <v>7</v>
      </c>
      <c r="CQ60" s="99">
        <v>4561.2</v>
      </c>
      <c r="CR60" s="99">
        <v>11</v>
      </c>
      <c r="CS60" s="99">
        <v>7167.6</v>
      </c>
      <c r="CT60" s="99">
        <v>7</v>
      </c>
      <c r="CU60" s="99">
        <v>4561.2</v>
      </c>
    </row>
    <row r="61" spans="2:99">
      <c r="C61" s="98" t="s">
        <v>227</v>
      </c>
      <c r="D61" s="99">
        <v>6</v>
      </c>
      <c r="E61" s="99">
        <v>5709.5999999999995</v>
      </c>
      <c r="F61" s="99">
        <v>9</v>
      </c>
      <c r="G61" s="99">
        <v>8564.4</v>
      </c>
      <c r="H61" s="99">
        <v>10</v>
      </c>
      <c r="I61" s="99">
        <v>9516</v>
      </c>
      <c r="J61" s="99">
        <v>9</v>
      </c>
      <c r="K61" s="99">
        <v>8564.4</v>
      </c>
      <c r="L61" s="99">
        <v>4.2302690022050333</v>
      </c>
      <c r="M61" s="99">
        <v>4025.5239824983091</v>
      </c>
      <c r="N61" s="99">
        <v>8</v>
      </c>
      <c r="O61" s="99">
        <v>7612.7999999999993</v>
      </c>
      <c r="P61" s="99">
        <v>10</v>
      </c>
      <c r="Q61" s="99">
        <v>9516</v>
      </c>
      <c r="R61" s="99">
        <v>7</v>
      </c>
      <c r="S61" s="99">
        <v>6661.1999999999989</v>
      </c>
      <c r="T61" s="99">
        <v>11</v>
      </c>
      <c r="U61" s="99">
        <v>10467.599999999999</v>
      </c>
      <c r="V61" s="99">
        <v>6</v>
      </c>
      <c r="W61" s="99">
        <v>5709.5999999999995</v>
      </c>
      <c r="X61" s="99">
        <v>6</v>
      </c>
      <c r="Y61" s="99">
        <v>5709.5999999999995</v>
      </c>
      <c r="Z61" s="99">
        <v>10</v>
      </c>
      <c r="AA61" s="99">
        <v>9516</v>
      </c>
      <c r="AB61" s="99">
        <v>8</v>
      </c>
      <c r="AC61" s="99">
        <v>7612.7999999999993</v>
      </c>
      <c r="AD61" s="99">
        <v>6.2038562729366582</v>
      </c>
      <c r="AE61" s="99">
        <v>5903.5896293265232</v>
      </c>
      <c r="AF61" s="99">
        <v>5.4389373184949994</v>
      </c>
      <c r="AG61" s="99">
        <v>5175.6927522798405</v>
      </c>
      <c r="AH61" s="99">
        <v>9.7029125681862016</v>
      </c>
      <c r="AI61" s="99">
        <v>9233.291599885988</v>
      </c>
      <c r="AJ61" s="99">
        <v>7</v>
      </c>
      <c r="AK61" s="99">
        <v>6661.1999999999989</v>
      </c>
      <c r="AL61" s="99">
        <v>8</v>
      </c>
      <c r="AM61" s="99">
        <v>7612.7999999999993</v>
      </c>
      <c r="AN61" s="99">
        <v>9</v>
      </c>
      <c r="AO61" s="99">
        <v>8564.4</v>
      </c>
      <c r="AP61" s="99">
        <v>7</v>
      </c>
      <c r="AQ61" s="99">
        <v>6661.1999999999989</v>
      </c>
      <c r="AR61" s="99">
        <v>9.9280871780490099</v>
      </c>
      <c r="AS61" s="99">
        <v>9447.5677586314378</v>
      </c>
      <c r="AT61" s="99">
        <v>3.3682886196411213</v>
      </c>
      <c r="AU61" s="99">
        <v>3205.2634504504908</v>
      </c>
      <c r="AV61" s="99">
        <v>9.5685427877229809</v>
      </c>
      <c r="AW61" s="99">
        <v>9105.4253167971874</v>
      </c>
      <c r="AX61" s="99">
        <v>7</v>
      </c>
      <c r="AY61" s="99">
        <v>6661.1999999999989</v>
      </c>
      <c r="AZ61" s="99">
        <v>6</v>
      </c>
      <c r="BA61" s="99">
        <v>5709.5999999999995</v>
      </c>
      <c r="BB61" s="99">
        <v>4.4074946889135163</v>
      </c>
      <c r="BC61" s="99">
        <v>4194.1719459701017</v>
      </c>
      <c r="BD61" s="99">
        <v>6</v>
      </c>
      <c r="BE61" s="99">
        <v>5709.5999999999995</v>
      </c>
      <c r="BF61" s="99">
        <v>6.0053911280812073</v>
      </c>
      <c r="BG61" s="99">
        <v>5714.7301974820766</v>
      </c>
      <c r="BH61" s="99">
        <v>2.9072972354661921</v>
      </c>
      <c r="BI61" s="99">
        <v>2766.5840492696279</v>
      </c>
      <c r="BJ61" s="99">
        <v>6</v>
      </c>
      <c r="BK61" s="99">
        <v>5709.5999999999995</v>
      </c>
      <c r="BL61" s="99">
        <v>8</v>
      </c>
      <c r="BM61" s="99">
        <v>7612.7999999999993</v>
      </c>
      <c r="BN61" s="99">
        <v>10</v>
      </c>
      <c r="BO61" s="99">
        <v>9516</v>
      </c>
      <c r="BP61" s="99">
        <v>9</v>
      </c>
      <c r="BQ61" s="99">
        <v>8564.4</v>
      </c>
      <c r="BR61" s="99">
        <v>8.3816035116790317</v>
      </c>
      <c r="BS61" s="99">
        <v>7975.9339017137654</v>
      </c>
      <c r="BT61" s="99">
        <v>10.610409291710498</v>
      </c>
      <c r="BU61" s="99">
        <v>10096.865481991708</v>
      </c>
      <c r="BV61" s="99">
        <v>6.589646756430751</v>
      </c>
      <c r="BW61" s="99">
        <v>6270.7078534195025</v>
      </c>
      <c r="BX61" s="99">
        <v>8.1855846768649005</v>
      </c>
      <c r="BY61" s="99">
        <v>7789.4023785046384</v>
      </c>
      <c r="BZ61" s="99">
        <v>6</v>
      </c>
      <c r="CA61" s="99">
        <v>5709.5999999999995</v>
      </c>
      <c r="CB61" s="99">
        <v>10</v>
      </c>
      <c r="CC61" s="99">
        <v>9516</v>
      </c>
      <c r="CD61" s="99">
        <v>7</v>
      </c>
      <c r="CE61" s="99">
        <v>6661.1999999999989</v>
      </c>
      <c r="CF61" s="99">
        <v>8.7437670628391526</v>
      </c>
      <c r="CG61" s="99">
        <v>8320.5687369977368</v>
      </c>
      <c r="CH61" s="99">
        <v>0</v>
      </c>
      <c r="CI61" s="99">
        <v>0</v>
      </c>
      <c r="CJ61" s="99">
        <v>7.2771844261396508</v>
      </c>
      <c r="CK61" s="99">
        <v>6924.9686999144906</v>
      </c>
      <c r="CL61" s="99">
        <v>9</v>
      </c>
      <c r="CM61" s="99">
        <v>8564.4</v>
      </c>
      <c r="CN61" s="99">
        <v>8</v>
      </c>
      <c r="CO61" s="99">
        <v>7612.7999999999993</v>
      </c>
      <c r="CP61" s="99">
        <v>6</v>
      </c>
      <c r="CQ61" s="99">
        <v>5709.5999999999995</v>
      </c>
      <c r="CR61" s="99">
        <v>10</v>
      </c>
      <c r="CS61" s="99">
        <v>9516</v>
      </c>
      <c r="CT61" s="99">
        <v>7</v>
      </c>
      <c r="CU61" s="99">
        <v>6661.1999999999989</v>
      </c>
    </row>
    <row r="62" spans="2:99">
      <c r="C62" s="98" t="s">
        <v>228</v>
      </c>
      <c r="D62" s="99">
        <v>5</v>
      </c>
      <c r="E62" s="99">
        <v>8346</v>
      </c>
      <c r="F62" s="99">
        <v>8</v>
      </c>
      <c r="G62" s="99">
        <v>13353.6</v>
      </c>
      <c r="H62" s="99">
        <v>9</v>
      </c>
      <c r="I62" s="99">
        <v>15022.800000000001</v>
      </c>
      <c r="J62" s="99">
        <v>8</v>
      </c>
      <c r="K62" s="99">
        <v>13353.6</v>
      </c>
      <c r="L62" s="99">
        <v>6</v>
      </c>
      <c r="M62" s="99">
        <v>10015.200000000001</v>
      </c>
      <c r="N62" s="99">
        <v>8</v>
      </c>
      <c r="O62" s="99">
        <v>13353.6</v>
      </c>
      <c r="P62" s="99">
        <v>3.9185488779920785</v>
      </c>
      <c r="Q62" s="99">
        <v>6540.841787144378</v>
      </c>
      <c r="R62" s="99">
        <v>0</v>
      </c>
      <c r="S62" s="99">
        <v>0</v>
      </c>
      <c r="T62" s="99">
        <v>0</v>
      </c>
      <c r="U62" s="99">
        <v>0</v>
      </c>
      <c r="V62" s="99">
        <v>0</v>
      </c>
      <c r="W62" s="99">
        <v>0</v>
      </c>
      <c r="X62" s="99">
        <v>4.0494460742053198</v>
      </c>
      <c r="Y62" s="99">
        <v>6759.3353870635201</v>
      </c>
      <c r="Z62" s="99">
        <v>7.4494526836795973</v>
      </c>
      <c r="AA62" s="99">
        <v>12434.626419597984</v>
      </c>
      <c r="AB62" s="99">
        <v>7.940533922045069</v>
      </c>
      <c r="AC62" s="99">
        <v>13254.33922267763</v>
      </c>
      <c r="AD62" s="99">
        <v>3.6567878739246864</v>
      </c>
      <c r="AE62" s="99">
        <v>6103.9103191550867</v>
      </c>
      <c r="AF62" s="99">
        <v>8</v>
      </c>
      <c r="AG62" s="99">
        <v>13353.6</v>
      </c>
      <c r="AH62" s="99">
        <v>10</v>
      </c>
      <c r="AI62" s="99">
        <v>16692</v>
      </c>
      <c r="AJ62" s="99">
        <v>6</v>
      </c>
      <c r="AK62" s="99">
        <v>10015.200000000001</v>
      </c>
      <c r="AL62" s="99">
        <v>9</v>
      </c>
      <c r="AM62" s="99">
        <v>15022.800000000001</v>
      </c>
      <c r="AN62" s="99">
        <v>8.3567808214028787</v>
      </c>
      <c r="AO62" s="99">
        <v>13949.138547085686</v>
      </c>
      <c r="AP62" s="99">
        <v>3.5537797648000473</v>
      </c>
      <c r="AQ62" s="99">
        <v>5931.9691834042387</v>
      </c>
      <c r="AR62" s="99">
        <v>9</v>
      </c>
      <c r="AS62" s="99">
        <v>15022.800000000001</v>
      </c>
      <c r="AT62" s="99">
        <v>6</v>
      </c>
      <c r="AU62" s="99">
        <v>10015.200000000001</v>
      </c>
      <c r="AV62" s="99">
        <v>10.252193559560318</v>
      </c>
      <c r="AW62" s="99">
        <v>17112.961489618083</v>
      </c>
      <c r="AX62" s="99">
        <v>5.5833271629194554</v>
      </c>
      <c r="AY62" s="99">
        <v>9319.6897003451559</v>
      </c>
      <c r="AZ62" s="99">
        <v>4.2453870132797711</v>
      </c>
      <c r="BA62" s="99">
        <v>7086.4000025665937</v>
      </c>
      <c r="BB62" s="99">
        <v>6.6596311943256152</v>
      </c>
      <c r="BC62" s="99">
        <v>11116.256389568318</v>
      </c>
      <c r="BD62" s="99">
        <v>6.0409769303718708</v>
      </c>
      <c r="BE62" s="99">
        <v>10083.598692176727</v>
      </c>
      <c r="BF62" s="99">
        <v>3.4836854893602043</v>
      </c>
      <c r="BG62" s="99">
        <v>5814.967818840053</v>
      </c>
      <c r="BH62" s="99">
        <v>8.8755576774030818</v>
      </c>
      <c r="BI62" s="99">
        <v>14815.080875121224</v>
      </c>
      <c r="BJ62" s="99">
        <v>3.4564159356274429</v>
      </c>
      <c r="BK62" s="99">
        <v>5769.449479749328</v>
      </c>
      <c r="BL62" s="99">
        <v>5.264279896466916</v>
      </c>
      <c r="BM62" s="99">
        <v>8787.136003182577</v>
      </c>
      <c r="BN62" s="99">
        <v>9</v>
      </c>
      <c r="BO62" s="99">
        <v>15022.800000000001</v>
      </c>
      <c r="BP62" s="99">
        <v>8.300364240231108</v>
      </c>
      <c r="BQ62" s="99">
        <v>13854.967989793766</v>
      </c>
      <c r="BR62" s="99">
        <v>4.0050533857270372</v>
      </c>
      <c r="BS62" s="99">
        <v>6685.2351114555704</v>
      </c>
      <c r="BT62" s="99">
        <v>9</v>
      </c>
      <c r="BU62" s="99">
        <v>15022.800000000001</v>
      </c>
      <c r="BV62" s="99">
        <v>9.5763213446252085</v>
      </c>
      <c r="BW62" s="99">
        <v>15984.795588448398</v>
      </c>
      <c r="BX62" s="99">
        <v>6.8997843303207151</v>
      </c>
      <c r="BY62" s="99">
        <v>11517.120004171338</v>
      </c>
      <c r="BZ62" s="99">
        <v>5.8184146224108</v>
      </c>
      <c r="CA62" s="99">
        <v>9712.0976877281082</v>
      </c>
      <c r="CB62" s="99">
        <v>8.3559998356617715</v>
      </c>
      <c r="CC62" s="99">
        <v>13947.83492568663</v>
      </c>
      <c r="CD62" s="99">
        <v>3.0770532109854067</v>
      </c>
      <c r="CE62" s="99">
        <v>5136.2172197768414</v>
      </c>
      <c r="CF62" s="99">
        <v>9.1915998192279478</v>
      </c>
      <c r="CG62" s="99">
        <v>15342.618418255292</v>
      </c>
      <c r="CH62" s="99">
        <v>8.8834723252879186</v>
      </c>
      <c r="CI62" s="99">
        <v>14828.292005370595</v>
      </c>
      <c r="CJ62" s="99">
        <v>8</v>
      </c>
      <c r="CK62" s="99">
        <v>13353.6</v>
      </c>
      <c r="CL62" s="99">
        <v>8.3985218973257911</v>
      </c>
      <c r="CM62" s="99">
        <v>14018.81275101621</v>
      </c>
      <c r="CN62" s="99">
        <v>7.036413723000333</v>
      </c>
      <c r="CO62" s="99">
        <v>11745.181786432157</v>
      </c>
      <c r="CP62" s="99">
        <v>4.5998562202138089</v>
      </c>
      <c r="CQ62" s="99">
        <v>7678.08000278089</v>
      </c>
      <c r="CR62" s="99">
        <v>9</v>
      </c>
      <c r="CS62" s="99">
        <v>15022.800000000001</v>
      </c>
      <c r="CT62" s="99">
        <v>6.2766365142235276</v>
      </c>
      <c r="CU62" s="99">
        <v>10476.961669541912</v>
      </c>
    </row>
    <row r="63" spans="2:99">
      <c r="C63" s="98" t="s">
        <v>229</v>
      </c>
      <c r="D63" s="99">
        <v>6</v>
      </c>
      <c r="E63" s="99">
        <v>4773.6000000000004</v>
      </c>
      <c r="F63" s="99">
        <v>8</v>
      </c>
      <c r="G63" s="99">
        <v>6364.8</v>
      </c>
      <c r="H63" s="99">
        <v>10</v>
      </c>
      <c r="I63" s="99">
        <v>7956</v>
      </c>
      <c r="J63" s="99">
        <v>9</v>
      </c>
      <c r="K63" s="99">
        <v>7160.4000000000005</v>
      </c>
      <c r="L63" s="99">
        <v>4.2302690022050333</v>
      </c>
      <c r="M63" s="99">
        <v>3365.6020181543245</v>
      </c>
      <c r="N63" s="99">
        <v>8</v>
      </c>
      <c r="O63" s="99">
        <v>6364.8</v>
      </c>
      <c r="P63" s="99">
        <v>10</v>
      </c>
      <c r="Q63" s="99">
        <v>7956</v>
      </c>
      <c r="R63" s="99">
        <v>8</v>
      </c>
      <c r="S63" s="99">
        <v>6364.8</v>
      </c>
      <c r="T63" s="99">
        <v>10</v>
      </c>
      <c r="U63" s="99">
        <v>7956</v>
      </c>
      <c r="V63" s="99">
        <v>6</v>
      </c>
      <c r="W63" s="99">
        <v>4773.6000000000004</v>
      </c>
      <c r="X63" s="99">
        <v>6</v>
      </c>
      <c r="Y63" s="99">
        <v>4773.6000000000004</v>
      </c>
      <c r="Z63" s="99">
        <v>10</v>
      </c>
      <c r="AA63" s="99">
        <v>7956</v>
      </c>
      <c r="AB63" s="99">
        <v>8</v>
      </c>
      <c r="AC63" s="99">
        <v>6364.8</v>
      </c>
      <c r="AD63" s="99">
        <v>6.2038562729366582</v>
      </c>
      <c r="AE63" s="99">
        <v>4935.7880507484051</v>
      </c>
      <c r="AF63" s="99">
        <v>5.4389373184949994</v>
      </c>
      <c r="AG63" s="99">
        <v>4327.2185305946214</v>
      </c>
      <c r="AH63" s="99">
        <v>9.7029125681862016</v>
      </c>
      <c r="AI63" s="99">
        <v>7719.637239248942</v>
      </c>
      <c r="AJ63" s="99">
        <v>7</v>
      </c>
      <c r="AK63" s="99">
        <v>5569.2</v>
      </c>
      <c r="AL63" s="99">
        <v>8</v>
      </c>
      <c r="AM63" s="99">
        <v>6364.8</v>
      </c>
      <c r="AN63" s="99">
        <v>9</v>
      </c>
      <c r="AO63" s="99">
        <v>7160.4000000000005</v>
      </c>
      <c r="AP63" s="99">
        <v>6</v>
      </c>
      <c r="AQ63" s="99">
        <v>4773.6000000000004</v>
      </c>
      <c r="AR63" s="99">
        <v>9.0255337982263715</v>
      </c>
      <c r="AS63" s="99">
        <v>7180.7146898689016</v>
      </c>
      <c r="AT63" s="99">
        <v>3.3682886196411213</v>
      </c>
      <c r="AU63" s="99">
        <v>2679.8104257864761</v>
      </c>
      <c r="AV63" s="99">
        <v>9.5685427877229809</v>
      </c>
      <c r="AW63" s="99">
        <v>7612.7326419124038</v>
      </c>
      <c r="AX63" s="99">
        <v>7</v>
      </c>
      <c r="AY63" s="99">
        <v>5569.2</v>
      </c>
      <c r="AZ63" s="99">
        <v>6</v>
      </c>
      <c r="BA63" s="99">
        <v>4773.6000000000004</v>
      </c>
      <c r="BB63" s="99">
        <v>4.4074946889135163</v>
      </c>
      <c r="BC63" s="99">
        <v>3506.6027744995936</v>
      </c>
      <c r="BD63" s="99">
        <v>7</v>
      </c>
      <c r="BE63" s="99">
        <v>5569.2</v>
      </c>
      <c r="BF63" s="99">
        <v>6.0053911280812073</v>
      </c>
      <c r="BG63" s="99">
        <v>4777.8891815014085</v>
      </c>
      <c r="BH63" s="99">
        <v>2.5842642093032819</v>
      </c>
      <c r="BI63" s="99">
        <v>2056.0406049216913</v>
      </c>
      <c r="BJ63" s="99">
        <v>6</v>
      </c>
      <c r="BK63" s="99">
        <v>4773.6000000000004</v>
      </c>
      <c r="BL63" s="99">
        <v>9</v>
      </c>
      <c r="BM63" s="99">
        <v>7160.4000000000005</v>
      </c>
      <c r="BN63" s="99">
        <v>10</v>
      </c>
      <c r="BO63" s="99">
        <v>7956</v>
      </c>
      <c r="BP63" s="99">
        <v>10</v>
      </c>
      <c r="BQ63" s="99">
        <v>7956</v>
      </c>
      <c r="BR63" s="99">
        <v>8.3816035116790317</v>
      </c>
      <c r="BS63" s="99">
        <v>6668.4037538918383</v>
      </c>
      <c r="BT63" s="99">
        <v>10.610409291710498</v>
      </c>
      <c r="BU63" s="99">
        <v>8441.6416324848724</v>
      </c>
      <c r="BV63" s="99">
        <v>7.3218297293675008</v>
      </c>
      <c r="BW63" s="99">
        <v>5825.2477326847838</v>
      </c>
      <c r="BX63" s="99">
        <v>8.1855846768649005</v>
      </c>
      <c r="BY63" s="99">
        <v>6512.4511689137153</v>
      </c>
      <c r="BZ63" s="99">
        <v>6</v>
      </c>
      <c r="CA63" s="99">
        <v>4773.6000000000004</v>
      </c>
      <c r="CB63" s="99">
        <v>10</v>
      </c>
      <c r="CC63" s="99">
        <v>7956</v>
      </c>
      <c r="CD63" s="99">
        <v>7</v>
      </c>
      <c r="CE63" s="99">
        <v>5569.2</v>
      </c>
      <c r="CF63" s="99">
        <v>8.7437670628391526</v>
      </c>
      <c r="CG63" s="99">
        <v>6956.5410751948302</v>
      </c>
      <c r="CH63" s="99">
        <v>0</v>
      </c>
      <c r="CI63" s="99">
        <v>0</v>
      </c>
      <c r="CJ63" s="99">
        <v>5.6600323314419496</v>
      </c>
      <c r="CK63" s="99">
        <v>4503.1217228952155</v>
      </c>
      <c r="CL63" s="99">
        <v>9</v>
      </c>
      <c r="CM63" s="99">
        <v>7160.4000000000005</v>
      </c>
      <c r="CN63" s="99">
        <v>10</v>
      </c>
      <c r="CO63" s="99">
        <v>7956</v>
      </c>
      <c r="CP63" s="99">
        <v>7</v>
      </c>
      <c r="CQ63" s="99">
        <v>5569.2</v>
      </c>
      <c r="CR63" s="99">
        <v>11</v>
      </c>
      <c r="CS63" s="99">
        <v>8751.6</v>
      </c>
      <c r="CT63" s="99">
        <v>7</v>
      </c>
      <c r="CU63" s="99">
        <v>5569.2</v>
      </c>
    </row>
    <row r="64" spans="2:99">
      <c r="C64" s="98" t="s">
        <v>230</v>
      </c>
      <c r="D64" s="99">
        <v>6</v>
      </c>
      <c r="E64" s="99">
        <v>6055.1999999999989</v>
      </c>
      <c r="F64" s="99">
        <v>8</v>
      </c>
      <c r="G64" s="99">
        <v>8073.5999999999985</v>
      </c>
      <c r="H64" s="99">
        <v>11</v>
      </c>
      <c r="I64" s="99">
        <v>11101.199999999997</v>
      </c>
      <c r="J64" s="99">
        <v>8</v>
      </c>
      <c r="K64" s="99">
        <v>8073.5999999999985</v>
      </c>
      <c r="L64" s="99">
        <v>3.6259448590328858</v>
      </c>
      <c r="M64" s="99">
        <v>3659.3035517359876</v>
      </c>
      <c r="N64" s="99">
        <v>7</v>
      </c>
      <c r="O64" s="99">
        <v>7064.3999999999987</v>
      </c>
      <c r="P64" s="99">
        <v>9</v>
      </c>
      <c r="Q64" s="99">
        <v>9082.7999999999993</v>
      </c>
      <c r="R64" s="99">
        <v>8</v>
      </c>
      <c r="S64" s="99">
        <v>8073.5999999999985</v>
      </c>
      <c r="T64" s="99">
        <v>10</v>
      </c>
      <c r="U64" s="99">
        <v>10091.999999999998</v>
      </c>
      <c r="V64" s="99">
        <v>7</v>
      </c>
      <c r="W64" s="99">
        <v>7064.3999999999987</v>
      </c>
      <c r="X64" s="99">
        <v>6</v>
      </c>
      <c r="Y64" s="99">
        <v>6055.1999999999989</v>
      </c>
      <c r="Z64" s="99">
        <v>12</v>
      </c>
      <c r="AA64" s="99">
        <v>12110.399999999998</v>
      </c>
      <c r="AB64" s="99">
        <v>8</v>
      </c>
      <c r="AC64" s="99">
        <v>8073.5999999999985</v>
      </c>
      <c r="AD64" s="99">
        <v>7.090121454784752</v>
      </c>
      <c r="AE64" s="99">
        <v>7155.3505721687707</v>
      </c>
      <c r="AF64" s="99">
        <v>5.4389373184949994</v>
      </c>
      <c r="AG64" s="99">
        <v>5488.9755418251525</v>
      </c>
      <c r="AH64" s="99">
        <v>9.7029125681862016</v>
      </c>
      <c r="AI64" s="99">
        <v>9792.1793638135132</v>
      </c>
      <c r="AJ64" s="99">
        <v>7</v>
      </c>
      <c r="AK64" s="99">
        <v>7064.3999999999987</v>
      </c>
      <c r="AL64" s="99">
        <v>9</v>
      </c>
      <c r="AM64" s="99">
        <v>9082.7999999999993</v>
      </c>
      <c r="AN64" s="99">
        <v>10</v>
      </c>
      <c r="AO64" s="99">
        <v>10091.999999999998</v>
      </c>
      <c r="AP64" s="99">
        <v>6</v>
      </c>
      <c r="AQ64" s="99">
        <v>6055.1999999999989</v>
      </c>
      <c r="AR64" s="99">
        <v>9.9280871780490099</v>
      </c>
      <c r="AS64" s="99">
        <v>10019.42558008706</v>
      </c>
      <c r="AT64" s="99">
        <v>3.3682886196411213</v>
      </c>
      <c r="AU64" s="99">
        <v>3399.2768749418187</v>
      </c>
      <c r="AV64" s="99">
        <v>9.5685427877229809</v>
      </c>
      <c r="AW64" s="99">
        <v>9656.5733813700299</v>
      </c>
      <c r="AX64" s="99">
        <v>6</v>
      </c>
      <c r="AY64" s="99">
        <v>6055.1999999999989</v>
      </c>
      <c r="AZ64" s="99">
        <v>6</v>
      </c>
      <c r="BA64" s="99">
        <v>6055.1999999999989</v>
      </c>
      <c r="BB64" s="99">
        <v>3.8565578527993267</v>
      </c>
      <c r="BC64" s="99">
        <v>3892.0381850450799</v>
      </c>
      <c r="BD64" s="99">
        <v>6</v>
      </c>
      <c r="BE64" s="99">
        <v>6055.1999999999989</v>
      </c>
      <c r="BF64" s="99">
        <v>5.2547172370710564</v>
      </c>
      <c r="BG64" s="99">
        <v>5303.0606356521093</v>
      </c>
      <c r="BH64" s="99">
        <v>2.9072972354661921</v>
      </c>
      <c r="BI64" s="99">
        <v>2934.0443700324804</v>
      </c>
      <c r="BJ64" s="99">
        <v>6</v>
      </c>
      <c r="BK64" s="99">
        <v>6055.1999999999989</v>
      </c>
      <c r="BL64" s="99">
        <v>8</v>
      </c>
      <c r="BM64" s="99">
        <v>8073.5999999999985</v>
      </c>
      <c r="BN64" s="99">
        <v>11</v>
      </c>
      <c r="BO64" s="99">
        <v>11101.199999999997</v>
      </c>
      <c r="BP64" s="99">
        <v>9</v>
      </c>
      <c r="BQ64" s="99">
        <v>9082.7999999999993</v>
      </c>
      <c r="BR64" s="99">
        <v>9.3128927907544803</v>
      </c>
      <c r="BS64" s="99">
        <v>9398.57140442942</v>
      </c>
      <c r="BT64" s="99">
        <v>11.574991954593271</v>
      </c>
      <c r="BU64" s="99">
        <v>11681.481880575528</v>
      </c>
      <c r="BV64" s="99">
        <v>7.3218297293675008</v>
      </c>
      <c r="BW64" s="99">
        <v>7389.1905628776803</v>
      </c>
      <c r="BX64" s="99">
        <v>7.3670262091784107</v>
      </c>
      <c r="BY64" s="99">
        <v>7434.8028503028509</v>
      </c>
      <c r="BZ64" s="99">
        <v>7</v>
      </c>
      <c r="CA64" s="99">
        <v>7064.3999999999987</v>
      </c>
      <c r="CB64" s="99">
        <v>11</v>
      </c>
      <c r="CC64" s="99">
        <v>11101.199999999997</v>
      </c>
      <c r="CD64" s="99">
        <v>7</v>
      </c>
      <c r="CE64" s="99">
        <v>7064.3999999999987</v>
      </c>
      <c r="CF64" s="99">
        <v>7.9488791480355943</v>
      </c>
      <c r="CG64" s="99">
        <v>8022.0088361975204</v>
      </c>
      <c r="CH64" s="99">
        <v>0</v>
      </c>
      <c r="CI64" s="99">
        <v>0</v>
      </c>
      <c r="CJ64" s="99">
        <v>5.6600323314419496</v>
      </c>
      <c r="CK64" s="99">
        <v>5712.1046288912148</v>
      </c>
      <c r="CL64" s="99">
        <v>10</v>
      </c>
      <c r="CM64" s="99">
        <v>10091.999999999998</v>
      </c>
      <c r="CN64" s="99">
        <v>10</v>
      </c>
      <c r="CO64" s="99">
        <v>10091.999999999998</v>
      </c>
      <c r="CP64" s="99">
        <v>6</v>
      </c>
      <c r="CQ64" s="99">
        <v>6055.1999999999989</v>
      </c>
      <c r="CR64" s="99">
        <v>9</v>
      </c>
      <c r="CS64" s="99">
        <v>9082.7999999999993</v>
      </c>
      <c r="CT64" s="99">
        <v>6</v>
      </c>
      <c r="CU64" s="99">
        <v>6055.1999999999989</v>
      </c>
    </row>
    <row r="65" spans="2:99">
      <c r="C65" s="98" t="s">
        <v>231</v>
      </c>
      <c r="D65" s="99">
        <v>5</v>
      </c>
      <c r="E65" s="99">
        <v>5130</v>
      </c>
      <c r="F65" s="99">
        <v>8</v>
      </c>
      <c r="G65" s="99">
        <v>8208</v>
      </c>
      <c r="H65" s="99">
        <v>10</v>
      </c>
      <c r="I65" s="99">
        <v>10260</v>
      </c>
      <c r="J65" s="99">
        <v>9</v>
      </c>
      <c r="K65" s="99">
        <v>9234</v>
      </c>
      <c r="L65" s="99">
        <v>3.6259448590328858</v>
      </c>
      <c r="M65" s="99">
        <v>3720.2194253677408</v>
      </c>
      <c r="N65" s="99">
        <v>8</v>
      </c>
      <c r="O65" s="99">
        <v>8208</v>
      </c>
      <c r="P65" s="99">
        <v>9</v>
      </c>
      <c r="Q65" s="99">
        <v>9234</v>
      </c>
      <c r="R65" s="99">
        <v>8</v>
      </c>
      <c r="S65" s="99">
        <v>8208</v>
      </c>
      <c r="T65" s="99">
        <v>10</v>
      </c>
      <c r="U65" s="99">
        <v>10260</v>
      </c>
      <c r="V65" s="99">
        <v>7</v>
      </c>
      <c r="W65" s="99">
        <v>7182</v>
      </c>
      <c r="X65" s="99">
        <v>6</v>
      </c>
      <c r="Y65" s="99">
        <v>6156</v>
      </c>
      <c r="Z65" s="99">
        <v>11</v>
      </c>
      <c r="AA65" s="99">
        <v>11286</v>
      </c>
      <c r="AB65" s="99">
        <v>9</v>
      </c>
      <c r="AC65" s="99">
        <v>9234</v>
      </c>
      <c r="AD65" s="99">
        <v>7.9763866366328466</v>
      </c>
      <c r="AE65" s="99">
        <v>8183.7726891853008</v>
      </c>
      <c r="AF65" s="99">
        <v>5.4389373184949994</v>
      </c>
      <c r="AG65" s="99">
        <v>5580.3496887758693</v>
      </c>
      <c r="AH65" s="99">
        <v>8.7326213113675806</v>
      </c>
      <c r="AI65" s="99">
        <v>8959.6694654631374</v>
      </c>
      <c r="AJ65" s="99">
        <v>7</v>
      </c>
      <c r="AK65" s="99">
        <v>7182</v>
      </c>
      <c r="AL65" s="99">
        <v>8</v>
      </c>
      <c r="AM65" s="99">
        <v>8208</v>
      </c>
      <c r="AN65" s="99">
        <v>9</v>
      </c>
      <c r="AO65" s="99">
        <v>9234</v>
      </c>
      <c r="AP65" s="99">
        <v>6</v>
      </c>
      <c r="AQ65" s="99">
        <v>6156</v>
      </c>
      <c r="AR65" s="99">
        <v>9.9280871780490099</v>
      </c>
      <c r="AS65" s="99">
        <v>10186.217444678285</v>
      </c>
      <c r="AT65" s="99">
        <v>3.9296700562479749</v>
      </c>
      <c r="AU65" s="99">
        <v>4031.8414777104222</v>
      </c>
      <c r="AV65" s="99">
        <v>10.438410313879615</v>
      </c>
      <c r="AW65" s="99">
        <v>10709.808982040486</v>
      </c>
      <c r="AX65" s="99">
        <v>7</v>
      </c>
      <c r="AY65" s="99">
        <v>7182</v>
      </c>
      <c r="AZ65" s="99">
        <v>6</v>
      </c>
      <c r="BA65" s="99">
        <v>6156</v>
      </c>
      <c r="BB65" s="99">
        <v>4.4074946889135163</v>
      </c>
      <c r="BC65" s="99">
        <v>4522.0895508252679</v>
      </c>
      <c r="BD65" s="99">
        <v>6</v>
      </c>
      <c r="BE65" s="99">
        <v>6156</v>
      </c>
      <c r="BF65" s="99">
        <v>5.2547172370710564</v>
      </c>
      <c r="BG65" s="99">
        <v>5391.3398852349037</v>
      </c>
      <c r="BH65" s="99">
        <v>2.9072972354661921</v>
      </c>
      <c r="BI65" s="99">
        <v>2982.8869635883129</v>
      </c>
      <c r="BJ65" s="99">
        <v>6</v>
      </c>
      <c r="BK65" s="99">
        <v>6156</v>
      </c>
      <c r="BL65" s="99">
        <v>7</v>
      </c>
      <c r="BM65" s="99">
        <v>7182</v>
      </c>
      <c r="BN65" s="99">
        <v>9</v>
      </c>
      <c r="BO65" s="99">
        <v>9234</v>
      </c>
      <c r="BP65" s="99">
        <v>10</v>
      </c>
      <c r="BQ65" s="99">
        <v>10260</v>
      </c>
      <c r="BR65" s="99">
        <v>8.3816035116790317</v>
      </c>
      <c r="BS65" s="99">
        <v>8599.5252029826861</v>
      </c>
      <c r="BT65" s="99">
        <v>10.610409291710498</v>
      </c>
      <c r="BU65" s="99">
        <v>10886.279933294971</v>
      </c>
      <c r="BV65" s="99">
        <v>7.3218297293675008</v>
      </c>
      <c r="BW65" s="99">
        <v>7512.1973023310557</v>
      </c>
      <c r="BX65" s="99">
        <v>8.1855846768649005</v>
      </c>
      <c r="BY65" s="99">
        <v>8398.4098784633879</v>
      </c>
      <c r="BZ65" s="99">
        <v>7</v>
      </c>
      <c r="CA65" s="99">
        <v>7182</v>
      </c>
      <c r="CB65" s="99">
        <v>11</v>
      </c>
      <c r="CC65" s="99">
        <v>11286</v>
      </c>
      <c r="CD65" s="99">
        <v>7</v>
      </c>
      <c r="CE65" s="99">
        <v>7182</v>
      </c>
      <c r="CF65" s="99">
        <v>9.5386549776427128</v>
      </c>
      <c r="CG65" s="99">
        <v>9786.660007061424</v>
      </c>
      <c r="CH65" s="99">
        <v>0</v>
      </c>
      <c r="CI65" s="99">
        <v>0</v>
      </c>
      <c r="CJ65" s="99">
        <v>5.6600323314419496</v>
      </c>
      <c r="CK65" s="99">
        <v>5807.1931720594403</v>
      </c>
      <c r="CL65" s="99">
        <v>10</v>
      </c>
      <c r="CM65" s="99">
        <v>10260</v>
      </c>
      <c r="CN65" s="99">
        <v>9</v>
      </c>
      <c r="CO65" s="99">
        <v>9234</v>
      </c>
      <c r="CP65" s="99">
        <v>7</v>
      </c>
      <c r="CQ65" s="99">
        <v>7182</v>
      </c>
      <c r="CR65" s="99">
        <v>11</v>
      </c>
      <c r="CS65" s="99">
        <v>11286</v>
      </c>
      <c r="CT65" s="99">
        <v>7</v>
      </c>
      <c r="CU65" s="99">
        <v>7182</v>
      </c>
    </row>
    <row r="66" spans="2:99">
      <c r="C66" s="98" t="s">
        <v>232</v>
      </c>
      <c r="D66" s="99">
        <v>6</v>
      </c>
      <c r="E66" s="99">
        <v>7142.4</v>
      </c>
      <c r="F66" s="99">
        <v>8</v>
      </c>
      <c r="G66" s="99">
        <v>9523.1999999999989</v>
      </c>
      <c r="H66" s="99">
        <v>9</v>
      </c>
      <c r="I66" s="99">
        <v>10713.599999999999</v>
      </c>
      <c r="J66" s="99">
        <v>9</v>
      </c>
      <c r="K66" s="99">
        <v>10713.599999999999</v>
      </c>
      <c r="L66" s="99">
        <v>4.2302690022050333</v>
      </c>
      <c r="M66" s="99">
        <v>5035.7122202248711</v>
      </c>
      <c r="N66" s="99">
        <v>7</v>
      </c>
      <c r="O66" s="99">
        <v>8332.7999999999993</v>
      </c>
      <c r="P66" s="99">
        <v>8</v>
      </c>
      <c r="Q66" s="99">
        <v>9523.1999999999989</v>
      </c>
      <c r="R66" s="99">
        <v>8</v>
      </c>
      <c r="S66" s="99">
        <v>9523.1999999999989</v>
      </c>
      <c r="T66" s="99">
        <v>10</v>
      </c>
      <c r="U66" s="99">
        <v>11903.999999999998</v>
      </c>
      <c r="V66" s="99">
        <v>6</v>
      </c>
      <c r="W66" s="99">
        <v>7142.4</v>
      </c>
      <c r="X66" s="99">
        <v>6</v>
      </c>
      <c r="Y66" s="99">
        <v>7142.4</v>
      </c>
      <c r="Z66" s="99">
        <v>10</v>
      </c>
      <c r="AA66" s="99">
        <v>11903.999999999998</v>
      </c>
      <c r="AB66" s="99">
        <v>9</v>
      </c>
      <c r="AC66" s="99">
        <v>10713.599999999999</v>
      </c>
      <c r="AD66" s="99">
        <v>7.090121454784752</v>
      </c>
      <c r="AE66" s="99">
        <v>8440.0805797757675</v>
      </c>
      <c r="AF66" s="99">
        <v>6.2159283639942844</v>
      </c>
      <c r="AG66" s="99">
        <v>7399.441124498795</v>
      </c>
      <c r="AH66" s="99">
        <v>8.7326213113675806</v>
      </c>
      <c r="AI66" s="99">
        <v>10395.312409051967</v>
      </c>
      <c r="AJ66" s="99">
        <v>6</v>
      </c>
      <c r="AK66" s="99">
        <v>7142.4</v>
      </c>
      <c r="AL66" s="99">
        <v>9</v>
      </c>
      <c r="AM66" s="99">
        <v>10713.599999999999</v>
      </c>
      <c r="AN66" s="99">
        <v>10</v>
      </c>
      <c r="AO66" s="99">
        <v>11903.999999999998</v>
      </c>
      <c r="AP66" s="99">
        <v>6</v>
      </c>
      <c r="AQ66" s="99">
        <v>7142.4</v>
      </c>
      <c r="AR66" s="99">
        <v>9.9280871780490099</v>
      </c>
      <c r="AS66" s="99">
        <v>11818.39497674954</v>
      </c>
      <c r="AT66" s="99">
        <v>3.9296700562479749</v>
      </c>
      <c r="AU66" s="99">
        <v>4677.8792349575888</v>
      </c>
      <c r="AV66" s="99">
        <v>9.5685427877229809</v>
      </c>
      <c r="AW66" s="99">
        <v>11390.393334505436</v>
      </c>
      <c r="AX66" s="99">
        <v>6</v>
      </c>
      <c r="AY66" s="99">
        <v>7142.4</v>
      </c>
      <c r="AZ66" s="99">
        <v>6</v>
      </c>
      <c r="BA66" s="99">
        <v>7142.4</v>
      </c>
      <c r="BB66" s="99">
        <v>3.8565578527993267</v>
      </c>
      <c r="BC66" s="99">
        <v>4590.8464679723184</v>
      </c>
      <c r="BD66" s="99">
        <v>7</v>
      </c>
      <c r="BE66" s="99">
        <v>8332.7999999999993</v>
      </c>
      <c r="BF66" s="99">
        <v>6.0053911280812073</v>
      </c>
      <c r="BG66" s="99">
        <v>7148.8175988678686</v>
      </c>
      <c r="BH66" s="99">
        <v>2.5842642093032819</v>
      </c>
      <c r="BI66" s="99">
        <v>3076.3081147546263</v>
      </c>
      <c r="BJ66" s="99">
        <v>5</v>
      </c>
      <c r="BK66" s="99">
        <v>5951.9999999999991</v>
      </c>
      <c r="BL66" s="99">
        <v>8</v>
      </c>
      <c r="BM66" s="99">
        <v>9523.1999999999989</v>
      </c>
      <c r="BN66" s="99">
        <v>11</v>
      </c>
      <c r="BO66" s="99">
        <v>13094.399999999998</v>
      </c>
      <c r="BP66" s="99">
        <v>9</v>
      </c>
      <c r="BQ66" s="99">
        <v>10713.599999999999</v>
      </c>
      <c r="BR66" s="99">
        <v>9.3128927907544803</v>
      </c>
      <c r="BS66" s="99">
        <v>11086.067578114133</v>
      </c>
      <c r="BT66" s="99">
        <v>10.610409291710498</v>
      </c>
      <c r="BU66" s="99">
        <v>12630.631220852176</v>
      </c>
      <c r="BV66" s="99">
        <v>6.589646756430751</v>
      </c>
      <c r="BW66" s="99">
        <v>7844.3154988551651</v>
      </c>
      <c r="BX66" s="99">
        <v>7.3670262091784107</v>
      </c>
      <c r="BY66" s="99">
        <v>8769.7079994059786</v>
      </c>
      <c r="BZ66" s="99">
        <v>6</v>
      </c>
      <c r="CA66" s="99">
        <v>7142.4</v>
      </c>
      <c r="CB66" s="99">
        <v>11</v>
      </c>
      <c r="CC66" s="99">
        <v>13094.399999999998</v>
      </c>
      <c r="CD66" s="99">
        <v>7</v>
      </c>
      <c r="CE66" s="99">
        <v>8332.7999999999993</v>
      </c>
      <c r="CF66" s="99">
        <v>8.7437670628391526</v>
      </c>
      <c r="CG66" s="99">
        <v>10408.580311603726</v>
      </c>
      <c r="CH66" s="99">
        <v>0</v>
      </c>
      <c r="CI66" s="99">
        <v>0</v>
      </c>
      <c r="CJ66" s="99">
        <v>6.4686083787908002</v>
      </c>
      <c r="CK66" s="99">
        <v>7700.231414112568</v>
      </c>
      <c r="CL66" s="99">
        <v>10</v>
      </c>
      <c r="CM66" s="99">
        <v>11903.999999999998</v>
      </c>
      <c r="CN66" s="99">
        <v>9</v>
      </c>
      <c r="CO66" s="99">
        <v>10713.599999999999</v>
      </c>
      <c r="CP66" s="99">
        <v>7</v>
      </c>
      <c r="CQ66" s="99">
        <v>8332.7999999999993</v>
      </c>
      <c r="CR66" s="99">
        <v>10</v>
      </c>
      <c r="CS66" s="99">
        <v>11903.999999999998</v>
      </c>
      <c r="CT66" s="99">
        <v>6</v>
      </c>
      <c r="CU66" s="99">
        <v>7142.4</v>
      </c>
    </row>
    <row r="67" spans="2:99">
      <c r="C67" s="98" t="s">
        <v>233</v>
      </c>
      <c r="D67" s="99">
        <v>5</v>
      </c>
      <c r="E67" s="99">
        <v>5616</v>
      </c>
      <c r="F67" s="99">
        <v>8</v>
      </c>
      <c r="G67" s="99">
        <v>8985.6</v>
      </c>
      <c r="H67" s="99">
        <v>10</v>
      </c>
      <c r="I67" s="99">
        <v>11232</v>
      </c>
      <c r="J67" s="99">
        <v>8</v>
      </c>
      <c r="K67" s="99">
        <v>8985.6</v>
      </c>
      <c r="L67" s="99">
        <v>3.6259448590328858</v>
      </c>
      <c r="M67" s="99">
        <v>4072.6612656657376</v>
      </c>
      <c r="N67" s="99">
        <v>7</v>
      </c>
      <c r="O67" s="99">
        <v>7862.4000000000005</v>
      </c>
      <c r="P67" s="99">
        <v>9</v>
      </c>
      <c r="Q67" s="99">
        <v>10108.800000000001</v>
      </c>
      <c r="R67" s="99">
        <v>8</v>
      </c>
      <c r="S67" s="99">
        <v>8985.6</v>
      </c>
      <c r="T67" s="99">
        <v>11</v>
      </c>
      <c r="U67" s="99">
        <v>12355.2</v>
      </c>
      <c r="V67" s="99">
        <v>7</v>
      </c>
      <c r="W67" s="99">
        <v>7862.4000000000005</v>
      </c>
      <c r="X67" s="99">
        <v>6</v>
      </c>
      <c r="Y67" s="99">
        <v>6739.2000000000007</v>
      </c>
      <c r="Z67" s="99">
        <v>10</v>
      </c>
      <c r="AA67" s="99">
        <v>11232</v>
      </c>
      <c r="AB67" s="99">
        <v>8</v>
      </c>
      <c r="AC67" s="99">
        <v>8985.6</v>
      </c>
      <c r="AD67" s="99">
        <v>7.090121454784752</v>
      </c>
      <c r="AE67" s="99">
        <v>7963.6244180142339</v>
      </c>
      <c r="AF67" s="99">
        <v>5.4389373184949994</v>
      </c>
      <c r="AG67" s="99">
        <v>6109.0143961335834</v>
      </c>
      <c r="AH67" s="99">
        <v>9.7029125681862016</v>
      </c>
      <c r="AI67" s="99">
        <v>10898.311396586741</v>
      </c>
      <c r="AJ67" s="99">
        <v>7</v>
      </c>
      <c r="AK67" s="99">
        <v>7862.4000000000005</v>
      </c>
      <c r="AL67" s="99">
        <v>8</v>
      </c>
      <c r="AM67" s="99">
        <v>8985.6</v>
      </c>
      <c r="AN67" s="99">
        <v>9</v>
      </c>
      <c r="AO67" s="99">
        <v>10108.800000000001</v>
      </c>
      <c r="AP67" s="99">
        <v>6</v>
      </c>
      <c r="AQ67" s="99">
        <v>6739.2000000000007</v>
      </c>
      <c r="AR67" s="99">
        <v>9.0255337982263715</v>
      </c>
      <c r="AS67" s="99">
        <v>10137.47956216786</v>
      </c>
      <c r="AT67" s="99">
        <v>3.9296700562479749</v>
      </c>
      <c r="AU67" s="99">
        <v>4413.805407177726</v>
      </c>
      <c r="AV67" s="99">
        <v>10.438410313879615</v>
      </c>
      <c r="AW67" s="99">
        <v>11724.422464549583</v>
      </c>
      <c r="AX67" s="99">
        <v>7</v>
      </c>
      <c r="AY67" s="99">
        <v>7862.4000000000005</v>
      </c>
      <c r="AZ67" s="99">
        <v>6</v>
      </c>
      <c r="BA67" s="99">
        <v>6739.2000000000007</v>
      </c>
      <c r="BB67" s="99">
        <v>4.4074946889135163</v>
      </c>
      <c r="BC67" s="99">
        <v>4950.498034587662</v>
      </c>
      <c r="BD67" s="99">
        <v>7</v>
      </c>
      <c r="BE67" s="99">
        <v>7862.4000000000005</v>
      </c>
      <c r="BF67" s="99">
        <v>6.0053911280812073</v>
      </c>
      <c r="BG67" s="99">
        <v>6745.2553150608128</v>
      </c>
      <c r="BH67" s="99">
        <v>3.2303302616291023</v>
      </c>
      <c r="BI67" s="99">
        <v>3628.3069498618079</v>
      </c>
      <c r="BJ67" s="99">
        <v>5</v>
      </c>
      <c r="BK67" s="99">
        <v>5616</v>
      </c>
      <c r="BL67" s="99">
        <v>7</v>
      </c>
      <c r="BM67" s="99">
        <v>7862.4000000000005</v>
      </c>
      <c r="BN67" s="99">
        <v>9</v>
      </c>
      <c r="BO67" s="99">
        <v>10108.800000000001</v>
      </c>
      <c r="BP67" s="99">
        <v>9</v>
      </c>
      <c r="BQ67" s="99">
        <v>10108.800000000001</v>
      </c>
      <c r="BR67" s="99">
        <v>10.244182069829927</v>
      </c>
      <c r="BS67" s="99">
        <v>11506.265300832974</v>
      </c>
      <c r="BT67" s="99">
        <v>10.610409291710498</v>
      </c>
      <c r="BU67" s="99">
        <v>11917.611716449232</v>
      </c>
      <c r="BV67" s="99">
        <v>7.3218297293675008</v>
      </c>
      <c r="BW67" s="99">
        <v>8223.8791520255763</v>
      </c>
      <c r="BX67" s="99">
        <v>7.3670262091784107</v>
      </c>
      <c r="BY67" s="99">
        <v>8274.6438381491917</v>
      </c>
      <c r="BZ67" s="99">
        <v>6</v>
      </c>
      <c r="CA67" s="99">
        <v>6739.2000000000007</v>
      </c>
      <c r="CB67" s="99">
        <v>9</v>
      </c>
      <c r="CC67" s="99">
        <v>10108.800000000001</v>
      </c>
      <c r="CD67" s="99">
        <v>7</v>
      </c>
      <c r="CE67" s="99">
        <v>7862.4000000000005</v>
      </c>
      <c r="CF67" s="99">
        <v>8.7437670628391526</v>
      </c>
      <c r="CG67" s="99">
        <v>9820.9991649809363</v>
      </c>
      <c r="CH67" s="99">
        <v>0</v>
      </c>
      <c r="CI67" s="99">
        <v>0</v>
      </c>
      <c r="CJ67" s="99">
        <v>6.4686083787908002</v>
      </c>
      <c r="CK67" s="99">
        <v>7265.540931057827</v>
      </c>
      <c r="CL67" s="99">
        <v>9</v>
      </c>
      <c r="CM67" s="99">
        <v>10108.800000000001</v>
      </c>
      <c r="CN67" s="99">
        <v>9</v>
      </c>
      <c r="CO67" s="99">
        <v>10108.800000000001</v>
      </c>
      <c r="CP67" s="99">
        <v>6</v>
      </c>
      <c r="CQ67" s="99">
        <v>6739.2000000000007</v>
      </c>
      <c r="CR67" s="99">
        <v>9</v>
      </c>
      <c r="CS67" s="99">
        <v>10108.800000000001</v>
      </c>
      <c r="CT67" s="99">
        <v>7</v>
      </c>
      <c r="CU67" s="99">
        <v>7862.4000000000005</v>
      </c>
    </row>
    <row r="68" spans="2:99">
      <c r="C68" s="98" t="s">
        <v>234</v>
      </c>
      <c r="D68" s="99">
        <v>6</v>
      </c>
      <c r="E68" s="99">
        <v>6199.2000000000007</v>
      </c>
      <c r="F68" s="99">
        <v>8</v>
      </c>
      <c r="G68" s="99">
        <v>8265.6</v>
      </c>
      <c r="H68" s="99">
        <v>9</v>
      </c>
      <c r="I68" s="99">
        <v>9298.8000000000011</v>
      </c>
      <c r="J68" s="99">
        <v>8</v>
      </c>
      <c r="K68" s="99">
        <v>8265.6</v>
      </c>
      <c r="L68" s="99">
        <v>3.6259448590328858</v>
      </c>
      <c r="M68" s="99">
        <v>3746.3262283527779</v>
      </c>
      <c r="N68" s="99">
        <v>7</v>
      </c>
      <c r="O68" s="99">
        <v>7232.4000000000005</v>
      </c>
      <c r="P68" s="99">
        <v>8</v>
      </c>
      <c r="Q68" s="99">
        <v>8265.6</v>
      </c>
      <c r="R68" s="99">
        <v>8</v>
      </c>
      <c r="S68" s="99">
        <v>8265.6</v>
      </c>
      <c r="T68" s="99">
        <v>10</v>
      </c>
      <c r="U68" s="99">
        <v>10332</v>
      </c>
      <c r="V68" s="99">
        <v>6</v>
      </c>
      <c r="W68" s="99">
        <v>6199.2000000000007</v>
      </c>
      <c r="X68" s="99">
        <v>6</v>
      </c>
      <c r="Y68" s="99">
        <v>6199.2000000000007</v>
      </c>
      <c r="Z68" s="99">
        <v>9</v>
      </c>
      <c r="AA68" s="99">
        <v>9298.8000000000011</v>
      </c>
      <c r="AB68" s="99">
        <v>8</v>
      </c>
      <c r="AC68" s="99">
        <v>8265.6</v>
      </c>
      <c r="AD68" s="99">
        <v>7.090121454784752</v>
      </c>
      <c r="AE68" s="99">
        <v>7325.5134870836064</v>
      </c>
      <c r="AF68" s="99">
        <v>5.4389373184949994</v>
      </c>
      <c r="AG68" s="99">
        <v>5619.5100374690337</v>
      </c>
      <c r="AH68" s="99">
        <v>9.7029125681862016</v>
      </c>
      <c r="AI68" s="99">
        <v>10025.049265449983</v>
      </c>
      <c r="AJ68" s="99">
        <v>7</v>
      </c>
      <c r="AK68" s="99">
        <v>7232.4000000000005</v>
      </c>
      <c r="AL68" s="99">
        <v>8</v>
      </c>
      <c r="AM68" s="99">
        <v>8265.6</v>
      </c>
      <c r="AN68" s="99">
        <v>10</v>
      </c>
      <c r="AO68" s="99">
        <v>10332</v>
      </c>
      <c r="AP68" s="99">
        <v>6</v>
      </c>
      <c r="AQ68" s="99">
        <v>6199.2000000000007</v>
      </c>
      <c r="AR68" s="99">
        <v>9.9280871780490099</v>
      </c>
      <c r="AS68" s="99">
        <v>10257.699672360237</v>
      </c>
      <c r="AT68" s="99">
        <v>3.9296700562479749</v>
      </c>
      <c r="AU68" s="99">
        <v>4060.1351021154078</v>
      </c>
      <c r="AV68" s="99">
        <v>8.6986752615663452</v>
      </c>
      <c r="AW68" s="99">
        <v>8987.4712802503491</v>
      </c>
      <c r="AX68" s="99">
        <v>7</v>
      </c>
      <c r="AY68" s="99">
        <v>7232.4000000000005</v>
      </c>
      <c r="AZ68" s="99">
        <v>6</v>
      </c>
      <c r="BA68" s="99">
        <v>6199.2000000000007</v>
      </c>
      <c r="BB68" s="99">
        <v>4.4074946889135163</v>
      </c>
      <c r="BC68" s="99">
        <v>4553.8235125854453</v>
      </c>
      <c r="BD68" s="99">
        <v>6</v>
      </c>
      <c r="BE68" s="99">
        <v>6199.2000000000007</v>
      </c>
      <c r="BF68" s="99">
        <v>6.0053911280812073</v>
      </c>
      <c r="BG68" s="99">
        <v>6204.7701135335037</v>
      </c>
      <c r="BH68" s="99">
        <v>2.9072972354661921</v>
      </c>
      <c r="BI68" s="99">
        <v>3003.8195036836696</v>
      </c>
      <c r="BJ68" s="99">
        <v>5</v>
      </c>
      <c r="BK68" s="99">
        <v>5166</v>
      </c>
      <c r="BL68" s="99">
        <v>8</v>
      </c>
      <c r="BM68" s="99">
        <v>8265.6</v>
      </c>
      <c r="BN68" s="99">
        <v>10</v>
      </c>
      <c r="BO68" s="99">
        <v>10332</v>
      </c>
      <c r="BP68" s="99">
        <v>10</v>
      </c>
      <c r="BQ68" s="99">
        <v>10332</v>
      </c>
      <c r="BR68" s="99">
        <v>9.3128927907544803</v>
      </c>
      <c r="BS68" s="99">
        <v>9622.0808314075293</v>
      </c>
      <c r="BT68" s="99">
        <v>10.610409291710498</v>
      </c>
      <c r="BU68" s="99">
        <v>10962.674880195287</v>
      </c>
      <c r="BV68" s="99">
        <v>6.589646756430751</v>
      </c>
      <c r="BW68" s="99">
        <v>6808.4230287442524</v>
      </c>
      <c r="BX68" s="99">
        <v>7.3670262091784107</v>
      </c>
      <c r="BY68" s="99">
        <v>7611.6114793231345</v>
      </c>
      <c r="BZ68" s="99">
        <v>6</v>
      </c>
      <c r="CA68" s="99">
        <v>6199.2000000000007</v>
      </c>
      <c r="CB68" s="99">
        <v>10</v>
      </c>
      <c r="CC68" s="99">
        <v>10332</v>
      </c>
      <c r="CD68" s="99">
        <v>6</v>
      </c>
      <c r="CE68" s="99">
        <v>6199.2000000000007</v>
      </c>
      <c r="CF68" s="99">
        <v>8.7437670628391526</v>
      </c>
      <c r="CG68" s="99">
        <v>9034.0601293254131</v>
      </c>
      <c r="CH68" s="99">
        <v>0</v>
      </c>
      <c r="CI68" s="99">
        <v>0</v>
      </c>
      <c r="CJ68" s="99">
        <v>5.6600323314419496</v>
      </c>
      <c r="CK68" s="99">
        <v>5847.9454048458228</v>
      </c>
      <c r="CL68" s="99">
        <v>10</v>
      </c>
      <c r="CM68" s="99">
        <v>10332</v>
      </c>
      <c r="CN68" s="99">
        <v>9</v>
      </c>
      <c r="CO68" s="99">
        <v>9298.8000000000011</v>
      </c>
      <c r="CP68" s="99">
        <v>6</v>
      </c>
      <c r="CQ68" s="99">
        <v>6199.2000000000007</v>
      </c>
      <c r="CR68" s="99">
        <v>9</v>
      </c>
      <c r="CS68" s="99">
        <v>9298.8000000000011</v>
      </c>
      <c r="CT68" s="99">
        <v>7</v>
      </c>
      <c r="CU68" s="99">
        <v>7232.4000000000005</v>
      </c>
    </row>
    <row r="69" spans="2:99">
      <c r="C69" s="98" t="s">
        <v>235</v>
      </c>
      <c r="D69" s="99">
        <v>6</v>
      </c>
      <c r="E69" s="99">
        <v>4550.3999999999996</v>
      </c>
      <c r="F69" s="99">
        <v>9</v>
      </c>
      <c r="G69" s="99">
        <v>6825.5999999999995</v>
      </c>
      <c r="H69" s="99">
        <v>10</v>
      </c>
      <c r="I69" s="99">
        <v>7584</v>
      </c>
      <c r="J69" s="99">
        <v>8</v>
      </c>
      <c r="K69" s="99">
        <v>6067.2</v>
      </c>
      <c r="L69" s="99">
        <v>3.6259448590328858</v>
      </c>
      <c r="M69" s="99">
        <v>2749.9165810905406</v>
      </c>
      <c r="N69" s="99">
        <v>8</v>
      </c>
      <c r="O69" s="99">
        <v>6067.2</v>
      </c>
      <c r="P69" s="99">
        <v>10</v>
      </c>
      <c r="Q69" s="99">
        <v>7584</v>
      </c>
      <c r="R69" s="99">
        <v>8</v>
      </c>
      <c r="S69" s="99">
        <v>6067.2</v>
      </c>
      <c r="T69" s="99">
        <v>11</v>
      </c>
      <c r="U69" s="99">
        <v>8342.4</v>
      </c>
      <c r="V69" s="99">
        <v>7</v>
      </c>
      <c r="W69" s="99">
        <v>5308.8</v>
      </c>
      <c r="X69" s="99">
        <v>6</v>
      </c>
      <c r="Y69" s="99">
        <v>4550.3999999999996</v>
      </c>
      <c r="Z69" s="99">
        <v>10</v>
      </c>
      <c r="AA69" s="99">
        <v>7584</v>
      </c>
      <c r="AB69" s="99">
        <v>8</v>
      </c>
      <c r="AC69" s="99">
        <v>6067.2</v>
      </c>
      <c r="AD69" s="99">
        <v>7.9763866366328466</v>
      </c>
      <c r="AE69" s="99">
        <v>6049.2916252223504</v>
      </c>
      <c r="AF69" s="99">
        <v>6.2159283639942844</v>
      </c>
      <c r="AG69" s="99">
        <v>4714.1600712532654</v>
      </c>
      <c r="AH69" s="99">
        <v>9.7029125681862016</v>
      </c>
      <c r="AI69" s="99">
        <v>7358.6888917124152</v>
      </c>
      <c r="AJ69" s="99">
        <v>7</v>
      </c>
      <c r="AK69" s="99">
        <v>5308.8</v>
      </c>
      <c r="AL69" s="99">
        <v>9</v>
      </c>
      <c r="AM69" s="99">
        <v>6825.5999999999995</v>
      </c>
      <c r="AN69" s="99">
        <v>10</v>
      </c>
      <c r="AO69" s="99">
        <v>7584</v>
      </c>
      <c r="AP69" s="99">
        <v>7</v>
      </c>
      <c r="AQ69" s="99">
        <v>5308.8</v>
      </c>
      <c r="AR69" s="99">
        <v>9.0255337982263715</v>
      </c>
      <c r="AS69" s="99">
        <v>6844.9648325748803</v>
      </c>
      <c r="AT69" s="99">
        <v>3.3682886196411213</v>
      </c>
      <c r="AU69" s="99">
        <v>2554.5100891358261</v>
      </c>
      <c r="AV69" s="99">
        <v>9.5685427877229809</v>
      </c>
      <c r="AW69" s="99">
        <v>7256.7828502091088</v>
      </c>
      <c r="AX69" s="99">
        <v>7</v>
      </c>
      <c r="AY69" s="99">
        <v>5308.8</v>
      </c>
      <c r="AZ69" s="99">
        <v>6</v>
      </c>
      <c r="BA69" s="99">
        <v>4550.3999999999996</v>
      </c>
      <c r="BB69" s="99">
        <v>3.8565578527993267</v>
      </c>
      <c r="BC69" s="99">
        <v>2924.8134755630094</v>
      </c>
      <c r="BD69" s="99">
        <v>7</v>
      </c>
      <c r="BE69" s="99">
        <v>5308.8</v>
      </c>
      <c r="BF69" s="99">
        <v>5.2547172370710564</v>
      </c>
      <c r="BG69" s="99">
        <v>3985.1775525946891</v>
      </c>
      <c r="BH69" s="99">
        <v>2.9072972354661921</v>
      </c>
      <c r="BI69" s="99">
        <v>2204.8942233775601</v>
      </c>
      <c r="BJ69" s="99">
        <v>6</v>
      </c>
      <c r="BK69" s="99">
        <v>4550.3999999999996</v>
      </c>
      <c r="BL69" s="99">
        <v>8</v>
      </c>
      <c r="BM69" s="99">
        <v>6067.2</v>
      </c>
      <c r="BN69" s="99">
        <v>10</v>
      </c>
      <c r="BO69" s="99">
        <v>7584</v>
      </c>
      <c r="BP69" s="99">
        <v>9</v>
      </c>
      <c r="BQ69" s="99">
        <v>6825.5999999999995</v>
      </c>
      <c r="BR69" s="99">
        <v>10.244182069829927</v>
      </c>
      <c r="BS69" s="99">
        <v>7769.1876817590164</v>
      </c>
      <c r="BT69" s="99">
        <v>11.574991954593271</v>
      </c>
      <c r="BU69" s="99">
        <v>8778.4738983635361</v>
      </c>
      <c r="BV69" s="99">
        <v>7.3218297293675008</v>
      </c>
      <c r="BW69" s="99">
        <v>5552.8756667523121</v>
      </c>
      <c r="BX69" s="99">
        <v>7.3670262091784107</v>
      </c>
      <c r="BY69" s="99">
        <v>5587.1526770409064</v>
      </c>
      <c r="BZ69" s="99">
        <v>6</v>
      </c>
      <c r="CA69" s="99">
        <v>4550.3999999999996</v>
      </c>
      <c r="CB69" s="99">
        <v>10</v>
      </c>
      <c r="CC69" s="99">
        <v>7584</v>
      </c>
      <c r="CD69" s="99">
        <v>7</v>
      </c>
      <c r="CE69" s="99">
        <v>5308.8</v>
      </c>
      <c r="CF69" s="99">
        <v>9.5386549776427128</v>
      </c>
      <c r="CG69" s="99">
        <v>7234.1159350442331</v>
      </c>
      <c r="CH69" s="99">
        <v>0</v>
      </c>
      <c r="CI69" s="99">
        <v>0</v>
      </c>
      <c r="CJ69" s="99">
        <v>5.6600323314419496</v>
      </c>
      <c r="CK69" s="99">
        <v>4292.5685201655742</v>
      </c>
      <c r="CL69" s="99">
        <v>11</v>
      </c>
      <c r="CM69" s="99">
        <v>8342.4</v>
      </c>
      <c r="CN69" s="99">
        <v>9</v>
      </c>
      <c r="CO69" s="99">
        <v>6825.5999999999995</v>
      </c>
      <c r="CP69" s="99">
        <v>7</v>
      </c>
      <c r="CQ69" s="99">
        <v>5308.8</v>
      </c>
      <c r="CR69" s="99">
        <v>10</v>
      </c>
      <c r="CS69" s="99">
        <v>7584</v>
      </c>
      <c r="CT69" s="99">
        <v>7</v>
      </c>
      <c r="CU69" s="99">
        <v>5308.8</v>
      </c>
    </row>
    <row r="70" spans="2:99">
      <c r="C70" s="98" t="s">
        <v>236</v>
      </c>
      <c r="D70" s="99">
        <v>6</v>
      </c>
      <c r="E70" s="99">
        <v>3211.2</v>
      </c>
      <c r="F70" s="99">
        <v>9</v>
      </c>
      <c r="G70" s="99">
        <v>4816.7999999999993</v>
      </c>
      <c r="H70" s="99">
        <v>10</v>
      </c>
      <c r="I70" s="99">
        <v>5351.9999999999991</v>
      </c>
      <c r="J70" s="99">
        <v>10</v>
      </c>
      <c r="K70" s="99">
        <v>5351.9999999999991</v>
      </c>
      <c r="L70" s="99">
        <v>3.6259448590328858</v>
      </c>
      <c r="M70" s="99">
        <v>1940.6056885544001</v>
      </c>
      <c r="N70" s="99">
        <v>8</v>
      </c>
      <c r="O70" s="99">
        <v>4281.5999999999995</v>
      </c>
      <c r="P70" s="99">
        <v>10</v>
      </c>
      <c r="Q70" s="99">
        <v>5351.9999999999991</v>
      </c>
      <c r="R70" s="99">
        <v>8</v>
      </c>
      <c r="S70" s="99">
        <v>4281.5999999999995</v>
      </c>
      <c r="T70" s="99">
        <v>10</v>
      </c>
      <c r="U70" s="99">
        <v>5351.9999999999991</v>
      </c>
      <c r="V70" s="99">
        <v>8</v>
      </c>
      <c r="W70" s="99">
        <v>4281.5999999999995</v>
      </c>
      <c r="X70" s="99">
        <v>6</v>
      </c>
      <c r="Y70" s="99">
        <v>3211.2</v>
      </c>
      <c r="Z70" s="99">
        <v>10</v>
      </c>
      <c r="AA70" s="99">
        <v>5351.9999999999991</v>
      </c>
      <c r="AB70" s="99">
        <v>9</v>
      </c>
      <c r="AC70" s="99">
        <v>4816.7999999999993</v>
      </c>
      <c r="AD70" s="99">
        <v>7.090121454784752</v>
      </c>
      <c r="AE70" s="99">
        <v>3794.6330026007986</v>
      </c>
      <c r="AF70" s="99">
        <v>6.2159283639942844</v>
      </c>
      <c r="AG70" s="99">
        <v>3326.7648604097408</v>
      </c>
      <c r="AH70" s="99">
        <v>9.7029125681862016</v>
      </c>
      <c r="AI70" s="99">
        <v>5192.9988064932541</v>
      </c>
      <c r="AJ70" s="99">
        <v>7</v>
      </c>
      <c r="AK70" s="99">
        <v>3746.3999999999996</v>
      </c>
      <c r="AL70" s="99">
        <v>9</v>
      </c>
      <c r="AM70" s="99">
        <v>4816.7999999999993</v>
      </c>
      <c r="AN70" s="99">
        <v>10</v>
      </c>
      <c r="AO70" s="99">
        <v>5351.9999999999991</v>
      </c>
      <c r="AP70" s="99">
        <v>6</v>
      </c>
      <c r="AQ70" s="99">
        <v>3211.2</v>
      </c>
      <c r="AR70" s="99">
        <v>9.0255337982263715</v>
      </c>
      <c r="AS70" s="99">
        <v>4830.4656888107538</v>
      </c>
      <c r="AT70" s="99">
        <v>3.3682886196411213</v>
      </c>
      <c r="AU70" s="99">
        <v>1802.7080692319278</v>
      </c>
      <c r="AV70" s="99">
        <v>9.5685427877229809</v>
      </c>
      <c r="AW70" s="99">
        <v>5121.0840999893389</v>
      </c>
      <c r="AX70" s="99">
        <v>7</v>
      </c>
      <c r="AY70" s="99">
        <v>3746.3999999999996</v>
      </c>
      <c r="AZ70" s="99">
        <v>6</v>
      </c>
      <c r="BA70" s="99">
        <v>3211.2</v>
      </c>
      <c r="BB70" s="99">
        <v>3.8565578527993267</v>
      </c>
      <c r="BC70" s="99">
        <v>2064.0297628181993</v>
      </c>
      <c r="BD70" s="99">
        <v>6</v>
      </c>
      <c r="BE70" s="99">
        <v>3211.2</v>
      </c>
      <c r="BF70" s="99">
        <v>6.7560650190913583</v>
      </c>
      <c r="BG70" s="99">
        <v>3615.8459982176946</v>
      </c>
      <c r="BH70" s="99">
        <v>3.2303302616291023</v>
      </c>
      <c r="BI70" s="99">
        <v>1728.8727560238954</v>
      </c>
      <c r="BJ70" s="99">
        <v>6</v>
      </c>
      <c r="BK70" s="99">
        <v>3211.2</v>
      </c>
      <c r="BL70" s="99">
        <v>8</v>
      </c>
      <c r="BM70" s="99">
        <v>4281.5999999999995</v>
      </c>
      <c r="BN70" s="99">
        <v>11</v>
      </c>
      <c r="BO70" s="99">
        <v>5887.1999999999989</v>
      </c>
      <c r="BP70" s="99">
        <v>10</v>
      </c>
      <c r="BQ70" s="99">
        <v>5351.9999999999991</v>
      </c>
      <c r="BR70" s="99">
        <v>10.244182069829927</v>
      </c>
      <c r="BS70" s="99">
        <v>5482.686243772976</v>
      </c>
      <c r="BT70" s="99">
        <v>9.6458266288277255</v>
      </c>
      <c r="BU70" s="99">
        <v>5162.4464117485977</v>
      </c>
      <c r="BV70" s="99">
        <v>6.589646756430751</v>
      </c>
      <c r="BW70" s="99">
        <v>3526.7789440417373</v>
      </c>
      <c r="BX70" s="99">
        <v>9.0041431445513922</v>
      </c>
      <c r="BY70" s="99">
        <v>4819.0174109639047</v>
      </c>
      <c r="BZ70" s="99">
        <v>7</v>
      </c>
      <c r="CA70" s="99">
        <v>3746.3999999999996</v>
      </c>
      <c r="CB70" s="99">
        <v>9</v>
      </c>
      <c r="CC70" s="99">
        <v>4816.7999999999993</v>
      </c>
      <c r="CD70" s="99">
        <v>8</v>
      </c>
      <c r="CE70" s="99">
        <v>4281.5999999999995</v>
      </c>
      <c r="CF70" s="99">
        <v>9.5386549776427128</v>
      </c>
      <c r="CG70" s="99">
        <v>5105.0881440343792</v>
      </c>
      <c r="CH70" s="99">
        <v>0</v>
      </c>
      <c r="CI70" s="99">
        <v>0</v>
      </c>
      <c r="CJ70" s="99">
        <v>7.2771844261396508</v>
      </c>
      <c r="CK70" s="99">
        <v>3894.7491048699408</v>
      </c>
      <c r="CL70" s="99">
        <v>10</v>
      </c>
      <c r="CM70" s="99">
        <v>5351.9999999999991</v>
      </c>
      <c r="CN70" s="99">
        <v>10</v>
      </c>
      <c r="CO70" s="99">
        <v>5351.9999999999991</v>
      </c>
      <c r="CP70" s="99">
        <v>7</v>
      </c>
      <c r="CQ70" s="99">
        <v>3746.3999999999996</v>
      </c>
      <c r="CR70" s="99">
        <v>11</v>
      </c>
      <c r="CS70" s="99">
        <v>5887.1999999999989</v>
      </c>
      <c r="CT70" s="99">
        <v>7</v>
      </c>
      <c r="CU70" s="99">
        <v>3746.3999999999996</v>
      </c>
    </row>
    <row r="71" spans="2:99">
      <c r="B71" s="98" t="s">
        <v>130</v>
      </c>
      <c r="C71" s="98" t="s">
        <v>237</v>
      </c>
      <c r="D71" s="99">
        <v>11</v>
      </c>
      <c r="E71" s="99">
        <v>6204</v>
      </c>
      <c r="F71" s="99">
        <v>11</v>
      </c>
      <c r="G71" s="99">
        <v>6204</v>
      </c>
      <c r="H71" s="99">
        <v>10</v>
      </c>
      <c r="I71" s="99">
        <v>5640</v>
      </c>
      <c r="J71" s="99">
        <v>12</v>
      </c>
      <c r="K71" s="99">
        <v>6768</v>
      </c>
      <c r="L71" s="99">
        <v>14</v>
      </c>
      <c r="M71" s="99">
        <v>7896</v>
      </c>
      <c r="N71" s="99">
        <v>8</v>
      </c>
      <c r="O71" s="99">
        <v>4512</v>
      </c>
      <c r="P71" s="99">
        <v>12</v>
      </c>
      <c r="Q71" s="99">
        <v>6768</v>
      </c>
      <c r="R71" s="99">
        <v>13</v>
      </c>
      <c r="S71" s="99">
        <v>7332</v>
      </c>
      <c r="T71" s="99">
        <v>11</v>
      </c>
      <c r="U71" s="99">
        <v>6204</v>
      </c>
      <c r="V71" s="99">
        <v>6.7067874232939308</v>
      </c>
      <c r="W71" s="99">
        <v>3782.6281067377772</v>
      </c>
      <c r="X71" s="99">
        <v>8</v>
      </c>
      <c r="Y71" s="99">
        <v>4512</v>
      </c>
      <c r="Z71" s="99">
        <v>11</v>
      </c>
      <c r="AA71" s="99">
        <v>6204</v>
      </c>
      <c r="AB71" s="99">
        <v>10.602033579712421</v>
      </c>
      <c r="AC71" s="99">
        <v>5979.5469389578057</v>
      </c>
      <c r="AD71" s="99">
        <v>12</v>
      </c>
      <c r="AE71" s="99">
        <v>6768</v>
      </c>
      <c r="AF71" s="99">
        <v>13</v>
      </c>
      <c r="AG71" s="99">
        <v>7332</v>
      </c>
      <c r="AH71" s="99">
        <v>5.1752421011144589</v>
      </c>
      <c r="AI71" s="99">
        <v>2918.8365450285546</v>
      </c>
      <c r="AJ71" s="99">
        <v>15</v>
      </c>
      <c r="AK71" s="99">
        <v>8460</v>
      </c>
      <c r="AL71" s="99">
        <v>13</v>
      </c>
      <c r="AM71" s="99">
        <v>7332</v>
      </c>
      <c r="AN71" s="99">
        <v>3.7792138715436754</v>
      </c>
      <c r="AO71" s="99">
        <v>2131.4766235506331</v>
      </c>
      <c r="AP71" s="99">
        <v>10</v>
      </c>
      <c r="AQ71" s="99">
        <v>5640</v>
      </c>
      <c r="AR71" s="99">
        <v>10.969273980085516</v>
      </c>
      <c r="AS71" s="99">
        <v>6186.6705247682312</v>
      </c>
      <c r="AT71" s="99">
        <v>10</v>
      </c>
      <c r="AU71" s="99">
        <v>5640</v>
      </c>
      <c r="AV71" s="99">
        <v>10.19110464330905</v>
      </c>
      <c r="AW71" s="99">
        <v>5747.7830188263042</v>
      </c>
      <c r="AX71" s="99">
        <v>15</v>
      </c>
      <c r="AY71" s="99">
        <v>8460</v>
      </c>
      <c r="AZ71" s="99">
        <v>12</v>
      </c>
      <c r="BA71" s="99">
        <v>6768</v>
      </c>
      <c r="BB71" s="99">
        <v>11</v>
      </c>
      <c r="BC71" s="99">
        <v>6204</v>
      </c>
      <c r="BD71" s="99">
        <v>6.6881839695386613</v>
      </c>
      <c r="BE71" s="99">
        <v>3772.1357588198048</v>
      </c>
      <c r="BF71" s="99">
        <v>0</v>
      </c>
      <c r="BG71" s="99">
        <v>0</v>
      </c>
      <c r="BH71" s="99">
        <v>14</v>
      </c>
      <c r="BI71" s="99">
        <v>7896</v>
      </c>
      <c r="BJ71" s="99">
        <v>10</v>
      </c>
      <c r="BK71" s="99">
        <v>5640</v>
      </c>
      <c r="BL71" s="99">
        <v>11</v>
      </c>
      <c r="BM71" s="99">
        <v>6204</v>
      </c>
      <c r="BN71" s="99">
        <v>9</v>
      </c>
      <c r="BO71" s="99">
        <v>5076</v>
      </c>
      <c r="BP71" s="99">
        <v>10</v>
      </c>
      <c r="BQ71" s="99">
        <v>5640</v>
      </c>
      <c r="BR71" s="99">
        <v>14</v>
      </c>
      <c r="BS71" s="99">
        <v>7896</v>
      </c>
      <c r="BT71" s="99">
        <v>10</v>
      </c>
      <c r="BU71" s="99">
        <v>5640</v>
      </c>
      <c r="BV71" s="99">
        <v>8</v>
      </c>
      <c r="BW71" s="99">
        <v>4512</v>
      </c>
      <c r="BX71" s="99">
        <v>11.780954463261638</v>
      </c>
      <c r="BY71" s="99">
        <v>6644.4583172795637</v>
      </c>
      <c r="BZ71" s="99">
        <v>10.273304437666493</v>
      </c>
      <c r="CA71" s="99">
        <v>5794.1437028439022</v>
      </c>
      <c r="CB71" s="99">
        <v>9.8434590637055521</v>
      </c>
      <c r="CC71" s="99">
        <v>5551.7109119299312</v>
      </c>
      <c r="CD71" s="99">
        <v>0</v>
      </c>
      <c r="CE71" s="99">
        <v>0</v>
      </c>
      <c r="CF71" s="99">
        <v>8</v>
      </c>
      <c r="CG71" s="99">
        <v>4512</v>
      </c>
      <c r="CH71" s="99">
        <v>13</v>
      </c>
      <c r="CI71" s="99">
        <v>7332</v>
      </c>
      <c r="CJ71" s="99">
        <v>12</v>
      </c>
      <c r="CK71" s="99">
        <v>6768</v>
      </c>
      <c r="CL71" s="99">
        <v>15</v>
      </c>
      <c r="CM71" s="99">
        <v>8460</v>
      </c>
      <c r="CN71" s="99">
        <v>9</v>
      </c>
      <c r="CO71" s="99">
        <v>5076</v>
      </c>
      <c r="CP71" s="99">
        <v>8</v>
      </c>
      <c r="CQ71" s="99">
        <v>4512</v>
      </c>
      <c r="CR71" s="99">
        <v>14</v>
      </c>
      <c r="CS71" s="99">
        <v>7896</v>
      </c>
      <c r="CT71" s="99">
        <v>12</v>
      </c>
      <c r="CU71" s="99">
        <v>6768</v>
      </c>
    </row>
    <row r="72" spans="2:99">
      <c r="C72" s="98" t="s">
        <v>238</v>
      </c>
      <c r="D72" s="99">
        <v>12</v>
      </c>
      <c r="E72" s="99">
        <v>892.8</v>
      </c>
      <c r="F72" s="99">
        <v>13</v>
      </c>
      <c r="G72" s="99">
        <v>967.19999999999993</v>
      </c>
      <c r="H72" s="99">
        <v>10</v>
      </c>
      <c r="I72" s="99">
        <v>743.99999999999989</v>
      </c>
      <c r="J72" s="99">
        <v>12</v>
      </c>
      <c r="K72" s="99">
        <v>892.8</v>
      </c>
      <c r="L72" s="99">
        <v>13</v>
      </c>
      <c r="M72" s="99">
        <v>967.19999999999993</v>
      </c>
      <c r="N72" s="99">
        <v>8</v>
      </c>
      <c r="O72" s="99">
        <v>595.19999999999993</v>
      </c>
      <c r="P72" s="99">
        <v>14</v>
      </c>
      <c r="Q72" s="99">
        <v>1041.5999999999999</v>
      </c>
      <c r="R72" s="99">
        <v>13</v>
      </c>
      <c r="S72" s="99">
        <v>967.19999999999993</v>
      </c>
      <c r="T72" s="99">
        <v>11</v>
      </c>
      <c r="U72" s="99">
        <v>818.39999999999986</v>
      </c>
      <c r="V72" s="99">
        <v>7.2226941481626952</v>
      </c>
      <c r="W72" s="99">
        <v>537.36844462330441</v>
      </c>
      <c r="X72" s="99">
        <v>8</v>
      </c>
      <c r="Y72" s="99">
        <v>595.19999999999993</v>
      </c>
      <c r="Z72" s="99">
        <v>13</v>
      </c>
      <c r="AA72" s="99">
        <v>967.19999999999993</v>
      </c>
      <c r="AB72" s="99">
        <v>10.602033579712421</v>
      </c>
      <c r="AC72" s="99">
        <v>788.79129833060404</v>
      </c>
      <c r="AD72" s="99">
        <v>13</v>
      </c>
      <c r="AE72" s="99">
        <v>967.19999999999993</v>
      </c>
      <c r="AF72" s="99">
        <v>16</v>
      </c>
      <c r="AG72" s="99">
        <v>1190.3999999999999</v>
      </c>
      <c r="AH72" s="99">
        <v>5.1752421011144589</v>
      </c>
      <c r="AI72" s="99">
        <v>385.03801232291568</v>
      </c>
      <c r="AJ72" s="99">
        <v>16</v>
      </c>
      <c r="AK72" s="99">
        <v>1190.3999999999999</v>
      </c>
      <c r="AL72" s="99">
        <v>12</v>
      </c>
      <c r="AM72" s="99">
        <v>892.8</v>
      </c>
      <c r="AN72" s="99">
        <v>4.1991265239374167</v>
      </c>
      <c r="AO72" s="99">
        <v>312.41501338094378</v>
      </c>
      <c r="AP72" s="99">
        <v>9</v>
      </c>
      <c r="AQ72" s="99">
        <v>669.59999999999991</v>
      </c>
      <c r="AR72" s="99">
        <v>12.656854592406363</v>
      </c>
      <c r="AS72" s="99">
        <v>941.66998167503334</v>
      </c>
      <c r="AT72" s="99">
        <v>9</v>
      </c>
      <c r="AU72" s="99">
        <v>669.59999999999991</v>
      </c>
      <c r="AV72" s="99">
        <v>11.889622083860557</v>
      </c>
      <c r="AW72" s="99">
        <v>884.58788303922529</v>
      </c>
      <c r="AX72" s="99">
        <v>13</v>
      </c>
      <c r="AY72" s="99">
        <v>967.19999999999993</v>
      </c>
      <c r="AZ72" s="99">
        <v>11</v>
      </c>
      <c r="BA72" s="99">
        <v>818.39999999999986</v>
      </c>
      <c r="BB72" s="99">
        <v>11</v>
      </c>
      <c r="BC72" s="99">
        <v>818.39999999999986</v>
      </c>
      <c r="BD72" s="99">
        <v>7.2026596595031727</v>
      </c>
      <c r="BE72" s="99">
        <v>535.87787866703593</v>
      </c>
      <c r="BF72" s="99">
        <v>0</v>
      </c>
      <c r="BG72" s="99">
        <v>0</v>
      </c>
      <c r="BH72" s="99">
        <v>15</v>
      </c>
      <c r="BI72" s="99">
        <v>1115.9999999999998</v>
      </c>
      <c r="BJ72" s="99">
        <v>12</v>
      </c>
      <c r="BK72" s="99">
        <v>892.8</v>
      </c>
      <c r="BL72" s="99">
        <v>12</v>
      </c>
      <c r="BM72" s="99">
        <v>892.8</v>
      </c>
      <c r="BN72" s="99">
        <v>10</v>
      </c>
      <c r="BO72" s="99">
        <v>743.99999999999989</v>
      </c>
      <c r="BP72" s="99">
        <v>11</v>
      </c>
      <c r="BQ72" s="99">
        <v>818.39999999999986</v>
      </c>
      <c r="BR72" s="99">
        <v>15</v>
      </c>
      <c r="BS72" s="99">
        <v>1115.9999999999998</v>
      </c>
      <c r="BT72" s="99">
        <v>10</v>
      </c>
      <c r="BU72" s="99">
        <v>743.99999999999989</v>
      </c>
      <c r="BV72" s="99">
        <v>9</v>
      </c>
      <c r="BW72" s="99">
        <v>669.59999999999991</v>
      </c>
      <c r="BX72" s="99">
        <v>12.68718172966638</v>
      </c>
      <c r="BY72" s="99">
        <v>943.92632068717853</v>
      </c>
      <c r="BZ72" s="99">
        <v>11.853812812692107</v>
      </c>
      <c r="CA72" s="99">
        <v>881.92367326429269</v>
      </c>
      <c r="CB72" s="99">
        <v>11.357837381198713</v>
      </c>
      <c r="CC72" s="99">
        <v>845.02310116118417</v>
      </c>
      <c r="CD72" s="99">
        <v>0</v>
      </c>
      <c r="CE72" s="99">
        <v>0</v>
      </c>
      <c r="CF72" s="99">
        <v>9</v>
      </c>
      <c r="CG72" s="99">
        <v>669.59999999999991</v>
      </c>
      <c r="CH72" s="99">
        <v>15</v>
      </c>
      <c r="CI72" s="99">
        <v>1115.9999999999998</v>
      </c>
      <c r="CJ72" s="99">
        <v>15</v>
      </c>
      <c r="CK72" s="99">
        <v>1115.9999999999998</v>
      </c>
      <c r="CL72" s="99">
        <v>16</v>
      </c>
      <c r="CM72" s="99">
        <v>1190.3999999999999</v>
      </c>
      <c r="CN72" s="99">
        <v>9</v>
      </c>
      <c r="CO72" s="99">
        <v>669.59999999999991</v>
      </c>
      <c r="CP72" s="99">
        <v>8</v>
      </c>
      <c r="CQ72" s="99">
        <v>595.19999999999993</v>
      </c>
      <c r="CR72" s="99">
        <v>14</v>
      </c>
      <c r="CS72" s="99">
        <v>1041.5999999999999</v>
      </c>
      <c r="CT72" s="99">
        <v>13</v>
      </c>
      <c r="CU72" s="99">
        <v>967.19999999999993</v>
      </c>
    </row>
    <row r="73" spans="2:99">
      <c r="C73" s="98" t="s">
        <v>239</v>
      </c>
      <c r="D73" s="99">
        <v>11</v>
      </c>
      <c r="E73" s="99">
        <v>6151.1999999999989</v>
      </c>
      <c r="F73" s="99">
        <v>10</v>
      </c>
      <c r="G73" s="99">
        <v>5591.9999999999991</v>
      </c>
      <c r="H73" s="99">
        <v>10</v>
      </c>
      <c r="I73" s="99">
        <v>5591.9999999999991</v>
      </c>
      <c r="J73" s="99">
        <v>11</v>
      </c>
      <c r="K73" s="99">
        <v>6151.1999999999989</v>
      </c>
      <c r="L73" s="99">
        <v>13</v>
      </c>
      <c r="M73" s="99">
        <v>7269.5999999999995</v>
      </c>
      <c r="N73" s="99">
        <v>7</v>
      </c>
      <c r="O73" s="99">
        <v>3914.3999999999996</v>
      </c>
      <c r="P73" s="99">
        <v>13</v>
      </c>
      <c r="Q73" s="99">
        <v>7269.5999999999995</v>
      </c>
      <c r="R73" s="99">
        <v>13</v>
      </c>
      <c r="S73" s="99">
        <v>7269.5999999999995</v>
      </c>
      <c r="T73" s="99">
        <v>11</v>
      </c>
      <c r="U73" s="99">
        <v>6151.1999999999989</v>
      </c>
      <c r="V73" s="99">
        <v>6.1908806984251674</v>
      </c>
      <c r="W73" s="99">
        <v>3461.9404865593533</v>
      </c>
      <c r="X73" s="99">
        <v>8</v>
      </c>
      <c r="Y73" s="99">
        <v>4473.5999999999995</v>
      </c>
      <c r="Z73" s="99">
        <v>10</v>
      </c>
      <c r="AA73" s="99">
        <v>5591.9999999999991</v>
      </c>
      <c r="AB73" s="99">
        <v>12.369039176331158</v>
      </c>
      <c r="AC73" s="99">
        <v>6916.7667074043829</v>
      </c>
      <c r="AD73" s="99">
        <v>11</v>
      </c>
      <c r="AE73" s="99">
        <v>6151.1999999999989</v>
      </c>
      <c r="AF73" s="99">
        <v>13</v>
      </c>
      <c r="AG73" s="99">
        <v>7269.5999999999995</v>
      </c>
      <c r="AH73" s="99">
        <v>5.7502690012382871</v>
      </c>
      <c r="AI73" s="99">
        <v>3215.5504254924499</v>
      </c>
      <c r="AJ73" s="99">
        <v>15</v>
      </c>
      <c r="AK73" s="99">
        <v>8387.9999999999982</v>
      </c>
      <c r="AL73" s="99">
        <v>13</v>
      </c>
      <c r="AM73" s="99">
        <v>7269.5999999999995</v>
      </c>
      <c r="AN73" s="99">
        <v>3.7792138715436754</v>
      </c>
      <c r="AO73" s="99">
        <v>2113.3363969672232</v>
      </c>
      <c r="AP73" s="99">
        <v>9</v>
      </c>
      <c r="AQ73" s="99">
        <v>5032.7999999999993</v>
      </c>
      <c r="AR73" s="99">
        <v>11.81306428624594</v>
      </c>
      <c r="AS73" s="99">
        <v>6605.8655488687282</v>
      </c>
      <c r="AT73" s="99">
        <v>9</v>
      </c>
      <c r="AU73" s="99">
        <v>5032.7999999999993</v>
      </c>
      <c r="AV73" s="99">
        <v>10.19110464330905</v>
      </c>
      <c r="AW73" s="99">
        <v>5698.8657165384202</v>
      </c>
      <c r="AX73" s="99">
        <v>13</v>
      </c>
      <c r="AY73" s="99">
        <v>7269.5999999999995</v>
      </c>
      <c r="AZ73" s="99">
        <v>10</v>
      </c>
      <c r="BA73" s="99">
        <v>5591.9999999999991</v>
      </c>
      <c r="BB73" s="99">
        <v>10</v>
      </c>
      <c r="BC73" s="99">
        <v>5591.9999999999991</v>
      </c>
      <c r="BD73" s="99">
        <v>7.2026596595031727</v>
      </c>
      <c r="BE73" s="99">
        <v>4027.7272815941737</v>
      </c>
      <c r="BF73" s="99">
        <v>0</v>
      </c>
      <c r="BG73" s="99">
        <v>0</v>
      </c>
      <c r="BH73" s="99">
        <v>14</v>
      </c>
      <c r="BI73" s="99">
        <v>7828.7999999999993</v>
      </c>
      <c r="BJ73" s="99">
        <v>11</v>
      </c>
      <c r="BK73" s="99">
        <v>6151.1999999999989</v>
      </c>
      <c r="BL73" s="99">
        <v>11</v>
      </c>
      <c r="BM73" s="99">
        <v>6151.1999999999989</v>
      </c>
      <c r="BN73" s="99">
        <v>9</v>
      </c>
      <c r="BO73" s="99">
        <v>5032.7999999999993</v>
      </c>
      <c r="BP73" s="99">
        <v>10</v>
      </c>
      <c r="BQ73" s="99">
        <v>5591.9999999999991</v>
      </c>
      <c r="BR73" s="99">
        <v>13</v>
      </c>
      <c r="BS73" s="99">
        <v>7269.5999999999995</v>
      </c>
      <c r="BT73" s="99">
        <v>10</v>
      </c>
      <c r="BU73" s="99">
        <v>5591.9999999999991</v>
      </c>
      <c r="BV73" s="99">
        <v>8</v>
      </c>
      <c r="BW73" s="99">
        <v>4473.5999999999995</v>
      </c>
      <c r="BX73" s="99">
        <v>12.68718172966638</v>
      </c>
      <c r="BY73" s="99">
        <v>7094.6720232294383</v>
      </c>
      <c r="BZ73" s="99">
        <v>11.853812812692107</v>
      </c>
      <c r="CA73" s="99">
        <v>6628.6521248574254</v>
      </c>
      <c r="CB73" s="99">
        <v>11.357837381198713</v>
      </c>
      <c r="CC73" s="99">
        <v>6351.30266356632</v>
      </c>
      <c r="CD73" s="99">
        <v>0</v>
      </c>
      <c r="CE73" s="99">
        <v>0</v>
      </c>
      <c r="CF73" s="99">
        <v>9</v>
      </c>
      <c r="CG73" s="99">
        <v>5032.7999999999993</v>
      </c>
      <c r="CH73" s="99">
        <v>14</v>
      </c>
      <c r="CI73" s="99">
        <v>7828.7999999999993</v>
      </c>
      <c r="CJ73" s="99">
        <v>13</v>
      </c>
      <c r="CK73" s="99">
        <v>7269.5999999999995</v>
      </c>
      <c r="CL73" s="99">
        <v>14</v>
      </c>
      <c r="CM73" s="99">
        <v>7828.7999999999993</v>
      </c>
      <c r="CN73" s="99">
        <v>9</v>
      </c>
      <c r="CO73" s="99">
        <v>5032.7999999999993</v>
      </c>
      <c r="CP73" s="99">
        <v>8</v>
      </c>
      <c r="CQ73" s="99">
        <v>4473.5999999999995</v>
      </c>
      <c r="CR73" s="99">
        <v>13</v>
      </c>
      <c r="CS73" s="99">
        <v>7269.5999999999995</v>
      </c>
      <c r="CT73" s="99">
        <v>11</v>
      </c>
      <c r="CU73" s="99">
        <v>6151.1999999999989</v>
      </c>
    </row>
    <row r="74" spans="2:99">
      <c r="C74" s="98" t="s">
        <v>240</v>
      </c>
      <c r="D74" s="99">
        <v>12</v>
      </c>
      <c r="E74" s="99">
        <v>4838.3999999999996</v>
      </c>
      <c r="F74" s="99">
        <v>11</v>
      </c>
      <c r="G74" s="99">
        <v>4435.2</v>
      </c>
      <c r="H74" s="99">
        <v>9</v>
      </c>
      <c r="I74" s="99">
        <v>3628.7999999999997</v>
      </c>
      <c r="J74" s="99">
        <v>11</v>
      </c>
      <c r="K74" s="99">
        <v>4435.2</v>
      </c>
      <c r="L74" s="99">
        <v>13</v>
      </c>
      <c r="M74" s="99">
        <v>5241.5999999999995</v>
      </c>
      <c r="N74" s="99">
        <v>9</v>
      </c>
      <c r="O74" s="99">
        <v>3628.7999999999997</v>
      </c>
      <c r="P74" s="99">
        <v>13</v>
      </c>
      <c r="Q74" s="99">
        <v>5241.5999999999995</v>
      </c>
      <c r="R74" s="99">
        <v>12</v>
      </c>
      <c r="S74" s="99">
        <v>4838.3999999999996</v>
      </c>
      <c r="T74" s="99">
        <v>10</v>
      </c>
      <c r="U74" s="99">
        <v>4032</v>
      </c>
      <c r="V74" s="99">
        <v>7.2226941481626952</v>
      </c>
      <c r="W74" s="99">
        <v>2912.1902805391987</v>
      </c>
      <c r="X74" s="99">
        <v>9</v>
      </c>
      <c r="Y74" s="99">
        <v>3628.7999999999997</v>
      </c>
      <c r="Z74" s="99">
        <v>12</v>
      </c>
      <c r="AA74" s="99">
        <v>4838.3999999999996</v>
      </c>
      <c r="AB74" s="99">
        <v>11.48553637802179</v>
      </c>
      <c r="AC74" s="99">
        <v>4630.9682676183857</v>
      </c>
      <c r="AD74" s="99">
        <v>13</v>
      </c>
      <c r="AE74" s="99">
        <v>5241.5999999999995</v>
      </c>
      <c r="AF74" s="99">
        <v>14</v>
      </c>
      <c r="AG74" s="99">
        <v>5644.8</v>
      </c>
      <c r="AH74" s="99">
        <v>5.7502690012382871</v>
      </c>
      <c r="AI74" s="99">
        <v>2318.5084612992773</v>
      </c>
      <c r="AJ74" s="99">
        <v>15</v>
      </c>
      <c r="AK74" s="99">
        <v>6048</v>
      </c>
      <c r="AL74" s="99">
        <v>14</v>
      </c>
      <c r="AM74" s="99">
        <v>5644.8</v>
      </c>
      <c r="AN74" s="99">
        <v>4.6190391763311585</v>
      </c>
      <c r="AO74" s="99">
        <v>1862.3965958967231</v>
      </c>
      <c r="AP74" s="99">
        <v>10</v>
      </c>
      <c r="AQ74" s="99">
        <v>4032</v>
      </c>
      <c r="AR74" s="99">
        <v>12.656854592406363</v>
      </c>
      <c r="AS74" s="99">
        <v>5103.2437716582454</v>
      </c>
      <c r="AT74" s="99">
        <v>9</v>
      </c>
      <c r="AU74" s="99">
        <v>3628.7999999999997</v>
      </c>
      <c r="AV74" s="99">
        <v>12.738880804136311</v>
      </c>
      <c r="AW74" s="99">
        <v>5136.3167402277604</v>
      </c>
      <c r="AX74" s="99">
        <v>14</v>
      </c>
      <c r="AY74" s="99">
        <v>5644.8</v>
      </c>
      <c r="AZ74" s="99">
        <v>11</v>
      </c>
      <c r="BA74" s="99">
        <v>4435.2</v>
      </c>
      <c r="BB74" s="99">
        <v>11</v>
      </c>
      <c r="BC74" s="99">
        <v>4435.2</v>
      </c>
      <c r="BD74" s="99">
        <v>7.2026596595031727</v>
      </c>
      <c r="BE74" s="99">
        <v>2904.112374711679</v>
      </c>
      <c r="BF74" s="99">
        <v>0</v>
      </c>
      <c r="BG74" s="99">
        <v>0</v>
      </c>
      <c r="BH74" s="99">
        <v>15</v>
      </c>
      <c r="BI74" s="99">
        <v>6048</v>
      </c>
      <c r="BJ74" s="99">
        <v>10</v>
      </c>
      <c r="BK74" s="99">
        <v>4032</v>
      </c>
      <c r="BL74" s="99">
        <v>13</v>
      </c>
      <c r="BM74" s="99">
        <v>5241.5999999999995</v>
      </c>
      <c r="BN74" s="99">
        <v>9</v>
      </c>
      <c r="BO74" s="99">
        <v>3628.7999999999997</v>
      </c>
      <c r="BP74" s="99">
        <v>11</v>
      </c>
      <c r="BQ74" s="99">
        <v>4435.2</v>
      </c>
      <c r="BR74" s="99">
        <v>14</v>
      </c>
      <c r="BS74" s="99">
        <v>5644.8</v>
      </c>
      <c r="BT74" s="99">
        <v>11</v>
      </c>
      <c r="BU74" s="99">
        <v>4435.2</v>
      </c>
      <c r="BV74" s="99">
        <v>8</v>
      </c>
      <c r="BW74" s="99">
        <v>3225.6</v>
      </c>
      <c r="BX74" s="99">
        <v>11.780954463261638</v>
      </c>
      <c r="BY74" s="99">
        <v>4750.0808395870927</v>
      </c>
      <c r="BZ74" s="99">
        <v>9.4830502501536849</v>
      </c>
      <c r="CA74" s="99">
        <v>3823.5658608619656</v>
      </c>
      <c r="CB74" s="99">
        <v>9.8434590637055521</v>
      </c>
      <c r="CC74" s="99">
        <v>3968.8826944860784</v>
      </c>
      <c r="CD74" s="99">
        <v>0</v>
      </c>
      <c r="CE74" s="99">
        <v>0</v>
      </c>
      <c r="CF74" s="99">
        <v>8</v>
      </c>
      <c r="CG74" s="99">
        <v>3225.6</v>
      </c>
      <c r="CH74" s="99">
        <v>15</v>
      </c>
      <c r="CI74" s="99">
        <v>6048</v>
      </c>
      <c r="CJ74" s="99">
        <v>13</v>
      </c>
      <c r="CK74" s="99">
        <v>5241.5999999999995</v>
      </c>
      <c r="CL74" s="99">
        <v>13</v>
      </c>
      <c r="CM74" s="99">
        <v>5241.5999999999995</v>
      </c>
      <c r="CN74" s="99">
        <v>9</v>
      </c>
      <c r="CO74" s="99">
        <v>3628.7999999999997</v>
      </c>
      <c r="CP74" s="99">
        <v>8</v>
      </c>
      <c r="CQ74" s="99">
        <v>3225.6</v>
      </c>
      <c r="CR74" s="99">
        <v>14</v>
      </c>
      <c r="CS74" s="99">
        <v>5644.8</v>
      </c>
      <c r="CT74" s="99">
        <v>12</v>
      </c>
      <c r="CU74" s="99">
        <v>4838.3999999999996</v>
      </c>
    </row>
    <row r="75" spans="2:99">
      <c r="C75" s="98" t="s">
        <v>241</v>
      </c>
      <c r="D75" s="99">
        <v>10</v>
      </c>
      <c r="E75" s="99">
        <v>6431.9999999999991</v>
      </c>
      <c r="F75" s="99">
        <v>11</v>
      </c>
      <c r="G75" s="99">
        <v>7075.1999999999989</v>
      </c>
      <c r="H75" s="99">
        <v>10</v>
      </c>
      <c r="I75" s="99">
        <v>6431.9999999999991</v>
      </c>
      <c r="J75" s="99">
        <v>10</v>
      </c>
      <c r="K75" s="99">
        <v>6431.9999999999991</v>
      </c>
      <c r="L75" s="99">
        <v>12</v>
      </c>
      <c r="M75" s="99">
        <v>7718.4</v>
      </c>
      <c r="N75" s="99">
        <v>8</v>
      </c>
      <c r="O75" s="99">
        <v>5145.5999999999995</v>
      </c>
      <c r="P75" s="99">
        <v>12</v>
      </c>
      <c r="Q75" s="99">
        <v>7718.4</v>
      </c>
      <c r="R75" s="99">
        <v>11</v>
      </c>
      <c r="S75" s="99">
        <v>7075.1999999999989</v>
      </c>
      <c r="T75" s="99">
        <v>9</v>
      </c>
      <c r="U75" s="99">
        <v>5788.7999999999993</v>
      </c>
      <c r="V75" s="99">
        <v>6.7067874232939308</v>
      </c>
      <c r="W75" s="99">
        <v>4313.8056706626558</v>
      </c>
      <c r="X75" s="99">
        <v>9</v>
      </c>
      <c r="Y75" s="99">
        <v>5788.7999999999993</v>
      </c>
      <c r="Z75" s="99">
        <v>11</v>
      </c>
      <c r="AA75" s="99">
        <v>7075.1999999999989</v>
      </c>
      <c r="AB75" s="99">
        <v>11.48553637802179</v>
      </c>
      <c r="AC75" s="99">
        <v>7387.496998343614</v>
      </c>
      <c r="AD75" s="99">
        <v>12</v>
      </c>
      <c r="AE75" s="99">
        <v>7718.4</v>
      </c>
      <c r="AF75" s="99">
        <v>14</v>
      </c>
      <c r="AG75" s="99">
        <v>9004.7999999999993</v>
      </c>
      <c r="AH75" s="99">
        <v>5.1752421011144589</v>
      </c>
      <c r="AI75" s="99">
        <v>3328.7157194368197</v>
      </c>
      <c r="AJ75" s="99">
        <v>14</v>
      </c>
      <c r="AK75" s="99">
        <v>9004.7999999999993</v>
      </c>
      <c r="AL75" s="99">
        <v>12</v>
      </c>
      <c r="AM75" s="99">
        <v>7718.4</v>
      </c>
      <c r="AN75" s="99">
        <v>4.1991265239374167</v>
      </c>
      <c r="AO75" s="99">
        <v>2700.8781801965461</v>
      </c>
      <c r="AP75" s="99">
        <v>10</v>
      </c>
      <c r="AQ75" s="99">
        <v>6431.9999999999991</v>
      </c>
      <c r="AR75" s="99">
        <v>11.81306428624594</v>
      </c>
      <c r="AS75" s="99">
        <v>7598.1629489133875</v>
      </c>
      <c r="AT75" s="99">
        <v>9</v>
      </c>
      <c r="AU75" s="99">
        <v>5788.7999999999993</v>
      </c>
      <c r="AV75" s="99">
        <v>10.19110464330905</v>
      </c>
      <c r="AW75" s="99">
        <v>6554.9185065763804</v>
      </c>
      <c r="AX75" s="99">
        <v>12</v>
      </c>
      <c r="AY75" s="99">
        <v>7718.4</v>
      </c>
      <c r="AZ75" s="99">
        <v>12</v>
      </c>
      <c r="BA75" s="99">
        <v>7718.4</v>
      </c>
      <c r="BB75" s="99">
        <v>11</v>
      </c>
      <c r="BC75" s="99">
        <v>7075.1999999999989</v>
      </c>
      <c r="BD75" s="99">
        <v>7.2026596595031727</v>
      </c>
      <c r="BE75" s="99">
        <v>4632.7506929924402</v>
      </c>
      <c r="BF75" s="99">
        <v>0</v>
      </c>
      <c r="BG75" s="99">
        <v>0</v>
      </c>
      <c r="BH75" s="99">
        <v>14</v>
      </c>
      <c r="BI75" s="99">
        <v>9004.7999999999993</v>
      </c>
      <c r="BJ75" s="99">
        <v>11</v>
      </c>
      <c r="BK75" s="99">
        <v>7075.1999999999989</v>
      </c>
      <c r="BL75" s="99">
        <v>12</v>
      </c>
      <c r="BM75" s="99">
        <v>7718.4</v>
      </c>
      <c r="BN75" s="99">
        <v>9</v>
      </c>
      <c r="BO75" s="99">
        <v>5788.7999999999993</v>
      </c>
      <c r="BP75" s="99">
        <v>11</v>
      </c>
      <c r="BQ75" s="99">
        <v>7075.1999999999989</v>
      </c>
      <c r="BR75" s="99">
        <v>13</v>
      </c>
      <c r="BS75" s="99">
        <v>8361.5999999999985</v>
      </c>
      <c r="BT75" s="99">
        <v>10</v>
      </c>
      <c r="BU75" s="99">
        <v>6431.9999999999991</v>
      </c>
      <c r="BV75" s="99">
        <v>8</v>
      </c>
      <c r="BW75" s="99">
        <v>5145.5999999999995</v>
      </c>
      <c r="BX75" s="99">
        <v>11.780954463261638</v>
      </c>
      <c r="BY75" s="99">
        <v>7577.5099107698852</v>
      </c>
      <c r="BZ75" s="99">
        <v>11.063558625179301</v>
      </c>
      <c r="CA75" s="99">
        <v>7116.0809077153253</v>
      </c>
      <c r="CB75" s="99">
        <v>9.8434590637055521</v>
      </c>
      <c r="CC75" s="99">
        <v>6331.31286977541</v>
      </c>
      <c r="CD75" s="99">
        <v>0</v>
      </c>
      <c r="CE75" s="99">
        <v>0</v>
      </c>
      <c r="CF75" s="99">
        <v>8</v>
      </c>
      <c r="CG75" s="99">
        <v>5145.5999999999995</v>
      </c>
      <c r="CH75" s="99">
        <v>15</v>
      </c>
      <c r="CI75" s="99">
        <v>9647.9999999999982</v>
      </c>
      <c r="CJ75" s="99">
        <v>13</v>
      </c>
      <c r="CK75" s="99">
        <v>8361.5999999999985</v>
      </c>
      <c r="CL75" s="99">
        <v>15</v>
      </c>
      <c r="CM75" s="99">
        <v>9647.9999999999982</v>
      </c>
      <c r="CN75" s="99">
        <v>9</v>
      </c>
      <c r="CO75" s="99">
        <v>5788.7999999999993</v>
      </c>
      <c r="CP75" s="99">
        <v>8</v>
      </c>
      <c r="CQ75" s="99">
        <v>5145.5999999999995</v>
      </c>
      <c r="CR75" s="99">
        <v>15</v>
      </c>
      <c r="CS75" s="99">
        <v>9647.9999999999982</v>
      </c>
      <c r="CT75" s="99">
        <v>13</v>
      </c>
      <c r="CU75" s="99">
        <v>8361.5999999999985</v>
      </c>
    </row>
    <row r="76" spans="2:99">
      <c r="C76" s="98" t="s">
        <v>242</v>
      </c>
      <c r="D76" s="99">
        <v>11</v>
      </c>
      <c r="E76" s="99">
        <v>8566.7999999999993</v>
      </c>
      <c r="F76" s="99">
        <v>11</v>
      </c>
      <c r="G76" s="99">
        <v>8566.7999999999993</v>
      </c>
      <c r="H76" s="99">
        <v>9</v>
      </c>
      <c r="I76" s="99">
        <v>7009.2</v>
      </c>
      <c r="J76" s="99">
        <v>11</v>
      </c>
      <c r="K76" s="99">
        <v>8566.7999999999993</v>
      </c>
      <c r="L76" s="99">
        <v>13</v>
      </c>
      <c r="M76" s="99">
        <v>10124.4</v>
      </c>
      <c r="N76" s="99">
        <v>7</v>
      </c>
      <c r="O76" s="99">
        <v>5451.5999999999995</v>
      </c>
      <c r="P76" s="99">
        <v>11</v>
      </c>
      <c r="Q76" s="99">
        <v>8566.7999999999993</v>
      </c>
      <c r="R76" s="99">
        <v>12</v>
      </c>
      <c r="S76" s="99">
        <v>9345.5999999999985</v>
      </c>
      <c r="T76" s="99">
        <v>9</v>
      </c>
      <c r="U76" s="99">
        <v>7009.2</v>
      </c>
      <c r="V76" s="99">
        <v>6.1908806984251674</v>
      </c>
      <c r="W76" s="99">
        <v>4821.4578879335204</v>
      </c>
      <c r="X76" s="99">
        <v>9</v>
      </c>
      <c r="Y76" s="99">
        <v>7009.2</v>
      </c>
      <c r="Z76" s="99">
        <v>12</v>
      </c>
      <c r="AA76" s="99">
        <v>9345.5999999999985</v>
      </c>
      <c r="AB76" s="99">
        <v>11.48553637802179</v>
      </c>
      <c r="AC76" s="99">
        <v>8944.9357312033699</v>
      </c>
      <c r="AD76" s="99">
        <v>11</v>
      </c>
      <c r="AE76" s="99">
        <v>8566.7999999999993</v>
      </c>
      <c r="AF76" s="99">
        <v>14</v>
      </c>
      <c r="AG76" s="99">
        <v>10903.199999999999</v>
      </c>
      <c r="AH76" s="99">
        <v>5.7502690012382871</v>
      </c>
      <c r="AI76" s="99">
        <v>4478.3094981643781</v>
      </c>
      <c r="AJ76" s="99">
        <v>15</v>
      </c>
      <c r="AK76" s="99">
        <v>11682</v>
      </c>
      <c r="AL76" s="99">
        <v>12</v>
      </c>
      <c r="AM76" s="99">
        <v>9345.5999999999985</v>
      </c>
      <c r="AN76" s="99">
        <v>4.6190391763311585</v>
      </c>
      <c r="AO76" s="99">
        <v>3597.3077105267062</v>
      </c>
      <c r="AP76" s="99">
        <v>8</v>
      </c>
      <c r="AQ76" s="99">
        <v>6230.4</v>
      </c>
      <c r="AR76" s="99">
        <v>10.125483673925091</v>
      </c>
      <c r="AS76" s="99">
        <v>7885.7266852528601</v>
      </c>
      <c r="AT76" s="99">
        <v>8</v>
      </c>
      <c r="AU76" s="99">
        <v>6230.4</v>
      </c>
      <c r="AV76" s="99">
        <v>11.040363363584804</v>
      </c>
      <c r="AW76" s="99">
        <v>8598.2349875598447</v>
      </c>
      <c r="AX76" s="99">
        <v>12</v>
      </c>
      <c r="AY76" s="99">
        <v>9345.5999999999985</v>
      </c>
      <c r="AZ76" s="99">
        <v>11</v>
      </c>
      <c r="BA76" s="99">
        <v>8566.7999999999993</v>
      </c>
      <c r="BB76" s="99">
        <v>11</v>
      </c>
      <c r="BC76" s="99">
        <v>8566.7999999999993</v>
      </c>
      <c r="BD76" s="99">
        <v>6.6881839695386613</v>
      </c>
      <c r="BE76" s="99">
        <v>5208.7576754767088</v>
      </c>
      <c r="BF76" s="99">
        <v>0</v>
      </c>
      <c r="BG76" s="99">
        <v>0</v>
      </c>
      <c r="BH76" s="99">
        <v>13</v>
      </c>
      <c r="BI76" s="99">
        <v>10124.4</v>
      </c>
      <c r="BJ76" s="99">
        <v>12</v>
      </c>
      <c r="BK76" s="99">
        <v>9345.5999999999985</v>
      </c>
      <c r="BL76" s="99">
        <v>12</v>
      </c>
      <c r="BM76" s="99">
        <v>9345.5999999999985</v>
      </c>
      <c r="BN76" s="99">
        <v>10</v>
      </c>
      <c r="BO76" s="99">
        <v>7788</v>
      </c>
      <c r="BP76" s="99">
        <v>11</v>
      </c>
      <c r="BQ76" s="99">
        <v>8566.7999999999993</v>
      </c>
      <c r="BR76" s="99">
        <v>15</v>
      </c>
      <c r="BS76" s="99">
        <v>11682</v>
      </c>
      <c r="BT76" s="99">
        <v>10</v>
      </c>
      <c r="BU76" s="99">
        <v>7788</v>
      </c>
      <c r="BV76" s="99">
        <v>8</v>
      </c>
      <c r="BW76" s="99">
        <v>6230.4</v>
      </c>
      <c r="BX76" s="99">
        <v>12.68718172966638</v>
      </c>
      <c r="BY76" s="99">
        <v>9880.7771310641765</v>
      </c>
      <c r="BZ76" s="99">
        <v>11.063558625179301</v>
      </c>
      <c r="CA76" s="99">
        <v>8616.2994572896387</v>
      </c>
      <c r="CB76" s="99">
        <v>11.357837381198713</v>
      </c>
      <c r="CC76" s="99">
        <v>8845.4837524775576</v>
      </c>
      <c r="CD76" s="99">
        <v>0</v>
      </c>
      <c r="CE76" s="99">
        <v>0</v>
      </c>
      <c r="CF76" s="99">
        <v>8</v>
      </c>
      <c r="CG76" s="99">
        <v>6230.4</v>
      </c>
      <c r="CH76" s="99">
        <v>14</v>
      </c>
      <c r="CI76" s="99">
        <v>10903.199999999999</v>
      </c>
      <c r="CJ76" s="99">
        <v>12</v>
      </c>
      <c r="CK76" s="99">
        <v>9345.5999999999985</v>
      </c>
      <c r="CL76" s="99">
        <v>15</v>
      </c>
      <c r="CM76" s="99">
        <v>11682</v>
      </c>
      <c r="CN76" s="99">
        <v>8</v>
      </c>
      <c r="CO76" s="99">
        <v>6230.4</v>
      </c>
      <c r="CP76" s="99">
        <v>8</v>
      </c>
      <c r="CQ76" s="99">
        <v>6230.4</v>
      </c>
      <c r="CR76" s="99">
        <v>14</v>
      </c>
      <c r="CS76" s="99">
        <v>10903.199999999999</v>
      </c>
      <c r="CT76" s="99">
        <v>11</v>
      </c>
      <c r="CU76" s="99">
        <v>8566.7999999999993</v>
      </c>
    </row>
    <row r="77" spans="2:99">
      <c r="C77" s="98" t="s">
        <v>243</v>
      </c>
      <c r="D77" s="99">
        <v>12</v>
      </c>
      <c r="E77" s="99">
        <v>3340.7999999999997</v>
      </c>
      <c r="F77" s="99">
        <v>12</v>
      </c>
      <c r="G77" s="99">
        <v>3340.7999999999997</v>
      </c>
      <c r="H77" s="99">
        <v>9</v>
      </c>
      <c r="I77" s="99">
        <v>2505.6</v>
      </c>
      <c r="J77" s="99">
        <v>12</v>
      </c>
      <c r="K77" s="99">
        <v>3340.7999999999997</v>
      </c>
      <c r="L77" s="99">
        <v>13</v>
      </c>
      <c r="M77" s="99">
        <v>3619.2</v>
      </c>
      <c r="N77" s="99">
        <v>8</v>
      </c>
      <c r="O77" s="99">
        <v>2227.1999999999998</v>
      </c>
      <c r="P77" s="99">
        <v>12</v>
      </c>
      <c r="Q77" s="99">
        <v>3340.7999999999997</v>
      </c>
      <c r="R77" s="99">
        <v>13</v>
      </c>
      <c r="S77" s="99">
        <v>3619.2</v>
      </c>
      <c r="T77" s="99">
        <v>11</v>
      </c>
      <c r="U77" s="99">
        <v>3062.3999999999996</v>
      </c>
      <c r="V77" s="99">
        <v>6.7067874232939308</v>
      </c>
      <c r="W77" s="99">
        <v>1867.1696186450301</v>
      </c>
      <c r="X77" s="99">
        <v>8</v>
      </c>
      <c r="Y77" s="99">
        <v>2227.1999999999998</v>
      </c>
      <c r="Z77" s="99">
        <v>12</v>
      </c>
      <c r="AA77" s="99">
        <v>3340.7999999999997</v>
      </c>
      <c r="AB77" s="99">
        <v>12.369039176331158</v>
      </c>
      <c r="AC77" s="99">
        <v>3443.5405066905942</v>
      </c>
      <c r="AD77" s="99">
        <v>12</v>
      </c>
      <c r="AE77" s="99">
        <v>3340.7999999999997</v>
      </c>
      <c r="AF77" s="99">
        <v>13</v>
      </c>
      <c r="AG77" s="99">
        <v>3619.2</v>
      </c>
      <c r="AH77" s="99">
        <v>5.7502690012382871</v>
      </c>
      <c r="AI77" s="99">
        <v>1600.8748899447389</v>
      </c>
      <c r="AJ77" s="99">
        <v>14</v>
      </c>
      <c r="AK77" s="99">
        <v>3897.5999999999995</v>
      </c>
      <c r="AL77" s="99">
        <v>13</v>
      </c>
      <c r="AM77" s="99">
        <v>3619.2</v>
      </c>
      <c r="AN77" s="99">
        <v>3.7792138715436754</v>
      </c>
      <c r="AO77" s="99">
        <v>1052.1331418377592</v>
      </c>
      <c r="AP77" s="99">
        <v>10</v>
      </c>
      <c r="AQ77" s="99">
        <v>2784</v>
      </c>
      <c r="AR77" s="99">
        <v>11.81306428624594</v>
      </c>
      <c r="AS77" s="99">
        <v>3288.7570972908693</v>
      </c>
      <c r="AT77" s="99">
        <v>9</v>
      </c>
      <c r="AU77" s="99">
        <v>2505.6</v>
      </c>
      <c r="AV77" s="99">
        <v>12.738880804136311</v>
      </c>
      <c r="AW77" s="99">
        <v>3546.5044158715486</v>
      </c>
      <c r="AX77" s="99">
        <v>13</v>
      </c>
      <c r="AY77" s="99">
        <v>3619.2</v>
      </c>
      <c r="AZ77" s="99">
        <v>12</v>
      </c>
      <c r="BA77" s="99">
        <v>3340.7999999999997</v>
      </c>
      <c r="BB77" s="99">
        <v>10</v>
      </c>
      <c r="BC77" s="99">
        <v>2784</v>
      </c>
      <c r="BD77" s="99">
        <v>7.2026596595031727</v>
      </c>
      <c r="BE77" s="99">
        <v>2005.2204492056831</v>
      </c>
      <c r="BF77" s="99">
        <v>0</v>
      </c>
      <c r="BG77" s="99">
        <v>0</v>
      </c>
      <c r="BH77" s="99">
        <v>13</v>
      </c>
      <c r="BI77" s="99">
        <v>3619.2</v>
      </c>
      <c r="BJ77" s="99">
        <v>11</v>
      </c>
      <c r="BK77" s="99">
        <v>3062.3999999999996</v>
      </c>
      <c r="BL77" s="99">
        <v>13</v>
      </c>
      <c r="BM77" s="99">
        <v>3619.2</v>
      </c>
      <c r="BN77" s="99">
        <v>9</v>
      </c>
      <c r="BO77" s="99">
        <v>2505.6</v>
      </c>
      <c r="BP77" s="99">
        <v>10</v>
      </c>
      <c r="BQ77" s="99">
        <v>2784</v>
      </c>
      <c r="BR77" s="99">
        <v>15</v>
      </c>
      <c r="BS77" s="99">
        <v>4176</v>
      </c>
      <c r="BT77" s="99">
        <v>12</v>
      </c>
      <c r="BU77" s="99">
        <v>3340.7999999999997</v>
      </c>
      <c r="BV77" s="99">
        <v>9</v>
      </c>
      <c r="BW77" s="99">
        <v>2505.6</v>
      </c>
      <c r="BX77" s="99">
        <v>13.593408996071121</v>
      </c>
      <c r="BY77" s="99">
        <v>3784.4050645061998</v>
      </c>
      <c r="BZ77" s="99">
        <v>11.063558625179301</v>
      </c>
      <c r="CA77" s="99">
        <v>3080.0947212499173</v>
      </c>
      <c r="CB77" s="99">
        <v>10.600648222452133</v>
      </c>
      <c r="CC77" s="99">
        <v>2951.2204651306733</v>
      </c>
      <c r="CD77" s="99">
        <v>0</v>
      </c>
      <c r="CE77" s="99">
        <v>0</v>
      </c>
      <c r="CF77" s="99">
        <v>9</v>
      </c>
      <c r="CG77" s="99">
        <v>2505.6</v>
      </c>
      <c r="CH77" s="99">
        <v>14</v>
      </c>
      <c r="CI77" s="99">
        <v>3897.5999999999995</v>
      </c>
      <c r="CJ77" s="99">
        <v>13</v>
      </c>
      <c r="CK77" s="99">
        <v>3619.2</v>
      </c>
      <c r="CL77" s="99">
        <v>16</v>
      </c>
      <c r="CM77" s="99">
        <v>4454.3999999999996</v>
      </c>
      <c r="CN77" s="99">
        <v>9</v>
      </c>
      <c r="CO77" s="99">
        <v>2505.6</v>
      </c>
      <c r="CP77" s="99">
        <v>8</v>
      </c>
      <c r="CQ77" s="99">
        <v>2227.1999999999998</v>
      </c>
      <c r="CR77" s="99">
        <v>16</v>
      </c>
      <c r="CS77" s="99">
        <v>4454.3999999999996</v>
      </c>
      <c r="CT77" s="99">
        <v>13</v>
      </c>
      <c r="CU77" s="99">
        <v>3619.2</v>
      </c>
    </row>
    <row r="78" spans="2:99">
      <c r="C78" s="98" t="s">
        <v>244</v>
      </c>
      <c r="D78" s="99">
        <v>11</v>
      </c>
      <c r="E78" s="99">
        <v>6072</v>
      </c>
      <c r="F78" s="99">
        <v>11</v>
      </c>
      <c r="G78" s="99">
        <v>6072</v>
      </c>
      <c r="H78" s="99">
        <v>9</v>
      </c>
      <c r="I78" s="99">
        <v>4968</v>
      </c>
      <c r="J78" s="99">
        <v>12</v>
      </c>
      <c r="K78" s="99">
        <v>6624</v>
      </c>
      <c r="L78" s="99">
        <v>13</v>
      </c>
      <c r="M78" s="99">
        <v>7176</v>
      </c>
      <c r="N78" s="99">
        <v>8</v>
      </c>
      <c r="O78" s="99">
        <v>4416</v>
      </c>
      <c r="P78" s="99">
        <v>12</v>
      </c>
      <c r="Q78" s="99">
        <v>6624</v>
      </c>
      <c r="R78" s="99">
        <v>13</v>
      </c>
      <c r="S78" s="99">
        <v>7176</v>
      </c>
      <c r="T78" s="99">
        <v>11</v>
      </c>
      <c r="U78" s="99">
        <v>6072</v>
      </c>
      <c r="V78" s="99">
        <v>6.1908806984251674</v>
      </c>
      <c r="W78" s="99">
        <v>3417.3661455306924</v>
      </c>
      <c r="X78" s="99">
        <v>8</v>
      </c>
      <c r="Y78" s="99">
        <v>4416</v>
      </c>
      <c r="Z78" s="99">
        <v>11</v>
      </c>
      <c r="AA78" s="99">
        <v>6072</v>
      </c>
      <c r="AB78" s="99">
        <v>12.369039176331158</v>
      </c>
      <c r="AC78" s="99">
        <v>6827.7096253347991</v>
      </c>
      <c r="AD78" s="99">
        <v>12</v>
      </c>
      <c r="AE78" s="99">
        <v>6624</v>
      </c>
      <c r="AF78" s="99">
        <v>13</v>
      </c>
      <c r="AG78" s="99">
        <v>7176</v>
      </c>
      <c r="AH78" s="99">
        <v>5.1752421011144589</v>
      </c>
      <c r="AI78" s="99">
        <v>2856.7336398151815</v>
      </c>
      <c r="AJ78" s="99">
        <v>13</v>
      </c>
      <c r="AK78" s="99">
        <v>7176</v>
      </c>
      <c r="AL78" s="99">
        <v>13</v>
      </c>
      <c r="AM78" s="99">
        <v>7176</v>
      </c>
      <c r="AN78" s="99">
        <v>4.1991265239374167</v>
      </c>
      <c r="AO78" s="99">
        <v>2317.9178412134538</v>
      </c>
      <c r="AP78" s="99">
        <v>10</v>
      </c>
      <c r="AQ78" s="99">
        <v>5520</v>
      </c>
      <c r="AR78" s="99">
        <v>12.656854592406363</v>
      </c>
      <c r="AS78" s="99">
        <v>6986.583735008312</v>
      </c>
      <c r="AT78" s="99">
        <v>9</v>
      </c>
      <c r="AU78" s="99">
        <v>4968</v>
      </c>
      <c r="AV78" s="99">
        <v>11.889622083860557</v>
      </c>
      <c r="AW78" s="99">
        <v>6563.0713902910275</v>
      </c>
      <c r="AX78" s="99">
        <v>13</v>
      </c>
      <c r="AY78" s="99">
        <v>7176</v>
      </c>
      <c r="AZ78" s="99">
        <v>11</v>
      </c>
      <c r="BA78" s="99">
        <v>6072</v>
      </c>
      <c r="BB78" s="99">
        <v>11</v>
      </c>
      <c r="BC78" s="99">
        <v>6072</v>
      </c>
      <c r="BD78" s="99">
        <v>6.6881839695386613</v>
      </c>
      <c r="BE78" s="99">
        <v>3691.877551185341</v>
      </c>
      <c r="BF78" s="99">
        <v>0</v>
      </c>
      <c r="BG78" s="99">
        <v>0</v>
      </c>
      <c r="BH78" s="99">
        <v>14</v>
      </c>
      <c r="BI78" s="99">
        <v>7728</v>
      </c>
      <c r="BJ78" s="99">
        <v>10</v>
      </c>
      <c r="BK78" s="99">
        <v>5520</v>
      </c>
      <c r="BL78" s="99">
        <v>12</v>
      </c>
      <c r="BM78" s="99">
        <v>6624</v>
      </c>
      <c r="BN78" s="99">
        <v>10</v>
      </c>
      <c r="BO78" s="99">
        <v>5520</v>
      </c>
      <c r="BP78" s="99">
        <v>10</v>
      </c>
      <c r="BQ78" s="99">
        <v>5520</v>
      </c>
      <c r="BR78" s="99">
        <v>15</v>
      </c>
      <c r="BS78" s="99">
        <v>8280</v>
      </c>
      <c r="BT78" s="99">
        <v>9</v>
      </c>
      <c r="BU78" s="99">
        <v>4968</v>
      </c>
      <c r="BV78" s="99">
        <v>9</v>
      </c>
      <c r="BW78" s="99">
        <v>4968</v>
      </c>
      <c r="BX78" s="99">
        <v>11.780954463261638</v>
      </c>
      <c r="BY78" s="99">
        <v>6503.0868637204239</v>
      </c>
      <c r="BZ78" s="99">
        <v>10.273304437666493</v>
      </c>
      <c r="CA78" s="99">
        <v>5670.8640495919044</v>
      </c>
      <c r="CB78" s="99">
        <v>9.8434590637055521</v>
      </c>
      <c r="CC78" s="99">
        <v>5433.5894031654643</v>
      </c>
      <c r="CD78" s="99">
        <v>0</v>
      </c>
      <c r="CE78" s="99">
        <v>0</v>
      </c>
      <c r="CF78" s="99">
        <v>8</v>
      </c>
      <c r="CG78" s="99">
        <v>4416</v>
      </c>
      <c r="CH78" s="99">
        <v>13</v>
      </c>
      <c r="CI78" s="99">
        <v>7176</v>
      </c>
      <c r="CJ78" s="99">
        <v>13</v>
      </c>
      <c r="CK78" s="99">
        <v>7176</v>
      </c>
      <c r="CL78" s="99">
        <v>14</v>
      </c>
      <c r="CM78" s="99">
        <v>7728</v>
      </c>
      <c r="CN78" s="99">
        <v>8</v>
      </c>
      <c r="CO78" s="99">
        <v>4416</v>
      </c>
      <c r="CP78" s="99">
        <v>8</v>
      </c>
      <c r="CQ78" s="99">
        <v>4416</v>
      </c>
      <c r="CR78" s="99">
        <v>14</v>
      </c>
      <c r="CS78" s="99">
        <v>7728</v>
      </c>
      <c r="CT78" s="99">
        <v>12</v>
      </c>
      <c r="CU78" s="99">
        <v>6624</v>
      </c>
    </row>
    <row r="79" spans="2:99">
      <c r="C79" s="98" t="s">
        <v>245</v>
      </c>
      <c r="D79" s="99">
        <v>12</v>
      </c>
      <c r="E79" s="99">
        <v>9086.4</v>
      </c>
      <c r="F79" s="99">
        <v>11</v>
      </c>
      <c r="G79" s="99">
        <v>8329.1999999999989</v>
      </c>
      <c r="H79" s="99">
        <v>10</v>
      </c>
      <c r="I79" s="99">
        <v>7571.9999999999991</v>
      </c>
      <c r="J79" s="99">
        <v>11</v>
      </c>
      <c r="K79" s="99">
        <v>8329.1999999999989</v>
      </c>
      <c r="L79" s="99">
        <v>14</v>
      </c>
      <c r="M79" s="99">
        <v>10600.8</v>
      </c>
      <c r="N79" s="99">
        <v>7</v>
      </c>
      <c r="O79" s="99">
        <v>5300.4</v>
      </c>
      <c r="P79" s="99">
        <v>13</v>
      </c>
      <c r="Q79" s="99">
        <v>9843.5999999999985</v>
      </c>
      <c r="R79" s="99">
        <v>13</v>
      </c>
      <c r="S79" s="99">
        <v>9843.5999999999985</v>
      </c>
      <c r="T79" s="99">
        <v>9</v>
      </c>
      <c r="U79" s="99">
        <v>6814.7999999999993</v>
      </c>
      <c r="V79" s="99">
        <v>6.1908806984251674</v>
      </c>
      <c r="W79" s="99">
        <v>4687.7348648475363</v>
      </c>
      <c r="X79" s="99">
        <v>8</v>
      </c>
      <c r="Y79" s="99">
        <v>6057.5999999999995</v>
      </c>
      <c r="Z79" s="99">
        <v>12</v>
      </c>
      <c r="AA79" s="99">
        <v>9086.4</v>
      </c>
      <c r="AB79" s="99">
        <v>11.48553637802179</v>
      </c>
      <c r="AC79" s="99">
        <v>8696.8481454380981</v>
      </c>
      <c r="AD79" s="99">
        <v>12</v>
      </c>
      <c r="AE79" s="99">
        <v>9086.4</v>
      </c>
      <c r="AF79" s="99">
        <v>13</v>
      </c>
      <c r="AG79" s="99">
        <v>9843.5999999999985</v>
      </c>
      <c r="AH79" s="99">
        <v>5.7502690012382871</v>
      </c>
      <c r="AI79" s="99">
        <v>4354.1036877376309</v>
      </c>
      <c r="AJ79" s="99">
        <v>15</v>
      </c>
      <c r="AK79" s="99">
        <v>11357.999999999998</v>
      </c>
      <c r="AL79" s="99">
        <v>13</v>
      </c>
      <c r="AM79" s="99">
        <v>9843.5999999999985</v>
      </c>
      <c r="AN79" s="99">
        <v>4.1991265239374167</v>
      </c>
      <c r="AO79" s="99">
        <v>3179.5786039254117</v>
      </c>
      <c r="AP79" s="99">
        <v>8</v>
      </c>
      <c r="AQ79" s="99">
        <v>6057.5999999999995</v>
      </c>
      <c r="AR79" s="99">
        <v>10.125483673925091</v>
      </c>
      <c r="AS79" s="99">
        <v>7667.0162378960777</v>
      </c>
      <c r="AT79" s="99">
        <v>10</v>
      </c>
      <c r="AU79" s="99">
        <v>7571.9999999999991</v>
      </c>
      <c r="AV79" s="99">
        <v>11.889622083860557</v>
      </c>
      <c r="AW79" s="99">
        <v>9002.8218418992128</v>
      </c>
      <c r="AX79" s="99">
        <v>13</v>
      </c>
      <c r="AY79" s="99">
        <v>9843.5999999999985</v>
      </c>
      <c r="AZ79" s="99">
        <v>10</v>
      </c>
      <c r="BA79" s="99">
        <v>7571.9999999999991</v>
      </c>
      <c r="BB79" s="99">
        <v>10</v>
      </c>
      <c r="BC79" s="99">
        <v>7571.9999999999991</v>
      </c>
      <c r="BD79" s="99">
        <v>6.6881839695386613</v>
      </c>
      <c r="BE79" s="99">
        <v>5064.2929017346742</v>
      </c>
      <c r="BF79" s="99">
        <v>0</v>
      </c>
      <c r="BG79" s="99">
        <v>0</v>
      </c>
      <c r="BH79" s="99">
        <v>14</v>
      </c>
      <c r="BI79" s="99">
        <v>10600.8</v>
      </c>
      <c r="BJ79" s="99">
        <v>12</v>
      </c>
      <c r="BK79" s="99">
        <v>9086.4</v>
      </c>
      <c r="BL79" s="99">
        <v>13</v>
      </c>
      <c r="BM79" s="99">
        <v>9843.5999999999985</v>
      </c>
      <c r="BN79" s="99">
        <v>10</v>
      </c>
      <c r="BO79" s="99">
        <v>7571.9999999999991</v>
      </c>
      <c r="BP79" s="99">
        <v>10</v>
      </c>
      <c r="BQ79" s="99">
        <v>7571.9999999999991</v>
      </c>
      <c r="BR79" s="99">
        <v>16</v>
      </c>
      <c r="BS79" s="99">
        <v>12115.199999999999</v>
      </c>
      <c r="BT79" s="99">
        <v>10</v>
      </c>
      <c r="BU79" s="99">
        <v>7571.9999999999991</v>
      </c>
      <c r="BV79" s="99">
        <v>9</v>
      </c>
      <c r="BW79" s="99">
        <v>6814.7999999999993</v>
      </c>
      <c r="BX79" s="99">
        <v>12.68718172966638</v>
      </c>
      <c r="BY79" s="99">
        <v>9606.7340057033816</v>
      </c>
      <c r="BZ79" s="99">
        <v>11.063558625179301</v>
      </c>
      <c r="CA79" s="99">
        <v>8377.3265909857655</v>
      </c>
      <c r="CB79" s="99">
        <v>10.600648222452133</v>
      </c>
      <c r="CC79" s="99">
        <v>8026.8108340407543</v>
      </c>
      <c r="CD79" s="99">
        <v>0</v>
      </c>
      <c r="CE79" s="99">
        <v>0</v>
      </c>
      <c r="CF79" s="99">
        <v>8</v>
      </c>
      <c r="CG79" s="99">
        <v>6057.5999999999995</v>
      </c>
      <c r="CH79" s="99">
        <v>15</v>
      </c>
      <c r="CI79" s="99">
        <v>11357.999999999998</v>
      </c>
      <c r="CJ79" s="99">
        <v>13</v>
      </c>
      <c r="CK79" s="99">
        <v>9843.5999999999985</v>
      </c>
      <c r="CL79" s="99">
        <v>14</v>
      </c>
      <c r="CM79" s="99">
        <v>10600.8</v>
      </c>
      <c r="CN79" s="99">
        <v>9</v>
      </c>
      <c r="CO79" s="99">
        <v>6814.7999999999993</v>
      </c>
      <c r="CP79" s="99">
        <v>8</v>
      </c>
      <c r="CQ79" s="99">
        <v>6057.5999999999995</v>
      </c>
      <c r="CR79" s="99">
        <v>15</v>
      </c>
      <c r="CS79" s="99">
        <v>11357.999999999998</v>
      </c>
      <c r="CT79" s="99">
        <v>13</v>
      </c>
      <c r="CU79" s="99">
        <v>9843.5999999999985</v>
      </c>
    </row>
    <row r="80" spans="2:99">
      <c r="C80" s="98" t="s">
        <v>246</v>
      </c>
      <c r="D80" s="99">
        <v>11</v>
      </c>
      <c r="E80" s="99">
        <v>8857.1999999999989</v>
      </c>
      <c r="F80" s="99">
        <v>10</v>
      </c>
      <c r="G80" s="99">
        <v>8051.9999999999991</v>
      </c>
      <c r="H80" s="99">
        <v>10</v>
      </c>
      <c r="I80" s="99">
        <v>8051.9999999999991</v>
      </c>
      <c r="J80" s="99">
        <v>10</v>
      </c>
      <c r="K80" s="99">
        <v>8051.9999999999991</v>
      </c>
      <c r="L80" s="99">
        <v>12</v>
      </c>
      <c r="M80" s="99">
        <v>9662.4</v>
      </c>
      <c r="N80" s="99">
        <v>8</v>
      </c>
      <c r="O80" s="99">
        <v>6441.5999999999995</v>
      </c>
      <c r="P80" s="99">
        <v>12</v>
      </c>
      <c r="Q80" s="99">
        <v>9662.4</v>
      </c>
      <c r="R80" s="99">
        <v>12</v>
      </c>
      <c r="S80" s="99">
        <v>9662.4</v>
      </c>
      <c r="T80" s="99">
        <v>11</v>
      </c>
      <c r="U80" s="99">
        <v>8857.1999999999989</v>
      </c>
      <c r="V80" s="99">
        <v>6.1908806984251674</v>
      </c>
      <c r="W80" s="99">
        <v>4984.8971383719445</v>
      </c>
      <c r="X80" s="99">
        <v>7</v>
      </c>
      <c r="Y80" s="99">
        <v>5636.4</v>
      </c>
      <c r="Z80" s="99">
        <v>11</v>
      </c>
      <c r="AA80" s="99">
        <v>8857.1999999999989</v>
      </c>
      <c r="AB80" s="99">
        <v>11.48553637802179</v>
      </c>
      <c r="AC80" s="99">
        <v>9248.1538915831443</v>
      </c>
      <c r="AD80" s="99">
        <v>11</v>
      </c>
      <c r="AE80" s="99">
        <v>8857.1999999999989</v>
      </c>
      <c r="AF80" s="99">
        <v>13</v>
      </c>
      <c r="AG80" s="99">
        <v>10467.599999999999</v>
      </c>
      <c r="AH80" s="99">
        <v>5.7502690012382871</v>
      </c>
      <c r="AI80" s="99">
        <v>4630.1165997970684</v>
      </c>
      <c r="AJ80" s="99">
        <v>14</v>
      </c>
      <c r="AK80" s="99">
        <v>11272.8</v>
      </c>
      <c r="AL80" s="99">
        <v>13</v>
      </c>
      <c r="AM80" s="99">
        <v>10467.599999999999</v>
      </c>
      <c r="AN80" s="99">
        <v>4.1991265239374167</v>
      </c>
      <c r="AO80" s="99">
        <v>3381.1366770744075</v>
      </c>
      <c r="AP80" s="99">
        <v>10</v>
      </c>
      <c r="AQ80" s="99">
        <v>8051.9999999999991</v>
      </c>
      <c r="AR80" s="99">
        <v>10.969273980085516</v>
      </c>
      <c r="AS80" s="99">
        <v>8832.4594087648566</v>
      </c>
      <c r="AT80" s="99">
        <v>9</v>
      </c>
      <c r="AU80" s="99">
        <v>7246.7999999999993</v>
      </c>
      <c r="AV80" s="99">
        <v>10.19110464330905</v>
      </c>
      <c r="AW80" s="99">
        <v>8205.8774587924454</v>
      </c>
      <c r="AX80" s="99">
        <v>13</v>
      </c>
      <c r="AY80" s="99">
        <v>10467.599999999999</v>
      </c>
      <c r="AZ80" s="99">
        <v>12</v>
      </c>
      <c r="BA80" s="99">
        <v>9662.4</v>
      </c>
      <c r="BB80" s="99">
        <v>11</v>
      </c>
      <c r="BC80" s="99">
        <v>8857.1999999999989</v>
      </c>
      <c r="BD80" s="99">
        <v>7.2026596595031727</v>
      </c>
      <c r="BE80" s="99">
        <v>5799.5815578319543</v>
      </c>
      <c r="BF80" s="99">
        <v>0</v>
      </c>
      <c r="BG80" s="99">
        <v>0</v>
      </c>
      <c r="BH80" s="99">
        <v>15</v>
      </c>
      <c r="BI80" s="99">
        <v>12077.999999999998</v>
      </c>
      <c r="BJ80" s="99">
        <v>12</v>
      </c>
      <c r="BK80" s="99">
        <v>9662.4</v>
      </c>
      <c r="BL80" s="99">
        <v>13</v>
      </c>
      <c r="BM80" s="99">
        <v>10467.599999999999</v>
      </c>
      <c r="BN80" s="99">
        <v>11</v>
      </c>
      <c r="BO80" s="99">
        <v>8857.1999999999989</v>
      </c>
      <c r="BP80" s="99">
        <v>10</v>
      </c>
      <c r="BQ80" s="99">
        <v>8051.9999999999991</v>
      </c>
      <c r="BR80" s="99">
        <v>13</v>
      </c>
      <c r="BS80" s="99">
        <v>10467.599999999999</v>
      </c>
      <c r="BT80" s="99">
        <v>10</v>
      </c>
      <c r="BU80" s="99">
        <v>8051.9999999999991</v>
      </c>
      <c r="BV80" s="99">
        <v>8</v>
      </c>
      <c r="BW80" s="99">
        <v>6441.5999999999995</v>
      </c>
      <c r="BX80" s="99">
        <v>12.68718172966638</v>
      </c>
      <c r="BY80" s="99">
        <v>10215.718728727368</v>
      </c>
      <c r="BZ80" s="99">
        <v>9.4830502501536849</v>
      </c>
      <c r="CA80" s="99">
        <v>7635.7520614237465</v>
      </c>
      <c r="CB80" s="99">
        <v>9.0862699049589715</v>
      </c>
      <c r="CC80" s="99">
        <v>7316.264527472963</v>
      </c>
      <c r="CD80" s="99">
        <v>0</v>
      </c>
      <c r="CE80" s="99">
        <v>0</v>
      </c>
      <c r="CF80" s="99">
        <v>9</v>
      </c>
      <c r="CG80" s="99">
        <v>7246.7999999999993</v>
      </c>
      <c r="CH80" s="99">
        <v>14</v>
      </c>
      <c r="CI80" s="99">
        <v>11272.8</v>
      </c>
      <c r="CJ80" s="99">
        <v>14</v>
      </c>
      <c r="CK80" s="99">
        <v>11272.8</v>
      </c>
      <c r="CL80" s="99">
        <v>14</v>
      </c>
      <c r="CM80" s="99">
        <v>11272.8</v>
      </c>
      <c r="CN80" s="99">
        <v>8</v>
      </c>
      <c r="CO80" s="99">
        <v>6441.5999999999995</v>
      </c>
      <c r="CP80" s="99">
        <v>8</v>
      </c>
      <c r="CQ80" s="99">
        <v>6441.5999999999995</v>
      </c>
      <c r="CR80" s="99">
        <v>15</v>
      </c>
      <c r="CS80" s="99">
        <v>12077.999999999998</v>
      </c>
      <c r="CT80" s="99">
        <v>13</v>
      </c>
      <c r="CU80" s="99">
        <v>10467.599999999999</v>
      </c>
    </row>
    <row r="81" spans="2:99">
      <c r="C81" s="98" t="s">
        <v>247</v>
      </c>
      <c r="D81" s="99">
        <v>10</v>
      </c>
      <c r="E81" s="99">
        <v>7536</v>
      </c>
      <c r="F81" s="99">
        <v>10</v>
      </c>
      <c r="G81" s="99">
        <v>7536</v>
      </c>
      <c r="H81" s="99">
        <v>10</v>
      </c>
      <c r="I81" s="99">
        <v>7536</v>
      </c>
      <c r="J81" s="99">
        <v>12</v>
      </c>
      <c r="K81" s="99">
        <v>9043.2000000000007</v>
      </c>
      <c r="L81" s="99">
        <v>13</v>
      </c>
      <c r="M81" s="99">
        <v>9796.8000000000011</v>
      </c>
      <c r="N81" s="99">
        <v>8</v>
      </c>
      <c r="O81" s="99">
        <v>6028.8</v>
      </c>
      <c r="P81" s="99">
        <v>13</v>
      </c>
      <c r="Q81" s="99">
        <v>9796.8000000000011</v>
      </c>
      <c r="R81" s="99">
        <v>12</v>
      </c>
      <c r="S81" s="99">
        <v>9043.2000000000007</v>
      </c>
      <c r="T81" s="99">
        <v>9</v>
      </c>
      <c r="U81" s="99">
        <v>6782.4000000000005</v>
      </c>
      <c r="V81" s="99">
        <v>6.1908806984251674</v>
      </c>
      <c r="W81" s="99">
        <v>4665.4476943332065</v>
      </c>
      <c r="X81" s="99">
        <v>8</v>
      </c>
      <c r="Y81" s="99">
        <v>6028.8</v>
      </c>
      <c r="Z81" s="99">
        <v>11</v>
      </c>
      <c r="AA81" s="99">
        <v>8289.6</v>
      </c>
      <c r="AB81" s="99">
        <v>10.602033579712421</v>
      </c>
      <c r="AC81" s="99">
        <v>7989.6925056712807</v>
      </c>
      <c r="AD81" s="99">
        <v>12</v>
      </c>
      <c r="AE81" s="99">
        <v>9043.2000000000007</v>
      </c>
      <c r="AF81" s="99">
        <v>14</v>
      </c>
      <c r="AG81" s="99">
        <v>10550.4</v>
      </c>
      <c r="AH81" s="99">
        <v>5.7502690012382871</v>
      </c>
      <c r="AI81" s="99">
        <v>4333.4027193331731</v>
      </c>
      <c r="AJ81" s="99">
        <v>14</v>
      </c>
      <c r="AK81" s="99">
        <v>10550.4</v>
      </c>
      <c r="AL81" s="99">
        <v>13</v>
      </c>
      <c r="AM81" s="99">
        <v>9796.8000000000011</v>
      </c>
      <c r="AN81" s="99">
        <v>4.1991265239374167</v>
      </c>
      <c r="AO81" s="99">
        <v>3164.4617484392375</v>
      </c>
      <c r="AP81" s="99">
        <v>10</v>
      </c>
      <c r="AQ81" s="99">
        <v>7536</v>
      </c>
      <c r="AR81" s="99">
        <v>11.81306428624594</v>
      </c>
      <c r="AS81" s="99">
        <v>8902.3252461149405</v>
      </c>
      <c r="AT81" s="99">
        <v>9</v>
      </c>
      <c r="AU81" s="99">
        <v>6782.4000000000005</v>
      </c>
      <c r="AV81" s="99">
        <v>11.889622083860557</v>
      </c>
      <c r="AW81" s="99">
        <v>8960.0192023973159</v>
      </c>
      <c r="AX81" s="99">
        <v>13</v>
      </c>
      <c r="AY81" s="99">
        <v>9796.8000000000011</v>
      </c>
      <c r="AZ81" s="99">
        <v>10</v>
      </c>
      <c r="BA81" s="99">
        <v>7536</v>
      </c>
      <c r="BB81" s="99">
        <v>11</v>
      </c>
      <c r="BC81" s="99">
        <v>8289.6</v>
      </c>
      <c r="BD81" s="99">
        <v>6.6881839695386613</v>
      </c>
      <c r="BE81" s="99">
        <v>5040.2154394443351</v>
      </c>
      <c r="BF81" s="99">
        <v>0</v>
      </c>
      <c r="BG81" s="99">
        <v>0</v>
      </c>
      <c r="BH81" s="99">
        <v>15</v>
      </c>
      <c r="BI81" s="99">
        <v>11304</v>
      </c>
      <c r="BJ81" s="99">
        <v>11</v>
      </c>
      <c r="BK81" s="99">
        <v>8289.6</v>
      </c>
      <c r="BL81" s="99">
        <v>13</v>
      </c>
      <c r="BM81" s="99">
        <v>9796.8000000000011</v>
      </c>
      <c r="BN81" s="99">
        <v>10</v>
      </c>
      <c r="BO81" s="99">
        <v>7536</v>
      </c>
      <c r="BP81" s="99">
        <v>10</v>
      </c>
      <c r="BQ81" s="99">
        <v>7536</v>
      </c>
      <c r="BR81" s="99">
        <v>14</v>
      </c>
      <c r="BS81" s="99">
        <v>10550.4</v>
      </c>
      <c r="BT81" s="99">
        <v>11</v>
      </c>
      <c r="BU81" s="99">
        <v>8289.6</v>
      </c>
      <c r="BV81" s="99">
        <v>8</v>
      </c>
      <c r="BW81" s="99">
        <v>6028.8</v>
      </c>
      <c r="BX81" s="99">
        <v>10.874727196856897</v>
      </c>
      <c r="BY81" s="99">
        <v>8195.1944155513575</v>
      </c>
      <c r="BZ81" s="99">
        <v>10.273304437666493</v>
      </c>
      <c r="CA81" s="99">
        <v>7741.9622242254691</v>
      </c>
      <c r="CB81" s="99">
        <v>10.600648222452133</v>
      </c>
      <c r="CC81" s="99">
        <v>7988.6485004399274</v>
      </c>
      <c r="CD81" s="99">
        <v>0</v>
      </c>
      <c r="CE81" s="99">
        <v>0</v>
      </c>
      <c r="CF81" s="99">
        <v>8</v>
      </c>
      <c r="CG81" s="99">
        <v>6028.8</v>
      </c>
      <c r="CH81" s="99">
        <v>14</v>
      </c>
      <c r="CI81" s="99">
        <v>10550.4</v>
      </c>
      <c r="CJ81" s="99">
        <v>13</v>
      </c>
      <c r="CK81" s="99">
        <v>9796.8000000000011</v>
      </c>
      <c r="CL81" s="99">
        <v>14</v>
      </c>
      <c r="CM81" s="99">
        <v>10550.4</v>
      </c>
      <c r="CN81" s="99">
        <v>9</v>
      </c>
      <c r="CO81" s="99">
        <v>6782.4000000000005</v>
      </c>
      <c r="CP81" s="99">
        <v>8</v>
      </c>
      <c r="CQ81" s="99">
        <v>6028.8</v>
      </c>
      <c r="CR81" s="99">
        <v>15</v>
      </c>
      <c r="CS81" s="99">
        <v>11304</v>
      </c>
      <c r="CT81" s="99">
        <v>11</v>
      </c>
      <c r="CU81" s="99">
        <v>8289.6</v>
      </c>
    </row>
    <row r="82" spans="2:99">
      <c r="C82" s="98" t="s">
        <v>248</v>
      </c>
      <c r="D82" s="99">
        <v>11</v>
      </c>
      <c r="E82" s="99">
        <v>5596.7999999999993</v>
      </c>
      <c r="F82" s="99">
        <v>12</v>
      </c>
      <c r="G82" s="99">
        <v>6105.5999999999985</v>
      </c>
      <c r="H82" s="99">
        <v>10</v>
      </c>
      <c r="I82" s="99">
        <v>5087.9999999999991</v>
      </c>
      <c r="J82" s="99">
        <v>11</v>
      </c>
      <c r="K82" s="99">
        <v>5596.7999999999993</v>
      </c>
      <c r="L82" s="99">
        <v>13</v>
      </c>
      <c r="M82" s="99">
        <v>6614.3999999999987</v>
      </c>
      <c r="N82" s="99">
        <v>7</v>
      </c>
      <c r="O82" s="99">
        <v>3561.5999999999995</v>
      </c>
      <c r="P82" s="99">
        <v>12</v>
      </c>
      <c r="Q82" s="99">
        <v>6105.5999999999985</v>
      </c>
      <c r="R82" s="99">
        <v>14</v>
      </c>
      <c r="S82" s="99">
        <v>7123.1999999999989</v>
      </c>
      <c r="T82" s="99">
        <v>11</v>
      </c>
      <c r="U82" s="99">
        <v>5596.7999999999993</v>
      </c>
      <c r="V82" s="99">
        <v>7.2226941481626952</v>
      </c>
      <c r="W82" s="99">
        <v>3674.9067825851785</v>
      </c>
      <c r="X82" s="99">
        <v>8</v>
      </c>
      <c r="Y82" s="99">
        <v>4070.3999999999992</v>
      </c>
      <c r="Z82" s="99">
        <v>12</v>
      </c>
      <c r="AA82" s="99">
        <v>6105.5999999999985</v>
      </c>
      <c r="AB82" s="99">
        <v>11.48553637802179</v>
      </c>
      <c r="AC82" s="99">
        <v>5843.8409091374851</v>
      </c>
      <c r="AD82" s="99">
        <v>12</v>
      </c>
      <c r="AE82" s="99">
        <v>6105.5999999999985</v>
      </c>
      <c r="AF82" s="99">
        <v>14</v>
      </c>
      <c r="AG82" s="99">
        <v>7123.1999999999989</v>
      </c>
      <c r="AH82" s="99">
        <v>5.7502690012382871</v>
      </c>
      <c r="AI82" s="99">
        <v>2925.73686783004</v>
      </c>
      <c r="AJ82" s="99">
        <v>14</v>
      </c>
      <c r="AK82" s="99">
        <v>7123.1999999999989</v>
      </c>
      <c r="AL82" s="99">
        <v>14</v>
      </c>
      <c r="AM82" s="99">
        <v>7123.1999999999989</v>
      </c>
      <c r="AN82" s="99">
        <v>4.6190391763311585</v>
      </c>
      <c r="AO82" s="99">
        <v>2350.1671329172927</v>
      </c>
      <c r="AP82" s="99">
        <v>9</v>
      </c>
      <c r="AQ82" s="99">
        <v>4579.1999999999989</v>
      </c>
      <c r="AR82" s="99">
        <v>11.81306428624594</v>
      </c>
      <c r="AS82" s="99">
        <v>6010.4871088419331</v>
      </c>
      <c r="AT82" s="99">
        <v>9</v>
      </c>
      <c r="AU82" s="99">
        <v>4579.1999999999989</v>
      </c>
      <c r="AV82" s="99">
        <v>11.889622083860557</v>
      </c>
      <c r="AW82" s="99">
        <v>6049.4397162682499</v>
      </c>
      <c r="AX82" s="99">
        <v>13</v>
      </c>
      <c r="AY82" s="99">
        <v>6614.3999999999987</v>
      </c>
      <c r="AZ82" s="99">
        <v>12</v>
      </c>
      <c r="BA82" s="99">
        <v>6105.5999999999985</v>
      </c>
      <c r="BB82" s="99">
        <v>12</v>
      </c>
      <c r="BC82" s="99">
        <v>6105.5999999999985</v>
      </c>
      <c r="BD82" s="99">
        <v>7.2026596595031727</v>
      </c>
      <c r="BE82" s="99">
        <v>3664.7132347552133</v>
      </c>
      <c r="BF82" s="99">
        <v>0</v>
      </c>
      <c r="BG82" s="99">
        <v>0</v>
      </c>
      <c r="BH82" s="99">
        <v>13</v>
      </c>
      <c r="BI82" s="99">
        <v>6614.3999999999987</v>
      </c>
      <c r="BJ82" s="99">
        <v>11</v>
      </c>
      <c r="BK82" s="99">
        <v>5596.7999999999993</v>
      </c>
      <c r="BL82" s="99">
        <v>11</v>
      </c>
      <c r="BM82" s="99">
        <v>5596.7999999999993</v>
      </c>
      <c r="BN82" s="99">
        <v>10</v>
      </c>
      <c r="BO82" s="99">
        <v>5087.9999999999991</v>
      </c>
      <c r="BP82" s="99">
        <v>11</v>
      </c>
      <c r="BQ82" s="99">
        <v>5596.7999999999993</v>
      </c>
      <c r="BR82" s="99">
        <v>14</v>
      </c>
      <c r="BS82" s="99">
        <v>7123.1999999999989</v>
      </c>
      <c r="BT82" s="99">
        <v>9</v>
      </c>
      <c r="BU82" s="99">
        <v>4579.1999999999989</v>
      </c>
      <c r="BV82" s="99">
        <v>8</v>
      </c>
      <c r="BW82" s="99">
        <v>4070.3999999999992</v>
      </c>
      <c r="BX82" s="99">
        <v>13.593408996071121</v>
      </c>
      <c r="BY82" s="99">
        <v>6916.3264972009847</v>
      </c>
      <c r="BZ82" s="99">
        <v>10.273304437666493</v>
      </c>
      <c r="CA82" s="99">
        <v>5227.0572978847104</v>
      </c>
      <c r="CB82" s="99">
        <v>10.600648222452133</v>
      </c>
      <c r="CC82" s="99">
        <v>5393.6098155836444</v>
      </c>
      <c r="CD82" s="99">
        <v>0</v>
      </c>
      <c r="CE82" s="99">
        <v>0</v>
      </c>
      <c r="CF82" s="99">
        <v>9</v>
      </c>
      <c r="CG82" s="99">
        <v>4579.1999999999989</v>
      </c>
      <c r="CH82" s="99">
        <v>15</v>
      </c>
      <c r="CI82" s="99">
        <v>7631.9999999999982</v>
      </c>
      <c r="CJ82" s="99">
        <v>13</v>
      </c>
      <c r="CK82" s="99">
        <v>6614.3999999999987</v>
      </c>
      <c r="CL82" s="99">
        <v>16</v>
      </c>
      <c r="CM82" s="99">
        <v>8140.7999999999984</v>
      </c>
      <c r="CN82" s="99">
        <v>9</v>
      </c>
      <c r="CO82" s="99">
        <v>4579.1999999999989</v>
      </c>
      <c r="CP82" s="99">
        <v>7</v>
      </c>
      <c r="CQ82" s="99">
        <v>3561.5999999999995</v>
      </c>
      <c r="CR82" s="99">
        <v>13</v>
      </c>
      <c r="CS82" s="99">
        <v>6614.3999999999987</v>
      </c>
      <c r="CT82" s="99">
        <v>12</v>
      </c>
      <c r="CU82" s="99">
        <v>6105.5999999999985</v>
      </c>
    </row>
    <row r="83" spans="2:99">
      <c r="C83" s="98" t="s">
        <v>249</v>
      </c>
      <c r="D83" s="99">
        <v>10</v>
      </c>
      <c r="E83" s="99">
        <v>8604</v>
      </c>
      <c r="F83" s="99">
        <v>11</v>
      </c>
      <c r="G83" s="99">
        <v>9464.4</v>
      </c>
      <c r="H83" s="99">
        <v>9</v>
      </c>
      <c r="I83" s="99">
        <v>7743.5999999999995</v>
      </c>
      <c r="J83" s="99">
        <v>11</v>
      </c>
      <c r="K83" s="99">
        <v>9464.4</v>
      </c>
      <c r="L83" s="99">
        <v>12</v>
      </c>
      <c r="M83" s="99">
        <v>10324.799999999999</v>
      </c>
      <c r="N83" s="99">
        <v>7</v>
      </c>
      <c r="O83" s="99">
        <v>6022.8</v>
      </c>
      <c r="P83" s="99">
        <v>13</v>
      </c>
      <c r="Q83" s="99">
        <v>11185.199999999999</v>
      </c>
      <c r="R83" s="99">
        <v>12</v>
      </c>
      <c r="S83" s="99">
        <v>10324.799999999999</v>
      </c>
      <c r="T83" s="99">
        <v>10</v>
      </c>
      <c r="U83" s="99">
        <v>8604</v>
      </c>
      <c r="V83" s="99">
        <v>6.1908806984251674</v>
      </c>
      <c r="W83" s="99">
        <v>5326.6337529250141</v>
      </c>
      <c r="X83" s="99">
        <v>8</v>
      </c>
      <c r="Y83" s="99">
        <v>6883.2</v>
      </c>
      <c r="Z83" s="99">
        <v>11</v>
      </c>
      <c r="AA83" s="99">
        <v>9464.4</v>
      </c>
      <c r="AB83" s="99">
        <v>12.369039176331158</v>
      </c>
      <c r="AC83" s="99">
        <v>10642.321307315329</v>
      </c>
      <c r="AD83" s="99">
        <v>12</v>
      </c>
      <c r="AE83" s="99">
        <v>10324.799999999999</v>
      </c>
      <c r="AF83" s="99">
        <v>15</v>
      </c>
      <c r="AG83" s="99">
        <v>12906</v>
      </c>
      <c r="AH83" s="99">
        <v>5.1752421011144589</v>
      </c>
      <c r="AI83" s="99">
        <v>4452.7783037988802</v>
      </c>
      <c r="AJ83" s="99">
        <v>14</v>
      </c>
      <c r="AK83" s="99">
        <v>12045.6</v>
      </c>
      <c r="AL83" s="99">
        <v>14</v>
      </c>
      <c r="AM83" s="99">
        <v>12045.6</v>
      </c>
      <c r="AN83" s="99">
        <v>4.1991265239374167</v>
      </c>
      <c r="AO83" s="99">
        <v>3612.9284611957532</v>
      </c>
      <c r="AP83" s="99">
        <v>9</v>
      </c>
      <c r="AQ83" s="99">
        <v>7743.5999999999995</v>
      </c>
      <c r="AR83" s="99">
        <v>10.969273980085516</v>
      </c>
      <c r="AS83" s="99">
        <v>9437.963332465577</v>
      </c>
      <c r="AT83" s="99">
        <v>9</v>
      </c>
      <c r="AU83" s="99">
        <v>7743.5999999999995</v>
      </c>
      <c r="AV83" s="99">
        <v>11.889622083860557</v>
      </c>
      <c r="AW83" s="99">
        <v>10229.830840953622</v>
      </c>
      <c r="AX83" s="99">
        <v>14</v>
      </c>
      <c r="AY83" s="99">
        <v>12045.6</v>
      </c>
      <c r="AZ83" s="99">
        <v>11</v>
      </c>
      <c r="BA83" s="99">
        <v>9464.4</v>
      </c>
      <c r="BB83" s="99">
        <v>10</v>
      </c>
      <c r="BC83" s="99">
        <v>8604</v>
      </c>
      <c r="BD83" s="99">
        <v>7.2026596595031727</v>
      </c>
      <c r="BE83" s="99">
        <v>6197.1683710365296</v>
      </c>
      <c r="BF83" s="99">
        <v>0</v>
      </c>
      <c r="BG83" s="99">
        <v>0</v>
      </c>
      <c r="BH83" s="99">
        <v>13</v>
      </c>
      <c r="BI83" s="99">
        <v>11185.199999999999</v>
      </c>
      <c r="BJ83" s="99">
        <v>12</v>
      </c>
      <c r="BK83" s="99">
        <v>10324.799999999999</v>
      </c>
      <c r="BL83" s="99">
        <v>13</v>
      </c>
      <c r="BM83" s="99">
        <v>11185.199999999999</v>
      </c>
      <c r="BN83" s="99">
        <v>10</v>
      </c>
      <c r="BO83" s="99">
        <v>8604</v>
      </c>
      <c r="BP83" s="99">
        <v>10</v>
      </c>
      <c r="BQ83" s="99">
        <v>8604</v>
      </c>
      <c r="BR83" s="99">
        <v>13</v>
      </c>
      <c r="BS83" s="99">
        <v>11185.199999999999</v>
      </c>
      <c r="BT83" s="99">
        <v>11</v>
      </c>
      <c r="BU83" s="99">
        <v>9464.4</v>
      </c>
      <c r="BV83" s="99">
        <v>9</v>
      </c>
      <c r="BW83" s="99">
        <v>7743.5999999999995</v>
      </c>
      <c r="BX83" s="99">
        <v>12.68718172966638</v>
      </c>
      <c r="BY83" s="99">
        <v>10916.051160204952</v>
      </c>
      <c r="BZ83" s="99">
        <v>10.273304437666493</v>
      </c>
      <c r="CA83" s="99">
        <v>8839.1511381682503</v>
      </c>
      <c r="CB83" s="99">
        <v>9.8434590637055521</v>
      </c>
      <c r="CC83" s="99">
        <v>8469.3121784122577</v>
      </c>
      <c r="CD83" s="99">
        <v>0</v>
      </c>
      <c r="CE83" s="99">
        <v>0</v>
      </c>
      <c r="CF83" s="99">
        <v>9</v>
      </c>
      <c r="CG83" s="99">
        <v>7743.5999999999995</v>
      </c>
      <c r="CH83" s="99">
        <v>14</v>
      </c>
      <c r="CI83" s="99">
        <v>12045.6</v>
      </c>
      <c r="CJ83" s="99">
        <v>12</v>
      </c>
      <c r="CK83" s="99">
        <v>10324.799999999999</v>
      </c>
      <c r="CL83" s="99">
        <v>15</v>
      </c>
      <c r="CM83" s="99">
        <v>12906</v>
      </c>
      <c r="CN83" s="99">
        <v>10</v>
      </c>
      <c r="CO83" s="99">
        <v>8604</v>
      </c>
      <c r="CP83" s="99">
        <v>7</v>
      </c>
      <c r="CQ83" s="99">
        <v>6022.8</v>
      </c>
      <c r="CR83" s="99">
        <v>15</v>
      </c>
      <c r="CS83" s="99">
        <v>12906</v>
      </c>
      <c r="CT83" s="99">
        <v>11</v>
      </c>
      <c r="CU83" s="99">
        <v>9464.4</v>
      </c>
    </row>
    <row r="84" spans="2:99">
      <c r="C84" s="98" t="s">
        <v>250</v>
      </c>
      <c r="D84" s="99">
        <v>11</v>
      </c>
      <c r="E84" s="99">
        <v>8593.1999999999989</v>
      </c>
      <c r="F84" s="99">
        <v>10</v>
      </c>
      <c r="G84" s="99">
        <v>7811.9999999999991</v>
      </c>
      <c r="H84" s="99">
        <v>10</v>
      </c>
      <c r="I84" s="99">
        <v>7811.9999999999991</v>
      </c>
      <c r="J84" s="99">
        <v>10</v>
      </c>
      <c r="K84" s="99">
        <v>7811.9999999999991</v>
      </c>
      <c r="L84" s="99">
        <v>13</v>
      </c>
      <c r="M84" s="99">
        <v>10155.599999999999</v>
      </c>
      <c r="N84" s="99">
        <v>8</v>
      </c>
      <c r="O84" s="99">
        <v>6249.5999999999995</v>
      </c>
      <c r="P84" s="99">
        <v>13</v>
      </c>
      <c r="Q84" s="99">
        <v>10155.599999999999</v>
      </c>
      <c r="R84" s="99">
        <v>13</v>
      </c>
      <c r="S84" s="99">
        <v>10155.599999999999</v>
      </c>
      <c r="T84" s="99">
        <v>11</v>
      </c>
      <c r="U84" s="99">
        <v>8593.1999999999989</v>
      </c>
      <c r="V84" s="99">
        <v>7.2226941481626952</v>
      </c>
      <c r="W84" s="99">
        <v>5642.3686685446974</v>
      </c>
      <c r="X84" s="99">
        <v>8</v>
      </c>
      <c r="Y84" s="99">
        <v>6249.5999999999995</v>
      </c>
      <c r="Z84" s="99">
        <v>12</v>
      </c>
      <c r="AA84" s="99">
        <v>9374.4</v>
      </c>
      <c r="AB84" s="99">
        <v>10.602033579712421</v>
      </c>
      <c r="AC84" s="99">
        <v>8282.3086324713422</v>
      </c>
      <c r="AD84" s="99">
        <v>12</v>
      </c>
      <c r="AE84" s="99">
        <v>9374.4</v>
      </c>
      <c r="AF84" s="99">
        <v>15</v>
      </c>
      <c r="AG84" s="99">
        <v>11717.999999999998</v>
      </c>
      <c r="AH84" s="99">
        <v>5.1752421011144589</v>
      </c>
      <c r="AI84" s="99">
        <v>4042.8991293906151</v>
      </c>
      <c r="AJ84" s="99">
        <v>13</v>
      </c>
      <c r="AK84" s="99">
        <v>10155.599999999999</v>
      </c>
      <c r="AL84" s="99">
        <v>14</v>
      </c>
      <c r="AM84" s="99">
        <v>10936.8</v>
      </c>
      <c r="AN84" s="99">
        <v>3.7792138715436754</v>
      </c>
      <c r="AO84" s="99">
        <v>2952.3218764499188</v>
      </c>
      <c r="AP84" s="99">
        <v>8</v>
      </c>
      <c r="AQ84" s="99">
        <v>6249.5999999999995</v>
      </c>
      <c r="AR84" s="99">
        <v>10.969273980085516</v>
      </c>
      <c r="AS84" s="99">
        <v>8569.1968332428041</v>
      </c>
      <c r="AT84" s="99">
        <v>10</v>
      </c>
      <c r="AU84" s="99">
        <v>7811.9999999999991</v>
      </c>
      <c r="AV84" s="99">
        <v>12.738880804136311</v>
      </c>
      <c r="AW84" s="99">
        <v>9951.6136841912848</v>
      </c>
      <c r="AX84" s="99">
        <v>14</v>
      </c>
      <c r="AY84" s="99">
        <v>10936.8</v>
      </c>
      <c r="AZ84" s="99">
        <v>12</v>
      </c>
      <c r="BA84" s="99">
        <v>9374.4</v>
      </c>
      <c r="BB84" s="99">
        <v>11</v>
      </c>
      <c r="BC84" s="99">
        <v>8593.1999999999989</v>
      </c>
      <c r="BD84" s="99">
        <v>6.6881839695386613</v>
      </c>
      <c r="BE84" s="99">
        <v>5224.8093170036018</v>
      </c>
      <c r="BF84" s="99">
        <v>0</v>
      </c>
      <c r="BG84" s="99">
        <v>0</v>
      </c>
      <c r="BH84" s="99">
        <v>14</v>
      </c>
      <c r="BI84" s="99">
        <v>10936.8</v>
      </c>
      <c r="BJ84" s="99">
        <v>10</v>
      </c>
      <c r="BK84" s="99">
        <v>7811.9999999999991</v>
      </c>
      <c r="BL84" s="99">
        <v>13</v>
      </c>
      <c r="BM84" s="99">
        <v>10155.599999999999</v>
      </c>
      <c r="BN84" s="99">
        <v>9</v>
      </c>
      <c r="BO84" s="99">
        <v>7030.7999999999993</v>
      </c>
      <c r="BP84" s="99">
        <v>10</v>
      </c>
      <c r="BQ84" s="99">
        <v>7811.9999999999991</v>
      </c>
      <c r="BR84" s="99">
        <v>14</v>
      </c>
      <c r="BS84" s="99">
        <v>10936.8</v>
      </c>
      <c r="BT84" s="99">
        <v>10</v>
      </c>
      <c r="BU84" s="99">
        <v>7811.9999999999991</v>
      </c>
      <c r="BV84" s="99">
        <v>9</v>
      </c>
      <c r="BW84" s="99">
        <v>7030.7999999999993</v>
      </c>
      <c r="BX84" s="99">
        <v>10.874727196856897</v>
      </c>
      <c r="BY84" s="99">
        <v>8495.3368861846066</v>
      </c>
      <c r="BZ84" s="99">
        <v>10.273304437666493</v>
      </c>
      <c r="CA84" s="99">
        <v>8025.5054267050637</v>
      </c>
      <c r="CB84" s="99">
        <v>10.600648222452133</v>
      </c>
      <c r="CC84" s="99">
        <v>8281.226391379605</v>
      </c>
      <c r="CD84" s="99">
        <v>0</v>
      </c>
      <c r="CE84" s="99">
        <v>0</v>
      </c>
      <c r="CF84" s="99">
        <v>8</v>
      </c>
      <c r="CG84" s="99">
        <v>6249.5999999999995</v>
      </c>
      <c r="CH84" s="99">
        <v>15</v>
      </c>
      <c r="CI84" s="99">
        <v>11717.999999999998</v>
      </c>
      <c r="CJ84" s="99">
        <v>12</v>
      </c>
      <c r="CK84" s="99">
        <v>9374.4</v>
      </c>
      <c r="CL84" s="99">
        <v>13</v>
      </c>
      <c r="CM84" s="99">
        <v>10155.599999999999</v>
      </c>
      <c r="CN84" s="99">
        <v>8</v>
      </c>
      <c r="CO84" s="99">
        <v>6249.5999999999995</v>
      </c>
      <c r="CP84" s="99">
        <v>8</v>
      </c>
      <c r="CQ84" s="99">
        <v>6249.5999999999995</v>
      </c>
      <c r="CR84" s="99">
        <v>14</v>
      </c>
      <c r="CS84" s="99">
        <v>10936.8</v>
      </c>
      <c r="CT84" s="99">
        <v>13</v>
      </c>
      <c r="CU84" s="99">
        <v>10155.599999999999</v>
      </c>
    </row>
    <row r="85" spans="2:99">
      <c r="C85" s="98" t="s">
        <v>251</v>
      </c>
      <c r="D85" s="99">
        <v>10</v>
      </c>
      <c r="E85" s="99">
        <v>1500</v>
      </c>
      <c r="F85" s="99">
        <v>12</v>
      </c>
      <c r="G85" s="99">
        <v>1800</v>
      </c>
      <c r="H85" s="99">
        <v>10</v>
      </c>
      <c r="I85" s="99">
        <v>1500</v>
      </c>
      <c r="J85" s="99">
        <v>10</v>
      </c>
      <c r="K85" s="99">
        <v>1500</v>
      </c>
      <c r="L85" s="99">
        <v>13</v>
      </c>
      <c r="M85" s="99">
        <v>1950</v>
      </c>
      <c r="N85" s="99">
        <v>7</v>
      </c>
      <c r="O85" s="99">
        <v>1050</v>
      </c>
      <c r="P85" s="99">
        <v>12</v>
      </c>
      <c r="Q85" s="99">
        <v>1800</v>
      </c>
      <c r="R85" s="99">
        <v>14</v>
      </c>
      <c r="S85" s="99">
        <v>2100</v>
      </c>
      <c r="T85" s="99">
        <v>10</v>
      </c>
      <c r="U85" s="99">
        <v>1500</v>
      </c>
      <c r="V85" s="99">
        <v>6.1908806984251674</v>
      </c>
      <c r="W85" s="99">
        <v>928.63210476377515</v>
      </c>
      <c r="X85" s="99">
        <v>8</v>
      </c>
      <c r="Y85" s="99">
        <v>1200</v>
      </c>
      <c r="Z85" s="99">
        <v>11</v>
      </c>
      <c r="AA85" s="99">
        <v>1650</v>
      </c>
      <c r="AB85" s="99">
        <v>11.48553637802179</v>
      </c>
      <c r="AC85" s="99">
        <v>1722.8304567032685</v>
      </c>
      <c r="AD85" s="99">
        <v>12</v>
      </c>
      <c r="AE85" s="99">
        <v>1800</v>
      </c>
      <c r="AF85" s="99">
        <v>15</v>
      </c>
      <c r="AG85" s="99">
        <v>2250</v>
      </c>
      <c r="AH85" s="99">
        <v>5.1752421011144589</v>
      </c>
      <c r="AI85" s="99">
        <v>776.28631516716882</v>
      </c>
      <c r="AJ85" s="99">
        <v>15</v>
      </c>
      <c r="AK85" s="99">
        <v>2250</v>
      </c>
      <c r="AL85" s="99">
        <v>14</v>
      </c>
      <c r="AM85" s="99">
        <v>2100</v>
      </c>
      <c r="AN85" s="99">
        <v>4.1991265239374167</v>
      </c>
      <c r="AO85" s="99">
        <v>629.86897859061253</v>
      </c>
      <c r="AP85" s="99">
        <v>9</v>
      </c>
      <c r="AQ85" s="99">
        <v>1350</v>
      </c>
      <c r="AR85" s="99">
        <v>10.969273980085516</v>
      </c>
      <c r="AS85" s="99">
        <v>1645.3910970128275</v>
      </c>
      <c r="AT85" s="99">
        <v>10</v>
      </c>
      <c r="AU85" s="99">
        <v>1500</v>
      </c>
      <c r="AV85" s="99">
        <v>12.738880804136311</v>
      </c>
      <c r="AW85" s="99">
        <v>1910.8321206204466</v>
      </c>
      <c r="AX85" s="99">
        <v>13</v>
      </c>
      <c r="AY85" s="99">
        <v>1950</v>
      </c>
      <c r="AZ85" s="99">
        <v>12</v>
      </c>
      <c r="BA85" s="99">
        <v>1800</v>
      </c>
      <c r="BB85" s="99">
        <v>11</v>
      </c>
      <c r="BC85" s="99">
        <v>1650</v>
      </c>
      <c r="BD85" s="99">
        <v>7.2026596595031727</v>
      </c>
      <c r="BE85" s="99">
        <v>1080.3989489254759</v>
      </c>
      <c r="BF85" s="99">
        <v>0</v>
      </c>
      <c r="BG85" s="99">
        <v>0</v>
      </c>
      <c r="BH85" s="99">
        <v>14</v>
      </c>
      <c r="BI85" s="99">
        <v>2100</v>
      </c>
      <c r="BJ85" s="99">
        <v>11</v>
      </c>
      <c r="BK85" s="99">
        <v>1650</v>
      </c>
      <c r="BL85" s="99">
        <v>13</v>
      </c>
      <c r="BM85" s="99">
        <v>1950</v>
      </c>
      <c r="BN85" s="99">
        <v>10</v>
      </c>
      <c r="BO85" s="99">
        <v>1500</v>
      </c>
      <c r="BP85" s="99">
        <v>11</v>
      </c>
      <c r="BQ85" s="99">
        <v>1650</v>
      </c>
      <c r="BR85" s="99">
        <v>16</v>
      </c>
      <c r="BS85" s="99">
        <v>2400</v>
      </c>
      <c r="BT85" s="99">
        <v>10</v>
      </c>
      <c r="BU85" s="99">
        <v>1500</v>
      </c>
      <c r="BV85" s="99">
        <v>9</v>
      </c>
      <c r="BW85" s="99">
        <v>1350</v>
      </c>
      <c r="BX85" s="99">
        <v>13.593408996071121</v>
      </c>
      <c r="BY85" s="99">
        <v>2039.0113494106681</v>
      </c>
      <c r="BZ85" s="99">
        <v>11.853812812692107</v>
      </c>
      <c r="CA85" s="99">
        <v>1778.071921903816</v>
      </c>
      <c r="CB85" s="99">
        <v>9.8434590637055521</v>
      </c>
      <c r="CC85" s="99">
        <v>1476.5188595558329</v>
      </c>
      <c r="CD85" s="99">
        <v>0</v>
      </c>
      <c r="CE85" s="99">
        <v>0</v>
      </c>
      <c r="CF85" s="99">
        <v>9</v>
      </c>
      <c r="CG85" s="99">
        <v>1350</v>
      </c>
      <c r="CH85" s="99">
        <v>13</v>
      </c>
      <c r="CI85" s="99">
        <v>1950</v>
      </c>
      <c r="CJ85" s="99">
        <v>13</v>
      </c>
      <c r="CK85" s="99">
        <v>1950</v>
      </c>
      <c r="CL85" s="99">
        <v>14</v>
      </c>
      <c r="CM85" s="99">
        <v>2100</v>
      </c>
      <c r="CN85" s="99">
        <v>10</v>
      </c>
      <c r="CO85" s="99">
        <v>1500</v>
      </c>
      <c r="CP85" s="99">
        <v>8</v>
      </c>
      <c r="CQ85" s="99">
        <v>1200</v>
      </c>
      <c r="CR85" s="99">
        <v>16</v>
      </c>
      <c r="CS85" s="99">
        <v>2400</v>
      </c>
      <c r="CT85" s="99">
        <v>12</v>
      </c>
      <c r="CU85" s="99">
        <v>1800</v>
      </c>
    </row>
    <row r="86" spans="2:99">
      <c r="C86" s="98" t="s">
        <v>252</v>
      </c>
      <c r="D86" s="99">
        <v>12</v>
      </c>
      <c r="E86" s="99">
        <v>6480</v>
      </c>
      <c r="F86" s="99">
        <v>11</v>
      </c>
      <c r="G86" s="99">
        <v>5940</v>
      </c>
      <c r="H86" s="99">
        <v>10</v>
      </c>
      <c r="I86" s="99">
        <v>5400</v>
      </c>
      <c r="J86" s="99">
        <v>11</v>
      </c>
      <c r="K86" s="99">
        <v>5940</v>
      </c>
      <c r="L86" s="99">
        <v>14</v>
      </c>
      <c r="M86" s="99">
        <v>7560</v>
      </c>
      <c r="N86" s="99">
        <v>9</v>
      </c>
      <c r="O86" s="99">
        <v>4860</v>
      </c>
      <c r="P86" s="99">
        <v>12</v>
      </c>
      <c r="Q86" s="99">
        <v>6480</v>
      </c>
      <c r="R86" s="99">
        <v>14</v>
      </c>
      <c r="S86" s="99">
        <v>7560</v>
      </c>
      <c r="T86" s="99">
        <v>11</v>
      </c>
      <c r="U86" s="99">
        <v>5940</v>
      </c>
      <c r="V86" s="99">
        <v>6.7067874232939308</v>
      </c>
      <c r="W86" s="99">
        <v>3621.6652085787227</v>
      </c>
      <c r="X86" s="99">
        <v>8</v>
      </c>
      <c r="Y86" s="99">
        <v>4320</v>
      </c>
      <c r="Z86" s="99">
        <v>11</v>
      </c>
      <c r="AA86" s="99">
        <v>5940</v>
      </c>
      <c r="AB86" s="99">
        <v>11.48553637802179</v>
      </c>
      <c r="AC86" s="99">
        <v>6202.1896441317667</v>
      </c>
      <c r="AD86" s="99">
        <v>12</v>
      </c>
      <c r="AE86" s="99">
        <v>6480</v>
      </c>
      <c r="AF86" s="99">
        <v>15</v>
      </c>
      <c r="AG86" s="99">
        <v>8100</v>
      </c>
      <c r="AH86" s="99">
        <v>5.7502690012382871</v>
      </c>
      <c r="AI86" s="99">
        <v>3105.1452606686748</v>
      </c>
      <c r="AJ86" s="99">
        <v>13</v>
      </c>
      <c r="AK86" s="99">
        <v>7020</v>
      </c>
      <c r="AL86" s="99">
        <v>12</v>
      </c>
      <c r="AM86" s="99">
        <v>6480</v>
      </c>
      <c r="AN86" s="99">
        <v>3.7792138715436754</v>
      </c>
      <c r="AO86" s="99">
        <v>2040.7754906335847</v>
      </c>
      <c r="AP86" s="99">
        <v>9</v>
      </c>
      <c r="AQ86" s="99">
        <v>4860</v>
      </c>
      <c r="AR86" s="99">
        <v>11.81306428624594</v>
      </c>
      <c r="AS86" s="99">
        <v>6379.0547145728078</v>
      </c>
      <c r="AT86" s="99">
        <v>8</v>
      </c>
      <c r="AU86" s="99">
        <v>4320</v>
      </c>
      <c r="AV86" s="99">
        <v>11.889622083860557</v>
      </c>
      <c r="AW86" s="99">
        <v>6420.3959252847008</v>
      </c>
      <c r="AX86" s="99">
        <v>13</v>
      </c>
      <c r="AY86" s="99">
        <v>7020</v>
      </c>
      <c r="AZ86" s="99">
        <v>11</v>
      </c>
      <c r="BA86" s="99">
        <v>5940</v>
      </c>
      <c r="BB86" s="99">
        <v>10</v>
      </c>
      <c r="BC86" s="99">
        <v>5400</v>
      </c>
      <c r="BD86" s="99">
        <v>7.7171353494676849</v>
      </c>
      <c r="BE86" s="99">
        <v>4167.2530887125495</v>
      </c>
      <c r="BF86" s="99">
        <v>0</v>
      </c>
      <c r="BG86" s="99">
        <v>0</v>
      </c>
      <c r="BH86" s="99">
        <v>14</v>
      </c>
      <c r="BI86" s="99">
        <v>7560</v>
      </c>
      <c r="BJ86" s="99">
        <v>11</v>
      </c>
      <c r="BK86" s="99">
        <v>5940</v>
      </c>
      <c r="BL86" s="99">
        <v>12</v>
      </c>
      <c r="BM86" s="99">
        <v>6480</v>
      </c>
      <c r="BN86" s="99">
        <v>11</v>
      </c>
      <c r="BO86" s="99">
        <v>5940</v>
      </c>
      <c r="BP86" s="99">
        <v>12</v>
      </c>
      <c r="BQ86" s="99">
        <v>6480</v>
      </c>
      <c r="BR86" s="99">
        <v>15</v>
      </c>
      <c r="BS86" s="99">
        <v>8100</v>
      </c>
      <c r="BT86" s="99">
        <v>11</v>
      </c>
      <c r="BU86" s="99">
        <v>5940</v>
      </c>
      <c r="BV86" s="99">
        <v>8</v>
      </c>
      <c r="BW86" s="99">
        <v>4320</v>
      </c>
      <c r="BX86" s="99">
        <v>12.68718172966638</v>
      </c>
      <c r="BY86" s="99">
        <v>6851.0781340198446</v>
      </c>
      <c r="BZ86" s="99">
        <v>11.063558625179301</v>
      </c>
      <c r="CA86" s="99">
        <v>5974.3216575968227</v>
      </c>
      <c r="CB86" s="99">
        <v>9.8434590637055521</v>
      </c>
      <c r="CC86" s="99">
        <v>5315.4678944009984</v>
      </c>
      <c r="CD86" s="99">
        <v>0</v>
      </c>
      <c r="CE86" s="99">
        <v>0</v>
      </c>
      <c r="CF86" s="99">
        <v>8</v>
      </c>
      <c r="CG86" s="99">
        <v>4320</v>
      </c>
      <c r="CH86" s="99">
        <v>15</v>
      </c>
      <c r="CI86" s="99">
        <v>8100</v>
      </c>
      <c r="CJ86" s="99">
        <v>13</v>
      </c>
      <c r="CK86" s="99">
        <v>7020</v>
      </c>
      <c r="CL86" s="99">
        <v>13</v>
      </c>
      <c r="CM86" s="99">
        <v>7020</v>
      </c>
      <c r="CN86" s="99">
        <v>9</v>
      </c>
      <c r="CO86" s="99">
        <v>4860</v>
      </c>
      <c r="CP86" s="99">
        <v>7</v>
      </c>
      <c r="CQ86" s="99">
        <v>3780</v>
      </c>
      <c r="CR86" s="99">
        <v>14</v>
      </c>
      <c r="CS86" s="99">
        <v>7560</v>
      </c>
      <c r="CT86" s="99">
        <v>13</v>
      </c>
      <c r="CU86" s="99">
        <v>7020</v>
      </c>
    </row>
    <row r="87" spans="2:99">
      <c r="B87" s="98" t="s">
        <v>131</v>
      </c>
      <c r="C87" s="98" t="s">
        <v>253</v>
      </c>
      <c r="D87" s="99">
        <v>8</v>
      </c>
      <c r="E87" s="99">
        <v>8592</v>
      </c>
      <c r="F87" s="99">
        <v>10</v>
      </c>
      <c r="G87" s="99">
        <v>10740</v>
      </c>
      <c r="H87" s="99">
        <v>9</v>
      </c>
      <c r="I87" s="99">
        <v>9666</v>
      </c>
      <c r="J87" s="99">
        <v>8</v>
      </c>
      <c r="K87" s="99">
        <v>8592</v>
      </c>
      <c r="L87" s="99">
        <v>7</v>
      </c>
      <c r="M87" s="99">
        <v>7518</v>
      </c>
      <c r="N87" s="99">
        <v>8</v>
      </c>
      <c r="O87" s="99">
        <v>8592</v>
      </c>
      <c r="P87" s="99">
        <v>3.047760238438284</v>
      </c>
      <c r="Q87" s="99">
        <v>3273.2944960827172</v>
      </c>
      <c r="R87" s="99">
        <v>0</v>
      </c>
      <c r="S87" s="99">
        <v>0</v>
      </c>
      <c r="T87" s="99">
        <v>0</v>
      </c>
      <c r="U87" s="99">
        <v>0</v>
      </c>
      <c r="V87" s="99">
        <v>0</v>
      </c>
      <c r="W87" s="99">
        <v>0</v>
      </c>
      <c r="X87" s="99">
        <v>8.9087813632517037</v>
      </c>
      <c r="Y87" s="99">
        <v>9568.0311841323291</v>
      </c>
      <c r="Z87" s="99">
        <v>5.9595621469436768</v>
      </c>
      <c r="AA87" s="99">
        <v>6400.5697458175091</v>
      </c>
      <c r="AB87" s="99">
        <v>6.1759708282572756</v>
      </c>
      <c r="AC87" s="99">
        <v>6632.9926695483136</v>
      </c>
      <c r="AD87" s="99">
        <v>3.1343896062211596</v>
      </c>
      <c r="AE87" s="99">
        <v>3366.3344370815253</v>
      </c>
      <c r="AF87" s="99">
        <v>6</v>
      </c>
      <c r="AG87" s="99">
        <v>6444</v>
      </c>
      <c r="AH87" s="99">
        <v>6</v>
      </c>
      <c r="AI87" s="99">
        <v>6444</v>
      </c>
      <c r="AJ87" s="99">
        <v>6</v>
      </c>
      <c r="AK87" s="99">
        <v>6444</v>
      </c>
      <c r="AL87" s="99">
        <v>7</v>
      </c>
      <c r="AM87" s="99">
        <v>7518</v>
      </c>
      <c r="AN87" s="99">
        <v>5.0140684928417274</v>
      </c>
      <c r="AO87" s="99">
        <v>5385.1095613120151</v>
      </c>
      <c r="AP87" s="99">
        <v>2.961483137333373</v>
      </c>
      <c r="AQ87" s="99">
        <v>3180.6328894960425</v>
      </c>
      <c r="AR87" s="99">
        <v>9</v>
      </c>
      <c r="AS87" s="99">
        <v>9666</v>
      </c>
      <c r="AT87" s="99">
        <v>9</v>
      </c>
      <c r="AU87" s="99">
        <v>9666</v>
      </c>
      <c r="AV87" s="99">
        <v>4.6600879816183269</v>
      </c>
      <c r="AW87" s="99">
        <v>5004.9344922580831</v>
      </c>
      <c r="AX87" s="99">
        <v>3.9880908306567537</v>
      </c>
      <c r="AY87" s="99">
        <v>4283.2095521253532</v>
      </c>
      <c r="AZ87" s="99">
        <v>7.6416966239035871</v>
      </c>
      <c r="BA87" s="99">
        <v>8207.1821740724517</v>
      </c>
      <c r="BB87" s="99">
        <v>9.5137588490365932</v>
      </c>
      <c r="BC87" s="99">
        <v>10217.777003865302</v>
      </c>
      <c r="BD87" s="99">
        <v>5.1779802260330321</v>
      </c>
      <c r="BE87" s="99">
        <v>5561.1507627594765</v>
      </c>
      <c r="BF87" s="99">
        <v>3.4836854893602043</v>
      </c>
      <c r="BG87" s="99">
        <v>3741.4782155728594</v>
      </c>
      <c r="BH87" s="99">
        <v>7.8893846021360732</v>
      </c>
      <c r="BI87" s="99">
        <v>8473.1990626941424</v>
      </c>
      <c r="BJ87" s="99">
        <v>4.0324852582320165</v>
      </c>
      <c r="BK87" s="99">
        <v>4330.8891673411854</v>
      </c>
      <c r="BL87" s="99">
        <v>5.9223148835252806</v>
      </c>
      <c r="BM87" s="99">
        <v>6360.5661849061516</v>
      </c>
      <c r="BN87" s="99">
        <v>6</v>
      </c>
      <c r="BO87" s="99">
        <v>6444</v>
      </c>
      <c r="BP87" s="99">
        <v>9.1304006642542195</v>
      </c>
      <c r="BQ87" s="99">
        <v>9806.0503134090322</v>
      </c>
      <c r="BR87" s="99">
        <v>2.6700355904846913</v>
      </c>
      <c r="BS87" s="99">
        <v>2867.6182241805586</v>
      </c>
      <c r="BT87" s="99">
        <v>7</v>
      </c>
      <c r="BU87" s="99">
        <v>7518</v>
      </c>
      <c r="BV87" s="99">
        <v>8.6186892101626871</v>
      </c>
      <c r="BW87" s="99">
        <v>9256.4722117147267</v>
      </c>
      <c r="BX87" s="99">
        <v>8.433069737058652</v>
      </c>
      <c r="BY87" s="99">
        <v>9057.1168976009922</v>
      </c>
      <c r="BZ87" s="99">
        <v>5.8184146224108</v>
      </c>
      <c r="CA87" s="99">
        <v>6248.9773044691992</v>
      </c>
      <c r="CB87" s="99">
        <v>6.6847998685294163</v>
      </c>
      <c r="CC87" s="99">
        <v>7179.4750588005927</v>
      </c>
      <c r="CD87" s="99">
        <v>4.102737614647209</v>
      </c>
      <c r="CE87" s="99">
        <v>4406.3401981311026</v>
      </c>
      <c r="CF87" s="99">
        <v>7.5203998520955935</v>
      </c>
      <c r="CG87" s="99">
        <v>8076.9094411506676</v>
      </c>
      <c r="CH87" s="99">
        <v>5.9223148835252788</v>
      </c>
      <c r="CI87" s="99">
        <v>6360.5661849061498</v>
      </c>
      <c r="CJ87" s="99">
        <v>8</v>
      </c>
      <c r="CK87" s="99">
        <v>8592</v>
      </c>
      <c r="CL87" s="99">
        <v>5.039113138395475</v>
      </c>
      <c r="CM87" s="99">
        <v>5412.0075106367403</v>
      </c>
      <c r="CN87" s="99">
        <v>8.6000612170004072</v>
      </c>
      <c r="CO87" s="99">
        <v>9236.465747058437</v>
      </c>
      <c r="CP87" s="99">
        <v>4.5998562202138089</v>
      </c>
      <c r="CQ87" s="99">
        <v>4940.2455805096306</v>
      </c>
      <c r="CR87" s="99">
        <v>7</v>
      </c>
      <c r="CS87" s="99">
        <v>7518</v>
      </c>
      <c r="CT87" s="99">
        <v>8.9666235917478971</v>
      </c>
      <c r="CU87" s="99">
        <v>9630.1537375372409</v>
      </c>
    </row>
    <row r="88" spans="2:99">
      <c r="C88" s="98" t="s">
        <v>254</v>
      </c>
      <c r="D88" s="99">
        <v>9</v>
      </c>
      <c r="E88" s="99">
        <v>8931.6</v>
      </c>
      <c r="F88" s="99">
        <v>11</v>
      </c>
      <c r="G88" s="99">
        <v>10916.4</v>
      </c>
      <c r="H88" s="99">
        <v>10</v>
      </c>
      <c r="I88" s="99">
        <v>9924</v>
      </c>
      <c r="J88" s="99">
        <v>8</v>
      </c>
      <c r="K88" s="99">
        <v>7939.2</v>
      </c>
      <c r="L88" s="99">
        <v>8</v>
      </c>
      <c r="M88" s="99">
        <v>7939.2</v>
      </c>
      <c r="N88" s="99">
        <v>9</v>
      </c>
      <c r="O88" s="99">
        <v>8931.6</v>
      </c>
      <c r="P88" s="99">
        <v>3.047760238438284</v>
      </c>
      <c r="Q88" s="99">
        <v>3024.597260626153</v>
      </c>
      <c r="R88" s="99">
        <v>0</v>
      </c>
      <c r="S88" s="99">
        <v>0</v>
      </c>
      <c r="T88" s="99">
        <v>0</v>
      </c>
      <c r="U88" s="99">
        <v>0</v>
      </c>
      <c r="V88" s="99">
        <v>0</v>
      </c>
      <c r="W88" s="99">
        <v>0</v>
      </c>
      <c r="X88" s="99">
        <v>8.9087813632517037</v>
      </c>
      <c r="Y88" s="99">
        <v>8841.0746248909909</v>
      </c>
      <c r="Z88" s="99">
        <v>5.9595621469436768</v>
      </c>
      <c r="AA88" s="99">
        <v>5914.2694746269044</v>
      </c>
      <c r="AB88" s="99">
        <v>6.1759708282572756</v>
      </c>
      <c r="AC88" s="99">
        <v>6129.0334499625205</v>
      </c>
      <c r="AD88" s="99">
        <v>3.1343896062211596</v>
      </c>
      <c r="AE88" s="99">
        <v>3110.5682452138785</v>
      </c>
      <c r="AF88" s="99">
        <v>6</v>
      </c>
      <c r="AG88" s="99">
        <v>5954.4</v>
      </c>
      <c r="AH88" s="99">
        <v>6</v>
      </c>
      <c r="AI88" s="99">
        <v>5954.4</v>
      </c>
      <c r="AJ88" s="99">
        <v>7</v>
      </c>
      <c r="AK88" s="99">
        <v>6946.8</v>
      </c>
      <c r="AL88" s="99">
        <v>7</v>
      </c>
      <c r="AM88" s="99">
        <v>6946.8</v>
      </c>
      <c r="AN88" s="99">
        <v>5.0140684928417274</v>
      </c>
      <c r="AO88" s="99">
        <v>4975.9615722961298</v>
      </c>
      <c r="AP88" s="99">
        <v>3.5537797648000473</v>
      </c>
      <c r="AQ88" s="99">
        <v>3526.7710385875671</v>
      </c>
      <c r="AR88" s="99">
        <v>9</v>
      </c>
      <c r="AS88" s="99">
        <v>8931.6</v>
      </c>
      <c r="AT88" s="99">
        <v>8</v>
      </c>
      <c r="AU88" s="99">
        <v>7939.2</v>
      </c>
      <c r="AV88" s="99">
        <v>5.5921055779419921</v>
      </c>
      <c r="AW88" s="99">
        <v>5549.6055755496327</v>
      </c>
      <c r="AX88" s="99">
        <v>3.9880908306567537</v>
      </c>
      <c r="AY88" s="99">
        <v>3957.7813403437622</v>
      </c>
      <c r="AZ88" s="99">
        <v>7.6416966239035871</v>
      </c>
      <c r="BA88" s="99">
        <v>7583.6197295619195</v>
      </c>
      <c r="BB88" s="99">
        <v>7.6110070792292754</v>
      </c>
      <c r="BC88" s="99">
        <v>7553.163425427133</v>
      </c>
      <c r="BD88" s="99">
        <v>6.0409769303718708</v>
      </c>
      <c r="BE88" s="99">
        <v>5995.0655057010445</v>
      </c>
      <c r="BF88" s="99">
        <v>3.4836854893602043</v>
      </c>
      <c r="BG88" s="99">
        <v>3457.2094796410665</v>
      </c>
      <c r="BH88" s="99">
        <v>9.8617307526700912</v>
      </c>
      <c r="BI88" s="99">
        <v>9786.7815989497976</v>
      </c>
      <c r="BJ88" s="99">
        <v>4.6085545808365911</v>
      </c>
      <c r="BK88" s="99">
        <v>4573.5295660222328</v>
      </c>
      <c r="BL88" s="99">
        <v>6.5803498705836443</v>
      </c>
      <c r="BM88" s="99">
        <v>6530.3392115672086</v>
      </c>
      <c r="BN88" s="99">
        <v>6</v>
      </c>
      <c r="BO88" s="99">
        <v>5954.4</v>
      </c>
      <c r="BP88" s="99">
        <v>9.1304006642542195</v>
      </c>
      <c r="BQ88" s="99">
        <v>9061.0096192058863</v>
      </c>
      <c r="BR88" s="99">
        <v>2.6700355904846913</v>
      </c>
      <c r="BS88" s="99">
        <v>2649.7433199970078</v>
      </c>
      <c r="BT88" s="99">
        <v>8</v>
      </c>
      <c r="BU88" s="99">
        <v>7939.2</v>
      </c>
      <c r="BV88" s="99">
        <v>8.6186892101626871</v>
      </c>
      <c r="BW88" s="99">
        <v>8553.1871721654497</v>
      </c>
      <c r="BX88" s="99">
        <v>8.433069737058652</v>
      </c>
      <c r="BY88" s="99">
        <v>8368.9784070570058</v>
      </c>
      <c r="BZ88" s="99">
        <v>4.9872125334949722</v>
      </c>
      <c r="CA88" s="99">
        <v>4949.3097182404099</v>
      </c>
      <c r="CB88" s="99">
        <v>5.8491998849632392</v>
      </c>
      <c r="CC88" s="99">
        <v>5804.7459658375183</v>
      </c>
      <c r="CD88" s="99">
        <v>4.102737614647209</v>
      </c>
      <c r="CE88" s="99">
        <v>4071.5568087758902</v>
      </c>
      <c r="CF88" s="99">
        <v>7.5203998520955935</v>
      </c>
      <c r="CG88" s="99">
        <v>7463.2448132196669</v>
      </c>
      <c r="CH88" s="99">
        <v>5.9223148835252788</v>
      </c>
      <c r="CI88" s="99">
        <v>5877.3052904104861</v>
      </c>
      <c r="CJ88" s="99">
        <v>8</v>
      </c>
      <c r="CK88" s="99">
        <v>7939.2</v>
      </c>
      <c r="CL88" s="99">
        <v>5.8789653281280536</v>
      </c>
      <c r="CM88" s="99">
        <v>5834.2851916342806</v>
      </c>
      <c r="CN88" s="99">
        <v>9.3818849640004434</v>
      </c>
      <c r="CO88" s="99">
        <v>9310.5826382740397</v>
      </c>
      <c r="CP88" s="99">
        <v>5.3664989235827774</v>
      </c>
      <c r="CQ88" s="99">
        <v>5325.7135317635484</v>
      </c>
      <c r="CR88" s="99">
        <v>6</v>
      </c>
      <c r="CS88" s="99">
        <v>5954.4</v>
      </c>
      <c r="CT88" s="99">
        <v>8.9666235917478971</v>
      </c>
      <c r="CU88" s="99">
        <v>8898.4772524506134</v>
      </c>
    </row>
    <row r="89" spans="2:99">
      <c r="C89" s="98" t="s">
        <v>255</v>
      </c>
      <c r="D89" s="99">
        <v>8</v>
      </c>
      <c r="E89" s="99">
        <v>8496</v>
      </c>
      <c r="F89" s="99">
        <v>11</v>
      </c>
      <c r="G89" s="99">
        <v>11682</v>
      </c>
      <c r="H89" s="99">
        <v>10</v>
      </c>
      <c r="I89" s="99">
        <v>10620</v>
      </c>
      <c r="J89" s="99">
        <v>8</v>
      </c>
      <c r="K89" s="99">
        <v>8496</v>
      </c>
      <c r="L89" s="99">
        <v>8</v>
      </c>
      <c r="M89" s="99">
        <v>8496</v>
      </c>
      <c r="N89" s="99">
        <v>9</v>
      </c>
      <c r="O89" s="99">
        <v>9558</v>
      </c>
      <c r="P89" s="99">
        <v>3.047760238438284</v>
      </c>
      <c r="Q89" s="99">
        <v>3236.7213732214577</v>
      </c>
      <c r="R89" s="99">
        <v>0</v>
      </c>
      <c r="S89" s="99">
        <v>0</v>
      </c>
      <c r="T89" s="99">
        <v>0</v>
      </c>
      <c r="U89" s="99">
        <v>0</v>
      </c>
      <c r="V89" s="99">
        <v>0</v>
      </c>
      <c r="W89" s="99">
        <v>0</v>
      </c>
      <c r="X89" s="99">
        <v>8.0988921484106395</v>
      </c>
      <c r="Y89" s="99">
        <v>8601.0234616120997</v>
      </c>
      <c r="Z89" s="99">
        <v>5.9595621469436768</v>
      </c>
      <c r="AA89" s="99">
        <v>6329.0550000541843</v>
      </c>
      <c r="AB89" s="99">
        <v>6.1759708282572756</v>
      </c>
      <c r="AC89" s="99">
        <v>6558.8810196092263</v>
      </c>
      <c r="AD89" s="99">
        <v>2.6119913385176332</v>
      </c>
      <c r="AE89" s="99">
        <v>2773.9348015057267</v>
      </c>
      <c r="AF89" s="99">
        <v>7</v>
      </c>
      <c r="AG89" s="99">
        <v>7434</v>
      </c>
      <c r="AH89" s="99">
        <v>6</v>
      </c>
      <c r="AI89" s="99">
        <v>6372</v>
      </c>
      <c r="AJ89" s="99">
        <v>7</v>
      </c>
      <c r="AK89" s="99">
        <v>7434</v>
      </c>
      <c r="AL89" s="99">
        <v>7</v>
      </c>
      <c r="AM89" s="99">
        <v>7434</v>
      </c>
      <c r="AN89" s="99">
        <v>5.8497465749820146</v>
      </c>
      <c r="AO89" s="99">
        <v>6212.4308626308994</v>
      </c>
      <c r="AP89" s="99">
        <v>2.961483137333373</v>
      </c>
      <c r="AQ89" s="99">
        <v>3145.0950918480421</v>
      </c>
      <c r="AR89" s="99">
        <v>9</v>
      </c>
      <c r="AS89" s="99">
        <v>9558</v>
      </c>
      <c r="AT89" s="99">
        <v>9</v>
      </c>
      <c r="AU89" s="99">
        <v>9558</v>
      </c>
      <c r="AV89" s="99">
        <v>5.5921055779419921</v>
      </c>
      <c r="AW89" s="99">
        <v>5938.8161237743952</v>
      </c>
      <c r="AX89" s="99">
        <v>4.785708996788105</v>
      </c>
      <c r="AY89" s="99">
        <v>5082.4229545889675</v>
      </c>
      <c r="AZ89" s="99">
        <v>7.6416966239035871</v>
      </c>
      <c r="BA89" s="99">
        <v>8115.4818145856098</v>
      </c>
      <c r="BB89" s="99">
        <v>9.5137588490365932</v>
      </c>
      <c r="BC89" s="99">
        <v>10103.611897676861</v>
      </c>
      <c r="BD89" s="99">
        <v>5.1779802260330321</v>
      </c>
      <c r="BE89" s="99">
        <v>5499.0150000470803</v>
      </c>
      <c r="BF89" s="99">
        <v>3.4836854893602043</v>
      </c>
      <c r="BG89" s="99">
        <v>3699.6739897005368</v>
      </c>
      <c r="BH89" s="99">
        <v>9.8617307526700912</v>
      </c>
      <c r="BI89" s="99">
        <v>10473.158059335638</v>
      </c>
      <c r="BJ89" s="99">
        <v>4.6085545808365911</v>
      </c>
      <c r="BK89" s="99">
        <v>4894.2849648484598</v>
      </c>
      <c r="BL89" s="99">
        <v>7.2383848576420089</v>
      </c>
      <c r="BM89" s="99">
        <v>7687.1647188158131</v>
      </c>
      <c r="BN89" s="99">
        <v>6</v>
      </c>
      <c r="BO89" s="99">
        <v>6372</v>
      </c>
      <c r="BP89" s="99">
        <v>8.300364240231108</v>
      </c>
      <c r="BQ89" s="99">
        <v>8814.9868231254368</v>
      </c>
      <c r="BR89" s="99">
        <v>2.6700355904846913</v>
      </c>
      <c r="BS89" s="99">
        <v>2835.577797094742</v>
      </c>
      <c r="BT89" s="99">
        <v>8</v>
      </c>
      <c r="BU89" s="99">
        <v>8496</v>
      </c>
      <c r="BV89" s="99">
        <v>7.6610570757001666</v>
      </c>
      <c r="BW89" s="99">
        <v>8136.0426143935765</v>
      </c>
      <c r="BX89" s="99">
        <v>8.433069737058652</v>
      </c>
      <c r="BY89" s="99">
        <v>8955.9200607562889</v>
      </c>
      <c r="BZ89" s="99">
        <v>4.9872125334949722</v>
      </c>
      <c r="CA89" s="99">
        <v>5296.4197105716603</v>
      </c>
      <c r="CB89" s="99">
        <v>6.6847998685294163</v>
      </c>
      <c r="CC89" s="99">
        <v>7099.2574603782405</v>
      </c>
      <c r="CD89" s="99">
        <v>3.5898954128163081</v>
      </c>
      <c r="CE89" s="99">
        <v>3812.468928410919</v>
      </c>
      <c r="CF89" s="99">
        <v>7.5203998520955935</v>
      </c>
      <c r="CG89" s="99">
        <v>7986.6646429255206</v>
      </c>
      <c r="CH89" s="99">
        <v>5.9223148835252788</v>
      </c>
      <c r="CI89" s="99">
        <v>6289.4984063038464</v>
      </c>
      <c r="CJ89" s="99">
        <v>8</v>
      </c>
      <c r="CK89" s="99">
        <v>8496</v>
      </c>
      <c r="CL89" s="99">
        <v>5.8789653281280536</v>
      </c>
      <c r="CM89" s="99">
        <v>6243.4611784719928</v>
      </c>
      <c r="CN89" s="99">
        <v>9.3818849640004434</v>
      </c>
      <c r="CO89" s="99">
        <v>9963.5618317684712</v>
      </c>
      <c r="CP89" s="99">
        <v>5.3664989235827774</v>
      </c>
      <c r="CQ89" s="99">
        <v>5699.2218568449098</v>
      </c>
      <c r="CR89" s="99">
        <v>7</v>
      </c>
      <c r="CS89" s="99">
        <v>7434</v>
      </c>
      <c r="CT89" s="99">
        <v>8.9666235917478971</v>
      </c>
      <c r="CU89" s="99">
        <v>9522.554254436267</v>
      </c>
    </row>
    <row r="90" spans="2:99">
      <c r="C90" s="98" t="s">
        <v>256</v>
      </c>
      <c r="D90" s="99">
        <v>9</v>
      </c>
      <c r="E90" s="99">
        <v>9979.1999999999989</v>
      </c>
      <c r="F90" s="99">
        <v>10</v>
      </c>
      <c r="G90" s="99">
        <v>11088</v>
      </c>
      <c r="H90" s="99">
        <v>9</v>
      </c>
      <c r="I90" s="99">
        <v>9979.1999999999989</v>
      </c>
      <c r="J90" s="99">
        <v>7</v>
      </c>
      <c r="K90" s="99">
        <v>7761.5999999999995</v>
      </c>
      <c r="L90" s="99">
        <v>7</v>
      </c>
      <c r="M90" s="99">
        <v>7761.5999999999995</v>
      </c>
      <c r="N90" s="99">
        <v>9</v>
      </c>
      <c r="O90" s="99">
        <v>9979.1999999999989</v>
      </c>
      <c r="P90" s="99">
        <v>2.6123659186613857</v>
      </c>
      <c r="Q90" s="99">
        <v>2896.5913306117445</v>
      </c>
      <c r="R90" s="99">
        <v>0</v>
      </c>
      <c r="S90" s="99">
        <v>0</v>
      </c>
      <c r="T90" s="99">
        <v>0</v>
      </c>
      <c r="U90" s="99">
        <v>0</v>
      </c>
      <c r="V90" s="99">
        <v>0</v>
      </c>
      <c r="W90" s="99">
        <v>0</v>
      </c>
      <c r="X90" s="99">
        <v>8.0988921484106395</v>
      </c>
      <c r="Y90" s="99">
        <v>8980.0516141577173</v>
      </c>
      <c r="Z90" s="99">
        <v>5.2146168785757174</v>
      </c>
      <c r="AA90" s="99">
        <v>5781.9671949647554</v>
      </c>
      <c r="AB90" s="99">
        <v>7.0582523751511728</v>
      </c>
      <c r="AC90" s="99">
        <v>7826.1902335676205</v>
      </c>
      <c r="AD90" s="99">
        <v>3.1343896062211596</v>
      </c>
      <c r="AE90" s="99">
        <v>3475.4111953780216</v>
      </c>
      <c r="AF90" s="99">
        <v>6</v>
      </c>
      <c r="AG90" s="99">
        <v>6652.7999999999993</v>
      </c>
      <c r="AH90" s="99">
        <v>6</v>
      </c>
      <c r="AI90" s="99">
        <v>6652.7999999999993</v>
      </c>
      <c r="AJ90" s="99">
        <v>7</v>
      </c>
      <c r="AK90" s="99">
        <v>7761.5999999999995</v>
      </c>
      <c r="AL90" s="99">
        <v>7</v>
      </c>
      <c r="AM90" s="99">
        <v>7761.5999999999995</v>
      </c>
      <c r="AN90" s="99">
        <v>5.0140684928417274</v>
      </c>
      <c r="AO90" s="99">
        <v>5559.5991448629075</v>
      </c>
      <c r="AP90" s="99">
        <v>3.5537797648000473</v>
      </c>
      <c r="AQ90" s="99">
        <v>3940.4310032102921</v>
      </c>
      <c r="AR90" s="99">
        <v>10</v>
      </c>
      <c r="AS90" s="99">
        <v>11088</v>
      </c>
      <c r="AT90" s="99">
        <v>8</v>
      </c>
      <c r="AU90" s="99">
        <v>8870.4</v>
      </c>
      <c r="AV90" s="99">
        <v>5.5921055779419921</v>
      </c>
      <c r="AW90" s="99">
        <v>6200.5266648220804</v>
      </c>
      <c r="AX90" s="99">
        <v>4.785708996788105</v>
      </c>
      <c r="AY90" s="99">
        <v>5306.3941356386504</v>
      </c>
      <c r="AZ90" s="99">
        <v>7.6416966239035871</v>
      </c>
      <c r="BA90" s="99">
        <v>8473.1132165842973</v>
      </c>
      <c r="BB90" s="99">
        <v>8.5623829641329348</v>
      </c>
      <c r="BC90" s="99">
        <v>9493.9702306305971</v>
      </c>
      <c r="BD90" s="99">
        <v>6.0409769303718708</v>
      </c>
      <c r="BE90" s="99">
        <v>6698.2352203963301</v>
      </c>
      <c r="BF90" s="99">
        <v>3.4836854893602043</v>
      </c>
      <c r="BG90" s="99">
        <v>3862.7104706025943</v>
      </c>
      <c r="BH90" s="99">
        <v>9.8617307526700912</v>
      </c>
      <c r="BI90" s="99">
        <v>10934.687058560598</v>
      </c>
      <c r="BJ90" s="99">
        <v>4.0324852582320165</v>
      </c>
      <c r="BK90" s="99">
        <v>4471.2196543276596</v>
      </c>
      <c r="BL90" s="99">
        <v>6.5803498705836443</v>
      </c>
      <c r="BM90" s="99">
        <v>7296.2919365031448</v>
      </c>
      <c r="BN90" s="99">
        <v>6</v>
      </c>
      <c r="BO90" s="99">
        <v>6652.7999999999993</v>
      </c>
      <c r="BP90" s="99">
        <v>9.1304006642542195</v>
      </c>
      <c r="BQ90" s="99">
        <v>10123.788256525078</v>
      </c>
      <c r="BR90" s="99">
        <v>2.6700355904846913</v>
      </c>
      <c r="BS90" s="99">
        <v>2960.5354627294255</v>
      </c>
      <c r="BT90" s="99">
        <v>7</v>
      </c>
      <c r="BU90" s="99">
        <v>7761.5999999999995</v>
      </c>
      <c r="BV90" s="99">
        <v>8.6186892101626871</v>
      </c>
      <c r="BW90" s="99">
        <v>9556.4025962283868</v>
      </c>
      <c r="BX90" s="99">
        <v>8.433069737058652</v>
      </c>
      <c r="BY90" s="99">
        <v>9350.5877244506337</v>
      </c>
      <c r="BZ90" s="99">
        <v>4.9872125334949722</v>
      </c>
      <c r="CA90" s="99">
        <v>5529.8212571392251</v>
      </c>
      <c r="CB90" s="99">
        <v>5.8491998849632392</v>
      </c>
      <c r="CC90" s="99">
        <v>6485.5928324472397</v>
      </c>
      <c r="CD90" s="99">
        <v>3.5898954128163081</v>
      </c>
      <c r="CE90" s="99">
        <v>3980.4760337307221</v>
      </c>
      <c r="CF90" s="99">
        <v>8.3559998356617715</v>
      </c>
      <c r="CG90" s="99">
        <v>9265.1326177817718</v>
      </c>
      <c r="CH90" s="99">
        <v>5.9223148835252788</v>
      </c>
      <c r="CI90" s="99">
        <v>6566.6627428528291</v>
      </c>
      <c r="CJ90" s="99">
        <v>8</v>
      </c>
      <c r="CK90" s="99">
        <v>8870.4</v>
      </c>
      <c r="CL90" s="99">
        <v>5.8789653281280536</v>
      </c>
      <c r="CM90" s="99">
        <v>6518.5967558283855</v>
      </c>
      <c r="CN90" s="99">
        <v>8.6000612170004072</v>
      </c>
      <c r="CO90" s="99">
        <v>9535.7478774100509</v>
      </c>
      <c r="CP90" s="99">
        <v>5.3664989235827774</v>
      </c>
      <c r="CQ90" s="99">
        <v>5950.3740064685835</v>
      </c>
      <c r="CR90" s="99">
        <v>6</v>
      </c>
      <c r="CS90" s="99">
        <v>6652.7999999999993</v>
      </c>
      <c r="CT90" s="99">
        <v>8.0699612325731067</v>
      </c>
      <c r="CU90" s="99">
        <v>8947.9730146770598</v>
      </c>
    </row>
    <row r="91" spans="2:99">
      <c r="C91" s="98" t="s">
        <v>257</v>
      </c>
      <c r="D91" s="99">
        <v>8</v>
      </c>
      <c r="E91" s="99">
        <v>9091.1999999999989</v>
      </c>
      <c r="F91" s="99">
        <v>9</v>
      </c>
      <c r="G91" s="99">
        <v>10227.599999999999</v>
      </c>
      <c r="H91" s="99">
        <v>9</v>
      </c>
      <c r="I91" s="99">
        <v>10227.599999999999</v>
      </c>
      <c r="J91" s="99">
        <v>7</v>
      </c>
      <c r="K91" s="99">
        <v>7954.7999999999993</v>
      </c>
      <c r="L91" s="99">
        <v>8</v>
      </c>
      <c r="M91" s="99">
        <v>9091.1999999999989</v>
      </c>
      <c r="N91" s="99">
        <v>8</v>
      </c>
      <c r="O91" s="99">
        <v>9091.1999999999989</v>
      </c>
      <c r="P91" s="99">
        <v>3.4831545582151815</v>
      </c>
      <c r="Q91" s="99">
        <v>3958.2568399557317</v>
      </c>
      <c r="R91" s="99">
        <v>0</v>
      </c>
      <c r="S91" s="99">
        <v>0</v>
      </c>
      <c r="T91" s="99">
        <v>0</v>
      </c>
      <c r="U91" s="99">
        <v>0</v>
      </c>
      <c r="V91" s="99">
        <v>0</v>
      </c>
      <c r="W91" s="99">
        <v>0</v>
      </c>
      <c r="X91" s="99">
        <v>7.2890029335695763</v>
      </c>
      <c r="Y91" s="99">
        <v>8283.2229337084664</v>
      </c>
      <c r="Z91" s="99">
        <v>5.2146168785757174</v>
      </c>
      <c r="AA91" s="99">
        <v>5925.8906208134449</v>
      </c>
      <c r="AB91" s="99">
        <v>6.1759708282572756</v>
      </c>
      <c r="AC91" s="99">
        <v>7018.3732492315676</v>
      </c>
      <c r="AD91" s="99">
        <v>3.1343896062211596</v>
      </c>
      <c r="AE91" s="99">
        <v>3561.9203485097255</v>
      </c>
      <c r="AF91" s="99">
        <v>5</v>
      </c>
      <c r="AG91" s="99">
        <v>5681.9999999999991</v>
      </c>
      <c r="AH91" s="99">
        <v>7</v>
      </c>
      <c r="AI91" s="99">
        <v>7954.7999999999993</v>
      </c>
      <c r="AJ91" s="99">
        <v>7</v>
      </c>
      <c r="AK91" s="99">
        <v>7954.7999999999993</v>
      </c>
      <c r="AL91" s="99">
        <v>7</v>
      </c>
      <c r="AM91" s="99">
        <v>7954.7999999999993</v>
      </c>
      <c r="AN91" s="99">
        <v>5.8497465749820146</v>
      </c>
      <c r="AO91" s="99">
        <v>6647.6520078095609</v>
      </c>
      <c r="AP91" s="99">
        <v>3.5537797648000473</v>
      </c>
      <c r="AQ91" s="99">
        <v>4038.5153247187732</v>
      </c>
      <c r="AR91" s="99">
        <v>9</v>
      </c>
      <c r="AS91" s="99">
        <v>10227.599999999999</v>
      </c>
      <c r="AT91" s="99">
        <v>9</v>
      </c>
      <c r="AU91" s="99">
        <v>10227.599999999999</v>
      </c>
      <c r="AV91" s="99">
        <v>5.5921055779419921</v>
      </c>
      <c r="AW91" s="99">
        <v>6354.8687787732788</v>
      </c>
      <c r="AX91" s="99">
        <v>3.9880908306567537</v>
      </c>
      <c r="AY91" s="99">
        <v>4532.0664199583343</v>
      </c>
      <c r="AZ91" s="99">
        <v>7.6416966239035871</v>
      </c>
      <c r="BA91" s="99">
        <v>8684.0240434040352</v>
      </c>
      <c r="BB91" s="99">
        <v>8.5623829641329348</v>
      </c>
      <c r="BC91" s="99">
        <v>9730.292000440666</v>
      </c>
      <c r="BD91" s="99">
        <v>5.1779802260330321</v>
      </c>
      <c r="BE91" s="99">
        <v>5884.2567288639366</v>
      </c>
      <c r="BF91" s="99">
        <v>3.4836854893602043</v>
      </c>
      <c r="BG91" s="99">
        <v>3958.8601901089355</v>
      </c>
      <c r="BH91" s="99">
        <v>8.8755576774030818</v>
      </c>
      <c r="BI91" s="99">
        <v>10086.183744600861</v>
      </c>
      <c r="BJ91" s="99">
        <v>4.0324852582320165</v>
      </c>
      <c r="BK91" s="99">
        <v>4582.5162474548633</v>
      </c>
      <c r="BL91" s="99">
        <v>7.2383848576420089</v>
      </c>
      <c r="BM91" s="99">
        <v>8225.700552224378</v>
      </c>
      <c r="BN91" s="99">
        <v>6</v>
      </c>
      <c r="BO91" s="99">
        <v>6818.4</v>
      </c>
      <c r="BP91" s="99">
        <v>9.960437088277331</v>
      </c>
      <c r="BQ91" s="99">
        <v>11319.040707118358</v>
      </c>
      <c r="BR91" s="99">
        <v>2.6700355904846913</v>
      </c>
      <c r="BS91" s="99">
        <v>3034.228445026803</v>
      </c>
      <c r="BT91" s="99">
        <v>8</v>
      </c>
      <c r="BU91" s="99">
        <v>9091.1999999999989</v>
      </c>
      <c r="BV91" s="99">
        <v>7.6610570757001666</v>
      </c>
      <c r="BW91" s="99">
        <v>8706.0252608256687</v>
      </c>
      <c r="BX91" s="99">
        <v>9.1997124404276196</v>
      </c>
      <c r="BY91" s="99">
        <v>10454.553217301946</v>
      </c>
      <c r="BZ91" s="99">
        <v>5.8184146224108</v>
      </c>
      <c r="CA91" s="99">
        <v>6612.0463769076323</v>
      </c>
      <c r="CB91" s="99">
        <v>5.8491998849632392</v>
      </c>
      <c r="CC91" s="99">
        <v>6647.0307492722241</v>
      </c>
      <c r="CD91" s="99">
        <v>3.5898954128163081</v>
      </c>
      <c r="CE91" s="99">
        <v>4079.5571471244521</v>
      </c>
      <c r="CF91" s="99">
        <v>6.6847998685294163</v>
      </c>
      <c r="CG91" s="99">
        <v>7596.6065705968276</v>
      </c>
      <c r="CH91" s="99">
        <v>5.9223148835252788</v>
      </c>
      <c r="CI91" s="99">
        <v>6730.1186336381261</v>
      </c>
      <c r="CJ91" s="99">
        <v>7</v>
      </c>
      <c r="CK91" s="99">
        <v>7954.7999999999993</v>
      </c>
      <c r="CL91" s="99">
        <v>5.039113138395475</v>
      </c>
      <c r="CM91" s="99">
        <v>5726.4481704726168</v>
      </c>
      <c r="CN91" s="99">
        <v>8.6000612170004072</v>
      </c>
      <c r="CO91" s="99">
        <v>9773.109566999261</v>
      </c>
      <c r="CP91" s="99">
        <v>4.5998562202138089</v>
      </c>
      <c r="CQ91" s="99">
        <v>5227.2766086509719</v>
      </c>
      <c r="CR91" s="99">
        <v>6</v>
      </c>
      <c r="CS91" s="99">
        <v>6818.4</v>
      </c>
      <c r="CT91" s="99">
        <v>8.0699612325731067</v>
      </c>
      <c r="CU91" s="99">
        <v>9170.7039446960771</v>
      </c>
    </row>
    <row r="92" spans="2:99">
      <c r="C92" s="98" t="s">
        <v>258</v>
      </c>
      <c r="D92" s="99">
        <v>8</v>
      </c>
      <c r="E92" s="99">
        <v>6278.4</v>
      </c>
      <c r="F92" s="99">
        <v>11</v>
      </c>
      <c r="G92" s="99">
        <v>8632.7999999999993</v>
      </c>
      <c r="H92" s="99">
        <v>10</v>
      </c>
      <c r="I92" s="99">
        <v>7848</v>
      </c>
      <c r="J92" s="99">
        <v>7</v>
      </c>
      <c r="K92" s="99">
        <v>5493.5999999999995</v>
      </c>
      <c r="L92" s="99">
        <v>8</v>
      </c>
      <c r="M92" s="99">
        <v>6278.4</v>
      </c>
      <c r="N92" s="99">
        <v>9</v>
      </c>
      <c r="O92" s="99">
        <v>7063.2</v>
      </c>
      <c r="P92" s="99">
        <v>3.047760238438284</v>
      </c>
      <c r="Q92" s="99">
        <v>2391.8822351263652</v>
      </c>
      <c r="R92" s="99">
        <v>0</v>
      </c>
      <c r="S92" s="99">
        <v>0</v>
      </c>
      <c r="T92" s="99">
        <v>0</v>
      </c>
      <c r="U92" s="99">
        <v>0</v>
      </c>
      <c r="V92" s="99">
        <v>0</v>
      </c>
      <c r="W92" s="99">
        <v>0</v>
      </c>
      <c r="X92" s="99">
        <v>8.0988921484106395</v>
      </c>
      <c r="Y92" s="99">
        <v>6356.0105580726695</v>
      </c>
      <c r="Z92" s="99">
        <v>5.9595621469436768</v>
      </c>
      <c r="AA92" s="99">
        <v>4677.0643729213971</v>
      </c>
      <c r="AB92" s="99">
        <v>7.0582523751511728</v>
      </c>
      <c r="AC92" s="99">
        <v>5539.3164640186396</v>
      </c>
      <c r="AD92" s="99">
        <v>3.1343896062211596</v>
      </c>
      <c r="AE92" s="99">
        <v>2459.8689629623659</v>
      </c>
      <c r="AF92" s="99">
        <v>7</v>
      </c>
      <c r="AG92" s="99">
        <v>5493.5999999999995</v>
      </c>
      <c r="AH92" s="99">
        <v>6</v>
      </c>
      <c r="AI92" s="99">
        <v>4708.7999999999993</v>
      </c>
      <c r="AJ92" s="99">
        <v>6</v>
      </c>
      <c r="AK92" s="99">
        <v>4708.7999999999993</v>
      </c>
      <c r="AL92" s="99">
        <v>7</v>
      </c>
      <c r="AM92" s="99">
        <v>5493.5999999999995</v>
      </c>
      <c r="AN92" s="99">
        <v>5.8497465749820146</v>
      </c>
      <c r="AO92" s="99">
        <v>4590.8811120458849</v>
      </c>
      <c r="AP92" s="99">
        <v>3.5537797648000473</v>
      </c>
      <c r="AQ92" s="99">
        <v>2789.006359415077</v>
      </c>
      <c r="AR92" s="99">
        <v>9</v>
      </c>
      <c r="AS92" s="99">
        <v>7063.2</v>
      </c>
      <c r="AT92" s="99">
        <v>8</v>
      </c>
      <c r="AU92" s="99">
        <v>6278.4</v>
      </c>
      <c r="AV92" s="99">
        <v>5.5921055779419921</v>
      </c>
      <c r="AW92" s="99">
        <v>4388.6844575688756</v>
      </c>
      <c r="AX92" s="99">
        <v>4.785708996788105</v>
      </c>
      <c r="AY92" s="99">
        <v>3755.8244206793047</v>
      </c>
      <c r="AZ92" s="99">
        <v>6.7926192212476337</v>
      </c>
      <c r="BA92" s="99">
        <v>5330.8475648351423</v>
      </c>
      <c r="BB92" s="99">
        <v>8.5623829641329348</v>
      </c>
      <c r="BC92" s="99">
        <v>6719.7581502515268</v>
      </c>
      <c r="BD92" s="99">
        <v>6.0409769303718708</v>
      </c>
      <c r="BE92" s="99">
        <v>4740.9586949558443</v>
      </c>
      <c r="BF92" s="99">
        <v>3.4836854893602043</v>
      </c>
      <c r="BG92" s="99">
        <v>2733.9963720498881</v>
      </c>
      <c r="BH92" s="99">
        <v>8.8755576774030818</v>
      </c>
      <c r="BI92" s="99">
        <v>6965.5376652259383</v>
      </c>
      <c r="BJ92" s="99">
        <v>4.6085545808365911</v>
      </c>
      <c r="BK92" s="99">
        <v>3616.7936350405566</v>
      </c>
      <c r="BL92" s="99">
        <v>7.2383848576420089</v>
      </c>
      <c r="BM92" s="99">
        <v>5680.6844362774482</v>
      </c>
      <c r="BN92" s="99">
        <v>6</v>
      </c>
      <c r="BO92" s="99">
        <v>4708.7999999999993</v>
      </c>
      <c r="BP92" s="99">
        <v>8.300364240231108</v>
      </c>
      <c r="BQ92" s="99">
        <v>6514.1258557333731</v>
      </c>
      <c r="BR92" s="99">
        <v>2.6700355904846913</v>
      </c>
      <c r="BS92" s="99">
        <v>2095.4439314123856</v>
      </c>
      <c r="BT92" s="99">
        <v>7</v>
      </c>
      <c r="BU92" s="99">
        <v>5493.5999999999995</v>
      </c>
      <c r="BV92" s="99">
        <v>9.5763213446252085</v>
      </c>
      <c r="BW92" s="99">
        <v>7515.4969912618635</v>
      </c>
      <c r="BX92" s="99">
        <v>9.1997124404276196</v>
      </c>
      <c r="BY92" s="99">
        <v>7219.9343232475958</v>
      </c>
      <c r="BZ92" s="99">
        <v>4.9872125334949722</v>
      </c>
      <c r="CA92" s="99">
        <v>3913.964396286854</v>
      </c>
      <c r="CB92" s="99">
        <v>6.6847998685294163</v>
      </c>
      <c r="CC92" s="99">
        <v>5246.2309368218857</v>
      </c>
      <c r="CD92" s="99">
        <v>4.102737614647209</v>
      </c>
      <c r="CE92" s="99">
        <v>3219.8284799751295</v>
      </c>
      <c r="CF92" s="99">
        <v>7.5203998520955935</v>
      </c>
      <c r="CG92" s="99">
        <v>5902.0098039246213</v>
      </c>
      <c r="CH92" s="99">
        <v>6.9093673641128257</v>
      </c>
      <c r="CI92" s="99">
        <v>5422.4715073557454</v>
      </c>
      <c r="CJ92" s="99">
        <v>7</v>
      </c>
      <c r="CK92" s="99">
        <v>5493.5999999999995</v>
      </c>
      <c r="CL92" s="99">
        <v>5.8789653281280536</v>
      </c>
      <c r="CM92" s="99">
        <v>4613.8119895148966</v>
      </c>
      <c r="CN92" s="99">
        <v>9.3818849640004434</v>
      </c>
      <c r="CO92" s="99">
        <v>7362.9033197475474</v>
      </c>
      <c r="CP92" s="99">
        <v>5.3664989235827774</v>
      </c>
      <c r="CQ92" s="99">
        <v>4211.6283552277637</v>
      </c>
      <c r="CR92" s="99">
        <v>6</v>
      </c>
      <c r="CS92" s="99">
        <v>4708.7999999999993</v>
      </c>
      <c r="CT92" s="99">
        <v>8.0699612325731067</v>
      </c>
      <c r="CU92" s="99">
        <v>6333.3055753233739</v>
      </c>
    </row>
    <row r="93" spans="2:99">
      <c r="C93" s="98" t="s">
        <v>259</v>
      </c>
      <c r="D93" s="99">
        <v>8</v>
      </c>
      <c r="E93" s="99">
        <v>5548.8</v>
      </c>
      <c r="F93" s="99">
        <v>9</v>
      </c>
      <c r="G93" s="99">
        <v>6242.4000000000005</v>
      </c>
      <c r="H93" s="99">
        <v>10</v>
      </c>
      <c r="I93" s="99">
        <v>6936</v>
      </c>
      <c r="J93" s="99">
        <v>7</v>
      </c>
      <c r="K93" s="99">
        <v>4855.2</v>
      </c>
      <c r="L93" s="99">
        <v>8</v>
      </c>
      <c r="M93" s="99">
        <v>5548.8</v>
      </c>
      <c r="N93" s="99">
        <v>8</v>
      </c>
      <c r="O93" s="99">
        <v>5548.8</v>
      </c>
      <c r="P93" s="99">
        <v>3.047760238438284</v>
      </c>
      <c r="Q93" s="99">
        <v>2113.926501380794</v>
      </c>
      <c r="R93" s="99">
        <v>0</v>
      </c>
      <c r="S93" s="99">
        <v>0</v>
      </c>
      <c r="T93" s="99">
        <v>0</v>
      </c>
      <c r="U93" s="99">
        <v>0</v>
      </c>
      <c r="V93" s="99">
        <v>0</v>
      </c>
      <c r="W93" s="99">
        <v>0</v>
      </c>
      <c r="X93" s="99">
        <v>8.0988921484106395</v>
      </c>
      <c r="Y93" s="99">
        <v>5617.3915941376199</v>
      </c>
      <c r="Z93" s="99">
        <v>5.9595621469436768</v>
      </c>
      <c r="AA93" s="99">
        <v>4133.5523051201344</v>
      </c>
      <c r="AB93" s="99">
        <v>6.1759708282572756</v>
      </c>
      <c r="AC93" s="99">
        <v>4283.6533664792469</v>
      </c>
      <c r="AD93" s="99">
        <v>3.1343896062211596</v>
      </c>
      <c r="AE93" s="99">
        <v>2174.0126308749964</v>
      </c>
      <c r="AF93" s="99">
        <v>6</v>
      </c>
      <c r="AG93" s="99">
        <v>4161.6000000000004</v>
      </c>
      <c r="AH93" s="99">
        <v>7</v>
      </c>
      <c r="AI93" s="99">
        <v>4855.2</v>
      </c>
      <c r="AJ93" s="99">
        <v>7</v>
      </c>
      <c r="AK93" s="99">
        <v>4855.2</v>
      </c>
      <c r="AL93" s="99">
        <v>7</v>
      </c>
      <c r="AM93" s="99">
        <v>4855.2</v>
      </c>
      <c r="AN93" s="99">
        <v>5.8497465749820146</v>
      </c>
      <c r="AO93" s="99">
        <v>4057.3842244075254</v>
      </c>
      <c r="AP93" s="99">
        <v>2.961483137333373</v>
      </c>
      <c r="AQ93" s="99">
        <v>2054.0847040544277</v>
      </c>
      <c r="AR93" s="99">
        <v>10</v>
      </c>
      <c r="AS93" s="99">
        <v>6936</v>
      </c>
      <c r="AT93" s="99">
        <v>10</v>
      </c>
      <c r="AU93" s="99">
        <v>6936</v>
      </c>
      <c r="AV93" s="99">
        <v>5.5921055779419921</v>
      </c>
      <c r="AW93" s="99">
        <v>3878.6844288605657</v>
      </c>
      <c r="AX93" s="99">
        <v>5.5833271629194554</v>
      </c>
      <c r="AY93" s="99">
        <v>3872.5957202009345</v>
      </c>
      <c r="AZ93" s="99">
        <v>7.6416966239035871</v>
      </c>
      <c r="BA93" s="99">
        <v>5300.2807783395283</v>
      </c>
      <c r="BB93" s="99">
        <v>9.5137588490365932</v>
      </c>
      <c r="BC93" s="99">
        <v>6598.7431376917812</v>
      </c>
      <c r="BD93" s="99">
        <v>6.0409769303718708</v>
      </c>
      <c r="BE93" s="99">
        <v>4190.0215989059297</v>
      </c>
      <c r="BF93" s="99">
        <v>3.4836854893602043</v>
      </c>
      <c r="BG93" s="99">
        <v>2416.284255420238</v>
      </c>
      <c r="BH93" s="99">
        <v>8.8755576774030818</v>
      </c>
      <c r="BI93" s="99">
        <v>6156.086805046778</v>
      </c>
      <c r="BJ93" s="99">
        <v>4.6085545808365911</v>
      </c>
      <c r="BK93" s="99">
        <v>3196.4934572682596</v>
      </c>
      <c r="BL93" s="99">
        <v>7.2383848576420089</v>
      </c>
      <c r="BM93" s="99">
        <v>5020.5437372604974</v>
      </c>
      <c r="BN93" s="99">
        <v>6</v>
      </c>
      <c r="BO93" s="99">
        <v>4161.6000000000004</v>
      </c>
      <c r="BP93" s="99">
        <v>9.960437088277331</v>
      </c>
      <c r="BQ93" s="99">
        <v>6908.5591644291571</v>
      </c>
      <c r="BR93" s="99">
        <v>2.6700355904846913</v>
      </c>
      <c r="BS93" s="99">
        <v>1851.936685560182</v>
      </c>
      <c r="BT93" s="99">
        <v>7</v>
      </c>
      <c r="BU93" s="99">
        <v>4855.2</v>
      </c>
      <c r="BV93" s="99">
        <v>8.6186892101626871</v>
      </c>
      <c r="BW93" s="99">
        <v>5977.9228361688401</v>
      </c>
      <c r="BX93" s="99">
        <v>8.433069737058652</v>
      </c>
      <c r="BY93" s="99">
        <v>5849.1771696238811</v>
      </c>
      <c r="BZ93" s="99">
        <v>4.9872125334949722</v>
      </c>
      <c r="CA93" s="99">
        <v>3459.1306132321129</v>
      </c>
      <c r="CB93" s="99">
        <v>6.6847998685294163</v>
      </c>
      <c r="CC93" s="99">
        <v>4636.5771888120034</v>
      </c>
      <c r="CD93" s="99">
        <v>3.5898954128163081</v>
      </c>
      <c r="CE93" s="99">
        <v>2489.9514583293912</v>
      </c>
      <c r="CF93" s="99">
        <v>7.5203998520955935</v>
      </c>
      <c r="CG93" s="99">
        <v>5216.1493374135034</v>
      </c>
      <c r="CH93" s="99">
        <v>5.9223148835252788</v>
      </c>
      <c r="CI93" s="99">
        <v>4107.7176032131338</v>
      </c>
      <c r="CJ93" s="99">
        <v>8</v>
      </c>
      <c r="CK93" s="99">
        <v>5548.8</v>
      </c>
      <c r="CL93" s="99">
        <v>5.8789653281280536</v>
      </c>
      <c r="CM93" s="99">
        <v>4077.6503515896179</v>
      </c>
      <c r="CN93" s="99">
        <v>9.3818849640004434</v>
      </c>
      <c r="CO93" s="99">
        <v>6507.2754110307078</v>
      </c>
      <c r="CP93" s="99">
        <v>4.5998562202138089</v>
      </c>
      <c r="CQ93" s="99">
        <v>3190.4602743402979</v>
      </c>
      <c r="CR93" s="99">
        <v>6</v>
      </c>
      <c r="CS93" s="99">
        <v>4161.6000000000004</v>
      </c>
      <c r="CT93" s="99">
        <v>8.9666235917478971</v>
      </c>
      <c r="CU93" s="99">
        <v>6219.250123236342</v>
      </c>
    </row>
    <row r="94" spans="2:99">
      <c r="C94" s="98" t="s">
        <v>260</v>
      </c>
      <c r="D94" s="99">
        <v>9</v>
      </c>
      <c r="E94" s="99">
        <v>10735.199999999999</v>
      </c>
      <c r="F94" s="99">
        <v>10</v>
      </c>
      <c r="G94" s="99">
        <v>11928</v>
      </c>
      <c r="H94" s="99">
        <v>10</v>
      </c>
      <c r="I94" s="99">
        <v>11928</v>
      </c>
      <c r="J94" s="99">
        <v>8</v>
      </c>
      <c r="K94" s="99">
        <v>9542.4</v>
      </c>
      <c r="L94" s="99">
        <v>7</v>
      </c>
      <c r="M94" s="99">
        <v>8349.6</v>
      </c>
      <c r="N94" s="99">
        <v>8</v>
      </c>
      <c r="O94" s="99">
        <v>9542.4</v>
      </c>
      <c r="P94" s="99">
        <v>2.6123659186613857</v>
      </c>
      <c r="Q94" s="99">
        <v>3116.0300677793007</v>
      </c>
      <c r="R94" s="99">
        <v>0</v>
      </c>
      <c r="S94" s="99">
        <v>0</v>
      </c>
      <c r="T94" s="99">
        <v>0</v>
      </c>
      <c r="U94" s="99">
        <v>0</v>
      </c>
      <c r="V94" s="99">
        <v>0</v>
      </c>
      <c r="W94" s="99">
        <v>0</v>
      </c>
      <c r="X94" s="99">
        <v>8.0988921484106395</v>
      </c>
      <c r="Y94" s="99">
        <v>9660.3585546242102</v>
      </c>
      <c r="Z94" s="99">
        <v>5.2146168785757174</v>
      </c>
      <c r="AA94" s="99">
        <v>6219.9950127651155</v>
      </c>
      <c r="AB94" s="99">
        <v>7.0582523751511728</v>
      </c>
      <c r="AC94" s="99">
        <v>8419.0834330803191</v>
      </c>
      <c r="AD94" s="99">
        <v>3.1343896062211596</v>
      </c>
      <c r="AE94" s="99">
        <v>3738.6999223005992</v>
      </c>
      <c r="AF94" s="99">
        <v>6</v>
      </c>
      <c r="AG94" s="99">
        <v>7156.7999999999993</v>
      </c>
      <c r="AH94" s="99">
        <v>6</v>
      </c>
      <c r="AI94" s="99">
        <v>7156.7999999999993</v>
      </c>
      <c r="AJ94" s="99">
        <v>7</v>
      </c>
      <c r="AK94" s="99">
        <v>8349.6</v>
      </c>
      <c r="AL94" s="99">
        <v>8</v>
      </c>
      <c r="AM94" s="99">
        <v>9542.4</v>
      </c>
      <c r="AN94" s="99">
        <v>5.0140684928417274</v>
      </c>
      <c r="AO94" s="99">
        <v>5980.7808982616125</v>
      </c>
      <c r="AP94" s="99">
        <v>2.961483137333373</v>
      </c>
      <c r="AQ94" s="99">
        <v>3532.4570862112473</v>
      </c>
      <c r="AR94" s="99">
        <v>8</v>
      </c>
      <c r="AS94" s="99">
        <v>9542.4</v>
      </c>
      <c r="AT94" s="99">
        <v>9</v>
      </c>
      <c r="AU94" s="99">
        <v>10735.199999999999</v>
      </c>
      <c r="AV94" s="99">
        <v>5.5921055779419921</v>
      </c>
      <c r="AW94" s="99">
        <v>6670.2635333692078</v>
      </c>
      <c r="AX94" s="99">
        <v>4.785708996788105</v>
      </c>
      <c r="AY94" s="99">
        <v>5708.3936913688513</v>
      </c>
      <c r="AZ94" s="99">
        <v>7.6416966239035871</v>
      </c>
      <c r="BA94" s="99">
        <v>9115.0157329921985</v>
      </c>
      <c r="BB94" s="99">
        <v>8.5623829641329348</v>
      </c>
      <c r="BC94" s="99">
        <v>10213.210399617765</v>
      </c>
      <c r="BD94" s="99">
        <v>6.0409769303718708</v>
      </c>
      <c r="BE94" s="99">
        <v>7205.6772825475673</v>
      </c>
      <c r="BF94" s="99">
        <v>3.4836854893602043</v>
      </c>
      <c r="BG94" s="99">
        <v>4155.3400517088512</v>
      </c>
      <c r="BH94" s="99">
        <v>8.8755576774030818</v>
      </c>
      <c r="BI94" s="99">
        <v>10586.765197606395</v>
      </c>
      <c r="BJ94" s="99">
        <v>4.6085545808365911</v>
      </c>
      <c r="BK94" s="99">
        <v>5497.0839040218852</v>
      </c>
      <c r="BL94" s="99">
        <v>6.5803498705836443</v>
      </c>
      <c r="BM94" s="99">
        <v>7849.0413256321708</v>
      </c>
      <c r="BN94" s="99">
        <v>6</v>
      </c>
      <c r="BO94" s="99">
        <v>7156.7999999999993</v>
      </c>
      <c r="BP94" s="99">
        <v>8.300364240231108</v>
      </c>
      <c r="BQ94" s="99">
        <v>9900.6744657476647</v>
      </c>
      <c r="BR94" s="99">
        <v>2.6700355904846913</v>
      </c>
      <c r="BS94" s="99">
        <v>3184.8184523301397</v>
      </c>
      <c r="BT94" s="99">
        <v>8</v>
      </c>
      <c r="BU94" s="99">
        <v>9542.4</v>
      </c>
      <c r="BV94" s="99">
        <v>8.6186892101626871</v>
      </c>
      <c r="BW94" s="99">
        <v>10280.372489882053</v>
      </c>
      <c r="BX94" s="99">
        <v>8.433069737058652</v>
      </c>
      <c r="BY94" s="99">
        <v>10058.96558236356</v>
      </c>
      <c r="BZ94" s="99">
        <v>4.9872125334949722</v>
      </c>
      <c r="CA94" s="99">
        <v>5948.7471099528029</v>
      </c>
      <c r="CB94" s="99">
        <v>6.6847998685294163</v>
      </c>
      <c r="CC94" s="99">
        <v>7973.6292831818873</v>
      </c>
      <c r="CD94" s="99">
        <v>3.5898954128163081</v>
      </c>
      <c r="CE94" s="99">
        <v>4282.0272484072921</v>
      </c>
      <c r="CF94" s="99">
        <v>7.5203998520955935</v>
      </c>
      <c r="CG94" s="99">
        <v>8970.332943579624</v>
      </c>
      <c r="CH94" s="99">
        <v>6.9093673641128257</v>
      </c>
      <c r="CI94" s="99">
        <v>8241.4933919137784</v>
      </c>
      <c r="CJ94" s="99">
        <v>8</v>
      </c>
      <c r="CK94" s="99">
        <v>9542.4</v>
      </c>
      <c r="CL94" s="99">
        <v>5.8789653281280536</v>
      </c>
      <c r="CM94" s="99">
        <v>7012.4298433911417</v>
      </c>
      <c r="CN94" s="99">
        <v>9.3818849640004434</v>
      </c>
      <c r="CO94" s="99">
        <v>11190.712385059729</v>
      </c>
      <c r="CP94" s="99">
        <v>5.3664989235827774</v>
      </c>
      <c r="CQ94" s="99">
        <v>6401.1599160495362</v>
      </c>
      <c r="CR94" s="99">
        <v>6</v>
      </c>
      <c r="CS94" s="99">
        <v>7156.7999999999993</v>
      </c>
      <c r="CT94" s="99">
        <v>8.9666235917478971</v>
      </c>
      <c r="CU94" s="99">
        <v>10695.388620236892</v>
      </c>
    </row>
    <row r="95" spans="2:99">
      <c r="B95" s="98" t="s">
        <v>132</v>
      </c>
      <c r="C95" s="98" t="s">
        <v>261</v>
      </c>
      <c r="D95" s="99">
        <v>7</v>
      </c>
      <c r="E95" s="99">
        <v>2301.6</v>
      </c>
      <c r="F95" s="99">
        <v>7</v>
      </c>
      <c r="G95" s="99">
        <v>2301.6</v>
      </c>
      <c r="H95" s="99">
        <v>9</v>
      </c>
      <c r="I95" s="99">
        <v>2959.2000000000003</v>
      </c>
      <c r="J95" s="99">
        <v>9</v>
      </c>
      <c r="K95" s="99">
        <v>2959.2000000000003</v>
      </c>
      <c r="L95" s="99">
        <v>7</v>
      </c>
      <c r="M95" s="99">
        <v>2301.6</v>
      </c>
      <c r="N95" s="99">
        <v>10</v>
      </c>
      <c r="O95" s="99">
        <v>3288</v>
      </c>
      <c r="P95" s="99">
        <v>5.2247318373227714</v>
      </c>
      <c r="Q95" s="99">
        <v>1717.8918281117274</v>
      </c>
      <c r="R95" s="99">
        <v>0</v>
      </c>
      <c r="S95" s="99">
        <v>0</v>
      </c>
      <c r="T95" s="99">
        <v>0</v>
      </c>
      <c r="U95" s="99">
        <v>0</v>
      </c>
      <c r="V95" s="99">
        <v>0</v>
      </c>
      <c r="W95" s="99">
        <v>0</v>
      </c>
      <c r="X95" s="99">
        <v>8.0988921484106395</v>
      </c>
      <c r="Y95" s="99">
        <v>2662.9157383974184</v>
      </c>
      <c r="Z95" s="99">
        <v>9.6842884887834764</v>
      </c>
      <c r="AA95" s="99">
        <v>3184.1940551120069</v>
      </c>
      <c r="AB95" s="99">
        <v>7.940533922045069</v>
      </c>
      <c r="AC95" s="99">
        <v>2610.8475535684188</v>
      </c>
      <c r="AD95" s="99">
        <v>5.2239826770352664</v>
      </c>
      <c r="AE95" s="99">
        <v>1717.6455042091957</v>
      </c>
      <c r="AF95" s="99">
        <v>7</v>
      </c>
      <c r="AG95" s="99">
        <v>2301.6</v>
      </c>
      <c r="AH95" s="99">
        <v>9</v>
      </c>
      <c r="AI95" s="99">
        <v>2959.2000000000003</v>
      </c>
      <c r="AJ95" s="99">
        <v>11</v>
      </c>
      <c r="AK95" s="99">
        <v>3616.8</v>
      </c>
      <c r="AL95" s="99">
        <v>12</v>
      </c>
      <c r="AM95" s="99">
        <v>3945.6000000000004</v>
      </c>
      <c r="AN95" s="99">
        <v>10.028136985683455</v>
      </c>
      <c r="AO95" s="99">
        <v>3297.25144089272</v>
      </c>
      <c r="AP95" s="99">
        <v>4.1460763922667212</v>
      </c>
      <c r="AQ95" s="99">
        <v>1363.2299177772979</v>
      </c>
      <c r="AR95" s="99">
        <v>11</v>
      </c>
      <c r="AS95" s="99">
        <v>3616.8</v>
      </c>
      <c r="AT95" s="99">
        <v>8</v>
      </c>
      <c r="AU95" s="99">
        <v>2630.4</v>
      </c>
      <c r="AV95" s="99">
        <v>12.11622875220765</v>
      </c>
      <c r="AW95" s="99">
        <v>3983.8160137258756</v>
      </c>
      <c r="AX95" s="99">
        <v>11.166654325838911</v>
      </c>
      <c r="AY95" s="99">
        <v>3671.595942335834</v>
      </c>
      <c r="AZ95" s="99">
        <v>8.4907740265595422</v>
      </c>
      <c r="BA95" s="99">
        <v>2791.7664999327776</v>
      </c>
      <c r="BB95" s="99">
        <v>7.6110070792292754</v>
      </c>
      <c r="BC95" s="99">
        <v>2502.4991276505857</v>
      </c>
      <c r="BD95" s="99">
        <v>8.6299670433883868</v>
      </c>
      <c r="BE95" s="99">
        <v>2837.5331638661019</v>
      </c>
      <c r="BF95" s="99">
        <v>4.4790242006059771</v>
      </c>
      <c r="BG95" s="99">
        <v>1472.7031571592454</v>
      </c>
      <c r="BH95" s="99">
        <v>11.834076903204108</v>
      </c>
      <c r="BI95" s="99">
        <v>3891.044485773511</v>
      </c>
      <c r="BJ95" s="99">
        <v>4.0324852582320165</v>
      </c>
      <c r="BK95" s="99">
        <v>1325.881152906687</v>
      </c>
      <c r="BL95" s="99">
        <v>9.2124898188171027</v>
      </c>
      <c r="BM95" s="99">
        <v>3029.0666524270637</v>
      </c>
      <c r="BN95" s="99">
        <v>10</v>
      </c>
      <c r="BO95" s="99">
        <v>3288</v>
      </c>
      <c r="BP95" s="99">
        <v>10.790473512300439</v>
      </c>
      <c r="BQ95" s="99">
        <v>3547.9076908443844</v>
      </c>
      <c r="BR95" s="99">
        <v>5.3400711809693826</v>
      </c>
      <c r="BS95" s="99">
        <v>1755.815404302733</v>
      </c>
      <c r="BT95" s="99">
        <v>10</v>
      </c>
      <c r="BU95" s="99">
        <v>3288</v>
      </c>
      <c r="BV95" s="99">
        <v>12.449217748012771</v>
      </c>
      <c r="BW95" s="99">
        <v>4093.3027955465991</v>
      </c>
      <c r="BX95" s="99">
        <v>6.8997843303207151</v>
      </c>
      <c r="BY95" s="99">
        <v>2268.6490878094514</v>
      </c>
      <c r="BZ95" s="99">
        <v>10.805627155905773</v>
      </c>
      <c r="CA95" s="99">
        <v>3552.8902088618183</v>
      </c>
      <c r="CB95" s="99">
        <v>9.1915998192279478</v>
      </c>
      <c r="CC95" s="99">
        <v>3022.1980205621494</v>
      </c>
      <c r="CD95" s="99">
        <v>4.102737614647209</v>
      </c>
      <c r="CE95" s="99">
        <v>1348.9801276960025</v>
      </c>
      <c r="CF95" s="99">
        <v>7.5203998520955935</v>
      </c>
      <c r="CG95" s="99">
        <v>2472.7074713690313</v>
      </c>
      <c r="CH95" s="99">
        <v>8.8834723252879186</v>
      </c>
      <c r="CI95" s="99">
        <v>2920.8857005546679</v>
      </c>
      <c r="CJ95" s="99">
        <v>10</v>
      </c>
      <c r="CK95" s="99">
        <v>3288</v>
      </c>
      <c r="CL95" s="99">
        <v>5.8789653281280536</v>
      </c>
      <c r="CM95" s="99">
        <v>1933.0037998885041</v>
      </c>
      <c r="CN95" s="99">
        <v>7.036413723000333</v>
      </c>
      <c r="CO95" s="99">
        <v>2313.5728321225097</v>
      </c>
      <c r="CP95" s="99">
        <v>9.9663551437965872</v>
      </c>
      <c r="CQ95" s="99">
        <v>3276.937571280318</v>
      </c>
      <c r="CR95" s="99">
        <v>12</v>
      </c>
      <c r="CS95" s="99">
        <v>3945.6000000000004</v>
      </c>
      <c r="CT95" s="99">
        <v>9.8632859509226876</v>
      </c>
      <c r="CU95" s="99">
        <v>3243.0484206633796</v>
      </c>
    </row>
    <row r="96" spans="2:99">
      <c r="C96" s="98" t="s">
        <v>262</v>
      </c>
      <c r="D96" s="99">
        <v>7</v>
      </c>
      <c r="E96" s="99">
        <v>4863.5999999999995</v>
      </c>
      <c r="F96" s="99">
        <v>6</v>
      </c>
      <c r="G96" s="99">
        <v>4168.7999999999993</v>
      </c>
      <c r="H96" s="99">
        <v>8</v>
      </c>
      <c r="I96" s="99">
        <v>5558.4</v>
      </c>
      <c r="J96" s="99">
        <v>8</v>
      </c>
      <c r="K96" s="99">
        <v>5558.4</v>
      </c>
      <c r="L96" s="99">
        <v>7</v>
      </c>
      <c r="M96" s="99">
        <v>4863.5999999999995</v>
      </c>
      <c r="N96" s="99">
        <v>10</v>
      </c>
      <c r="O96" s="99">
        <v>6948</v>
      </c>
      <c r="P96" s="99">
        <v>5.2247318373227714</v>
      </c>
      <c r="Q96" s="99">
        <v>3630.1436805718613</v>
      </c>
      <c r="R96" s="99">
        <v>0</v>
      </c>
      <c r="S96" s="99">
        <v>0</v>
      </c>
      <c r="T96" s="99">
        <v>0</v>
      </c>
      <c r="U96" s="99">
        <v>0</v>
      </c>
      <c r="V96" s="99">
        <v>0</v>
      </c>
      <c r="W96" s="99">
        <v>0</v>
      </c>
      <c r="X96" s="99">
        <v>8.0988921484106395</v>
      </c>
      <c r="Y96" s="99">
        <v>5627.1102647157122</v>
      </c>
      <c r="Z96" s="99">
        <v>9.6842884887834764</v>
      </c>
      <c r="AA96" s="99">
        <v>6728.6436420067594</v>
      </c>
      <c r="AB96" s="99">
        <v>8.8228154689389644</v>
      </c>
      <c r="AC96" s="99">
        <v>6130.0921878187919</v>
      </c>
      <c r="AD96" s="99">
        <v>4.1791861416282128</v>
      </c>
      <c r="AE96" s="99">
        <v>2903.6985312032821</v>
      </c>
      <c r="AF96" s="99">
        <v>7</v>
      </c>
      <c r="AG96" s="99">
        <v>4863.5999999999995</v>
      </c>
      <c r="AH96" s="99">
        <v>8</v>
      </c>
      <c r="AI96" s="99">
        <v>5558.4</v>
      </c>
      <c r="AJ96" s="99">
        <v>12</v>
      </c>
      <c r="AK96" s="99">
        <v>8337.5999999999985</v>
      </c>
      <c r="AL96" s="99">
        <v>12</v>
      </c>
      <c r="AM96" s="99">
        <v>8337.5999999999985</v>
      </c>
      <c r="AN96" s="99">
        <v>9.1924589035431659</v>
      </c>
      <c r="AO96" s="99">
        <v>6386.9204461817908</v>
      </c>
      <c r="AP96" s="99">
        <v>4.7383730197333964</v>
      </c>
      <c r="AQ96" s="99">
        <v>3292.2215741107634</v>
      </c>
      <c r="AR96" s="99">
        <v>10</v>
      </c>
      <c r="AS96" s="99">
        <v>6948</v>
      </c>
      <c r="AT96" s="99">
        <v>8</v>
      </c>
      <c r="AU96" s="99">
        <v>5558.4</v>
      </c>
      <c r="AV96" s="99">
        <v>10.252193559560318</v>
      </c>
      <c r="AW96" s="99">
        <v>7123.224085182509</v>
      </c>
      <c r="AX96" s="99">
        <v>11.166654325838911</v>
      </c>
      <c r="AY96" s="99">
        <v>7758.5914255928747</v>
      </c>
      <c r="AZ96" s="99">
        <v>8.4907740265595422</v>
      </c>
      <c r="BA96" s="99">
        <v>5899.3897936535695</v>
      </c>
      <c r="BB96" s="99">
        <v>5.7082553094219559</v>
      </c>
      <c r="BC96" s="99">
        <v>3966.0957889863748</v>
      </c>
      <c r="BD96" s="99">
        <v>10.355960452066064</v>
      </c>
      <c r="BE96" s="99">
        <v>7195.3213220955013</v>
      </c>
      <c r="BF96" s="99">
        <v>3.9813548449830902</v>
      </c>
      <c r="BG96" s="99">
        <v>2766.2453462942508</v>
      </c>
      <c r="BH96" s="99">
        <v>13.806423053738127</v>
      </c>
      <c r="BI96" s="99">
        <v>9592.7027377372506</v>
      </c>
      <c r="BJ96" s="99">
        <v>4.0324852582320165</v>
      </c>
      <c r="BK96" s="99">
        <v>2801.7707574196047</v>
      </c>
      <c r="BL96" s="99">
        <v>8.5544548317587381</v>
      </c>
      <c r="BM96" s="99">
        <v>5943.6352171059707</v>
      </c>
      <c r="BN96" s="99">
        <v>11</v>
      </c>
      <c r="BO96" s="99">
        <v>7642.7999999999993</v>
      </c>
      <c r="BP96" s="99">
        <v>11.62050993632355</v>
      </c>
      <c r="BQ96" s="99">
        <v>8073.9303037576019</v>
      </c>
      <c r="BR96" s="99">
        <v>5.3400711809693826</v>
      </c>
      <c r="BS96" s="99">
        <v>3710.281456537527</v>
      </c>
      <c r="BT96" s="99">
        <v>9</v>
      </c>
      <c r="BU96" s="99">
        <v>6253.2</v>
      </c>
      <c r="BV96" s="99">
        <v>10.53395347908773</v>
      </c>
      <c r="BW96" s="99">
        <v>7318.9908772701538</v>
      </c>
      <c r="BX96" s="99">
        <v>7.6664270336896836</v>
      </c>
      <c r="BY96" s="99">
        <v>5326.6335030075916</v>
      </c>
      <c r="BZ96" s="99">
        <v>9.1432229780741157</v>
      </c>
      <c r="CA96" s="99">
        <v>6352.7113251658948</v>
      </c>
      <c r="CB96" s="99">
        <v>8.3559998356617715</v>
      </c>
      <c r="CC96" s="99">
        <v>5805.7486858177981</v>
      </c>
      <c r="CD96" s="99">
        <v>4.102737614647209</v>
      </c>
      <c r="CE96" s="99">
        <v>2850.5820946568806</v>
      </c>
      <c r="CF96" s="99">
        <v>6.6847998685294163</v>
      </c>
      <c r="CG96" s="99">
        <v>4644.5989486542385</v>
      </c>
      <c r="CH96" s="99">
        <v>7.8964198447003726</v>
      </c>
      <c r="CI96" s="99">
        <v>5486.4325080978188</v>
      </c>
      <c r="CJ96" s="99">
        <v>9</v>
      </c>
      <c r="CK96" s="99">
        <v>6253.2</v>
      </c>
      <c r="CL96" s="99">
        <v>5.8789653281280536</v>
      </c>
      <c r="CM96" s="99">
        <v>4084.7051099833716</v>
      </c>
      <c r="CN96" s="99">
        <v>7.036413723000333</v>
      </c>
      <c r="CO96" s="99">
        <v>4888.9002547406308</v>
      </c>
      <c r="CP96" s="99">
        <v>9.9663551437965872</v>
      </c>
      <c r="CQ96" s="99">
        <v>6924.623553909868</v>
      </c>
      <c r="CR96" s="99">
        <v>11</v>
      </c>
      <c r="CS96" s="99">
        <v>7642.7999999999993</v>
      </c>
      <c r="CT96" s="99">
        <v>9.8632859509226876</v>
      </c>
      <c r="CU96" s="99">
        <v>6853.0110787010826</v>
      </c>
    </row>
    <row r="97" spans="2:99">
      <c r="C97" s="98" t="s">
        <v>263</v>
      </c>
      <c r="D97" s="99">
        <v>7</v>
      </c>
      <c r="E97" s="99">
        <v>2746.7999999999997</v>
      </c>
      <c r="F97" s="99">
        <v>7</v>
      </c>
      <c r="G97" s="99">
        <v>2746.7999999999997</v>
      </c>
      <c r="H97" s="99">
        <v>9</v>
      </c>
      <c r="I97" s="99">
        <v>3531.6</v>
      </c>
      <c r="J97" s="99">
        <v>9</v>
      </c>
      <c r="K97" s="99">
        <v>3531.6</v>
      </c>
      <c r="L97" s="99">
        <v>7</v>
      </c>
      <c r="M97" s="99">
        <v>2746.7999999999997</v>
      </c>
      <c r="N97" s="99">
        <v>10</v>
      </c>
      <c r="O97" s="99">
        <v>3924</v>
      </c>
      <c r="P97" s="99">
        <v>4.7893375175458743</v>
      </c>
      <c r="Q97" s="99">
        <v>1879.3360418850009</v>
      </c>
      <c r="R97" s="99">
        <v>0</v>
      </c>
      <c r="S97" s="99">
        <v>0</v>
      </c>
      <c r="T97" s="99">
        <v>0</v>
      </c>
      <c r="U97" s="99">
        <v>0</v>
      </c>
      <c r="V97" s="99">
        <v>0</v>
      </c>
      <c r="W97" s="99">
        <v>0</v>
      </c>
      <c r="X97" s="99">
        <v>8.0988921484106395</v>
      </c>
      <c r="Y97" s="99">
        <v>3178.0052790363347</v>
      </c>
      <c r="Z97" s="99">
        <v>8.1943979520475558</v>
      </c>
      <c r="AA97" s="99">
        <v>3215.4817563834608</v>
      </c>
      <c r="AB97" s="99">
        <v>8.8228154689389644</v>
      </c>
      <c r="AC97" s="99">
        <v>3462.0727900116494</v>
      </c>
      <c r="AD97" s="99">
        <v>5.2239826770352664</v>
      </c>
      <c r="AE97" s="99">
        <v>2049.8908024686384</v>
      </c>
      <c r="AF97" s="99">
        <v>7</v>
      </c>
      <c r="AG97" s="99">
        <v>2746.7999999999997</v>
      </c>
      <c r="AH97" s="99">
        <v>9</v>
      </c>
      <c r="AI97" s="99">
        <v>3531.6</v>
      </c>
      <c r="AJ97" s="99">
        <v>11</v>
      </c>
      <c r="AK97" s="99">
        <v>4316.3999999999996</v>
      </c>
      <c r="AL97" s="99">
        <v>12</v>
      </c>
      <c r="AM97" s="99">
        <v>4708.7999999999993</v>
      </c>
      <c r="AN97" s="99">
        <v>10.028136985683455</v>
      </c>
      <c r="AO97" s="99">
        <v>3935.0409531821874</v>
      </c>
      <c r="AP97" s="99">
        <v>4.7383730197333964</v>
      </c>
      <c r="AQ97" s="99">
        <v>1859.3375729433847</v>
      </c>
      <c r="AR97" s="99">
        <v>10</v>
      </c>
      <c r="AS97" s="99">
        <v>3924</v>
      </c>
      <c r="AT97" s="99">
        <v>7</v>
      </c>
      <c r="AU97" s="99">
        <v>2746.7999999999997</v>
      </c>
      <c r="AV97" s="99">
        <v>10.252193559560318</v>
      </c>
      <c r="AW97" s="99">
        <v>4022.9607527714688</v>
      </c>
      <c r="AX97" s="99">
        <v>9.57141799357621</v>
      </c>
      <c r="AY97" s="99">
        <v>3755.8244206793047</v>
      </c>
      <c r="AZ97" s="99">
        <v>8.4907740265595422</v>
      </c>
      <c r="BA97" s="99">
        <v>3331.7797280219643</v>
      </c>
      <c r="BB97" s="99">
        <v>7.6110070792292754</v>
      </c>
      <c r="BC97" s="99">
        <v>2986.5591778895673</v>
      </c>
      <c r="BD97" s="99">
        <v>8.6299670433883868</v>
      </c>
      <c r="BE97" s="99">
        <v>3386.3990678256027</v>
      </c>
      <c r="BF97" s="99">
        <v>4.976693556228863</v>
      </c>
      <c r="BG97" s="99">
        <v>1952.8545514642058</v>
      </c>
      <c r="BH97" s="99">
        <v>12.820249978471118</v>
      </c>
      <c r="BI97" s="99">
        <v>5030.6660915520661</v>
      </c>
      <c r="BJ97" s="99">
        <v>3.4564159356274429</v>
      </c>
      <c r="BK97" s="99">
        <v>1356.2976131402086</v>
      </c>
      <c r="BL97" s="99">
        <v>8.5544548317587381</v>
      </c>
      <c r="BM97" s="99">
        <v>3356.7680759821287</v>
      </c>
      <c r="BN97" s="99">
        <v>11</v>
      </c>
      <c r="BO97" s="99">
        <v>4316.3999999999996</v>
      </c>
      <c r="BP97" s="99">
        <v>10.790473512300439</v>
      </c>
      <c r="BQ97" s="99">
        <v>4234.1818062266921</v>
      </c>
      <c r="BR97" s="99">
        <v>4.8950652492219344</v>
      </c>
      <c r="BS97" s="99">
        <v>1920.823603794687</v>
      </c>
      <c r="BT97" s="99">
        <v>9</v>
      </c>
      <c r="BU97" s="99">
        <v>3531.6</v>
      </c>
      <c r="BV97" s="99">
        <v>12.449217748012771</v>
      </c>
      <c r="BW97" s="99">
        <v>4885.073044320211</v>
      </c>
      <c r="BX97" s="99">
        <v>6.8997843303207151</v>
      </c>
      <c r="BY97" s="99">
        <v>2707.4753712178485</v>
      </c>
      <c r="BZ97" s="99">
        <v>9.9744250669899444</v>
      </c>
      <c r="CA97" s="99">
        <v>3913.964396286854</v>
      </c>
      <c r="CB97" s="99">
        <v>8.3559998356617715</v>
      </c>
      <c r="CC97" s="99">
        <v>3278.8943355136789</v>
      </c>
      <c r="CD97" s="99">
        <v>5.1284220183090108</v>
      </c>
      <c r="CE97" s="99">
        <v>2012.3927999844557</v>
      </c>
      <c r="CF97" s="99">
        <v>7.5203998520955935</v>
      </c>
      <c r="CG97" s="99">
        <v>2951.0049019623107</v>
      </c>
      <c r="CH97" s="99">
        <v>8.8834723252879186</v>
      </c>
      <c r="CI97" s="99">
        <v>3485.8745404429792</v>
      </c>
      <c r="CJ97" s="99">
        <v>9</v>
      </c>
      <c r="CK97" s="99">
        <v>3531.6</v>
      </c>
      <c r="CL97" s="99">
        <v>6.7188175178606331</v>
      </c>
      <c r="CM97" s="99">
        <v>2636.4639940085121</v>
      </c>
      <c r="CN97" s="99">
        <v>6.2545899760002959</v>
      </c>
      <c r="CO97" s="99">
        <v>2454.3011065825158</v>
      </c>
      <c r="CP97" s="99">
        <v>10.732997847165555</v>
      </c>
      <c r="CQ97" s="99">
        <v>4211.6283552277637</v>
      </c>
      <c r="CR97" s="99">
        <v>11</v>
      </c>
      <c r="CS97" s="99">
        <v>4316.3999999999996</v>
      </c>
      <c r="CT97" s="99">
        <v>11.656610669272267</v>
      </c>
      <c r="CU97" s="99">
        <v>4574.054026622437</v>
      </c>
    </row>
    <row r="98" spans="2:99">
      <c r="C98" s="98" t="s">
        <v>264</v>
      </c>
      <c r="D98" s="99">
        <v>7</v>
      </c>
      <c r="E98" s="99">
        <v>3679.2000000000003</v>
      </c>
      <c r="F98" s="99">
        <v>7</v>
      </c>
      <c r="G98" s="99">
        <v>3679.2000000000003</v>
      </c>
      <c r="H98" s="99">
        <v>8</v>
      </c>
      <c r="I98" s="99">
        <v>4204.8</v>
      </c>
      <c r="J98" s="99">
        <v>8</v>
      </c>
      <c r="K98" s="99">
        <v>4204.8</v>
      </c>
      <c r="L98" s="99">
        <v>7</v>
      </c>
      <c r="M98" s="99">
        <v>3679.2000000000003</v>
      </c>
      <c r="N98" s="99">
        <v>11</v>
      </c>
      <c r="O98" s="99">
        <v>5781.6</v>
      </c>
      <c r="P98" s="99">
        <v>5.6601261570996693</v>
      </c>
      <c r="Q98" s="99">
        <v>2974.9623081715863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8.0988921484106395</v>
      </c>
      <c r="Y98" s="99">
        <v>4256.7777132046322</v>
      </c>
      <c r="Z98" s="99">
        <v>9.6842884887834764</v>
      </c>
      <c r="AA98" s="99">
        <v>5090.0620297045953</v>
      </c>
      <c r="AB98" s="99">
        <v>8.8228154689389644</v>
      </c>
      <c r="AC98" s="99">
        <v>4637.2718104743199</v>
      </c>
      <c r="AD98" s="99">
        <v>5.2239826770352664</v>
      </c>
      <c r="AE98" s="99">
        <v>2745.7252950497364</v>
      </c>
      <c r="AF98" s="99">
        <v>7</v>
      </c>
      <c r="AG98" s="99">
        <v>3679.2000000000003</v>
      </c>
      <c r="AH98" s="99">
        <v>9</v>
      </c>
      <c r="AI98" s="99">
        <v>4730.4000000000005</v>
      </c>
      <c r="AJ98" s="99">
        <v>12</v>
      </c>
      <c r="AK98" s="99">
        <v>6307.2000000000007</v>
      </c>
      <c r="AL98" s="99">
        <v>11</v>
      </c>
      <c r="AM98" s="99">
        <v>5781.6</v>
      </c>
      <c r="AN98" s="99">
        <v>9.1924589035431659</v>
      </c>
      <c r="AO98" s="99">
        <v>4831.5563997022882</v>
      </c>
      <c r="AP98" s="99">
        <v>4.7383730197333964</v>
      </c>
      <c r="AQ98" s="99">
        <v>2490.4888591718732</v>
      </c>
      <c r="AR98" s="99">
        <v>11</v>
      </c>
      <c r="AS98" s="99">
        <v>5781.6</v>
      </c>
      <c r="AT98" s="99">
        <v>7</v>
      </c>
      <c r="AU98" s="99">
        <v>3679.2000000000003</v>
      </c>
      <c r="AV98" s="99">
        <v>11.184211155883984</v>
      </c>
      <c r="AW98" s="99">
        <v>5878.4213835326227</v>
      </c>
      <c r="AX98" s="99">
        <v>9.57141799357621</v>
      </c>
      <c r="AY98" s="99">
        <v>5030.7372974236559</v>
      </c>
      <c r="AZ98" s="99">
        <v>8.4907740265595422</v>
      </c>
      <c r="BA98" s="99">
        <v>4462.7508283596953</v>
      </c>
      <c r="BB98" s="99">
        <v>6.6596311943256152</v>
      </c>
      <c r="BC98" s="99">
        <v>3500.3021557375437</v>
      </c>
      <c r="BD98" s="99">
        <v>8.6299670433883868</v>
      </c>
      <c r="BE98" s="99">
        <v>4535.910678004936</v>
      </c>
      <c r="BF98" s="99">
        <v>4.976693556228863</v>
      </c>
      <c r="BG98" s="99">
        <v>2615.7501331538906</v>
      </c>
      <c r="BH98" s="99">
        <v>11.834076903204108</v>
      </c>
      <c r="BI98" s="99">
        <v>6219.9908203240793</v>
      </c>
      <c r="BJ98" s="99">
        <v>3.4564159356274429</v>
      </c>
      <c r="BK98" s="99">
        <v>1816.6922157657841</v>
      </c>
      <c r="BL98" s="99">
        <v>7.8964198447003744</v>
      </c>
      <c r="BM98" s="99">
        <v>4150.3582703745169</v>
      </c>
      <c r="BN98" s="99">
        <v>11</v>
      </c>
      <c r="BO98" s="99">
        <v>5781.6</v>
      </c>
      <c r="BP98" s="99">
        <v>11.62050993632355</v>
      </c>
      <c r="BQ98" s="99">
        <v>6107.7400225316587</v>
      </c>
      <c r="BR98" s="99">
        <v>5.3400711809693826</v>
      </c>
      <c r="BS98" s="99">
        <v>2806.7414127175075</v>
      </c>
      <c r="BT98" s="99">
        <v>9</v>
      </c>
      <c r="BU98" s="99">
        <v>4730.4000000000005</v>
      </c>
      <c r="BV98" s="99">
        <v>12.449217748012771</v>
      </c>
      <c r="BW98" s="99">
        <v>6543.308848355513</v>
      </c>
      <c r="BX98" s="99">
        <v>6.8997843303207151</v>
      </c>
      <c r="BY98" s="99">
        <v>3626.5266440165678</v>
      </c>
      <c r="BZ98" s="99">
        <v>9.9744250669899444</v>
      </c>
      <c r="CA98" s="99">
        <v>5242.5578152099151</v>
      </c>
      <c r="CB98" s="99">
        <v>8.3559998356617715</v>
      </c>
      <c r="CC98" s="99">
        <v>4391.9135136238274</v>
      </c>
      <c r="CD98" s="99">
        <v>4.102737614647209</v>
      </c>
      <c r="CE98" s="99">
        <v>2156.3988902585729</v>
      </c>
      <c r="CF98" s="99">
        <v>8.3559998356617715</v>
      </c>
      <c r="CG98" s="99">
        <v>4391.9135136238274</v>
      </c>
      <c r="CH98" s="99">
        <v>8.8834723252879186</v>
      </c>
      <c r="CI98" s="99">
        <v>4669.15305417133</v>
      </c>
      <c r="CJ98" s="99">
        <v>11</v>
      </c>
      <c r="CK98" s="99">
        <v>5781.6</v>
      </c>
      <c r="CL98" s="99">
        <v>6.7188175178606331</v>
      </c>
      <c r="CM98" s="99">
        <v>3531.410487387549</v>
      </c>
      <c r="CN98" s="99">
        <v>6.2545899760002959</v>
      </c>
      <c r="CO98" s="99">
        <v>3287.4124913857559</v>
      </c>
      <c r="CP98" s="99">
        <v>9.9663551437965872</v>
      </c>
      <c r="CQ98" s="99">
        <v>5238.3162635794861</v>
      </c>
      <c r="CR98" s="99">
        <v>12</v>
      </c>
      <c r="CS98" s="99">
        <v>6307.2000000000007</v>
      </c>
      <c r="CT98" s="99">
        <v>9.8632859509226876</v>
      </c>
      <c r="CU98" s="99">
        <v>5184.143095804965</v>
      </c>
    </row>
    <row r="99" spans="2:99">
      <c r="C99" s="98" t="s">
        <v>265</v>
      </c>
      <c r="D99" s="99">
        <v>6</v>
      </c>
      <c r="E99" s="99">
        <v>25250.399999999998</v>
      </c>
      <c r="F99" s="99">
        <v>5</v>
      </c>
      <c r="G99" s="99">
        <v>21042</v>
      </c>
      <c r="H99" s="99">
        <v>7</v>
      </c>
      <c r="I99" s="99">
        <v>29458.799999999996</v>
      </c>
      <c r="J99" s="99">
        <v>7</v>
      </c>
      <c r="K99" s="99">
        <v>29458.799999999996</v>
      </c>
      <c r="L99" s="99">
        <v>6</v>
      </c>
      <c r="M99" s="99">
        <v>25250.399999999998</v>
      </c>
      <c r="N99" s="99">
        <v>9</v>
      </c>
      <c r="O99" s="99">
        <v>37875.599999999999</v>
      </c>
      <c r="P99" s="99">
        <v>4.7893375175458743</v>
      </c>
      <c r="Q99" s="99">
        <v>20155.448008840056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5.6692245038874471</v>
      </c>
      <c r="Y99" s="99">
        <v>23858.364402159932</v>
      </c>
      <c r="Z99" s="99">
        <v>7.4494526836795973</v>
      </c>
      <c r="AA99" s="99">
        <v>31350.276673997214</v>
      </c>
      <c r="AB99" s="99">
        <v>7.0582523751511728</v>
      </c>
      <c r="AC99" s="99">
        <v>29703.949295586193</v>
      </c>
      <c r="AD99" s="99">
        <v>3.6567878739246864</v>
      </c>
      <c r="AE99" s="99">
        <v>15389.226088624649</v>
      </c>
      <c r="AF99" s="99">
        <v>5</v>
      </c>
      <c r="AG99" s="99">
        <v>21042</v>
      </c>
      <c r="AH99" s="99">
        <v>7</v>
      </c>
      <c r="AI99" s="99">
        <v>29458.799999999996</v>
      </c>
      <c r="AJ99" s="99">
        <v>10</v>
      </c>
      <c r="AK99" s="99">
        <v>42084</v>
      </c>
      <c r="AL99" s="99">
        <v>9</v>
      </c>
      <c r="AM99" s="99">
        <v>37875.599999999999</v>
      </c>
      <c r="AN99" s="99">
        <v>8.3567808214028787</v>
      </c>
      <c r="AO99" s="99">
        <v>35168.676408791871</v>
      </c>
      <c r="AP99" s="99">
        <v>4.1460763922667212</v>
      </c>
      <c r="AQ99" s="99">
        <v>17448.347889215267</v>
      </c>
      <c r="AR99" s="99">
        <v>8</v>
      </c>
      <c r="AS99" s="99">
        <v>33667.199999999997</v>
      </c>
      <c r="AT99" s="99">
        <v>6</v>
      </c>
      <c r="AU99" s="99">
        <v>25250.399999999998</v>
      </c>
      <c r="AV99" s="99">
        <v>9.3201759632366539</v>
      </c>
      <c r="AW99" s="99">
        <v>39223.028523685134</v>
      </c>
      <c r="AX99" s="99">
        <v>7.9761816613135075</v>
      </c>
      <c r="AY99" s="99">
        <v>33566.962903471765</v>
      </c>
      <c r="AZ99" s="99">
        <v>6.7926192212476337</v>
      </c>
      <c r="BA99" s="99">
        <v>28586.05873069854</v>
      </c>
      <c r="BB99" s="99">
        <v>5.7082553094219559</v>
      </c>
      <c r="BC99" s="99">
        <v>24022.621644171359</v>
      </c>
      <c r="BD99" s="99">
        <v>8.6299670433883868</v>
      </c>
      <c r="BE99" s="99">
        <v>36318.353305395685</v>
      </c>
      <c r="BF99" s="99">
        <v>3.4836854893602043</v>
      </c>
      <c r="BG99" s="99">
        <v>14660.742013423482</v>
      </c>
      <c r="BH99" s="99">
        <v>9.8617307526700912</v>
      </c>
      <c r="BI99" s="99">
        <v>41502.107699536806</v>
      </c>
      <c r="BJ99" s="99">
        <v>3.4564159356274429</v>
      </c>
      <c r="BK99" s="99">
        <v>14545.980823494529</v>
      </c>
      <c r="BL99" s="99">
        <v>7.2383848576420089</v>
      </c>
      <c r="BM99" s="99">
        <v>30462.018834900628</v>
      </c>
      <c r="BN99" s="99">
        <v>9</v>
      </c>
      <c r="BO99" s="99">
        <v>37875.599999999999</v>
      </c>
      <c r="BP99" s="99">
        <v>9.1304006642542195</v>
      </c>
      <c r="BQ99" s="99">
        <v>38424.378155447455</v>
      </c>
      <c r="BR99" s="99">
        <v>4.4500593174744854</v>
      </c>
      <c r="BS99" s="99">
        <v>18727.629631659624</v>
      </c>
      <c r="BT99" s="99">
        <v>7</v>
      </c>
      <c r="BU99" s="99">
        <v>29458.799999999996</v>
      </c>
      <c r="BV99" s="99">
        <v>8.6186892101626871</v>
      </c>
      <c r="BW99" s="99">
        <v>36270.891672048652</v>
      </c>
      <c r="BX99" s="99">
        <v>5.3664989235827782</v>
      </c>
      <c r="BY99" s="99">
        <v>22584.374070005761</v>
      </c>
      <c r="BZ99" s="99">
        <v>7.4808188002424583</v>
      </c>
      <c r="CA99" s="99">
        <v>31482.277838940357</v>
      </c>
      <c r="CB99" s="99">
        <v>7.5203998520955935</v>
      </c>
      <c r="CC99" s="99">
        <v>31648.850737559093</v>
      </c>
      <c r="CD99" s="99">
        <v>3.5898954128163081</v>
      </c>
      <c r="CE99" s="99">
        <v>15107.71585529615</v>
      </c>
      <c r="CF99" s="99">
        <v>5.8491998849632392</v>
      </c>
      <c r="CG99" s="99">
        <v>24615.772795879293</v>
      </c>
      <c r="CH99" s="99">
        <v>6.9093673641128257</v>
      </c>
      <c r="CI99" s="99">
        <v>29077.381615132414</v>
      </c>
      <c r="CJ99" s="99">
        <v>7</v>
      </c>
      <c r="CK99" s="99">
        <v>29458.799999999996</v>
      </c>
      <c r="CL99" s="99">
        <v>5.8789653281280536</v>
      </c>
      <c r="CM99" s="99">
        <v>24741.037686894098</v>
      </c>
      <c r="CN99" s="99">
        <v>4.6909424820002217</v>
      </c>
      <c r="CO99" s="99">
        <v>19741.362341249733</v>
      </c>
      <c r="CP99" s="99">
        <v>7.6664270336896818</v>
      </c>
      <c r="CQ99" s="99">
        <v>32263.391528579654</v>
      </c>
      <c r="CR99" s="99">
        <v>10</v>
      </c>
      <c r="CS99" s="99">
        <v>42084</v>
      </c>
      <c r="CT99" s="99">
        <v>8.0699612325731067</v>
      </c>
      <c r="CU99" s="99">
        <v>33961.624851160661</v>
      </c>
    </row>
    <row r="100" spans="2:99">
      <c r="C100" s="98" t="s">
        <v>266</v>
      </c>
      <c r="D100" s="99">
        <v>7</v>
      </c>
      <c r="E100" s="99">
        <v>2268</v>
      </c>
      <c r="F100" s="99">
        <v>7</v>
      </c>
      <c r="G100" s="99">
        <v>2268</v>
      </c>
      <c r="H100" s="99">
        <v>8</v>
      </c>
      <c r="I100" s="99">
        <v>2592</v>
      </c>
      <c r="J100" s="99">
        <v>8</v>
      </c>
      <c r="K100" s="99">
        <v>2592</v>
      </c>
      <c r="L100" s="99">
        <v>7</v>
      </c>
      <c r="M100" s="99">
        <v>2268</v>
      </c>
      <c r="N100" s="99">
        <v>11</v>
      </c>
      <c r="O100" s="99">
        <v>3564</v>
      </c>
      <c r="P100" s="99">
        <v>5.6601261570996693</v>
      </c>
      <c r="Q100" s="99">
        <v>1833.8808749002928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8.0988921484106395</v>
      </c>
      <c r="Y100" s="99">
        <v>2624.0410560850473</v>
      </c>
      <c r="Z100" s="99">
        <v>9.6842884887834764</v>
      </c>
      <c r="AA100" s="99">
        <v>3137.7094703658463</v>
      </c>
      <c r="AB100" s="99">
        <v>8.8228154689389644</v>
      </c>
      <c r="AC100" s="99">
        <v>2858.5922119362244</v>
      </c>
      <c r="AD100" s="99">
        <v>4.7015844093317396</v>
      </c>
      <c r="AE100" s="99">
        <v>1523.3133486234835</v>
      </c>
      <c r="AF100" s="99">
        <v>7</v>
      </c>
      <c r="AG100" s="99">
        <v>2268</v>
      </c>
      <c r="AH100" s="99">
        <v>8</v>
      </c>
      <c r="AI100" s="99">
        <v>2592</v>
      </c>
      <c r="AJ100" s="99">
        <v>11</v>
      </c>
      <c r="AK100" s="99">
        <v>3564</v>
      </c>
      <c r="AL100" s="99">
        <v>13</v>
      </c>
      <c r="AM100" s="99">
        <v>4212</v>
      </c>
      <c r="AN100" s="99">
        <v>9.1924589035431659</v>
      </c>
      <c r="AO100" s="99">
        <v>2978.3566847479856</v>
      </c>
      <c r="AP100" s="99">
        <v>4.1460763922667212</v>
      </c>
      <c r="AQ100" s="99">
        <v>1343.3287510944176</v>
      </c>
      <c r="AR100" s="99">
        <v>10</v>
      </c>
      <c r="AS100" s="99">
        <v>3240</v>
      </c>
      <c r="AT100" s="99">
        <v>7</v>
      </c>
      <c r="AU100" s="99">
        <v>2268</v>
      </c>
      <c r="AV100" s="99">
        <v>12.11622875220765</v>
      </c>
      <c r="AW100" s="99">
        <v>3925.6581157152787</v>
      </c>
      <c r="AX100" s="99">
        <v>10.36903615970756</v>
      </c>
      <c r="AY100" s="99">
        <v>3359.5677157452496</v>
      </c>
      <c r="AZ100" s="99">
        <v>7.6416966239035871</v>
      </c>
      <c r="BA100" s="99">
        <v>2475.9097061447624</v>
      </c>
      <c r="BB100" s="99">
        <v>6.6596311943256152</v>
      </c>
      <c r="BC100" s="99">
        <v>2157.7205069614993</v>
      </c>
      <c r="BD100" s="99">
        <v>8.6299670433883868</v>
      </c>
      <c r="BE100" s="99">
        <v>2796.1093220578373</v>
      </c>
      <c r="BF100" s="99">
        <v>4.4790242006059771</v>
      </c>
      <c r="BG100" s="99">
        <v>1451.2038409963366</v>
      </c>
      <c r="BH100" s="99">
        <v>12.820249978471118</v>
      </c>
      <c r="BI100" s="99">
        <v>4153.7609930246426</v>
      </c>
      <c r="BJ100" s="99">
        <v>4.0324852582320165</v>
      </c>
      <c r="BK100" s="99">
        <v>1306.5252236671733</v>
      </c>
      <c r="BL100" s="99">
        <v>8.5544548317587381</v>
      </c>
      <c r="BM100" s="99">
        <v>2771.643365489831</v>
      </c>
      <c r="BN100" s="99">
        <v>10</v>
      </c>
      <c r="BO100" s="99">
        <v>3240</v>
      </c>
      <c r="BP100" s="99">
        <v>10.790473512300439</v>
      </c>
      <c r="BQ100" s="99">
        <v>3496.113417985342</v>
      </c>
      <c r="BR100" s="99">
        <v>4.8950652492219344</v>
      </c>
      <c r="BS100" s="99">
        <v>1586.0011407479067</v>
      </c>
      <c r="BT100" s="99">
        <v>10</v>
      </c>
      <c r="BU100" s="99">
        <v>3240</v>
      </c>
      <c r="BV100" s="99">
        <v>11.491585613550249</v>
      </c>
      <c r="BW100" s="99">
        <v>3723.2737387902807</v>
      </c>
      <c r="BX100" s="99">
        <v>7.6664270336896836</v>
      </c>
      <c r="BY100" s="99">
        <v>2483.9223589154576</v>
      </c>
      <c r="BZ100" s="99">
        <v>9.1432229780741157</v>
      </c>
      <c r="CA100" s="99">
        <v>2962.4042448960136</v>
      </c>
      <c r="CB100" s="99">
        <v>7.5203998520955935</v>
      </c>
      <c r="CC100" s="99">
        <v>2436.6095520789722</v>
      </c>
      <c r="CD100" s="99">
        <v>4.6155798164781103</v>
      </c>
      <c r="CE100" s="99">
        <v>1495.4478605389077</v>
      </c>
      <c r="CF100" s="99">
        <v>7.5203998520955935</v>
      </c>
      <c r="CG100" s="99">
        <v>2436.6095520789722</v>
      </c>
      <c r="CH100" s="99">
        <v>7.8964198447003726</v>
      </c>
      <c r="CI100" s="99">
        <v>2558.4400296829208</v>
      </c>
      <c r="CJ100" s="99">
        <v>11</v>
      </c>
      <c r="CK100" s="99">
        <v>3564</v>
      </c>
      <c r="CL100" s="99">
        <v>7.5586697075932126</v>
      </c>
      <c r="CM100" s="99">
        <v>2449.0089852602009</v>
      </c>
      <c r="CN100" s="99">
        <v>6.2545899760002959</v>
      </c>
      <c r="CO100" s="99">
        <v>2026.4871522240958</v>
      </c>
      <c r="CP100" s="99">
        <v>10.732997847165555</v>
      </c>
      <c r="CQ100" s="99">
        <v>3477.4913024816397</v>
      </c>
      <c r="CR100" s="99">
        <v>12</v>
      </c>
      <c r="CS100" s="99">
        <v>3888</v>
      </c>
      <c r="CT100" s="99">
        <v>10.759948310097476</v>
      </c>
      <c r="CU100" s="99">
        <v>3486.2232524715823</v>
      </c>
    </row>
    <row r="101" spans="2:99">
      <c r="C101" s="98" t="s">
        <v>267</v>
      </c>
      <c r="D101" s="99">
        <v>7</v>
      </c>
      <c r="E101" s="99">
        <v>5065.2</v>
      </c>
      <c r="F101" s="99">
        <v>7</v>
      </c>
      <c r="G101" s="99">
        <v>5065.2</v>
      </c>
      <c r="H101" s="99">
        <v>8</v>
      </c>
      <c r="I101" s="99">
        <v>5788.8</v>
      </c>
      <c r="J101" s="99">
        <v>7</v>
      </c>
      <c r="K101" s="99">
        <v>5065.2</v>
      </c>
      <c r="L101" s="99">
        <v>7</v>
      </c>
      <c r="M101" s="99">
        <v>5065.2</v>
      </c>
      <c r="N101" s="99">
        <v>10</v>
      </c>
      <c r="O101" s="99">
        <v>7236</v>
      </c>
      <c r="P101" s="99">
        <v>5.2247318373227714</v>
      </c>
      <c r="Q101" s="99">
        <v>3780.6159574867575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7.2890029335695763</v>
      </c>
      <c r="Y101" s="99">
        <v>5274.3225227309458</v>
      </c>
      <c r="Z101" s="99">
        <v>8.1943979520475558</v>
      </c>
      <c r="AA101" s="99">
        <v>5929.4663581016111</v>
      </c>
      <c r="AB101" s="99">
        <v>7.940533922045069</v>
      </c>
      <c r="AC101" s="99">
        <v>5745.7703459918121</v>
      </c>
      <c r="AD101" s="99">
        <v>4.7015844093317396</v>
      </c>
      <c r="AE101" s="99">
        <v>3402.0664785924469</v>
      </c>
      <c r="AF101" s="99">
        <v>6</v>
      </c>
      <c r="AG101" s="99">
        <v>4341.6000000000004</v>
      </c>
      <c r="AH101" s="99">
        <v>8</v>
      </c>
      <c r="AI101" s="99">
        <v>5788.8</v>
      </c>
      <c r="AJ101" s="99">
        <v>12</v>
      </c>
      <c r="AK101" s="99">
        <v>8683.2000000000007</v>
      </c>
      <c r="AL101" s="99">
        <v>12</v>
      </c>
      <c r="AM101" s="99">
        <v>8683.2000000000007</v>
      </c>
      <c r="AN101" s="99">
        <v>10.028136985683455</v>
      </c>
      <c r="AO101" s="99">
        <v>7256.3599228405483</v>
      </c>
      <c r="AP101" s="99">
        <v>4.7383730197333964</v>
      </c>
      <c r="AQ101" s="99">
        <v>3428.6867170790856</v>
      </c>
      <c r="AR101" s="99">
        <v>11</v>
      </c>
      <c r="AS101" s="99">
        <v>7959.6</v>
      </c>
      <c r="AT101" s="99">
        <v>7</v>
      </c>
      <c r="AU101" s="99">
        <v>5065.2</v>
      </c>
      <c r="AV101" s="99">
        <v>11.184211155883984</v>
      </c>
      <c r="AW101" s="99">
        <v>8092.895192397651</v>
      </c>
      <c r="AX101" s="99">
        <v>10.36903615970756</v>
      </c>
      <c r="AY101" s="99">
        <v>7503.0345651643911</v>
      </c>
      <c r="AZ101" s="99">
        <v>8.4907740265595422</v>
      </c>
      <c r="BA101" s="99">
        <v>6143.9240856184852</v>
      </c>
      <c r="BB101" s="99">
        <v>6.6596311943256152</v>
      </c>
      <c r="BC101" s="99">
        <v>4818.9091322140157</v>
      </c>
      <c r="BD101" s="99">
        <v>9.4929637477272255</v>
      </c>
      <c r="BE101" s="99">
        <v>6869.1085678554209</v>
      </c>
      <c r="BF101" s="99">
        <v>4.4790242006059771</v>
      </c>
      <c r="BG101" s="99">
        <v>3241.021911558485</v>
      </c>
      <c r="BH101" s="99">
        <v>14.792596129005135</v>
      </c>
      <c r="BI101" s="99">
        <v>10703.922558948116</v>
      </c>
      <c r="BJ101" s="99">
        <v>4.0324852582320165</v>
      </c>
      <c r="BK101" s="99">
        <v>2917.9063328566872</v>
      </c>
      <c r="BL101" s="99">
        <v>8.5544548317587381</v>
      </c>
      <c r="BM101" s="99">
        <v>6190.0035162606227</v>
      </c>
      <c r="BN101" s="99">
        <v>11</v>
      </c>
      <c r="BO101" s="99">
        <v>7959.6</v>
      </c>
      <c r="BP101" s="99">
        <v>11.62050993632355</v>
      </c>
      <c r="BQ101" s="99">
        <v>8408.6009899237215</v>
      </c>
      <c r="BR101" s="99">
        <v>4.4500593174744854</v>
      </c>
      <c r="BS101" s="99">
        <v>3220.0629221245376</v>
      </c>
      <c r="BT101" s="99">
        <v>9</v>
      </c>
      <c r="BU101" s="99">
        <v>6512.4000000000005</v>
      </c>
      <c r="BV101" s="99">
        <v>11.491585613550249</v>
      </c>
      <c r="BW101" s="99">
        <v>8315.3113499649608</v>
      </c>
      <c r="BX101" s="99">
        <v>6.8997843303207151</v>
      </c>
      <c r="BY101" s="99">
        <v>4992.6839414200695</v>
      </c>
      <c r="BZ101" s="99">
        <v>9.9744250669899444</v>
      </c>
      <c r="CA101" s="99">
        <v>7217.4939784739236</v>
      </c>
      <c r="CB101" s="99">
        <v>8.3559998356617715</v>
      </c>
      <c r="CC101" s="99">
        <v>6046.4014810848585</v>
      </c>
      <c r="CD101" s="99">
        <v>4.102737614647209</v>
      </c>
      <c r="CE101" s="99">
        <v>2968.7409379587207</v>
      </c>
      <c r="CF101" s="99">
        <v>7.5203998520955935</v>
      </c>
      <c r="CG101" s="99">
        <v>5441.7613329763717</v>
      </c>
      <c r="CH101" s="99">
        <v>8.8834723252879186</v>
      </c>
      <c r="CI101" s="99">
        <v>6428.0805745783382</v>
      </c>
      <c r="CJ101" s="99">
        <v>10</v>
      </c>
      <c r="CK101" s="99">
        <v>7236</v>
      </c>
      <c r="CL101" s="99">
        <v>5.8789653281280536</v>
      </c>
      <c r="CM101" s="99">
        <v>4254.0193114334597</v>
      </c>
      <c r="CN101" s="99">
        <v>7.036413723000333</v>
      </c>
      <c r="CO101" s="99">
        <v>5091.5489699630407</v>
      </c>
      <c r="CP101" s="99">
        <v>9.9663551437965872</v>
      </c>
      <c r="CQ101" s="99">
        <v>7211.654582051211</v>
      </c>
      <c r="CR101" s="99">
        <v>12</v>
      </c>
      <c r="CS101" s="99">
        <v>8683.2000000000007</v>
      </c>
      <c r="CT101" s="99">
        <v>10.759948310097476</v>
      </c>
      <c r="CU101" s="99">
        <v>7785.8985971865341</v>
      </c>
    </row>
    <row r="102" spans="2:99">
      <c r="C102" s="98" t="s">
        <v>268</v>
      </c>
      <c r="D102" s="99">
        <v>7</v>
      </c>
      <c r="E102" s="99">
        <v>3721.2000000000003</v>
      </c>
      <c r="F102" s="99">
        <v>7</v>
      </c>
      <c r="G102" s="99">
        <v>3721.2000000000003</v>
      </c>
      <c r="H102" s="99">
        <v>9</v>
      </c>
      <c r="I102" s="99">
        <v>4784.4000000000005</v>
      </c>
      <c r="J102" s="99">
        <v>9</v>
      </c>
      <c r="K102" s="99">
        <v>4784.4000000000005</v>
      </c>
      <c r="L102" s="99">
        <v>7</v>
      </c>
      <c r="M102" s="99">
        <v>3721.2000000000003</v>
      </c>
      <c r="N102" s="99">
        <v>11</v>
      </c>
      <c r="O102" s="99">
        <v>5847.6</v>
      </c>
      <c r="P102" s="99">
        <v>4.7893375175458743</v>
      </c>
      <c r="Q102" s="99">
        <v>2546.0118243273869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7.2890029335695763</v>
      </c>
      <c r="Y102" s="99">
        <v>3874.833959485587</v>
      </c>
      <c r="Z102" s="99">
        <v>9.6842884887834764</v>
      </c>
      <c r="AA102" s="99">
        <v>5148.1677606372959</v>
      </c>
      <c r="AB102" s="99">
        <v>7.940533922045069</v>
      </c>
      <c r="AC102" s="99">
        <v>4221.1878329591591</v>
      </c>
      <c r="AD102" s="99">
        <v>4.1791861416282128</v>
      </c>
      <c r="AE102" s="99">
        <v>2221.6553528895579</v>
      </c>
      <c r="AF102" s="99">
        <v>6</v>
      </c>
      <c r="AG102" s="99">
        <v>3189.6000000000004</v>
      </c>
      <c r="AH102" s="99">
        <v>9</v>
      </c>
      <c r="AI102" s="99">
        <v>4784.4000000000005</v>
      </c>
      <c r="AJ102" s="99">
        <v>13</v>
      </c>
      <c r="AK102" s="99">
        <v>6910.8</v>
      </c>
      <c r="AL102" s="99">
        <v>13</v>
      </c>
      <c r="AM102" s="99">
        <v>6910.8</v>
      </c>
      <c r="AN102" s="99">
        <v>10.028136985683455</v>
      </c>
      <c r="AO102" s="99">
        <v>5330.9576215893248</v>
      </c>
      <c r="AP102" s="99">
        <v>4.7383730197333964</v>
      </c>
      <c r="AQ102" s="99">
        <v>2518.9190972902738</v>
      </c>
      <c r="AR102" s="99">
        <v>9</v>
      </c>
      <c r="AS102" s="99">
        <v>4784.4000000000005</v>
      </c>
      <c r="AT102" s="99">
        <v>7</v>
      </c>
      <c r="AU102" s="99">
        <v>3721.2000000000003</v>
      </c>
      <c r="AV102" s="99">
        <v>10.252193559560318</v>
      </c>
      <c r="AW102" s="99">
        <v>5450.0660962622651</v>
      </c>
      <c r="AX102" s="99">
        <v>9.57141799357621</v>
      </c>
      <c r="AY102" s="99">
        <v>5088.1658053851133</v>
      </c>
      <c r="AZ102" s="99">
        <v>7.6416966239035871</v>
      </c>
      <c r="BA102" s="99">
        <v>4062.3259252671469</v>
      </c>
      <c r="BB102" s="99">
        <v>7.6110070792292754</v>
      </c>
      <c r="BC102" s="99">
        <v>4046.0113633182832</v>
      </c>
      <c r="BD102" s="99">
        <v>10.355960452066064</v>
      </c>
      <c r="BE102" s="99">
        <v>5505.2285763183199</v>
      </c>
      <c r="BF102" s="99">
        <v>4.4790242006059771</v>
      </c>
      <c r="BG102" s="99">
        <v>2381.0492650421374</v>
      </c>
      <c r="BH102" s="99">
        <v>11.834076903204108</v>
      </c>
      <c r="BI102" s="99">
        <v>6290.9952817433041</v>
      </c>
      <c r="BJ102" s="99">
        <v>4.0324852582320165</v>
      </c>
      <c r="BK102" s="99">
        <v>2143.6691632761399</v>
      </c>
      <c r="BL102" s="99">
        <v>7.8964198447003744</v>
      </c>
      <c r="BM102" s="99">
        <v>4197.7367894427189</v>
      </c>
      <c r="BN102" s="99">
        <v>11</v>
      </c>
      <c r="BO102" s="99">
        <v>5847.6</v>
      </c>
      <c r="BP102" s="99">
        <v>9.960437088277331</v>
      </c>
      <c r="BQ102" s="99">
        <v>5294.9683561282291</v>
      </c>
      <c r="BR102" s="99">
        <v>4.8950652492219344</v>
      </c>
      <c r="BS102" s="99">
        <v>2602.2166864863802</v>
      </c>
      <c r="BT102" s="99">
        <v>9</v>
      </c>
      <c r="BU102" s="99">
        <v>4784.4000000000005</v>
      </c>
      <c r="BV102" s="99">
        <v>12.449217748012771</v>
      </c>
      <c r="BW102" s="99">
        <v>6618.0041548435893</v>
      </c>
      <c r="BX102" s="99">
        <v>6.8997843303207151</v>
      </c>
      <c r="BY102" s="99">
        <v>3667.9253499984925</v>
      </c>
      <c r="BZ102" s="99">
        <v>9.9744250669899444</v>
      </c>
      <c r="CA102" s="99">
        <v>5302.4043656118547</v>
      </c>
      <c r="CB102" s="99">
        <v>7.5203998520955935</v>
      </c>
      <c r="CC102" s="99">
        <v>3997.8445613740178</v>
      </c>
      <c r="CD102" s="99">
        <v>4.102737614647209</v>
      </c>
      <c r="CE102" s="99">
        <v>2181.0153159464562</v>
      </c>
      <c r="CF102" s="99">
        <v>7.5203998520955935</v>
      </c>
      <c r="CG102" s="99">
        <v>3997.8445613740178</v>
      </c>
      <c r="CH102" s="99">
        <v>8.8834723252879186</v>
      </c>
      <c r="CI102" s="99">
        <v>4722.4538881230574</v>
      </c>
      <c r="CJ102" s="99">
        <v>10</v>
      </c>
      <c r="CK102" s="99">
        <v>5316</v>
      </c>
      <c r="CL102" s="99">
        <v>5.8789653281280536</v>
      </c>
      <c r="CM102" s="99">
        <v>3125.2579684328734</v>
      </c>
      <c r="CN102" s="99">
        <v>7.036413723000333</v>
      </c>
      <c r="CO102" s="99">
        <v>3740.557535146977</v>
      </c>
      <c r="CP102" s="99">
        <v>9.9663551437965872</v>
      </c>
      <c r="CQ102" s="99">
        <v>5298.1143944422656</v>
      </c>
      <c r="CR102" s="99">
        <v>12</v>
      </c>
      <c r="CS102" s="99">
        <v>6379.2000000000007</v>
      </c>
      <c r="CT102" s="99">
        <v>10.759948310097476</v>
      </c>
      <c r="CU102" s="99">
        <v>5719.9885216478187</v>
      </c>
    </row>
    <row r="103" spans="2:99">
      <c r="C103" s="98" t="s">
        <v>269</v>
      </c>
      <c r="D103" s="99">
        <v>6</v>
      </c>
      <c r="E103" s="99">
        <v>3535.2</v>
      </c>
      <c r="F103" s="99">
        <v>7</v>
      </c>
      <c r="G103" s="99">
        <v>4124.3999999999996</v>
      </c>
      <c r="H103" s="99">
        <v>8</v>
      </c>
      <c r="I103" s="99">
        <v>4713.5999999999995</v>
      </c>
      <c r="J103" s="99">
        <v>8</v>
      </c>
      <c r="K103" s="99">
        <v>4713.5999999999995</v>
      </c>
      <c r="L103" s="99">
        <v>7</v>
      </c>
      <c r="M103" s="99">
        <v>4124.3999999999996</v>
      </c>
      <c r="N103" s="99">
        <v>11</v>
      </c>
      <c r="O103" s="99">
        <v>6481.1999999999989</v>
      </c>
      <c r="P103" s="99">
        <v>4.7893375175458743</v>
      </c>
      <c r="Q103" s="99">
        <v>2821.8776653380287</v>
      </c>
      <c r="R103" s="99">
        <v>0</v>
      </c>
      <c r="S103" s="99">
        <v>0</v>
      </c>
      <c r="T103" s="99">
        <v>0</v>
      </c>
      <c r="U103" s="99">
        <v>0</v>
      </c>
      <c r="V103" s="99">
        <v>0</v>
      </c>
      <c r="W103" s="99">
        <v>0</v>
      </c>
      <c r="X103" s="99">
        <v>8.0988921484106395</v>
      </c>
      <c r="Y103" s="99">
        <v>4771.8672538435485</v>
      </c>
      <c r="Z103" s="99">
        <v>8.1943979520475558</v>
      </c>
      <c r="AA103" s="99">
        <v>4828.139273346419</v>
      </c>
      <c r="AB103" s="99">
        <v>7.940533922045069</v>
      </c>
      <c r="AC103" s="99">
        <v>4678.562586868954</v>
      </c>
      <c r="AD103" s="99">
        <v>5.2239826770352664</v>
      </c>
      <c r="AE103" s="99">
        <v>3077.9705933091786</v>
      </c>
      <c r="AF103" s="99">
        <v>7</v>
      </c>
      <c r="AG103" s="99">
        <v>4124.3999999999996</v>
      </c>
      <c r="AH103" s="99">
        <v>8</v>
      </c>
      <c r="AI103" s="99">
        <v>4713.5999999999995</v>
      </c>
      <c r="AJ103" s="99">
        <v>13</v>
      </c>
      <c r="AK103" s="99">
        <v>7659.5999999999995</v>
      </c>
      <c r="AL103" s="99">
        <v>12</v>
      </c>
      <c r="AM103" s="99">
        <v>7070.4</v>
      </c>
      <c r="AN103" s="99">
        <v>10.028136985683455</v>
      </c>
      <c r="AO103" s="99">
        <v>5908.5783119646912</v>
      </c>
      <c r="AP103" s="99">
        <v>4.7383730197333964</v>
      </c>
      <c r="AQ103" s="99">
        <v>2791.8493832269169</v>
      </c>
      <c r="AR103" s="99">
        <v>9</v>
      </c>
      <c r="AS103" s="99">
        <v>5302.7999999999993</v>
      </c>
      <c r="AT103" s="99">
        <v>8</v>
      </c>
      <c r="AU103" s="99">
        <v>4713.5999999999995</v>
      </c>
      <c r="AV103" s="99">
        <v>10.252193559560318</v>
      </c>
      <c r="AW103" s="99">
        <v>6040.5924452929385</v>
      </c>
      <c r="AX103" s="99">
        <v>9.57141799357621</v>
      </c>
      <c r="AY103" s="99">
        <v>5639.4794818151022</v>
      </c>
      <c r="AZ103" s="99">
        <v>7.6416966239035871</v>
      </c>
      <c r="BA103" s="99">
        <v>4502.4876508039933</v>
      </c>
      <c r="BB103" s="99">
        <v>6.6596311943256152</v>
      </c>
      <c r="BC103" s="99">
        <v>3923.854699696652</v>
      </c>
      <c r="BD103" s="99">
        <v>9.4929637477272255</v>
      </c>
      <c r="BE103" s="99">
        <v>5593.2542401608807</v>
      </c>
      <c r="BF103" s="99">
        <v>4.4790242006059771</v>
      </c>
      <c r="BG103" s="99">
        <v>2639.0410589970415</v>
      </c>
      <c r="BH103" s="99">
        <v>13.806423053738127</v>
      </c>
      <c r="BI103" s="99">
        <v>8134.7444632625038</v>
      </c>
      <c r="BJ103" s="99">
        <v>4.0324852582320165</v>
      </c>
      <c r="BK103" s="99">
        <v>2375.9403141503039</v>
      </c>
      <c r="BL103" s="99">
        <v>8.5544548317587381</v>
      </c>
      <c r="BM103" s="99">
        <v>5040.2847868722483</v>
      </c>
      <c r="BN103" s="99">
        <v>11</v>
      </c>
      <c r="BO103" s="99">
        <v>6481.1999999999989</v>
      </c>
      <c r="BP103" s="99">
        <v>10.790473512300439</v>
      </c>
      <c r="BQ103" s="99">
        <v>6357.7469934474175</v>
      </c>
      <c r="BR103" s="99">
        <v>5.3400711809693826</v>
      </c>
      <c r="BS103" s="99">
        <v>3146.3699398271597</v>
      </c>
      <c r="BT103" s="99">
        <v>9</v>
      </c>
      <c r="BU103" s="99">
        <v>5302.7999999999993</v>
      </c>
      <c r="BV103" s="99">
        <v>10.53395347908773</v>
      </c>
      <c r="BW103" s="99">
        <v>6206.6053898784894</v>
      </c>
      <c r="BX103" s="99">
        <v>6.1331416269517458</v>
      </c>
      <c r="BY103" s="99">
        <v>3613.6470465999682</v>
      </c>
      <c r="BZ103" s="99">
        <v>9.1432229780741157</v>
      </c>
      <c r="CA103" s="99">
        <v>5387.1869786812686</v>
      </c>
      <c r="CB103" s="99">
        <v>8.3559998356617715</v>
      </c>
      <c r="CC103" s="99">
        <v>4923.3551031719153</v>
      </c>
      <c r="CD103" s="99">
        <v>5.1284220183090108</v>
      </c>
      <c r="CE103" s="99">
        <v>3021.6662531876686</v>
      </c>
      <c r="CF103" s="99">
        <v>7.5203998520955935</v>
      </c>
      <c r="CG103" s="99">
        <v>4431.0195928547228</v>
      </c>
      <c r="CH103" s="99">
        <v>8.8834723252879186</v>
      </c>
      <c r="CI103" s="99">
        <v>5234.1418940596413</v>
      </c>
      <c r="CJ103" s="99">
        <v>10</v>
      </c>
      <c r="CK103" s="99">
        <v>5891.9999999999991</v>
      </c>
      <c r="CL103" s="99">
        <v>6.7188175178606331</v>
      </c>
      <c r="CM103" s="99">
        <v>3958.7272815234846</v>
      </c>
      <c r="CN103" s="99">
        <v>7.036413723000333</v>
      </c>
      <c r="CO103" s="99">
        <v>4145.8549655917959</v>
      </c>
      <c r="CP103" s="99">
        <v>9.9663551437965872</v>
      </c>
      <c r="CQ103" s="99">
        <v>5872.1764507249482</v>
      </c>
      <c r="CR103" s="99">
        <v>11</v>
      </c>
      <c r="CS103" s="99">
        <v>6481.1999999999989</v>
      </c>
      <c r="CT103" s="99">
        <v>9.8632859509226876</v>
      </c>
      <c r="CU103" s="99">
        <v>5811.4480822836467</v>
      </c>
    </row>
    <row r="104" spans="2:99">
      <c r="C104" s="98" t="s">
        <v>270</v>
      </c>
      <c r="D104" s="99">
        <v>7</v>
      </c>
      <c r="E104" s="99">
        <v>4426.8</v>
      </c>
      <c r="F104" s="99">
        <v>7</v>
      </c>
      <c r="G104" s="99">
        <v>4426.8</v>
      </c>
      <c r="H104" s="99">
        <v>9</v>
      </c>
      <c r="I104" s="99">
        <v>5691.5999999999995</v>
      </c>
      <c r="J104" s="99">
        <v>9</v>
      </c>
      <c r="K104" s="99">
        <v>5691.5999999999995</v>
      </c>
      <c r="L104" s="99">
        <v>7</v>
      </c>
      <c r="M104" s="99">
        <v>4426.8</v>
      </c>
      <c r="N104" s="99">
        <v>10</v>
      </c>
      <c r="O104" s="99">
        <v>6324</v>
      </c>
      <c r="P104" s="99">
        <v>5.2247318373227714</v>
      </c>
      <c r="Q104" s="99">
        <v>3304.1204139229203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8.0988921484106395</v>
      </c>
      <c r="Y104" s="99">
        <v>5121.7393946548882</v>
      </c>
      <c r="Z104" s="99">
        <v>8.9393432204155161</v>
      </c>
      <c r="AA104" s="99">
        <v>5653.2406525907718</v>
      </c>
      <c r="AB104" s="99">
        <v>8.8228154689389644</v>
      </c>
      <c r="AC104" s="99">
        <v>5579.5485025570006</v>
      </c>
      <c r="AD104" s="99">
        <v>5.2239826770352664</v>
      </c>
      <c r="AE104" s="99">
        <v>3303.6466449571026</v>
      </c>
      <c r="AF104" s="99">
        <v>6</v>
      </c>
      <c r="AG104" s="99">
        <v>3794.3999999999996</v>
      </c>
      <c r="AH104" s="99">
        <v>9</v>
      </c>
      <c r="AI104" s="99">
        <v>5691.5999999999995</v>
      </c>
      <c r="AJ104" s="99">
        <v>11</v>
      </c>
      <c r="AK104" s="99">
        <v>6956.4</v>
      </c>
      <c r="AL104" s="99">
        <v>12</v>
      </c>
      <c r="AM104" s="99">
        <v>7588.7999999999993</v>
      </c>
      <c r="AN104" s="99">
        <v>9.1924589035431659</v>
      </c>
      <c r="AO104" s="99">
        <v>5813.311010600698</v>
      </c>
      <c r="AP104" s="99">
        <v>4.7383730197333964</v>
      </c>
      <c r="AQ104" s="99">
        <v>2996.5470976793999</v>
      </c>
      <c r="AR104" s="99">
        <v>10</v>
      </c>
      <c r="AS104" s="99">
        <v>6324</v>
      </c>
      <c r="AT104" s="99">
        <v>7</v>
      </c>
      <c r="AU104" s="99">
        <v>4426.8</v>
      </c>
      <c r="AV104" s="99">
        <v>12.11622875220765</v>
      </c>
      <c r="AW104" s="99">
        <v>7662.3030628961178</v>
      </c>
      <c r="AX104" s="99">
        <v>11.166654325838911</v>
      </c>
      <c r="AY104" s="99">
        <v>7061.7921956605269</v>
      </c>
      <c r="AZ104" s="99">
        <v>7.6416966239035871</v>
      </c>
      <c r="BA104" s="99">
        <v>4832.608944956628</v>
      </c>
      <c r="BB104" s="99">
        <v>6.6596311943256152</v>
      </c>
      <c r="BC104" s="99">
        <v>4211.5507672915192</v>
      </c>
      <c r="BD104" s="99">
        <v>8.6299670433883868</v>
      </c>
      <c r="BE104" s="99">
        <v>5457.5911582388153</v>
      </c>
      <c r="BF104" s="99">
        <v>4.976693556228863</v>
      </c>
      <c r="BG104" s="99">
        <v>3147.2610049591331</v>
      </c>
      <c r="BH104" s="99">
        <v>13.806423053738127</v>
      </c>
      <c r="BI104" s="99">
        <v>8731.1819391839908</v>
      </c>
      <c r="BJ104" s="99">
        <v>3.4564159356274429</v>
      </c>
      <c r="BK104" s="99">
        <v>2185.837437690795</v>
      </c>
      <c r="BL104" s="99">
        <v>9.2124898188171027</v>
      </c>
      <c r="BM104" s="99">
        <v>5825.9785614199354</v>
      </c>
      <c r="BN104" s="99">
        <v>11</v>
      </c>
      <c r="BO104" s="99">
        <v>6956.4</v>
      </c>
      <c r="BP104" s="99">
        <v>11.62050993632355</v>
      </c>
      <c r="BQ104" s="99">
        <v>7348.8104837310129</v>
      </c>
      <c r="BR104" s="99">
        <v>4.4500593174744854</v>
      </c>
      <c r="BS104" s="99">
        <v>2814.2175123708644</v>
      </c>
      <c r="BT104" s="99">
        <v>9</v>
      </c>
      <c r="BU104" s="99">
        <v>5691.5999999999995</v>
      </c>
      <c r="BV104" s="99">
        <v>10.53395347908773</v>
      </c>
      <c r="BW104" s="99">
        <v>6661.67218017508</v>
      </c>
      <c r="BX104" s="99">
        <v>6.8997843303207151</v>
      </c>
      <c r="BY104" s="99">
        <v>4363.4236104948204</v>
      </c>
      <c r="BZ104" s="99">
        <v>9.1432229780741157</v>
      </c>
      <c r="CA104" s="99">
        <v>5782.1742113340706</v>
      </c>
      <c r="CB104" s="99">
        <v>8.3559998356617715</v>
      </c>
      <c r="CC104" s="99">
        <v>5284.334296072504</v>
      </c>
      <c r="CD104" s="99">
        <v>4.102737614647209</v>
      </c>
      <c r="CE104" s="99">
        <v>2594.5712675028949</v>
      </c>
      <c r="CF104" s="99">
        <v>6.6847998685294163</v>
      </c>
      <c r="CG104" s="99">
        <v>4227.4674368580027</v>
      </c>
      <c r="CH104" s="99">
        <v>7.8964198447003726</v>
      </c>
      <c r="CI104" s="99">
        <v>4993.6959097885156</v>
      </c>
      <c r="CJ104" s="99">
        <v>9</v>
      </c>
      <c r="CK104" s="99">
        <v>5691.5999999999995</v>
      </c>
      <c r="CL104" s="99">
        <v>6.7188175178606331</v>
      </c>
      <c r="CM104" s="99">
        <v>4248.9801982950639</v>
      </c>
      <c r="CN104" s="99">
        <v>6.2545899760002959</v>
      </c>
      <c r="CO104" s="99">
        <v>3955.4027008225871</v>
      </c>
      <c r="CP104" s="99">
        <v>9.1997124404276178</v>
      </c>
      <c r="CQ104" s="99">
        <v>5817.8981473264257</v>
      </c>
      <c r="CR104" s="99">
        <v>12</v>
      </c>
      <c r="CS104" s="99">
        <v>7588.7999999999993</v>
      </c>
      <c r="CT104" s="99">
        <v>10.759948310097476</v>
      </c>
      <c r="CU104" s="99">
        <v>6804.591311305644</v>
      </c>
    </row>
    <row r="105" spans="2:99">
      <c r="C105" s="98" t="s">
        <v>271</v>
      </c>
      <c r="D105" s="99">
        <v>7</v>
      </c>
      <c r="E105" s="99">
        <v>3897.5999999999995</v>
      </c>
      <c r="F105" s="99">
        <v>6</v>
      </c>
      <c r="G105" s="99">
        <v>3340.7999999999997</v>
      </c>
      <c r="H105" s="99">
        <v>9</v>
      </c>
      <c r="I105" s="99">
        <v>5011.2</v>
      </c>
      <c r="J105" s="99">
        <v>9</v>
      </c>
      <c r="K105" s="99">
        <v>5011.2</v>
      </c>
      <c r="L105" s="99">
        <v>7</v>
      </c>
      <c r="M105" s="99">
        <v>3897.5999999999995</v>
      </c>
      <c r="N105" s="99">
        <v>10</v>
      </c>
      <c r="O105" s="99">
        <v>5568</v>
      </c>
      <c r="P105" s="99">
        <v>5.2247318373227714</v>
      </c>
      <c r="Q105" s="99">
        <v>2909.1306870213189</v>
      </c>
      <c r="R105" s="99">
        <v>0</v>
      </c>
      <c r="S105" s="99">
        <v>0</v>
      </c>
      <c r="T105" s="99">
        <v>0</v>
      </c>
      <c r="U105" s="99">
        <v>0</v>
      </c>
      <c r="V105" s="99">
        <v>0</v>
      </c>
      <c r="W105" s="99">
        <v>0</v>
      </c>
      <c r="X105" s="99">
        <v>7.2890029335695763</v>
      </c>
      <c r="Y105" s="99">
        <v>4058.5168334115397</v>
      </c>
      <c r="Z105" s="99">
        <v>8.1943979520475558</v>
      </c>
      <c r="AA105" s="99">
        <v>4562.6407797000784</v>
      </c>
      <c r="AB105" s="99">
        <v>7.940533922045069</v>
      </c>
      <c r="AC105" s="99">
        <v>4421.2892877946942</v>
      </c>
      <c r="AD105" s="99">
        <v>4.1791861416282128</v>
      </c>
      <c r="AE105" s="99">
        <v>2326.9708436585888</v>
      </c>
      <c r="AF105" s="99">
        <v>6</v>
      </c>
      <c r="AG105" s="99">
        <v>3340.7999999999997</v>
      </c>
      <c r="AH105" s="99">
        <v>9</v>
      </c>
      <c r="AI105" s="99">
        <v>5011.2</v>
      </c>
      <c r="AJ105" s="99">
        <v>12</v>
      </c>
      <c r="AK105" s="99">
        <v>6681.5999999999995</v>
      </c>
      <c r="AL105" s="99">
        <v>12</v>
      </c>
      <c r="AM105" s="99">
        <v>6681.5999999999995</v>
      </c>
      <c r="AN105" s="99">
        <v>10.028136985683455</v>
      </c>
      <c r="AO105" s="99">
        <v>5583.666673628547</v>
      </c>
      <c r="AP105" s="99">
        <v>4.7383730197333964</v>
      </c>
      <c r="AQ105" s="99">
        <v>2638.3260973875549</v>
      </c>
      <c r="AR105" s="99">
        <v>10</v>
      </c>
      <c r="AS105" s="99">
        <v>5568</v>
      </c>
      <c r="AT105" s="99">
        <v>8</v>
      </c>
      <c r="AU105" s="99">
        <v>4454.3999999999996</v>
      </c>
      <c r="AV105" s="99">
        <v>11.184211155883984</v>
      </c>
      <c r="AW105" s="99">
        <v>6227.3687715962024</v>
      </c>
      <c r="AX105" s="99">
        <v>9.57141799357621</v>
      </c>
      <c r="AY105" s="99">
        <v>5329.3655388232337</v>
      </c>
      <c r="AZ105" s="99">
        <v>8.4907740265595422</v>
      </c>
      <c r="BA105" s="99">
        <v>4727.6629779883524</v>
      </c>
      <c r="BB105" s="99">
        <v>6.6596311943256152</v>
      </c>
      <c r="BC105" s="99">
        <v>3708.0826490005024</v>
      </c>
      <c r="BD105" s="99">
        <v>8.6299670433883868</v>
      </c>
      <c r="BE105" s="99">
        <v>4805.1656497586537</v>
      </c>
      <c r="BF105" s="99">
        <v>4.4790242006059771</v>
      </c>
      <c r="BG105" s="99">
        <v>2493.9206748974079</v>
      </c>
      <c r="BH105" s="99">
        <v>13.806423053738127</v>
      </c>
      <c r="BI105" s="99">
        <v>7687.4163563213888</v>
      </c>
      <c r="BJ105" s="99">
        <v>4.0324852582320165</v>
      </c>
      <c r="BK105" s="99">
        <v>2245.2877917835867</v>
      </c>
      <c r="BL105" s="99">
        <v>8.5544548317587381</v>
      </c>
      <c r="BM105" s="99">
        <v>4763.1204503232648</v>
      </c>
      <c r="BN105" s="99">
        <v>9</v>
      </c>
      <c r="BO105" s="99">
        <v>5011.2</v>
      </c>
      <c r="BP105" s="99">
        <v>9.960437088277331</v>
      </c>
      <c r="BQ105" s="99">
        <v>5545.9713707528172</v>
      </c>
      <c r="BR105" s="99">
        <v>4.8950652492219344</v>
      </c>
      <c r="BS105" s="99">
        <v>2725.5723307667727</v>
      </c>
      <c r="BT105" s="99">
        <v>9</v>
      </c>
      <c r="BU105" s="99">
        <v>5011.2</v>
      </c>
      <c r="BV105" s="99">
        <v>11.491585613550249</v>
      </c>
      <c r="BW105" s="99">
        <v>6398.5148696247779</v>
      </c>
      <c r="BX105" s="99">
        <v>6.8997843303207151</v>
      </c>
      <c r="BY105" s="99">
        <v>3841.799915122574</v>
      </c>
      <c r="BZ105" s="99">
        <v>9.9744250669899444</v>
      </c>
      <c r="CA105" s="99">
        <v>5553.7598773000009</v>
      </c>
      <c r="CB105" s="99">
        <v>7.5203998520955935</v>
      </c>
      <c r="CC105" s="99">
        <v>4187.3586376468265</v>
      </c>
      <c r="CD105" s="99">
        <v>4.102737614647209</v>
      </c>
      <c r="CE105" s="99">
        <v>2284.4043038355658</v>
      </c>
      <c r="CF105" s="99">
        <v>7.5203998520955935</v>
      </c>
      <c r="CG105" s="99">
        <v>4187.3586376468265</v>
      </c>
      <c r="CH105" s="99">
        <v>7.8964198447003726</v>
      </c>
      <c r="CI105" s="99">
        <v>4396.7265695291671</v>
      </c>
      <c r="CJ105" s="99">
        <v>10</v>
      </c>
      <c r="CK105" s="99">
        <v>5568</v>
      </c>
      <c r="CL105" s="99">
        <v>6.7188175178606331</v>
      </c>
      <c r="CM105" s="99">
        <v>3741.0375939448004</v>
      </c>
      <c r="CN105" s="99">
        <v>6.2545899760002959</v>
      </c>
      <c r="CO105" s="99">
        <v>3482.5556986369643</v>
      </c>
      <c r="CP105" s="99">
        <v>9.9663551437965872</v>
      </c>
      <c r="CQ105" s="99">
        <v>5549.2665440659393</v>
      </c>
      <c r="CR105" s="99">
        <v>12</v>
      </c>
      <c r="CS105" s="99">
        <v>6681.5999999999995</v>
      </c>
      <c r="CT105" s="99">
        <v>10.759948310097476</v>
      </c>
      <c r="CU105" s="99">
        <v>5991.1392190622746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450</v>
      </c>
      <c r="E109" s="99">
        <f>SUM(L$6:L$19)+SUM(N$6:N$19)+SUM(P$6:P$19)+SUM(R$6:R$19)</f>
        <v>338.45403503307551</v>
      </c>
      <c r="F109" s="99">
        <f>SUM(T$6:T$19)+SUM(V$6:V$19)+SUM(X$6:X$19)+SUM(Z$6:Z$19)</f>
        <v>446</v>
      </c>
      <c r="G109" s="99">
        <f>SUM(AB$6:AB$19)+SUM(AD$6:AD$19)+SUM(AF$6:AF$19)+SUM(AH$6:AH$19)</f>
        <v>411.7058738614088</v>
      </c>
      <c r="H109" s="99">
        <f>SUM(AJ$6:AJ$19)+SUM(AL$6:AL$19)+SUM(AN$6:AN$19)+SUM(AP$6:AP$19)</f>
        <v>464</v>
      </c>
      <c r="I109" s="99">
        <f>SUM(AR$6:AR$19)+SUM(AT$6:AT$19)+SUM(AV$6:AV$19)+SUM(AX$6:AX$19)</f>
        <v>361.75567042164982</v>
      </c>
      <c r="J109" s="99">
        <f>SUM(AZ$6:AZ$19)+SUM(BB$6:BB$19)+SUM(BD$6:BD$19)+SUM(BF$6:BF$19)</f>
        <v>433.68383415293505</v>
      </c>
      <c r="K109" s="99">
        <f>SUM(BH$6:BH$19)+SUM(BJ$6:BJ$19)+SUM(BL$6:BL$19)+SUM(BN$6:BN$19)</f>
        <v>427.14879800873467</v>
      </c>
      <c r="L109" s="99">
        <f>SUM(BP$6:BP$19)+SUM(BR$6:BR$19)+SUM(BT$6:BT$19)+SUM(BV$6:BV$19)</f>
        <v>473.1423507333468</v>
      </c>
      <c r="M109" s="99">
        <f>SUM(BX$6:BX$19)+SUM(BZ$6:BZ$19)+SUM(CB$6:CB$19)+SUM(CD$6:CD$19)</f>
        <v>540.7754838638707</v>
      </c>
      <c r="N109" s="99">
        <f>SUM(CF$6:CF$19)+SUM(CH$6:CH$19)+SUM(CJ$6:CJ$19)+SUM(CL$6:CL$19)</f>
        <v>310.98331263714789</v>
      </c>
      <c r="O109" s="99">
        <f>SUM(CN$6:CN$19)+SUM(CP$6:CP$19)+SUM(CR$6:CR$19)+SUM(CT$6:CT$19)</f>
        <v>441</v>
      </c>
    </row>
    <row r="110" spans="2:99">
      <c r="C110" s="98" t="s">
        <v>127</v>
      </c>
      <c r="D110" s="99">
        <f>SUM(D$20:D$36)+SUM(F$20:F$36)+SUM(H$20:H$36)+SUM(J$20:J$36)</f>
        <v>953</v>
      </c>
      <c r="E110" s="99">
        <f>SUM(L$20:L$36)+SUM(N$20:N$36)+SUM(P$20:P$36)+SUM(R$20:R$36)</f>
        <v>1039.0950976366346</v>
      </c>
      <c r="F110" s="99">
        <f>SUM(T$20:T$36)+SUM(V$20:V$36)+SUM(X$20:X$36)+SUM(Z$20:Z$36)</f>
        <v>1115</v>
      </c>
      <c r="G110" s="99">
        <f>SUM(AB$20:AB$36)+SUM(AD$20:AD$36)+SUM(AF$20:AF$36)+SUM(AH$20:AH$36)</f>
        <v>830.31381195304425</v>
      </c>
      <c r="H110" s="99">
        <f>SUM(AJ$20:AJ$36)+SUM(AL$20:AL$36)+SUM(AN$20:AN$36)+SUM(AP$20:AP$36)</f>
        <v>1058</v>
      </c>
      <c r="I110" s="99">
        <f>SUM(AR$20:AR$36)+SUM(AT$20:AT$36)+SUM(AV$20:AV$36)+SUM(AX$20:AX$36)</f>
        <v>909.38828317772675</v>
      </c>
      <c r="J110" s="99">
        <f>SUM(AZ$20:AZ$36)+SUM(BB$20:BB$36)+SUM(BD$20:BD$36)+SUM(BF$20:BF$36)</f>
        <v>1075.3624568889459</v>
      </c>
      <c r="K110" s="99">
        <f>SUM(BH$20:BH$36)+SUM(BJ$20:BJ$36)+SUM(BL$20:BL$36)+SUM(BN$20:BN$36)</f>
        <v>861.05038864537914</v>
      </c>
      <c r="L110" s="99">
        <f>SUM(BP$20:BP$36)+SUM(BR$20:BR$36)+SUM(BT$20:BT$36)+SUM(BV$20:BV$36)</f>
        <v>1129.161612485193</v>
      </c>
      <c r="M110" s="99">
        <f>SUM(BX$20:BX$36)+SUM(BZ$20:BZ$36)+SUM(CB$20:CB$36)+SUM(CD$20:CD$36)</f>
        <v>1195.2129435304228</v>
      </c>
      <c r="N110" s="99">
        <f>SUM(CF$20:CF$36)+SUM(CH$20:CH$36)+SUM(CJ$20:CJ$36)+SUM(CL$20:CL$36)</f>
        <v>800.14317873481309</v>
      </c>
      <c r="O110" s="99">
        <f>SUM(CN$20:CN$36)+SUM(CP$20:CP$36)+SUM(CR$20:CR$36)+SUM(CT$20:CT$36)</f>
        <v>1113</v>
      </c>
    </row>
    <row r="111" spans="2:99">
      <c r="C111" s="98" t="s">
        <v>128</v>
      </c>
      <c r="D111" s="99">
        <f>SUM(D$37:D$48)+SUM(F$37:F$48)+SUM(H$37:H$48)+SUM(J$37:J$48)</f>
        <v>529</v>
      </c>
      <c r="E111" s="99">
        <f>SUM(L$37:L$48)+SUM(N$37:N$48)+SUM(P$37:P$48)+SUM(R$37:R$48)</f>
        <v>402.52645605292082</v>
      </c>
      <c r="F111" s="99">
        <f>SUM(T$37:T$48)+SUM(V$37:V$48)+SUM(X$37:X$48)+SUM(Z$37:Z$48)</f>
        <v>534</v>
      </c>
      <c r="G111" s="99">
        <f>SUM(AB$37:AB$48)+SUM(AD$37:AD$48)+SUM(AF$37:AF$48)+SUM(AH$37:AH$48)</f>
        <v>504.85646907338077</v>
      </c>
      <c r="H111" s="99">
        <f>SUM(AJ$37:AJ$48)+SUM(AL$37:AL$48)+SUM(AN$37:AN$48)+SUM(AP$37:AP$48)</f>
        <v>571</v>
      </c>
      <c r="I111" s="99">
        <f>SUM(AR$37:AR$48)+SUM(AT$37:AT$48)+SUM(AV$37:AV$48)+SUM(AX$37:AX$48)</f>
        <v>381.36775710584214</v>
      </c>
      <c r="J111" s="99">
        <f>SUM(AZ$37:AZ$48)+SUM(BB$37:BB$48)+SUM(BD$37:BD$48)+SUM(BF$37:BF$48)</f>
        <v>403.83814329714204</v>
      </c>
      <c r="K111" s="99">
        <f>SUM(BH$37:BH$48)+SUM(BJ$37:BJ$48)+SUM(BL$37:BL$48)+SUM(BN$37:BN$48)</f>
        <v>446.3482273488525</v>
      </c>
      <c r="L111" s="99">
        <f>SUM(BP$37:BP$48)+SUM(BR$37:BR$48)+SUM(BT$37:BT$48)+SUM(BV$37:BV$48)</f>
        <v>509.14482632523675</v>
      </c>
      <c r="M111" s="99">
        <f>SUM(BX$37:BX$48)+SUM(BZ$37:BZ$48)+SUM(CB$37:CB$48)+SUM(CD$37:CD$48)</f>
        <v>424.85584676864903</v>
      </c>
      <c r="N111" s="99">
        <f>SUM(CF$37:CF$48)+SUM(CH$37:CH$48)+SUM(CJ$37:CJ$48)+SUM(CL$37:CL$48)</f>
        <v>282.26810900116891</v>
      </c>
      <c r="O111" s="99">
        <f>SUM(CN$37:CN$48)+SUM(CP$37:CP$48)+SUM(CR$37:CR$48)+SUM(CT$37:CT$48)</f>
        <v>585</v>
      </c>
    </row>
    <row r="112" spans="2:99">
      <c r="C112" s="98" t="s">
        <v>129</v>
      </c>
      <c r="D112" s="99">
        <f>SUM(D$49:D$70)+SUM(F$49:F$70)+SUM(H$49:H$70)+SUM(J$49:J$70)</f>
        <v>725</v>
      </c>
      <c r="E112" s="99">
        <f>SUM(L$49:L$70)+SUM(N$49:N$70)+SUM(P$49:P$70)+SUM(R$49:R$70)</f>
        <v>611.08600747148785</v>
      </c>
      <c r="F112" s="99">
        <f>SUM(T$49:T$70)+SUM(V$49:V$70)+SUM(X$49:X$70)+SUM(Z$49:Z$70)</f>
        <v>701.22049166393253</v>
      </c>
      <c r="G112" s="99">
        <f>SUM(AB$49:AB$70)+SUM(AD$49:AD$70)+SUM(AF$49:AF$70)+SUM(AH$49:AH$70)</f>
        <v>665.21390293260993</v>
      </c>
      <c r="H112" s="99">
        <f>SUM(AJ$49:AJ$70)+SUM(AL$49:AL$70)+SUM(AN$49:AN$70)+SUM(AP$49:AP$70)</f>
        <v>669.97184554295984</v>
      </c>
      <c r="I112" s="99">
        <f>SUM(AR$49:AR$70)+SUM(AT$49:AT$70)+SUM(AV$49:AV$70)+SUM(AX$49:AX$70)</f>
        <v>655.47594572906996</v>
      </c>
      <c r="J112" s="99">
        <f>SUM(AZ$49:AZ$70)+SUM(BB$49:BB$70)+SUM(BD$49:BD$70)+SUM(BF$49:BF$70)</f>
        <v>481.48378960589923</v>
      </c>
      <c r="K112" s="99">
        <f>SUM(BH$49:BH$70)+SUM(BJ$49:BJ$70)+SUM(BL$49:BL$70)+SUM(BN$49:BN$70)</f>
        <v>603.20082423122335</v>
      </c>
      <c r="L112" s="99">
        <f>SUM(BP$49:BP$70)+SUM(BR$49:BR$70)+SUM(BT$49:BT$70)+SUM(BV$49:BV$70)</f>
        <v>798.80500931826259</v>
      </c>
      <c r="M112" s="99">
        <f>SUM(BX$49:BX$70)+SUM(BZ$49:BZ$70)+SUM(CB$49:CB$70)+SUM(CD$49:CD$70)</f>
        <v>660.13813561018515</v>
      </c>
      <c r="N112" s="99">
        <f>SUM(CF$49:CF$70)+SUM(CH$49:CH$70)+SUM(CJ$49:CJ$70)+SUM(CL$49:CL$70)</f>
        <v>592.70908950218018</v>
      </c>
      <c r="O112" s="99">
        <f>SUM(CN$49:CN$70)+SUM(CP$49:CP$70)+SUM(CR$49:CR$70)+SUM(CT$49:CT$70)</f>
        <v>713.92915055570052</v>
      </c>
    </row>
    <row r="113" spans="2:15">
      <c r="C113" s="98" t="s">
        <v>130</v>
      </c>
      <c r="D113" s="99">
        <f>SUM(D$71:D$86)+SUM(F$71:F$86)+SUM(H$71:H$86)+SUM(J$71:J$86)</f>
        <v>686</v>
      </c>
      <c r="E113" s="99">
        <f>SUM(L$71:L$86)+SUM(N$71:N$86)+SUM(P$71:P$86)+SUM(R$71:R$86)</f>
        <v>735</v>
      </c>
      <c r="F113" s="99">
        <f>SUM(T$71:T$86)+SUM(V$71:V$86)+SUM(X$71:X$86)+SUM(Z$71:Z$86)</f>
        <v>583.24497187322777</v>
      </c>
      <c r="G113" s="99">
        <f>SUM(AB$71:AB$86)+SUM(AD$71:AD$86)+SUM(AF$71:AF$86)+SUM(AH$71:AH$86)</f>
        <v>686.74769776729454</v>
      </c>
      <c r="H113" s="99">
        <f>SUM(AJ$71:AJ$86)+SUM(AL$71:AL$86)+SUM(AN$71:AN$86)+SUM(AP$71:AP$86)</f>
        <v>652.34619907821116</v>
      </c>
      <c r="I113" s="99">
        <f>SUM(AR$71:AR$86)+SUM(AT$71:AT$86)+SUM(AV$71:AV$86)+SUM(AX$71:AX$86)</f>
        <v>726.93394648336255</v>
      </c>
      <c r="J113" s="99">
        <f>SUM(AZ$71:AZ$86)+SUM(BB$71:BB$86)+SUM(BD$71:BD$86)+SUM(BF$71:BF$86)</f>
        <v>464.6701761022282</v>
      </c>
      <c r="K113" s="99">
        <f>SUM(BH$71:BH$86)+SUM(BJ$71:BJ$86)+SUM(BL$71:BL$86)+SUM(BN$71:BN$86)</f>
        <v>754</v>
      </c>
      <c r="L113" s="99">
        <f>SUM(BP$71:BP$86)+SUM(BR$71:BR$86)+SUM(BT$71:BT$86)+SUM(BV$71:BV$86)</f>
        <v>696</v>
      </c>
      <c r="M113" s="99">
        <f>SUM(BX$71:BX$86)+SUM(BZ$71:BZ$86)+SUM(CB$71:CB$86)+SUM(CD$71:CD$86)</f>
        <v>535.01616663967206</v>
      </c>
      <c r="N113" s="99">
        <f>SUM(CF$71:CF$86)+SUM(CH$71:CH$86)+SUM(CJ$71:CJ$86)+SUM(CL$71:CL$86)</f>
        <v>801</v>
      </c>
      <c r="O113" s="99">
        <f>SUM(CN$71:CN$86)+SUM(CP$71:CP$86)+SUM(CR$71:CR$86)+SUM(CT$71:CT$86)</f>
        <v>693</v>
      </c>
    </row>
    <row r="114" spans="2:15">
      <c r="C114" s="98" t="s">
        <v>131</v>
      </c>
      <c r="D114" s="99">
        <f>SUM(D$87:D$94)+SUM(F$87:F$94)+SUM(H$87:H$94)+SUM(J$87:J$94)</f>
        <v>285</v>
      </c>
      <c r="E114" s="99">
        <f>SUM(L$87:L$94)+SUM(N$87:N$94)+SUM(P$87:P$94)+SUM(R$87:R$94)</f>
        <v>152.94668758772937</v>
      </c>
      <c r="F114" s="99">
        <f>SUM(T$87:T$94)+SUM(V$87:V$94)+SUM(X$87:X$94)+SUM(Z$87:Z$94)</f>
        <v>111.04268777257172</v>
      </c>
      <c r="G114" s="99">
        <f>SUM(AB$87:AB$94)+SUM(AD$87:AD$94)+SUM(AF$87:AF$94)+SUM(AH$87:AH$94)</f>
        <v>175.60732984880565</v>
      </c>
      <c r="H114" s="99">
        <f>SUM(AJ$87:AJ$94)+SUM(AL$87:AL$94)+SUM(AN$87:AN$94)+SUM(AP$87:AP$94)</f>
        <v>180.51631187982866</v>
      </c>
      <c r="I114" s="99">
        <f>SUM(AR$87:AR$94)+SUM(AT$87:AT$94)+SUM(AV$87:AV$94)+SUM(AX$87:AX$94)</f>
        <v>223.4952626692544</v>
      </c>
      <c r="J114" s="99">
        <f>SUM(AZ$87:AZ$94)+SUM(BB$87:BB$94)+SUM(BD$87:BD$94)+SUM(BF$87:BF$94)</f>
        <v>204.29462031628361</v>
      </c>
      <c r="K114" s="99">
        <f>SUM(BH$87:BH$94)+SUM(BJ$87:BJ$94)+SUM(BL$87:BL$94)+SUM(BN$87:BN$94)</f>
        <v>210.73394017448192</v>
      </c>
      <c r="L114" s="99">
        <f>SUM(BP$87:BP$94)+SUM(BR$87:BR$94)+SUM(BT$87:BT$94)+SUM(BV$87:BV$94)</f>
        <v>221.5653351607271</v>
      </c>
      <c r="M114" s="99">
        <f>SUM(BX$87:BX$94)+SUM(BZ$87:BZ$94)+SUM(CB$87:CB$94)+SUM(CD$87:CD$94)</f>
        <v>191.78723665455854</v>
      </c>
      <c r="N114" s="99">
        <f>SUM(CF$87:CF$94)+SUM(CH$87:CH$94)+SUM(CJ$87:CJ$94)+SUM(CL$87:CL$94)</f>
        <v>216.86784109170134</v>
      </c>
      <c r="O114" s="99">
        <f>SUM(CN$87:CN$94)+SUM(CP$87:CP$94)+SUM(CR$87:CR$94)+SUM(CT$87:CT$94)</f>
        <v>232.38467340601755</v>
      </c>
    </row>
    <row r="115" spans="2:15">
      <c r="C115" s="98" t="s">
        <v>132</v>
      </c>
      <c r="D115" s="99">
        <f>SUM(D$95:D$105)+SUM(F$95:F$105)+SUM(H$95:H$105)+SUM(J$95:J$105)</f>
        <v>331</v>
      </c>
      <c r="E115" s="99">
        <f>SUM(L$95:L$105)+SUM(N$95:N$105)+SUM(P$95:P$105)+SUM(R$95:R$105)</f>
        <v>245.60126157099668</v>
      </c>
      <c r="F115" s="99">
        <f>SUM(T$95:T$105)+SUM(V$95:V$105)+SUM(X$95:X$105)+SUM(Z$95:Z$105)</f>
        <v>181.81630849967337</v>
      </c>
      <c r="G115" s="99">
        <f>SUM(AB$95:AB$105)+SUM(AD$95:AD$105)+SUM(AF$95:AF$105)+SUM(AH$95:AH$105)</f>
        <v>306.59242783272043</v>
      </c>
      <c r="H115" s="99">
        <f>SUM(AJ$95:AJ$105)+SUM(AL$95:AL$105)+SUM(AN$95:AN$105)+SUM(AP$95:AP$105)</f>
        <v>413.64065168434365</v>
      </c>
      <c r="I115" s="99">
        <f>SUM(AR$95:AR$105)+SUM(AT$95:AT$105)+SUM(AV$95:AV$105)+SUM(AX$95:AX$105)</f>
        <v>419.30157685187919</v>
      </c>
      <c r="J115" s="99">
        <f>SUM(AZ$95:AZ$105)+SUM(BB$95:BB$105)+SUM(BD$95:BD$105)+SUM(BF$95:BF$105)</f>
        <v>311.8882528086757</v>
      </c>
      <c r="K115" s="99">
        <f>SUM(BH$95:BH$105)+SUM(BJ$95:BJ$105)+SUM(BL$95:BL$105)+SUM(BN$95:BN$105)</f>
        <v>390.8587434885456</v>
      </c>
      <c r="L115" s="99">
        <f>SUM(BP$95:BP$105)+SUM(BR$95:BR$105)+SUM(BT$95:BT$105)+SUM(BV$95:BV$105)</f>
        <v>396.47810978862128</v>
      </c>
      <c r="M115" s="99">
        <f>SUM(BX$95:BX$105)+SUM(BZ$95:BZ$105)+SUM(CB$95:CB$105)+SUM(CD$95:CD$105)</f>
        <v>316.45312894357716</v>
      </c>
      <c r="N115" s="99">
        <f>SUM(CF$95:CF$105)+SUM(CH$95:CH$105)+SUM(CJ$95:CJ$105)+SUM(CL$95:CL$105)</f>
        <v>348.56106305453147</v>
      </c>
      <c r="O115" s="99">
        <f>SUM(CN$95:CN$105)+SUM(CP$95:CP$105)+SUM(CR$95:CR$105)+SUM(CT$95:CT$105)</f>
        <v>419.22203940805139</v>
      </c>
    </row>
    <row r="116" spans="2:15">
      <c r="C116" s="98" t="s">
        <v>278</v>
      </c>
      <c r="D116" s="99">
        <f t="shared" ref="D116:O116" si="0">SUM(D$109:D$115)</f>
        <v>3959</v>
      </c>
      <c r="E116" s="99">
        <f t="shared" si="0"/>
        <v>3524.7095453528445</v>
      </c>
      <c r="F116" s="99">
        <f t="shared" si="0"/>
        <v>3672.3244598094052</v>
      </c>
      <c r="G116" s="99">
        <f t="shared" si="0"/>
        <v>3581.0375132692643</v>
      </c>
      <c r="H116" s="99">
        <f t="shared" si="0"/>
        <v>4009.4750081853431</v>
      </c>
      <c r="I116" s="99">
        <f t="shared" si="0"/>
        <v>3677.7184424387842</v>
      </c>
      <c r="J116" s="99">
        <f t="shared" si="0"/>
        <v>3375.2212731721097</v>
      </c>
      <c r="K116" s="99">
        <f t="shared" si="0"/>
        <v>3693.3409218972174</v>
      </c>
      <c r="L116" s="99">
        <f t="shared" si="0"/>
        <v>4224.2972438113875</v>
      </c>
      <c r="M116" s="99">
        <f t="shared" si="0"/>
        <v>3864.2389420109353</v>
      </c>
      <c r="N116" s="99">
        <f t="shared" si="0"/>
        <v>3352.532594021543</v>
      </c>
      <c r="O116" s="99">
        <f t="shared" si="0"/>
        <v>4197.5358633697688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D109*pricing!D15*2000</f>
        <v>3150000</v>
      </c>
      <c r="E120" s="99">
        <f>E109*pricing!E15*2000</f>
        <v>2369178.2452315288</v>
      </c>
      <c r="F120" s="99">
        <f>F109*pricing!F15*2000</f>
        <v>3122000</v>
      </c>
      <c r="G120" s="99">
        <f>G109*pricing!G15*2000</f>
        <v>2881941.1170298615</v>
      </c>
      <c r="H120" s="99">
        <f>H109*pricing!H15*2000</f>
        <v>3248000</v>
      </c>
      <c r="I120" s="99">
        <f>I109*pricing!I15*2000</f>
        <v>2532289.6929515488</v>
      </c>
      <c r="J120" s="99">
        <f>J109*pricing!J15*2000</f>
        <v>3035786.8390705455</v>
      </c>
      <c r="K120" s="99">
        <f>K109*pricing!K15*2000</f>
        <v>2990041.5860611429</v>
      </c>
      <c r="L120" s="99">
        <f>L109*pricing!L15*2000</f>
        <v>3311996.4551334279</v>
      </c>
      <c r="M120" s="99">
        <f>M109*pricing!M15*2000</f>
        <v>3785428.3870470948</v>
      </c>
      <c r="N120" s="99">
        <f>N109*pricing!N15*2000</f>
        <v>2176883.1884600352</v>
      </c>
      <c r="O120" s="99">
        <f>O109*pricing!O15*2000</f>
        <v>3087000</v>
      </c>
    </row>
    <row r="121" spans="2:15">
      <c r="C121" s="98" t="s">
        <v>127</v>
      </c>
      <c r="D121" s="99">
        <f>D110*pricing!D16*2000</f>
        <v>6671000</v>
      </c>
      <c r="E121" s="99">
        <f>E110*pricing!E16*2000</f>
        <v>7273665.6834564423</v>
      </c>
      <c r="F121" s="99">
        <f>F110*pricing!F16*2000</f>
        <v>7805000</v>
      </c>
      <c r="G121" s="99">
        <f>G110*pricing!G16*2000</f>
        <v>5812196.6836713096</v>
      </c>
      <c r="H121" s="99">
        <f>H110*pricing!H16*2000</f>
        <v>7406000</v>
      </c>
      <c r="I121" s="99">
        <f>I110*pricing!I16*2000</f>
        <v>6365717.9822440874</v>
      </c>
      <c r="J121" s="99">
        <f>J110*pricing!J16*2000</f>
        <v>7527537.1982226204</v>
      </c>
      <c r="K121" s="99">
        <f>K110*pricing!K16*2000</f>
        <v>6027352.720517654</v>
      </c>
      <c r="L121" s="99">
        <f>L110*pricing!L16*2000</f>
        <v>7904131.2873963509</v>
      </c>
      <c r="M121" s="99">
        <f>M110*pricing!M16*2000</f>
        <v>8366490.6047129584</v>
      </c>
      <c r="N121" s="99">
        <f>N110*pricing!N16*2000</f>
        <v>5601002.2511436921</v>
      </c>
      <c r="O121" s="99">
        <f>O110*pricing!O16*2000</f>
        <v>7791000</v>
      </c>
    </row>
    <row r="122" spans="2:15">
      <c r="C122" s="98" t="s">
        <v>128</v>
      </c>
      <c r="D122" s="99">
        <f>D111*pricing!D17*2000</f>
        <v>3703000</v>
      </c>
      <c r="E122" s="99">
        <f>E111*pricing!E17*2000</f>
        <v>2817685.1923704459</v>
      </c>
      <c r="F122" s="99">
        <f>F111*pricing!F17*2000</f>
        <v>3738000</v>
      </c>
      <c r="G122" s="99">
        <f>G111*pricing!G17*2000</f>
        <v>3533995.2835136657</v>
      </c>
      <c r="H122" s="99">
        <f>H111*pricing!H17*2000</f>
        <v>3997000</v>
      </c>
      <c r="I122" s="99">
        <f>I111*pricing!I17*2000</f>
        <v>2669574.2997408952</v>
      </c>
      <c r="J122" s="99">
        <f>J111*pricing!J17*2000</f>
        <v>2826867.0030799946</v>
      </c>
      <c r="K122" s="99">
        <f>K111*pricing!K17*2000</f>
        <v>3124437.5914419675</v>
      </c>
      <c r="L122" s="99">
        <f>L111*pricing!L17*2000</f>
        <v>3564013.7842766573</v>
      </c>
      <c r="M122" s="99">
        <f>M111*pricing!M17*2000</f>
        <v>2973990.9273805432</v>
      </c>
      <c r="N122" s="99">
        <f>N111*pricing!N17*2000</f>
        <v>1975876.7630081824</v>
      </c>
      <c r="O122" s="99">
        <f>O111*pricing!O17*2000</f>
        <v>4095000</v>
      </c>
    </row>
    <row r="123" spans="2:15">
      <c r="C123" s="98" t="s">
        <v>129</v>
      </c>
      <c r="D123" s="99">
        <f>D112*pricing!D18*2000</f>
        <v>5075000</v>
      </c>
      <c r="E123" s="99">
        <f>E112*pricing!E18*2000</f>
        <v>4277602.052300415</v>
      </c>
      <c r="F123" s="99">
        <f>F112*pricing!F18*2000</f>
        <v>4908543.4416475277</v>
      </c>
      <c r="G123" s="99">
        <f>G112*pricing!G18*2000</f>
        <v>4656497.3205282697</v>
      </c>
      <c r="H123" s="99">
        <f>H112*pricing!H18*2000</f>
        <v>4689802.9188007182</v>
      </c>
      <c r="I123" s="99">
        <f>I112*pricing!I18*2000</f>
        <v>4588331.6201034896</v>
      </c>
      <c r="J123" s="99">
        <f>J112*pricing!J18*2000</f>
        <v>3370386.5272412947</v>
      </c>
      <c r="K123" s="99">
        <f>K112*pricing!K18*2000</f>
        <v>4222405.7696185634</v>
      </c>
      <c r="L123" s="99">
        <f>L112*pricing!L18*2000</f>
        <v>5591635.0652278382</v>
      </c>
      <c r="M123" s="99">
        <f>M112*pricing!M18*2000</f>
        <v>4620966.9492712962</v>
      </c>
      <c r="N123" s="99">
        <f>N112*pricing!N18*2000</f>
        <v>4148963.6265152614</v>
      </c>
      <c r="O123" s="99">
        <f>O112*pricing!O18*2000</f>
        <v>4997504.0538899042</v>
      </c>
    </row>
    <row r="124" spans="2:15">
      <c r="C124" s="98" t="s">
        <v>130</v>
      </c>
      <c r="D124" s="99">
        <f>D113*pricing!D19*2000</f>
        <v>4802000</v>
      </c>
      <c r="E124" s="99">
        <f>E113*pricing!E19*2000</f>
        <v>5145000</v>
      </c>
      <c r="F124" s="99">
        <f>F113*pricing!F19*2000</f>
        <v>4082714.8031125944</v>
      </c>
      <c r="G124" s="99">
        <f>G113*pricing!G19*2000</f>
        <v>4807233.8843710618</v>
      </c>
      <c r="H124" s="99">
        <f>H113*pricing!H19*2000</f>
        <v>4566423.3935474781</v>
      </c>
      <c r="I124" s="99">
        <f>I113*pricing!I19*2000</f>
        <v>5088537.6253835373</v>
      </c>
      <c r="J124" s="99">
        <f>J113*pricing!J19*2000</f>
        <v>3252691.2327155974</v>
      </c>
      <c r="K124" s="99">
        <f>K113*pricing!K19*2000</f>
        <v>5278000</v>
      </c>
      <c r="L124" s="99">
        <f>L113*pricing!L19*2000</f>
        <v>4872000</v>
      </c>
      <c r="M124" s="99">
        <f>M113*pricing!M19*2000</f>
        <v>3745113.1664777044</v>
      </c>
      <c r="N124" s="99">
        <f>N113*pricing!N19*2000</f>
        <v>5607000</v>
      </c>
      <c r="O124" s="99">
        <f>O113*pricing!O19*2000</f>
        <v>4851000</v>
      </c>
    </row>
    <row r="125" spans="2:15">
      <c r="C125" s="98" t="s">
        <v>131</v>
      </c>
      <c r="D125" s="99">
        <f>D114*pricing!D20*2000</f>
        <v>1995000</v>
      </c>
      <c r="E125" s="99">
        <f>E114*pricing!E20*2000</f>
        <v>1070626.8131141055</v>
      </c>
      <c r="F125" s="99">
        <f>F114*pricing!F20*2000</f>
        <v>777298.81440800207</v>
      </c>
      <c r="G125" s="99">
        <f>G114*pricing!G20*2000</f>
        <v>1229251.3089416395</v>
      </c>
      <c r="H125" s="99">
        <f>H114*pricing!H20*2000</f>
        <v>1263614.1831588007</v>
      </c>
      <c r="I125" s="99">
        <f>I114*pricing!I20*2000</f>
        <v>1564466.838684781</v>
      </c>
      <c r="J125" s="99">
        <f>J114*pricing!J20*2000</f>
        <v>1430062.3422139853</v>
      </c>
      <c r="K125" s="99">
        <f>K114*pricing!K20*2000</f>
        <v>1475137.5812213735</v>
      </c>
      <c r="L125" s="99">
        <f>L114*pricing!L20*2000</f>
        <v>1550957.3461250898</v>
      </c>
      <c r="M125" s="99">
        <f>M114*pricing!M20*2000</f>
        <v>1342510.6565819099</v>
      </c>
      <c r="N125" s="99">
        <f>N114*pricing!N20*2000</f>
        <v>1518074.8876419093</v>
      </c>
      <c r="O125" s="99">
        <f>O114*pricing!O20*2000</f>
        <v>1626692.7138421228</v>
      </c>
    </row>
    <row r="126" spans="2:15">
      <c r="C126" s="98" t="s">
        <v>132</v>
      </c>
      <c r="D126" s="99">
        <f>D115*pricing!D21*2000</f>
        <v>2317000</v>
      </c>
      <c r="E126" s="99">
        <f>E115*pricing!E21*2000</f>
        <v>1719208.8309969767</v>
      </c>
      <c r="F126" s="99">
        <f>F115*pricing!F21*2000</f>
        <v>1272714.1594977137</v>
      </c>
      <c r="G126" s="99">
        <f>G115*pricing!G21*2000</f>
        <v>2146146.9948290433</v>
      </c>
      <c r="H126" s="99">
        <f>H115*pricing!H21*2000</f>
        <v>2895484.5617904058</v>
      </c>
      <c r="I126" s="99">
        <f>I115*pricing!I21*2000</f>
        <v>2935111.0379631547</v>
      </c>
      <c r="J126" s="99">
        <f>J115*pricing!J21*2000</f>
        <v>2183217.7696607299</v>
      </c>
      <c r="K126" s="99">
        <f>K115*pricing!K21*2000</f>
        <v>2736011.2044198192</v>
      </c>
      <c r="L126" s="99">
        <f>L115*pricing!L21*2000</f>
        <v>2775346.7685203492</v>
      </c>
      <c r="M126" s="99">
        <f>M115*pricing!M21*2000</f>
        <v>2215171.90260504</v>
      </c>
      <c r="N126" s="99">
        <f>N115*pricing!N21*2000</f>
        <v>2439927.4413817204</v>
      </c>
      <c r="O126" s="99">
        <f>O115*pricing!O21*2000</f>
        <v>2934554.2758563599</v>
      </c>
    </row>
    <row r="127" spans="2:15">
      <c r="C127" s="98" t="s">
        <v>278</v>
      </c>
      <c r="D127" s="99">
        <f t="shared" ref="D127:O127" si="1">SUM(D$120:D$126)</f>
        <v>27713000</v>
      </c>
      <c r="E127" s="99">
        <f t="shared" si="1"/>
        <v>24672966.817469914</v>
      </c>
      <c r="F127" s="99">
        <f t="shared" si="1"/>
        <v>25706271.218665838</v>
      </c>
      <c r="G127" s="99">
        <f t="shared" si="1"/>
        <v>25067262.59288485</v>
      </c>
      <c r="H127" s="99">
        <f t="shared" si="1"/>
        <v>28066325.057297405</v>
      </c>
      <c r="I127" s="99">
        <f t="shared" si="1"/>
        <v>25744029.097071495</v>
      </c>
      <c r="J127" s="99">
        <f t="shared" si="1"/>
        <v>23626548.912204769</v>
      </c>
      <c r="K127" s="99">
        <f t="shared" si="1"/>
        <v>25853386.453280516</v>
      </c>
      <c r="L127" s="99">
        <f t="shared" si="1"/>
        <v>29570080.706679709</v>
      </c>
      <c r="M127" s="99">
        <f t="shared" si="1"/>
        <v>27049672.594076544</v>
      </c>
      <c r="N127" s="99">
        <f t="shared" si="1"/>
        <v>23467728.1581508</v>
      </c>
      <c r="O127" s="99">
        <f t="shared" si="1"/>
        <v>29382751.043588389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226653.59999999998</v>
      </c>
      <c r="E131" s="105">
        <f>SUM(M$6:M$19)+SUM(O$6:O$19)+SUM(Q$6:Q$19)+SUM(S$6:S$19)</f>
        <v>170437.46413685245</v>
      </c>
      <c r="F131" s="105">
        <f>SUM(U$6:U$19)+SUM(W$6:W$19)+SUM(Y$6:Y$19)+SUM(AA$6:AA$19)</f>
        <v>224925.59999999998</v>
      </c>
      <c r="G131" s="105">
        <f>SUM(AC$6:AC$19)+SUM(AE$6:AE$19)+SUM(AG$6:AG$19)+SUM(AI$6:AI$19)</f>
        <v>206147.95878049385</v>
      </c>
      <c r="H131" s="105">
        <f>SUM(AK$6:AK$19)+SUM(AM$6:AM$19)+SUM(AO$6:AO$19)+SUM(AQ$6:AQ$19)</f>
        <v>234584.39999999997</v>
      </c>
      <c r="I131" s="105">
        <f>SUM(AS$6:AS$19)+SUM(AU$6:AU$19)+SUM(AW$6:AW$19)+SUM(AY$6:AY$19)</f>
        <v>182961.47932954441</v>
      </c>
      <c r="J131" s="105">
        <f>SUM(BA$6:BA$19)+SUM(BC$6:BC$19)+SUM(BE$6:BE$19)+SUM(BG$6:BG$19)</f>
        <v>218965.69023612421</v>
      </c>
      <c r="K131" s="105">
        <f>SUM(BI$6:BI$19)+SUM(BK$6:BK$19)+SUM(BM$6:BM$19)+SUM(BO$6:BO$19)</f>
        <v>215673.82025260804</v>
      </c>
      <c r="L131" s="105">
        <f>SUM(BQ$6:BQ$19)+SUM(BS$6:BS$19)+SUM(BU$6:BU$19)+SUM(BW$6:BW$19)</f>
        <v>239394.68134588999</v>
      </c>
      <c r="M131" s="105">
        <f>SUM(BY$6:BY$19)+SUM(CA$6:CA$19)+SUM(CC$6:CC$19)+SUM(CE$6:CE$19)</f>
        <v>272780.85812544788</v>
      </c>
      <c r="N131" s="105">
        <f>SUM(CG$6:CG$19)+SUM(CI$6:CI$19)+SUM(CK$6:CK$19)+SUM(CM$6:CM$19)</f>
        <v>157242.28665037907</v>
      </c>
      <c r="O131" s="105">
        <f>SUM(CO$6:CO$19)+SUM(CQ$6:CQ$19)+SUM(CS$6:CS$19)+SUM(CU$6:CU$19)</f>
        <v>223196.39999999997</v>
      </c>
    </row>
    <row r="132" spans="2:15">
      <c r="C132" s="104" t="s">
        <v>127</v>
      </c>
      <c r="D132" s="105">
        <f>SUM(E$20:E$36)+SUM(G$20:G$36)+SUM(I$20:I$36)+SUM(K$20:K$36)</f>
        <v>406815.6</v>
      </c>
      <c r="E132" s="105">
        <f>SUM(M$20:M$36)+SUM(O$20:O$36)+SUM(Q$20:Q$36)+SUM(S$20:S$36)</f>
        <v>444225.14938756765</v>
      </c>
      <c r="F132" s="105">
        <f>SUM(U$20:U$36)+SUM(W$20:W$36)+SUM(Y$20:Y$36)+SUM(AA$20:AA$36)</f>
        <v>480196.8</v>
      </c>
      <c r="G132" s="105">
        <f>SUM(AC$20:AC$36)+SUM(AE$20:AE$36)+SUM(AG$20:AG$36)+SUM(AI$20:AI$36)</f>
        <v>357270.26503698557</v>
      </c>
      <c r="H132" s="105">
        <f>SUM(AK$20:AK$36)+SUM(AM$20:AM$36)+SUM(AO$20:AO$36)+SUM(AQ$20:AQ$36)</f>
        <v>452341.2</v>
      </c>
      <c r="I132" s="105">
        <f>SUM(AS$20:AS$36)+SUM(AU$20:AU$36)+SUM(AW$20:AW$36)+SUM(AY$20:AY$36)</f>
        <v>389351.81869581959</v>
      </c>
      <c r="J132" s="105">
        <f>SUM(BA$20:BA$36)+SUM(BC$20:BC$36)+SUM(BE$20:BE$36)+SUM(BG$20:BG$36)</f>
        <v>460758.18193181697</v>
      </c>
      <c r="K132" s="105">
        <f>SUM(BI$20:BI$36)+SUM(BK$20:BK$36)+SUM(BM$20:BM$36)+SUM(BO$20:BO$36)</f>
        <v>372501.18829294795</v>
      </c>
      <c r="L132" s="105">
        <f>SUM(BQ$20:BQ$36)+SUM(BS$20:BS$36)+SUM(BU$20:BU$36)+SUM(BW$20:BW$36)</f>
        <v>481468.64957281086</v>
      </c>
      <c r="M132" s="105">
        <f>SUM(BY$20:BY$36)+SUM(CA$20:CA$36)+SUM(CC$20:CC$36)+SUM(CE$20:CE$36)</f>
        <v>514506.12941567582</v>
      </c>
      <c r="N132" s="105">
        <f>SUM(CG$20:CG$36)+SUM(CI$20:CI$36)+SUM(CK$20:CK$36)+SUM(CM$20:CM$36)</f>
        <v>345080.50682104263</v>
      </c>
      <c r="O132" s="105">
        <f>SUM(CO$20:CO$36)+SUM(CQ$20:CQ$36)+SUM(CS$20:CS$36)+SUM(CU$20:CU$36)</f>
        <v>473468.39999999997</v>
      </c>
    </row>
    <row r="133" spans="2:15">
      <c r="C133" s="104" t="s">
        <v>128</v>
      </c>
      <c r="D133" s="105">
        <f>SUM(E$37:E$48)+SUM(G$37:G$48)+SUM(I$37:I$48)+SUM(K$37:K$48)</f>
        <v>554270.39999999991</v>
      </c>
      <c r="E133" s="105">
        <f>SUM(M$37:M$48)+SUM(O$37:O$48)+SUM(Q$37:Q$48)+SUM(S$37:S$48)</f>
        <v>422589.5551565623</v>
      </c>
      <c r="F133" s="105">
        <f>SUM(U$37:U$48)+SUM(W$37:W$48)+SUM(Y$37:Y$48)+SUM(AA$37:AA$48)</f>
        <v>563506.79999999993</v>
      </c>
      <c r="G133" s="105">
        <f>SUM(AC$37:AC$48)+SUM(AE$37:AE$48)+SUM(AG$37:AG$48)+SUM(AI$37:AI$48)</f>
        <v>530216.58429302846</v>
      </c>
      <c r="H133" s="105">
        <f>SUM(AK$37:AK$48)+SUM(AM$37:AM$48)+SUM(AO$37:AO$48)+SUM(AQ$37:AQ$48)</f>
        <v>597655.20000000007</v>
      </c>
      <c r="I133" s="105">
        <f>SUM(AS$37:AS$48)+SUM(AU$37:AU$48)+SUM(AW$37:AW$48)+SUM(AY$37:AY$48)</f>
        <v>401754.01908043685</v>
      </c>
      <c r="J133" s="105">
        <f>SUM(BA$37:BA$48)+SUM(BC$37:BC$48)+SUM(BE$37:BE$48)+SUM(BG$37:BG$48)</f>
        <v>425290.66113653197</v>
      </c>
      <c r="K133" s="105">
        <f>SUM(BI$37:BI$48)+SUM(BK$37:BK$48)+SUM(BM$37:BM$48)+SUM(BO$37:BO$48)</f>
        <v>469530.46105731837</v>
      </c>
      <c r="L133" s="105">
        <f>SUM(BQ$37:BQ$48)+SUM(BS$37:BS$48)+SUM(BU$37:BU$48)+SUM(BW$37:BW$48)</f>
        <v>533526.14638059656</v>
      </c>
      <c r="M133" s="105">
        <f>SUM(BY$37:BY$48)+SUM(CA$37:CA$48)+SUM(CC$37:CC$48)+SUM(CE$37:CE$48)</f>
        <v>444312.1870466267</v>
      </c>
      <c r="N133" s="105">
        <f>SUM(CG$37:CG$48)+SUM(CI$37:CI$48)+SUM(CK$37:CK$48)+SUM(CM$37:CM$48)</f>
        <v>296834.97811561933</v>
      </c>
      <c r="O133" s="105">
        <f>SUM(CO$37:CO$48)+SUM(CQ$37:CQ$48)+SUM(CS$37:CS$48)+SUM(CU$37:CU$48)</f>
        <v>614126.39999999991</v>
      </c>
    </row>
    <row r="134" spans="2:15">
      <c r="C134" s="104" t="s">
        <v>129</v>
      </c>
      <c r="D134" s="105">
        <f>SUM(E$49:E$70)+SUM(G$49:G$70)+SUM(I$49:I$70)+SUM(K$49:K$70)</f>
        <v>606459.6</v>
      </c>
      <c r="E134" s="105">
        <f>SUM(M$49:M$70)+SUM(O$49:O$70)+SUM(Q$49:Q$70)+SUM(S$49:S$70)</f>
        <v>503688.59766501136</v>
      </c>
      <c r="F134" s="105">
        <f>SUM(U$49:U$70)+SUM(W$49:W$70)+SUM(Y$49:Y$70)+SUM(AA$49:AA$70)</f>
        <v>567232.45774039475</v>
      </c>
      <c r="G134" s="105">
        <f>SUM(AC$49:AC$70)+SUM(AE$49:AE$70)+SUM(AG$49:AG$70)+SUM(AI$49:AI$70)</f>
        <v>560663.3176381127</v>
      </c>
      <c r="H134" s="105">
        <f>SUM(AK$49:AK$70)+SUM(AM$49:AM$70)+SUM(AO$49:AO$70)+SUM(AQ$49:AQ$70)</f>
        <v>558590.48444725398</v>
      </c>
      <c r="I134" s="105">
        <f>SUM(AS$49:AS$70)+SUM(AU$49:AU$70)+SUM(AW$49:AW$70)+SUM(AY$49:AY$70)</f>
        <v>556799.86670902651</v>
      </c>
      <c r="J134" s="105">
        <f>SUM(BA$49:BA$70)+SUM(BC$49:BC$70)+SUM(BE$49:BE$70)+SUM(BG$49:BG$70)</f>
        <v>403019.79415037687</v>
      </c>
      <c r="K134" s="105">
        <f>SUM(BI$49:BI$70)+SUM(BK$49:BK$70)+SUM(BM$49:BM$70)+SUM(BO$49:BO$70)</f>
        <v>512640.40835007664</v>
      </c>
      <c r="L134" s="105">
        <f>SUM(BQ$49:BQ$70)+SUM(BS$49:BS$70)+SUM(BU$49:BU$70)+SUM(BW$49:BW$70)</f>
        <v>669966.16989678284</v>
      </c>
      <c r="M134" s="105">
        <f>SUM(BY$49:BY$70)+SUM(CA$49:CA$70)+SUM(CC$49:CC$70)+SUM(CE$49:CE$70)</f>
        <v>546950.09186269413</v>
      </c>
      <c r="N134" s="105">
        <f>SUM(CG$49:CG$70)+SUM(CI$49:CI$70)+SUM(CK$49:CK$70)+SUM(CM$49:CM$70)</f>
        <v>513349.15000833943</v>
      </c>
      <c r="O134" s="105">
        <f>SUM(CO$49:CO$70)+SUM(CQ$49:CQ$70)+SUM(CS$49:CS$70)+SUM(CU$49:CU$70)</f>
        <v>593376.16866560967</v>
      </c>
    </row>
    <row r="135" spans="2:15">
      <c r="C135" s="104" t="s">
        <v>130</v>
      </c>
      <c r="D135" s="105">
        <f>SUM(E$71:E$86)+SUM(G$71:G$86)+SUM(I$71:I$86)+SUM(K$71:K$86)</f>
        <v>382215.6</v>
      </c>
      <c r="E135" s="105">
        <f>SUM(M$71:M$86)+SUM(O$71:O$86)+SUM(Q$71:Q$86)+SUM(S$71:S$86)</f>
        <v>411118.79999999993</v>
      </c>
      <c r="F135" s="105">
        <f>SUM(U$71:U$86)+SUM(W$71:W$86)+SUM(Y$71:Y$86)+SUM(AA$71:AA$86)</f>
        <v>325772.21285618161</v>
      </c>
      <c r="G135" s="105">
        <f>SUM(AC$71:AC$86)+SUM(AE$71:AE$86)+SUM(AG$71:AG$86)+SUM(AI$71:AI$86)</f>
        <v>384819.37764156278</v>
      </c>
      <c r="H135" s="105">
        <f>SUM(AK$71:AK$86)+SUM(AM$71:AM$86)+SUM(AO$71:AO$86)+SUM(AQ$71:AQ$86)</f>
        <v>365582.3004727962</v>
      </c>
      <c r="I135" s="105">
        <f>SUM(AS$71:AS$86)+SUM(AU$71:AU$86)+SUM(AW$71:AW$86)+SUM(AY$71:AY$86)</f>
        <v>406397.28772168525</v>
      </c>
      <c r="J135" s="105">
        <f>SUM(BA$71:BA$86)+SUM(BC$71:BC$86)+SUM(BE$71:BE$86)+SUM(BG$71:BG$86)</f>
        <v>260402.49252209716</v>
      </c>
      <c r="K135" s="105">
        <f>SUM(BI$71:BI$86)+SUM(BK$71:BK$86)+SUM(BM$71:BM$86)+SUM(BO$71:BO$86)</f>
        <v>425310</v>
      </c>
      <c r="L135" s="105">
        <f>SUM(BQ$71:BQ$86)+SUM(BS$71:BS$86)+SUM(BU$71:BU$86)+SUM(BW$71:BW$86)</f>
        <v>388718.4</v>
      </c>
      <c r="M135" s="105">
        <f>SUM(BY$71:BY$86)+SUM(CA$71:CA$86)+SUM(CC$71:CC$86)+SUM(CE$71:CE$86)</f>
        <v>298171.52532739373</v>
      </c>
      <c r="N135" s="105">
        <f>SUM(CG$71:CG$86)+SUM(CI$71:CI$86)+SUM(CK$71:CK$86)+SUM(CM$71:CM$86)</f>
        <v>447963.6</v>
      </c>
      <c r="O135" s="105">
        <f>SUM(CO$71:CO$86)+SUM(CQ$71:CQ$86)+SUM(CS$71:CS$86)+SUM(CU$71:CU$86)</f>
        <v>388132.8</v>
      </c>
    </row>
    <row r="136" spans="2:15">
      <c r="C136" s="104" t="s">
        <v>131</v>
      </c>
      <c r="D136" s="105">
        <f>SUM(E$87:E$94)+SUM(G$87:G$94)+SUM(I$87:I$94)+SUM(K$87:K$94)</f>
        <v>286873.19999999995</v>
      </c>
      <c r="E136" s="105">
        <f>SUM(M$87:M$94)+SUM(O$87:O$94)+SUM(Q$87:Q$94)+SUM(S$87:S$94)</f>
        <v>153300.50010478427</v>
      </c>
      <c r="F136" s="105">
        <f>SUM(U$87:U$94)+SUM(W$87:W$94)+SUM(Y$87:Y$94)+SUM(AA$87:AA$94)</f>
        <v>111289.52825241955</v>
      </c>
      <c r="G136" s="105">
        <f>SUM(AC$87:AC$94)+SUM(AE$87:AE$94)+SUM(AG$87:AG$94)+SUM(AI$87:AI$94)</f>
        <v>176146.27442932429</v>
      </c>
      <c r="H136" s="105">
        <f>SUM(AK$87:AK$94)+SUM(AM$87:AM$94)+SUM(AO$87:AO$94)+SUM(AQ$87:AQ$94)</f>
        <v>181577.99288116797</v>
      </c>
      <c r="I136" s="105">
        <f>SUM(AS$87:AS$94)+SUM(AU$87:AU$94)+SUM(AW$87:AW$94)+SUM(AY$87:AY$94)</f>
        <v>223708.67228988023</v>
      </c>
      <c r="J136" s="105">
        <f>SUM(BA$87:BA$94)+SUM(BC$87:BC$94)+SUM(BE$87:BE$94)+SUM(BG$87:BG$94)</f>
        <v>205240.02511895899</v>
      </c>
      <c r="K136" s="105">
        <f>SUM(BI$87:BI$94)+SUM(BK$87:BK$94)+SUM(BM$87:BM$94)+SUM(BO$87:BO$94)</f>
        <v>211544.34189153204</v>
      </c>
      <c r="L136" s="105">
        <f>SUM(BQ$87:BQ$94)+SUM(BS$87:BS$94)+SUM(BU$87:BU$94)+SUM(BW$87:BW$94)</f>
        <v>222607.2596962658</v>
      </c>
      <c r="M136" s="105">
        <f>SUM(BY$87:BY$94)+SUM(CA$87:CA$94)+SUM(CC$87:CC$94)+SUM(CE$87:CE$94)</f>
        <v>192688.3956476383</v>
      </c>
      <c r="N136" s="105">
        <f>SUM(CG$87:CG$94)+SUM(CI$87:CI$94)+SUM(CK$87:CK$94)+SUM(CM$87:CM$94)</f>
        <v>217948.77492272598</v>
      </c>
      <c r="O136" s="105">
        <f>SUM(CO$87:CO$94)+SUM(CQ$87:CQ$94)+SUM(CS$87:CS$94)+SUM(CU$87:CU$94)</f>
        <v>233649.04542979735</v>
      </c>
    </row>
    <row r="137" spans="2:15">
      <c r="C137" s="104" t="s">
        <v>132</v>
      </c>
      <c r="D137" s="105">
        <f>SUM(E$95:E$105)+SUM(G$95:G$105)+SUM(I$95:I$105)+SUM(K$95:K$105)</f>
        <v>266505.59999999998</v>
      </c>
      <c r="E137" s="105">
        <f>SUM(M$95:M$105)+SUM(O$95:O$105)+SUM(Q$95:Q$105)+SUM(S$95:S$105)</f>
        <v>202736.21929057693</v>
      </c>
      <c r="F137" s="105">
        <f>SUM(U$95:U$105)+SUM(W$95:W$105)+SUM(Y$95:Y$105)+SUM(AA$95:AA$105)</f>
        <v>144136.51686967164</v>
      </c>
      <c r="G137" s="105">
        <f>SUM(AC$95:AC$105)+SUM(AE$95:AE$105)+SUM(AG$95:AG$105)+SUM(AI$95:AI$105)</f>
        <v>245222.99388915306</v>
      </c>
      <c r="H137" s="105">
        <f>SUM(AK$95:AK$105)+SUM(AM$95:AM$105)+SUM(AO$95:AO$105)+SUM(AQ$95:AQ$105)</f>
        <v>335575.55883109884</v>
      </c>
      <c r="I137" s="105">
        <f>SUM(AS$95:AS$105)+SUM(AU$95:AU$105)+SUM(AW$95:AW$105)+SUM(AY$95:AY$105)</f>
        <v>337026.25173515512</v>
      </c>
      <c r="J137" s="105">
        <f>SUM(BA$95:BA$105)+SUM(BC$95:BC$105)+SUM(BE$95:BE$105)+SUM(BG$95:BG$105)</f>
        <v>255782.63989388722</v>
      </c>
      <c r="K137" s="105">
        <f>SUM(BI$95:BI$105)+SUM(BK$95:BK$105)+SUM(BM$95:BM$105)+SUM(BO$95:BO$105)</f>
        <v>317091.33677415806</v>
      </c>
      <c r="L137" s="105">
        <f>SUM(BQ$95:BQ$105)+SUM(BS$95:BS$105)+SUM(BU$95:BU$105)+SUM(BW$95:BW$105)</f>
        <v>316695.43055293034</v>
      </c>
      <c r="M137" s="105">
        <f>SUM(BY$95:BY$105)+SUM(CA$95:CA$105)+SUM(CC$95:CC$105)+SUM(CE$95:CE$105)</f>
        <v>255272.31077073852</v>
      </c>
      <c r="N137" s="105">
        <f>SUM(CG$95:CG$105)+SUM(CI$95:CI$105)+SUM(CK$95:CK$105)+SUM(CM$95:CM$105)</f>
        <v>278055.77744649036</v>
      </c>
      <c r="O137" s="105">
        <f>SUM(CO$95:CO$105)+SUM(CQ$95:CQ$105)+SUM(CS$95:CS$105)+SUM(CU$95:CU$105)</f>
        <v>333682.62519904616</v>
      </c>
    </row>
    <row r="138" spans="2:15">
      <c r="C138" s="104" t="s">
        <v>278</v>
      </c>
      <c r="D138" s="99">
        <f t="shared" ref="D138:O138" si="2">SUM(D$131:D$137)</f>
        <v>2729793.6</v>
      </c>
      <c r="E138" s="99">
        <f t="shared" si="2"/>
        <v>2308096.2857413553</v>
      </c>
      <c r="F138" s="99">
        <f t="shared" si="2"/>
        <v>2417059.9157186672</v>
      </c>
      <c r="G138" s="99">
        <f t="shared" si="2"/>
        <v>2460486.7717086608</v>
      </c>
      <c r="H138" s="99">
        <f t="shared" si="2"/>
        <v>2725907.1366323177</v>
      </c>
      <c r="I138" s="99">
        <f t="shared" si="2"/>
        <v>2497999.3955615475</v>
      </c>
      <c r="J138" s="99">
        <f t="shared" si="2"/>
        <v>2229459.4849897935</v>
      </c>
      <c r="K138" s="99">
        <f t="shared" si="2"/>
        <v>2524291.5566186411</v>
      </c>
      <c r="L138" s="99">
        <f t="shared" si="2"/>
        <v>2852376.7374452762</v>
      </c>
      <c r="M138" s="99">
        <f t="shared" si="2"/>
        <v>2524681.4981962149</v>
      </c>
      <c r="N138" s="99">
        <f t="shared" si="2"/>
        <v>2256475.0739645967</v>
      </c>
      <c r="O138" s="99">
        <f t="shared" si="2"/>
        <v>2859631.8392944527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272</v>
      </c>
    </row>
    <row r="3" spans="1:99">
      <c r="B3" s="102" t="s">
        <v>281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8</v>
      </c>
      <c r="E6" s="99">
        <v>4627.2</v>
      </c>
      <c r="F6" s="99">
        <v>8</v>
      </c>
      <c r="G6" s="99">
        <v>4627.2</v>
      </c>
      <c r="H6" s="99">
        <v>7</v>
      </c>
      <c r="I6" s="99">
        <v>4048.7999999999997</v>
      </c>
      <c r="J6" s="99">
        <v>8</v>
      </c>
      <c r="K6" s="99">
        <v>4627.2</v>
      </c>
      <c r="L6" s="99">
        <v>8.3347630624119553</v>
      </c>
      <c r="M6" s="99">
        <v>4820.8269552990751</v>
      </c>
      <c r="N6" s="99">
        <v>8</v>
      </c>
      <c r="O6" s="99">
        <v>4627.2</v>
      </c>
      <c r="P6" s="99">
        <v>6</v>
      </c>
      <c r="Q6" s="99">
        <v>3470.3999999999996</v>
      </c>
      <c r="R6" s="99">
        <v>7</v>
      </c>
      <c r="S6" s="99">
        <v>4048.7999999999997</v>
      </c>
      <c r="T6" s="99">
        <v>5</v>
      </c>
      <c r="U6" s="99">
        <v>2892</v>
      </c>
      <c r="V6" s="99">
        <v>6</v>
      </c>
      <c r="W6" s="99">
        <v>3470.3999999999996</v>
      </c>
      <c r="X6" s="99">
        <v>8</v>
      </c>
      <c r="Y6" s="99">
        <v>4627.2</v>
      </c>
      <c r="Z6" s="99">
        <v>7</v>
      </c>
      <c r="AA6" s="99">
        <v>4048.7999999999997</v>
      </c>
      <c r="AB6" s="99">
        <v>7</v>
      </c>
      <c r="AC6" s="99">
        <v>4048.7999999999997</v>
      </c>
      <c r="AD6" s="99">
        <v>6.0383585664884878</v>
      </c>
      <c r="AE6" s="99">
        <v>3492.5865948569412</v>
      </c>
      <c r="AF6" s="99">
        <v>4.5685363057412163</v>
      </c>
      <c r="AG6" s="99">
        <v>2642.4413992407194</v>
      </c>
      <c r="AH6" s="99">
        <v>5.4314263676471821</v>
      </c>
      <c r="AI6" s="99">
        <v>3141.5370110471299</v>
      </c>
      <c r="AJ6" s="99">
        <v>5.1135731901375232</v>
      </c>
      <c r="AK6" s="99">
        <v>2957.6907331755433</v>
      </c>
      <c r="AL6" s="99">
        <v>6</v>
      </c>
      <c r="AM6" s="99">
        <v>3470.3999999999996</v>
      </c>
      <c r="AN6" s="99">
        <v>8</v>
      </c>
      <c r="AO6" s="99">
        <v>4627.2</v>
      </c>
      <c r="AP6" s="99">
        <v>7</v>
      </c>
      <c r="AQ6" s="99">
        <v>4048.7999999999997</v>
      </c>
      <c r="AR6" s="99">
        <v>6.7574032748682828</v>
      </c>
      <c r="AS6" s="99">
        <v>3908.4820541838149</v>
      </c>
      <c r="AT6" s="99">
        <v>3.2665926412531179</v>
      </c>
      <c r="AU6" s="99">
        <v>1889.3971837008032</v>
      </c>
      <c r="AV6" s="99">
        <v>4.7807458566374148</v>
      </c>
      <c r="AW6" s="99">
        <v>2765.1834034790804</v>
      </c>
      <c r="AX6" s="99">
        <v>4.4999444073210206</v>
      </c>
      <c r="AY6" s="99">
        <v>2602.767845194478</v>
      </c>
      <c r="AZ6" s="99">
        <v>7</v>
      </c>
      <c r="BA6" s="99">
        <v>4048.7999999999997</v>
      </c>
      <c r="BB6" s="99">
        <v>6.0671778499281794</v>
      </c>
      <c r="BC6" s="99">
        <v>3509.255668398459</v>
      </c>
      <c r="BD6" s="99">
        <v>3.0064806351912932</v>
      </c>
      <c r="BE6" s="99">
        <v>1738.948399394644</v>
      </c>
      <c r="BF6" s="99">
        <v>8.2994601605853298</v>
      </c>
      <c r="BG6" s="99">
        <v>4800.4077568825542</v>
      </c>
      <c r="BH6" s="99">
        <v>3.5004905845850667</v>
      </c>
      <c r="BI6" s="99">
        <v>2024.6837541240025</v>
      </c>
      <c r="BJ6" s="99">
        <v>2.5948875056781571</v>
      </c>
      <c r="BK6" s="99">
        <v>1500.8829332842461</v>
      </c>
      <c r="BL6" s="99">
        <v>9</v>
      </c>
      <c r="BM6" s="99">
        <v>5205.5999999999995</v>
      </c>
      <c r="BN6" s="99">
        <v>9</v>
      </c>
      <c r="BO6" s="99">
        <v>5205.5999999999995</v>
      </c>
      <c r="BP6" s="99">
        <v>7.3059462308977672</v>
      </c>
      <c r="BQ6" s="99">
        <v>4225.7592999512681</v>
      </c>
      <c r="BR6" s="99">
        <v>8.5298646773165334</v>
      </c>
      <c r="BS6" s="99">
        <v>4933.6737293598826</v>
      </c>
      <c r="BT6" s="99">
        <v>2.1132125301528548</v>
      </c>
      <c r="BU6" s="99">
        <v>1222.2821274404112</v>
      </c>
      <c r="BV6" s="99">
        <v>7.6733056568174218</v>
      </c>
      <c r="BW6" s="99">
        <v>4438.2399919031968</v>
      </c>
      <c r="BX6" s="99">
        <v>6.248317404264828</v>
      </c>
      <c r="BY6" s="99">
        <v>3614.0267866267764</v>
      </c>
      <c r="BZ6" s="99">
        <v>6.3882429025560308</v>
      </c>
      <c r="CA6" s="99">
        <v>3694.9596948384083</v>
      </c>
      <c r="CB6" s="99">
        <v>5</v>
      </c>
      <c r="CC6" s="99">
        <v>2892</v>
      </c>
      <c r="CD6" s="99">
        <v>5.6321518934888513</v>
      </c>
      <c r="CE6" s="99">
        <v>3257.6366551939514</v>
      </c>
      <c r="CF6" s="99">
        <v>5.6301300074606893</v>
      </c>
      <c r="CG6" s="99">
        <v>3256.4671963152628</v>
      </c>
      <c r="CH6" s="99">
        <v>5.3382468803896108</v>
      </c>
      <c r="CI6" s="99">
        <v>3087.6419956173509</v>
      </c>
      <c r="CJ6" s="99">
        <v>1.0816029151460769</v>
      </c>
      <c r="CK6" s="99">
        <v>625.59912612049084</v>
      </c>
      <c r="CL6" s="99">
        <v>4.9723142622331711</v>
      </c>
      <c r="CM6" s="99">
        <v>2875.9865692756662</v>
      </c>
      <c r="CN6" s="99">
        <v>9</v>
      </c>
      <c r="CO6" s="99">
        <v>5205.5999999999995</v>
      </c>
      <c r="CP6" s="99">
        <v>7.0475308181566581</v>
      </c>
      <c r="CQ6" s="99">
        <v>4076.291825221811</v>
      </c>
      <c r="CR6" s="99">
        <v>6.6603241963115476</v>
      </c>
      <c r="CS6" s="99">
        <v>3852.331515146599</v>
      </c>
      <c r="CT6" s="99">
        <v>6.734950055303079</v>
      </c>
      <c r="CU6" s="99">
        <v>3895.4951119873008</v>
      </c>
    </row>
    <row r="7" spans="1:99">
      <c r="C7" s="98" t="s">
        <v>173</v>
      </c>
      <c r="D7" s="99">
        <v>9</v>
      </c>
      <c r="E7" s="99">
        <v>7095.5999999999995</v>
      </c>
      <c r="F7" s="99">
        <v>9</v>
      </c>
      <c r="G7" s="99">
        <v>7095.5999999999995</v>
      </c>
      <c r="H7" s="99">
        <v>6</v>
      </c>
      <c r="I7" s="99">
        <v>4730.3999999999996</v>
      </c>
      <c r="J7" s="99">
        <v>8</v>
      </c>
      <c r="K7" s="99">
        <v>6307.2</v>
      </c>
      <c r="L7" s="99">
        <v>9.3347630624119553</v>
      </c>
      <c r="M7" s="99">
        <v>7359.5271984055853</v>
      </c>
      <c r="N7" s="99">
        <v>8</v>
      </c>
      <c r="O7" s="99">
        <v>6307.2</v>
      </c>
      <c r="P7" s="99">
        <v>6</v>
      </c>
      <c r="Q7" s="99">
        <v>4730.3999999999996</v>
      </c>
      <c r="R7" s="99">
        <v>8</v>
      </c>
      <c r="S7" s="99">
        <v>6307.2</v>
      </c>
      <c r="T7" s="99">
        <v>5</v>
      </c>
      <c r="U7" s="99">
        <v>3942</v>
      </c>
      <c r="V7" s="99">
        <v>6</v>
      </c>
      <c r="W7" s="99">
        <v>4730.3999999999996</v>
      </c>
      <c r="X7" s="99">
        <v>9</v>
      </c>
      <c r="Y7" s="99">
        <v>7095.5999999999995</v>
      </c>
      <c r="Z7" s="99">
        <v>7</v>
      </c>
      <c r="AA7" s="99">
        <v>5518.8</v>
      </c>
      <c r="AB7" s="99">
        <v>8</v>
      </c>
      <c r="AC7" s="99">
        <v>6307.2</v>
      </c>
      <c r="AD7" s="99">
        <v>5.1951629878708294</v>
      </c>
      <c r="AE7" s="99">
        <v>4095.8664996373618</v>
      </c>
      <c r="AF7" s="99">
        <v>4.1101473271351816</v>
      </c>
      <c r="AG7" s="99">
        <v>3240.4401527133773</v>
      </c>
      <c r="AH7" s="99">
        <v>5.4269895658029847</v>
      </c>
      <c r="AI7" s="99">
        <v>4278.6385736790735</v>
      </c>
      <c r="AJ7" s="99">
        <v>4.2613109917812695</v>
      </c>
      <c r="AK7" s="99">
        <v>3359.6175859203527</v>
      </c>
      <c r="AL7" s="99">
        <v>6</v>
      </c>
      <c r="AM7" s="99">
        <v>4730.3999999999996</v>
      </c>
      <c r="AN7" s="99">
        <v>7</v>
      </c>
      <c r="AO7" s="99">
        <v>5518.8</v>
      </c>
      <c r="AP7" s="99">
        <v>7</v>
      </c>
      <c r="AQ7" s="99">
        <v>5518.8</v>
      </c>
      <c r="AR7" s="99">
        <v>7.6039077783841895</v>
      </c>
      <c r="AS7" s="99">
        <v>5994.9208924780951</v>
      </c>
      <c r="AT7" s="99">
        <v>2.9188597821576274</v>
      </c>
      <c r="AU7" s="99">
        <v>2301.2290522530734</v>
      </c>
      <c r="AV7" s="99">
        <v>4.7807458566374148</v>
      </c>
      <c r="AW7" s="99">
        <v>3769.1400333729375</v>
      </c>
      <c r="AX7" s="99">
        <v>3.8570952062751602</v>
      </c>
      <c r="AY7" s="99">
        <v>3040.9338606273363</v>
      </c>
      <c r="AZ7" s="99">
        <v>8</v>
      </c>
      <c r="BA7" s="99">
        <v>6307.2</v>
      </c>
      <c r="BB7" s="99">
        <v>6.1021113486032466</v>
      </c>
      <c r="BC7" s="99">
        <v>4810.9045872387996</v>
      </c>
      <c r="BD7" s="99">
        <v>2.5054005293260779</v>
      </c>
      <c r="BE7" s="99">
        <v>1975.2577773206797</v>
      </c>
      <c r="BF7" s="99">
        <v>8.3368926806584955</v>
      </c>
      <c r="BG7" s="99">
        <v>6572.8061894311577</v>
      </c>
      <c r="BH7" s="99">
        <v>3.1489685147085664</v>
      </c>
      <c r="BI7" s="99">
        <v>2482.6467769962337</v>
      </c>
      <c r="BJ7" s="99">
        <v>2.5948875056781571</v>
      </c>
      <c r="BK7" s="99">
        <v>2045.8093094766589</v>
      </c>
      <c r="BL7" s="99">
        <v>7</v>
      </c>
      <c r="BM7" s="99">
        <v>5518.8</v>
      </c>
      <c r="BN7" s="99">
        <v>9</v>
      </c>
      <c r="BO7" s="99">
        <v>7095.5999999999995</v>
      </c>
      <c r="BP7" s="99">
        <v>8.219189509759989</v>
      </c>
      <c r="BQ7" s="99">
        <v>6480.0090094947755</v>
      </c>
      <c r="BR7" s="99">
        <v>8.5298646773165334</v>
      </c>
      <c r="BS7" s="99">
        <v>6724.9453115963552</v>
      </c>
      <c r="BT7" s="99">
        <v>2.115257241362607</v>
      </c>
      <c r="BU7" s="99">
        <v>1667.6688090902792</v>
      </c>
      <c r="BV7" s="99">
        <v>7.6733056568174218</v>
      </c>
      <c r="BW7" s="99">
        <v>6049.6341798348549</v>
      </c>
      <c r="BX7" s="99">
        <v>6.248317404264828</v>
      </c>
      <c r="BY7" s="99">
        <v>4926.17344152239</v>
      </c>
      <c r="BZ7" s="99">
        <v>5.6784381356053615</v>
      </c>
      <c r="CA7" s="99">
        <v>4476.8806261112668</v>
      </c>
      <c r="CB7" s="99">
        <v>6</v>
      </c>
      <c r="CC7" s="99">
        <v>4730.3999999999996</v>
      </c>
      <c r="CD7" s="99">
        <v>5.6321518934888513</v>
      </c>
      <c r="CE7" s="99">
        <v>4440.3885528266101</v>
      </c>
      <c r="CF7" s="99">
        <v>4.8616251195068934</v>
      </c>
      <c r="CG7" s="99">
        <v>3832.9052442192346</v>
      </c>
      <c r="CH7" s="99">
        <v>5.9313854226551239</v>
      </c>
      <c r="CI7" s="99">
        <v>4676.3042672212996</v>
      </c>
      <c r="CJ7" s="99">
        <v>1.0769831720528198</v>
      </c>
      <c r="CK7" s="99">
        <v>849.09353284644305</v>
      </c>
      <c r="CL7" s="99">
        <v>4.9723142622331711</v>
      </c>
      <c r="CM7" s="99">
        <v>3920.1725643446321</v>
      </c>
      <c r="CN7" s="99">
        <v>7</v>
      </c>
      <c r="CO7" s="99">
        <v>5518.8</v>
      </c>
      <c r="CP7" s="99">
        <v>7.0475308181566581</v>
      </c>
      <c r="CQ7" s="99">
        <v>5556.2732970347088</v>
      </c>
      <c r="CR7" s="99">
        <v>5.8277836717726048</v>
      </c>
      <c r="CS7" s="99">
        <v>4594.6246468255213</v>
      </c>
      <c r="CT7" s="99">
        <v>6.734950055303079</v>
      </c>
      <c r="CU7" s="99">
        <v>5309.8346236009475</v>
      </c>
    </row>
    <row r="8" spans="1:99">
      <c r="C8" s="98" t="s">
        <v>174</v>
      </c>
      <c r="D8" s="99">
        <v>9</v>
      </c>
      <c r="E8" s="99">
        <v>2786.3999999999996</v>
      </c>
      <c r="F8" s="99">
        <v>9</v>
      </c>
      <c r="G8" s="99">
        <v>2786.3999999999996</v>
      </c>
      <c r="H8" s="99">
        <v>6</v>
      </c>
      <c r="I8" s="99">
        <v>1857.6</v>
      </c>
      <c r="J8" s="99">
        <v>7</v>
      </c>
      <c r="K8" s="99">
        <v>2167.1999999999998</v>
      </c>
      <c r="L8" s="99">
        <v>8.3347630624119553</v>
      </c>
      <c r="M8" s="99">
        <v>2580.4426441227411</v>
      </c>
      <c r="N8" s="99">
        <v>9</v>
      </c>
      <c r="O8" s="99">
        <v>2786.3999999999996</v>
      </c>
      <c r="P8" s="99">
        <v>7</v>
      </c>
      <c r="Q8" s="99">
        <v>2167.1999999999998</v>
      </c>
      <c r="R8" s="99">
        <v>7</v>
      </c>
      <c r="S8" s="99">
        <v>2167.1999999999998</v>
      </c>
      <c r="T8" s="99">
        <v>6</v>
      </c>
      <c r="U8" s="99">
        <v>1857.6</v>
      </c>
      <c r="V8" s="99">
        <v>6</v>
      </c>
      <c r="W8" s="99">
        <v>1857.6</v>
      </c>
      <c r="X8" s="99">
        <v>9</v>
      </c>
      <c r="Y8" s="99">
        <v>2786.3999999999996</v>
      </c>
      <c r="Z8" s="99">
        <v>7</v>
      </c>
      <c r="AA8" s="99">
        <v>2167.1999999999998</v>
      </c>
      <c r="AB8" s="99">
        <v>7</v>
      </c>
      <c r="AC8" s="99">
        <v>2167.1999999999998</v>
      </c>
      <c r="AD8" s="99">
        <v>6.0553572560090982</v>
      </c>
      <c r="AE8" s="99">
        <v>1874.7386064604166</v>
      </c>
      <c r="AF8" s="99">
        <v>4.1255008074543253</v>
      </c>
      <c r="AG8" s="99">
        <v>1277.2550499878589</v>
      </c>
      <c r="AH8" s="99">
        <v>5.4314263676471821</v>
      </c>
      <c r="AI8" s="99">
        <v>1681.5696034235673</v>
      </c>
      <c r="AJ8" s="99">
        <v>5.1135731901375232</v>
      </c>
      <c r="AK8" s="99">
        <v>1583.162259666577</v>
      </c>
      <c r="AL8" s="99">
        <v>6</v>
      </c>
      <c r="AM8" s="99">
        <v>1857.6</v>
      </c>
      <c r="AN8" s="99">
        <v>7</v>
      </c>
      <c r="AO8" s="99">
        <v>2167.1999999999998</v>
      </c>
      <c r="AP8" s="99">
        <v>8</v>
      </c>
      <c r="AQ8" s="99">
        <v>2476.7999999999997</v>
      </c>
      <c r="AR8" s="99">
        <v>6.7574032748682828</v>
      </c>
      <c r="AS8" s="99">
        <v>2092.09205389922</v>
      </c>
      <c r="AT8" s="99">
        <v>3.2665926412531179</v>
      </c>
      <c r="AU8" s="99">
        <v>1011.3370817319652</v>
      </c>
      <c r="AV8" s="99">
        <v>4.7807458566374148</v>
      </c>
      <c r="AW8" s="99">
        <v>1480.1189172149434</v>
      </c>
      <c r="AX8" s="99">
        <v>4.4999444073210206</v>
      </c>
      <c r="AY8" s="99">
        <v>1393.1827885065879</v>
      </c>
      <c r="AZ8" s="99">
        <v>8</v>
      </c>
      <c r="BA8" s="99">
        <v>2476.7999999999997</v>
      </c>
      <c r="BB8" s="99">
        <v>6.1021113486032466</v>
      </c>
      <c r="BC8" s="99">
        <v>1889.2136735275649</v>
      </c>
      <c r="BD8" s="99">
        <v>3.0064806351912932</v>
      </c>
      <c r="BE8" s="99">
        <v>930.80640465522424</v>
      </c>
      <c r="BF8" s="99">
        <v>8.2994601605853298</v>
      </c>
      <c r="BG8" s="99">
        <v>2569.5128657172177</v>
      </c>
      <c r="BH8" s="99">
        <v>3.4857604704051348</v>
      </c>
      <c r="BI8" s="99">
        <v>1079.1914416374295</v>
      </c>
      <c r="BJ8" s="99">
        <v>2.5948875056781571</v>
      </c>
      <c r="BK8" s="99">
        <v>803.37717175795729</v>
      </c>
      <c r="BL8" s="99">
        <v>9</v>
      </c>
      <c r="BM8" s="99">
        <v>2786.3999999999996</v>
      </c>
      <c r="BN8" s="99">
        <v>9</v>
      </c>
      <c r="BO8" s="99">
        <v>2786.3999999999996</v>
      </c>
      <c r="BP8" s="99">
        <v>8.219189509759989</v>
      </c>
      <c r="BQ8" s="99">
        <v>2544.6610722216924</v>
      </c>
      <c r="BR8" s="99">
        <v>8.5298646773165334</v>
      </c>
      <c r="BS8" s="99">
        <v>2640.8461040971983</v>
      </c>
      <c r="BT8" s="99">
        <v>2.1132125301528548</v>
      </c>
      <c r="BU8" s="99">
        <v>654.25059933532373</v>
      </c>
      <c r="BV8" s="99">
        <v>6.9266343667032215</v>
      </c>
      <c r="BW8" s="99">
        <v>2144.4859999313171</v>
      </c>
      <c r="BX8" s="99">
        <v>7.0265508459030865</v>
      </c>
      <c r="BY8" s="99">
        <v>2175.4201418915954</v>
      </c>
      <c r="BZ8" s="99">
        <v>6.3882429025560308</v>
      </c>
      <c r="CA8" s="99">
        <v>1977.8000026313468</v>
      </c>
      <c r="CB8" s="99">
        <v>6</v>
      </c>
      <c r="CC8" s="99">
        <v>1857.6</v>
      </c>
      <c r="CD8" s="99">
        <v>5.6321518934888513</v>
      </c>
      <c r="CE8" s="99">
        <v>1743.7142262241482</v>
      </c>
      <c r="CF8" s="99">
        <v>4.886684698685305</v>
      </c>
      <c r="CG8" s="99">
        <v>1512.9175827129702</v>
      </c>
      <c r="CH8" s="99">
        <v>5.9313854226551239</v>
      </c>
      <c r="CI8" s="99">
        <v>1836.3569268540261</v>
      </c>
      <c r="CJ8" s="99">
        <v>1.0816029151460769</v>
      </c>
      <c r="CK8" s="99">
        <v>334.86426252922536</v>
      </c>
      <c r="CL8" s="99">
        <v>4.350774979454024</v>
      </c>
      <c r="CM8" s="99">
        <v>1346.9999336389658</v>
      </c>
      <c r="CN8" s="99">
        <v>8</v>
      </c>
      <c r="CO8" s="99">
        <v>2476.7999999999997</v>
      </c>
      <c r="CP8" s="99">
        <v>7.8305897979518422</v>
      </c>
      <c r="CQ8" s="99">
        <v>2424.3506014458899</v>
      </c>
      <c r="CR8" s="99">
        <v>6.6603241963115476</v>
      </c>
      <c r="CS8" s="99">
        <v>2062.0363711780551</v>
      </c>
      <c r="CT8" s="99">
        <v>6.734950055303079</v>
      </c>
      <c r="CU8" s="99">
        <v>2085.1405371218329</v>
      </c>
    </row>
    <row r="9" spans="1:99">
      <c r="C9" s="98" t="s">
        <v>175</v>
      </c>
      <c r="D9" s="99">
        <v>8</v>
      </c>
      <c r="E9" s="99">
        <v>5616</v>
      </c>
      <c r="F9" s="99">
        <v>8</v>
      </c>
      <c r="G9" s="99">
        <v>5616</v>
      </c>
      <c r="H9" s="99">
        <v>5</v>
      </c>
      <c r="I9" s="99">
        <v>3510</v>
      </c>
      <c r="J9" s="99">
        <v>8</v>
      </c>
      <c r="K9" s="99">
        <v>5616</v>
      </c>
      <c r="L9" s="99">
        <v>8.3825863570422356</v>
      </c>
      <c r="M9" s="99">
        <v>5884.5756226436497</v>
      </c>
      <c r="N9" s="99">
        <v>8</v>
      </c>
      <c r="O9" s="99">
        <v>5616</v>
      </c>
      <c r="P9" s="99">
        <v>6</v>
      </c>
      <c r="Q9" s="99">
        <v>4212</v>
      </c>
      <c r="R9" s="99">
        <v>8</v>
      </c>
      <c r="S9" s="99">
        <v>5616</v>
      </c>
      <c r="T9" s="99">
        <v>5</v>
      </c>
      <c r="U9" s="99">
        <v>3510</v>
      </c>
      <c r="V9" s="99">
        <v>5</v>
      </c>
      <c r="W9" s="99">
        <v>3510</v>
      </c>
      <c r="X9" s="99">
        <v>8</v>
      </c>
      <c r="Y9" s="99">
        <v>5616</v>
      </c>
      <c r="Z9" s="99">
        <v>7</v>
      </c>
      <c r="AA9" s="99">
        <v>4914</v>
      </c>
      <c r="AB9" s="99">
        <v>7</v>
      </c>
      <c r="AC9" s="99">
        <v>4914</v>
      </c>
      <c r="AD9" s="99">
        <v>6.0213598769678782</v>
      </c>
      <c r="AE9" s="99">
        <v>4226.9946336314506</v>
      </c>
      <c r="AF9" s="99">
        <v>4.1255008074543253</v>
      </c>
      <c r="AG9" s="99">
        <v>2896.1015668329364</v>
      </c>
      <c r="AH9" s="99">
        <v>5.4269895658029847</v>
      </c>
      <c r="AI9" s="99">
        <v>3809.7466751936954</v>
      </c>
      <c r="AJ9" s="99">
        <v>5.1135731901375232</v>
      </c>
      <c r="AK9" s="99">
        <v>3589.7283794765412</v>
      </c>
      <c r="AL9" s="99">
        <v>6</v>
      </c>
      <c r="AM9" s="99">
        <v>4212</v>
      </c>
      <c r="AN9" s="99">
        <v>8</v>
      </c>
      <c r="AO9" s="99">
        <v>5616</v>
      </c>
      <c r="AP9" s="99">
        <v>7</v>
      </c>
      <c r="AQ9" s="99">
        <v>4914</v>
      </c>
      <c r="AR9" s="99">
        <v>7.6039077783841895</v>
      </c>
      <c r="AS9" s="99">
        <v>5337.9432604257008</v>
      </c>
      <c r="AT9" s="99">
        <v>2.9188597821576274</v>
      </c>
      <c r="AU9" s="99">
        <v>2049.0395670746543</v>
      </c>
      <c r="AV9" s="99">
        <v>4.2625862368826315</v>
      </c>
      <c r="AW9" s="99">
        <v>2992.3355382916075</v>
      </c>
      <c r="AX9" s="99">
        <v>4.4999444073210206</v>
      </c>
      <c r="AY9" s="99">
        <v>3158.9609739393563</v>
      </c>
      <c r="AZ9" s="99">
        <v>8</v>
      </c>
      <c r="BA9" s="99">
        <v>5616</v>
      </c>
      <c r="BB9" s="99">
        <v>5.3262473680246902</v>
      </c>
      <c r="BC9" s="99">
        <v>3739.0256523533326</v>
      </c>
      <c r="BD9" s="99">
        <v>3.0064806351912932</v>
      </c>
      <c r="BE9" s="99">
        <v>2110.5494059042876</v>
      </c>
      <c r="BF9" s="99">
        <v>8.3368926806584955</v>
      </c>
      <c r="BG9" s="99">
        <v>5852.4986618222638</v>
      </c>
      <c r="BH9" s="99">
        <v>3.134238400528635</v>
      </c>
      <c r="BI9" s="99">
        <v>2200.2353571711019</v>
      </c>
      <c r="BJ9" s="99">
        <v>2.5948875056781571</v>
      </c>
      <c r="BK9" s="99">
        <v>1821.6110289860662</v>
      </c>
      <c r="BL9" s="99">
        <v>9</v>
      </c>
      <c r="BM9" s="99">
        <v>6318</v>
      </c>
      <c r="BN9" s="99">
        <v>8</v>
      </c>
      <c r="BO9" s="99">
        <v>5616</v>
      </c>
      <c r="BP9" s="99">
        <v>9.132432788622209</v>
      </c>
      <c r="BQ9" s="99">
        <v>6410.9678176127909</v>
      </c>
      <c r="BR9" s="99">
        <v>9.375277482237216</v>
      </c>
      <c r="BS9" s="99">
        <v>6581.4447925305258</v>
      </c>
      <c r="BT9" s="99">
        <v>2.4104264088381138</v>
      </c>
      <c r="BU9" s="99">
        <v>1692.1193390043559</v>
      </c>
      <c r="BV9" s="99">
        <v>6.8313079621242601</v>
      </c>
      <c r="BW9" s="99">
        <v>4795.5781894112306</v>
      </c>
      <c r="BX9" s="99">
        <v>6.248317404264828</v>
      </c>
      <c r="BY9" s="99">
        <v>4386.3188177939091</v>
      </c>
      <c r="BZ9" s="99">
        <v>6.3882429025560308</v>
      </c>
      <c r="CA9" s="99">
        <v>4484.5465175943336</v>
      </c>
      <c r="CB9" s="99">
        <v>6</v>
      </c>
      <c r="CC9" s="99">
        <v>4212</v>
      </c>
      <c r="CD9" s="99">
        <v>6.570843875736994</v>
      </c>
      <c r="CE9" s="99">
        <v>4612.7324007673697</v>
      </c>
      <c r="CF9" s="99">
        <v>4.8616251195068934</v>
      </c>
      <c r="CG9" s="99">
        <v>3412.8608338938393</v>
      </c>
      <c r="CH9" s="99">
        <v>5.3382468803896108</v>
      </c>
      <c r="CI9" s="99">
        <v>3747.4493100335067</v>
      </c>
      <c r="CJ9" s="99">
        <v>1.0769831720528198</v>
      </c>
      <c r="CK9" s="99">
        <v>756.04218678107952</v>
      </c>
      <c r="CL9" s="99">
        <v>4.350774979454024</v>
      </c>
      <c r="CM9" s="99">
        <v>3054.2440355767249</v>
      </c>
      <c r="CN9" s="99">
        <v>8</v>
      </c>
      <c r="CO9" s="99">
        <v>5616</v>
      </c>
      <c r="CP9" s="99">
        <v>7.8305897979518422</v>
      </c>
      <c r="CQ9" s="99">
        <v>5497.0740381621936</v>
      </c>
      <c r="CR9" s="99">
        <v>6.6603241963115476</v>
      </c>
      <c r="CS9" s="99">
        <v>4675.5475858107066</v>
      </c>
      <c r="CT9" s="99">
        <v>6.734950055303079</v>
      </c>
      <c r="CU9" s="99">
        <v>4727.9349388227611</v>
      </c>
    </row>
    <row r="10" spans="1:99">
      <c r="C10" s="98" t="s">
        <v>176</v>
      </c>
      <c r="D10" s="99">
        <v>8</v>
      </c>
      <c r="E10" s="99">
        <v>4358.3999999999996</v>
      </c>
      <c r="F10" s="99">
        <v>9</v>
      </c>
      <c r="G10" s="99">
        <v>4903.2</v>
      </c>
      <c r="H10" s="99">
        <v>6</v>
      </c>
      <c r="I10" s="99">
        <v>3268.7999999999997</v>
      </c>
      <c r="J10" s="99">
        <v>8</v>
      </c>
      <c r="K10" s="99">
        <v>4358.3999999999996</v>
      </c>
      <c r="L10" s="99">
        <v>9.3347630624119553</v>
      </c>
      <c r="M10" s="99">
        <v>5085.5789164020325</v>
      </c>
      <c r="N10" s="99">
        <v>8</v>
      </c>
      <c r="O10" s="99">
        <v>4358.3999999999996</v>
      </c>
      <c r="P10" s="99">
        <v>6</v>
      </c>
      <c r="Q10" s="99">
        <v>3268.7999999999997</v>
      </c>
      <c r="R10" s="99">
        <v>9</v>
      </c>
      <c r="S10" s="99">
        <v>4903.2</v>
      </c>
      <c r="T10" s="99">
        <v>6</v>
      </c>
      <c r="U10" s="99">
        <v>3268.7999999999997</v>
      </c>
      <c r="V10" s="99">
        <v>5</v>
      </c>
      <c r="W10" s="99">
        <v>2724</v>
      </c>
      <c r="X10" s="99">
        <v>8</v>
      </c>
      <c r="Y10" s="99">
        <v>4358.3999999999996</v>
      </c>
      <c r="Z10" s="99">
        <v>7</v>
      </c>
      <c r="AA10" s="99">
        <v>3813.5999999999995</v>
      </c>
      <c r="AB10" s="99">
        <v>8</v>
      </c>
      <c r="AC10" s="99">
        <v>4358.3999999999996</v>
      </c>
      <c r="AD10" s="99">
        <v>6.0383585664884878</v>
      </c>
      <c r="AE10" s="99">
        <v>3289.6977470229281</v>
      </c>
      <c r="AF10" s="99">
        <v>4.1101473271351816</v>
      </c>
      <c r="AG10" s="99">
        <v>2239.2082638232469</v>
      </c>
      <c r="AH10" s="99">
        <v>6.201006131819355</v>
      </c>
      <c r="AI10" s="99">
        <v>3378.3081406151841</v>
      </c>
      <c r="AJ10" s="99">
        <v>5.1135731901375232</v>
      </c>
      <c r="AK10" s="99">
        <v>2785.8746739869225</v>
      </c>
      <c r="AL10" s="99">
        <v>6</v>
      </c>
      <c r="AM10" s="99">
        <v>3268.7999999999997</v>
      </c>
      <c r="AN10" s="99">
        <v>7</v>
      </c>
      <c r="AO10" s="99">
        <v>3813.5999999999995</v>
      </c>
      <c r="AP10" s="99">
        <v>8</v>
      </c>
      <c r="AQ10" s="99">
        <v>4358.3999999999996</v>
      </c>
      <c r="AR10" s="99">
        <v>6.7574032748682828</v>
      </c>
      <c r="AS10" s="99">
        <v>3681.43330414824</v>
      </c>
      <c r="AT10" s="99">
        <v>2.9188597821576274</v>
      </c>
      <c r="AU10" s="99">
        <v>1590.1948093194753</v>
      </c>
      <c r="AV10" s="99">
        <v>4.2625862368826315</v>
      </c>
      <c r="AW10" s="99">
        <v>2322.2569818536576</v>
      </c>
      <c r="AX10" s="99">
        <v>4.4999444073210206</v>
      </c>
      <c r="AY10" s="99">
        <v>2451.5697131084917</v>
      </c>
      <c r="AZ10" s="99">
        <v>8</v>
      </c>
      <c r="BA10" s="99">
        <v>4358.3999999999996</v>
      </c>
      <c r="BB10" s="99">
        <v>6.0322443512531114</v>
      </c>
      <c r="BC10" s="99">
        <v>3286.366722562695</v>
      </c>
      <c r="BD10" s="99">
        <v>3.0064806351912932</v>
      </c>
      <c r="BE10" s="99">
        <v>1637.9306500522164</v>
      </c>
      <c r="BF10" s="99">
        <v>9.2994601605853298</v>
      </c>
      <c r="BG10" s="99">
        <v>5066.3458954868875</v>
      </c>
      <c r="BH10" s="99">
        <v>3.1489685147085664</v>
      </c>
      <c r="BI10" s="99">
        <v>1715.5580468132268</v>
      </c>
      <c r="BJ10" s="99">
        <v>2.9192484438879269</v>
      </c>
      <c r="BK10" s="99">
        <v>1590.4065522301426</v>
      </c>
      <c r="BL10" s="99">
        <v>8</v>
      </c>
      <c r="BM10" s="99">
        <v>4358.3999999999996</v>
      </c>
      <c r="BN10" s="99">
        <v>9</v>
      </c>
      <c r="BO10" s="99">
        <v>4903.2</v>
      </c>
      <c r="BP10" s="99">
        <v>8.219189509759989</v>
      </c>
      <c r="BQ10" s="99">
        <v>4477.8144449172414</v>
      </c>
      <c r="BR10" s="99">
        <v>7.6844518723958517</v>
      </c>
      <c r="BS10" s="99">
        <v>4186.4893800812597</v>
      </c>
      <c r="BT10" s="99">
        <v>2.115257241362607</v>
      </c>
      <c r="BU10" s="99">
        <v>1152.3921450943483</v>
      </c>
      <c r="BV10" s="99">
        <v>6.8948588985102353</v>
      </c>
      <c r="BW10" s="99">
        <v>3756.3191279083758</v>
      </c>
      <c r="BX10" s="99">
        <v>6.248317404264828</v>
      </c>
      <c r="BY10" s="99">
        <v>3404.0833218434782</v>
      </c>
      <c r="BZ10" s="99">
        <v>5.6784381356053615</v>
      </c>
      <c r="CA10" s="99">
        <v>3093.6130962778007</v>
      </c>
      <c r="CB10" s="99">
        <v>6</v>
      </c>
      <c r="CC10" s="99">
        <v>3268.7999999999997</v>
      </c>
      <c r="CD10" s="99">
        <v>5.6321518934888513</v>
      </c>
      <c r="CE10" s="99">
        <v>3068.396351572726</v>
      </c>
      <c r="CF10" s="99">
        <v>4.886684698685305</v>
      </c>
      <c r="CG10" s="99">
        <v>2662.2658238437539</v>
      </c>
      <c r="CH10" s="99">
        <v>5.9313854226551239</v>
      </c>
      <c r="CI10" s="99">
        <v>3231.4187782625113</v>
      </c>
      <c r="CJ10" s="99">
        <v>1.0816029151460769</v>
      </c>
      <c r="CK10" s="99">
        <v>589.25726817158261</v>
      </c>
      <c r="CL10" s="99">
        <v>4.9723142622331711</v>
      </c>
      <c r="CM10" s="99">
        <v>2708.9168100646316</v>
      </c>
      <c r="CN10" s="99">
        <v>9</v>
      </c>
      <c r="CO10" s="99">
        <v>4903.2</v>
      </c>
      <c r="CP10" s="99">
        <v>7.8305897979518422</v>
      </c>
      <c r="CQ10" s="99">
        <v>4266.105321924163</v>
      </c>
      <c r="CR10" s="99">
        <v>6.6603241963115476</v>
      </c>
      <c r="CS10" s="99">
        <v>3628.5446221505308</v>
      </c>
      <c r="CT10" s="99">
        <v>5.9866222713805151</v>
      </c>
      <c r="CU10" s="99">
        <v>3261.5118134481045</v>
      </c>
    </row>
    <row r="11" spans="1:99">
      <c r="C11" s="98" t="s">
        <v>177</v>
      </c>
      <c r="D11" s="99">
        <v>8</v>
      </c>
      <c r="E11" s="99">
        <v>4262.3999999999996</v>
      </c>
      <c r="F11" s="99">
        <v>9</v>
      </c>
      <c r="G11" s="99">
        <v>4795.2</v>
      </c>
      <c r="H11" s="99">
        <v>6</v>
      </c>
      <c r="I11" s="99">
        <v>3196.7999999999997</v>
      </c>
      <c r="J11" s="99">
        <v>7</v>
      </c>
      <c r="K11" s="99">
        <v>3729.5999999999995</v>
      </c>
      <c r="L11" s="99">
        <v>8.3347630624119553</v>
      </c>
      <c r="M11" s="99">
        <v>4440.761759653089</v>
      </c>
      <c r="N11" s="99">
        <v>9</v>
      </c>
      <c r="O11" s="99">
        <v>4795.2</v>
      </c>
      <c r="P11" s="99">
        <v>6</v>
      </c>
      <c r="Q11" s="99">
        <v>3196.7999999999997</v>
      </c>
      <c r="R11" s="99">
        <v>8</v>
      </c>
      <c r="S11" s="99">
        <v>4262.3999999999996</v>
      </c>
      <c r="T11" s="99">
        <v>5</v>
      </c>
      <c r="U11" s="99">
        <v>2664</v>
      </c>
      <c r="V11" s="99">
        <v>5</v>
      </c>
      <c r="W11" s="99">
        <v>2664</v>
      </c>
      <c r="X11" s="99">
        <v>8</v>
      </c>
      <c r="Y11" s="99">
        <v>4262.3999999999996</v>
      </c>
      <c r="Z11" s="99">
        <v>6</v>
      </c>
      <c r="AA11" s="99">
        <v>3196.7999999999997</v>
      </c>
      <c r="AB11" s="99">
        <v>7</v>
      </c>
      <c r="AC11" s="99">
        <v>3729.5999999999995</v>
      </c>
      <c r="AD11" s="99">
        <v>6.0553572560090982</v>
      </c>
      <c r="AE11" s="99">
        <v>3226.2943460016472</v>
      </c>
      <c r="AF11" s="99">
        <v>4.1255008074543253</v>
      </c>
      <c r="AG11" s="99">
        <v>2198.0668302116642</v>
      </c>
      <c r="AH11" s="99">
        <v>5.4314263676471821</v>
      </c>
      <c r="AI11" s="99">
        <v>2893.8639686824185</v>
      </c>
      <c r="AJ11" s="99">
        <v>5.1135731901375232</v>
      </c>
      <c r="AK11" s="99">
        <v>2724.5117957052721</v>
      </c>
      <c r="AL11" s="99">
        <v>6</v>
      </c>
      <c r="AM11" s="99">
        <v>3196.7999999999997</v>
      </c>
      <c r="AN11" s="99">
        <v>7</v>
      </c>
      <c r="AO11" s="99">
        <v>3729.5999999999995</v>
      </c>
      <c r="AP11" s="99">
        <v>8</v>
      </c>
      <c r="AQ11" s="99">
        <v>4262.3999999999996</v>
      </c>
      <c r="AR11" s="99">
        <v>8.435779528641131</v>
      </c>
      <c r="AS11" s="99">
        <v>4494.5833328599938</v>
      </c>
      <c r="AT11" s="99">
        <v>2.9017351684834152</v>
      </c>
      <c r="AU11" s="99">
        <v>1546.0444977679635</v>
      </c>
      <c r="AV11" s="99">
        <v>4.7924767845218517</v>
      </c>
      <c r="AW11" s="99">
        <v>2553.4316307932422</v>
      </c>
      <c r="AX11" s="99">
        <v>4.4999444073210206</v>
      </c>
      <c r="AY11" s="99">
        <v>2397.5703802206394</v>
      </c>
      <c r="AZ11" s="99">
        <v>8</v>
      </c>
      <c r="BA11" s="99">
        <v>4262.3999999999996</v>
      </c>
      <c r="BB11" s="99">
        <v>6.0671778499281794</v>
      </c>
      <c r="BC11" s="99">
        <v>3232.5923584417337</v>
      </c>
      <c r="BD11" s="99">
        <v>2.5054005293260779</v>
      </c>
      <c r="BE11" s="99">
        <v>1334.8774020249341</v>
      </c>
      <c r="BF11" s="99">
        <v>8.2994601605853298</v>
      </c>
      <c r="BG11" s="99">
        <v>4421.9523735598632</v>
      </c>
      <c r="BH11" s="99">
        <v>3.471030356225203</v>
      </c>
      <c r="BI11" s="99">
        <v>1849.364973796788</v>
      </c>
      <c r="BJ11" s="99">
        <v>2.9192484438879269</v>
      </c>
      <c r="BK11" s="99">
        <v>1555.3755709034874</v>
      </c>
      <c r="BL11" s="99">
        <v>8</v>
      </c>
      <c r="BM11" s="99">
        <v>4262.3999999999996</v>
      </c>
      <c r="BN11" s="99">
        <v>8</v>
      </c>
      <c r="BO11" s="99">
        <v>4262.3999999999996</v>
      </c>
      <c r="BP11" s="99">
        <v>8.219189509759989</v>
      </c>
      <c r="BQ11" s="99">
        <v>4379.184170800122</v>
      </c>
      <c r="BR11" s="99">
        <v>9.375277482237216</v>
      </c>
      <c r="BS11" s="99">
        <v>4995.1478425359883</v>
      </c>
      <c r="BT11" s="99">
        <v>2.1132125301528548</v>
      </c>
      <c r="BU11" s="99">
        <v>1125.919636065441</v>
      </c>
      <c r="BV11" s="99">
        <v>6.8948588985102353</v>
      </c>
      <c r="BW11" s="99">
        <v>3673.5808211262529</v>
      </c>
      <c r="BX11" s="99">
        <v>7.0041009747443388</v>
      </c>
      <c r="BY11" s="99">
        <v>3731.7849993437835</v>
      </c>
      <c r="BZ11" s="99">
        <v>5.6784381356053615</v>
      </c>
      <c r="CA11" s="99">
        <v>3025.4718386505365</v>
      </c>
      <c r="CB11" s="99">
        <v>6</v>
      </c>
      <c r="CC11" s="99">
        <v>3196.7999999999997</v>
      </c>
      <c r="CD11" s="99">
        <v>5.6321518934888513</v>
      </c>
      <c r="CE11" s="99">
        <v>3000.8105288508596</v>
      </c>
      <c r="CF11" s="99">
        <v>5.6301300074606893</v>
      </c>
      <c r="CG11" s="99">
        <v>2999.7332679750548</v>
      </c>
      <c r="CH11" s="99">
        <v>5.9313854226551239</v>
      </c>
      <c r="CI11" s="99">
        <v>3160.2421531906498</v>
      </c>
      <c r="CJ11" s="99">
        <v>1.0769831720528198</v>
      </c>
      <c r="CK11" s="99">
        <v>573.81663406974235</v>
      </c>
      <c r="CL11" s="99">
        <v>4.9723142622331711</v>
      </c>
      <c r="CM11" s="99">
        <v>2649.2490389178333</v>
      </c>
      <c r="CN11" s="99">
        <v>8</v>
      </c>
      <c r="CO11" s="99">
        <v>4262.3999999999996</v>
      </c>
      <c r="CP11" s="99">
        <v>7.8305897979518422</v>
      </c>
      <c r="CQ11" s="99">
        <v>4172.138244348741</v>
      </c>
      <c r="CR11" s="99">
        <v>5.8277836717726048</v>
      </c>
      <c r="CS11" s="99">
        <v>3105.0431403204434</v>
      </c>
      <c r="CT11" s="99">
        <v>7.4832778392256438</v>
      </c>
      <c r="CU11" s="99">
        <v>3987.0904327394228</v>
      </c>
    </row>
    <row r="12" spans="1:99">
      <c r="C12" s="98" t="s">
        <v>178</v>
      </c>
      <c r="D12" s="99">
        <v>9</v>
      </c>
      <c r="E12" s="99">
        <v>5065.2</v>
      </c>
      <c r="F12" s="99">
        <v>9</v>
      </c>
      <c r="G12" s="99">
        <v>5065.2</v>
      </c>
      <c r="H12" s="99">
        <v>5</v>
      </c>
      <c r="I12" s="99">
        <v>2814</v>
      </c>
      <c r="J12" s="99">
        <v>7</v>
      </c>
      <c r="K12" s="99">
        <v>3939.5999999999995</v>
      </c>
      <c r="L12" s="99">
        <v>8.3825863570422356</v>
      </c>
      <c r="M12" s="99">
        <v>4717.7196017433698</v>
      </c>
      <c r="N12" s="99">
        <v>9</v>
      </c>
      <c r="O12" s="99">
        <v>5065.2</v>
      </c>
      <c r="P12" s="99">
        <v>5</v>
      </c>
      <c r="Q12" s="99">
        <v>2814</v>
      </c>
      <c r="R12" s="99">
        <v>7</v>
      </c>
      <c r="S12" s="99">
        <v>3939.5999999999995</v>
      </c>
      <c r="T12" s="99">
        <v>5</v>
      </c>
      <c r="U12" s="99">
        <v>2814</v>
      </c>
      <c r="V12" s="99">
        <v>6</v>
      </c>
      <c r="W12" s="99">
        <v>3376.7999999999997</v>
      </c>
      <c r="X12" s="99">
        <v>8</v>
      </c>
      <c r="Y12" s="99">
        <v>4502.3999999999996</v>
      </c>
      <c r="Z12" s="99">
        <v>7</v>
      </c>
      <c r="AA12" s="99">
        <v>3939.5999999999995</v>
      </c>
      <c r="AB12" s="99">
        <v>7</v>
      </c>
      <c r="AC12" s="99">
        <v>3939.5999999999995</v>
      </c>
      <c r="AD12" s="99">
        <v>5.1951629878708294</v>
      </c>
      <c r="AE12" s="99">
        <v>2923.8377295737027</v>
      </c>
      <c r="AF12" s="99">
        <v>4.1255008074543253</v>
      </c>
      <c r="AG12" s="99">
        <v>2321.8318544352942</v>
      </c>
      <c r="AH12" s="99">
        <v>5.4314263676471821</v>
      </c>
      <c r="AI12" s="99">
        <v>3056.8067597118338</v>
      </c>
      <c r="AJ12" s="99">
        <v>5.1135731901375232</v>
      </c>
      <c r="AK12" s="99">
        <v>2877.9189914093977</v>
      </c>
      <c r="AL12" s="99">
        <v>5</v>
      </c>
      <c r="AM12" s="99">
        <v>2814</v>
      </c>
      <c r="AN12" s="99">
        <v>8</v>
      </c>
      <c r="AO12" s="99">
        <v>4502.3999999999996</v>
      </c>
      <c r="AP12" s="99">
        <v>8</v>
      </c>
      <c r="AQ12" s="99">
        <v>4502.3999999999996</v>
      </c>
      <c r="AR12" s="99">
        <v>7.6039077783841895</v>
      </c>
      <c r="AS12" s="99">
        <v>4279.4792976746212</v>
      </c>
      <c r="AT12" s="99">
        <v>2.9188597821576274</v>
      </c>
      <c r="AU12" s="99">
        <v>1642.7342853983125</v>
      </c>
      <c r="AV12" s="99">
        <v>4.2743171647670692</v>
      </c>
      <c r="AW12" s="99">
        <v>2405.5857003309065</v>
      </c>
      <c r="AX12" s="99">
        <v>4.4999444073210206</v>
      </c>
      <c r="AY12" s="99">
        <v>2532.5687124402702</v>
      </c>
      <c r="AZ12" s="99">
        <v>8</v>
      </c>
      <c r="BA12" s="99">
        <v>4502.3999999999996</v>
      </c>
      <c r="BB12" s="99">
        <v>6.0671778499281794</v>
      </c>
      <c r="BC12" s="99">
        <v>3414.6076939395789</v>
      </c>
      <c r="BD12" s="99">
        <v>3.0064806351912932</v>
      </c>
      <c r="BE12" s="99">
        <v>1692.0473014856595</v>
      </c>
      <c r="BF12" s="99">
        <v>8.3368926806584955</v>
      </c>
      <c r="BG12" s="99">
        <v>4692.0032006746005</v>
      </c>
      <c r="BH12" s="99">
        <v>3.1489685147085664</v>
      </c>
      <c r="BI12" s="99">
        <v>1772.2394800779809</v>
      </c>
      <c r="BJ12" s="99">
        <v>2.5948875056781571</v>
      </c>
      <c r="BK12" s="99">
        <v>1460.4026881956668</v>
      </c>
      <c r="BL12" s="99">
        <v>8</v>
      </c>
      <c r="BM12" s="99">
        <v>4502.3999999999996</v>
      </c>
      <c r="BN12" s="99">
        <v>8</v>
      </c>
      <c r="BO12" s="99">
        <v>4502.3999999999996</v>
      </c>
      <c r="BP12" s="99">
        <v>8.219189509759989</v>
      </c>
      <c r="BQ12" s="99">
        <v>4625.7598560929218</v>
      </c>
      <c r="BR12" s="99">
        <v>9.375277482237216</v>
      </c>
      <c r="BS12" s="99">
        <v>5276.4061670031051</v>
      </c>
      <c r="BT12" s="99">
        <v>2.115257241362607</v>
      </c>
      <c r="BU12" s="99">
        <v>1190.4667754388752</v>
      </c>
      <c r="BV12" s="99">
        <v>6.8313079621242601</v>
      </c>
      <c r="BW12" s="99">
        <v>3844.6601210835333</v>
      </c>
      <c r="BX12" s="99">
        <v>7.0041009747443388</v>
      </c>
      <c r="BY12" s="99">
        <v>3941.9080285861137</v>
      </c>
      <c r="BZ12" s="99">
        <v>6.3882429025560308</v>
      </c>
      <c r="CA12" s="99">
        <v>3595.3031055585338</v>
      </c>
      <c r="CB12" s="99">
        <v>6</v>
      </c>
      <c r="CC12" s="99">
        <v>3376.7999999999997</v>
      </c>
      <c r="CD12" s="99">
        <v>5.6321518934888513</v>
      </c>
      <c r="CE12" s="99">
        <v>3169.7750856555253</v>
      </c>
      <c r="CF12" s="99">
        <v>4.886684698685305</v>
      </c>
      <c r="CG12" s="99">
        <v>2750.2261484200894</v>
      </c>
      <c r="CH12" s="99">
        <v>6.5245239649206352</v>
      </c>
      <c r="CI12" s="99">
        <v>3672.0020874573333</v>
      </c>
      <c r="CJ12" s="99">
        <v>0.92774817628138828</v>
      </c>
      <c r="CK12" s="99">
        <v>522.13667361116529</v>
      </c>
      <c r="CL12" s="99">
        <v>4.9723142622331711</v>
      </c>
      <c r="CM12" s="99">
        <v>2798.4184667848285</v>
      </c>
      <c r="CN12" s="99">
        <v>8</v>
      </c>
      <c r="CO12" s="99">
        <v>4502.3999999999996</v>
      </c>
      <c r="CP12" s="99">
        <v>7.8305897979518422</v>
      </c>
      <c r="CQ12" s="99">
        <v>4407.0559382872962</v>
      </c>
      <c r="CR12" s="99">
        <v>6.6603241963115476</v>
      </c>
      <c r="CS12" s="99">
        <v>3748.4304576841387</v>
      </c>
      <c r="CT12" s="99">
        <v>7.4832778392256438</v>
      </c>
      <c r="CU12" s="99">
        <v>4211.5887679161924</v>
      </c>
    </row>
    <row r="13" spans="1:99">
      <c r="C13" s="98" t="s">
        <v>179</v>
      </c>
      <c r="D13" s="99">
        <v>9</v>
      </c>
      <c r="E13" s="99">
        <v>766.80000000000007</v>
      </c>
      <c r="F13" s="99">
        <v>9</v>
      </c>
      <c r="G13" s="99">
        <v>766.80000000000007</v>
      </c>
      <c r="H13" s="99">
        <v>6</v>
      </c>
      <c r="I13" s="99">
        <v>511.20000000000005</v>
      </c>
      <c r="J13" s="99">
        <v>9</v>
      </c>
      <c r="K13" s="99">
        <v>766.80000000000007</v>
      </c>
      <c r="L13" s="99">
        <v>9.3825863570422356</v>
      </c>
      <c r="M13" s="99">
        <v>799.39635761999853</v>
      </c>
      <c r="N13" s="99">
        <v>9</v>
      </c>
      <c r="O13" s="99">
        <v>766.80000000000007</v>
      </c>
      <c r="P13" s="99">
        <v>6</v>
      </c>
      <c r="Q13" s="99">
        <v>511.20000000000005</v>
      </c>
      <c r="R13" s="99">
        <v>9</v>
      </c>
      <c r="S13" s="99">
        <v>766.80000000000007</v>
      </c>
      <c r="T13" s="99">
        <v>5</v>
      </c>
      <c r="U13" s="99">
        <v>426</v>
      </c>
      <c r="V13" s="99">
        <v>5</v>
      </c>
      <c r="W13" s="99">
        <v>426</v>
      </c>
      <c r="X13" s="99">
        <v>8</v>
      </c>
      <c r="Y13" s="99">
        <v>681.6</v>
      </c>
      <c r="Z13" s="99">
        <v>7</v>
      </c>
      <c r="AA13" s="99">
        <v>596.4</v>
      </c>
      <c r="AB13" s="99">
        <v>8</v>
      </c>
      <c r="AC13" s="99">
        <v>681.6</v>
      </c>
      <c r="AD13" s="99">
        <v>6.0553572560090982</v>
      </c>
      <c r="AE13" s="99">
        <v>515.91643821197522</v>
      </c>
      <c r="AF13" s="99">
        <v>4.58388978606036</v>
      </c>
      <c r="AG13" s="99">
        <v>390.54740977234269</v>
      </c>
      <c r="AH13" s="99">
        <v>6.2054429336635533</v>
      </c>
      <c r="AI13" s="99">
        <v>528.70373794813474</v>
      </c>
      <c r="AJ13" s="99">
        <v>5.1135731901375232</v>
      </c>
      <c r="AK13" s="99">
        <v>435.67643579971701</v>
      </c>
      <c r="AL13" s="99">
        <v>6</v>
      </c>
      <c r="AM13" s="99">
        <v>511.20000000000005</v>
      </c>
      <c r="AN13" s="99">
        <v>7</v>
      </c>
      <c r="AO13" s="99">
        <v>596.4</v>
      </c>
      <c r="AP13" s="99">
        <v>9</v>
      </c>
      <c r="AQ13" s="99">
        <v>766.80000000000007</v>
      </c>
      <c r="AR13" s="99">
        <v>7.6039077783841895</v>
      </c>
      <c r="AS13" s="99">
        <v>647.852942718333</v>
      </c>
      <c r="AT13" s="99">
        <v>3.2494680275789052</v>
      </c>
      <c r="AU13" s="99">
        <v>276.85467594972272</v>
      </c>
      <c r="AV13" s="99">
        <v>4.7807458566374148</v>
      </c>
      <c r="AW13" s="99">
        <v>407.31954698550777</v>
      </c>
      <c r="AX13" s="99">
        <v>4.4999444073210206</v>
      </c>
      <c r="AY13" s="99">
        <v>383.39526350375098</v>
      </c>
      <c r="AZ13" s="99">
        <v>8</v>
      </c>
      <c r="BA13" s="99">
        <v>681.6</v>
      </c>
      <c r="BB13" s="99">
        <v>6.0671778499281794</v>
      </c>
      <c r="BC13" s="99">
        <v>516.92355281388086</v>
      </c>
      <c r="BD13" s="99">
        <v>3.0064806351912932</v>
      </c>
      <c r="BE13" s="99">
        <v>256.15215011829821</v>
      </c>
      <c r="BF13" s="99">
        <v>9.3368926806584955</v>
      </c>
      <c r="BG13" s="99">
        <v>795.50325639210382</v>
      </c>
      <c r="BH13" s="99">
        <v>3.1636986288884983</v>
      </c>
      <c r="BI13" s="99">
        <v>269.54712318130004</v>
      </c>
      <c r="BJ13" s="99">
        <v>2.9192484438879269</v>
      </c>
      <c r="BK13" s="99">
        <v>248.71996741925139</v>
      </c>
      <c r="BL13" s="99">
        <v>9</v>
      </c>
      <c r="BM13" s="99">
        <v>766.80000000000007</v>
      </c>
      <c r="BN13" s="99">
        <v>9</v>
      </c>
      <c r="BO13" s="99">
        <v>766.80000000000007</v>
      </c>
      <c r="BP13" s="99">
        <v>8.219189509759989</v>
      </c>
      <c r="BQ13" s="99">
        <v>700.2749462315511</v>
      </c>
      <c r="BR13" s="99">
        <v>10.2206902871579</v>
      </c>
      <c r="BS13" s="99">
        <v>870.80281246585309</v>
      </c>
      <c r="BT13" s="99">
        <v>2.1132125301528548</v>
      </c>
      <c r="BU13" s="99">
        <v>180.04570756902325</v>
      </c>
      <c r="BV13" s="99">
        <v>7.6415301886244347</v>
      </c>
      <c r="BW13" s="99">
        <v>651.05837207080185</v>
      </c>
      <c r="BX13" s="99">
        <v>7.0041009747443388</v>
      </c>
      <c r="BY13" s="99">
        <v>596.74940304821769</v>
      </c>
      <c r="BZ13" s="99">
        <v>6.3882429025560308</v>
      </c>
      <c r="CA13" s="99">
        <v>544.27829529777387</v>
      </c>
      <c r="CB13" s="99">
        <v>6</v>
      </c>
      <c r="CC13" s="99">
        <v>511.20000000000005</v>
      </c>
      <c r="CD13" s="99">
        <v>5.6321518934888513</v>
      </c>
      <c r="CE13" s="99">
        <v>479.85934132525017</v>
      </c>
      <c r="CF13" s="99">
        <v>5.6551895866391009</v>
      </c>
      <c r="CG13" s="99">
        <v>481.82215278165143</v>
      </c>
      <c r="CH13" s="99">
        <v>5.9313854226551239</v>
      </c>
      <c r="CI13" s="99">
        <v>505.35403801021658</v>
      </c>
      <c r="CJ13" s="99">
        <v>0.93236791937464558</v>
      </c>
      <c r="CK13" s="99">
        <v>79.437746730719809</v>
      </c>
      <c r="CL13" s="99">
        <v>4.350774979454024</v>
      </c>
      <c r="CM13" s="99">
        <v>370.68602824948283</v>
      </c>
      <c r="CN13" s="99">
        <v>9</v>
      </c>
      <c r="CO13" s="99">
        <v>766.80000000000007</v>
      </c>
      <c r="CP13" s="99">
        <v>7.8305897979518422</v>
      </c>
      <c r="CQ13" s="99">
        <v>667.16625078549703</v>
      </c>
      <c r="CR13" s="99">
        <v>6.6603241963115476</v>
      </c>
      <c r="CS13" s="99">
        <v>567.45962152574384</v>
      </c>
      <c r="CT13" s="99">
        <v>7.4832778392256438</v>
      </c>
      <c r="CU13" s="99">
        <v>637.57527190202484</v>
      </c>
    </row>
    <row r="14" spans="1:99">
      <c r="C14" s="98" t="s">
        <v>180</v>
      </c>
      <c r="D14" s="99">
        <v>9</v>
      </c>
      <c r="E14" s="99">
        <v>4395.5999999999995</v>
      </c>
      <c r="F14" s="99">
        <v>9</v>
      </c>
      <c r="G14" s="99">
        <v>4395.5999999999995</v>
      </c>
      <c r="H14" s="99">
        <v>6</v>
      </c>
      <c r="I14" s="99">
        <v>2930.3999999999996</v>
      </c>
      <c r="J14" s="99">
        <v>8</v>
      </c>
      <c r="K14" s="99">
        <v>3907.2</v>
      </c>
      <c r="L14" s="99">
        <v>9.3825863570422356</v>
      </c>
      <c r="M14" s="99">
        <v>4582.4551767794273</v>
      </c>
      <c r="N14" s="99">
        <v>9</v>
      </c>
      <c r="O14" s="99">
        <v>4395.5999999999995</v>
      </c>
      <c r="P14" s="99">
        <v>6</v>
      </c>
      <c r="Q14" s="99">
        <v>2930.3999999999996</v>
      </c>
      <c r="R14" s="99">
        <v>7</v>
      </c>
      <c r="S14" s="99">
        <v>3418.7999999999997</v>
      </c>
      <c r="T14" s="99">
        <v>5</v>
      </c>
      <c r="U14" s="99">
        <v>2442</v>
      </c>
      <c r="V14" s="99">
        <v>5</v>
      </c>
      <c r="W14" s="99">
        <v>2442</v>
      </c>
      <c r="X14" s="99">
        <v>8</v>
      </c>
      <c r="Y14" s="99">
        <v>3907.2</v>
      </c>
      <c r="Z14" s="99">
        <v>6</v>
      </c>
      <c r="AA14" s="99">
        <v>2930.3999999999996</v>
      </c>
      <c r="AB14" s="99">
        <v>8</v>
      </c>
      <c r="AC14" s="99">
        <v>3907.2</v>
      </c>
      <c r="AD14" s="99">
        <v>6.0213598769678782</v>
      </c>
      <c r="AE14" s="99">
        <v>2940.8321639111114</v>
      </c>
      <c r="AF14" s="99">
        <v>4.58388978606036</v>
      </c>
      <c r="AG14" s="99">
        <v>2238.7717715118797</v>
      </c>
      <c r="AH14" s="99">
        <v>5.4269895658029847</v>
      </c>
      <c r="AI14" s="99">
        <v>2650.5417039381778</v>
      </c>
      <c r="AJ14" s="99">
        <v>5.1135731901375232</v>
      </c>
      <c r="AK14" s="99">
        <v>2497.4691460631661</v>
      </c>
      <c r="AL14" s="99">
        <v>6</v>
      </c>
      <c r="AM14" s="99">
        <v>2930.3999999999996</v>
      </c>
      <c r="AN14" s="99">
        <v>8</v>
      </c>
      <c r="AO14" s="99">
        <v>3907.2</v>
      </c>
      <c r="AP14" s="99">
        <v>8</v>
      </c>
      <c r="AQ14" s="99">
        <v>3907.2</v>
      </c>
      <c r="AR14" s="99">
        <v>6.7574032748682828</v>
      </c>
      <c r="AS14" s="99">
        <v>3300.3157594456693</v>
      </c>
      <c r="AT14" s="99">
        <v>3.2665926412531179</v>
      </c>
      <c r="AU14" s="99">
        <v>1595.4038459880228</v>
      </c>
      <c r="AV14" s="99">
        <v>4.2743171647670692</v>
      </c>
      <c r="AW14" s="99">
        <v>2087.5765032722366</v>
      </c>
      <c r="AX14" s="99">
        <v>4.4999444073210206</v>
      </c>
      <c r="AY14" s="99">
        <v>2197.7728485355865</v>
      </c>
      <c r="AZ14" s="99">
        <v>7</v>
      </c>
      <c r="BA14" s="99">
        <v>3418.7999999999997</v>
      </c>
      <c r="BB14" s="99">
        <v>6.0322443512531114</v>
      </c>
      <c r="BC14" s="99">
        <v>2946.1481411520194</v>
      </c>
      <c r="BD14" s="99">
        <v>3.0064806351912932</v>
      </c>
      <c r="BE14" s="99">
        <v>1468.3651422274274</v>
      </c>
      <c r="BF14" s="99">
        <v>9.2994601605853298</v>
      </c>
      <c r="BG14" s="99">
        <v>4541.8563424298745</v>
      </c>
      <c r="BH14" s="99">
        <v>3.4857604704051348</v>
      </c>
      <c r="BI14" s="99">
        <v>1702.4454137458677</v>
      </c>
      <c r="BJ14" s="99">
        <v>2.5948875056781571</v>
      </c>
      <c r="BK14" s="99">
        <v>1267.343057773212</v>
      </c>
      <c r="BL14" s="99">
        <v>7</v>
      </c>
      <c r="BM14" s="99">
        <v>3418.7999999999997</v>
      </c>
      <c r="BN14" s="99">
        <v>9</v>
      </c>
      <c r="BO14" s="99">
        <v>4395.5999999999995</v>
      </c>
      <c r="BP14" s="99">
        <v>8.219189509759989</v>
      </c>
      <c r="BQ14" s="99">
        <v>4014.2521565667785</v>
      </c>
      <c r="BR14" s="99">
        <v>8.5298646773165334</v>
      </c>
      <c r="BS14" s="99">
        <v>4165.9859084013951</v>
      </c>
      <c r="BT14" s="99">
        <v>2.1132125301528548</v>
      </c>
      <c r="BU14" s="99">
        <v>1032.0929997266542</v>
      </c>
      <c r="BV14" s="99">
        <v>7.7050811250104099</v>
      </c>
      <c r="BW14" s="99">
        <v>3763.1616214550841</v>
      </c>
      <c r="BX14" s="99">
        <v>7.0041009747443388</v>
      </c>
      <c r="BY14" s="99">
        <v>3420.8029160651349</v>
      </c>
      <c r="BZ14" s="99">
        <v>6.3882429025560308</v>
      </c>
      <c r="CA14" s="99">
        <v>3120.0178336083654</v>
      </c>
      <c r="CB14" s="99">
        <v>6</v>
      </c>
      <c r="CC14" s="99">
        <v>2930.3999999999996</v>
      </c>
      <c r="CD14" s="99">
        <v>5.6321518934888513</v>
      </c>
      <c r="CE14" s="99">
        <v>2750.7429847799549</v>
      </c>
      <c r="CF14" s="99">
        <v>4.886684698685305</v>
      </c>
      <c r="CG14" s="99">
        <v>2386.6568068379029</v>
      </c>
      <c r="CH14" s="99">
        <v>5.9313854226551239</v>
      </c>
      <c r="CI14" s="99">
        <v>2896.8886404247623</v>
      </c>
      <c r="CJ14" s="99">
        <v>1.0862226582393339</v>
      </c>
      <c r="CK14" s="99">
        <v>530.51114628409073</v>
      </c>
      <c r="CL14" s="99">
        <v>4.350774979454024</v>
      </c>
      <c r="CM14" s="99">
        <v>2124.9184999653453</v>
      </c>
      <c r="CN14" s="99">
        <v>8</v>
      </c>
      <c r="CO14" s="99">
        <v>3907.2</v>
      </c>
      <c r="CP14" s="99">
        <v>7.8305897979518422</v>
      </c>
      <c r="CQ14" s="99">
        <v>3824.4600573196794</v>
      </c>
      <c r="CR14" s="99">
        <v>5.8277836717726048</v>
      </c>
      <c r="CS14" s="99">
        <v>2846.28954529374</v>
      </c>
      <c r="CT14" s="99">
        <v>5.9866222713805151</v>
      </c>
      <c r="CU14" s="99">
        <v>2923.8663173422433</v>
      </c>
    </row>
    <row r="15" spans="1:99">
      <c r="C15" s="98" t="s">
        <v>181</v>
      </c>
      <c r="D15" s="99">
        <v>8</v>
      </c>
      <c r="E15" s="99">
        <v>6105.5999999999995</v>
      </c>
      <c r="F15" s="99">
        <v>8</v>
      </c>
      <c r="G15" s="99">
        <v>6105.5999999999995</v>
      </c>
      <c r="H15" s="99">
        <v>6</v>
      </c>
      <c r="I15" s="99">
        <v>4579.2</v>
      </c>
      <c r="J15" s="99">
        <v>8</v>
      </c>
      <c r="K15" s="99">
        <v>6105.5999999999995</v>
      </c>
      <c r="L15" s="99">
        <v>9.3347630624119553</v>
      </c>
      <c r="M15" s="99">
        <v>7124.2911692328034</v>
      </c>
      <c r="N15" s="99">
        <v>9</v>
      </c>
      <c r="O15" s="99">
        <v>6868.7999999999993</v>
      </c>
      <c r="P15" s="99">
        <v>6</v>
      </c>
      <c r="Q15" s="99">
        <v>4579.2</v>
      </c>
      <c r="R15" s="99">
        <v>8</v>
      </c>
      <c r="S15" s="99">
        <v>6105.5999999999995</v>
      </c>
      <c r="T15" s="99">
        <v>6</v>
      </c>
      <c r="U15" s="99">
        <v>4579.2</v>
      </c>
      <c r="V15" s="99">
        <v>6</v>
      </c>
      <c r="W15" s="99">
        <v>4579.2</v>
      </c>
      <c r="X15" s="99">
        <v>8</v>
      </c>
      <c r="Y15" s="99">
        <v>6105.5999999999995</v>
      </c>
      <c r="Z15" s="99">
        <v>7</v>
      </c>
      <c r="AA15" s="99">
        <v>5342.4</v>
      </c>
      <c r="AB15" s="99">
        <v>7</v>
      </c>
      <c r="AC15" s="99">
        <v>5342.4</v>
      </c>
      <c r="AD15" s="99">
        <v>6.0213598769678782</v>
      </c>
      <c r="AE15" s="99">
        <v>4595.501858101884</v>
      </c>
      <c r="AF15" s="99">
        <v>4.1255008074543253</v>
      </c>
      <c r="AG15" s="99">
        <v>3148.5822162491409</v>
      </c>
      <c r="AH15" s="99">
        <v>6.201006131819355</v>
      </c>
      <c r="AI15" s="99">
        <v>4732.607879804531</v>
      </c>
      <c r="AJ15" s="99">
        <v>4.2613109917812695</v>
      </c>
      <c r="AK15" s="99">
        <v>3252.2325489274644</v>
      </c>
      <c r="AL15" s="99">
        <v>6</v>
      </c>
      <c r="AM15" s="99">
        <v>4579.2</v>
      </c>
      <c r="AN15" s="99">
        <v>7</v>
      </c>
      <c r="AO15" s="99">
        <v>5342.4</v>
      </c>
      <c r="AP15" s="99">
        <v>8</v>
      </c>
      <c r="AQ15" s="99">
        <v>6105.5999999999995</v>
      </c>
      <c r="AR15" s="99">
        <v>6.7574032748682828</v>
      </c>
      <c r="AS15" s="99">
        <v>5157.2501793794727</v>
      </c>
      <c r="AT15" s="99">
        <v>2.9017351684834152</v>
      </c>
      <c r="AU15" s="99">
        <v>2214.6042805865422</v>
      </c>
      <c r="AV15" s="99">
        <v>4.7807458566374148</v>
      </c>
      <c r="AW15" s="99">
        <v>3648.6652377856744</v>
      </c>
      <c r="AX15" s="99">
        <v>4.4999444073210206</v>
      </c>
      <c r="AY15" s="99">
        <v>3434.3575716674027</v>
      </c>
      <c r="AZ15" s="99">
        <v>7</v>
      </c>
      <c r="BA15" s="99">
        <v>5342.4</v>
      </c>
      <c r="BB15" s="99">
        <v>6.0322443512531114</v>
      </c>
      <c r="BC15" s="99">
        <v>4603.8088888763741</v>
      </c>
      <c r="BD15" s="99">
        <v>2.5054005293260779</v>
      </c>
      <c r="BE15" s="99">
        <v>1912.1216839816625</v>
      </c>
      <c r="BF15" s="99">
        <v>9.3368926806584955</v>
      </c>
      <c r="BG15" s="99">
        <v>7125.9164938785634</v>
      </c>
      <c r="BH15" s="99">
        <v>3.1489685147085664</v>
      </c>
      <c r="BI15" s="99">
        <v>2403.2927704255776</v>
      </c>
      <c r="BJ15" s="99">
        <v>2.9192484438879269</v>
      </c>
      <c r="BK15" s="99">
        <v>2227.9704123752658</v>
      </c>
      <c r="BL15" s="99">
        <v>8</v>
      </c>
      <c r="BM15" s="99">
        <v>6105.5999999999995</v>
      </c>
      <c r="BN15" s="99">
        <v>9</v>
      </c>
      <c r="BO15" s="99">
        <v>6868.7999999999993</v>
      </c>
      <c r="BP15" s="99">
        <v>8.219189509759989</v>
      </c>
      <c r="BQ15" s="99">
        <v>6272.8854338488227</v>
      </c>
      <c r="BR15" s="99">
        <v>8.5190451590151461</v>
      </c>
      <c r="BS15" s="99">
        <v>6501.7352653603593</v>
      </c>
      <c r="BT15" s="99">
        <v>2.4104264088381138</v>
      </c>
      <c r="BU15" s="99">
        <v>1839.6374352252483</v>
      </c>
      <c r="BV15" s="99">
        <v>7.7050811250104099</v>
      </c>
      <c r="BW15" s="99">
        <v>5880.5179146079445</v>
      </c>
      <c r="BX15" s="99">
        <v>6.248317404264828</v>
      </c>
      <c r="BY15" s="99">
        <v>4768.7158429349165</v>
      </c>
      <c r="BZ15" s="99">
        <v>5.6784381356053615</v>
      </c>
      <c r="CA15" s="99">
        <v>4333.7839850940118</v>
      </c>
      <c r="CB15" s="99">
        <v>5</v>
      </c>
      <c r="CC15" s="99">
        <v>3815.9999999999995</v>
      </c>
      <c r="CD15" s="99">
        <v>5.6321518934888513</v>
      </c>
      <c r="CE15" s="99">
        <v>4298.4583251106906</v>
      </c>
      <c r="CF15" s="99">
        <v>5.6301300074606893</v>
      </c>
      <c r="CG15" s="99">
        <v>4296.9152216939974</v>
      </c>
      <c r="CH15" s="99">
        <v>6.5245239649206352</v>
      </c>
      <c r="CI15" s="99">
        <v>4979.516690027428</v>
      </c>
      <c r="CJ15" s="99">
        <v>1.0816029151460769</v>
      </c>
      <c r="CK15" s="99">
        <v>825.47934483948575</v>
      </c>
      <c r="CL15" s="99">
        <v>4.9723142622331711</v>
      </c>
      <c r="CM15" s="99">
        <v>3794.8702449363559</v>
      </c>
      <c r="CN15" s="99">
        <v>7</v>
      </c>
      <c r="CO15" s="99">
        <v>5342.4</v>
      </c>
      <c r="CP15" s="99">
        <v>7.8305897979518422</v>
      </c>
      <c r="CQ15" s="99">
        <v>5976.3061337968456</v>
      </c>
      <c r="CR15" s="99">
        <v>6.6603241963115476</v>
      </c>
      <c r="CS15" s="99">
        <v>5083.1594266249731</v>
      </c>
      <c r="CT15" s="99">
        <v>5.9866222713805151</v>
      </c>
      <c r="CU15" s="99">
        <v>4568.9901175176083</v>
      </c>
    </row>
    <row r="16" spans="1:99">
      <c r="C16" s="98" t="s">
        <v>182</v>
      </c>
      <c r="D16" s="99">
        <v>8</v>
      </c>
      <c r="E16" s="99">
        <v>2726.4</v>
      </c>
      <c r="F16" s="99">
        <v>9</v>
      </c>
      <c r="G16" s="99">
        <v>3067.2000000000003</v>
      </c>
      <c r="H16" s="99">
        <v>6</v>
      </c>
      <c r="I16" s="99">
        <v>2044.8000000000002</v>
      </c>
      <c r="J16" s="99">
        <v>8</v>
      </c>
      <c r="K16" s="99">
        <v>2726.4</v>
      </c>
      <c r="L16" s="99">
        <v>9.3347630624119553</v>
      </c>
      <c r="M16" s="99">
        <v>3181.2872516699945</v>
      </c>
      <c r="N16" s="99">
        <v>8</v>
      </c>
      <c r="O16" s="99">
        <v>2726.4</v>
      </c>
      <c r="P16" s="99">
        <v>6</v>
      </c>
      <c r="Q16" s="99">
        <v>2044.8000000000002</v>
      </c>
      <c r="R16" s="99">
        <v>8</v>
      </c>
      <c r="S16" s="99">
        <v>2726.4</v>
      </c>
      <c r="T16" s="99">
        <v>6</v>
      </c>
      <c r="U16" s="99">
        <v>2044.8000000000002</v>
      </c>
      <c r="V16" s="99">
        <v>6</v>
      </c>
      <c r="W16" s="99">
        <v>2044.8000000000002</v>
      </c>
      <c r="X16" s="99">
        <v>8</v>
      </c>
      <c r="Y16" s="99">
        <v>2726.4</v>
      </c>
      <c r="Z16" s="99">
        <v>7</v>
      </c>
      <c r="AA16" s="99">
        <v>2385.6</v>
      </c>
      <c r="AB16" s="99">
        <v>8</v>
      </c>
      <c r="AC16" s="99">
        <v>2726.4</v>
      </c>
      <c r="AD16" s="99">
        <v>6.0383585664884878</v>
      </c>
      <c r="AE16" s="99">
        <v>2057.8725994592769</v>
      </c>
      <c r="AF16" s="99">
        <v>4.58388978606036</v>
      </c>
      <c r="AG16" s="99">
        <v>1562.1896390893708</v>
      </c>
      <c r="AH16" s="99">
        <v>6.1965693299751576</v>
      </c>
      <c r="AI16" s="99">
        <v>2111.7908276555336</v>
      </c>
      <c r="AJ16" s="99">
        <v>5.1135731901375232</v>
      </c>
      <c r="AK16" s="99">
        <v>1742.705743198868</v>
      </c>
      <c r="AL16" s="99">
        <v>6</v>
      </c>
      <c r="AM16" s="99">
        <v>2044.8000000000002</v>
      </c>
      <c r="AN16" s="99">
        <v>7</v>
      </c>
      <c r="AO16" s="99">
        <v>2385.6</v>
      </c>
      <c r="AP16" s="99">
        <v>8</v>
      </c>
      <c r="AQ16" s="99">
        <v>2726.4</v>
      </c>
      <c r="AR16" s="99">
        <v>8.435779528641131</v>
      </c>
      <c r="AS16" s="99">
        <v>2874.9136633608973</v>
      </c>
      <c r="AT16" s="99">
        <v>3.2665926412531179</v>
      </c>
      <c r="AU16" s="99">
        <v>1113.2547721390627</v>
      </c>
      <c r="AV16" s="99">
        <v>4.7924767845218517</v>
      </c>
      <c r="AW16" s="99">
        <v>1633.2760881650472</v>
      </c>
      <c r="AX16" s="99">
        <v>3.8570952062751602</v>
      </c>
      <c r="AY16" s="99">
        <v>1314.4980462985745</v>
      </c>
      <c r="AZ16" s="99">
        <v>8</v>
      </c>
      <c r="BA16" s="99">
        <v>2726.4</v>
      </c>
      <c r="BB16" s="99">
        <v>6.0671778499281794</v>
      </c>
      <c r="BC16" s="99">
        <v>2067.6942112555234</v>
      </c>
      <c r="BD16" s="99">
        <v>3.0064806351912932</v>
      </c>
      <c r="BE16" s="99">
        <v>1024.6086004731928</v>
      </c>
      <c r="BF16" s="99">
        <v>8.3368926806584955</v>
      </c>
      <c r="BG16" s="99">
        <v>2841.2130255684156</v>
      </c>
      <c r="BH16" s="99">
        <v>3.1489685147085664</v>
      </c>
      <c r="BI16" s="99">
        <v>1073.1684698126794</v>
      </c>
      <c r="BJ16" s="99">
        <v>2.5948875056781571</v>
      </c>
      <c r="BK16" s="99">
        <v>884.33766193511599</v>
      </c>
      <c r="BL16" s="99">
        <v>8</v>
      </c>
      <c r="BM16" s="99">
        <v>2726.4</v>
      </c>
      <c r="BN16" s="99">
        <v>9</v>
      </c>
      <c r="BO16" s="99">
        <v>3067.2000000000003</v>
      </c>
      <c r="BP16" s="99">
        <v>9.132432788622209</v>
      </c>
      <c r="BQ16" s="99">
        <v>3112.3330943624487</v>
      </c>
      <c r="BR16" s="99">
        <v>8.5298646773165334</v>
      </c>
      <c r="BS16" s="99">
        <v>2906.9778820294746</v>
      </c>
      <c r="BT16" s="99">
        <v>2.4124711200478659</v>
      </c>
      <c r="BU16" s="99">
        <v>822.17015771231274</v>
      </c>
      <c r="BV16" s="99">
        <v>7.6415301886244347</v>
      </c>
      <c r="BW16" s="99">
        <v>2604.2334882832074</v>
      </c>
      <c r="BX16" s="99">
        <v>6.248317404264828</v>
      </c>
      <c r="BY16" s="99">
        <v>2129.4265713734535</v>
      </c>
      <c r="BZ16" s="99">
        <v>6.3882429025560308</v>
      </c>
      <c r="CA16" s="99">
        <v>2177.1131811910955</v>
      </c>
      <c r="CB16" s="99">
        <v>6</v>
      </c>
      <c r="CC16" s="99">
        <v>2044.8000000000002</v>
      </c>
      <c r="CD16" s="99">
        <v>6.570843875736994</v>
      </c>
      <c r="CE16" s="99">
        <v>2239.3435928511676</v>
      </c>
      <c r="CF16" s="99">
        <v>5.6301300074606893</v>
      </c>
      <c r="CG16" s="99">
        <v>1918.7483065426029</v>
      </c>
      <c r="CH16" s="99">
        <v>6.5245239649206352</v>
      </c>
      <c r="CI16" s="99">
        <v>2223.5577672449526</v>
      </c>
      <c r="CJ16" s="99">
        <v>1.0816029151460769</v>
      </c>
      <c r="CK16" s="99">
        <v>368.610273481783</v>
      </c>
      <c r="CL16" s="99">
        <v>4.9723142622331711</v>
      </c>
      <c r="CM16" s="99">
        <v>1694.5647005690648</v>
      </c>
      <c r="CN16" s="99">
        <v>9</v>
      </c>
      <c r="CO16" s="99">
        <v>3067.2000000000003</v>
      </c>
      <c r="CP16" s="99">
        <v>7.8305897979518422</v>
      </c>
      <c r="CQ16" s="99">
        <v>2668.6650031419881</v>
      </c>
      <c r="CR16" s="99">
        <v>5.8277836717726048</v>
      </c>
      <c r="CS16" s="99">
        <v>1986.1086753401037</v>
      </c>
      <c r="CT16" s="99">
        <v>7.4832778392256438</v>
      </c>
      <c r="CU16" s="99">
        <v>2550.3010876080994</v>
      </c>
    </row>
    <row r="17" spans="2:99">
      <c r="C17" s="98" t="s">
        <v>183</v>
      </c>
      <c r="D17" s="99">
        <v>8</v>
      </c>
      <c r="E17" s="99">
        <v>3379.2</v>
      </c>
      <c r="F17" s="99">
        <v>8</v>
      </c>
      <c r="G17" s="99">
        <v>3379.2</v>
      </c>
      <c r="H17" s="99">
        <v>6</v>
      </c>
      <c r="I17" s="99">
        <v>2534.3999999999996</v>
      </c>
      <c r="J17" s="99">
        <v>7</v>
      </c>
      <c r="K17" s="99">
        <v>2956.7999999999997</v>
      </c>
      <c r="L17" s="99">
        <v>9.3825863570422356</v>
      </c>
      <c r="M17" s="99">
        <v>3963.2044772146401</v>
      </c>
      <c r="N17" s="99">
        <v>9</v>
      </c>
      <c r="O17" s="99">
        <v>3801.6</v>
      </c>
      <c r="P17" s="99">
        <v>6</v>
      </c>
      <c r="Q17" s="99">
        <v>2534.3999999999996</v>
      </c>
      <c r="R17" s="99">
        <v>8</v>
      </c>
      <c r="S17" s="99">
        <v>3379.2</v>
      </c>
      <c r="T17" s="99">
        <v>5</v>
      </c>
      <c r="U17" s="99">
        <v>2112</v>
      </c>
      <c r="V17" s="99">
        <v>6</v>
      </c>
      <c r="W17" s="99">
        <v>2534.3999999999996</v>
      </c>
      <c r="X17" s="99">
        <v>8</v>
      </c>
      <c r="Y17" s="99">
        <v>3379.2</v>
      </c>
      <c r="Z17" s="99">
        <v>6</v>
      </c>
      <c r="AA17" s="99">
        <v>2534.3999999999996</v>
      </c>
      <c r="AB17" s="99">
        <v>7</v>
      </c>
      <c r="AC17" s="99">
        <v>2956.7999999999997</v>
      </c>
      <c r="AD17" s="99">
        <v>6.0383585664884878</v>
      </c>
      <c r="AE17" s="99">
        <v>2550.6026584847373</v>
      </c>
      <c r="AF17" s="99">
        <v>4.1255008074543253</v>
      </c>
      <c r="AG17" s="99">
        <v>1742.6115410687069</v>
      </c>
      <c r="AH17" s="99">
        <v>6.1965693299751576</v>
      </c>
      <c r="AI17" s="99">
        <v>2617.4308849815066</v>
      </c>
      <c r="AJ17" s="99">
        <v>5.1135731901375232</v>
      </c>
      <c r="AK17" s="99">
        <v>2159.9733155140898</v>
      </c>
      <c r="AL17" s="99">
        <v>6</v>
      </c>
      <c r="AM17" s="99">
        <v>2534.3999999999996</v>
      </c>
      <c r="AN17" s="99">
        <v>7</v>
      </c>
      <c r="AO17" s="99">
        <v>2956.7999999999997</v>
      </c>
      <c r="AP17" s="99">
        <v>7</v>
      </c>
      <c r="AQ17" s="99">
        <v>2956.7999999999997</v>
      </c>
      <c r="AR17" s="99">
        <v>8.4211467753821694</v>
      </c>
      <c r="AS17" s="99">
        <v>3557.0923979214281</v>
      </c>
      <c r="AT17" s="99">
        <v>3.2494680275789052</v>
      </c>
      <c r="AU17" s="99">
        <v>1372.5752948493296</v>
      </c>
      <c r="AV17" s="99">
        <v>4.2625862368826315</v>
      </c>
      <c r="AW17" s="99">
        <v>1800.5164264592233</v>
      </c>
      <c r="AX17" s="99">
        <v>3.8570952062751602</v>
      </c>
      <c r="AY17" s="99">
        <v>1629.2370151306277</v>
      </c>
      <c r="AZ17" s="99">
        <v>8</v>
      </c>
      <c r="BA17" s="99">
        <v>3379.2</v>
      </c>
      <c r="BB17" s="99">
        <v>6.0322443512531114</v>
      </c>
      <c r="BC17" s="99">
        <v>2548.0200139693143</v>
      </c>
      <c r="BD17" s="99">
        <v>3.0064806351912932</v>
      </c>
      <c r="BE17" s="99">
        <v>1269.9374203048021</v>
      </c>
      <c r="BF17" s="99">
        <v>9.2994601605853298</v>
      </c>
      <c r="BG17" s="99">
        <v>3928.091971831243</v>
      </c>
      <c r="BH17" s="99">
        <v>3.1636986288884983</v>
      </c>
      <c r="BI17" s="99">
        <v>1336.3463008425017</v>
      </c>
      <c r="BJ17" s="99">
        <v>2.9192484438879269</v>
      </c>
      <c r="BK17" s="99">
        <v>1233.0905426982604</v>
      </c>
      <c r="BL17" s="99">
        <v>9</v>
      </c>
      <c r="BM17" s="99">
        <v>3801.6</v>
      </c>
      <c r="BN17" s="99">
        <v>9</v>
      </c>
      <c r="BO17" s="99">
        <v>3801.6</v>
      </c>
      <c r="BP17" s="99">
        <v>9.132432788622209</v>
      </c>
      <c r="BQ17" s="99">
        <v>3857.5396099140207</v>
      </c>
      <c r="BR17" s="99">
        <v>9.375277482237216</v>
      </c>
      <c r="BS17" s="99">
        <v>3960.1172084969999</v>
      </c>
      <c r="BT17" s="99">
        <v>2.4124711200478659</v>
      </c>
      <c r="BU17" s="99">
        <v>1019.0278011082185</v>
      </c>
      <c r="BV17" s="99">
        <v>7.6733056568174218</v>
      </c>
      <c r="BW17" s="99">
        <v>3241.2043094396786</v>
      </c>
      <c r="BX17" s="99">
        <v>6.2707672754235766</v>
      </c>
      <c r="BY17" s="99">
        <v>2648.7720971389185</v>
      </c>
      <c r="BZ17" s="99">
        <v>6.3882429025560308</v>
      </c>
      <c r="CA17" s="99">
        <v>2698.3938020396672</v>
      </c>
      <c r="CB17" s="99">
        <v>6</v>
      </c>
      <c r="CC17" s="99">
        <v>2534.3999999999996</v>
      </c>
      <c r="CD17" s="99">
        <v>5.6321518934888513</v>
      </c>
      <c r="CE17" s="99">
        <v>2379.0209598096908</v>
      </c>
      <c r="CF17" s="99">
        <v>5.6551895866391009</v>
      </c>
      <c r="CG17" s="99">
        <v>2388.7520813963561</v>
      </c>
      <c r="CH17" s="99">
        <v>6.5245239649206352</v>
      </c>
      <c r="CI17" s="99">
        <v>2755.9589227824763</v>
      </c>
      <c r="CJ17" s="99">
        <v>0.93236791937464558</v>
      </c>
      <c r="CK17" s="99">
        <v>393.83220914385026</v>
      </c>
      <c r="CL17" s="99">
        <v>4.9723142622331711</v>
      </c>
      <c r="CM17" s="99">
        <v>2100.3055443672915</v>
      </c>
      <c r="CN17" s="99">
        <v>7</v>
      </c>
      <c r="CO17" s="99">
        <v>2956.7999999999997</v>
      </c>
      <c r="CP17" s="99">
        <v>7.0475308181566581</v>
      </c>
      <c r="CQ17" s="99">
        <v>2976.8770175893724</v>
      </c>
      <c r="CR17" s="99">
        <v>5.8277836717726048</v>
      </c>
      <c r="CS17" s="99">
        <v>2461.6558229567481</v>
      </c>
      <c r="CT17" s="99">
        <v>7.4832778392256438</v>
      </c>
      <c r="CU17" s="99">
        <v>3160.9365592889117</v>
      </c>
    </row>
    <row r="18" spans="2:99">
      <c r="C18" s="98" t="s">
        <v>184</v>
      </c>
      <c r="D18" s="99">
        <v>9</v>
      </c>
      <c r="E18" s="99">
        <v>5875.2</v>
      </c>
      <c r="F18" s="99">
        <v>9</v>
      </c>
      <c r="G18" s="99">
        <v>5875.2</v>
      </c>
      <c r="H18" s="99">
        <v>6</v>
      </c>
      <c r="I18" s="99">
        <v>3916.7999999999997</v>
      </c>
      <c r="J18" s="99">
        <v>8</v>
      </c>
      <c r="K18" s="99">
        <v>5222.3999999999996</v>
      </c>
      <c r="L18" s="99">
        <v>8.3825863570422356</v>
      </c>
      <c r="M18" s="99">
        <v>5472.1523738771712</v>
      </c>
      <c r="N18" s="99">
        <v>8</v>
      </c>
      <c r="O18" s="99">
        <v>5222.3999999999996</v>
      </c>
      <c r="P18" s="99">
        <v>6</v>
      </c>
      <c r="Q18" s="99">
        <v>3916.7999999999997</v>
      </c>
      <c r="R18" s="99">
        <v>8</v>
      </c>
      <c r="S18" s="99">
        <v>5222.3999999999996</v>
      </c>
      <c r="T18" s="99">
        <v>5</v>
      </c>
      <c r="U18" s="99">
        <v>3264</v>
      </c>
      <c r="V18" s="99">
        <v>6</v>
      </c>
      <c r="W18" s="99">
        <v>3916.7999999999997</v>
      </c>
      <c r="X18" s="99">
        <v>8</v>
      </c>
      <c r="Y18" s="99">
        <v>5222.3999999999996</v>
      </c>
      <c r="Z18" s="99">
        <v>7</v>
      </c>
      <c r="AA18" s="99">
        <v>4569.5999999999995</v>
      </c>
      <c r="AB18" s="99">
        <v>7</v>
      </c>
      <c r="AC18" s="99">
        <v>4569.5999999999995</v>
      </c>
      <c r="AD18" s="99">
        <v>5.1951629878708294</v>
      </c>
      <c r="AE18" s="99">
        <v>3391.4023984820774</v>
      </c>
      <c r="AF18" s="99">
        <v>4.58388978606036</v>
      </c>
      <c r="AG18" s="99">
        <v>2992.363252340203</v>
      </c>
      <c r="AH18" s="99">
        <v>6.1965693299751576</v>
      </c>
      <c r="AI18" s="99">
        <v>4045.1204586077824</v>
      </c>
      <c r="AJ18" s="99">
        <v>4.2613109917812695</v>
      </c>
      <c r="AK18" s="99">
        <v>2781.7838154348124</v>
      </c>
      <c r="AL18" s="99">
        <v>6</v>
      </c>
      <c r="AM18" s="99">
        <v>3916.7999999999997</v>
      </c>
      <c r="AN18" s="99">
        <v>8</v>
      </c>
      <c r="AO18" s="99">
        <v>5222.3999999999996</v>
      </c>
      <c r="AP18" s="99">
        <v>8</v>
      </c>
      <c r="AQ18" s="99">
        <v>5222.3999999999996</v>
      </c>
      <c r="AR18" s="99">
        <v>6.7574032748682828</v>
      </c>
      <c r="AS18" s="99">
        <v>4411.2328578340148</v>
      </c>
      <c r="AT18" s="99">
        <v>2.9188597821576274</v>
      </c>
      <c r="AU18" s="99">
        <v>1905.431665792499</v>
      </c>
      <c r="AV18" s="99">
        <v>4.2625862368826315</v>
      </c>
      <c r="AW18" s="99">
        <v>2782.6162954369815</v>
      </c>
      <c r="AX18" s="99">
        <v>3.8570952062751602</v>
      </c>
      <c r="AY18" s="99">
        <v>2517.9117506564244</v>
      </c>
      <c r="AZ18" s="99">
        <v>8</v>
      </c>
      <c r="BA18" s="99">
        <v>5222.3999999999996</v>
      </c>
      <c r="BB18" s="99">
        <v>6.0322443512531114</v>
      </c>
      <c r="BC18" s="99">
        <v>3937.849112498031</v>
      </c>
      <c r="BD18" s="99">
        <v>2.5054005293260779</v>
      </c>
      <c r="BE18" s="99">
        <v>1635.5254655440635</v>
      </c>
      <c r="BF18" s="99">
        <v>8.2994601605853298</v>
      </c>
      <c r="BG18" s="99">
        <v>5417.8875928301031</v>
      </c>
      <c r="BH18" s="99">
        <v>3.1636986288884983</v>
      </c>
      <c r="BI18" s="99">
        <v>2065.2624649384115</v>
      </c>
      <c r="BJ18" s="99">
        <v>2.5948875056781571</v>
      </c>
      <c r="BK18" s="99">
        <v>1693.9425637067009</v>
      </c>
      <c r="BL18" s="99">
        <v>8</v>
      </c>
      <c r="BM18" s="99">
        <v>5222.3999999999996</v>
      </c>
      <c r="BN18" s="99">
        <v>8</v>
      </c>
      <c r="BO18" s="99">
        <v>5222.3999999999996</v>
      </c>
      <c r="BP18" s="99">
        <v>9.132432788622209</v>
      </c>
      <c r="BQ18" s="99">
        <v>5961.6521244125779</v>
      </c>
      <c r="BR18" s="99">
        <v>9.3644579639358305</v>
      </c>
      <c r="BS18" s="99">
        <v>6113.1181588573099</v>
      </c>
      <c r="BT18" s="99">
        <v>2.115257241362607</v>
      </c>
      <c r="BU18" s="99">
        <v>1380.8399271615096</v>
      </c>
      <c r="BV18" s="99">
        <v>6.8630834303172463</v>
      </c>
      <c r="BW18" s="99">
        <v>4480.2208633110977</v>
      </c>
      <c r="BX18" s="99">
        <v>6.248317404264828</v>
      </c>
      <c r="BY18" s="99">
        <v>4078.9016015040793</v>
      </c>
      <c r="BZ18" s="99">
        <v>6.3882429025560308</v>
      </c>
      <c r="CA18" s="99">
        <v>4170.2449667885767</v>
      </c>
      <c r="CB18" s="99">
        <v>6</v>
      </c>
      <c r="CC18" s="99">
        <v>3916.7999999999997</v>
      </c>
      <c r="CD18" s="99">
        <v>5.6321518934888513</v>
      </c>
      <c r="CE18" s="99">
        <v>3676.6687560695218</v>
      </c>
      <c r="CF18" s="99">
        <v>4.886684698685305</v>
      </c>
      <c r="CG18" s="99">
        <v>3190.0277713017667</v>
      </c>
      <c r="CH18" s="99">
        <v>5.9313854226551239</v>
      </c>
      <c r="CI18" s="99">
        <v>3872.0084039092644</v>
      </c>
      <c r="CJ18" s="99">
        <v>1.0816029151460769</v>
      </c>
      <c r="CK18" s="99">
        <v>706.07038300735894</v>
      </c>
      <c r="CL18" s="99">
        <v>4.9723142622331711</v>
      </c>
      <c r="CM18" s="99">
        <v>3245.9267503858136</v>
      </c>
      <c r="CN18" s="99">
        <v>8</v>
      </c>
      <c r="CO18" s="99">
        <v>5222.3999999999996</v>
      </c>
      <c r="CP18" s="99">
        <v>7.8305897979518422</v>
      </c>
      <c r="CQ18" s="99">
        <v>5111.8090201029618</v>
      </c>
      <c r="CR18" s="99">
        <v>5.8277836717726048</v>
      </c>
      <c r="CS18" s="99">
        <v>3804.3771809331561</v>
      </c>
      <c r="CT18" s="99">
        <v>7.4832778392256438</v>
      </c>
      <c r="CU18" s="99">
        <v>4885.0837734465003</v>
      </c>
    </row>
    <row r="19" spans="2:99">
      <c r="C19" s="98" t="s">
        <v>185</v>
      </c>
      <c r="D19" s="99">
        <v>9</v>
      </c>
      <c r="E19" s="99">
        <v>2970</v>
      </c>
      <c r="F19" s="99">
        <v>8</v>
      </c>
      <c r="G19" s="99">
        <v>2640</v>
      </c>
      <c r="H19" s="99">
        <v>6</v>
      </c>
      <c r="I19" s="99">
        <v>1980</v>
      </c>
      <c r="J19" s="99">
        <v>8</v>
      </c>
      <c r="K19" s="99">
        <v>2640</v>
      </c>
      <c r="L19" s="99">
        <v>9.3825863570422356</v>
      </c>
      <c r="M19" s="99">
        <v>3096.2534978239378</v>
      </c>
      <c r="N19" s="99">
        <v>9</v>
      </c>
      <c r="O19" s="99">
        <v>2970</v>
      </c>
      <c r="P19" s="99">
        <v>6</v>
      </c>
      <c r="Q19" s="99">
        <v>1980</v>
      </c>
      <c r="R19" s="99">
        <v>8</v>
      </c>
      <c r="S19" s="99">
        <v>2640</v>
      </c>
      <c r="T19" s="99">
        <v>5</v>
      </c>
      <c r="U19" s="99">
        <v>1650</v>
      </c>
      <c r="V19" s="99">
        <v>6</v>
      </c>
      <c r="W19" s="99">
        <v>1980</v>
      </c>
      <c r="X19" s="99">
        <v>8</v>
      </c>
      <c r="Y19" s="99">
        <v>2640</v>
      </c>
      <c r="Z19" s="99">
        <v>7</v>
      </c>
      <c r="AA19" s="99">
        <v>2310</v>
      </c>
      <c r="AB19" s="99">
        <v>8</v>
      </c>
      <c r="AC19" s="99">
        <v>2640</v>
      </c>
      <c r="AD19" s="99">
        <v>5.1951629878708294</v>
      </c>
      <c r="AE19" s="99">
        <v>1714.4037859973737</v>
      </c>
      <c r="AF19" s="99">
        <v>4.1255008074543253</v>
      </c>
      <c r="AG19" s="99">
        <v>1361.4152664599274</v>
      </c>
      <c r="AH19" s="99">
        <v>6.201006131819355</v>
      </c>
      <c r="AI19" s="99">
        <v>2046.3320235003871</v>
      </c>
      <c r="AJ19" s="99">
        <v>5.1135731901375232</v>
      </c>
      <c r="AK19" s="99">
        <v>1687.4791527453826</v>
      </c>
      <c r="AL19" s="99">
        <v>6</v>
      </c>
      <c r="AM19" s="99">
        <v>1980</v>
      </c>
      <c r="AN19" s="99">
        <v>8</v>
      </c>
      <c r="AO19" s="99">
        <v>2640</v>
      </c>
      <c r="AP19" s="99">
        <v>8</v>
      </c>
      <c r="AQ19" s="99">
        <v>2640</v>
      </c>
      <c r="AR19" s="99">
        <v>7.5892750251252252</v>
      </c>
      <c r="AS19" s="99">
        <v>2504.4607582913245</v>
      </c>
      <c r="AT19" s="99">
        <v>2.9188597821576274</v>
      </c>
      <c r="AU19" s="99">
        <v>963.22372811201706</v>
      </c>
      <c r="AV19" s="99">
        <v>4.2625862368826315</v>
      </c>
      <c r="AW19" s="99">
        <v>1406.6534581712683</v>
      </c>
      <c r="AX19" s="99">
        <v>4.4999444073210206</v>
      </c>
      <c r="AY19" s="99">
        <v>1484.9816544159369</v>
      </c>
      <c r="AZ19" s="99">
        <v>7</v>
      </c>
      <c r="BA19" s="99">
        <v>2310</v>
      </c>
      <c r="BB19" s="99">
        <v>6.7731748331566006</v>
      </c>
      <c r="BC19" s="99">
        <v>2235.1476949416783</v>
      </c>
      <c r="BD19" s="99">
        <v>2.5054005293260779</v>
      </c>
      <c r="BE19" s="99">
        <v>826.78217467760567</v>
      </c>
      <c r="BF19" s="99">
        <v>8.3368926806584955</v>
      </c>
      <c r="BG19" s="99">
        <v>2751.1745846173035</v>
      </c>
      <c r="BH19" s="99">
        <v>3.5004905845850667</v>
      </c>
      <c r="BI19" s="99">
        <v>1155.1618929130721</v>
      </c>
      <c r="BJ19" s="99">
        <v>2.5948875056781571</v>
      </c>
      <c r="BK19" s="99">
        <v>856.31287687379188</v>
      </c>
      <c r="BL19" s="99">
        <v>8</v>
      </c>
      <c r="BM19" s="99">
        <v>2640</v>
      </c>
      <c r="BN19" s="99">
        <v>8</v>
      </c>
      <c r="BO19" s="99">
        <v>2640</v>
      </c>
      <c r="BP19" s="99">
        <v>8.219189509759989</v>
      </c>
      <c r="BQ19" s="99">
        <v>2712.3325382207963</v>
      </c>
      <c r="BR19" s="99">
        <v>9.3644579639358305</v>
      </c>
      <c r="BS19" s="99">
        <v>3090.2711280988242</v>
      </c>
      <c r="BT19" s="99">
        <v>2.1132125301528548</v>
      </c>
      <c r="BU19" s="99">
        <v>697.3601349504421</v>
      </c>
      <c r="BV19" s="99">
        <v>7.7050811250104099</v>
      </c>
      <c r="BW19" s="99">
        <v>2542.6767712534352</v>
      </c>
      <c r="BX19" s="99">
        <v>7.0041009747443388</v>
      </c>
      <c r="BY19" s="99">
        <v>2311.3533216656319</v>
      </c>
      <c r="BZ19" s="99">
        <v>6.3882429025560308</v>
      </c>
      <c r="CA19" s="99">
        <v>2108.1201578434902</v>
      </c>
      <c r="CB19" s="99">
        <v>6</v>
      </c>
      <c r="CC19" s="99">
        <v>1980</v>
      </c>
      <c r="CD19" s="99">
        <v>6.570843875736994</v>
      </c>
      <c r="CE19" s="99">
        <v>2168.3784789932079</v>
      </c>
      <c r="CF19" s="99">
        <v>5.6301300074606893</v>
      </c>
      <c r="CG19" s="99">
        <v>1857.9429024620274</v>
      </c>
      <c r="CH19" s="99">
        <v>5.3382468803896108</v>
      </c>
      <c r="CI19" s="99">
        <v>1761.6214705285715</v>
      </c>
      <c r="CJ19" s="99">
        <v>0.93236791937464558</v>
      </c>
      <c r="CK19" s="99">
        <v>307.68141339363302</v>
      </c>
      <c r="CL19" s="99">
        <v>4.9723142622331711</v>
      </c>
      <c r="CM19" s="99">
        <v>1640.8637065369464</v>
      </c>
      <c r="CN19" s="99">
        <v>8</v>
      </c>
      <c r="CO19" s="99">
        <v>2640</v>
      </c>
      <c r="CP19" s="99">
        <v>8.6136487777470272</v>
      </c>
      <c r="CQ19" s="99">
        <v>2842.5040966565189</v>
      </c>
      <c r="CR19" s="99">
        <v>5.8277836717726048</v>
      </c>
      <c r="CS19" s="99">
        <v>1923.1686116849596</v>
      </c>
      <c r="CT19" s="99">
        <v>6.734950055303079</v>
      </c>
      <c r="CU19" s="99">
        <v>2222.5335182500162</v>
      </c>
    </row>
    <row r="20" spans="2:99">
      <c r="B20" s="98" t="s">
        <v>127</v>
      </c>
      <c r="C20" s="98" t="s">
        <v>186</v>
      </c>
      <c r="D20" s="99">
        <v>9</v>
      </c>
      <c r="E20" s="99">
        <v>2581.2000000000003</v>
      </c>
      <c r="F20" s="99">
        <v>10</v>
      </c>
      <c r="G20" s="99">
        <v>2868</v>
      </c>
      <c r="H20" s="99">
        <v>14</v>
      </c>
      <c r="I20" s="99">
        <v>4015.2000000000003</v>
      </c>
      <c r="J20" s="99">
        <v>12</v>
      </c>
      <c r="K20" s="99">
        <v>3441.6000000000004</v>
      </c>
      <c r="L20" s="99">
        <v>11.621702830193634</v>
      </c>
      <c r="M20" s="99">
        <v>3333.1043716995341</v>
      </c>
      <c r="N20" s="99">
        <v>14</v>
      </c>
      <c r="O20" s="99">
        <v>4015.2000000000003</v>
      </c>
      <c r="P20" s="99">
        <v>14</v>
      </c>
      <c r="Q20" s="99">
        <v>4015.2000000000003</v>
      </c>
      <c r="R20" s="99">
        <v>12</v>
      </c>
      <c r="S20" s="99">
        <v>3441.6000000000004</v>
      </c>
      <c r="T20" s="99">
        <v>11</v>
      </c>
      <c r="U20" s="99">
        <v>3154.8</v>
      </c>
      <c r="V20" s="99">
        <v>10</v>
      </c>
      <c r="W20" s="99">
        <v>2868</v>
      </c>
      <c r="X20" s="99">
        <v>8</v>
      </c>
      <c r="Y20" s="99">
        <v>2294.4</v>
      </c>
      <c r="Z20" s="99">
        <v>13</v>
      </c>
      <c r="AA20" s="99">
        <v>3728.4</v>
      </c>
      <c r="AB20" s="99">
        <v>13</v>
      </c>
      <c r="AC20" s="99">
        <v>3728.4</v>
      </c>
      <c r="AD20" s="99">
        <v>11.148528106756267</v>
      </c>
      <c r="AE20" s="99">
        <v>3197.3978610176973</v>
      </c>
      <c r="AF20" s="99">
        <v>5.6542025464638694</v>
      </c>
      <c r="AG20" s="99">
        <v>1621.6252903258378</v>
      </c>
      <c r="AH20" s="99">
        <v>8.5141822261800701</v>
      </c>
      <c r="AI20" s="99">
        <v>2441.867462468444</v>
      </c>
      <c r="AJ20" s="99">
        <v>8.522621983562539</v>
      </c>
      <c r="AK20" s="99">
        <v>2444.2879848857365</v>
      </c>
      <c r="AL20" s="99">
        <v>10</v>
      </c>
      <c r="AM20" s="99">
        <v>2868</v>
      </c>
      <c r="AN20" s="99">
        <v>14</v>
      </c>
      <c r="AO20" s="99">
        <v>4015.2000000000003</v>
      </c>
      <c r="AP20" s="99">
        <v>13</v>
      </c>
      <c r="AQ20" s="99">
        <v>3728.4</v>
      </c>
      <c r="AR20" s="99">
        <v>8.4796777884180194</v>
      </c>
      <c r="AS20" s="99">
        <v>2431.9715897182882</v>
      </c>
      <c r="AT20" s="99">
        <v>5.923342632686321</v>
      </c>
      <c r="AU20" s="99">
        <v>1698.814667054437</v>
      </c>
      <c r="AV20" s="99">
        <v>7.3950058111802042</v>
      </c>
      <c r="AW20" s="99">
        <v>2120.8876666464826</v>
      </c>
      <c r="AX20" s="99">
        <v>8.3570396135961804</v>
      </c>
      <c r="AY20" s="99">
        <v>2396.7989611793846</v>
      </c>
      <c r="AZ20" s="99">
        <v>15</v>
      </c>
      <c r="BA20" s="99">
        <v>4302</v>
      </c>
      <c r="BB20" s="99">
        <v>9.2055672709174701</v>
      </c>
      <c r="BC20" s="99">
        <v>2640.1566932991304</v>
      </c>
      <c r="BD20" s="99">
        <v>6.5140413762478016</v>
      </c>
      <c r="BE20" s="99">
        <v>1868.2270667078697</v>
      </c>
      <c r="BF20" s="99">
        <v>12.636352841243825</v>
      </c>
      <c r="BG20" s="99">
        <v>3624.1059948687293</v>
      </c>
      <c r="BH20" s="99">
        <v>5.287561162327429</v>
      </c>
      <c r="BI20" s="99">
        <v>1516.4725413555068</v>
      </c>
      <c r="BJ20" s="99">
        <v>3.8923312585172356</v>
      </c>
      <c r="BK20" s="99">
        <v>1116.3206049427431</v>
      </c>
      <c r="BL20" s="99">
        <v>10</v>
      </c>
      <c r="BM20" s="99">
        <v>2868</v>
      </c>
      <c r="BN20" s="99">
        <v>13</v>
      </c>
      <c r="BO20" s="99">
        <v>3728.4</v>
      </c>
      <c r="BP20" s="99">
        <v>14.611892461795534</v>
      </c>
      <c r="BQ20" s="99">
        <v>4190.6907580429597</v>
      </c>
      <c r="BR20" s="99">
        <v>13.667258616648951</v>
      </c>
      <c r="BS20" s="99">
        <v>3919.7697712549193</v>
      </c>
      <c r="BT20" s="99">
        <v>3.9312558928302019</v>
      </c>
      <c r="BU20" s="99">
        <v>1127.484190063702</v>
      </c>
      <c r="BV20" s="99">
        <v>11.851518662090246</v>
      </c>
      <c r="BW20" s="99">
        <v>3399.0155522874829</v>
      </c>
      <c r="BX20" s="99">
        <v>10.296633710567368</v>
      </c>
      <c r="BY20" s="99">
        <v>2953.0745481907215</v>
      </c>
      <c r="BZ20" s="99">
        <v>8.5176572034080422</v>
      </c>
      <c r="CA20" s="99">
        <v>2442.8640859374268</v>
      </c>
      <c r="CB20" s="99">
        <v>10</v>
      </c>
      <c r="CC20" s="99">
        <v>2868</v>
      </c>
      <c r="CD20" s="99">
        <v>12.202995769225845</v>
      </c>
      <c r="CE20" s="99">
        <v>3499.8191866139728</v>
      </c>
      <c r="CF20" s="99">
        <v>7.4427951543308106</v>
      </c>
      <c r="CG20" s="99">
        <v>2134.5936502620766</v>
      </c>
      <c r="CH20" s="99">
        <v>10.083355218513709</v>
      </c>
      <c r="CI20" s="99">
        <v>2891.9062766697321</v>
      </c>
      <c r="CJ20" s="99">
        <v>2.3309197984366139</v>
      </c>
      <c r="CK20" s="99">
        <v>668.50779819162085</v>
      </c>
      <c r="CL20" s="99">
        <v>8.0800106761289019</v>
      </c>
      <c r="CM20" s="99">
        <v>2317.3470619137693</v>
      </c>
      <c r="CN20" s="99">
        <v>17</v>
      </c>
      <c r="CO20" s="99">
        <v>4875.6000000000004</v>
      </c>
      <c r="CP20" s="99">
        <v>13.312002656518132</v>
      </c>
      <c r="CQ20" s="99">
        <v>3817.8823618894003</v>
      </c>
      <c r="CR20" s="99">
        <v>9.1579457699283786</v>
      </c>
      <c r="CS20" s="99">
        <v>2626.4988468154593</v>
      </c>
      <c r="CT20" s="99">
        <v>7.4832778392256438</v>
      </c>
      <c r="CU20" s="99">
        <v>2146.2040842899146</v>
      </c>
    </row>
    <row r="21" spans="2:99">
      <c r="C21" s="98" t="s">
        <v>187</v>
      </c>
      <c r="D21" s="99">
        <v>10</v>
      </c>
      <c r="E21" s="99">
        <v>624</v>
      </c>
      <c r="F21" s="99">
        <v>9</v>
      </c>
      <c r="G21" s="99">
        <v>561.6</v>
      </c>
      <c r="H21" s="99">
        <v>14</v>
      </c>
      <c r="I21" s="99">
        <v>873.6</v>
      </c>
      <c r="J21" s="99">
        <v>12</v>
      </c>
      <c r="K21" s="99">
        <v>748.8</v>
      </c>
      <c r="L21" s="99">
        <v>11.621702830193634</v>
      </c>
      <c r="M21" s="99">
        <v>725.19425660408274</v>
      </c>
      <c r="N21" s="99">
        <v>15</v>
      </c>
      <c r="O21" s="99">
        <v>936</v>
      </c>
      <c r="P21" s="99">
        <v>14</v>
      </c>
      <c r="Q21" s="99">
        <v>873.6</v>
      </c>
      <c r="R21" s="99">
        <v>12</v>
      </c>
      <c r="S21" s="99">
        <v>748.8</v>
      </c>
      <c r="T21" s="99">
        <v>11</v>
      </c>
      <c r="U21" s="99">
        <v>686.4</v>
      </c>
      <c r="V21" s="99">
        <v>9</v>
      </c>
      <c r="W21" s="99">
        <v>561.6</v>
      </c>
      <c r="X21" s="99">
        <v>8</v>
      </c>
      <c r="Y21" s="99">
        <v>499.2</v>
      </c>
      <c r="Z21" s="99">
        <v>13</v>
      </c>
      <c r="AA21" s="99">
        <v>811.19999999999993</v>
      </c>
      <c r="AB21" s="99">
        <v>13</v>
      </c>
      <c r="AC21" s="99">
        <v>811.19999999999993</v>
      </c>
      <c r="AD21" s="99">
        <v>13.678114842609242</v>
      </c>
      <c r="AE21" s="99">
        <v>853.51436617881666</v>
      </c>
      <c r="AF21" s="99">
        <v>4.7220711089326537</v>
      </c>
      <c r="AG21" s="99">
        <v>294.65723719739759</v>
      </c>
      <c r="AH21" s="99">
        <v>6.9838963015241209</v>
      </c>
      <c r="AI21" s="99">
        <v>435.79512921510513</v>
      </c>
      <c r="AJ21" s="99">
        <v>8.522621983562539</v>
      </c>
      <c r="AK21" s="99">
        <v>531.81161177430238</v>
      </c>
      <c r="AL21" s="99">
        <v>10</v>
      </c>
      <c r="AM21" s="99">
        <v>624</v>
      </c>
      <c r="AN21" s="99">
        <v>14</v>
      </c>
      <c r="AO21" s="99">
        <v>873.6</v>
      </c>
      <c r="AP21" s="99">
        <v>13</v>
      </c>
      <c r="AQ21" s="99">
        <v>811.19999999999993</v>
      </c>
      <c r="AR21" s="99">
        <v>7.6624387914200369</v>
      </c>
      <c r="AS21" s="99">
        <v>478.13618058461032</v>
      </c>
      <c r="AT21" s="99">
        <v>5.5242359325681916</v>
      </c>
      <c r="AU21" s="99">
        <v>344.71232219225516</v>
      </c>
      <c r="AV21" s="99">
        <v>6.3704174995550753</v>
      </c>
      <c r="AW21" s="99">
        <v>397.5140519722367</v>
      </c>
      <c r="AX21" s="99">
        <v>8.9998888146420413</v>
      </c>
      <c r="AY21" s="99">
        <v>561.59306203366339</v>
      </c>
      <c r="AZ21" s="99">
        <v>13</v>
      </c>
      <c r="BA21" s="99">
        <v>811.19999999999993</v>
      </c>
      <c r="BB21" s="99">
        <v>9.2055672709174701</v>
      </c>
      <c r="BC21" s="99">
        <v>574.42739770525009</v>
      </c>
      <c r="BD21" s="99">
        <v>6.0129612703825863</v>
      </c>
      <c r="BE21" s="99">
        <v>375.20878327187336</v>
      </c>
      <c r="BF21" s="99">
        <v>12.673785361316991</v>
      </c>
      <c r="BG21" s="99">
        <v>790.8442065461802</v>
      </c>
      <c r="BH21" s="99">
        <v>5.9316848453607012</v>
      </c>
      <c r="BI21" s="99">
        <v>370.13713435050772</v>
      </c>
      <c r="BJ21" s="99">
        <v>3.8923312585172356</v>
      </c>
      <c r="BK21" s="99">
        <v>242.88147053147549</v>
      </c>
      <c r="BL21" s="99">
        <v>9</v>
      </c>
      <c r="BM21" s="99">
        <v>561.6</v>
      </c>
      <c r="BN21" s="99">
        <v>12</v>
      </c>
      <c r="BO21" s="99">
        <v>748.8</v>
      </c>
      <c r="BP21" s="99">
        <v>14.611892461795534</v>
      </c>
      <c r="BQ21" s="99">
        <v>911.78208961604128</v>
      </c>
      <c r="BR21" s="99">
        <v>13.688897653251724</v>
      </c>
      <c r="BS21" s="99">
        <v>854.18721356290757</v>
      </c>
      <c r="BT21" s="99">
        <v>3.9333006040399541</v>
      </c>
      <c r="BU21" s="99">
        <v>245.43795769209314</v>
      </c>
      <c r="BV21" s="99">
        <v>11.104847371976046</v>
      </c>
      <c r="BW21" s="99">
        <v>692.9424760113053</v>
      </c>
      <c r="BX21" s="99">
        <v>9.5184002689291081</v>
      </c>
      <c r="BY21" s="99">
        <v>593.94817678117636</v>
      </c>
      <c r="BZ21" s="99">
        <v>9.9372667373093826</v>
      </c>
      <c r="CA21" s="99">
        <v>620.08544440810545</v>
      </c>
      <c r="CB21" s="99">
        <v>9</v>
      </c>
      <c r="CC21" s="99">
        <v>561.6</v>
      </c>
      <c r="CD21" s="99">
        <v>14.080379733722129</v>
      </c>
      <c r="CE21" s="99">
        <v>878.61569538426079</v>
      </c>
      <c r="CF21" s="99">
        <v>6.6742902663770147</v>
      </c>
      <c r="CG21" s="99">
        <v>416.47571262192571</v>
      </c>
      <c r="CH21" s="99">
        <v>10.083355218513709</v>
      </c>
      <c r="CI21" s="99">
        <v>629.20136563525546</v>
      </c>
      <c r="CJ21" s="99">
        <v>2.6340095330727342</v>
      </c>
      <c r="CK21" s="99">
        <v>164.36219486373861</v>
      </c>
      <c r="CL21" s="99">
        <v>8.0800106761289019</v>
      </c>
      <c r="CM21" s="99">
        <v>504.19266619044345</v>
      </c>
      <c r="CN21" s="99">
        <v>17</v>
      </c>
      <c r="CO21" s="99">
        <v>1060.8</v>
      </c>
      <c r="CP21" s="99">
        <v>11.745884696927764</v>
      </c>
      <c r="CQ21" s="99">
        <v>732.94320508829242</v>
      </c>
      <c r="CR21" s="99">
        <v>9.9904862944673223</v>
      </c>
      <c r="CS21" s="99">
        <v>623.4063447747609</v>
      </c>
      <c r="CT21" s="99">
        <v>8.2316056231482087</v>
      </c>
      <c r="CU21" s="99">
        <v>513.65219088444826</v>
      </c>
    </row>
    <row r="22" spans="2:99">
      <c r="C22" s="98" t="s">
        <v>188</v>
      </c>
      <c r="D22" s="99">
        <v>9</v>
      </c>
      <c r="E22" s="99">
        <v>1684.8</v>
      </c>
      <c r="F22" s="99">
        <v>9</v>
      </c>
      <c r="G22" s="99">
        <v>1684.8</v>
      </c>
      <c r="H22" s="99">
        <v>12</v>
      </c>
      <c r="I22" s="99">
        <v>2246.3999999999996</v>
      </c>
      <c r="J22" s="99">
        <v>10</v>
      </c>
      <c r="K22" s="99">
        <v>1872</v>
      </c>
      <c r="L22" s="99">
        <v>10.573879535563353</v>
      </c>
      <c r="M22" s="99">
        <v>1979.4302490574596</v>
      </c>
      <c r="N22" s="99">
        <v>15</v>
      </c>
      <c r="O22" s="99">
        <v>2808</v>
      </c>
      <c r="P22" s="99">
        <v>14</v>
      </c>
      <c r="Q22" s="99">
        <v>2620.7999999999997</v>
      </c>
      <c r="R22" s="99">
        <v>13</v>
      </c>
      <c r="S22" s="99">
        <v>2433.6</v>
      </c>
      <c r="T22" s="99">
        <v>10</v>
      </c>
      <c r="U22" s="99">
        <v>1872</v>
      </c>
      <c r="V22" s="99">
        <v>11</v>
      </c>
      <c r="W22" s="99">
        <v>2059.1999999999998</v>
      </c>
      <c r="X22" s="99">
        <v>9</v>
      </c>
      <c r="Y22" s="99">
        <v>1684.8</v>
      </c>
      <c r="Z22" s="99">
        <v>12</v>
      </c>
      <c r="AA22" s="99">
        <v>2246.3999999999996</v>
      </c>
      <c r="AB22" s="99">
        <v>12</v>
      </c>
      <c r="AC22" s="99">
        <v>2246.3999999999996</v>
      </c>
      <c r="AD22" s="99">
        <v>12.834919263991582</v>
      </c>
      <c r="AE22" s="99">
        <v>2402.6968862192239</v>
      </c>
      <c r="AF22" s="99">
        <v>5.1804600875386893</v>
      </c>
      <c r="AG22" s="99">
        <v>969.78212838724255</v>
      </c>
      <c r="AH22" s="99">
        <v>7.7534760656962929</v>
      </c>
      <c r="AI22" s="99">
        <v>1451.450719498346</v>
      </c>
      <c r="AJ22" s="99">
        <v>9.3748841819187909</v>
      </c>
      <c r="AK22" s="99">
        <v>1754.9783188551976</v>
      </c>
      <c r="AL22" s="99">
        <v>9</v>
      </c>
      <c r="AM22" s="99">
        <v>1684.8</v>
      </c>
      <c r="AN22" s="99">
        <v>13</v>
      </c>
      <c r="AO22" s="99">
        <v>2433.6</v>
      </c>
      <c r="AP22" s="99">
        <v>15</v>
      </c>
      <c r="AQ22" s="99">
        <v>2808</v>
      </c>
      <c r="AR22" s="99">
        <v>7.6478060381610762</v>
      </c>
      <c r="AS22" s="99">
        <v>1431.6692903437533</v>
      </c>
      <c r="AT22" s="99">
        <v>5.176503073472702</v>
      </c>
      <c r="AU22" s="99">
        <v>969.04137535408972</v>
      </c>
      <c r="AV22" s="99">
        <v>7.4184676669490779</v>
      </c>
      <c r="AW22" s="99">
        <v>1388.7371472528673</v>
      </c>
      <c r="AX22" s="99">
        <v>8.3570396135961804</v>
      </c>
      <c r="AY22" s="99">
        <v>1564.4378156652049</v>
      </c>
      <c r="AZ22" s="99">
        <v>14</v>
      </c>
      <c r="BA22" s="99">
        <v>2620.7999999999997</v>
      </c>
      <c r="BB22" s="99">
        <v>8.4646367890139818</v>
      </c>
      <c r="BC22" s="99">
        <v>1584.5800069034174</v>
      </c>
      <c r="BD22" s="99">
        <v>6.5140413762478016</v>
      </c>
      <c r="BE22" s="99">
        <v>1219.4285456335883</v>
      </c>
      <c r="BF22" s="99">
        <v>12.673785361316991</v>
      </c>
      <c r="BG22" s="99">
        <v>2372.5326196385404</v>
      </c>
      <c r="BH22" s="99">
        <v>5.2581009339675653</v>
      </c>
      <c r="BI22" s="99">
        <v>984.3164948387282</v>
      </c>
      <c r="BJ22" s="99">
        <v>4.2166921967270055</v>
      </c>
      <c r="BK22" s="99">
        <v>789.36477922729534</v>
      </c>
      <c r="BL22" s="99">
        <v>9</v>
      </c>
      <c r="BM22" s="99">
        <v>1684.8</v>
      </c>
      <c r="BN22" s="99">
        <v>12</v>
      </c>
      <c r="BO22" s="99">
        <v>2246.3999999999996</v>
      </c>
      <c r="BP22" s="99">
        <v>13.698649182933314</v>
      </c>
      <c r="BQ22" s="99">
        <v>2564.3871270451164</v>
      </c>
      <c r="BR22" s="99">
        <v>11.998072043410358</v>
      </c>
      <c r="BS22" s="99">
        <v>2246.0390865264189</v>
      </c>
      <c r="BT22" s="99">
        <v>3.9394347376692118</v>
      </c>
      <c r="BU22" s="99">
        <v>737.46218289167643</v>
      </c>
      <c r="BV22" s="99">
        <v>10.294625145475871</v>
      </c>
      <c r="BW22" s="99">
        <v>1927.1538272330829</v>
      </c>
      <c r="BX22" s="99">
        <v>11.80820085152639</v>
      </c>
      <c r="BY22" s="99">
        <v>2210.4951994057401</v>
      </c>
      <c r="BZ22" s="99">
        <v>9.9372667373093826</v>
      </c>
      <c r="CA22" s="99">
        <v>1860.2563332243162</v>
      </c>
      <c r="CB22" s="99">
        <v>10</v>
      </c>
      <c r="CC22" s="99">
        <v>1872</v>
      </c>
      <c r="CD22" s="99">
        <v>14.080379733722129</v>
      </c>
      <c r="CE22" s="99">
        <v>2635.8470861527826</v>
      </c>
      <c r="CF22" s="99">
        <v>6.6742902663770147</v>
      </c>
      <c r="CG22" s="99">
        <v>1249.427137865777</v>
      </c>
      <c r="CH22" s="99">
        <v>8.897078133982685</v>
      </c>
      <c r="CI22" s="99">
        <v>1665.5330266815586</v>
      </c>
      <c r="CJ22" s="99">
        <v>2.335539541529871</v>
      </c>
      <c r="CK22" s="99">
        <v>437.21300217439182</v>
      </c>
      <c r="CL22" s="99">
        <v>8.7015499589080481</v>
      </c>
      <c r="CM22" s="99">
        <v>1628.9301523075865</v>
      </c>
      <c r="CN22" s="99">
        <v>16</v>
      </c>
      <c r="CO22" s="99">
        <v>2995.2</v>
      </c>
      <c r="CP22" s="99">
        <v>13.312002656518132</v>
      </c>
      <c r="CQ22" s="99">
        <v>2492.0068973001939</v>
      </c>
      <c r="CR22" s="99">
        <v>8.3254052453894349</v>
      </c>
      <c r="CS22" s="99">
        <v>1558.5158619369022</v>
      </c>
      <c r="CT22" s="99">
        <v>7.4832778392256438</v>
      </c>
      <c r="CU22" s="99">
        <v>1400.8696115030405</v>
      </c>
    </row>
    <row r="23" spans="2:99">
      <c r="C23" s="98" t="s">
        <v>189</v>
      </c>
      <c r="D23" s="99">
        <v>8</v>
      </c>
      <c r="E23" s="99">
        <v>2352</v>
      </c>
      <c r="F23" s="99">
        <v>10</v>
      </c>
      <c r="G23" s="99">
        <v>2940</v>
      </c>
      <c r="H23" s="99">
        <v>13</v>
      </c>
      <c r="I23" s="99">
        <v>3822</v>
      </c>
      <c r="J23" s="99">
        <v>11</v>
      </c>
      <c r="K23" s="99">
        <v>3234</v>
      </c>
      <c r="L23" s="99">
        <v>10.526056240933073</v>
      </c>
      <c r="M23" s="99">
        <v>3094.6605348343237</v>
      </c>
      <c r="N23" s="99">
        <v>14</v>
      </c>
      <c r="O23" s="99">
        <v>4116</v>
      </c>
      <c r="P23" s="99">
        <v>14</v>
      </c>
      <c r="Q23" s="99">
        <v>4116</v>
      </c>
      <c r="R23" s="99">
        <v>12</v>
      </c>
      <c r="S23" s="99">
        <v>3528</v>
      </c>
      <c r="T23" s="99">
        <v>11</v>
      </c>
      <c r="U23" s="99">
        <v>3234</v>
      </c>
      <c r="V23" s="99">
        <v>10</v>
      </c>
      <c r="W23" s="99">
        <v>2940</v>
      </c>
      <c r="X23" s="99">
        <v>9</v>
      </c>
      <c r="Y23" s="99">
        <v>2646</v>
      </c>
      <c r="Z23" s="99">
        <v>12</v>
      </c>
      <c r="AA23" s="99">
        <v>3528</v>
      </c>
      <c r="AB23" s="99">
        <v>13</v>
      </c>
      <c r="AC23" s="99">
        <v>3822</v>
      </c>
      <c r="AD23" s="99">
        <v>12.851917953512194</v>
      </c>
      <c r="AE23" s="99">
        <v>3778.463878332585</v>
      </c>
      <c r="AF23" s="99">
        <v>5.2111670481769767</v>
      </c>
      <c r="AG23" s="99">
        <v>1532.0831121640313</v>
      </c>
      <c r="AH23" s="99">
        <v>7.7579128675404903</v>
      </c>
      <c r="AI23" s="99">
        <v>2280.826383056904</v>
      </c>
      <c r="AJ23" s="99">
        <v>8.522621983562539</v>
      </c>
      <c r="AK23" s="99">
        <v>2505.6508631673864</v>
      </c>
      <c r="AL23" s="99">
        <v>9</v>
      </c>
      <c r="AM23" s="99">
        <v>2646</v>
      </c>
      <c r="AN23" s="99">
        <v>14</v>
      </c>
      <c r="AO23" s="99">
        <v>4116</v>
      </c>
      <c r="AP23" s="99">
        <v>15</v>
      </c>
      <c r="AQ23" s="99">
        <v>4410</v>
      </c>
      <c r="AR23" s="99">
        <v>7.6478060381610762</v>
      </c>
      <c r="AS23" s="99">
        <v>2248.4549752193566</v>
      </c>
      <c r="AT23" s="99">
        <v>5.1936276871469147</v>
      </c>
      <c r="AU23" s="99">
        <v>1526.926540021193</v>
      </c>
      <c r="AV23" s="99">
        <v>6.9003080471942946</v>
      </c>
      <c r="AW23" s="99">
        <v>2028.6905658751225</v>
      </c>
      <c r="AX23" s="99">
        <v>8.9998888146420413</v>
      </c>
      <c r="AY23" s="99">
        <v>2645.9673115047603</v>
      </c>
      <c r="AZ23" s="99">
        <v>13</v>
      </c>
      <c r="BA23" s="99">
        <v>3822</v>
      </c>
      <c r="BB23" s="99">
        <v>8.4646367890139818</v>
      </c>
      <c r="BC23" s="99">
        <v>2488.6032159701108</v>
      </c>
      <c r="BD23" s="99">
        <v>7.0151214821130177</v>
      </c>
      <c r="BE23" s="99">
        <v>2062.4457157412271</v>
      </c>
      <c r="BF23" s="99">
        <v>12.636352841243825</v>
      </c>
      <c r="BG23" s="99">
        <v>3715.0877353256847</v>
      </c>
      <c r="BH23" s="99">
        <v>5.2728310481474967</v>
      </c>
      <c r="BI23" s="99">
        <v>1550.212328155364</v>
      </c>
      <c r="BJ23" s="99">
        <v>4.5410531349367753</v>
      </c>
      <c r="BK23" s="99">
        <v>1335.0696216714121</v>
      </c>
      <c r="BL23" s="99">
        <v>9</v>
      </c>
      <c r="BM23" s="99">
        <v>2646</v>
      </c>
      <c r="BN23" s="99">
        <v>13</v>
      </c>
      <c r="BO23" s="99">
        <v>3822</v>
      </c>
      <c r="BP23" s="99">
        <v>12.785405904071093</v>
      </c>
      <c r="BQ23" s="99">
        <v>3758.9093357969014</v>
      </c>
      <c r="BR23" s="99">
        <v>12.832665330029656</v>
      </c>
      <c r="BS23" s="99">
        <v>3772.8036070287189</v>
      </c>
      <c r="BT23" s="99">
        <v>3.9353453152497067</v>
      </c>
      <c r="BU23" s="99">
        <v>1156.9915226834137</v>
      </c>
      <c r="BV23" s="99">
        <v>11.91506959847622</v>
      </c>
      <c r="BW23" s="99">
        <v>3503.0304619520089</v>
      </c>
      <c r="BX23" s="99">
        <v>10.985067667570632</v>
      </c>
      <c r="BY23" s="99">
        <v>3229.6098942657659</v>
      </c>
      <c r="BZ23" s="99">
        <v>9.2274619703587106</v>
      </c>
      <c r="CA23" s="99">
        <v>2712.8738192854607</v>
      </c>
      <c r="CB23" s="99">
        <v>9</v>
      </c>
      <c r="CC23" s="99">
        <v>2646</v>
      </c>
      <c r="CD23" s="99">
        <v>13.141687751473988</v>
      </c>
      <c r="CE23" s="99">
        <v>3863.6561989333527</v>
      </c>
      <c r="CF23" s="99">
        <v>6.1480391036303681</v>
      </c>
      <c r="CG23" s="99">
        <v>1807.5234964673282</v>
      </c>
      <c r="CH23" s="99">
        <v>8.3039395917171728</v>
      </c>
      <c r="CI23" s="99">
        <v>2441.358239964849</v>
      </c>
      <c r="CJ23" s="99">
        <v>2.335539541529871</v>
      </c>
      <c r="CK23" s="99">
        <v>686.64862520978204</v>
      </c>
      <c r="CL23" s="99">
        <v>8.0800106761289019</v>
      </c>
      <c r="CM23" s="99">
        <v>2375.5231387818972</v>
      </c>
      <c r="CN23" s="99">
        <v>15</v>
      </c>
      <c r="CO23" s="99">
        <v>4410</v>
      </c>
      <c r="CP23" s="99">
        <v>13.312002656518132</v>
      </c>
      <c r="CQ23" s="99">
        <v>3913.7287810163307</v>
      </c>
      <c r="CR23" s="99">
        <v>8.3254052453894349</v>
      </c>
      <c r="CS23" s="99">
        <v>2447.6691421444939</v>
      </c>
      <c r="CT23" s="99">
        <v>6.734950055303079</v>
      </c>
      <c r="CU23" s="99">
        <v>1980.0753162591052</v>
      </c>
    </row>
    <row r="24" spans="2:99">
      <c r="C24" s="98" t="s">
        <v>190</v>
      </c>
      <c r="D24" s="99">
        <v>8</v>
      </c>
      <c r="E24" s="99">
        <v>2937.6</v>
      </c>
      <c r="F24" s="99">
        <v>9</v>
      </c>
      <c r="G24" s="99">
        <v>3304.7999999999997</v>
      </c>
      <c r="H24" s="99">
        <v>13</v>
      </c>
      <c r="I24" s="99">
        <v>4773.5999999999995</v>
      </c>
      <c r="J24" s="99">
        <v>12</v>
      </c>
      <c r="K24" s="99">
        <v>4406.3999999999996</v>
      </c>
      <c r="L24" s="99">
        <v>10.573879535563353</v>
      </c>
      <c r="M24" s="99">
        <v>3882.7285654588632</v>
      </c>
      <c r="N24" s="99">
        <v>14</v>
      </c>
      <c r="O24" s="99">
        <v>5140.8</v>
      </c>
      <c r="P24" s="99">
        <v>13</v>
      </c>
      <c r="Q24" s="99">
        <v>4773.5999999999995</v>
      </c>
      <c r="R24" s="99">
        <v>11</v>
      </c>
      <c r="S24" s="99">
        <v>4039.2</v>
      </c>
      <c r="T24" s="99">
        <v>10</v>
      </c>
      <c r="U24" s="99">
        <v>3672</v>
      </c>
      <c r="V24" s="99">
        <v>9</v>
      </c>
      <c r="W24" s="99">
        <v>3304.7999999999997</v>
      </c>
      <c r="X24" s="99">
        <v>8</v>
      </c>
      <c r="Y24" s="99">
        <v>2937.6</v>
      </c>
      <c r="Z24" s="99">
        <v>14</v>
      </c>
      <c r="AA24" s="99">
        <v>5140.8</v>
      </c>
      <c r="AB24" s="99">
        <v>12</v>
      </c>
      <c r="AC24" s="99">
        <v>4406.3999999999996</v>
      </c>
      <c r="AD24" s="99">
        <v>12.868916643032803</v>
      </c>
      <c r="AE24" s="99">
        <v>4725.4661913216451</v>
      </c>
      <c r="AF24" s="99">
        <v>5.6081421055064391</v>
      </c>
      <c r="AG24" s="99">
        <v>2059.3097811419643</v>
      </c>
      <c r="AH24" s="99">
        <v>6.9838963015241209</v>
      </c>
      <c r="AI24" s="99">
        <v>2564.4867219196572</v>
      </c>
      <c r="AJ24" s="99">
        <v>8.522621983562539</v>
      </c>
      <c r="AK24" s="99">
        <v>3129.5067923641641</v>
      </c>
      <c r="AL24" s="99">
        <v>9</v>
      </c>
      <c r="AM24" s="99">
        <v>3304.7999999999997</v>
      </c>
      <c r="AN24" s="99">
        <v>14</v>
      </c>
      <c r="AO24" s="99">
        <v>5140.8</v>
      </c>
      <c r="AP24" s="99">
        <v>14</v>
      </c>
      <c r="AQ24" s="99">
        <v>5140.8</v>
      </c>
      <c r="AR24" s="99">
        <v>7.6624387914200369</v>
      </c>
      <c r="AS24" s="99">
        <v>2813.6475242094375</v>
      </c>
      <c r="AT24" s="99">
        <v>5.8890934053378956</v>
      </c>
      <c r="AU24" s="99">
        <v>2162.4750984400753</v>
      </c>
      <c r="AV24" s="99">
        <v>7.406736739064641</v>
      </c>
      <c r="AW24" s="99">
        <v>2719.7537305845362</v>
      </c>
      <c r="AX24" s="99">
        <v>8.9998888146420413</v>
      </c>
      <c r="AY24" s="99">
        <v>3304.7591727365575</v>
      </c>
      <c r="AZ24" s="99">
        <v>12</v>
      </c>
      <c r="BA24" s="99">
        <v>4406.3999999999996</v>
      </c>
      <c r="BB24" s="99">
        <v>7.8285068031356957</v>
      </c>
      <c r="BC24" s="99">
        <v>2874.6276981114274</v>
      </c>
      <c r="BD24" s="99">
        <v>6.5140413762478016</v>
      </c>
      <c r="BE24" s="99">
        <v>2391.9559933581927</v>
      </c>
      <c r="BF24" s="99">
        <v>12.636352841243825</v>
      </c>
      <c r="BG24" s="99">
        <v>4640.0687633047328</v>
      </c>
      <c r="BH24" s="99">
        <v>5.5948928896641332</v>
      </c>
      <c r="BI24" s="99">
        <v>2054.4446690846698</v>
      </c>
      <c r="BJ24" s="99">
        <v>4.2166921967270055</v>
      </c>
      <c r="BK24" s="99">
        <v>1548.3693746381564</v>
      </c>
      <c r="BL24" s="99">
        <v>10</v>
      </c>
      <c r="BM24" s="99">
        <v>3672</v>
      </c>
      <c r="BN24" s="99">
        <v>11</v>
      </c>
      <c r="BO24" s="99">
        <v>4039.2</v>
      </c>
      <c r="BP24" s="99">
        <v>13.698649182933314</v>
      </c>
      <c r="BQ24" s="99">
        <v>5030.1439799731124</v>
      </c>
      <c r="BR24" s="99">
        <v>11.998072043410358</v>
      </c>
      <c r="BS24" s="99">
        <v>4405.6920543402839</v>
      </c>
      <c r="BT24" s="99">
        <v>4.2346039051447182</v>
      </c>
      <c r="BU24" s="99">
        <v>1554.9465539691405</v>
      </c>
      <c r="BV24" s="99">
        <v>11.04129643559007</v>
      </c>
      <c r="BW24" s="99">
        <v>4054.3640511486733</v>
      </c>
      <c r="BX24" s="99">
        <v>11.02996740988813</v>
      </c>
      <c r="BY24" s="99">
        <v>4050.2040329109209</v>
      </c>
      <c r="BZ24" s="99">
        <v>8.5176572034080422</v>
      </c>
      <c r="CA24" s="99">
        <v>3127.6837250914332</v>
      </c>
      <c r="CB24" s="99">
        <v>10</v>
      </c>
      <c r="CC24" s="99">
        <v>3672</v>
      </c>
      <c r="CD24" s="99">
        <v>13.141687751473988</v>
      </c>
      <c r="CE24" s="99">
        <v>4825.6277423412484</v>
      </c>
      <c r="CF24" s="99">
        <v>6.6993498455554255</v>
      </c>
      <c r="CG24" s="99">
        <v>2460.001263287952</v>
      </c>
      <c r="CH24" s="99">
        <v>9.4902166762481972</v>
      </c>
      <c r="CI24" s="99">
        <v>3484.8075635183377</v>
      </c>
      <c r="CJ24" s="99">
        <v>2.3493987708096427</v>
      </c>
      <c r="CK24" s="99">
        <v>862.69922864130081</v>
      </c>
      <c r="CL24" s="99">
        <v>8.0800106761289019</v>
      </c>
      <c r="CM24" s="99">
        <v>2966.9799202745326</v>
      </c>
      <c r="CN24" s="99">
        <v>16</v>
      </c>
      <c r="CO24" s="99">
        <v>5875.2</v>
      </c>
      <c r="CP24" s="99">
        <v>12.528943676722946</v>
      </c>
      <c r="CQ24" s="99">
        <v>4600.6281180926653</v>
      </c>
      <c r="CR24" s="99">
        <v>9.1579457699283786</v>
      </c>
      <c r="CS24" s="99">
        <v>3362.7976867177003</v>
      </c>
      <c r="CT24" s="99">
        <v>8.2316056231482087</v>
      </c>
      <c r="CU24" s="99">
        <v>3022.6455848200221</v>
      </c>
    </row>
    <row r="25" spans="2:99">
      <c r="C25" s="98" t="s">
        <v>191</v>
      </c>
      <c r="D25" s="99">
        <v>8</v>
      </c>
      <c r="E25" s="99">
        <v>4243.2</v>
      </c>
      <c r="F25" s="99">
        <v>10</v>
      </c>
      <c r="G25" s="99">
        <v>5304</v>
      </c>
      <c r="H25" s="99">
        <v>12</v>
      </c>
      <c r="I25" s="99">
        <v>6364.7999999999993</v>
      </c>
      <c r="J25" s="99">
        <v>11</v>
      </c>
      <c r="K25" s="99">
        <v>5834.4</v>
      </c>
      <c r="L25" s="99">
        <v>11.621702830193634</v>
      </c>
      <c r="M25" s="99">
        <v>6164.1511811347027</v>
      </c>
      <c r="N25" s="99">
        <v>14</v>
      </c>
      <c r="O25" s="99">
        <v>7425.5999999999995</v>
      </c>
      <c r="P25" s="99">
        <v>14</v>
      </c>
      <c r="Q25" s="99">
        <v>7425.5999999999995</v>
      </c>
      <c r="R25" s="99">
        <v>11</v>
      </c>
      <c r="S25" s="99">
        <v>5834.4</v>
      </c>
      <c r="T25" s="99">
        <v>10</v>
      </c>
      <c r="U25" s="99">
        <v>5304</v>
      </c>
      <c r="V25" s="99">
        <v>10</v>
      </c>
      <c r="W25" s="99">
        <v>5304</v>
      </c>
      <c r="X25" s="99">
        <v>8</v>
      </c>
      <c r="Y25" s="99">
        <v>4243.2</v>
      </c>
      <c r="Z25" s="99">
        <v>13</v>
      </c>
      <c r="AA25" s="99">
        <v>6895.2</v>
      </c>
      <c r="AB25" s="99">
        <v>11</v>
      </c>
      <c r="AC25" s="99">
        <v>5834.4</v>
      </c>
      <c r="AD25" s="99">
        <v>11.148528106756267</v>
      </c>
      <c r="AE25" s="99">
        <v>5913.1793078235232</v>
      </c>
      <c r="AF25" s="99">
        <v>5.623495585825582</v>
      </c>
      <c r="AG25" s="99">
        <v>2982.7020587218885</v>
      </c>
      <c r="AH25" s="99">
        <v>7.7446024620078981</v>
      </c>
      <c r="AI25" s="99">
        <v>4107.7371458489888</v>
      </c>
      <c r="AJ25" s="99">
        <v>9.3748841819187909</v>
      </c>
      <c r="AK25" s="99">
        <v>4972.4385700897265</v>
      </c>
      <c r="AL25" s="99">
        <v>9</v>
      </c>
      <c r="AM25" s="99">
        <v>4773.5999999999995</v>
      </c>
      <c r="AN25" s="99">
        <v>13</v>
      </c>
      <c r="AO25" s="99">
        <v>6895.2</v>
      </c>
      <c r="AP25" s="99">
        <v>14</v>
      </c>
      <c r="AQ25" s="99">
        <v>7425.5999999999995</v>
      </c>
      <c r="AR25" s="99">
        <v>7.6331732849021137</v>
      </c>
      <c r="AS25" s="99">
        <v>4048.635110312081</v>
      </c>
      <c r="AT25" s="99">
        <v>5.176503073472702</v>
      </c>
      <c r="AU25" s="99">
        <v>2745.6172301699212</v>
      </c>
      <c r="AV25" s="99">
        <v>7.3950058111802042</v>
      </c>
      <c r="AW25" s="99">
        <v>3922.3110822499802</v>
      </c>
      <c r="AX25" s="99">
        <v>7.7141904125503205</v>
      </c>
      <c r="AY25" s="99">
        <v>4091.6065948166897</v>
      </c>
      <c r="AZ25" s="99">
        <v>12</v>
      </c>
      <c r="BA25" s="99">
        <v>6364.7999999999993</v>
      </c>
      <c r="BB25" s="99">
        <v>8.4995702876890498</v>
      </c>
      <c r="BC25" s="99">
        <v>4508.1720805902714</v>
      </c>
      <c r="BD25" s="99">
        <v>6.5140413762478016</v>
      </c>
      <c r="BE25" s="99">
        <v>3455.0475459618337</v>
      </c>
      <c r="BF25" s="99">
        <v>12.59892032117066</v>
      </c>
      <c r="BG25" s="99">
        <v>6682.4673383489171</v>
      </c>
      <c r="BH25" s="99">
        <v>5.624353118023997</v>
      </c>
      <c r="BI25" s="99">
        <v>2983.1568937999277</v>
      </c>
      <c r="BJ25" s="99">
        <v>3.8923312585172356</v>
      </c>
      <c r="BK25" s="99">
        <v>2064.4924995175415</v>
      </c>
      <c r="BL25" s="99">
        <v>10</v>
      </c>
      <c r="BM25" s="99">
        <v>5304</v>
      </c>
      <c r="BN25" s="99">
        <v>12</v>
      </c>
      <c r="BO25" s="99">
        <v>6364.7999999999993</v>
      </c>
      <c r="BP25" s="99">
        <v>14.611892461795534</v>
      </c>
      <c r="BQ25" s="99">
        <v>7750.1477617363507</v>
      </c>
      <c r="BR25" s="99">
        <v>12.832665330029656</v>
      </c>
      <c r="BS25" s="99">
        <v>6806.4456910477293</v>
      </c>
      <c r="BT25" s="99">
        <v>4.2305144827252139</v>
      </c>
      <c r="BU25" s="99">
        <v>2243.8648816374534</v>
      </c>
      <c r="BV25" s="99">
        <v>10.326400613668859</v>
      </c>
      <c r="BW25" s="99">
        <v>5477.1228854899628</v>
      </c>
      <c r="BX25" s="99">
        <v>11.785750980367641</v>
      </c>
      <c r="BY25" s="99">
        <v>6251.1623199869964</v>
      </c>
      <c r="BZ25" s="99">
        <v>8.5176572034080422</v>
      </c>
      <c r="CA25" s="99">
        <v>4517.7653806876251</v>
      </c>
      <c r="CB25" s="99">
        <v>11</v>
      </c>
      <c r="CC25" s="99">
        <v>5834.4</v>
      </c>
      <c r="CD25" s="99">
        <v>12.202995769225845</v>
      </c>
      <c r="CE25" s="99">
        <v>6472.4689559973876</v>
      </c>
      <c r="CF25" s="99">
        <v>6.6742902663770147</v>
      </c>
      <c r="CG25" s="99">
        <v>3540.0435572863685</v>
      </c>
      <c r="CH25" s="99">
        <v>8.3039395917171728</v>
      </c>
      <c r="CI25" s="99">
        <v>4404.4095594467881</v>
      </c>
      <c r="CJ25" s="99">
        <v>2.2001637750382113</v>
      </c>
      <c r="CK25" s="99">
        <v>1166.9668662802671</v>
      </c>
      <c r="CL25" s="99">
        <v>7.4584713933497557</v>
      </c>
      <c r="CM25" s="99">
        <v>3955.9732270327104</v>
      </c>
      <c r="CN25" s="99">
        <v>17</v>
      </c>
      <c r="CO25" s="99">
        <v>9016.7999999999993</v>
      </c>
      <c r="CP25" s="99">
        <v>11.745884696927764</v>
      </c>
      <c r="CQ25" s="99">
        <v>6230.017243250486</v>
      </c>
      <c r="CR25" s="99">
        <v>8.3254052453894349</v>
      </c>
      <c r="CS25" s="99">
        <v>4415.7949421545563</v>
      </c>
      <c r="CT25" s="99">
        <v>6.734950055303079</v>
      </c>
      <c r="CU25" s="99">
        <v>3572.2175093327528</v>
      </c>
    </row>
    <row r="26" spans="2:99">
      <c r="C26" s="98" t="s">
        <v>192</v>
      </c>
      <c r="D26" s="99">
        <v>9</v>
      </c>
      <c r="E26" s="99">
        <v>4374</v>
      </c>
      <c r="F26" s="99">
        <v>9</v>
      </c>
      <c r="G26" s="99">
        <v>4374</v>
      </c>
      <c r="H26" s="99">
        <v>13</v>
      </c>
      <c r="I26" s="99">
        <v>6318</v>
      </c>
      <c r="J26" s="99">
        <v>11</v>
      </c>
      <c r="K26" s="99">
        <v>5346</v>
      </c>
      <c r="L26" s="99">
        <v>10.573879535563353</v>
      </c>
      <c r="M26" s="99">
        <v>5138.9054542837894</v>
      </c>
      <c r="N26" s="99">
        <v>13</v>
      </c>
      <c r="O26" s="99">
        <v>6318</v>
      </c>
      <c r="P26" s="99">
        <v>14</v>
      </c>
      <c r="Q26" s="99">
        <v>6804</v>
      </c>
      <c r="R26" s="99">
        <v>11</v>
      </c>
      <c r="S26" s="99">
        <v>5346</v>
      </c>
      <c r="T26" s="99">
        <v>10</v>
      </c>
      <c r="U26" s="99">
        <v>4860</v>
      </c>
      <c r="V26" s="99">
        <v>9</v>
      </c>
      <c r="W26" s="99">
        <v>4374</v>
      </c>
      <c r="X26" s="99">
        <v>8</v>
      </c>
      <c r="Y26" s="99">
        <v>3888</v>
      </c>
      <c r="Z26" s="99">
        <v>14</v>
      </c>
      <c r="AA26" s="99">
        <v>6804</v>
      </c>
      <c r="AB26" s="99">
        <v>11</v>
      </c>
      <c r="AC26" s="99">
        <v>5346</v>
      </c>
      <c r="AD26" s="99">
        <v>12.025721064415146</v>
      </c>
      <c r="AE26" s="99">
        <v>5844.5004373057609</v>
      </c>
      <c r="AF26" s="99">
        <v>5.2111670481769767</v>
      </c>
      <c r="AG26" s="99">
        <v>2532.6271854140109</v>
      </c>
      <c r="AH26" s="99">
        <v>7.7534760656962929</v>
      </c>
      <c r="AI26" s="99">
        <v>3768.1893679283985</v>
      </c>
      <c r="AJ26" s="99">
        <v>9.3748841819187909</v>
      </c>
      <c r="AK26" s="99">
        <v>4556.1937124125325</v>
      </c>
      <c r="AL26" s="99">
        <v>9</v>
      </c>
      <c r="AM26" s="99">
        <v>4374</v>
      </c>
      <c r="AN26" s="99">
        <v>14</v>
      </c>
      <c r="AO26" s="99">
        <v>6804</v>
      </c>
      <c r="AP26" s="99">
        <v>14</v>
      </c>
      <c r="AQ26" s="99">
        <v>6804</v>
      </c>
      <c r="AR26" s="99">
        <v>7.6624387914200369</v>
      </c>
      <c r="AS26" s="99">
        <v>3723.9452526301379</v>
      </c>
      <c r="AT26" s="99">
        <v>5.9062180190121083</v>
      </c>
      <c r="AU26" s="99">
        <v>2870.4219572398847</v>
      </c>
      <c r="AV26" s="99">
        <v>6.9003080471942946</v>
      </c>
      <c r="AW26" s="99">
        <v>3353.5497109364273</v>
      </c>
      <c r="AX26" s="99">
        <v>8.3570396135961804</v>
      </c>
      <c r="AY26" s="99">
        <v>4061.5212522077436</v>
      </c>
      <c r="AZ26" s="99">
        <v>13</v>
      </c>
      <c r="BA26" s="99">
        <v>6318</v>
      </c>
      <c r="BB26" s="99">
        <v>7.7586398057855614</v>
      </c>
      <c r="BC26" s="99">
        <v>3770.6989456117831</v>
      </c>
      <c r="BD26" s="99">
        <v>6.0129612703825863</v>
      </c>
      <c r="BE26" s="99">
        <v>2922.2991774059369</v>
      </c>
      <c r="BF26" s="99">
        <v>13.59892032117066</v>
      </c>
      <c r="BG26" s="99">
        <v>6609.0752760889409</v>
      </c>
      <c r="BH26" s="99">
        <v>5.2728310481474967</v>
      </c>
      <c r="BI26" s="99">
        <v>2562.5958893996835</v>
      </c>
      <c r="BJ26" s="99">
        <v>4.2166921967270055</v>
      </c>
      <c r="BK26" s="99">
        <v>2049.3124076093245</v>
      </c>
      <c r="BL26" s="99">
        <v>9</v>
      </c>
      <c r="BM26" s="99">
        <v>4374</v>
      </c>
      <c r="BN26" s="99">
        <v>13</v>
      </c>
      <c r="BO26" s="99">
        <v>6318</v>
      </c>
      <c r="BP26" s="99">
        <v>13.698649182933314</v>
      </c>
      <c r="BQ26" s="99">
        <v>6657.5435029055907</v>
      </c>
      <c r="BR26" s="99">
        <v>12.821845811728268</v>
      </c>
      <c r="BS26" s="99">
        <v>6231.4170644999385</v>
      </c>
      <c r="BT26" s="99">
        <v>4.2346039051447182</v>
      </c>
      <c r="BU26" s="99">
        <v>2058.0174979003332</v>
      </c>
      <c r="BV26" s="99">
        <v>11.04129643559007</v>
      </c>
      <c r="BW26" s="99">
        <v>5366.0700676967735</v>
      </c>
      <c r="BX26" s="99">
        <v>10.985067667570632</v>
      </c>
      <c r="BY26" s="99">
        <v>5338.7428864393278</v>
      </c>
      <c r="BZ26" s="99">
        <v>9.9372667373093826</v>
      </c>
      <c r="CA26" s="99">
        <v>4829.5116343323598</v>
      </c>
      <c r="CB26" s="99">
        <v>10</v>
      </c>
      <c r="CC26" s="99">
        <v>4860</v>
      </c>
      <c r="CD26" s="99">
        <v>13.141687751473988</v>
      </c>
      <c r="CE26" s="99">
        <v>6386.8602472163584</v>
      </c>
      <c r="CF26" s="99">
        <v>6.6742902663770147</v>
      </c>
      <c r="CG26" s="99">
        <v>3243.705069459229</v>
      </c>
      <c r="CH26" s="99">
        <v>9.4902166762481972</v>
      </c>
      <c r="CI26" s="99">
        <v>4612.2453046566243</v>
      </c>
      <c r="CJ26" s="99">
        <v>2.6386292761659909</v>
      </c>
      <c r="CK26" s="99">
        <v>1282.3738282166717</v>
      </c>
      <c r="CL26" s="99">
        <v>8.0800106761289019</v>
      </c>
      <c r="CM26" s="99">
        <v>3926.8851885986464</v>
      </c>
      <c r="CN26" s="99">
        <v>15</v>
      </c>
      <c r="CO26" s="99">
        <v>7290</v>
      </c>
      <c r="CP26" s="99">
        <v>12.528943676722946</v>
      </c>
      <c r="CQ26" s="99">
        <v>6089.066626887352</v>
      </c>
      <c r="CR26" s="99">
        <v>9.1579457699283786</v>
      </c>
      <c r="CS26" s="99">
        <v>4450.7616441851924</v>
      </c>
      <c r="CT26" s="99">
        <v>7.4832778392256438</v>
      </c>
      <c r="CU26" s="99">
        <v>3636.8730298636629</v>
      </c>
    </row>
    <row r="27" spans="2:99">
      <c r="C27" s="98" t="s">
        <v>193</v>
      </c>
      <c r="D27" s="99">
        <v>8</v>
      </c>
      <c r="E27" s="99">
        <v>3417.6</v>
      </c>
      <c r="F27" s="99">
        <v>10</v>
      </c>
      <c r="G27" s="99">
        <v>4272</v>
      </c>
      <c r="H27" s="99">
        <v>12</v>
      </c>
      <c r="I27" s="99">
        <v>5126.3999999999996</v>
      </c>
      <c r="J27" s="99">
        <v>10</v>
      </c>
      <c r="K27" s="99">
        <v>4272</v>
      </c>
      <c r="L27" s="99">
        <v>10.526056240933073</v>
      </c>
      <c r="M27" s="99">
        <v>4496.7312261266088</v>
      </c>
      <c r="N27" s="99">
        <v>15</v>
      </c>
      <c r="O27" s="99">
        <v>6408</v>
      </c>
      <c r="P27" s="99">
        <v>13</v>
      </c>
      <c r="Q27" s="99">
        <v>5553.5999999999995</v>
      </c>
      <c r="R27" s="99">
        <v>11</v>
      </c>
      <c r="S27" s="99">
        <v>4699.2</v>
      </c>
      <c r="T27" s="99">
        <v>10</v>
      </c>
      <c r="U27" s="99">
        <v>4272</v>
      </c>
      <c r="V27" s="99">
        <v>11</v>
      </c>
      <c r="W27" s="99">
        <v>4699.2</v>
      </c>
      <c r="X27" s="99">
        <v>8</v>
      </c>
      <c r="Y27" s="99">
        <v>3417.6</v>
      </c>
      <c r="Z27" s="99">
        <v>14</v>
      </c>
      <c r="AA27" s="99">
        <v>5980.8</v>
      </c>
      <c r="AB27" s="99">
        <v>12</v>
      </c>
      <c r="AC27" s="99">
        <v>5126.3999999999996</v>
      </c>
      <c r="AD27" s="99">
        <v>13.678114842609242</v>
      </c>
      <c r="AE27" s="99">
        <v>5843.2906607626683</v>
      </c>
      <c r="AF27" s="99">
        <v>5.623495585825582</v>
      </c>
      <c r="AG27" s="99">
        <v>2402.3573142646887</v>
      </c>
      <c r="AH27" s="99">
        <v>8.5186190280242666</v>
      </c>
      <c r="AI27" s="99">
        <v>3639.1540487719667</v>
      </c>
      <c r="AJ27" s="99">
        <v>8.522621983562539</v>
      </c>
      <c r="AK27" s="99">
        <v>3640.8641113779167</v>
      </c>
      <c r="AL27" s="99">
        <v>10</v>
      </c>
      <c r="AM27" s="99">
        <v>4272</v>
      </c>
      <c r="AN27" s="99">
        <v>12</v>
      </c>
      <c r="AO27" s="99">
        <v>5126.3999999999996</v>
      </c>
      <c r="AP27" s="99">
        <v>14</v>
      </c>
      <c r="AQ27" s="99">
        <v>5980.8</v>
      </c>
      <c r="AR27" s="99">
        <v>7.6624387914200369</v>
      </c>
      <c r="AS27" s="99">
        <v>3273.3938516946396</v>
      </c>
      <c r="AT27" s="99">
        <v>5.8890934053378956</v>
      </c>
      <c r="AU27" s="99">
        <v>2515.8207027603489</v>
      </c>
      <c r="AV27" s="99">
        <v>6.8768461914254209</v>
      </c>
      <c r="AW27" s="99">
        <v>2937.7886929769397</v>
      </c>
      <c r="AX27" s="99">
        <v>8.9998888146420413</v>
      </c>
      <c r="AY27" s="99">
        <v>3844.7525016150798</v>
      </c>
      <c r="AZ27" s="99">
        <v>14</v>
      </c>
      <c r="BA27" s="99">
        <v>5980.8</v>
      </c>
      <c r="BB27" s="99">
        <v>8.3947697916638475</v>
      </c>
      <c r="BC27" s="99">
        <v>3586.2456549987955</v>
      </c>
      <c r="BD27" s="99">
        <v>6.5140413762478016</v>
      </c>
      <c r="BE27" s="99">
        <v>2782.7984759330607</v>
      </c>
      <c r="BF27" s="99">
        <v>11.59892032117066</v>
      </c>
      <c r="BG27" s="99">
        <v>4955.0587612041054</v>
      </c>
      <c r="BH27" s="99">
        <v>5.2728310481474967</v>
      </c>
      <c r="BI27" s="99">
        <v>2252.5534237686106</v>
      </c>
      <c r="BJ27" s="99">
        <v>4.2166921967270055</v>
      </c>
      <c r="BK27" s="99">
        <v>1801.3709064417767</v>
      </c>
      <c r="BL27" s="99">
        <v>9</v>
      </c>
      <c r="BM27" s="99">
        <v>3844.7999999999997</v>
      </c>
      <c r="BN27" s="99">
        <v>13</v>
      </c>
      <c r="BO27" s="99">
        <v>5553.5999999999995</v>
      </c>
      <c r="BP27" s="99">
        <v>14.611892461795534</v>
      </c>
      <c r="BQ27" s="99">
        <v>6242.2004596790521</v>
      </c>
      <c r="BR27" s="99">
        <v>11.965613488506197</v>
      </c>
      <c r="BS27" s="99">
        <v>5111.7100822898474</v>
      </c>
      <c r="BT27" s="99">
        <v>4.5318177838299771</v>
      </c>
      <c r="BU27" s="99">
        <v>1935.9925572521661</v>
      </c>
      <c r="BV27" s="99">
        <v>10.262849677282883</v>
      </c>
      <c r="BW27" s="99">
        <v>4384.2893821352473</v>
      </c>
      <c r="BX27" s="99">
        <v>10.229284097091123</v>
      </c>
      <c r="BY27" s="99">
        <v>4369.9501662773273</v>
      </c>
      <c r="BZ27" s="99">
        <v>9.9372667373093826</v>
      </c>
      <c r="CA27" s="99">
        <v>4245.2003501785684</v>
      </c>
      <c r="CB27" s="99">
        <v>10</v>
      </c>
      <c r="CC27" s="99">
        <v>4272</v>
      </c>
      <c r="CD27" s="99">
        <v>12.202995769225845</v>
      </c>
      <c r="CE27" s="99">
        <v>5213.1197926132809</v>
      </c>
      <c r="CF27" s="99">
        <v>6.6492306871986022</v>
      </c>
      <c r="CG27" s="99">
        <v>2840.551349571243</v>
      </c>
      <c r="CH27" s="99">
        <v>8.897078133982685</v>
      </c>
      <c r="CI27" s="99">
        <v>3800.8317788374029</v>
      </c>
      <c r="CJ27" s="99">
        <v>2.3447790277163856</v>
      </c>
      <c r="CK27" s="99">
        <v>1001.6896006404399</v>
      </c>
      <c r="CL27" s="99">
        <v>7.4584713933497557</v>
      </c>
      <c r="CM27" s="99">
        <v>3186.2589792390154</v>
      </c>
      <c r="CN27" s="99">
        <v>16</v>
      </c>
      <c r="CO27" s="99">
        <v>6835.2</v>
      </c>
      <c r="CP27" s="99">
        <v>11.745884696927764</v>
      </c>
      <c r="CQ27" s="99">
        <v>5017.8419425275406</v>
      </c>
      <c r="CR27" s="99">
        <v>9.1579457699283786</v>
      </c>
      <c r="CS27" s="99">
        <v>3912.2744329134034</v>
      </c>
      <c r="CT27" s="99">
        <v>6.734950055303079</v>
      </c>
      <c r="CU27" s="99">
        <v>2877.1706636254753</v>
      </c>
    </row>
    <row r="28" spans="2:99">
      <c r="C28" s="98" t="s">
        <v>194</v>
      </c>
      <c r="D28" s="99">
        <v>9</v>
      </c>
      <c r="E28" s="99">
        <v>6642</v>
      </c>
      <c r="F28" s="99">
        <v>9</v>
      </c>
      <c r="G28" s="99">
        <v>6642</v>
      </c>
      <c r="H28" s="99">
        <v>13</v>
      </c>
      <c r="I28" s="99">
        <v>9594</v>
      </c>
      <c r="J28" s="99">
        <v>11</v>
      </c>
      <c r="K28" s="99">
        <v>8118</v>
      </c>
      <c r="L28" s="99">
        <v>10.621702830193634</v>
      </c>
      <c r="M28" s="99">
        <v>7838.8166886829022</v>
      </c>
      <c r="N28" s="99">
        <v>14</v>
      </c>
      <c r="O28" s="99">
        <v>10332</v>
      </c>
      <c r="P28" s="99">
        <v>13</v>
      </c>
      <c r="Q28" s="99">
        <v>9594</v>
      </c>
      <c r="R28" s="99">
        <v>13</v>
      </c>
      <c r="S28" s="99">
        <v>9594</v>
      </c>
      <c r="T28" s="99">
        <v>10</v>
      </c>
      <c r="U28" s="99">
        <v>7380</v>
      </c>
      <c r="V28" s="99">
        <v>11</v>
      </c>
      <c r="W28" s="99">
        <v>8118</v>
      </c>
      <c r="X28" s="99">
        <v>8</v>
      </c>
      <c r="Y28" s="99">
        <v>5904</v>
      </c>
      <c r="Z28" s="99">
        <v>14</v>
      </c>
      <c r="AA28" s="99">
        <v>10332</v>
      </c>
      <c r="AB28" s="99">
        <v>11</v>
      </c>
      <c r="AC28" s="99">
        <v>8118</v>
      </c>
      <c r="AD28" s="99">
        <v>11.148528106756267</v>
      </c>
      <c r="AE28" s="99">
        <v>8227.6137427861249</v>
      </c>
      <c r="AF28" s="99">
        <v>5.5927886251872945</v>
      </c>
      <c r="AG28" s="99">
        <v>4127.4780053882232</v>
      </c>
      <c r="AH28" s="99">
        <v>6.9838963015241209</v>
      </c>
      <c r="AI28" s="99">
        <v>5154.1154705248009</v>
      </c>
      <c r="AJ28" s="99">
        <v>8.522621983562539</v>
      </c>
      <c r="AK28" s="99">
        <v>6289.6950238691534</v>
      </c>
      <c r="AL28" s="99">
        <v>10</v>
      </c>
      <c r="AM28" s="99">
        <v>7380</v>
      </c>
      <c r="AN28" s="99">
        <v>14</v>
      </c>
      <c r="AO28" s="99">
        <v>10332</v>
      </c>
      <c r="AP28" s="99">
        <v>15</v>
      </c>
      <c r="AQ28" s="99">
        <v>11070</v>
      </c>
      <c r="AR28" s="99">
        <v>7.6478060381610762</v>
      </c>
      <c r="AS28" s="99">
        <v>5644.0808561628746</v>
      </c>
      <c r="AT28" s="99">
        <v>5.5071113188939789</v>
      </c>
      <c r="AU28" s="99">
        <v>4064.2481533437563</v>
      </c>
      <c r="AV28" s="99">
        <v>6.8768461914254209</v>
      </c>
      <c r="AW28" s="99">
        <v>5075.1124892719608</v>
      </c>
      <c r="AX28" s="99">
        <v>7.7141904125503205</v>
      </c>
      <c r="AY28" s="99">
        <v>5693.0725244621362</v>
      </c>
      <c r="AZ28" s="99">
        <v>13</v>
      </c>
      <c r="BA28" s="99">
        <v>9594</v>
      </c>
      <c r="BB28" s="99">
        <v>7.7935733044606286</v>
      </c>
      <c r="BC28" s="99">
        <v>5751.6570986919442</v>
      </c>
      <c r="BD28" s="99">
        <v>6.0129612703825863</v>
      </c>
      <c r="BE28" s="99">
        <v>4437.5654175423488</v>
      </c>
      <c r="BF28" s="99">
        <v>12.636352841243825</v>
      </c>
      <c r="BG28" s="99">
        <v>9325.628396837943</v>
      </c>
      <c r="BH28" s="99">
        <v>5.2581009339675653</v>
      </c>
      <c r="BI28" s="99">
        <v>3880.4784892680632</v>
      </c>
      <c r="BJ28" s="99">
        <v>4.2166921967270055</v>
      </c>
      <c r="BK28" s="99">
        <v>3111.9188411845298</v>
      </c>
      <c r="BL28" s="99">
        <v>10</v>
      </c>
      <c r="BM28" s="99">
        <v>7380</v>
      </c>
      <c r="BN28" s="99">
        <v>13</v>
      </c>
      <c r="BO28" s="99">
        <v>9594</v>
      </c>
      <c r="BP28" s="99">
        <v>12.785405904071093</v>
      </c>
      <c r="BQ28" s="99">
        <v>9435.6295572044655</v>
      </c>
      <c r="BR28" s="99">
        <v>11.976433006807586</v>
      </c>
      <c r="BS28" s="99">
        <v>8838.607559023998</v>
      </c>
      <c r="BT28" s="99">
        <v>4.2305144827252139</v>
      </c>
      <c r="BU28" s="99">
        <v>3122.1196882512077</v>
      </c>
      <c r="BV28" s="99">
        <v>11.104847371976046</v>
      </c>
      <c r="BW28" s="99">
        <v>8195.3773605183214</v>
      </c>
      <c r="BX28" s="99">
        <v>10.251733968249871</v>
      </c>
      <c r="BY28" s="99">
        <v>7565.7796685684052</v>
      </c>
      <c r="BZ28" s="99">
        <v>8.5176572034080422</v>
      </c>
      <c r="CA28" s="99">
        <v>6286.0310161151356</v>
      </c>
      <c r="CB28" s="99">
        <v>10</v>
      </c>
      <c r="CC28" s="99">
        <v>7380</v>
      </c>
      <c r="CD28" s="99">
        <v>14.080379733722129</v>
      </c>
      <c r="CE28" s="99">
        <v>10391.320243486931</v>
      </c>
      <c r="CF28" s="99">
        <v>6.1480391036303681</v>
      </c>
      <c r="CG28" s="99">
        <v>4537.2528584792117</v>
      </c>
      <c r="CH28" s="99">
        <v>8.3039395917171728</v>
      </c>
      <c r="CI28" s="99">
        <v>6128.3074186872736</v>
      </c>
      <c r="CJ28" s="99">
        <v>2.4801547942080449</v>
      </c>
      <c r="CK28" s="99">
        <v>1830.354238125537</v>
      </c>
      <c r="CL28" s="99">
        <v>7.4584713933497557</v>
      </c>
      <c r="CM28" s="99">
        <v>5504.3518882921198</v>
      </c>
      <c r="CN28" s="99">
        <v>16</v>
      </c>
      <c r="CO28" s="99">
        <v>11808</v>
      </c>
      <c r="CP28" s="99">
        <v>11.745884696927764</v>
      </c>
      <c r="CQ28" s="99">
        <v>8668.4629063326902</v>
      </c>
      <c r="CR28" s="99">
        <v>8.3254052453894349</v>
      </c>
      <c r="CS28" s="99">
        <v>6144.1490710974031</v>
      </c>
      <c r="CT28" s="99">
        <v>7.4832778392256438</v>
      </c>
      <c r="CU28" s="99">
        <v>5522.6590453485251</v>
      </c>
    </row>
    <row r="29" spans="2:99">
      <c r="C29" s="98" t="s">
        <v>195</v>
      </c>
      <c r="D29" s="99">
        <v>8</v>
      </c>
      <c r="E29" s="99">
        <v>2707.2</v>
      </c>
      <c r="F29" s="99">
        <v>9</v>
      </c>
      <c r="G29" s="99">
        <v>3045.6</v>
      </c>
      <c r="H29" s="99">
        <v>13</v>
      </c>
      <c r="I29" s="99">
        <v>4399.2</v>
      </c>
      <c r="J29" s="99">
        <v>10</v>
      </c>
      <c r="K29" s="99">
        <v>3384</v>
      </c>
      <c r="L29" s="99">
        <v>12.621702830193634</v>
      </c>
      <c r="M29" s="99">
        <v>4271.1842377375251</v>
      </c>
      <c r="N29" s="99">
        <v>16</v>
      </c>
      <c r="O29" s="99">
        <v>5414.4</v>
      </c>
      <c r="P29" s="99">
        <v>13</v>
      </c>
      <c r="Q29" s="99">
        <v>4399.2</v>
      </c>
      <c r="R29" s="99">
        <v>12</v>
      </c>
      <c r="S29" s="99">
        <v>4060.7999999999997</v>
      </c>
      <c r="T29" s="99">
        <v>10</v>
      </c>
      <c r="U29" s="99">
        <v>3384</v>
      </c>
      <c r="V29" s="99">
        <v>10</v>
      </c>
      <c r="W29" s="99">
        <v>3384</v>
      </c>
      <c r="X29" s="99">
        <v>8</v>
      </c>
      <c r="Y29" s="99">
        <v>2707.2</v>
      </c>
      <c r="Z29" s="99">
        <v>12</v>
      </c>
      <c r="AA29" s="99">
        <v>4060.7999999999997</v>
      </c>
      <c r="AB29" s="99">
        <v>13</v>
      </c>
      <c r="AC29" s="99">
        <v>4399.2</v>
      </c>
      <c r="AD29" s="99">
        <v>12.008722374894536</v>
      </c>
      <c r="AE29" s="99">
        <v>4063.7516516643104</v>
      </c>
      <c r="AF29" s="99">
        <v>5.6388490661447257</v>
      </c>
      <c r="AG29" s="99">
        <v>1908.1865239833751</v>
      </c>
      <c r="AH29" s="99">
        <v>7.7534760656962929</v>
      </c>
      <c r="AI29" s="99">
        <v>2623.7763006316254</v>
      </c>
      <c r="AJ29" s="99">
        <v>8.522621983562539</v>
      </c>
      <c r="AK29" s="99">
        <v>2884.0552792375629</v>
      </c>
      <c r="AL29" s="99">
        <v>9</v>
      </c>
      <c r="AM29" s="99">
        <v>3045.6</v>
      </c>
      <c r="AN29" s="99">
        <v>13</v>
      </c>
      <c r="AO29" s="99">
        <v>4399.2</v>
      </c>
      <c r="AP29" s="99">
        <v>13</v>
      </c>
      <c r="AQ29" s="99">
        <v>4399.2</v>
      </c>
      <c r="AR29" s="99">
        <v>6.815934287904132</v>
      </c>
      <c r="AS29" s="99">
        <v>2306.5121630267581</v>
      </c>
      <c r="AT29" s="99">
        <v>4.8630194417256378</v>
      </c>
      <c r="AU29" s="99">
        <v>1645.6457790799557</v>
      </c>
      <c r="AV29" s="99">
        <v>7.4184676669490779</v>
      </c>
      <c r="AW29" s="99">
        <v>2510.4094584955678</v>
      </c>
      <c r="AX29" s="99">
        <v>8.9998888146420413</v>
      </c>
      <c r="AY29" s="99">
        <v>3045.5623748748667</v>
      </c>
      <c r="AZ29" s="99">
        <v>15</v>
      </c>
      <c r="BA29" s="99">
        <v>5076</v>
      </c>
      <c r="BB29" s="99">
        <v>7.7237063071104934</v>
      </c>
      <c r="BC29" s="99">
        <v>2613.7022143261906</v>
      </c>
      <c r="BD29" s="99">
        <v>6.0129612703825863</v>
      </c>
      <c r="BE29" s="99">
        <v>2034.786093897467</v>
      </c>
      <c r="BF29" s="99">
        <v>12.636352841243825</v>
      </c>
      <c r="BG29" s="99">
        <v>4276.1418014769106</v>
      </c>
      <c r="BH29" s="99">
        <v>5.9464149595406335</v>
      </c>
      <c r="BI29" s="99">
        <v>2012.2668223085502</v>
      </c>
      <c r="BJ29" s="99">
        <v>3.8923312585172356</v>
      </c>
      <c r="BK29" s="99">
        <v>1317.1648978822325</v>
      </c>
      <c r="BL29" s="99">
        <v>9</v>
      </c>
      <c r="BM29" s="99">
        <v>3045.6</v>
      </c>
      <c r="BN29" s="99">
        <v>13</v>
      </c>
      <c r="BO29" s="99">
        <v>4399.2</v>
      </c>
      <c r="BP29" s="99">
        <v>12.785405904071093</v>
      </c>
      <c r="BQ29" s="99">
        <v>4326.5813579376572</v>
      </c>
      <c r="BR29" s="99">
        <v>12.821845811728268</v>
      </c>
      <c r="BS29" s="99">
        <v>4338.9126226888457</v>
      </c>
      <c r="BT29" s="99">
        <v>3.9292111816204498</v>
      </c>
      <c r="BU29" s="99">
        <v>1329.6450638603601</v>
      </c>
      <c r="BV29" s="99">
        <v>10.231074209089895</v>
      </c>
      <c r="BW29" s="99">
        <v>3462.1955123560201</v>
      </c>
      <c r="BX29" s="99">
        <v>10.206834225932374</v>
      </c>
      <c r="BY29" s="99">
        <v>3453.9927020555151</v>
      </c>
      <c r="BZ29" s="99">
        <v>9.2274619703587106</v>
      </c>
      <c r="CA29" s="99">
        <v>3122.5731307693873</v>
      </c>
      <c r="CB29" s="99">
        <v>10</v>
      </c>
      <c r="CC29" s="99">
        <v>3384</v>
      </c>
      <c r="CD29" s="99">
        <v>13.141687751473988</v>
      </c>
      <c r="CE29" s="99">
        <v>4447.1471350987977</v>
      </c>
      <c r="CF29" s="99">
        <v>6.1480391036303681</v>
      </c>
      <c r="CG29" s="99">
        <v>2080.4964326685163</v>
      </c>
      <c r="CH29" s="99">
        <v>9.4902166762481972</v>
      </c>
      <c r="CI29" s="99">
        <v>3211.4893232423897</v>
      </c>
      <c r="CJ29" s="99">
        <v>2.3309197984366139</v>
      </c>
      <c r="CK29" s="99">
        <v>788.78325979095007</v>
      </c>
      <c r="CL29" s="99">
        <v>8.7015499589080481</v>
      </c>
      <c r="CM29" s="99">
        <v>2944.6045060944834</v>
      </c>
      <c r="CN29" s="99">
        <v>14</v>
      </c>
      <c r="CO29" s="99">
        <v>4737.5999999999995</v>
      </c>
      <c r="CP29" s="99">
        <v>12.528943676722946</v>
      </c>
      <c r="CQ29" s="99">
        <v>4239.7945402030446</v>
      </c>
      <c r="CR29" s="99">
        <v>9.1579457699283786</v>
      </c>
      <c r="CS29" s="99">
        <v>3099.0488485437631</v>
      </c>
      <c r="CT29" s="99">
        <v>6.734950055303079</v>
      </c>
      <c r="CU29" s="99">
        <v>2279.1070987145617</v>
      </c>
    </row>
    <row r="30" spans="2:99">
      <c r="C30" s="98" t="s">
        <v>196</v>
      </c>
      <c r="D30" s="99">
        <v>9</v>
      </c>
      <c r="E30" s="99">
        <v>1252.8</v>
      </c>
      <c r="F30" s="99">
        <v>10</v>
      </c>
      <c r="G30" s="99">
        <v>1392</v>
      </c>
      <c r="H30" s="99">
        <v>13</v>
      </c>
      <c r="I30" s="99">
        <v>1809.6</v>
      </c>
      <c r="J30" s="99">
        <v>12</v>
      </c>
      <c r="K30" s="99">
        <v>1670.3999999999999</v>
      </c>
      <c r="L30" s="99">
        <v>10.621702830193634</v>
      </c>
      <c r="M30" s="99">
        <v>1478.5410339629536</v>
      </c>
      <c r="N30" s="99">
        <v>15</v>
      </c>
      <c r="O30" s="99">
        <v>2088</v>
      </c>
      <c r="P30" s="99">
        <v>13</v>
      </c>
      <c r="Q30" s="99">
        <v>1809.6</v>
      </c>
      <c r="R30" s="99">
        <v>13</v>
      </c>
      <c r="S30" s="99">
        <v>1809.6</v>
      </c>
      <c r="T30" s="99">
        <v>10</v>
      </c>
      <c r="U30" s="99">
        <v>1392</v>
      </c>
      <c r="V30" s="99">
        <v>10</v>
      </c>
      <c r="W30" s="99">
        <v>1392</v>
      </c>
      <c r="X30" s="99">
        <v>7</v>
      </c>
      <c r="Y30" s="99">
        <v>974.39999999999986</v>
      </c>
      <c r="Z30" s="99">
        <v>13</v>
      </c>
      <c r="AA30" s="99">
        <v>1809.6</v>
      </c>
      <c r="AB30" s="99">
        <v>12</v>
      </c>
      <c r="AC30" s="99">
        <v>1670.3999999999999</v>
      </c>
      <c r="AD30" s="99">
        <v>12.834919263991582</v>
      </c>
      <c r="AE30" s="99">
        <v>1786.620761547628</v>
      </c>
      <c r="AF30" s="99">
        <v>5.1651066072195464</v>
      </c>
      <c r="AG30" s="99">
        <v>718.98283972496085</v>
      </c>
      <c r="AH30" s="99">
        <v>7.7490392638520946</v>
      </c>
      <c r="AI30" s="99">
        <v>1078.6662655282114</v>
      </c>
      <c r="AJ30" s="99">
        <v>8.522621983562539</v>
      </c>
      <c r="AK30" s="99">
        <v>1186.3489801119053</v>
      </c>
      <c r="AL30" s="99">
        <v>10</v>
      </c>
      <c r="AM30" s="99">
        <v>1392</v>
      </c>
      <c r="AN30" s="99">
        <v>14</v>
      </c>
      <c r="AO30" s="99">
        <v>1948.7999999999997</v>
      </c>
      <c r="AP30" s="99">
        <v>14</v>
      </c>
      <c r="AQ30" s="99">
        <v>1948.7999999999997</v>
      </c>
      <c r="AR30" s="99">
        <v>7.6478060381610762</v>
      </c>
      <c r="AS30" s="99">
        <v>1064.5746005120218</v>
      </c>
      <c r="AT30" s="99">
        <v>5.923342632686321</v>
      </c>
      <c r="AU30" s="99">
        <v>824.52929446993585</v>
      </c>
      <c r="AV30" s="99">
        <v>6.9003080471942946</v>
      </c>
      <c r="AW30" s="99">
        <v>960.52288016944567</v>
      </c>
      <c r="AX30" s="99">
        <v>8.3570396135961804</v>
      </c>
      <c r="AY30" s="99">
        <v>1163.2999142125882</v>
      </c>
      <c r="AZ30" s="99">
        <v>12</v>
      </c>
      <c r="BA30" s="99">
        <v>1670.3999999999999</v>
      </c>
      <c r="BB30" s="99">
        <v>8.4646367890139818</v>
      </c>
      <c r="BC30" s="99">
        <v>1178.2774410307461</v>
      </c>
      <c r="BD30" s="99">
        <v>6.5140413762478016</v>
      </c>
      <c r="BE30" s="99">
        <v>906.75455957369388</v>
      </c>
      <c r="BF30" s="99">
        <v>11.636352841243825</v>
      </c>
      <c r="BG30" s="99">
        <v>1619.7803155011404</v>
      </c>
      <c r="BH30" s="99">
        <v>5.9464149595406335</v>
      </c>
      <c r="BI30" s="99">
        <v>827.7409623680561</v>
      </c>
      <c r="BJ30" s="99">
        <v>4.2166921967270055</v>
      </c>
      <c r="BK30" s="99">
        <v>586.9635537843991</v>
      </c>
      <c r="BL30" s="99">
        <v>9</v>
      </c>
      <c r="BM30" s="99">
        <v>1252.8</v>
      </c>
      <c r="BN30" s="99">
        <v>12</v>
      </c>
      <c r="BO30" s="99">
        <v>1670.3999999999999</v>
      </c>
      <c r="BP30" s="99">
        <v>15.525135740657756</v>
      </c>
      <c r="BQ30" s="99">
        <v>2161.0988950995593</v>
      </c>
      <c r="BR30" s="99">
        <v>11.998072043410358</v>
      </c>
      <c r="BS30" s="99">
        <v>1670.1316284427219</v>
      </c>
      <c r="BT30" s="99">
        <v>3.890361668635153</v>
      </c>
      <c r="BU30" s="99">
        <v>541.5383442740133</v>
      </c>
      <c r="BV30" s="99">
        <v>11.07307190378306</v>
      </c>
      <c r="BW30" s="99">
        <v>1541.3716090066018</v>
      </c>
      <c r="BX30" s="99">
        <v>11.740851238050144</v>
      </c>
      <c r="BY30" s="99">
        <v>1634.32649233658</v>
      </c>
      <c r="BZ30" s="99">
        <v>9.2274619703587106</v>
      </c>
      <c r="CA30" s="99">
        <v>1284.4627062739323</v>
      </c>
      <c r="CB30" s="99">
        <v>10</v>
      </c>
      <c r="CC30" s="99">
        <v>1392</v>
      </c>
      <c r="CD30" s="99">
        <v>14.080379733722129</v>
      </c>
      <c r="CE30" s="99">
        <v>1959.9888589341201</v>
      </c>
      <c r="CF30" s="99">
        <v>6.916543991584164</v>
      </c>
      <c r="CG30" s="99">
        <v>962.7829236285155</v>
      </c>
      <c r="CH30" s="99">
        <v>8.897078133982685</v>
      </c>
      <c r="CI30" s="99">
        <v>1238.4732762503897</v>
      </c>
      <c r="CJ30" s="99">
        <v>2.6478687623525055</v>
      </c>
      <c r="CK30" s="99">
        <v>368.58333171946873</v>
      </c>
      <c r="CL30" s="99">
        <v>8.0800106761289019</v>
      </c>
      <c r="CM30" s="99">
        <v>1124.7374861171431</v>
      </c>
      <c r="CN30" s="99">
        <v>18</v>
      </c>
      <c r="CO30" s="99">
        <v>2505.6</v>
      </c>
      <c r="CP30" s="99">
        <v>13.312002656518132</v>
      </c>
      <c r="CQ30" s="99">
        <v>1853.0307697873238</v>
      </c>
      <c r="CR30" s="99">
        <v>9.9904862944673223</v>
      </c>
      <c r="CS30" s="99">
        <v>1390.6756921898511</v>
      </c>
      <c r="CT30" s="99">
        <v>7.4832778392256438</v>
      </c>
      <c r="CU30" s="99">
        <v>1041.6722752202095</v>
      </c>
    </row>
    <row r="31" spans="2:99">
      <c r="C31" s="98" t="s">
        <v>197</v>
      </c>
      <c r="D31" s="99">
        <v>9</v>
      </c>
      <c r="E31" s="99">
        <v>3067.2000000000003</v>
      </c>
      <c r="F31" s="99">
        <v>9</v>
      </c>
      <c r="G31" s="99">
        <v>3067.2000000000003</v>
      </c>
      <c r="H31" s="99">
        <v>14</v>
      </c>
      <c r="I31" s="99">
        <v>4771.2</v>
      </c>
      <c r="J31" s="99">
        <v>11</v>
      </c>
      <c r="K31" s="99">
        <v>3748.8</v>
      </c>
      <c r="L31" s="99">
        <v>11.573879535563353</v>
      </c>
      <c r="M31" s="99">
        <v>3944.3781457199912</v>
      </c>
      <c r="N31" s="99">
        <v>14</v>
      </c>
      <c r="O31" s="99">
        <v>4771.2</v>
      </c>
      <c r="P31" s="99">
        <v>14</v>
      </c>
      <c r="Q31" s="99">
        <v>4771.2</v>
      </c>
      <c r="R31" s="99">
        <v>13</v>
      </c>
      <c r="S31" s="99">
        <v>4430.4000000000005</v>
      </c>
      <c r="T31" s="99">
        <v>10</v>
      </c>
      <c r="U31" s="99">
        <v>3408</v>
      </c>
      <c r="V31" s="99">
        <v>10</v>
      </c>
      <c r="W31" s="99">
        <v>3408</v>
      </c>
      <c r="X31" s="99">
        <v>7</v>
      </c>
      <c r="Y31" s="99">
        <v>2385.6</v>
      </c>
      <c r="Z31" s="99">
        <v>12</v>
      </c>
      <c r="AA31" s="99">
        <v>4089.6000000000004</v>
      </c>
      <c r="AB31" s="99">
        <v>11</v>
      </c>
      <c r="AC31" s="99">
        <v>3748.8</v>
      </c>
      <c r="AD31" s="99">
        <v>12.851917953512194</v>
      </c>
      <c r="AE31" s="99">
        <v>4379.9336385569559</v>
      </c>
      <c r="AF31" s="99">
        <v>5.623495585825582</v>
      </c>
      <c r="AG31" s="99">
        <v>1916.4872956493584</v>
      </c>
      <c r="AH31" s="99">
        <v>8.5141822261800701</v>
      </c>
      <c r="AI31" s="99">
        <v>2901.6333026821681</v>
      </c>
      <c r="AJ31" s="99">
        <v>9.3748841819187909</v>
      </c>
      <c r="AK31" s="99">
        <v>3194.9605291979242</v>
      </c>
      <c r="AL31" s="99">
        <v>9</v>
      </c>
      <c r="AM31" s="99">
        <v>3067.2000000000003</v>
      </c>
      <c r="AN31" s="99">
        <v>13</v>
      </c>
      <c r="AO31" s="99">
        <v>4430.4000000000005</v>
      </c>
      <c r="AP31" s="99">
        <v>13</v>
      </c>
      <c r="AQ31" s="99">
        <v>4430.4000000000005</v>
      </c>
      <c r="AR31" s="99">
        <v>7.6624387914200369</v>
      </c>
      <c r="AS31" s="99">
        <v>2611.3591401159488</v>
      </c>
      <c r="AT31" s="99">
        <v>5.5756097735908314</v>
      </c>
      <c r="AU31" s="99">
        <v>1900.1678108397555</v>
      </c>
      <c r="AV31" s="99">
        <v>7.3950058111802042</v>
      </c>
      <c r="AW31" s="99">
        <v>2520.2179804502139</v>
      </c>
      <c r="AX31" s="99">
        <v>7.7141904125503205</v>
      </c>
      <c r="AY31" s="99">
        <v>2628.9960925971491</v>
      </c>
      <c r="AZ31" s="99">
        <v>14</v>
      </c>
      <c r="BA31" s="99">
        <v>4771.2</v>
      </c>
      <c r="BB31" s="99">
        <v>9.1357002735673358</v>
      </c>
      <c r="BC31" s="99">
        <v>3113.4466532317483</v>
      </c>
      <c r="BD31" s="99">
        <v>6.0129612703825863</v>
      </c>
      <c r="BE31" s="99">
        <v>2049.2172009463857</v>
      </c>
      <c r="BF31" s="99">
        <v>12.636352841243825</v>
      </c>
      <c r="BG31" s="99">
        <v>4306.4690482958958</v>
      </c>
      <c r="BH31" s="99">
        <v>5.287561162327429</v>
      </c>
      <c r="BI31" s="99">
        <v>1802.0008441211878</v>
      </c>
      <c r="BJ31" s="99">
        <v>4.5410531349367753</v>
      </c>
      <c r="BK31" s="99">
        <v>1547.5909083864531</v>
      </c>
      <c r="BL31" s="99">
        <v>9</v>
      </c>
      <c r="BM31" s="99">
        <v>3067.2000000000003</v>
      </c>
      <c r="BN31" s="99">
        <v>12</v>
      </c>
      <c r="BO31" s="99">
        <v>4089.6000000000004</v>
      </c>
      <c r="BP31" s="99">
        <v>12.785405904071093</v>
      </c>
      <c r="BQ31" s="99">
        <v>4357.2663321074288</v>
      </c>
      <c r="BR31" s="99">
        <v>13.667258616648951</v>
      </c>
      <c r="BS31" s="99">
        <v>4657.8017365539627</v>
      </c>
      <c r="BT31" s="99">
        <v>4.5338624950397302</v>
      </c>
      <c r="BU31" s="99">
        <v>1545.1403383095401</v>
      </c>
      <c r="BV31" s="99">
        <v>11.883294130283234</v>
      </c>
      <c r="BW31" s="99">
        <v>4049.8266396005265</v>
      </c>
      <c r="BX31" s="99">
        <v>11.763301109208893</v>
      </c>
      <c r="BY31" s="99">
        <v>4008.9330180183906</v>
      </c>
      <c r="BZ31" s="99">
        <v>9.2274619703587106</v>
      </c>
      <c r="CA31" s="99">
        <v>3144.7190394982485</v>
      </c>
      <c r="CB31" s="99">
        <v>10</v>
      </c>
      <c r="CC31" s="99">
        <v>3408</v>
      </c>
      <c r="CD31" s="99">
        <v>14.080379733722129</v>
      </c>
      <c r="CE31" s="99">
        <v>4798.5934132525017</v>
      </c>
      <c r="CF31" s="99">
        <v>6.6742902663770147</v>
      </c>
      <c r="CG31" s="99">
        <v>2274.5981227812867</v>
      </c>
      <c r="CH31" s="99">
        <v>8.3039395917171728</v>
      </c>
      <c r="CI31" s="99">
        <v>2829.9826128572126</v>
      </c>
      <c r="CJ31" s="99">
        <v>2.4801547942080449</v>
      </c>
      <c r="CK31" s="99">
        <v>845.23675386610171</v>
      </c>
      <c r="CL31" s="99">
        <v>7.4584713933497557</v>
      </c>
      <c r="CM31" s="99">
        <v>2541.847050853597</v>
      </c>
      <c r="CN31" s="99">
        <v>17</v>
      </c>
      <c r="CO31" s="99">
        <v>5793.6</v>
      </c>
      <c r="CP31" s="99">
        <v>11.745884696927764</v>
      </c>
      <c r="CQ31" s="99">
        <v>4002.9975047129819</v>
      </c>
      <c r="CR31" s="99">
        <v>8.3254052453894349</v>
      </c>
      <c r="CS31" s="99">
        <v>2837.2981076287197</v>
      </c>
      <c r="CT31" s="99">
        <v>6.734950055303079</v>
      </c>
      <c r="CU31" s="99">
        <v>2295.2709788472894</v>
      </c>
    </row>
    <row r="32" spans="2:99">
      <c r="C32" s="98" t="s">
        <v>198</v>
      </c>
      <c r="D32" s="99">
        <v>9</v>
      </c>
      <c r="E32" s="99">
        <v>7560</v>
      </c>
      <c r="F32" s="99">
        <v>8</v>
      </c>
      <c r="G32" s="99">
        <v>6720</v>
      </c>
      <c r="H32" s="99">
        <v>13</v>
      </c>
      <c r="I32" s="99">
        <v>10920</v>
      </c>
      <c r="J32" s="99">
        <v>10</v>
      </c>
      <c r="K32" s="99">
        <v>8400</v>
      </c>
      <c r="L32" s="99">
        <v>11.573879535563353</v>
      </c>
      <c r="M32" s="99">
        <v>9722.0588098732169</v>
      </c>
      <c r="N32" s="99">
        <v>14</v>
      </c>
      <c r="O32" s="99">
        <v>11760</v>
      </c>
      <c r="P32" s="99">
        <v>14</v>
      </c>
      <c r="Q32" s="99">
        <v>11760</v>
      </c>
      <c r="R32" s="99">
        <v>12</v>
      </c>
      <c r="S32" s="99">
        <v>10080</v>
      </c>
      <c r="T32" s="99">
        <v>9</v>
      </c>
      <c r="U32" s="99">
        <v>7560</v>
      </c>
      <c r="V32" s="99">
        <v>10</v>
      </c>
      <c r="W32" s="99">
        <v>8400</v>
      </c>
      <c r="X32" s="99">
        <v>8</v>
      </c>
      <c r="Y32" s="99">
        <v>6720</v>
      </c>
      <c r="Z32" s="99">
        <v>12</v>
      </c>
      <c r="AA32" s="99">
        <v>10080</v>
      </c>
      <c r="AB32" s="99">
        <v>12</v>
      </c>
      <c r="AC32" s="99">
        <v>10080</v>
      </c>
      <c r="AD32" s="99">
        <v>12.834919263991582</v>
      </c>
      <c r="AE32" s="99">
        <v>10781.332181752929</v>
      </c>
      <c r="AF32" s="99">
        <v>5.1651066072195464</v>
      </c>
      <c r="AG32" s="99">
        <v>4338.6895500644187</v>
      </c>
      <c r="AH32" s="99">
        <v>7.7534760656962929</v>
      </c>
      <c r="AI32" s="99">
        <v>6512.9198951848857</v>
      </c>
      <c r="AJ32" s="99">
        <v>8.522621983562539</v>
      </c>
      <c r="AK32" s="99">
        <v>7159.0024661925327</v>
      </c>
      <c r="AL32" s="99">
        <v>9</v>
      </c>
      <c r="AM32" s="99">
        <v>7560</v>
      </c>
      <c r="AN32" s="99">
        <v>15</v>
      </c>
      <c r="AO32" s="99">
        <v>12600</v>
      </c>
      <c r="AP32" s="99">
        <v>14</v>
      </c>
      <c r="AQ32" s="99">
        <v>11760</v>
      </c>
      <c r="AR32" s="99">
        <v>7.6478060381610762</v>
      </c>
      <c r="AS32" s="99">
        <v>6424.1570720553036</v>
      </c>
      <c r="AT32" s="99">
        <v>5.2107523008211283</v>
      </c>
      <c r="AU32" s="99">
        <v>4377.0319326897479</v>
      </c>
      <c r="AV32" s="99">
        <v>6.3586865716706376</v>
      </c>
      <c r="AW32" s="99">
        <v>5341.2967202033351</v>
      </c>
      <c r="AX32" s="99">
        <v>8.9998888146420413</v>
      </c>
      <c r="AY32" s="99">
        <v>7559.9066042993145</v>
      </c>
      <c r="AZ32" s="99">
        <v>13</v>
      </c>
      <c r="BA32" s="99">
        <v>10920</v>
      </c>
      <c r="BB32" s="99">
        <v>8.4646367890139818</v>
      </c>
      <c r="BC32" s="99">
        <v>7110.294902771745</v>
      </c>
      <c r="BD32" s="99">
        <v>6.5140413762478016</v>
      </c>
      <c r="BE32" s="99">
        <v>5471.7947560481534</v>
      </c>
      <c r="BF32" s="99">
        <v>12.561487801097492</v>
      </c>
      <c r="BG32" s="99">
        <v>10551.649752921894</v>
      </c>
      <c r="BH32" s="99">
        <v>5.6096230038440655</v>
      </c>
      <c r="BI32" s="99">
        <v>4712.0833232290151</v>
      </c>
      <c r="BJ32" s="99">
        <v>3.8923312585172356</v>
      </c>
      <c r="BK32" s="99">
        <v>3269.5582571544778</v>
      </c>
      <c r="BL32" s="99">
        <v>10</v>
      </c>
      <c r="BM32" s="99">
        <v>8400</v>
      </c>
      <c r="BN32" s="99">
        <v>13</v>
      </c>
      <c r="BO32" s="99">
        <v>10920</v>
      </c>
      <c r="BP32" s="99">
        <v>13.698649182933314</v>
      </c>
      <c r="BQ32" s="99">
        <v>11506.865313663984</v>
      </c>
      <c r="BR32" s="99">
        <v>11.141839720188289</v>
      </c>
      <c r="BS32" s="99">
        <v>9359.1453649581617</v>
      </c>
      <c r="BT32" s="99">
        <v>3.9312558928302019</v>
      </c>
      <c r="BU32" s="99">
        <v>3302.2549499773695</v>
      </c>
      <c r="BV32" s="99">
        <v>11.07307190378306</v>
      </c>
      <c r="BW32" s="99">
        <v>9301.3803991777695</v>
      </c>
      <c r="BX32" s="99">
        <v>11.007517538729383</v>
      </c>
      <c r="BY32" s="99">
        <v>9246.3147325326809</v>
      </c>
      <c r="BZ32" s="99">
        <v>8.5176572034080422</v>
      </c>
      <c r="CA32" s="99">
        <v>7154.8320508627558</v>
      </c>
      <c r="CB32" s="99">
        <v>10</v>
      </c>
      <c r="CC32" s="99">
        <v>8400</v>
      </c>
      <c r="CD32" s="99">
        <v>13.141687751473988</v>
      </c>
      <c r="CE32" s="99">
        <v>11039.01771123815</v>
      </c>
      <c r="CF32" s="99">
        <v>6.6742902663770147</v>
      </c>
      <c r="CG32" s="99">
        <v>5606.403823756692</v>
      </c>
      <c r="CH32" s="99">
        <v>8.3039395917171728</v>
      </c>
      <c r="CI32" s="99">
        <v>6975.3092570424251</v>
      </c>
      <c r="CJ32" s="99">
        <v>2.1955440319449542</v>
      </c>
      <c r="CK32" s="99">
        <v>1844.2569868337614</v>
      </c>
      <c r="CL32" s="99">
        <v>7.4584713933497557</v>
      </c>
      <c r="CM32" s="99">
        <v>6265.1159704137945</v>
      </c>
      <c r="CN32" s="99">
        <v>16</v>
      </c>
      <c r="CO32" s="99">
        <v>13440</v>
      </c>
      <c r="CP32" s="99">
        <v>12.528943676722946</v>
      </c>
      <c r="CQ32" s="99">
        <v>10524.312688447275</v>
      </c>
      <c r="CR32" s="99">
        <v>9.1579457699283786</v>
      </c>
      <c r="CS32" s="99">
        <v>7692.6744467398385</v>
      </c>
      <c r="CT32" s="99">
        <v>6.734950055303079</v>
      </c>
      <c r="CU32" s="99">
        <v>5657.3580464545867</v>
      </c>
    </row>
    <row r="33" spans="2:99">
      <c r="C33" s="98" t="s">
        <v>199</v>
      </c>
      <c r="D33" s="99">
        <v>9</v>
      </c>
      <c r="E33" s="99">
        <v>4266</v>
      </c>
      <c r="F33" s="99">
        <v>8</v>
      </c>
      <c r="G33" s="99">
        <v>3792</v>
      </c>
      <c r="H33" s="99">
        <v>14</v>
      </c>
      <c r="I33" s="99">
        <v>6636</v>
      </c>
      <c r="J33" s="99">
        <v>10</v>
      </c>
      <c r="K33" s="99">
        <v>4740</v>
      </c>
      <c r="L33" s="99">
        <v>10.621702830193634</v>
      </c>
      <c r="M33" s="99">
        <v>5034.6871415117821</v>
      </c>
      <c r="N33" s="99">
        <v>14</v>
      </c>
      <c r="O33" s="99">
        <v>6636</v>
      </c>
      <c r="P33" s="99">
        <v>14</v>
      </c>
      <c r="Q33" s="99">
        <v>6636</v>
      </c>
      <c r="R33" s="99">
        <v>12</v>
      </c>
      <c r="S33" s="99">
        <v>5688</v>
      </c>
      <c r="T33" s="99">
        <v>11</v>
      </c>
      <c r="U33" s="99">
        <v>5214</v>
      </c>
      <c r="V33" s="99">
        <v>9</v>
      </c>
      <c r="W33" s="99">
        <v>4266</v>
      </c>
      <c r="X33" s="99">
        <v>8</v>
      </c>
      <c r="Y33" s="99">
        <v>3792</v>
      </c>
      <c r="Z33" s="99">
        <v>13</v>
      </c>
      <c r="AA33" s="99">
        <v>6162</v>
      </c>
      <c r="AB33" s="99">
        <v>11</v>
      </c>
      <c r="AC33" s="99">
        <v>5214</v>
      </c>
      <c r="AD33" s="99">
        <v>12.834919263991582</v>
      </c>
      <c r="AE33" s="99">
        <v>6083.7517311320098</v>
      </c>
      <c r="AF33" s="99">
        <v>5.1804600875386893</v>
      </c>
      <c r="AG33" s="99">
        <v>2455.5380814933387</v>
      </c>
      <c r="AH33" s="99">
        <v>8.5230558298684667</v>
      </c>
      <c r="AI33" s="99">
        <v>4039.9284633576531</v>
      </c>
      <c r="AJ33" s="99">
        <v>8.522621983562539</v>
      </c>
      <c r="AK33" s="99">
        <v>4039.7228202086435</v>
      </c>
      <c r="AL33" s="99">
        <v>9</v>
      </c>
      <c r="AM33" s="99">
        <v>4266</v>
      </c>
      <c r="AN33" s="99">
        <v>13</v>
      </c>
      <c r="AO33" s="99">
        <v>6162</v>
      </c>
      <c r="AP33" s="99">
        <v>13</v>
      </c>
      <c r="AQ33" s="99">
        <v>6162</v>
      </c>
      <c r="AR33" s="99">
        <v>7.6478060381610762</v>
      </c>
      <c r="AS33" s="99">
        <v>3625.0600620883502</v>
      </c>
      <c r="AT33" s="99">
        <v>5.1936276871469147</v>
      </c>
      <c r="AU33" s="99">
        <v>2461.7795237076375</v>
      </c>
      <c r="AV33" s="99">
        <v>7.4184676669490779</v>
      </c>
      <c r="AW33" s="99">
        <v>3516.353674133863</v>
      </c>
      <c r="AX33" s="99">
        <v>7.7141904125503205</v>
      </c>
      <c r="AY33" s="99">
        <v>3656.5262555488521</v>
      </c>
      <c r="AZ33" s="99">
        <v>14</v>
      </c>
      <c r="BA33" s="99">
        <v>6636</v>
      </c>
      <c r="BB33" s="99">
        <v>8.5345037863641178</v>
      </c>
      <c r="BC33" s="99">
        <v>4045.3547947365919</v>
      </c>
      <c r="BD33" s="99">
        <v>6.5140413762478016</v>
      </c>
      <c r="BE33" s="99">
        <v>3087.655612341458</v>
      </c>
      <c r="BF33" s="99">
        <v>11.59892032117066</v>
      </c>
      <c r="BG33" s="99">
        <v>5497.8882322348927</v>
      </c>
      <c r="BH33" s="99">
        <v>5.5948928896641332</v>
      </c>
      <c r="BI33" s="99">
        <v>2651.9792297007994</v>
      </c>
      <c r="BJ33" s="99">
        <v>4.5410531349367753</v>
      </c>
      <c r="BK33" s="99">
        <v>2152.4591859600314</v>
      </c>
      <c r="BL33" s="99">
        <v>9</v>
      </c>
      <c r="BM33" s="99">
        <v>4266</v>
      </c>
      <c r="BN33" s="99">
        <v>12</v>
      </c>
      <c r="BO33" s="99">
        <v>5688</v>
      </c>
      <c r="BP33" s="99">
        <v>13.698649182933314</v>
      </c>
      <c r="BQ33" s="99">
        <v>6493.1597127103914</v>
      </c>
      <c r="BR33" s="99">
        <v>11.131020201886905</v>
      </c>
      <c r="BS33" s="99">
        <v>5276.1035756943929</v>
      </c>
      <c r="BT33" s="99">
        <v>4.2346039051447182</v>
      </c>
      <c r="BU33" s="99">
        <v>2007.2022510385964</v>
      </c>
      <c r="BV33" s="99">
        <v>11.07307190378306</v>
      </c>
      <c r="BW33" s="99">
        <v>5248.63608239317</v>
      </c>
      <c r="BX33" s="99">
        <v>10.251733968249871</v>
      </c>
      <c r="BY33" s="99">
        <v>4859.3219009504392</v>
      </c>
      <c r="BZ33" s="99">
        <v>8.5176572034080422</v>
      </c>
      <c r="CA33" s="99">
        <v>4037.3695144154121</v>
      </c>
      <c r="CB33" s="99">
        <v>10</v>
      </c>
      <c r="CC33" s="99">
        <v>4740</v>
      </c>
      <c r="CD33" s="99">
        <v>13.141687751473988</v>
      </c>
      <c r="CE33" s="99">
        <v>6229.1599941986706</v>
      </c>
      <c r="CF33" s="99">
        <v>6.1480391036303681</v>
      </c>
      <c r="CG33" s="99">
        <v>2914.1705351207943</v>
      </c>
      <c r="CH33" s="99">
        <v>10.083355218513709</v>
      </c>
      <c r="CI33" s="99">
        <v>4779.5103735754983</v>
      </c>
      <c r="CJ33" s="99">
        <v>2.3493987708096427</v>
      </c>
      <c r="CK33" s="99">
        <v>1113.6150173637707</v>
      </c>
      <c r="CL33" s="99">
        <v>8.7015499589080481</v>
      </c>
      <c r="CM33" s="99">
        <v>4124.5346805224144</v>
      </c>
      <c r="CN33" s="99">
        <v>17</v>
      </c>
      <c r="CO33" s="99">
        <v>8058</v>
      </c>
      <c r="CP33" s="99">
        <v>10.96282571713258</v>
      </c>
      <c r="CQ33" s="99">
        <v>5196.3793899208431</v>
      </c>
      <c r="CR33" s="99">
        <v>9.1579457699283786</v>
      </c>
      <c r="CS33" s="99">
        <v>4340.8662949460513</v>
      </c>
      <c r="CT33" s="99">
        <v>7.4832778392256438</v>
      </c>
      <c r="CU33" s="99">
        <v>3547.0736957929553</v>
      </c>
    </row>
    <row r="34" spans="2:99">
      <c r="C34" s="98" t="s">
        <v>200</v>
      </c>
      <c r="D34" s="99">
        <v>8</v>
      </c>
      <c r="E34" s="99">
        <v>4387.2</v>
      </c>
      <c r="F34" s="99">
        <v>9</v>
      </c>
      <c r="G34" s="99">
        <v>4935.5999999999995</v>
      </c>
      <c r="H34" s="99">
        <v>12</v>
      </c>
      <c r="I34" s="99">
        <v>6580.7999999999993</v>
      </c>
      <c r="J34" s="99">
        <v>10</v>
      </c>
      <c r="K34" s="99">
        <v>5484</v>
      </c>
      <c r="L34" s="99">
        <v>11.526056240933073</v>
      </c>
      <c r="M34" s="99">
        <v>6320.8892425276972</v>
      </c>
      <c r="N34" s="99">
        <v>13</v>
      </c>
      <c r="O34" s="99">
        <v>7129.2</v>
      </c>
      <c r="P34" s="99">
        <v>14</v>
      </c>
      <c r="Q34" s="99">
        <v>7677.5999999999995</v>
      </c>
      <c r="R34" s="99">
        <v>12</v>
      </c>
      <c r="S34" s="99">
        <v>6580.7999999999993</v>
      </c>
      <c r="T34" s="99">
        <v>10</v>
      </c>
      <c r="U34" s="99">
        <v>5484</v>
      </c>
      <c r="V34" s="99">
        <v>9</v>
      </c>
      <c r="W34" s="99">
        <v>4935.5999999999995</v>
      </c>
      <c r="X34" s="99">
        <v>8</v>
      </c>
      <c r="Y34" s="99">
        <v>4387.2</v>
      </c>
      <c r="Z34" s="99">
        <v>12</v>
      </c>
      <c r="AA34" s="99">
        <v>6580.7999999999993</v>
      </c>
      <c r="AB34" s="99">
        <v>11</v>
      </c>
      <c r="AC34" s="99">
        <v>6032.4</v>
      </c>
      <c r="AD34" s="99">
        <v>12.834919263991582</v>
      </c>
      <c r="AE34" s="99">
        <v>7038.6697243729832</v>
      </c>
      <c r="AF34" s="99">
        <v>5.1804600875386893</v>
      </c>
      <c r="AG34" s="99">
        <v>2840.9643120062169</v>
      </c>
      <c r="AH34" s="99">
        <v>7.7446024620078981</v>
      </c>
      <c r="AI34" s="99">
        <v>4247.1399901651312</v>
      </c>
      <c r="AJ34" s="99">
        <v>8.522621983562539</v>
      </c>
      <c r="AK34" s="99">
        <v>4673.8058957856965</v>
      </c>
      <c r="AL34" s="99">
        <v>9</v>
      </c>
      <c r="AM34" s="99">
        <v>4935.5999999999995</v>
      </c>
      <c r="AN34" s="99">
        <v>15</v>
      </c>
      <c r="AO34" s="99">
        <v>8226</v>
      </c>
      <c r="AP34" s="99">
        <v>15</v>
      </c>
      <c r="AQ34" s="99">
        <v>8226</v>
      </c>
      <c r="AR34" s="99">
        <v>7.6478060381610762</v>
      </c>
      <c r="AS34" s="99">
        <v>4194.0568313275344</v>
      </c>
      <c r="AT34" s="99">
        <v>5.176503073472702</v>
      </c>
      <c r="AU34" s="99">
        <v>2838.7942854924295</v>
      </c>
      <c r="AV34" s="99">
        <v>6.8885771193098586</v>
      </c>
      <c r="AW34" s="99">
        <v>3777.6956922295262</v>
      </c>
      <c r="AX34" s="99">
        <v>8.9998888146420413</v>
      </c>
      <c r="AY34" s="99">
        <v>4935.5390259496953</v>
      </c>
      <c r="AZ34" s="99">
        <v>13</v>
      </c>
      <c r="BA34" s="99">
        <v>7129.2</v>
      </c>
      <c r="BB34" s="99">
        <v>8.4297032903389155</v>
      </c>
      <c r="BC34" s="99">
        <v>4622.8492844218608</v>
      </c>
      <c r="BD34" s="99">
        <v>6.5140413762478016</v>
      </c>
      <c r="BE34" s="99">
        <v>3572.3002907342943</v>
      </c>
      <c r="BF34" s="99">
        <v>11.711217881390159</v>
      </c>
      <c r="BG34" s="99">
        <v>6422.4318861543625</v>
      </c>
      <c r="BH34" s="99">
        <v>5.624353118023997</v>
      </c>
      <c r="BI34" s="99">
        <v>3084.3952499243596</v>
      </c>
      <c r="BJ34" s="99">
        <v>4.5410531349367753</v>
      </c>
      <c r="BK34" s="99">
        <v>2490.3135391993274</v>
      </c>
      <c r="BL34" s="99">
        <v>10</v>
      </c>
      <c r="BM34" s="99">
        <v>5484</v>
      </c>
      <c r="BN34" s="99">
        <v>12</v>
      </c>
      <c r="BO34" s="99">
        <v>6580.7999999999993</v>
      </c>
      <c r="BP34" s="99">
        <v>14.611892461795534</v>
      </c>
      <c r="BQ34" s="99">
        <v>8013.1618260486703</v>
      </c>
      <c r="BR34" s="99">
        <v>12.821845811728268</v>
      </c>
      <c r="BS34" s="99">
        <v>7031.5002431517823</v>
      </c>
      <c r="BT34" s="99">
        <v>4.2366486163544703</v>
      </c>
      <c r="BU34" s="99">
        <v>2323.3781012087916</v>
      </c>
      <c r="BV34" s="99">
        <v>11.104847371976046</v>
      </c>
      <c r="BW34" s="99">
        <v>6089.8982987916634</v>
      </c>
      <c r="BX34" s="99">
        <v>10.274183839408618</v>
      </c>
      <c r="BY34" s="99">
        <v>5634.3624175316863</v>
      </c>
      <c r="BZ34" s="99">
        <v>9.2274619703587106</v>
      </c>
      <c r="CA34" s="99">
        <v>5060.3401445447171</v>
      </c>
      <c r="CB34" s="99">
        <v>10</v>
      </c>
      <c r="CC34" s="99">
        <v>5484</v>
      </c>
      <c r="CD34" s="99">
        <v>12.202995769225845</v>
      </c>
      <c r="CE34" s="99">
        <v>6692.1228798434531</v>
      </c>
      <c r="CF34" s="99">
        <v>6.6742902663770147</v>
      </c>
      <c r="CG34" s="99">
        <v>3660.1807820811546</v>
      </c>
      <c r="CH34" s="99">
        <v>9.4902166762481972</v>
      </c>
      <c r="CI34" s="99">
        <v>5204.4348252545115</v>
      </c>
      <c r="CJ34" s="99">
        <v>2.4893942803945595</v>
      </c>
      <c r="CK34" s="99">
        <v>1365.1838233683764</v>
      </c>
      <c r="CL34" s="99">
        <v>8.0800106761289019</v>
      </c>
      <c r="CM34" s="99">
        <v>4431.0778547890895</v>
      </c>
      <c r="CN34" s="99">
        <v>16</v>
      </c>
      <c r="CO34" s="99">
        <v>8774.4</v>
      </c>
      <c r="CP34" s="99">
        <v>11.745884696927764</v>
      </c>
      <c r="CQ34" s="99">
        <v>6441.4431677951852</v>
      </c>
      <c r="CR34" s="99">
        <v>9.1579457699283786</v>
      </c>
      <c r="CS34" s="99">
        <v>5022.2174602287223</v>
      </c>
      <c r="CT34" s="99">
        <v>7.4832778392256438</v>
      </c>
      <c r="CU34" s="99">
        <v>4103.8295670313428</v>
      </c>
    </row>
    <row r="35" spans="2:99">
      <c r="C35" s="98" t="s">
        <v>201</v>
      </c>
      <c r="D35" s="99">
        <v>8</v>
      </c>
      <c r="E35" s="99">
        <v>4022.3999999999992</v>
      </c>
      <c r="F35" s="99">
        <v>9</v>
      </c>
      <c r="G35" s="99">
        <v>4525.1999999999989</v>
      </c>
      <c r="H35" s="99">
        <v>12</v>
      </c>
      <c r="I35" s="99">
        <v>6033.5999999999985</v>
      </c>
      <c r="J35" s="99">
        <v>10</v>
      </c>
      <c r="K35" s="99">
        <v>5027.9999999999991</v>
      </c>
      <c r="L35" s="99">
        <v>11.573879535563353</v>
      </c>
      <c r="M35" s="99">
        <v>5819.3466304812528</v>
      </c>
      <c r="N35" s="99">
        <v>15</v>
      </c>
      <c r="O35" s="99">
        <v>7541.9999999999982</v>
      </c>
      <c r="P35" s="99">
        <v>13</v>
      </c>
      <c r="Q35" s="99">
        <v>6536.3999999999987</v>
      </c>
      <c r="R35" s="99">
        <v>13</v>
      </c>
      <c r="S35" s="99">
        <v>6536.3999999999987</v>
      </c>
      <c r="T35" s="99">
        <v>9</v>
      </c>
      <c r="U35" s="99">
        <v>4525.1999999999989</v>
      </c>
      <c r="V35" s="99">
        <v>10</v>
      </c>
      <c r="W35" s="99">
        <v>5027.9999999999991</v>
      </c>
      <c r="X35" s="99">
        <v>8</v>
      </c>
      <c r="Y35" s="99">
        <v>4022.3999999999992</v>
      </c>
      <c r="Z35" s="99">
        <v>12</v>
      </c>
      <c r="AA35" s="99">
        <v>6033.5999999999985</v>
      </c>
      <c r="AB35" s="99">
        <v>11</v>
      </c>
      <c r="AC35" s="99">
        <v>5530.7999999999993</v>
      </c>
      <c r="AD35" s="99">
        <v>12.008722374894536</v>
      </c>
      <c r="AE35" s="99">
        <v>6037.985610096971</v>
      </c>
      <c r="AF35" s="99">
        <v>5.3164259794427089</v>
      </c>
      <c r="AG35" s="99">
        <v>2673.0989824637936</v>
      </c>
      <c r="AH35" s="99">
        <v>6.9794594996799226</v>
      </c>
      <c r="AI35" s="99">
        <v>3509.2722364390643</v>
      </c>
      <c r="AJ35" s="99">
        <v>9.3748841819187909</v>
      </c>
      <c r="AK35" s="99">
        <v>4713.6917666687668</v>
      </c>
      <c r="AL35" s="99">
        <v>10</v>
      </c>
      <c r="AM35" s="99">
        <v>5027.9999999999991</v>
      </c>
      <c r="AN35" s="99">
        <v>13</v>
      </c>
      <c r="AO35" s="99">
        <v>6536.3999999999987</v>
      </c>
      <c r="AP35" s="99">
        <v>15</v>
      </c>
      <c r="AQ35" s="99">
        <v>7541.9999999999982</v>
      </c>
      <c r="AR35" s="99">
        <v>7.6624387914200369</v>
      </c>
      <c r="AS35" s="99">
        <v>3852.6742243259937</v>
      </c>
      <c r="AT35" s="99">
        <v>5.5756097735908314</v>
      </c>
      <c r="AU35" s="99">
        <v>2803.4165941614697</v>
      </c>
      <c r="AV35" s="99">
        <v>7.3950058111802042</v>
      </c>
      <c r="AW35" s="99">
        <v>3718.208921861406</v>
      </c>
      <c r="AX35" s="99">
        <v>8.9998888146420413</v>
      </c>
      <c r="AY35" s="99">
        <v>4525.1440960020172</v>
      </c>
      <c r="AZ35" s="99">
        <v>13</v>
      </c>
      <c r="BA35" s="99">
        <v>6536.3999999999987</v>
      </c>
      <c r="BB35" s="99">
        <v>7.7237063071104934</v>
      </c>
      <c r="BC35" s="99">
        <v>3883.4795312151555</v>
      </c>
      <c r="BD35" s="99">
        <v>6.5140413762478016</v>
      </c>
      <c r="BE35" s="99">
        <v>3275.2600039773938</v>
      </c>
      <c r="BF35" s="99">
        <v>11.59892032117066</v>
      </c>
      <c r="BG35" s="99">
        <v>5831.9371374846069</v>
      </c>
      <c r="BH35" s="99">
        <v>4.9507692066308602</v>
      </c>
      <c r="BI35" s="99">
        <v>2489.2467570939962</v>
      </c>
      <c r="BJ35" s="99">
        <v>4.5410531349367753</v>
      </c>
      <c r="BK35" s="99">
        <v>2283.2415162462103</v>
      </c>
      <c r="BL35" s="99">
        <v>10</v>
      </c>
      <c r="BM35" s="99">
        <v>5027.9999999999991</v>
      </c>
      <c r="BN35" s="99">
        <v>13</v>
      </c>
      <c r="BO35" s="99">
        <v>6536.3999999999987</v>
      </c>
      <c r="BP35" s="99">
        <v>14.611892461795534</v>
      </c>
      <c r="BQ35" s="99">
        <v>7346.8595297907932</v>
      </c>
      <c r="BR35" s="99">
        <v>12.821845811728268</v>
      </c>
      <c r="BS35" s="99">
        <v>6446.8240741369718</v>
      </c>
      <c r="BT35" s="99">
        <v>4.5338624950397302</v>
      </c>
      <c r="BU35" s="99">
        <v>2279.6260625059758</v>
      </c>
      <c r="BV35" s="99">
        <v>11.07307190378306</v>
      </c>
      <c r="BW35" s="99">
        <v>5567.5405532221212</v>
      </c>
      <c r="BX35" s="99">
        <v>10.229284097091123</v>
      </c>
      <c r="BY35" s="99">
        <v>5143.284044017415</v>
      </c>
      <c r="BZ35" s="99">
        <v>9.2274619703587106</v>
      </c>
      <c r="CA35" s="99">
        <v>4639.567878696359</v>
      </c>
      <c r="CB35" s="99">
        <v>9</v>
      </c>
      <c r="CC35" s="99">
        <v>4525.1999999999989</v>
      </c>
      <c r="CD35" s="99">
        <v>13.141687751473988</v>
      </c>
      <c r="CE35" s="99">
        <v>6607.6406014411195</v>
      </c>
      <c r="CF35" s="99">
        <v>5.9308449576016296</v>
      </c>
      <c r="CG35" s="99">
        <v>2982.0288446820987</v>
      </c>
      <c r="CH35" s="99">
        <v>10.083355218513709</v>
      </c>
      <c r="CI35" s="99">
        <v>5069.9110038686922</v>
      </c>
      <c r="CJ35" s="99">
        <v>2.6340095330727342</v>
      </c>
      <c r="CK35" s="99">
        <v>1324.3799932289705</v>
      </c>
      <c r="CL35" s="99">
        <v>8.0800106761289019</v>
      </c>
      <c r="CM35" s="99">
        <v>4062.6293679576111</v>
      </c>
      <c r="CN35" s="99">
        <v>16</v>
      </c>
      <c r="CO35" s="99">
        <v>8044.7999999999984</v>
      </c>
      <c r="CP35" s="99">
        <v>11.745884696927764</v>
      </c>
      <c r="CQ35" s="99">
        <v>5905.8308256152786</v>
      </c>
      <c r="CR35" s="99">
        <v>9.1579457699283786</v>
      </c>
      <c r="CS35" s="99">
        <v>4604.6151331199881</v>
      </c>
      <c r="CT35" s="99">
        <v>6.734950055303079</v>
      </c>
      <c r="CU35" s="99">
        <v>3386.3328878063876</v>
      </c>
    </row>
    <row r="36" spans="2:99">
      <c r="C36" s="98" t="s">
        <v>202</v>
      </c>
      <c r="D36" s="99">
        <v>9</v>
      </c>
      <c r="E36" s="99">
        <v>6847.2</v>
      </c>
      <c r="F36" s="99">
        <v>10</v>
      </c>
      <c r="G36" s="99">
        <v>7608</v>
      </c>
      <c r="H36" s="99">
        <v>13</v>
      </c>
      <c r="I36" s="99">
        <v>9890.4</v>
      </c>
      <c r="J36" s="99">
        <v>11</v>
      </c>
      <c r="K36" s="99">
        <v>8368.7999999999993</v>
      </c>
      <c r="L36" s="99">
        <v>11.526056240933073</v>
      </c>
      <c r="M36" s="99">
        <v>8769.0235881018816</v>
      </c>
      <c r="N36" s="99">
        <v>13</v>
      </c>
      <c r="O36" s="99">
        <v>9890.4</v>
      </c>
      <c r="P36" s="99">
        <v>12</v>
      </c>
      <c r="Q36" s="99">
        <v>9129.5999999999985</v>
      </c>
      <c r="R36" s="99">
        <v>12</v>
      </c>
      <c r="S36" s="99">
        <v>9129.5999999999985</v>
      </c>
      <c r="T36" s="99">
        <v>10</v>
      </c>
      <c r="U36" s="99">
        <v>7608</v>
      </c>
      <c r="V36" s="99">
        <v>10</v>
      </c>
      <c r="W36" s="99">
        <v>7608</v>
      </c>
      <c r="X36" s="99">
        <v>7</v>
      </c>
      <c r="Y36" s="99">
        <v>5325.5999999999995</v>
      </c>
      <c r="Z36" s="99">
        <v>13</v>
      </c>
      <c r="AA36" s="99">
        <v>9890.4</v>
      </c>
      <c r="AB36" s="99">
        <v>11</v>
      </c>
      <c r="AC36" s="99">
        <v>8368.7999999999993</v>
      </c>
      <c r="AD36" s="99">
        <v>11.148528106756267</v>
      </c>
      <c r="AE36" s="99">
        <v>8481.8001836201674</v>
      </c>
      <c r="AF36" s="99">
        <v>4.7220711089326537</v>
      </c>
      <c r="AG36" s="99">
        <v>3592.5516996759629</v>
      </c>
      <c r="AH36" s="99">
        <v>6.9794594996799226</v>
      </c>
      <c r="AI36" s="99">
        <v>5309.9727873564852</v>
      </c>
      <c r="AJ36" s="99">
        <v>9.3748841819187909</v>
      </c>
      <c r="AK36" s="99">
        <v>7132.4118856038158</v>
      </c>
      <c r="AL36" s="99">
        <v>9</v>
      </c>
      <c r="AM36" s="99">
        <v>6847.2</v>
      </c>
      <c r="AN36" s="99">
        <v>15</v>
      </c>
      <c r="AO36" s="99">
        <v>11412</v>
      </c>
      <c r="AP36" s="99">
        <v>14</v>
      </c>
      <c r="AQ36" s="99">
        <v>10651.199999999999</v>
      </c>
      <c r="AR36" s="99">
        <v>7.6624387914200369</v>
      </c>
      <c r="AS36" s="99">
        <v>5829.5834325123633</v>
      </c>
      <c r="AT36" s="99">
        <v>4.8630194417256378</v>
      </c>
      <c r="AU36" s="99">
        <v>3699.7851912648653</v>
      </c>
      <c r="AV36" s="99">
        <v>6.8768461914254209</v>
      </c>
      <c r="AW36" s="99">
        <v>5231.9045824364603</v>
      </c>
      <c r="AX36" s="99">
        <v>7.7141904125503205</v>
      </c>
      <c r="AY36" s="99">
        <v>5868.9560658682831</v>
      </c>
      <c r="AZ36" s="99">
        <v>13</v>
      </c>
      <c r="BA36" s="99">
        <v>9890.4</v>
      </c>
      <c r="BB36" s="99">
        <v>8.4646367890139818</v>
      </c>
      <c r="BC36" s="99">
        <v>6439.8956690818368</v>
      </c>
      <c r="BD36" s="99">
        <v>6.0129612703825863</v>
      </c>
      <c r="BE36" s="99">
        <v>4574.660934507071</v>
      </c>
      <c r="BF36" s="99">
        <v>12.59892032117066</v>
      </c>
      <c r="BG36" s="99">
        <v>9585.2585803466372</v>
      </c>
      <c r="BH36" s="99">
        <v>5.9316848453607012</v>
      </c>
      <c r="BI36" s="99">
        <v>4512.8258303504208</v>
      </c>
      <c r="BJ36" s="99">
        <v>4.2166921967270055</v>
      </c>
      <c r="BK36" s="99">
        <v>3208.0594232699054</v>
      </c>
      <c r="BL36" s="99">
        <v>9</v>
      </c>
      <c r="BM36" s="99">
        <v>6847.2</v>
      </c>
      <c r="BN36" s="99">
        <v>12</v>
      </c>
      <c r="BO36" s="99">
        <v>9129.5999999999985</v>
      </c>
      <c r="BP36" s="99">
        <v>13.698649182933314</v>
      </c>
      <c r="BQ36" s="99">
        <v>10421.932298375665</v>
      </c>
      <c r="BR36" s="99">
        <v>11.987252525108971</v>
      </c>
      <c r="BS36" s="99">
        <v>9119.901721102904</v>
      </c>
      <c r="BT36" s="99">
        <v>4.1896202585301641</v>
      </c>
      <c r="BU36" s="99">
        <v>3187.4630926897485</v>
      </c>
      <c r="BV36" s="99">
        <v>10.231074209089895</v>
      </c>
      <c r="BW36" s="99">
        <v>7783.8012582755919</v>
      </c>
      <c r="BX36" s="99">
        <v>9.4959503977703594</v>
      </c>
      <c r="BY36" s="99">
        <v>7224.519062623689</v>
      </c>
      <c r="BZ36" s="99">
        <v>9.2274619703587106</v>
      </c>
      <c r="CA36" s="99">
        <v>7020.2530670489068</v>
      </c>
      <c r="CB36" s="99">
        <v>9</v>
      </c>
      <c r="CC36" s="99">
        <v>6847.2</v>
      </c>
      <c r="CD36" s="99">
        <v>12.202995769225845</v>
      </c>
      <c r="CE36" s="99">
        <v>9284.0391812270227</v>
      </c>
      <c r="CF36" s="99">
        <v>6.1480391036303681</v>
      </c>
      <c r="CG36" s="99">
        <v>4677.4281500419838</v>
      </c>
      <c r="CH36" s="99">
        <v>8.3039395917171728</v>
      </c>
      <c r="CI36" s="99">
        <v>6317.6372413784247</v>
      </c>
      <c r="CJ36" s="99">
        <v>2.6432490192592479</v>
      </c>
      <c r="CK36" s="99">
        <v>2010.9838538524357</v>
      </c>
      <c r="CL36" s="99">
        <v>8.7015499589080481</v>
      </c>
      <c r="CM36" s="99">
        <v>6620.1392087372424</v>
      </c>
      <c r="CN36" s="99">
        <v>16</v>
      </c>
      <c r="CO36" s="99">
        <v>12172.8</v>
      </c>
      <c r="CP36" s="99">
        <v>11.745884696927764</v>
      </c>
      <c r="CQ36" s="99">
        <v>8936.2690774226412</v>
      </c>
      <c r="CR36" s="99">
        <v>9.1579457699283786</v>
      </c>
      <c r="CS36" s="99">
        <v>6967.3651417615101</v>
      </c>
      <c r="CT36" s="99">
        <v>7.4832778392256438</v>
      </c>
      <c r="CU36" s="99">
        <v>5693.2777800828699</v>
      </c>
    </row>
    <row r="37" spans="2:99">
      <c r="B37" s="98" t="s">
        <v>128</v>
      </c>
      <c r="C37" s="98" t="s">
        <v>203</v>
      </c>
      <c r="D37" s="99">
        <v>5</v>
      </c>
      <c r="E37" s="99">
        <v>4302</v>
      </c>
      <c r="F37" s="99">
        <v>9</v>
      </c>
      <c r="G37" s="99">
        <v>7743.5999999999995</v>
      </c>
      <c r="H37" s="99">
        <v>8</v>
      </c>
      <c r="I37" s="99">
        <v>6883.2</v>
      </c>
      <c r="J37" s="99">
        <v>8</v>
      </c>
      <c r="K37" s="99">
        <v>6883.2</v>
      </c>
      <c r="L37" s="99">
        <v>6.6695261248239124</v>
      </c>
      <c r="M37" s="99">
        <v>5738.4602777984937</v>
      </c>
      <c r="N37" s="99">
        <v>6</v>
      </c>
      <c r="O37" s="99">
        <v>5162.3999999999996</v>
      </c>
      <c r="P37" s="99">
        <v>9</v>
      </c>
      <c r="Q37" s="99">
        <v>7743.5999999999995</v>
      </c>
      <c r="R37" s="99">
        <v>8</v>
      </c>
      <c r="S37" s="99">
        <v>6883.2</v>
      </c>
      <c r="T37" s="99">
        <v>10</v>
      </c>
      <c r="U37" s="99">
        <v>8604</v>
      </c>
      <c r="V37" s="99">
        <v>9</v>
      </c>
      <c r="W37" s="99">
        <v>7743.5999999999995</v>
      </c>
      <c r="X37" s="99">
        <v>8</v>
      </c>
      <c r="Y37" s="99">
        <v>6883.2</v>
      </c>
      <c r="Z37" s="99">
        <v>6</v>
      </c>
      <c r="AA37" s="99">
        <v>5162.3999999999996</v>
      </c>
      <c r="AB37" s="99">
        <v>7</v>
      </c>
      <c r="AC37" s="99">
        <v>6022.8</v>
      </c>
      <c r="AD37" s="99">
        <v>5.2801564354738817</v>
      </c>
      <c r="AE37" s="99">
        <v>4543.0465970817277</v>
      </c>
      <c r="AF37" s="99">
        <v>3.7438792304440067</v>
      </c>
      <c r="AG37" s="99">
        <v>3221.2336898740232</v>
      </c>
      <c r="AH37" s="99">
        <v>5.4181159621145891</v>
      </c>
      <c r="AI37" s="99">
        <v>4661.7469738033924</v>
      </c>
      <c r="AJ37" s="99">
        <v>5.1135731901375232</v>
      </c>
      <c r="AK37" s="99">
        <v>4399.7183727943248</v>
      </c>
      <c r="AL37" s="99">
        <v>8</v>
      </c>
      <c r="AM37" s="99">
        <v>6883.2</v>
      </c>
      <c r="AN37" s="99">
        <v>6</v>
      </c>
      <c r="AO37" s="99">
        <v>5162.3999999999996</v>
      </c>
      <c r="AP37" s="99">
        <v>7</v>
      </c>
      <c r="AQ37" s="99">
        <v>6022.8</v>
      </c>
      <c r="AR37" s="99">
        <v>5.9694297843882262</v>
      </c>
      <c r="AS37" s="99">
        <v>5136.0973864876296</v>
      </c>
      <c r="AT37" s="99">
        <v>1.94415965956801</v>
      </c>
      <c r="AU37" s="99">
        <v>1672.7549710923158</v>
      </c>
      <c r="AV37" s="99">
        <v>2.2016786857479365</v>
      </c>
      <c r="AW37" s="99">
        <v>1894.3243412175245</v>
      </c>
      <c r="AX37" s="99">
        <v>5.1427936083668806</v>
      </c>
      <c r="AY37" s="99">
        <v>4424.8596206388638</v>
      </c>
      <c r="AZ37" s="99">
        <v>9</v>
      </c>
      <c r="BA37" s="99">
        <v>7743.5999999999995</v>
      </c>
      <c r="BB37" s="99">
        <v>4.5154498887710668</v>
      </c>
      <c r="BC37" s="99">
        <v>3885.0930842986259</v>
      </c>
      <c r="BD37" s="99">
        <v>4.0086408469217245</v>
      </c>
      <c r="BE37" s="99">
        <v>3449.0345846914515</v>
      </c>
      <c r="BF37" s="99">
        <v>7.4491902408779946</v>
      </c>
      <c r="BG37" s="99">
        <v>6409.2832832514268</v>
      </c>
      <c r="BH37" s="99">
        <v>3.1784287430684302</v>
      </c>
      <c r="BI37" s="99">
        <v>2734.7200905360774</v>
      </c>
      <c r="BJ37" s="99">
        <v>2.9192484438879269</v>
      </c>
      <c r="BK37" s="99">
        <v>2511.7213611211723</v>
      </c>
      <c r="BL37" s="99">
        <v>7</v>
      </c>
      <c r="BM37" s="99">
        <v>6022.8</v>
      </c>
      <c r="BN37" s="99">
        <v>5</v>
      </c>
      <c r="BO37" s="99">
        <v>4302</v>
      </c>
      <c r="BP37" s="99">
        <v>6.3927029520355463</v>
      </c>
      <c r="BQ37" s="99">
        <v>5500.2816199313838</v>
      </c>
      <c r="BR37" s="99">
        <v>6.8823171406807155</v>
      </c>
      <c r="BS37" s="99">
        <v>5921.5456678416876</v>
      </c>
      <c r="BT37" s="99">
        <v>2.7178638435721356</v>
      </c>
      <c r="BU37" s="99">
        <v>2338.4500510094654</v>
      </c>
      <c r="BV37" s="99">
        <v>4.559518623588672</v>
      </c>
      <c r="BW37" s="99">
        <v>3923.0098237356933</v>
      </c>
      <c r="BX37" s="99">
        <v>4.7143003921470568</v>
      </c>
      <c r="BY37" s="99">
        <v>4056.1840574033276</v>
      </c>
      <c r="BZ37" s="99">
        <v>4.2588286017040211</v>
      </c>
      <c r="CA37" s="99">
        <v>3664.2961289061395</v>
      </c>
      <c r="CB37" s="99">
        <v>8</v>
      </c>
      <c r="CC37" s="99">
        <v>6883.2</v>
      </c>
      <c r="CD37" s="99">
        <v>6.570843875736994</v>
      </c>
      <c r="CE37" s="99">
        <v>5653.5540706841093</v>
      </c>
      <c r="CF37" s="99">
        <v>7.1170206250114587</v>
      </c>
      <c r="CG37" s="99">
        <v>6123.4845457598585</v>
      </c>
      <c r="CH37" s="99">
        <v>2.965692711327562</v>
      </c>
      <c r="CI37" s="99">
        <v>2551.6820088262343</v>
      </c>
      <c r="CJ37" s="99">
        <v>0.93698766246790277</v>
      </c>
      <c r="CK37" s="99">
        <v>806.18418478738351</v>
      </c>
      <c r="CL37" s="99">
        <v>6.2153928277914643</v>
      </c>
      <c r="CM37" s="99">
        <v>5347.723989031776</v>
      </c>
      <c r="CN37" s="99">
        <v>5</v>
      </c>
      <c r="CO37" s="99">
        <v>4302</v>
      </c>
      <c r="CP37" s="99">
        <v>7.0475308181566581</v>
      </c>
      <c r="CQ37" s="99">
        <v>6063.6955159419886</v>
      </c>
      <c r="CR37" s="99">
        <v>4.9952431472336611</v>
      </c>
      <c r="CS37" s="99">
        <v>4297.9072038798422</v>
      </c>
      <c r="CT37" s="99">
        <v>4.4899667035353863</v>
      </c>
      <c r="CU37" s="99">
        <v>3863.1673517218464</v>
      </c>
    </row>
    <row r="38" spans="2:99">
      <c r="C38" s="98" t="s">
        <v>204</v>
      </c>
      <c r="D38" s="99">
        <v>5</v>
      </c>
      <c r="E38" s="99">
        <v>6210</v>
      </c>
      <c r="F38" s="99">
        <v>8</v>
      </c>
      <c r="G38" s="99">
        <v>9936</v>
      </c>
      <c r="H38" s="99">
        <v>9</v>
      </c>
      <c r="I38" s="99">
        <v>11178</v>
      </c>
      <c r="J38" s="99">
        <v>8</v>
      </c>
      <c r="K38" s="99">
        <v>9936</v>
      </c>
      <c r="L38" s="99">
        <v>5.6695261248239124</v>
      </c>
      <c r="M38" s="99">
        <v>7041.5514470312992</v>
      </c>
      <c r="N38" s="99">
        <v>6</v>
      </c>
      <c r="O38" s="99">
        <v>7452</v>
      </c>
      <c r="P38" s="99">
        <v>8</v>
      </c>
      <c r="Q38" s="99">
        <v>9936</v>
      </c>
      <c r="R38" s="99">
        <v>7</v>
      </c>
      <c r="S38" s="99">
        <v>8694</v>
      </c>
      <c r="T38" s="99">
        <v>9</v>
      </c>
      <c r="U38" s="99">
        <v>11178</v>
      </c>
      <c r="V38" s="99">
        <v>8</v>
      </c>
      <c r="W38" s="99">
        <v>9936</v>
      </c>
      <c r="X38" s="99">
        <v>9</v>
      </c>
      <c r="Y38" s="99">
        <v>11178</v>
      </c>
      <c r="Z38" s="99">
        <v>6</v>
      </c>
      <c r="AA38" s="99">
        <v>7452</v>
      </c>
      <c r="AB38" s="99">
        <v>7</v>
      </c>
      <c r="AC38" s="99">
        <v>8694</v>
      </c>
      <c r="AD38" s="99">
        <v>4.4369608568562233</v>
      </c>
      <c r="AE38" s="99">
        <v>5510.7053842154291</v>
      </c>
      <c r="AF38" s="99">
        <v>3.7745861910822942</v>
      </c>
      <c r="AG38" s="99">
        <v>4688.0360493242097</v>
      </c>
      <c r="AH38" s="99">
        <v>5.4225527639587874</v>
      </c>
      <c r="AI38" s="99">
        <v>6734.8105328368138</v>
      </c>
      <c r="AJ38" s="99">
        <v>4.2613109917812695</v>
      </c>
      <c r="AK38" s="99">
        <v>5292.5482517923365</v>
      </c>
      <c r="AL38" s="99">
        <v>7</v>
      </c>
      <c r="AM38" s="99">
        <v>8694</v>
      </c>
      <c r="AN38" s="99">
        <v>7</v>
      </c>
      <c r="AO38" s="99">
        <v>8694</v>
      </c>
      <c r="AP38" s="99">
        <v>7</v>
      </c>
      <c r="AQ38" s="99">
        <v>8694</v>
      </c>
      <c r="AR38" s="99">
        <v>5.9547970311292637</v>
      </c>
      <c r="AS38" s="99">
        <v>7395.8579126625455</v>
      </c>
      <c r="AT38" s="99">
        <v>2.2747679049892873</v>
      </c>
      <c r="AU38" s="99">
        <v>2825.2617379966946</v>
      </c>
      <c r="AV38" s="99">
        <v>2.7198383055027198</v>
      </c>
      <c r="AW38" s="99">
        <v>3378.0391754343777</v>
      </c>
      <c r="AX38" s="99">
        <v>5.7856428094127406</v>
      </c>
      <c r="AY38" s="99">
        <v>7185.7683692906239</v>
      </c>
      <c r="AZ38" s="99">
        <v>8</v>
      </c>
      <c r="BA38" s="99">
        <v>9936</v>
      </c>
      <c r="BB38" s="99">
        <v>5.221446871999488</v>
      </c>
      <c r="BC38" s="99">
        <v>6485.0370150233639</v>
      </c>
      <c r="BD38" s="99">
        <v>4.0086408469217245</v>
      </c>
      <c r="BE38" s="99">
        <v>4978.7319318767823</v>
      </c>
      <c r="BF38" s="99">
        <v>7.4491902408779946</v>
      </c>
      <c r="BG38" s="99">
        <v>9251.8942791704685</v>
      </c>
      <c r="BH38" s="99">
        <v>2.8563669015517941</v>
      </c>
      <c r="BI38" s="99">
        <v>3547.6076917273281</v>
      </c>
      <c r="BJ38" s="99">
        <v>2.5948875056781571</v>
      </c>
      <c r="BK38" s="99">
        <v>3222.8502820522713</v>
      </c>
      <c r="BL38" s="99">
        <v>6</v>
      </c>
      <c r="BM38" s="99">
        <v>7452</v>
      </c>
      <c r="BN38" s="99">
        <v>5</v>
      </c>
      <c r="BO38" s="99">
        <v>6210</v>
      </c>
      <c r="BP38" s="99">
        <v>6.3927029520355463</v>
      </c>
      <c r="BQ38" s="99">
        <v>7939.7370664281489</v>
      </c>
      <c r="BR38" s="99">
        <v>7.7277299456013981</v>
      </c>
      <c r="BS38" s="99">
        <v>9597.8405924369363</v>
      </c>
      <c r="BT38" s="99">
        <v>2.693327309055106</v>
      </c>
      <c r="BU38" s="99">
        <v>3345.1125178464417</v>
      </c>
      <c r="BV38" s="99">
        <v>4.4959676872026968</v>
      </c>
      <c r="BW38" s="99">
        <v>5583.9918675057497</v>
      </c>
      <c r="BX38" s="99">
        <v>5.4925338337853162</v>
      </c>
      <c r="BY38" s="99">
        <v>6821.7270215613626</v>
      </c>
      <c r="BZ38" s="99">
        <v>4.9686333686546913</v>
      </c>
      <c r="CA38" s="99">
        <v>6171.0426438691266</v>
      </c>
      <c r="CB38" s="99">
        <v>8</v>
      </c>
      <c r="CC38" s="99">
        <v>9936</v>
      </c>
      <c r="CD38" s="99">
        <v>6.570843875736994</v>
      </c>
      <c r="CE38" s="99">
        <v>8160.9880936653462</v>
      </c>
      <c r="CF38" s="99">
        <v>7.1170206250114587</v>
      </c>
      <c r="CG38" s="99">
        <v>8839.3396162642312</v>
      </c>
      <c r="CH38" s="99">
        <v>3.5588312535930742</v>
      </c>
      <c r="CI38" s="99">
        <v>4420.0684169625983</v>
      </c>
      <c r="CJ38" s="99">
        <v>0.94160740556115985</v>
      </c>
      <c r="CK38" s="99">
        <v>1169.4763977069606</v>
      </c>
      <c r="CL38" s="99">
        <v>4.9723142622331711</v>
      </c>
      <c r="CM38" s="99">
        <v>6175.6143136935989</v>
      </c>
      <c r="CN38" s="99">
        <v>5</v>
      </c>
      <c r="CO38" s="99">
        <v>6210</v>
      </c>
      <c r="CP38" s="99">
        <v>7.0475308181566581</v>
      </c>
      <c r="CQ38" s="99">
        <v>8753.0332761505688</v>
      </c>
      <c r="CR38" s="99">
        <v>4.9952431472336611</v>
      </c>
      <c r="CS38" s="99">
        <v>6204.0919888642075</v>
      </c>
      <c r="CT38" s="99">
        <v>4.4899667035353863</v>
      </c>
      <c r="CU38" s="99">
        <v>5576.5386457909499</v>
      </c>
    </row>
    <row r="39" spans="2:99">
      <c r="C39" s="98" t="s">
        <v>205</v>
      </c>
      <c r="D39" s="99">
        <v>5</v>
      </c>
      <c r="E39" s="99">
        <v>7116</v>
      </c>
      <c r="F39" s="99">
        <v>8</v>
      </c>
      <c r="G39" s="99">
        <v>11385.6</v>
      </c>
      <c r="H39" s="99">
        <v>9</v>
      </c>
      <c r="I39" s="99">
        <v>12808.800000000001</v>
      </c>
      <c r="J39" s="99">
        <v>9</v>
      </c>
      <c r="K39" s="99">
        <v>12808.800000000001</v>
      </c>
      <c r="L39" s="99">
        <v>5.6217028301936329</v>
      </c>
      <c r="M39" s="99">
        <v>8000.8074679315787</v>
      </c>
      <c r="N39" s="99">
        <v>7</v>
      </c>
      <c r="O39" s="99">
        <v>9962.4</v>
      </c>
      <c r="P39" s="99">
        <v>8</v>
      </c>
      <c r="Q39" s="99">
        <v>11385.6</v>
      </c>
      <c r="R39" s="99">
        <v>8</v>
      </c>
      <c r="S39" s="99">
        <v>11385.6</v>
      </c>
      <c r="T39" s="99">
        <v>9</v>
      </c>
      <c r="U39" s="99">
        <v>12808.800000000001</v>
      </c>
      <c r="V39" s="99">
        <v>9</v>
      </c>
      <c r="W39" s="99">
        <v>12808.800000000001</v>
      </c>
      <c r="X39" s="99">
        <v>9</v>
      </c>
      <c r="Y39" s="99">
        <v>12808.800000000001</v>
      </c>
      <c r="Z39" s="99">
        <v>6</v>
      </c>
      <c r="AA39" s="99">
        <v>8539.2000000000007</v>
      </c>
      <c r="AB39" s="99">
        <v>7</v>
      </c>
      <c r="AC39" s="99">
        <v>9962.4</v>
      </c>
      <c r="AD39" s="99">
        <v>5.2631577459532712</v>
      </c>
      <c r="AE39" s="99">
        <v>7490.5261040406958</v>
      </c>
      <c r="AF39" s="99">
        <v>3.75923271076315</v>
      </c>
      <c r="AG39" s="99">
        <v>5350.1399939581152</v>
      </c>
      <c r="AH39" s="99">
        <v>5.4269895658029847</v>
      </c>
      <c r="AI39" s="99">
        <v>7723.6915500508085</v>
      </c>
      <c r="AJ39" s="99">
        <v>5.1135731901375232</v>
      </c>
      <c r="AK39" s="99">
        <v>7277.6373642037233</v>
      </c>
      <c r="AL39" s="99">
        <v>7</v>
      </c>
      <c r="AM39" s="99">
        <v>9962.4</v>
      </c>
      <c r="AN39" s="99">
        <v>6</v>
      </c>
      <c r="AO39" s="99">
        <v>8539.2000000000007</v>
      </c>
      <c r="AP39" s="99">
        <v>7</v>
      </c>
      <c r="AQ39" s="99">
        <v>9962.4</v>
      </c>
      <c r="AR39" s="99">
        <v>5.9401642778703021</v>
      </c>
      <c r="AS39" s="99">
        <v>8454.0418002650149</v>
      </c>
      <c r="AT39" s="99">
        <v>1.9270350458937968</v>
      </c>
      <c r="AU39" s="99">
        <v>2742.5562773160518</v>
      </c>
      <c r="AV39" s="99">
        <v>2.7198383055027198</v>
      </c>
      <c r="AW39" s="99">
        <v>3870.8738763914707</v>
      </c>
      <c r="AX39" s="99">
        <v>5.1427936083668806</v>
      </c>
      <c r="AY39" s="99">
        <v>7319.2238634277446</v>
      </c>
      <c r="AZ39" s="99">
        <v>8</v>
      </c>
      <c r="BA39" s="99">
        <v>11385.6</v>
      </c>
      <c r="BB39" s="99">
        <v>5.256380370674556</v>
      </c>
      <c r="BC39" s="99">
        <v>7480.8805435440281</v>
      </c>
      <c r="BD39" s="99">
        <v>4.0086408469217245</v>
      </c>
      <c r="BE39" s="99">
        <v>5705.0976533389985</v>
      </c>
      <c r="BF39" s="99">
        <v>6.3743252007316622</v>
      </c>
      <c r="BG39" s="99">
        <v>9071.9396256813015</v>
      </c>
      <c r="BH39" s="99">
        <v>3.1784287430684302</v>
      </c>
      <c r="BI39" s="99">
        <v>4523.5397871349896</v>
      </c>
      <c r="BJ39" s="99">
        <v>2.9192484438879269</v>
      </c>
      <c r="BK39" s="99">
        <v>4154.6743853412981</v>
      </c>
      <c r="BL39" s="99">
        <v>6</v>
      </c>
      <c r="BM39" s="99">
        <v>8539.2000000000007</v>
      </c>
      <c r="BN39" s="99">
        <v>5</v>
      </c>
      <c r="BO39" s="99">
        <v>7116</v>
      </c>
      <c r="BP39" s="99">
        <v>6.3927029520355463</v>
      </c>
      <c r="BQ39" s="99">
        <v>9098.0948413369897</v>
      </c>
      <c r="BR39" s="99">
        <v>6.87149762237933</v>
      </c>
      <c r="BS39" s="99">
        <v>9779.5154161702631</v>
      </c>
      <c r="BT39" s="99">
        <v>2.4165605424673711</v>
      </c>
      <c r="BU39" s="99">
        <v>3439.2489640395625</v>
      </c>
      <c r="BV39" s="99">
        <v>4.559518623588672</v>
      </c>
      <c r="BW39" s="99">
        <v>6489.1069050913984</v>
      </c>
      <c r="BX39" s="99">
        <v>4.6918505209883081</v>
      </c>
      <c r="BY39" s="99">
        <v>6677.4416614705606</v>
      </c>
      <c r="BZ39" s="99">
        <v>4.2588286017040211</v>
      </c>
      <c r="CA39" s="99">
        <v>6061.164865945163</v>
      </c>
      <c r="CB39" s="99">
        <v>8</v>
      </c>
      <c r="CC39" s="99">
        <v>11385.6</v>
      </c>
      <c r="CD39" s="99">
        <v>5.6321518934888513</v>
      </c>
      <c r="CE39" s="99">
        <v>8015.6785748133334</v>
      </c>
      <c r="CF39" s="99">
        <v>6.3485157370576628</v>
      </c>
      <c r="CG39" s="99">
        <v>9035.2075969804664</v>
      </c>
      <c r="CH39" s="99">
        <v>2.965692711327562</v>
      </c>
      <c r="CI39" s="99">
        <v>4220.7738667613867</v>
      </c>
      <c r="CJ39" s="99">
        <v>1.0908424013325912</v>
      </c>
      <c r="CK39" s="99">
        <v>1552.4869055765439</v>
      </c>
      <c r="CL39" s="99">
        <v>5.5938535450123164</v>
      </c>
      <c r="CM39" s="99">
        <v>7961.1723652615292</v>
      </c>
      <c r="CN39" s="99">
        <v>5</v>
      </c>
      <c r="CO39" s="99">
        <v>7116</v>
      </c>
      <c r="CP39" s="99">
        <v>7.0475308181566581</v>
      </c>
      <c r="CQ39" s="99">
        <v>10030.045860400556</v>
      </c>
      <c r="CR39" s="99">
        <v>4.1627026226947175</v>
      </c>
      <c r="CS39" s="99">
        <v>5924.3583726191218</v>
      </c>
      <c r="CT39" s="99">
        <v>3.7416389196128219</v>
      </c>
      <c r="CU39" s="99">
        <v>5325.1005103929683</v>
      </c>
    </row>
    <row r="40" spans="2:99">
      <c r="C40" s="98" t="s">
        <v>206</v>
      </c>
      <c r="D40" s="99">
        <v>6</v>
      </c>
      <c r="E40" s="99">
        <v>4348.7999999999993</v>
      </c>
      <c r="F40" s="99">
        <v>8</v>
      </c>
      <c r="G40" s="99">
        <v>5798.4</v>
      </c>
      <c r="H40" s="99">
        <v>8</v>
      </c>
      <c r="I40" s="99">
        <v>5798.4</v>
      </c>
      <c r="J40" s="99">
        <v>9</v>
      </c>
      <c r="K40" s="99">
        <v>6523.2</v>
      </c>
      <c r="L40" s="99">
        <v>5.6695261248239124</v>
      </c>
      <c r="M40" s="99">
        <v>4109.272535272371</v>
      </c>
      <c r="N40" s="99">
        <v>7</v>
      </c>
      <c r="O40" s="99">
        <v>5073.5999999999995</v>
      </c>
      <c r="P40" s="99">
        <v>9</v>
      </c>
      <c r="Q40" s="99">
        <v>6523.2</v>
      </c>
      <c r="R40" s="99">
        <v>7</v>
      </c>
      <c r="S40" s="99">
        <v>5073.5999999999995</v>
      </c>
      <c r="T40" s="99">
        <v>9</v>
      </c>
      <c r="U40" s="99">
        <v>6523.2</v>
      </c>
      <c r="V40" s="99">
        <v>8</v>
      </c>
      <c r="W40" s="99">
        <v>5798.4</v>
      </c>
      <c r="X40" s="99">
        <v>8</v>
      </c>
      <c r="Y40" s="99">
        <v>5798.4</v>
      </c>
      <c r="Z40" s="99">
        <v>7</v>
      </c>
      <c r="AA40" s="99">
        <v>5073.5999999999995</v>
      </c>
      <c r="AB40" s="99">
        <v>8</v>
      </c>
      <c r="AC40" s="99">
        <v>5798.4</v>
      </c>
      <c r="AD40" s="99">
        <v>4.2159778930882901</v>
      </c>
      <c r="AE40" s="99">
        <v>3055.7407769103925</v>
      </c>
      <c r="AF40" s="99">
        <v>3.3161972124762582</v>
      </c>
      <c r="AG40" s="99">
        <v>2403.579739602792</v>
      </c>
      <c r="AH40" s="99">
        <v>5.4225527639587874</v>
      </c>
      <c r="AI40" s="99">
        <v>3930.2662433173286</v>
      </c>
      <c r="AJ40" s="99">
        <v>5.1135731901375232</v>
      </c>
      <c r="AK40" s="99">
        <v>3706.3178482116764</v>
      </c>
      <c r="AL40" s="99">
        <v>8</v>
      </c>
      <c r="AM40" s="99">
        <v>5798.4</v>
      </c>
      <c r="AN40" s="99">
        <v>8</v>
      </c>
      <c r="AO40" s="99">
        <v>5798.4</v>
      </c>
      <c r="AP40" s="99">
        <v>6</v>
      </c>
      <c r="AQ40" s="99">
        <v>4348.7999999999993</v>
      </c>
      <c r="AR40" s="99">
        <v>5.137558034131283</v>
      </c>
      <c r="AS40" s="99">
        <v>3723.7020631383539</v>
      </c>
      <c r="AT40" s="99">
        <v>1.9270350458937968</v>
      </c>
      <c r="AU40" s="99">
        <v>1396.7150012638238</v>
      </c>
      <c r="AV40" s="99">
        <v>2.7081073776182825</v>
      </c>
      <c r="AW40" s="99">
        <v>1962.8362272977311</v>
      </c>
      <c r="AX40" s="99">
        <v>5.1427936083668806</v>
      </c>
      <c r="AY40" s="99">
        <v>3727.4968073443147</v>
      </c>
      <c r="AZ40" s="99">
        <v>8</v>
      </c>
      <c r="BA40" s="99">
        <v>5798.4</v>
      </c>
      <c r="BB40" s="99">
        <v>5.221446871999488</v>
      </c>
      <c r="BC40" s="99">
        <v>3784.5046928252286</v>
      </c>
      <c r="BD40" s="99">
        <v>4.5097209527869397</v>
      </c>
      <c r="BE40" s="99">
        <v>3268.6457465799735</v>
      </c>
      <c r="BF40" s="99">
        <v>7.4491902408779946</v>
      </c>
      <c r="BG40" s="99">
        <v>5399.1730865883701</v>
      </c>
      <c r="BH40" s="99">
        <v>3.5299508129449304</v>
      </c>
      <c r="BI40" s="99">
        <v>2558.5083492224853</v>
      </c>
      <c r="BJ40" s="99">
        <v>2.9192484438879269</v>
      </c>
      <c r="BK40" s="99">
        <v>2115.8712721299694</v>
      </c>
      <c r="BL40" s="99">
        <v>8</v>
      </c>
      <c r="BM40" s="99">
        <v>5798.4</v>
      </c>
      <c r="BN40" s="99">
        <v>5</v>
      </c>
      <c r="BO40" s="99">
        <v>3624</v>
      </c>
      <c r="BP40" s="99">
        <v>7.3059462308977672</v>
      </c>
      <c r="BQ40" s="99">
        <v>5295.3498281547018</v>
      </c>
      <c r="BR40" s="99">
        <v>6.8931366589821019</v>
      </c>
      <c r="BS40" s="99">
        <v>4996.1454504302274</v>
      </c>
      <c r="BT40" s="99">
        <v>2.3940687191600944</v>
      </c>
      <c r="BU40" s="99">
        <v>1735.2210076472363</v>
      </c>
      <c r="BV40" s="99">
        <v>5.3379653818958595</v>
      </c>
      <c r="BW40" s="99">
        <v>3868.9573087981189</v>
      </c>
      <c r="BX40" s="99">
        <v>4.7143003921470568</v>
      </c>
      <c r="BY40" s="99">
        <v>3416.9249242281867</v>
      </c>
      <c r="BZ40" s="99">
        <v>4.2588286017040211</v>
      </c>
      <c r="CA40" s="99">
        <v>3086.7989705150744</v>
      </c>
      <c r="CB40" s="99">
        <v>8</v>
      </c>
      <c r="CC40" s="99">
        <v>5798.4</v>
      </c>
      <c r="CD40" s="99">
        <v>5.6321518934888513</v>
      </c>
      <c r="CE40" s="99">
        <v>4082.1836924007193</v>
      </c>
      <c r="CF40" s="99">
        <v>7.1420802041898703</v>
      </c>
      <c r="CG40" s="99">
        <v>5176.5797319968178</v>
      </c>
      <c r="CH40" s="99">
        <v>3.5588312535930742</v>
      </c>
      <c r="CI40" s="99">
        <v>2579.4408926042602</v>
      </c>
      <c r="CJ40" s="99">
        <v>1.0862226582393339</v>
      </c>
      <c r="CK40" s="99">
        <v>787.2941826918692</v>
      </c>
      <c r="CL40" s="99">
        <v>5.5938535450123164</v>
      </c>
      <c r="CM40" s="99">
        <v>4054.4250494249268</v>
      </c>
      <c r="CN40" s="99">
        <v>5</v>
      </c>
      <c r="CO40" s="99">
        <v>3624</v>
      </c>
      <c r="CP40" s="99">
        <v>7.0475308181566581</v>
      </c>
      <c r="CQ40" s="99">
        <v>5108.0503369999451</v>
      </c>
      <c r="CR40" s="99">
        <v>4.9952431472336611</v>
      </c>
      <c r="CS40" s="99">
        <v>3620.5522331149573</v>
      </c>
      <c r="CT40" s="99">
        <v>3.7416389196128219</v>
      </c>
      <c r="CU40" s="99">
        <v>2711.9398889353733</v>
      </c>
    </row>
    <row r="41" spans="2:99">
      <c r="C41" s="98" t="s">
        <v>207</v>
      </c>
      <c r="D41" s="99">
        <v>6</v>
      </c>
      <c r="E41" s="99">
        <v>3960</v>
      </c>
      <c r="F41" s="99">
        <v>8</v>
      </c>
      <c r="G41" s="99">
        <v>5280</v>
      </c>
      <c r="H41" s="99">
        <v>8</v>
      </c>
      <c r="I41" s="99">
        <v>5280</v>
      </c>
      <c r="J41" s="99">
        <v>10</v>
      </c>
      <c r="K41" s="99">
        <v>6600</v>
      </c>
      <c r="L41" s="99">
        <v>5.6695261248239124</v>
      </c>
      <c r="M41" s="99">
        <v>3741.887242383782</v>
      </c>
      <c r="N41" s="99">
        <v>7</v>
      </c>
      <c r="O41" s="99">
        <v>4620</v>
      </c>
      <c r="P41" s="99">
        <v>8</v>
      </c>
      <c r="Q41" s="99">
        <v>5280</v>
      </c>
      <c r="R41" s="99">
        <v>8</v>
      </c>
      <c r="S41" s="99">
        <v>5280</v>
      </c>
      <c r="T41" s="99">
        <v>9</v>
      </c>
      <c r="U41" s="99">
        <v>5940</v>
      </c>
      <c r="V41" s="99">
        <v>9</v>
      </c>
      <c r="W41" s="99">
        <v>5940</v>
      </c>
      <c r="X41" s="99">
        <v>9</v>
      </c>
      <c r="Y41" s="99">
        <v>5940</v>
      </c>
      <c r="Z41" s="99">
        <v>6</v>
      </c>
      <c r="AA41" s="99">
        <v>3960</v>
      </c>
      <c r="AB41" s="99">
        <v>7</v>
      </c>
      <c r="AC41" s="99">
        <v>4620</v>
      </c>
      <c r="AD41" s="99">
        <v>4.2159778930882901</v>
      </c>
      <c r="AE41" s="99">
        <v>2782.5454094382712</v>
      </c>
      <c r="AF41" s="99">
        <v>3.7438792304440067</v>
      </c>
      <c r="AG41" s="99">
        <v>2470.9602920930442</v>
      </c>
      <c r="AH41" s="99">
        <v>4.6574098016308128</v>
      </c>
      <c r="AI41" s="99">
        <v>3073.8904690763366</v>
      </c>
      <c r="AJ41" s="99">
        <v>5.1135731901375232</v>
      </c>
      <c r="AK41" s="99">
        <v>3374.9583054907653</v>
      </c>
      <c r="AL41" s="99">
        <v>7</v>
      </c>
      <c r="AM41" s="99">
        <v>4620</v>
      </c>
      <c r="AN41" s="99">
        <v>7</v>
      </c>
      <c r="AO41" s="99">
        <v>4620</v>
      </c>
      <c r="AP41" s="99">
        <v>7</v>
      </c>
      <c r="AQ41" s="99">
        <v>4620</v>
      </c>
      <c r="AR41" s="99">
        <v>5.9547970311292637</v>
      </c>
      <c r="AS41" s="99">
        <v>3930.166040545314</v>
      </c>
      <c r="AT41" s="99">
        <v>2.2576432913150741</v>
      </c>
      <c r="AU41" s="99">
        <v>1490.044572267949</v>
      </c>
      <c r="AV41" s="99">
        <v>2.1899477578634996</v>
      </c>
      <c r="AW41" s="99">
        <v>1445.3655201899098</v>
      </c>
      <c r="AX41" s="99">
        <v>5.7856428094127406</v>
      </c>
      <c r="AY41" s="99">
        <v>3818.5242542124088</v>
      </c>
      <c r="AZ41" s="99">
        <v>9</v>
      </c>
      <c r="BA41" s="99">
        <v>5940</v>
      </c>
      <c r="BB41" s="99">
        <v>4.5503833874461339</v>
      </c>
      <c r="BC41" s="99">
        <v>3003.2530357144483</v>
      </c>
      <c r="BD41" s="99">
        <v>4.0086408469217245</v>
      </c>
      <c r="BE41" s="99">
        <v>2645.702958968338</v>
      </c>
      <c r="BF41" s="99">
        <v>7.411757720804828</v>
      </c>
      <c r="BG41" s="99">
        <v>4891.7600957311861</v>
      </c>
      <c r="BH41" s="99">
        <v>3.193158857248362</v>
      </c>
      <c r="BI41" s="99">
        <v>2107.4848457839189</v>
      </c>
      <c r="BJ41" s="99">
        <v>2.9192484438879269</v>
      </c>
      <c r="BK41" s="99">
        <v>1926.7039729660319</v>
      </c>
      <c r="BL41" s="99">
        <v>8</v>
      </c>
      <c r="BM41" s="99">
        <v>5280</v>
      </c>
      <c r="BN41" s="99">
        <v>5</v>
      </c>
      <c r="BO41" s="99">
        <v>3300</v>
      </c>
      <c r="BP41" s="99">
        <v>7.3059462308977672</v>
      </c>
      <c r="BQ41" s="99">
        <v>4821.9245123925266</v>
      </c>
      <c r="BR41" s="99">
        <v>6.8823171406807155</v>
      </c>
      <c r="BS41" s="99">
        <v>4542.3293128492724</v>
      </c>
      <c r="BT41" s="99">
        <v>2.693327309055106</v>
      </c>
      <c r="BU41" s="99">
        <v>1777.5960239763699</v>
      </c>
      <c r="BV41" s="99">
        <v>4.559518623588672</v>
      </c>
      <c r="BW41" s="99">
        <v>3009.2822915685233</v>
      </c>
      <c r="BX41" s="99">
        <v>5.4925338337853162</v>
      </c>
      <c r="BY41" s="99">
        <v>3625.0723302983088</v>
      </c>
      <c r="BZ41" s="99">
        <v>4.9686333686546913</v>
      </c>
      <c r="CA41" s="99">
        <v>3279.2980233120961</v>
      </c>
      <c r="CB41" s="99">
        <v>8</v>
      </c>
      <c r="CC41" s="99">
        <v>5280</v>
      </c>
      <c r="CD41" s="99">
        <v>6.570843875736994</v>
      </c>
      <c r="CE41" s="99">
        <v>4336.7569579864157</v>
      </c>
      <c r="CF41" s="99">
        <v>7.1170206250114587</v>
      </c>
      <c r="CG41" s="99">
        <v>4697.2336125075626</v>
      </c>
      <c r="CH41" s="99">
        <v>3.5588312535930742</v>
      </c>
      <c r="CI41" s="99">
        <v>2348.8286273714289</v>
      </c>
      <c r="CJ41" s="99">
        <v>1.0908424013325912</v>
      </c>
      <c r="CK41" s="99">
        <v>719.9559848795102</v>
      </c>
      <c r="CL41" s="99">
        <v>5.5938535450123164</v>
      </c>
      <c r="CM41" s="99">
        <v>3691.9433397081289</v>
      </c>
      <c r="CN41" s="99">
        <v>5</v>
      </c>
      <c r="CO41" s="99">
        <v>3300</v>
      </c>
      <c r="CP41" s="99">
        <v>7.8305897979518422</v>
      </c>
      <c r="CQ41" s="99">
        <v>5168.1892666482163</v>
      </c>
      <c r="CR41" s="99">
        <v>4.9952431472336611</v>
      </c>
      <c r="CS41" s="99">
        <v>3296.8604771742162</v>
      </c>
      <c r="CT41" s="99">
        <v>3.7416389196128219</v>
      </c>
      <c r="CU41" s="99">
        <v>2469.4816869444626</v>
      </c>
    </row>
    <row r="42" spans="2:99">
      <c r="C42" s="98" t="s">
        <v>208</v>
      </c>
      <c r="D42" s="99">
        <v>6</v>
      </c>
      <c r="E42" s="99">
        <v>5076</v>
      </c>
      <c r="F42" s="99">
        <v>8</v>
      </c>
      <c r="G42" s="99">
        <v>6768</v>
      </c>
      <c r="H42" s="99">
        <v>8</v>
      </c>
      <c r="I42" s="99">
        <v>6768</v>
      </c>
      <c r="J42" s="99">
        <v>9</v>
      </c>
      <c r="K42" s="99">
        <v>7614</v>
      </c>
      <c r="L42" s="99">
        <v>5.7173494194541918</v>
      </c>
      <c r="M42" s="99">
        <v>4836.8776088582463</v>
      </c>
      <c r="N42" s="99">
        <v>6</v>
      </c>
      <c r="O42" s="99">
        <v>5076</v>
      </c>
      <c r="P42" s="99">
        <v>9</v>
      </c>
      <c r="Q42" s="99">
        <v>7614</v>
      </c>
      <c r="R42" s="99">
        <v>7</v>
      </c>
      <c r="S42" s="99">
        <v>5922</v>
      </c>
      <c r="T42" s="99">
        <v>9</v>
      </c>
      <c r="U42" s="99">
        <v>7614</v>
      </c>
      <c r="V42" s="99">
        <v>8</v>
      </c>
      <c r="W42" s="99">
        <v>6768</v>
      </c>
      <c r="X42" s="99">
        <v>8</v>
      </c>
      <c r="Y42" s="99">
        <v>6768</v>
      </c>
      <c r="Z42" s="99">
        <v>7</v>
      </c>
      <c r="AA42" s="99">
        <v>5922</v>
      </c>
      <c r="AB42" s="99">
        <v>7</v>
      </c>
      <c r="AC42" s="99">
        <v>5922</v>
      </c>
      <c r="AD42" s="99">
        <v>4.2159778930882901</v>
      </c>
      <c r="AE42" s="99">
        <v>3566.7172975526933</v>
      </c>
      <c r="AF42" s="99">
        <v>3.75923271076315</v>
      </c>
      <c r="AG42" s="99">
        <v>3180.3108733056251</v>
      </c>
      <c r="AH42" s="99">
        <v>4.6529729997866154</v>
      </c>
      <c r="AI42" s="99">
        <v>3936.4151578194765</v>
      </c>
      <c r="AJ42" s="99">
        <v>4.2613109917812695</v>
      </c>
      <c r="AK42" s="99">
        <v>3605.0690990469539</v>
      </c>
      <c r="AL42" s="99">
        <v>8</v>
      </c>
      <c r="AM42" s="99">
        <v>6768</v>
      </c>
      <c r="AN42" s="99">
        <v>7</v>
      </c>
      <c r="AO42" s="99">
        <v>5922</v>
      </c>
      <c r="AP42" s="99">
        <v>7</v>
      </c>
      <c r="AQ42" s="99">
        <v>5922</v>
      </c>
      <c r="AR42" s="99">
        <v>5.9547970311292637</v>
      </c>
      <c r="AS42" s="99">
        <v>5037.7582883353571</v>
      </c>
      <c r="AT42" s="99">
        <v>2.2576432913150741</v>
      </c>
      <c r="AU42" s="99">
        <v>1909.9662244525528</v>
      </c>
      <c r="AV42" s="99">
        <v>2.7081073776182825</v>
      </c>
      <c r="AW42" s="99">
        <v>2291.058841465067</v>
      </c>
      <c r="AX42" s="99">
        <v>5.1427936083668806</v>
      </c>
      <c r="AY42" s="99">
        <v>4350.803392678381</v>
      </c>
      <c r="AZ42" s="99">
        <v>8</v>
      </c>
      <c r="BA42" s="99">
        <v>6768</v>
      </c>
      <c r="BB42" s="99">
        <v>4.5503833874461339</v>
      </c>
      <c r="BC42" s="99">
        <v>3849.6243457794294</v>
      </c>
      <c r="BD42" s="99">
        <v>3.5075607410565088</v>
      </c>
      <c r="BE42" s="99">
        <v>2967.3963869338063</v>
      </c>
      <c r="BF42" s="99">
        <v>6.411757720804828</v>
      </c>
      <c r="BG42" s="99">
        <v>5424.3470318008849</v>
      </c>
      <c r="BH42" s="99">
        <v>3.5299508129449304</v>
      </c>
      <c r="BI42" s="99">
        <v>2986.3383877514111</v>
      </c>
      <c r="BJ42" s="99">
        <v>2.9192484438879269</v>
      </c>
      <c r="BK42" s="99">
        <v>2469.6841835291862</v>
      </c>
      <c r="BL42" s="99">
        <v>7</v>
      </c>
      <c r="BM42" s="99">
        <v>5922</v>
      </c>
      <c r="BN42" s="99">
        <v>5</v>
      </c>
      <c r="BO42" s="99">
        <v>4230</v>
      </c>
      <c r="BP42" s="99">
        <v>6.3927029520355463</v>
      </c>
      <c r="BQ42" s="99">
        <v>5408.226697422072</v>
      </c>
      <c r="BR42" s="99">
        <v>7.7169104273000118</v>
      </c>
      <c r="BS42" s="99">
        <v>6528.5062214958098</v>
      </c>
      <c r="BT42" s="99">
        <v>2.7199085547818878</v>
      </c>
      <c r="BU42" s="99">
        <v>2301.042637345477</v>
      </c>
      <c r="BV42" s="99">
        <v>4.5912940917816591</v>
      </c>
      <c r="BW42" s="99">
        <v>3884.2348016472838</v>
      </c>
      <c r="BX42" s="99">
        <v>4.7367502633058054</v>
      </c>
      <c r="BY42" s="99">
        <v>4007.2907227567111</v>
      </c>
      <c r="BZ42" s="99">
        <v>4.9686333686546913</v>
      </c>
      <c r="CA42" s="99">
        <v>4203.4638298818691</v>
      </c>
      <c r="CB42" s="99">
        <v>8</v>
      </c>
      <c r="CC42" s="99">
        <v>6768</v>
      </c>
      <c r="CD42" s="99">
        <v>5.6321518934888513</v>
      </c>
      <c r="CE42" s="99">
        <v>4764.8005018915683</v>
      </c>
      <c r="CF42" s="99">
        <v>7.9105850921436662</v>
      </c>
      <c r="CG42" s="99">
        <v>6692.3549879535412</v>
      </c>
      <c r="CH42" s="99">
        <v>3.5588312535930742</v>
      </c>
      <c r="CI42" s="99">
        <v>3010.7712405397406</v>
      </c>
      <c r="CJ42" s="99">
        <v>1.0862226582393339</v>
      </c>
      <c r="CK42" s="99">
        <v>918.94436887047652</v>
      </c>
      <c r="CL42" s="99">
        <v>6.2153928277914643</v>
      </c>
      <c r="CM42" s="99">
        <v>5258.2223323115786</v>
      </c>
      <c r="CN42" s="99">
        <v>5</v>
      </c>
      <c r="CO42" s="99">
        <v>4230</v>
      </c>
      <c r="CP42" s="99">
        <v>7.8305897979518422</v>
      </c>
      <c r="CQ42" s="99">
        <v>6624.6789690672585</v>
      </c>
      <c r="CR42" s="99">
        <v>4.9952431472336611</v>
      </c>
      <c r="CS42" s="99">
        <v>4225.9757025596773</v>
      </c>
      <c r="CT42" s="99">
        <v>4.4899667035353863</v>
      </c>
      <c r="CU42" s="99">
        <v>3798.5118311909368</v>
      </c>
    </row>
    <row r="43" spans="2:99">
      <c r="C43" s="98" t="s">
        <v>209</v>
      </c>
      <c r="D43" s="99">
        <v>5</v>
      </c>
      <c r="E43" s="99">
        <v>5112</v>
      </c>
      <c r="F43" s="99">
        <v>9</v>
      </c>
      <c r="G43" s="99">
        <v>9201.6</v>
      </c>
      <c r="H43" s="99">
        <v>9</v>
      </c>
      <c r="I43" s="99">
        <v>9201.6</v>
      </c>
      <c r="J43" s="99">
        <v>8</v>
      </c>
      <c r="K43" s="99">
        <v>8179.2</v>
      </c>
      <c r="L43" s="99">
        <v>5.7173494194541918</v>
      </c>
      <c r="M43" s="99">
        <v>5845.4180464499659</v>
      </c>
      <c r="N43" s="99">
        <v>6</v>
      </c>
      <c r="O43" s="99">
        <v>6134.4</v>
      </c>
      <c r="P43" s="99">
        <v>9</v>
      </c>
      <c r="Q43" s="99">
        <v>9201.6</v>
      </c>
      <c r="R43" s="99">
        <v>8</v>
      </c>
      <c r="S43" s="99">
        <v>8179.2</v>
      </c>
      <c r="T43" s="99">
        <v>10</v>
      </c>
      <c r="U43" s="99">
        <v>10224</v>
      </c>
      <c r="V43" s="99">
        <v>9</v>
      </c>
      <c r="W43" s="99">
        <v>9201.6</v>
      </c>
      <c r="X43" s="99">
        <v>9</v>
      </c>
      <c r="Y43" s="99">
        <v>9201.6</v>
      </c>
      <c r="Z43" s="99">
        <v>7</v>
      </c>
      <c r="AA43" s="99">
        <v>7156.8</v>
      </c>
      <c r="AB43" s="99">
        <v>7</v>
      </c>
      <c r="AC43" s="99">
        <v>7156.8</v>
      </c>
      <c r="AD43" s="99">
        <v>4.4369608568562233</v>
      </c>
      <c r="AE43" s="99">
        <v>4536.3487800498024</v>
      </c>
      <c r="AF43" s="99">
        <v>3.3161972124762582</v>
      </c>
      <c r="AG43" s="99">
        <v>3390.4800300357265</v>
      </c>
      <c r="AH43" s="99">
        <v>4.6574098016308128</v>
      </c>
      <c r="AI43" s="99">
        <v>4761.7357811873426</v>
      </c>
      <c r="AJ43" s="99">
        <v>5.1135731901375232</v>
      </c>
      <c r="AK43" s="99">
        <v>5228.1172295966035</v>
      </c>
      <c r="AL43" s="99">
        <v>8</v>
      </c>
      <c r="AM43" s="99">
        <v>8179.2</v>
      </c>
      <c r="AN43" s="99">
        <v>7</v>
      </c>
      <c r="AO43" s="99">
        <v>7156.8</v>
      </c>
      <c r="AP43" s="99">
        <v>7</v>
      </c>
      <c r="AQ43" s="99">
        <v>7156.8</v>
      </c>
      <c r="AR43" s="99">
        <v>5.9547970311292637</v>
      </c>
      <c r="AS43" s="99">
        <v>6088.1844846265594</v>
      </c>
      <c r="AT43" s="99">
        <v>1.9270350458937968</v>
      </c>
      <c r="AU43" s="99">
        <v>1970.2006309218177</v>
      </c>
      <c r="AV43" s="99">
        <v>2.7081073776182825</v>
      </c>
      <c r="AW43" s="99">
        <v>2768.7689828769321</v>
      </c>
      <c r="AX43" s="99">
        <v>5.7856428094127406</v>
      </c>
      <c r="AY43" s="99">
        <v>5915.2412083435856</v>
      </c>
      <c r="AZ43" s="99">
        <v>9</v>
      </c>
      <c r="BA43" s="99">
        <v>9201.6</v>
      </c>
      <c r="BB43" s="99">
        <v>4.5503833874461339</v>
      </c>
      <c r="BC43" s="99">
        <v>4652.3119753249275</v>
      </c>
      <c r="BD43" s="99">
        <v>4.0086408469217245</v>
      </c>
      <c r="BE43" s="99">
        <v>4098.4344018927713</v>
      </c>
      <c r="BF43" s="99">
        <v>7.411757720804828</v>
      </c>
      <c r="BG43" s="99">
        <v>7577.7810937508557</v>
      </c>
      <c r="BH43" s="99">
        <v>3.193158857248362</v>
      </c>
      <c r="BI43" s="99">
        <v>3264.6856156507251</v>
      </c>
      <c r="BJ43" s="99">
        <v>2.9192484438879269</v>
      </c>
      <c r="BK43" s="99">
        <v>2984.6396090310163</v>
      </c>
      <c r="BL43" s="99">
        <v>7</v>
      </c>
      <c r="BM43" s="99">
        <v>7156.8</v>
      </c>
      <c r="BN43" s="99">
        <v>5</v>
      </c>
      <c r="BO43" s="99">
        <v>5112</v>
      </c>
      <c r="BP43" s="99">
        <v>6.3927029520355463</v>
      </c>
      <c r="BQ43" s="99">
        <v>6535.8994981611422</v>
      </c>
      <c r="BR43" s="99">
        <v>6.8931366589821019</v>
      </c>
      <c r="BS43" s="99">
        <v>7047.5429201433008</v>
      </c>
      <c r="BT43" s="99">
        <v>2.693327309055106</v>
      </c>
      <c r="BU43" s="99">
        <v>2753.6578407779402</v>
      </c>
      <c r="BV43" s="99">
        <v>4.4959676872026968</v>
      </c>
      <c r="BW43" s="99">
        <v>4596.6773633960374</v>
      </c>
      <c r="BX43" s="99">
        <v>4.7367502633058054</v>
      </c>
      <c r="BY43" s="99">
        <v>4842.8534692038556</v>
      </c>
      <c r="BZ43" s="99">
        <v>4.9686333686546913</v>
      </c>
      <c r="CA43" s="99">
        <v>5079.9307561125561</v>
      </c>
      <c r="CB43" s="99">
        <v>8</v>
      </c>
      <c r="CC43" s="99">
        <v>8179.2</v>
      </c>
      <c r="CD43" s="99">
        <v>5.6321518934888513</v>
      </c>
      <c r="CE43" s="99">
        <v>5758.3120959030011</v>
      </c>
      <c r="CF43" s="99">
        <v>7.1170206250114587</v>
      </c>
      <c r="CG43" s="99">
        <v>7276.4418870117152</v>
      </c>
      <c r="CH43" s="99">
        <v>2.965692711327562</v>
      </c>
      <c r="CI43" s="99">
        <v>3032.1242280612992</v>
      </c>
      <c r="CJ43" s="99">
        <v>1.0862226582393339</v>
      </c>
      <c r="CK43" s="99">
        <v>1110.5540457838949</v>
      </c>
      <c r="CL43" s="99">
        <v>5.5938535450123164</v>
      </c>
      <c r="CM43" s="99">
        <v>5719.1558644205925</v>
      </c>
      <c r="CN43" s="99">
        <v>5</v>
      </c>
      <c r="CO43" s="99">
        <v>5112</v>
      </c>
      <c r="CP43" s="99">
        <v>7.0475308181566581</v>
      </c>
      <c r="CQ43" s="99">
        <v>7205.3955084833669</v>
      </c>
      <c r="CR43" s="99">
        <v>4.9952431472336611</v>
      </c>
      <c r="CS43" s="99">
        <v>5107.136593731695</v>
      </c>
      <c r="CT43" s="99">
        <v>4.4899667035353863</v>
      </c>
      <c r="CU43" s="99">
        <v>4590.5419576945787</v>
      </c>
    </row>
    <row r="44" spans="2:99">
      <c r="C44" s="98" t="s">
        <v>210</v>
      </c>
      <c r="D44" s="99">
        <v>6</v>
      </c>
      <c r="E44" s="99">
        <v>6134.4</v>
      </c>
      <c r="F44" s="99">
        <v>9</v>
      </c>
      <c r="G44" s="99">
        <v>9201.6</v>
      </c>
      <c r="H44" s="99">
        <v>7</v>
      </c>
      <c r="I44" s="99">
        <v>7156.8</v>
      </c>
      <c r="J44" s="99">
        <v>8</v>
      </c>
      <c r="K44" s="99">
        <v>8179.2</v>
      </c>
      <c r="L44" s="99">
        <v>5.6217028301936329</v>
      </c>
      <c r="M44" s="99">
        <v>5747.62897358997</v>
      </c>
      <c r="N44" s="99">
        <v>6</v>
      </c>
      <c r="O44" s="99">
        <v>6134.4</v>
      </c>
      <c r="P44" s="99">
        <v>8</v>
      </c>
      <c r="Q44" s="99">
        <v>8179.2</v>
      </c>
      <c r="R44" s="99">
        <v>7</v>
      </c>
      <c r="S44" s="99">
        <v>7156.8</v>
      </c>
      <c r="T44" s="99">
        <v>10</v>
      </c>
      <c r="U44" s="99">
        <v>10224</v>
      </c>
      <c r="V44" s="99">
        <v>8</v>
      </c>
      <c r="W44" s="99">
        <v>8179.2</v>
      </c>
      <c r="X44" s="99">
        <v>8</v>
      </c>
      <c r="Y44" s="99">
        <v>8179.2</v>
      </c>
      <c r="Z44" s="99">
        <v>7</v>
      </c>
      <c r="AA44" s="99">
        <v>7156.8</v>
      </c>
      <c r="AB44" s="99">
        <v>8</v>
      </c>
      <c r="AC44" s="99">
        <v>8179.2</v>
      </c>
      <c r="AD44" s="99">
        <v>5.2801564354738817</v>
      </c>
      <c r="AE44" s="99">
        <v>5398.4319396284964</v>
      </c>
      <c r="AF44" s="99">
        <v>3.7438792304440067</v>
      </c>
      <c r="AG44" s="99">
        <v>3827.7421252059526</v>
      </c>
      <c r="AH44" s="99">
        <v>5.4225527639587874</v>
      </c>
      <c r="AI44" s="99">
        <v>5544.0179458714638</v>
      </c>
      <c r="AJ44" s="99">
        <v>4.2613109917812695</v>
      </c>
      <c r="AK44" s="99">
        <v>4356.76435799717</v>
      </c>
      <c r="AL44" s="99">
        <v>7</v>
      </c>
      <c r="AM44" s="99">
        <v>7156.8</v>
      </c>
      <c r="AN44" s="99">
        <v>8</v>
      </c>
      <c r="AO44" s="99">
        <v>8179.2</v>
      </c>
      <c r="AP44" s="99">
        <v>7</v>
      </c>
      <c r="AQ44" s="99">
        <v>7156.8</v>
      </c>
      <c r="AR44" s="99">
        <v>5.137558034131283</v>
      </c>
      <c r="AS44" s="99">
        <v>5252.6393340958239</v>
      </c>
      <c r="AT44" s="99">
        <v>1.9270350458937968</v>
      </c>
      <c r="AU44" s="99">
        <v>1970.2006309218177</v>
      </c>
      <c r="AV44" s="99">
        <v>2.1899477578634996</v>
      </c>
      <c r="AW44" s="99">
        <v>2239.0025876396421</v>
      </c>
      <c r="AX44" s="99">
        <v>5.7856428094127406</v>
      </c>
      <c r="AY44" s="99">
        <v>5915.2412083435856</v>
      </c>
      <c r="AZ44" s="99">
        <v>9</v>
      </c>
      <c r="BA44" s="99">
        <v>9201.6</v>
      </c>
      <c r="BB44" s="99">
        <v>4.5503833874461339</v>
      </c>
      <c r="BC44" s="99">
        <v>4652.3119753249275</v>
      </c>
      <c r="BD44" s="99">
        <v>4.0086408469217245</v>
      </c>
      <c r="BE44" s="99">
        <v>4098.4344018927713</v>
      </c>
      <c r="BF44" s="99">
        <v>6.3743252007316622</v>
      </c>
      <c r="BG44" s="99">
        <v>6517.1100852280515</v>
      </c>
      <c r="BH44" s="99">
        <v>3.5299508129449304</v>
      </c>
      <c r="BI44" s="99">
        <v>3609.0217111548968</v>
      </c>
      <c r="BJ44" s="99">
        <v>2.9192484438879269</v>
      </c>
      <c r="BK44" s="99">
        <v>2984.6396090310163</v>
      </c>
      <c r="BL44" s="99">
        <v>7</v>
      </c>
      <c r="BM44" s="99">
        <v>7156.8</v>
      </c>
      <c r="BN44" s="99">
        <v>5</v>
      </c>
      <c r="BO44" s="99">
        <v>5112</v>
      </c>
      <c r="BP44" s="99">
        <v>7.3059462308977672</v>
      </c>
      <c r="BQ44" s="99">
        <v>7469.5994264698766</v>
      </c>
      <c r="BR44" s="99">
        <v>7.7169104273000118</v>
      </c>
      <c r="BS44" s="99">
        <v>7889.7692208715316</v>
      </c>
      <c r="BT44" s="99">
        <v>2.693327309055106</v>
      </c>
      <c r="BU44" s="99">
        <v>2753.6578407779402</v>
      </c>
      <c r="BV44" s="99">
        <v>4.559518623588672</v>
      </c>
      <c r="BW44" s="99">
        <v>4661.6518407570584</v>
      </c>
      <c r="BX44" s="99">
        <v>5.4700839626265685</v>
      </c>
      <c r="BY44" s="99">
        <v>5592.6138433894039</v>
      </c>
      <c r="BZ44" s="99">
        <v>4.9686333686546913</v>
      </c>
      <c r="CA44" s="99">
        <v>5079.9307561125561</v>
      </c>
      <c r="CB44" s="99">
        <v>9</v>
      </c>
      <c r="CC44" s="99">
        <v>9201.6</v>
      </c>
      <c r="CD44" s="99">
        <v>5.6321518934888513</v>
      </c>
      <c r="CE44" s="99">
        <v>5758.3120959030011</v>
      </c>
      <c r="CF44" s="99">
        <v>6.3485157370576628</v>
      </c>
      <c r="CG44" s="99">
        <v>6490.7224895677546</v>
      </c>
      <c r="CH44" s="99">
        <v>3.5588312535930742</v>
      </c>
      <c r="CI44" s="99">
        <v>3638.5490736735592</v>
      </c>
      <c r="CJ44" s="99">
        <v>0.94160740556115985</v>
      </c>
      <c r="CK44" s="99">
        <v>962.69941144572977</v>
      </c>
      <c r="CL44" s="99">
        <v>4.9723142622331711</v>
      </c>
      <c r="CM44" s="99">
        <v>5083.694101707194</v>
      </c>
      <c r="CN44" s="99">
        <v>5</v>
      </c>
      <c r="CO44" s="99">
        <v>5112</v>
      </c>
      <c r="CP44" s="99">
        <v>7.8305897979518422</v>
      </c>
      <c r="CQ44" s="99">
        <v>8005.995009425963</v>
      </c>
      <c r="CR44" s="99">
        <v>4.9952431472336611</v>
      </c>
      <c r="CS44" s="99">
        <v>5107.136593731695</v>
      </c>
      <c r="CT44" s="99">
        <v>4.4899667035353863</v>
      </c>
      <c r="CU44" s="99">
        <v>4590.5419576945787</v>
      </c>
    </row>
    <row r="45" spans="2:99">
      <c r="C45" s="98" t="s">
        <v>211</v>
      </c>
      <c r="D45" s="99">
        <v>5</v>
      </c>
      <c r="E45" s="99">
        <v>6246</v>
      </c>
      <c r="F45" s="99">
        <v>8</v>
      </c>
      <c r="G45" s="99">
        <v>9993.6</v>
      </c>
      <c r="H45" s="99">
        <v>9</v>
      </c>
      <c r="I45" s="99">
        <v>11242.800000000001</v>
      </c>
      <c r="J45" s="99">
        <v>8</v>
      </c>
      <c r="K45" s="99">
        <v>9993.6</v>
      </c>
      <c r="L45" s="99">
        <v>5.6217028301936329</v>
      </c>
      <c r="M45" s="99">
        <v>7022.6311754778862</v>
      </c>
      <c r="N45" s="99">
        <v>6</v>
      </c>
      <c r="O45" s="99">
        <v>7495.2000000000007</v>
      </c>
      <c r="P45" s="99">
        <v>8</v>
      </c>
      <c r="Q45" s="99">
        <v>9993.6</v>
      </c>
      <c r="R45" s="99">
        <v>8</v>
      </c>
      <c r="S45" s="99">
        <v>9993.6</v>
      </c>
      <c r="T45" s="99">
        <v>9</v>
      </c>
      <c r="U45" s="99">
        <v>11242.800000000001</v>
      </c>
      <c r="V45" s="99">
        <v>7</v>
      </c>
      <c r="W45" s="99">
        <v>8744.4</v>
      </c>
      <c r="X45" s="99">
        <v>8</v>
      </c>
      <c r="Y45" s="99">
        <v>9993.6</v>
      </c>
      <c r="Z45" s="99">
        <v>6</v>
      </c>
      <c r="AA45" s="99">
        <v>7495.2000000000007</v>
      </c>
      <c r="AB45" s="99">
        <v>7</v>
      </c>
      <c r="AC45" s="99">
        <v>8744.4</v>
      </c>
      <c r="AD45" s="99">
        <v>4.2159778930882901</v>
      </c>
      <c r="AE45" s="99">
        <v>5266.5995840458918</v>
      </c>
      <c r="AF45" s="99">
        <v>3.3161972124762582</v>
      </c>
      <c r="AG45" s="99">
        <v>4142.593557825342</v>
      </c>
      <c r="AH45" s="99">
        <v>4.6574098016308128</v>
      </c>
      <c r="AI45" s="99">
        <v>5818.0363241972118</v>
      </c>
      <c r="AJ45" s="99">
        <v>5.1135731901375232</v>
      </c>
      <c r="AK45" s="99">
        <v>6387.8756291197942</v>
      </c>
      <c r="AL45" s="99">
        <v>8</v>
      </c>
      <c r="AM45" s="99">
        <v>9993.6</v>
      </c>
      <c r="AN45" s="99">
        <v>7</v>
      </c>
      <c r="AO45" s="99">
        <v>8744.4</v>
      </c>
      <c r="AP45" s="99">
        <v>7</v>
      </c>
      <c r="AQ45" s="99">
        <v>8744.4</v>
      </c>
      <c r="AR45" s="99">
        <v>5.137558034131283</v>
      </c>
      <c r="AS45" s="99">
        <v>6417.8374962367989</v>
      </c>
      <c r="AT45" s="99">
        <v>2.2747679049892873</v>
      </c>
      <c r="AU45" s="99">
        <v>2841.6400669126178</v>
      </c>
      <c r="AV45" s="99">
        <v>2.7081073776182825</v>
      </c>
      <c r="AW45" s="99">
        <v>3382.9677361207587</v>
      </c>
      <c r="AX45" s="99">
        <v>5.1427936083668806</v>
      </c>
      <c r="AY45" s="99">
        <v>6424.3777755719075</v>
      </c>
      <c r="AZ45" s="99">
        <v>9</v>
      </c>
      <c r="BA45" s="99">
        <v>11242.800000000001</v>
      </c>
      <c r="BB45" s="99">
        <v>5.256380370674556</v>
      </c>
      <c r="BC45" s="99">
        <v>6566.2703590466554</v>
      </c>
      <c r="BD45" s="99">
        <v>3.5075607410565088</v>
      </c>
      <c r="BE45" s="99">
        <v>4381.644877727791</v>
      </c>
      <c r="BF45" s="99">
        <v>6.4491902408779946</v>
      </c>
      <c r="BG45" s="99">
        <v>8056.328448904791</v>
      </c>
      <c r="BH45" s="99">
        <v>3.2078889714282939</v>
      </c>
      <c r="BI45" s="99">
        <v>4007.2949031082248</v>
      </c>
      <c r="BJ45" s="99">
        <v>2.9192484438879269</v>
      </c>
      <c r="BK45" s="99">
        <v>3646.7251561047983</v>
      </c>
      <c r="BL45" s="99">
        <v>7</v>
      </c>
      <c r="BM45" s="99">
        <v>8744.4</v>
      </c>
      <c r="BN45" s="99">
        <v>4</v>
      </c>
      <c r="BO45" s="99">
        <v>4996.8</v>
      </c>
      <c r="BP45" s="99">
        <v>5.4794596731733263</v>
      </c>
      <c r="BQ45" s="99">
        <v>6844.941023728119</v>
      </c>
      <c r="BR45" s="99">
        <v>7.7385494639027845</v>
      </c>
      <c r="BS45" s="99">
        <v>9666.9959903073595</v>
      </c>
      <c r="BT45" s="99">
        <v>2.4165605424673711</v>
      </c>
      <c r="BU45" s="99">
        <v>3018.76742965024</v>
      </c>
      <c r="BV45" s="99">
        <v>4.4959676872026968</v>
      </c>
      <c r="BW45" s="99">
        <v>5616.3628348536095</v>
      </c>
      <c r="BX45" s="99">
        <v>4.7143003921470568</v>
      </c>
      <c r="BY45" s="99">
        <v>5889.1040498701032</v>
      </c>
      <c r="BZ45" s="99">
        <v>4.9686333686546913</v>
      </c>
      <c r="CA45" s="99">
        <v>6206.8168041234403</v>
      </c>
      <c r="CB45" s="99">
        <v>8</v>
      </c>
      <c r="CC45" s="99">
        <v>9993.6</v>
      </c>
      <c r="CD45" s="99">
        <v>5.6321518934888513</v>
      </c>
      <c r="CE45" s="99">
        <v>7035.684145346273</v>
      </c>
      <c r="CF45" s="99">
        <v>7.1170206250114587</v>
      </c>
      <c r="CG45" s="99">
        <v>8890.5821647643152</v>
      </c>
      <c r="CH45" s="99">
        <v>2.965692711327562</v>
      </c>
      <c r="CI45" s="99">
        <v>3704.7433349903904</v>
      </c>
      <c r="CJ45" s="99">
        <v>0.94160740556115985</v>
      </c>
      <c r="CK45" s="99">
        <v>1176.2559710270009</v>
      </c>
      <c r="CL45" s="99">
        <v>6.2153928277914643</v>
      </c>
      <c r="CM45" s="99">
        <v>7764.2687204770973</v>
      </c>
      <c r="CN45" s="99">
        <v>4</v>
      </c>
      <c r="CO45" s="99">
        <v>4996.8</v>
      </c>
      <c r="CP45" s="99">
        <v>6.264471838361473</v>
      </c>
      <c r="CQ45" s="99">
        <v>7825.5782204811521</v>
      </c>
      <c r="CR45" s="99">
        <v>4.9952431472336611</v>
      </c>
      <c r="CS45" s="99">
        <v>6240.0577395242899</v>
      </c>
      <c r="CT45" s="99">
        <v>3.7416389196128219</v>
      </c>
      <c r="CU45" s="99">
        <v>4674.0553383803372</v>
      </c>
    </row>
    <row r="46" spans="2:99">
      <c r="C46" s="98" t="s">
        <v>212</v>
      </c>
      <c r="D46" s="99">
        <v>5</v>
      </c>
      <c r="E46" s="99">
        <v>6060</v>
      </c>
      <c r="F46" s="99">
        <v>8</v>
      </c>
      <c r="G46" s="99">
        <v>9696</v>
      </c>
      <c r="H46" s="99">
        <v>8</v>
      </c>
      <c r="I46" s="99">
        <v>9696</v>
      </c>
      <c r="J46" s="99">
        <v>9</v>
      </c>
      <c r="K46" s="99">
        <v>10908</v>
      </c>
      <c r="L46" s="99">
        <v>5.7173494194541918</v>
      </c>
      <c r="M46" s="99">
        <v>6929.4274963784801</v>
      </c>
      <c r="N46" s="99">
        <v>6</v>
      </c>
      <c r="O46" s="99">
        <v>7272</v>
      </c>
      <c r="P46" s="99">
        <v>8</v>
      </c>
      <c r="Q46" s="99">
        <v>9696</v>
      </c>
      <c r="R46" s="99">
        <v>7</v>
      </c>
      <c r="S46" s="99">
        <v>8484</v>
      </c>
      <c r="T46" s="99">
        <v>9</v>
      </c>
      <c r="U46" s="99">
        <v>10908</v>
      </c>
      <c r="V46" s="99">
        <v>8</v>
      </c>
      <c r="W46" s="99">
        <v>9696</v>
      </c>
      <c r="X46" s="99">
        <v>9</v>
      </c>
      <c r="Y46" s="99">
        <v>10908</v>
      </c>
      <c r="Z46" s="99">
        <v>6</v>
      </c>
      <c r="AA46" s="99">
        <v>7272</v>
      </c>
      <c r="AB46" s="99">
        <v>7</v>
      </c>
      <c r="AC46" s="99">
        <v>8484</v>
      </c>
      <c r="AD46" s="99">
        <v>5.2631577459532712</v>
      </c>
      <c r="AE46" s="99">
        <v>6378.9471880953652</v>
      </c>
      <c r="AF46" s="99">
        <v>3.7438792304440067</v>
      </c>
      <c r="AG46" s="99">
        <v>4537.5816272981365</v>
      </c>
      <c r="AH46" s="99">
        <v>5.4225527639587874</v>
      </c>
      <c r="AI46" s="99">
        <v>6572.1339499180503</v>
      </c>
      <c r="AJ46" s="99">
        <v>4.2613109917812695</v>
      </c>
      <c r="AK46" s="99">
        <v>5164.7089220388989</v>
      </c>
      <c r="AL46" s="99">
        <v>8</v>
      </c>
      <c r="AM46" s="99">
        <v>9696</v>
      </c>
      <c r="AN46" s="99">
        <v>7</v>
      </c>
      <c r="AO46" s="99">
        <v>8484</v>
      </c>
      <c r="AP46" s="99">
        <v>6</v>
      </c>
      <c r="AQ46" s="99">
        <v>7272</v>
      </c>
      <c r="AR46" s="99">
        <v>5.137558034131283</v>
      </c>
      <c r="AS46" s="99">
        <v>6226.7203373671146</v>
      </c>
      <c r="AT46" s="99">
        <v>2.2747679049892873</v>
      </c>
      <c r="AU46" s="99">
        <v>2757.0187008470161</v>
      </c>
      <c r="AV46" s="99">
        <v>2.7198383055027198</v>
      </c>
      <c r="AW46" s="99">
        <v>3296.4440262692965</v>
      </c>
      <c r="AX46" s="99">
        <v>5.1427936083668806</v>
      </c>
      <c r="AY46" s="99">
        <v>6233.0658533406595</v>
      </c>
      <c r="AZ46" s="99">
        <v>8</v>
      </c>
      <c r="BA46" s="99">
        <v>9696</v>
      </c>
      <c r="BB46" s="99">
        <v>4.5154498887710668</v>
      </c>
      <c r="BC46" s="99">
        <v>5472.7252651905328</v>
      </c>
      <c r="BD46" s="99">
        <v>4.0086408469217245</v>
      </c>
      <c r="BE46" s="99">
        <v>4858.4727064691297</v>
      </c>
      <c r="BF46" s="99">
        <v>6.4491902408779946</v>
      </c>
      <c r="BG46" s="99">
        <v>7816.4185719441293</v>
      </c>
      <c r="BH46" s="99">
        <v>3.1784287430684302</v>
      </c>
      <c r="BI46" s="99">
        <v>3852.2556365989371</v>
      </c>
      <c r="BJ46" s="99">
        <v>2.5948875056781571</v>
      </c>
      <c r="BK46" s="99">
        <v>3145.0036568819264</v>
      </c>
      <c r="BL46" s="99">
        <v>7</v>
      </c>
      <c r="BM46" s="99">
        <v>8484</v>
      </c>
      <c r="BN46" s="99">
        <v>5</v>
      </c>
      <c r="BO46" s="99">
        <v>6060</v>
      </c>
      <c r="BP46" s="99">
        <v>6.3927029520355463</v>
      </c>
      <c r="BQ46" s="99">
        <v>7747.9559778670819</v>
      </c>
      <c r="BR46" s="99">
        <v>6.8823171406807155</v>
      </c>
      <c r="BS46" s="99">
        <v>8341.3683745050275</v>
      </c>
      <c r="BT46" s="99">
        <v>2.4186052536771236</v>
      </c>
      <c r="BU46" s="99">
        <v>2931.3495674566739</v>
      </c>
      <c r="BV46" s="99">
        <v>4.4959676872026968</v>
      </c>
      <c r="BW46" s="99">
        <v>5449.1128368896689</v>
      </c>
      <c r="BX46" s="99">
        <v>4.7143003921470568</v>
      </c>
      <c r="BY46" s="99">
        <v>5713.7320752822325</v>
      </c>
      <c r="BZ46" s="99">
        <v>4.2588286017040211</v>
      </c>
      <c r="CA46" s="99">
        <v>5161.7002652652736</v>
      </c>
      <c r="CB46" s="99">
        <v>8</v>
      </c>
      <c r="CC46" s="99">
        <v>9696</v>
      </c>
      <c r="CD46" s="99">
        <v>5.6321518934888513</v>
      </c>
      <c r="CE46" s="99">
        <v>6826.1680949084875</v>
      </c>
      <c r="CF46" s="99">
        <v>6.3234561578792503</v>
      </c>
      <c r="CG46" s="99">
        <v>7664.0288633496511</v>
      </c>
      <c r="CH46" s="99">
        <v>3.5588312535930742</v>
      </c>
      <c r="CI46" s="99">
        <v>4313.3034793548059</v>
      </c>
      <c r="CJ46" s="99">
        <v>0.94160740556115985</v>
      </c>
      <c r="CK46" s="99">
        <v>1141.2281755401257</v>
      </c>
      <c r="CL46" s="99">
        <v>5.5938535450123164</v>
      </c>
      <c r="CM46" s="99">
        <v>6779.7504965549278</v>
      </c>
      <c r="CN46" s="99">
        <v>4</v>
      </c>
      <c r="CO46" s="99">
        <v>4848</v>
      </c>
      <c r="CP46" s="99">
        <v>6.264471838361473</v>
      </c>
      <c r="CQ46" s="99">
        <v>7592.5398680941053</v>
      </c>
      <c r="CR46" s="99">
        <v>4.9952431472336611</v>
      </c>
      <c r="CS46" s="99">
        <v>6054.2346944471974</v>
      </c>
      <c r="CT46" s="99">
        <v>3.7416389196128219</v>
      </c>
      <c r="CU46" s="99">
        <v>4534.8663705707404</v>
      </c>
    </row>
    <row r="47" spans="2:99">
      <c r="C47" s="98" t="s">
        <v>213</v>
      </c>
      <c r="D47" s="99">
        <v>6</v>
      </c>
      <c r="E47" s="99">
        <v>9165.5999999999985</v>
      </c>
      <c r="F47" s="99">
        <v>7</v>
      </c>
      <c r="G47" s="99">
        <v>10693.199999999999</v>
      </c>
      <c r="H47" s="99">
        <v>7</v>
      </c>
      <c r="I47" s="99">
        <v>10693.199999999999</v>
      </c>
      <c r="J47" s="99">
        <v>9</v>
      </c>
      <c r="K47" s="99">
        <v>13748.4</v>
      </c>
      <c r="L47" s="99">
        <v>5.6217028301936329</v>
      </c>
      <c r="M47" s="99">
        <v>8587.713243403794</v>
      </c>
      <c r="N47" s="99">
        <v>6</v>
      </c>
      <c r="O47" s="99">
        <v>9165.5999999999985</v>
      </c>
      <c r="P47" s="99">
        <v>9</v>
      </c>
      <c r="Q47" s="99">
        <v>13748.4</v>
      </c>
      <c r="R47" s="99">
        <v>8</v>
      </c>
      <c r="S47" s="99">
        <v>12220.8</v>
      </c>
      <c r="T47" s="99">
        <v>8</v>
      </c>
      <c r="U47" s="99">
        <v>12220.8</v>
      </c>
      <c r="V47" s="99">
        <v>7</v>
      </c>
      <c r="W47" s="99">
        <v>10693.199999999999</v>
      </c>
      <c r="X47" s="99">
        <v>9</v>
      </c>
      <c r="Y47" s="99">
        <v>13748.4</v>
      </c>
      <c r="Z47" s="99">
        <v>6</v>
      </c>
      <c r="AA47" s="99">
        <v>9165.5999999999985</v>
      </c>
      <c r="AB47" s="99">
        <v>7</v>
      </c>
      <c r="AC47" s="99">
        <v>10693.199999999999</v>
      </c>
      <c r="AD47" s="99">
        <v>4.4199621673356138</v>
      </c>
      <c r="AE47" s="99">
        <v>6751.934206821883</v>
      </c>
      <c r="AF47" s="99">
        <v>3.3161972124762582</v>
      </c>
      <c r="AG47" s="99">
        <v>5065.8228617787317</v>
      </c>
      <c r="AH47" s="99">
        <v>5.4225527639587874</v>
      </c>
      <c r="AI47" s="99">
        <v>8283.4916022234429</v>
      </c>
      <c r="AJ47" s="99">
        <v>4.2613109917812695</v>
      </c>
      <c r="AK47" s="99">
        <v>6509.5786710450666</v>
      </c>
      <c r="AL47" s="99">
        <v>7</v>
      </c>
      <c r="AM47" s="99">
        <v>10693.199999999999</v>
      </c>
      <c r="AN47" s="99">
        <v>7</v>
      </c>
      <c r="AO47" s="99">
        <v>10693.199999999999</v>
      </c>
      <c r="AP47" s="99">
        <v>7</v>
      </c>
      <c r="AQ47" s="99">
        <v>10693.199999999999</v>
      </c>
      <c r="AR47" s="99">
        <v>5.9547970311292637</v>
      </c>
      <c r="AS47" s="99">
        <v>9096.5479447530633</v>
      </c>
      <c r="AT47" s="99">
        <v>1.9099104322195837</v>
      </c>
      <c r="AU47" s="99">
        <v>2917.5791762586359</v>
      </c>
      <c r="AV47" s="99">
        <v>2.1782168299790632</v>
      </c>
      <c r="AW47" s="99">
        <v>3327.4440294760166</v>
      </c>
      <c r="AX47" s="99">
        <v>5.1427936083668806</v>
      </c>
      <c r="AY47" s="99">
        <v>7856.1315161412467</v>
      </c>
      <c r="AZ47" s="99">
        <v>8</v>
      </c>
      <c r="BA47" s="99">
        <v>12220.8</v>
      </c>
      <c r="BB47" s="99">
        <v>4.5154498887710668</v>
      </c>
      <c r="BC47" s="99">
        <v>6897.8012500866816</v>
      </c>
      <c r="BD47" s="99">
        <v>3.5075607410565088</v>
      </c>
      <c r="BE47" s="99">
        <v>5358.1497880379229</v>
      </c>
      <c r="BF47" s="99">
        <v>7.4491902408779946</v>
      </c>
      <c r="BG47" s="99">
        <v>11379.383011965225</v>
      </c>
      <c r="BH47" s="99">
        <v>2.8416367873718622</v>
      </c>
      <c r="BI47" s="99">
        <v>4340.884356389256</v>
      </c>
      <c r="BJ47" s="99">
        <v>2.9192484438879269</v>
      </c>
      <c r="BK47" s="99">
        <v>4459.443922883197</v>
      </c>
      <c r="BL47" s="99">
        <v>7</v>
      </c>
      <c r="BM47" s="99">
        <v>10693.199999999999</v>
      </c>
      <c r="BN47" s="99">
        <v>5</v>
      </c>
      <c r="BO47" s="99">
        <v>7638</v>
      </c>
      <c r="BP47" s="99">
        <v>5.4794596731733263</v>
      </c>
      <c r="BQ47" s="99">
        <v>8370.4225967395723</v>
      </c>
      <c r="BR47" s="99">
        <v>7.7277299456013981</v>
      </c>
      <c r="BS47" s="99">
        <v>11804.880264900696</v>
      </c>
      <c r="BT47" s="99">
        <v>2.3940687191600944</v>
      </c>
      <c r="BU47" s="99">
        <v>3657.1793753889601</v>
      </c>
      <c r="BV47" s="99">
        <v>4.5277431553956839</v>
      </c>
      <c r="BW47" s="99">
        <v>6916.5804441824466</v>
      </c>
      <c r="BX47" s="99">
        <v>4.7143003921470568</v>
      </c>
      <c r="BY47" s="99">
        <v>7201.5652790438435</v>
      </c>
      <c r="BZ47" s="99">
        <v>4.9686333686546913</v>
      </c>
      <c r="CA47" s="99">
        <v>7590.0843339569055</v>
      </c>
      <c r="CB47" s="99">
        <v>8</v>
      </c>
      <c r="CC47" s="99">
        <v>12220.8</v>
      </c>
      <c r="CD47" s="99">
        <v>5.6321518934888513</v>
      </c>
      <c r="CE47" s="99">
        <v>8603.6752324935678</v>
      </c>
      <c r="CF47" s="99">
        <v>6.3485157370576628</v>
      </c>
      <c r="CG47" s="99">
        <v>9697.9926399292854</v>
      </c>
      <c r="CH47" s="99">
        <v>2.965692711327562</v>
      </c>
      <c r="CI47" s="99">
        <v>4530.3921858239837</v>
      </c>
      <c r="CJ47" s="99">
        <v>0.93236791937464558</v>
      </c>
      <c r="CK47" s="99">
        <v>1424.2852336367084</v>
      </c>
      <c r="CL47" s="99">
        <v>5.5938535450123164</v>
      </c>
      <c r="CM47" s="99">
        <v>8545.1706753608141</v>
      </c>
      <c r="CN47" s="99">
        <v>4</v>
      </c>
      <c r="CO47" s="99">
        <v>6110.4</v>
      </c>
      <c r="CP47" s="99">
        <v>7.0475308181566581</v>
      </c>
      <c r="CQ47" s="99">
        <v>10765.808077816109</v>
      </c>
      <c r="CR47" s="99">
        <v>4.9952431472336611</v>
      </c>
      <c r="CS47" s="99">
        <v>7630.7334317141404</v>
      </c>
      <c r="CT47" s="99">
        <v>4.4899667035353863</v>
      </c>
      <c r="CU47" s="99">
        <v>6858.8731363206552</v>
      </c>
    </row>
    <row r="48" spans="2:99">
      <c r="C48" s="98" t="s">
        <v>214</v>
      </c>
      <c r="D48" s="99">
        <v>5</v>
      </c>
      <c r="E48" s="99">
        <v>4338</v>
      </c>
      <c r="F48" s="99">
        <v>8</v>
      </c>
      <c r="G48" s="99">
        <v>6940.8</v>
      </c>
      <c r="H48" s="99">
        <v>8</v>
      </c>
      <c r="I48" s="99">
        <v>6940.8</v>
      </c>
      <c r="J48" s="99">
        <v>9</v>
      </c>
      <c r="K48" s="99">
        <v>7808.4000000000005</v>
      </c>
      <c r="L48" s="99">
        <v>5.7173494194541918</v>
      </c>
      <c r="M48" s="99">
        <v>4960.3723563184567</v>
      </c>
      <c r="N48" s="99">
        <v>6</v>
      </c>
      <c r="O48" s="99">
        <v>5205.6000000000004</v>
      </c>
      <c r="P48" s="99">
        <v>8</v>
      </c>
      <c r="Q48" s="99">
        <v>6940.8</v>
      </c>
      <c r="R48" s="99">
        <v>8</v>
      </c>
      <c r="S48" s="99">
        <v>6940.8</v>
      </c>
      <c r="T48" s="99">
        <v>9</v>
      </c>
      <c r="U48" s="99">
        <v>7808.4000000000005</v>
      </c>
      <c r="V48" s="99">
        <v>7</v>
      </c>
      <c r="W48" s="99">
        <v>6073.2</v>
      </c>
      <c r="X48" s="99">
        <v>9</v>
      </c>
      <c r="Y48" s="99">
        <v>7808.4000000000005</v>
      </c>
      <c r="Z48" s="99">
        <v>7</v>
      </c>
      <c r="AA48" s="99">
        <v>6073.2</v>
      </c>
      <c r="AB48" s="99">
        <v>7</v>
      </c>
      <c r="AC48" s="99">
        <v>6073.2</v>
      </c>
      <c r="AD48" s="99">
        <v>5.2631577459532712</v>
      </c>
      <c r="AE48" s="99">
        <v>4566.3156603890584</v>
      </c>
      <c r="AF48" s="99">
        <v>3.7438792304440067</v>
      </c>
      <c r="AG48" s="99">
        <v>3248.1896203332203</v>
      </c>
      <c r="AH48" s="99">
        <v>4.6529729997866154</v>
      </c>
      <c r="AI48" s="99">
        <v>4036.9193746148676</v>
      </c>
      <c r="AJ48" s="99">
        <v>5.1135731901375232</v>
      </c>
      <c r="AK48" s="99">
        <v>4436.5360997633152</v>
      </c>
      <c r="AL48" s="99">
        <v>8</v>
      </c>
      <c r="AM48" s="99">
        <v>6940.8</v>
      </c>
      <c r="AN48" s="99">
        <v>7</v>
      </c>
      <c r="AO48" s="99">
        <v>6073.2</v>
      </c>
      <c r="AP48" s="99">
        <v>7</v>
      </c>
      <c r="AQ48" s="99">
        <v>6073.2</v>
      </c>
      <c r="AR48" s="99">
        <v>5.9547970311292637</v>
      </c>
      <c r="AS48" s="99">
        <v>5166.3819042077494</v>
      </c>
      <c r="AT48" s="99">
        <v>1.9099104322195837</v>
      </c>
      <c r="AU48" s="99">
        <v>1657.0382909937109</v>
      </c>
      <c r="AV48" s="99">
        <v>2.7198383055027198</v>
      </c>
      <c r="AW48" s="99">
        <v>2359.7317138541598</v>
      </c>
      <c r="AX48" s="99">
        <v>5.1427936083668806</v>
      </c>
      <c r="AY48" s="99">
        <v>4461.8877346191057</v>
      </c>
      <c r="AZ48" s="99">
        <v>8</v>
      </c>
      <c r="BA48" s="99">
        <v>6940.8</v>
      </c>
      <c r="BB48" s="99">
        <v>4.5503833874461339</v>
      </c>
      <c r="BC48" s="99">
        <v>3947.9126269482658</v>
      </c>
      <c r="BD48" s="99">
        <v>4.0086408469217245</v>
      </c>
      <c r="BE48" s="99">
        <v>3477.8967987892884</v>
      </c>
      <c r="BF48" s="99">
        <v>7.411757720804828</v>
      </c>
      <c r="BG48" s="99">
        <v>6430.4409985702687</v>
      </c>
      <c r="BH48" s="99">
        <v>3.1784287430684302</v>
      </c>
      <c r="BI48" s="99">
        <v>2757.60477748617</v>
      </c>
      <c r="BJ48" s="99">
        <v>2.9192484438879269</v>
      </c>
      <c r="BK48" s="99">
        <v>2532.7399499171656</v>
      </c>
      <c r="BL48" s="99">
        <v>7</v>
      </c>
      <c r="BM48" s="99">
        <v>6073.2</v>
      </c>
      <c r="BN48" s="99">
        <v>5</v>
      </c>
      <c r="BO48" s="99">
        <v>4338</v>
      </c>
      <c r="BP48" s="99">
        <v>6.3927029520355463</v>
      </c>
      <c r="BQ48" s="99">
        <v>5546.3090811860402</v>
      </c>
      <c r="BR48" s="99">
        <v>7.7385494639027845</v>
      </c>
      <c r="BS48" s="99">
        <v>6713.9655148820557</v>
      </c>
      <c r="BT48" s="99">
        <v>2.7178638435721356</v>
      </c>
      <c r="BU48" s="99">
        <v>2358.0186706831851</v>
      </c>
      <c r="BV48" s="99">
        <v>4.4959676872026968</v>
      </c>
      <c r="BW48" s="99">
        <v>3900.70156541706</v>
      </c>
      <c r="BX48" s="99">
        <v>5.4925338337853162</v>
      </c>
      <c r="BY48" s="99">
        <v>4765.3223541921407</v>
      </c>
      <c r="BZ48" s="99">
        <v>4.9686333686546913</v>
      </c>
      <c r="CA48" s="99">
        <v>4310.7863106448103</v>
      </c>
      <c r="CB48" s="99">
        <v>8</v>
      </c>
      <c r="CC48" s="99">
        <v>6940.8</v>
      </c>
      <c r="CD48" s="99">
        <v>5.6321518934888513</v>
      </c>
      <c r="CE48" s="99">
        <v>4886.4549827909277</v>
      </c>
      <c r="CF48" s="99">
        <v>6.3735753162360735</v>
      </c>
      <c r="CG48" s="99">
        <v>5529.7139443664173</v>
      </c>
      <c r="CH48" s="99">
        <v>2.965692711327562</v>
      </c>
      <c r="CI48" s="99">
        <v>2573.0349963477929</v>
      </c>
      <c r="CJ48" s="99">
        <v>0.93698766246790277</v>
      </c>
      <c r="CK48" s="99">
        <v>812.93049595715252</v>
      </c>
      <c r="CL48" s="99">
        <v>6.2153928277914643</v>
      </c>
      <c r="CM48" s="99">
        <v>5392.4748173918742</v>
      </c>
      <c r="CN48" s="99">
        <v>5</v>
      </c>
      <c r="CO48" s="99">
        <v>4338</v>
      </c>
      <c r="CP48" s="99">
        <v>6.264471838361473</v>
      </c>
      <c r="CQ48" s="99">
        <v>5435.0557669624141</v>
      </c>
      <c r="CR48" s="99">
        <v>4.9952431472336611</v>
      </c>
      <c r="CS48" s="99">
        <v>4333.8729545399246</v>
      </c>
      <c r="CT48" s="99">
        <v>3.7416389196128219</v>
      </c>
      <c r="CU48" s="99">
        <v>3246.2459266560845</v>
      </c>
    </row>
    <row r="49" spans="2:99">
      <c r="B49" s="98" t="s">
        <v>129</v>
      </c>
      <c r="C49" s="98" t="s">
        <v>215</v>
      </c>
      <c r="D49" s="99">
        <v>6</v>
      </c>
      <c r="E49" s="99">
        <v>5911.2</v>
      </c>
      <c r="F49" s="99">
        <v>5</v>
      </c>
      <c r="G49" s="99">
        <v>4926</v>
      </c>
      <c r="H49" s="99">
        <v>5</v>
      </c>
      <c r="I49" s="99">
        <v>4926</v>
      </c>
      <c r="J49" s="99">
        <v>4</v>
      </c>
      <c r="K49" s="99">
        <v>3940.7999999999997</v>
      </c>
      <c r="L49" s="99">
        <v>5</v>
      </c>
      <c r="M49" s="99">
        <v>4926</v>
      </c>
      <c r="N49" s="99">
        <v>5</v>
      </c>
      <c r="O49" s="99">
        <v>4926</v>
      </c>
      <c r="P49" s="99">
        <v>5</v>
      </c>
      <c r="Q49" s="99">
        <v>4926</v>
      </c>
      <c r="R49" s="99">
        <v>5</v>
      </c>
      <c r="S49" s="99">
        <v>4926</v>
      </c>
      <c r="T49" s="99">
        <v>7</v>
      </c>
      <c r="U49" s="99">
        <v>6896.4</v>
      </c>
      <c r="V49" s="99">
        <v>6.349645766545529</v>
      </c>
      <c r="W49" s="99">
        <v>6255.6710092006551</v>
      </c>
      <c r="X49" s="99">
        <v>7</v>
      </c>
      <c r="Y49" s="99">
        <v>6896.4</v>
      </c>
      <c r="Z49" s="99">
        <v>5</v>
      </c>
      <c r="AA49" s="99">
        <v>4926</v>
      </c>
      <c r="AB49" s="99">
        <v>5.1646809659022139</v>
      </c>
      <c r="AC49" s="99">
        <v>5088.2436876068605</v>
      </c>
      <c r="AD49" s="99">
        <v>5</v>
      </c>
      <c r="AE49" s="99">
        <v>4926</v>
      </c>
      <c r="AF49" s="99">
        <v>7</v>
      </c>
      <c r="AG49" s="99">
        <v>6896.4</v>
      </c>
      <c r="AH49" s="99">
        <v>5.4887419285156183</v>
      </c>
      <c r="AI49" s="99">
        <v>5407.5085479735872</v>
      </c>
      <c r="AJ49" s="99">
        <v>4</v>
      </c>
      <c r="AK49" s="99">
        <v>3940.7999999999997</v>
      </c>
      <c r="AL49" s="99">
        <v>6</v>
      </c>
      <c r="AM49" s="99">
        <v>5911.2</v>
      </c>
      <c r="AN49" s="99">
        <v>5.4384548301561102</v>
      </c>
      <c r="AO49" s="99">
        <v>5357.9656986697992</v>
      </c>
      <c r="AP49" s="99">
        <v>7</v>
      </c>
      <c r="AQ49" s="99">
        <v>6896.4</v>
      </c>
      <c r="AR49" s="99">
        <v>6.2636164507802432</v>
      </c>
      <c r="AS49" s="99">
        <v>6170.914927308695</v>
      </c>
      <c r="AT49" s="99">
        <v>7</v>
      </c>
      <c r="AU49" s="99">
        <v>6896.4</v>
      </c>
      <c r="AV49" s="99">
        <v>3.2816403618849534</v>
      </c>
      <c r="AW49" s="99">
        <v>3233.0720845290557</v>
      </c>
      <c r="AX49" s="99">
        <v>6</v>
      </c>
      <c r="AY49" s="99">
        <v>5911.2</v>
      </c>
      <c r="AZ49" s="99">
        <v>4</v>
      </c>
      <c r="BA49" s="99">
        <v>3940.7999999999997</v>
      </c>
      <c r="BB49" s="99">
        <v>5</v>
      </c>
      <c r="BC49" s="99">
        <v>4926</v>
      </c>
      <c r="BD49" s="99">
        <v>6.3497066361600716</v>
      </c>
      <c r="BE49" s="99">
        <v>6255.7309779449024</v>
      </c>
      <c r="BF49" s="99">
        <v>6</v>
      </c>
      <c r="BG49" s="99">
        <v>5911.2</v>
      </c>
      <c r="BH49" s="99">
        <v>4</v>
      </c>
      <c r="BI49" s="99">
        <v>3940.7999999999997</v>
      </c>
      <c r="BJ49" s="99">
        <v>5</v>
      </c>
      <c r="BK49" s="99">
        <v>4926</v>
      </c>
      <c r="BL49" s="99">
        <v>6</v>
      </c>
      <c r="BM49" s="99">
        <v>5911.2</v>
      </c>
      <c r="BN49" s="99">
        <v>4</v>
      </c>
      <c r="BO49" s="99">
        <v>3940.7999999999997</v>
      </c>
      <c r="BP49" s="99">
        <v>3</v>
      </c>
      <c r="BQ49" s="99">
        <v>2955.6</v>
      </c>
      <c r="BR49" s="99">
        <v>5</v>
      </c>
      <c r="BS49" s="99">
        <v>4926</v>
      </c>
      <c r="BT49" s="99">
        <v>6</v>
      </c>
      <c r="BU49" s="99">
        <v>5911.2</v>
      </c>
      <c r="BV49" s="99">
        <v>5</v>
      </c>
      <c r="BW49" s="99">
        <v>4926</v>
      </c>
      <c r="BX49" s="99">
        <v>4</v>
      </c>
      <c r="BY49" s="99">
        <v>3940.7999999999997</v>
      </c>
      <c r="BZ49" s="99">
        <v>4.1989030079575365</v>
      </c>
      <c r="CA49" s="99">
        <v>4136.7592434397648</v>
      </c>
      <c r="CB49" s="99">
        <v>4.367707473246452</v>
      </c>
      <c r="CC49" s="99">
        <v>4303.0654026424045</v>
      </c>
      <c r="CD49" s="99">
        <v>7</v>
      </c>
      <c r="CE49" s="99">
        <v>6896.4</v>
      </c>
      <c r="CF49" s="99">
        <v>7</v>
      </c>
      <c r="CG49" s="99">
        <v>6896.4</v>
      </c>
      <c r="CH49" s="99">
        <v>5</v>
      </c>
      <c r="CI49" s="99">
        <v>4926</v>
      </c>
      <c r="CJ49" s="99">
        <v>7</v>
      </c>
      <c r="CK49" s="99">
        <v>6896.4</v>
      </c>
      <c r="CL49" s="99">
        <v>6</v>
      </c>
      <c r="CM49" s="99">
        <v>5911.2</v>
      </c>
      <c r="CN49" s="99">
        <v>6</v>
      </c>
      <c r="CO49" s="99">
        <v>5911.2</v>
      </c>
      <c r="CP49" s="99">
        <v>6</v>
      </c>
      <c r="CQ49" s="99">
        <v>5911.2</v>
      </c>
      <c r="CR49" s="99">
        <v>6</v>
      </c>
      <c r="CS49" s="99">
        <v>5911.2</v>
      </c>
      <c r="CT49" s="99">
        <v>3.521530082419805</v>
      </c>
      <c r="CU49" s="99">
        <v>3469.4114371999917</v>
      </c>
    </row>
    <row r="50" spans="2:99">
      <c r="C50" s="98" t="s">
        <v>216</v>
      </c>
      <c r="D50" s="99">
        <v>6</v>
      </c>
      <c r="E50" s="99">
        <v>1692</v>
      </c>
      <c r="F50" s="99">
        <v>5</v>
      </c>
      <c r="G50" s="99">
        <v>1410</v>
      </c>
      <c r="H50" s="99">
        <v>5</v>
      </c>
      <c r="I50" s="99">
        <v>1410</v>
      </c>
      <c r="J50" s="99">
        <v>4</v>
      </c>
      <c r="K50" s="99">
        <v>1128</v>
      </c>
      <c r="L50" s="99">
        <v>5.2869397677816767</v>
      </c>
      <c r="M50" s="99">
        <v>1490.9170145144328</v>
      </c>
      <c r="N50" s="99">
        <v>5</v>
      </c>
      <c r="O50" s="99">
        <v>1410</v>
      </c>
      <c r="P50" s="99">
        <v>5</v>
      </c>
      <c r="Q50" s="99">
        <v>1410</v>
      </c>
      <c r="R50" s="99">
        <v>4</v>
      </c>
      <c r="S50" s="99">
        <v>1128</v>
      </c>
      <c r="T50" s="99">
        <v>6</v>
      </c>
      <c r="U50" s="99">
        <v>1692</v>
      </c>
      <c r="V50" s="99">
        <v>6</v>
      </c>
      <c r="W50" s="99">
        <v>1692</v>
      </c>
      <c r="X50" s="99">
        <v>6</v>
      </c>
      <c r="Y50" s="99">
        <v>1692</v>
      </c>
      <c r="Z50" s="99">
        <v>5</v>
      </c>
      <c r="AA50" s="99">
        <v>1410</v>
      </c>
      <c r="AB50" s="99">
        <v>5</v>
      </c>
      <c r="AC50" s="99">
        <v>1410</v>
      </c>
      <c r="AD50" s="99">
        <v>4.3519674092531719</v>
      </c>
      <c r="AE50" s="99">
        <v>1227.2548094093945</v>
      </c>
      <c r="AF50" s="99">
        <v>2.7810408322745035</v>
      </c>
      <c r="AG50" s="99">
        <v>784.25351470141004</v>
      </c>
      <c r="AH50" s="99">
        <v>3.8922668393028377</v>
      </c>
      <c r="AI50" s="99">
        <v>1097.6192486834002</v>
      </c>
      <c r="AJ50" s="99">
        <v>3.4090487934250158</v>
      </c>
      <c r="AK50" s="99">
        <v>961.35175974585445</v>
      </c>
      <c r="AL50" s="99">
        <v>6</v>
      </c>
      <c r="AM50" s="99">
        <v>1692</v>
      </c>
      <c r="AN50" s="99">
        <v>6</v>
      </c>
      <c r="AO50" s="99">
        <v>1692</v>
      </c>
      <c r="AP50" s="99">
        <v>7</v>
      </c>
      <c r="AQ50" s="99">
        <v>1974</v>
      </c>
      <c r="AR50" s="99">
        <v>5.9694297843882262</v>
      </c>
      <c r="AS50" s="99">
        <v>1683.3791991974797</v>
      </c>
      <c r="AT50" s="99">
        <v>2.5368776957137111</v>
      </c>
      <c r="AU50" s="99">
        <v>715.39951019126659</v>
      </c>
      <c r="AV50" s="99">
        <v>2.2134096136323729</v>
      </c>
      <c r="AW50" s="99">
        <v>624.18151104432911</v>
      </c>
      <c r="AX50" s="99">
        <v>3.8570952062751602</v>
      </c>
      <c r="AY50" s="99">
        <v>1087.7008481695952</v>
      </c>
      <c r="AZ50" s="99">
        <v>5</v>
      </c>
      <c r="BA50" s="99">
        <v>1410</v>
      </c>
      <c r="BB50" s="99">
        <v>3.8094529055426456</v>
      </c>
      <c r="BC50" s="99">
        <v>1074.2657193630262</v>
      </c>
      <c r="BD50" s="99">
        <v>3.0064806351912932</v>
      </c>
      <c r="BE50" s="99">
        <v>847.82753912394469</v>
      </c>
      <c r="BF50" s="99">
        <v>6.3368926806584955</v>
      </c>
      <c r="BG50" s="99">
        <v>1787.0037359456958</v>
      </c>
      <c r="BH50" s="99">
        <v>1.1429468947090897</v>
      </c>
      <c r="BI50" s="99">
        <v>322.31102430796329</v>
      </c>
      <c r="BJ50" s="99">
        <v>1.6218046910488484</v>
      </c>
      <c r="BK50" s="99">
        <v>457.34892287577526</v>
      </c>
      <c r="BL50" s="99">
        <v>7</v>
      </c>
      <c r="BM50" s="99">
        <v>1974</v>
      </c>
      <c r="BN50" s="99">
        <v>4</v>
      </c>
      <c r="BO50" s="99">
        <v>1128</v>
      </c>
      <c r="BP50" s="99">
        <v>3.6529731154488836</v>
      </c>
      <c r="BQ50" s="99">
        <v>1030.1384185565851</v>
      </c>
      <c r="BR50" s="99">
        <v>4.3460787259186677</v>
      </c>
      <c r="BS50" s="99">
        <v>1225.5942007090644</v>
      </c>
      <c r="BT50" s="99">
        <v>1.8180433626773476</v>
      </c>
      <c r="BU50" s="99">
        <v>512.68822827501197</v>
      </c>
      <c r="BV50" s="99">
        <v>5.1790880409309228</v>
      </c>
      <c r="BW50" s="99">
        <v>1460.5028275425202</v>
      </c>
      <c r="BX50" s="99">
        <v>3.2700828646642801</v>
      </c>
      <c r="BY50" s="99">
        <v>922.16336783532699</v>
      </c>
      <c r="BZ50" s="99">
        <v>2.8392190678026807</v>
      </c>
      <c r="CA50" s="99">
        <v>800.65977712035601</v>
      </c>
      <c r="CB50" s="99">
        <v>4</v>
      </c>
      <c r="CC50" s="99">
        <v>1128</v>
      </c>
      <c r="CD50" s="99">
        <v>5.6321518934888513</v>
      </c>
      <c r="CE50" s="99">
        <v>1588.266833963856</v>
      </c>
      <c r="CF50" s="99">
        <v>5.6802491658175125</v>
      </c>
      <c r="CG50" s="99">
        <v>1601.8302647605385</v>
      </c>
      <c r="CH50" s="99">
        <v>3.5588312535930742</v>
      </c>
      <c r="CI50" s="99">
        <v>1003.590413513247</v>
      </c>
      <c r="CJ50" s="99">
        <v>0.93698766246790277</v>
      </c>
      <c r="CK50" s="99">
        <v>264.23052081594858</v>
      </c>
      <c r="CL50" s="99">
        <v>3.7292356966748779</v>
      </c>
      <c r="CM50" s="99">
        <v>1051.6444664623154</v>
      </c>
      <c r="CN50" s="99">
        <v>6</v>
      </c>
      <c r="CO50" s="99">
        <v>1692</v>
      </c>
      <c r="CP50" s="99">
        <v>4.6983538787711057</v>
      </c>
      <c r="CQ50" s="99">
        <v>1324.9357938134517</v>
      </c>
      <c r="CR50" s="99">
        <v>4.9952431472336611</v>
      </c>
      <c r="CS50" s="99">
        <v>1408.6585675198924</v>
      </c>
      <c r="CT50" s="99">
        <v>3.7416389196128219</v>
      </c>
      <c r="CU50" s="99">
        <v>1055.1421753308157</v>
      </c>
    </row>
    <row r="51" spans="2:99">
      <c r="C51" s="98" t="s">
        <v>217</v>
      </c>
      <c r="D51" s="99">
        <v>5</v>
      </c>
      <c r="E51" s="99">
        <v>4272</v>
      </c>
      <c r="F51" s="99">
        <v>5</v>
      </c>
      <c r="G51" s="99">
        <v>4272</v>
      </c>
      <c r="H51" s="99">
        <v>5</v>
      </c>
      <c r="I51" s="99">
        <v>4272</v>
      </c>
      <c r="J51" s="99">
        <v>4</v>
      </c>
      <c r="K51" s="99">
        <v>3417.6</v>
      </c>
      <c r="L51" s="99">
        <v>5.2869397677816767</v>
      </c>
      <c r="M51" s="99">
        <v>4517.1613375926645</v>
      </c>
      <c r="N51" s="99">
        <v>4</v>
      </c>
      <c r="O51" s="99">
        <v>3417.6</v>
      </c>
      <c r="P51" s="99">
        <v>5</v>
      </c>
      <c r="Q51" s="99">
        <v>4272</v>
      </c>
      <c r="R51" s="99">
        <v>5</v>
      </c>
      <c r="S51" s="99">
        <v>4272</v>
      </c>
      <c r="T51" s="99">
        <v>7</v>
      </c>
      <c r="U51" s="99">
        <v>5980.8</v>
      </c>
      <c r="V51" s="99">
        <v>5</v>
      </c>
      <c r="W51" s="99">
        <v>4272</v>
      </c>
      <c r="X51" s="99">
        <v>6</v>
      </c>
      <c r="Y51" s="99">
        <v>5126.3999999999996</v>
      </c>
      <c r="Z51" s="99">
        <v>5</v>
      </c>
      <c r="AA51" s="99">
        <v>4272</v>
      </c>
      <c r="AB51" s="99">
        <v>5</v>
      </c>
      <c r="AC51" s="99">
        <v>4272</v>
      </c>
      <c r="AD51" s="99">
        <v>3.508771830635514</v>
      </c>
      <c r="AE51" s="99">
        <v>2997.894652094983</v>
      </c>
      <c r="AF51" s="99">
        <v>2.7810408322745035</v>
      </c>
      <c r="AG51" s="99">
        <v>2376.1212870953359</v>
      </c>
      <c r="AH51" s="99">
        <v>3.1182502732864674</v>
      </c>
      <c r="AI51" s="99">
        <v>2664.2330334959579</v>
      </c>
      <c r="AJ51" s="99">
        <v>3.4090487934250158</v>
      </c>
      <c r="AK51" s="99">
        <v>2912.6912891023335</v>
      </c>
      <c r="AL51" s="99">
        <v>6</v>
      </c>
      <c r="AM51" s="99">
        <v>5126.3999999999996</v>
      </c>
      <c r="AN51" s="99">
        <v>5</v>
      </c>
      <c r="AO51" s="99">
        <v>4272</v>
      </c>
      <c r="AP51" s="99">
        <v>7</v>
      </c>
      <c r="AQ51" s="99">
        <v>5980.8</v>
      </c>
      <c r="AR51" s="99">
        <v>5.9694297843882262</v>
      </c>
      <c r="AS51" s="99">
        <v>5100.2808077813006</v>
      </c>
      <c r="AT51" s="99">
        <v>2.5368776957137111</v>
      </c>
      <c r="AU51" s="99">
        <v>2167.5083032177949</v>
      </c>
      <c r="AV51" s="99">
        <v>1.6835190659931534</v>
      </c>
      <c r="AW51" s="99">
        <v>1438.3986899845502</v>
      </c>
      <c r="AX51" s="99">
        <v>3.8570952062751602</v>
      </c>
      <c r="AY51" s="99">
        <v>3295.5021442414968</v>
      </c>
      <c r="AZ51" s="99">
        <v>4</v>
      </c>
      <c r="BA51" s="99">
        <v>3417.6</v>
      </c>
      <c r="BB51" s="99">
        <v>3.8094529055426456</v>
      </c>
      <c r="BC51" s="99">
        <v>3254.7965624956364</v>
      </c>
      <c r="BD51" s="99">
        <v>3.0064806351912932</v>
      </c>
      <c r="BE51" s="99">
        <v>2568.7370547074406</v>
      </c>
      <c r="BF51" s="99">
        <v>7.2994601605853298</v>
      </c>
      <c r="BG51" s="99">
        <v>6236.6587612041058</v>
      </c>
      <c r="BH51" s="99">
        <v>1.4797388504056579</v>
      </c>
      <c r="BI51" s="99">
        <v>1264.288873786594</v>
      </c>
      <c r="BJ51" s="99">
        <v>1.9461656292586178</v>
      </c>
      <c r="BK51" s="99">
        <v>1662.803913638563</v>
      </c>
      <c r="BL51" s="99">
        <v>7</v>
      </c>
      <c r="BM51" s="99">
        <v>5980.8</v>
      </c>
      <c r="BN51" s="99">
        <v>4</v>
      </c>
      <c r="BO51" s="99">
        <v>3417.6</v>
      </c>
      <c r="BP51" s="99">
        <v>3.6529731154488836</v>
      </c>
      <c r="BQ51" s="99">
        <v>3121.100229839526</v>
      </c>
      <c r="BR51" s="99">
        <v>4.3460787259186677</v>
      </c>
      <c r="BS51" s="99">
        <v>3713.2896634249096</v>
      </c>
      <c r="BT51" s="99">
        <v>1.8159986514675952</v>
      </c>
      <c r="BU51" s="99">
        <v>1551.5892478139133</v>
      </c>
      <c r="BV51" s="99">
        <v>4.3688658144307473</v>
      </c>
      <c r="BW51" s="99">
        <v>3732.7589518496302</v>
      </c>
      <c r="BX51" s="99">
        <v>3.0231342819180447</v>
      </c>
      <c r="BY51" s="99">
        <v>2582.9659304707775</v>
      </c>
      <c r="BZ51" s="99">
        <v>2.8392190678026807</v>
      </c>
      <c r="CA51" s="99">
        <v>2425.8287715306105</v>
      </c>
      <c r="CB51" s="99">
        <v>4</v>
      </c>
      <c r="CC51" s="99">
        <v>3417.6</v>
      </c>
      <c r="CD51" s="99">
        <v>6.570843875736994</v>
      </c>
      <c r="CE51" s="99">
        <v>5614.1290074296876</v>
      </c>
      <c r="CF51" s="99">
        <v>5.6301300074606893</v>
      </c>
      <c r="CG51" s="99">
        <v>4810.3830783744124</v>
      </c>
      <c r="CH51" s="99">
        <v>3.5588312535930742</v>
      </c>
      <c r="CI51" s="99">
        <v>3040.6654230699223</v>
      </c>
      <c r="CJ51" s="99">
        <v>0.93236791937464558</v>
      </c>
      <c r="CK51" s="99">
        <v>796.6151503136972</v>
      </c>
      <c r="CL51" s="99">
        <v>3.7292356966748779</v>
      </c>
      <c r="CM51" s="99">
        <v>3186.2589792390154</v>
      </c>
      <c r="CN51" s="99">
        <v>6</v>
      </c>
      <c r="CO51" s="99">
        <v>5126.3999999999996</v>
      </c>
      <c r="CP51" s="99">
        <v>3.9152948989759211</v>
      </c>
      <c r="CQ51" s="99">
        <v>3345.2279616850269</v>
      </c>
      <c r="CR51" s="99">
        <v>4.9952431472336611</v>
      </c>
      <c r="CS51" s="99">
        <v>4267.93574499644</v>
      </c>
      <c r="CT51" s="99">
        <v>3.7416389196128219</v>
      </c>
      <c r="CU51" s="99">
        <v>3196.8562929171949</v>
      </c>
    </row>
    <row r="52" spans="2:99">
      <c r="C52" s="98" t="s">
        <v>218</v>
      </c>
      <c r="D52" s="99">
        <v>6</v>
      </c>
      <c r="E52" s="99">
        <v>3240</v>
      </c>
      <c r="F52" s="99">
        <v>5</v>
      </c>
      <c r="G52" s="99">
        <v>2700</v>
      </c>
      <c r="H52" s="99">
        <v>5</v>
      </c>
      <c r="I52" s="99">
        <v>2700</v>
      </c>
      <c r="J52" s="99">
        <v>4</v>
      </c>
      <c r="K52" s="99">
        <v>2160</v>
      </c>
      <c r="L52" s="99">
        <v>5.2869397677816767</v>
      </c>
      <c r="M52" s="99">
        <v>2854.9474746021056</v>
      </c>
      <c r="N52" s="99">
        <v>5</v>
      </c>
      <c r="O52" s="99">
        <v>2700</v>
      </c>
      <c r="P52" s="99">
        <v>5</v>
      </c>
      <c r="Q52" s="99">
        <v>2700</v>
      </c>
      <c r="R52" s="99">
        <v>5</v>
      </c>
      <c r="S52" s="99">
        <v>2700</v>
      </c>
      <c r="T52" s="99">
        <v>7</v>
      </c>
      <c r="U52" s="99">
        <v>3780</v>
      </c>
      <c r="V52" s="99">
        <v>6</v>
      </c>
      <c r="W52" s="99">
        <v>3240</v>
      </c>
      <c r="X52" s="99">
        <v>6</v>
      </c>
      <c r="Y52" s="99">
        <v>3240</v>
      </c>
      <c r="Z52" s="99">
        <v>5</v>
      </c>
      <c r="AA52" s="99">
        <v>2700</v>
      </c>
      <c r="AB52" s="99">
        <v>5</v>
      </c>
      <c r="AC52" s="99">
        <v>2700</v>
      </c>
      <c r="AD52" s="99">
        <v>4.3689660987737824</v>
      </c>
      <c r="AE52" s="99">
        <v>2359.2416933378427</v>
      </c>
      <c r="AF52" s="99">
        <v>2.7810408322745035</v>
      </c>
      <c r="AG52" s="99">
        <v>1501.7620494282319</v>
      </c>
      <c r="AH52" s="99">
        <v>3.8922668393028377</v>
      </c>
      <c r="AI52" s="99">
        <v>2101.8240932235321</v>
      </c>
      <c r="AJ52" s="99">
        <v>3.4090487934250158</v>
      </c>
      <c r="AK52" s="99">
        <v>1840.8863484495084</v>
      </c>
      <c r="AL52" s="99">
        <v>7</v>
      </c>
      <c r="AM52" s="99">
        <v>3780</v>
      </c>
      <c r="AN52" s="99">
        <v>6</v>
      </c>
      <c r="AO52" s="99">
        <v>3240</v>
      </c>
      <c r="AP52" s="99">
        <v>7</v>
      </c>
      <c r="AQ52" s="99">
        <v>3780</v>
      </c>
      <c r="AR52" s="99">
        <v>5.9694297843882262</v>
      </c>
      <c r="AS52" s="99">
        <v>3223.4920835696421</v>
      </c>
      <c r="AT52" s="99">
        <v>2.2062694502924343</v>
      </c>
      <c r="AU52" s="99">
        <v>1191.3855031579144</v>
      </c>
      <c r="AV52" s="99">
        <v>2.1899477578634996</v>
      </c>
      <c r="AW52" s="99">
        <v>1182.5717892462899</v>
      </c>
      <c r="AX52" s="99">
        <v>3.8570952062751602</v>
      </c>
      <c r="AY52" s="99">
        <v>2082.8314113885867</v>
      </c>
      <c r="AZ52" s="99">
        <v>4</v>
      </c>
      <c r="BA52" s="99">
        <v>2160</v>
      </c>
      <c r="BB52" s="99">
        <v>3.7745194068675776</v>
      </c>
      <c r="BC52" s="99">
        <v>2038.2404797084919</v>
      </c>
      <c r="BD52" s="99">
        <v>3.5075607410565088</v>
      </c>
      <c r="BE52" s="99">
        <v>1894.0828001705147</v>
      </c>
      <c r="BF52" s="99">
        <v>7.2994601605853298</v>
      </c>
      <c r="BG52" s="99">
        <v>3941.7084867160779</v>
      </c>
      <c r="BH52" s="99">
        <v>1.1282167805291579</v>
      </c>
      <c r="BI52" s="99">
        <v>609.23706148574524</v>
      </c>
      <c r="BJ52" s="99">
        <v>1.9461656292586178</v>
      </c>
      <c r="BK52" s="99">
        <v>1050.9294397996537</v>
      </c>
      <c r="BL52" s="99">
        <v>7</v>
      </c>
      <c r="BM52" s="99">
        <v>3780</v>
      </c>
      <c r="BN52" s="99">
        <v>4</v>
      </c>
      <c r="BO52" s="99">
        <v>2160</v>
      </c>
      <c r="BP52" s="99">
        <v>3.6529731154488836</v>
      </c>
      <c r="BQ52" s="99">
        <v>1972.6054823423972</v>
      </c>
      <c r="BR52" s="99">
        <v>4.3352592076172805</v>
      </c>
      <c r="BS52" s="99">
        <v>2341.0399721133313</v>
      </c>
      <c r="BT52" s="99">
        <v>1.8180433626773476</v>
      </c>
      <c r="BU52" s="99">
        <v>981.74341584576769</v>
      </c>
      <c r="BV52" s="99">
        <v>4.3370903462377601</v>
      </c>
      <c r="BW52" s="99">
        <v>2342.0287869683902</v>
      </c>
      <c r="BX52" s="99">
        <v>3.0231342819180447</v>
      </c>
      <c r="BY52" s="99">
        <v>1632.492512235744</v>
      </c>
      <c r="BZ52" s="99">
        <v>2.8392190678026807</v>
      </c>
      <c r="CA52" s="99">
        <v>1533.1782966134476</v>
      </c>
      <c r="CB52" s="99">
        <v>4</v>
      </c>
      <c r="CC52" s="99">
        <v>2160</v>
      </c>
      <c r="CD52" s="99">
        <v>5.6321518934888513</v>
      </c>
      <c r="CE52" s="99">
        <v>3041.3620224839797</v>
      </c>
      <c r="CF52" s="99">
        <v>5.6551895866391009</v>
      </c>
      <c r="CG52" s="99">
        <v>3053.8023767851146</v>
      </c>
      <c r="CH52" s="99">
        <v>3.5588312535930742</v>
      </c>
      <c r="CI52" s="99">
        <v>1921.76887694026</v>
      </c>
      <c r="CJ52" s="99">
        <v>1.0816029151460769</v>
      </c>
      <c r="CK52" s="99">
        <v>584.06557417888155</v>
      </c>
      <c r="CL52" s="99">
        <v>4.350774979454024</v>
      </c>
      <c r="CM52" s="99">
        <v>2349.418488905173</v>
      </c>
      <c r="CN52" s="99">
        <v>6</v>
      </c>
      <c r="CO52" s="99">
        <v>3240</v>
      </c>
      <c r="CP52" s="99">
        <v>4.6983538787711057</v>
      </c>
      <c r="CQ52" s="99">
        <v>2537.1110945363971</v>
      </c>
      <c r="CR52" s="99">
        <v>4.9952431472336611</v>
      </c>
      <c r="CS52" s="99">
        <v>2697.4312995061769</v>
      </c>
      <c r="CT52" s="99">
        <v>3.7416389196128219</v>
      </c>
      <c r="CU52" s="99">
        <v>2020.4850165909238</v>
      </c>
    </row>
    <row r="53" spans="2:99">
      <c r="C53" s="98" t="s">
        <v>219</v>
      </c>
      <c r="D53" s="99">
        <v>6</v>
      </c>
      <c r="E53" s="99">
        <v>2440.8000000000002</v>
      </c>
      <c r="F53" s="99">
        <v>5</v>
      </c>
      <c r="G53" s="99">
        <v>2034</v>
      </c>
      <c r="H53" s="99">
        <v>5</v>
      </c>
      <c r="I53" s="99">
        <v>2034</v>
      </c>
      <c r="J53" s="99">
        <v>4</v>
      </c>
      <c r="K53" s="99">
        <v>1627.2</v>
      </c>
      <c r="L53" s="99">
        <v>5.2869397677816767</v>
      </c>
      <c r="M53" s="99">
        <v>2150.7270975335859</v>
      </c>
      <c r="N53" s="99">
        <v>5</v>
      </c>
      <c r="O53" s="99">
        <v>2034</v>
      </c>
      <c r="P53" s="99">
        <v>5</v>
      </c>
      <c r="Q53" s="99">
        <v>2034</v>
      </c>
      <c r="R53" s="99">
        <v>5</v>
      </c>
      <c r="S53" s="99">
        <v>2034</v>
      </c>
      <c r="T53" s="99">
        <v>6</v>
      </c>
      <c r="U53" s="99">
        <v>2440.8000000000002</v>
      </c>
      <c r="V53" s="99">
        <v>6</v>
      </c>
      <c r="W53" s="99">
        <v>2440.8000000000002</v>
      </c>
      <c r="X53" s="99">
        <v>6</v>
      </c>
      <c r="Y53" s="99">
        <v>2440.8000000000002</v>
      </c>
      <c r="Z53" s="99">
        <v>5</v>
      </c>
      <c r="AA53" s="99">
        <v>2034</v>
      </c>
      <c r="AB53" s="99">
        <v>5</v>
      </c>
      <c r="AC53" s="99">
        <v>2034</v>
      </c>
      <c r="AD53" s="99">
        <v>4.3519674092531719</v>
      </c>
      <c r="AE53" s="99">
        <v>1770.3803420841905</v>
      </c>
      <c r="AF53" s="99">
        <v>3.2087228502422525</v>
      </c>
      <c r="AG53" s="99">
        <v>1305.3084554785482</v>
      </c>
      <c r="AH53" s="99">
        <v>3.8878300374586399</v>
      </c>
      <c r="AI53" s="99">
        <v>1581.5692592381747</v>
      </c>
      <c r="AJ53" s="99">
        <v>3.4090487934250158</v>
      </c>
      <c r="AK53" s="99">
        <v>1386.8010491652965</v>
      </c>
      <c r="AL53" s="99">
        <v>6</v>
      </c>
      <c r="AM53" s="99">
        <v>2440.8000000000002</v>
      </c>
      <c r="AN53" s="99">
        <v>6</v>
      </c>
      <c r="AO53" s="99">
        <v>2440.8000000000002</v>
      </c>
      <c r="AP53" s="99">
        <v>6</v>
      </c>
      <c r="AQ53" s="99">
        <v>2440.8000000000002</v>
      </c>
      <c r="AR53" s="99">
        <v>5.9694297843882262</v>
      </c>
      <c r="AS53" s="99">
        <v>2428.3640362891306</v>
      </c>
      <c r="AT53" s="99">
        <v>2.2062694502924343</v>
      </c>
      <c r="AU53" s="99">
        <v>897.51041237896231</v>
      </c>
      <c r="AV53" s="99">
        <v>1.6717881381087165</v>
      </c>
      <c r="AW53" s="99">
        <v>680.08341458262589</v>
      </c>
      <c r="AX53" s="99">
        <v>3.8570952062751602</v>
      </c>
      <c r="AY53" s="99">
        <v>1569.0663299127352</v>
      </c>
      <c r="AZ53" s="99">
        <v>5</v>
      </c>
      <c r="BA53" s="99">
        <v>2034</v>
      </c>
      <c r="BB53" s="99">
        <v>3.8094529055426456</v>
      </c>
      <c r="BC53" s="99">
        <v>1549.6854419747483</v>
      </c>
      <c r="BD53" s="99">
        <v>3.0064806351912932</v>
      </c>
      <c r="BE53" s="99">
        <v>1223.0363223958182</v>
      </c>
      <c r="BF53" s="99">
        <v>7.2994601605853298</v>
      </c>
      <c r="BG53" s="99">
        <v>2969.4203933261124</v>
      </c>
      <c r="BH53" s="99">
        <v>1.1429468947090897</v>
      </c>
      <c r="BI53" s="99">
        <v>464.95079676765772</v>
      </c>
      <c r="BJ53" s="99">
        <v>1.9461656292586178</v>
      </c>
      <c r="BK53" s="99">
        <v>791.70017798240576</v>
      </c>
      <c r="BL53" s="99">
        <v>7</v>
      </c>
      <c r="BM53" s="99">
        <v>2847.6</v>
      </c>
      <c r="BN53" s="99">
        <v>4</v>
      </c>
      <c r="BO53" s="99">
        <v>1627.2</v>
      </c>
      <c r="BP53" s="99">
        <v>3.6529731154488836</v>
      </c>
      <c r="BQ53" s="99">
        <v>1486.0294633646058</v>
      </c>
      <c r="BR53" s="99">
        <v>4.3352592076172805</v>
      </c>
      <c r="BS53" s="99">
        <v>1763.5834456587097</v>
      </c>
      <c r="BT53" s="99">
        <v>2.115257241362607</v>
      </c>
      <c r="BU53" s="99">
        <v>860.48664578630849</v>
      </c>
      <c r="BV53" s="99">
        <v>4.3370903462377601</v>
      </c>
      <c r="BW53" s="99">
        <v>1764.3283528495208</v>
      </c>
      <c r="BX53" s="99">
        <v>3.778917852397556</v>
      </c>
      <c r="BY53" s="99">
        <v>1537.2637823553257</v>
      </c>
      <c r="BZ53" s="99">
        <v>2.8392190678026807</v>
      </c>
      <c r="CA53" s="99">
        <v>1154.9943167821305</v>
      </c>
      <c r="CB53" s="99">
        <v>4</v>
      </c>
      <c r="CC53" s="99">
        <v>1627.2</v>
      </c>
      <c r="CD53" s="99">
        <v>6.570843875736994</v>
      </c>
      <c r="CE53" s="99">
        <v>2673.0192886498094</v>
      </c>
      <c r="CF53" s="99">
        <v>4.8616251195068934</v>
      </c>
      <c r="CG53" s="99">
        <v>1977.7090986154042</v>
      </c>
      <c r="CH53" s="99">
        <v>3.5588312535930742</v>
      </c>
      <c r="CI53" s="99">
        <v>1447.7325539616627</v>
      </c>
      <c r="CJ53" s="99">
        <v>0.93236791937464558</v>
      </c>
      <c r="CK53" s="99">
        <v>379.28726960160583</v>
      </c>
      <c r="CL53" s="99">
        <v>3.1076964138957321</v>
      </c>
      <c r="CM53" s="99">
        <v>1264.2109011727839</v>
      </c>
      <c r="CN53" s="99">
        <v>6</v>
      </c>
      <c r="CO53" s="99">
        <v>2440.8000000000002</v>
      </c>
      <c r="CP53" s="99">
        <v>4.6983538787711057</v>
      </c>
      <c r="CQ53" s="99">
        <v>1911.2903578840858</v>
      </c>
      <c r="CR53" s="99">
        <v>5.8277836717726048</v>
      </c>
      <c r="CS53" s="99">
        <v>2370.7423976770956</v>
      </c>
      <c r="CT53" s="99">
        <v>3.7416389196128219</v>
      </c>
      <c r="CU53" s="99">
        <v>1522.0987124984961</v>
      </c>
    </row>
    <row r="54" spans="2:99">
      <c r="C54" s="98" t="s">
        <v>220</v>
      </c>
      <c r="D54" s="99">
        <v>6</v>
      </c>
      <c r="E54" s="99">
        <v>2008.8000000000002</v>
      </c>
      <c r="F54" s="99">
        <v>6</v>
      </c>
      <c r="G54" s="99">
        <v>2008.8000000000002</v>
      </c>
      <c r="H54" s="99">
        <v>5</v>
      </c>
      <c r="I54" s="99">
        <v>1674</v>
      </c>
      <c r="J54" s="99">
        <v>4</v>
      </c>
      <c r="K54" s="99">
        <v>1339.2</v>
      </c>
      <c r="L54" s="99">
        <v>5.2869397677816767</v>
      </c>
      <c r="M54" s="99">
        <v>1770.0674342533055</v>
      </c>
      <c r="N54" s="99">
        <v>5</v>
      </c>
      <c r="O54" s="99">
        <v>1674</v>
      </c>
      <c r="P54" s="99">
        <v>5</v>
      </c>
      <c r="Q54" s="99">
        <v>1674</v>
      </c>
      <c r="R54" s="99">
        <v>5</v>
      </c>
      <c r="S54" s="99">
        <v>1674</v>
      </c>
      <c r="T54" s="99">
        <v>6</v>
      </c>
      <c r="U54" s="99">
        <v>2008.8000000000002</v>
      </c>
      <c r="V54" s="99">
        <v>5</v>
      </c>
      <c r="W54" s="99">
        <v>1674</v>
      </c>
      <c r="X54" s="99">
        <v>6</v>
      </c>
      <c r="Y54" s="99">
        <v>2008.8000000000002</v>
      </c>
      <c r="Z54" s="99">
        <v>5</v>
      </c>
      <c r="AA54" s="99">
        <v>1674</v>
      </c>
      <c r="AB54" s="99">
        <v>5</v>
      </c>
      <c r="AC54" s="99">
        <v>1674</v>
      </c>
      <c r="AD54" s="99">
        <v>4.3689660987737824</v>
      </c>
      <c r="AE54" s="99">
        <v>1462.7298498694624</v>
      </c>
      <c r="AF54" s="99">
        <v>3.2087228502422525</v>
      </c>
      <c r="AG54" s="99">
        <v>1074.2804102611062</v>
      </c>
      <c r="AH54" s="99">
        <v>3.1182502732864674</v>
      </c>
      <c r="AI54" s="99">
        <v>1043.9901914963093</v>
      </c>
      <c r="AJ54" s="99">
        <v>3.4090487934250158</v>
      </c>
      <c r="AK54" s="99">
        <v>1141.3495360386953</v>
      </c>
      <c r="AL54" s="99">
        <v>6</v>
      </c>
      <c r="AM54" s="99">
        <v>2008.8000000000002</v>
      </c>
      <c r="AN54" s="99">
        <v>5</v>
      </c>
      <c r="AO54" s="99">
        <v>1674</v>
      </c>
      <c r="AP54" s="99">
        <v>7</v>
      </c>
      <c r="AQ54" s="99">
        <v>2343.6</v>
      </c>
      <c r="AR54" s="99">
        <v>5.9840625376471888</v>
      </c>
      <c r="AS54" s="99">
        <v>2003.4641376042789</v>
      </c>
      <c r="AT54" s="99">
        <v>2.2062694502924343</v>
      </c>
      <c r="AU54" s="99">
        <v>738.65901195790707</v>
      </c>
      <c r="AV54" s="99">
        <v>2.2016786857479365</v>
      </c>
      <c r="AW54" s="99">
        <v>737.12202398840918</v>
      </c>
      <c r="AX54" s="99">
        <v>3.8570952062751602</v>
      </c>
      <c r="AY54" s="99">
        <v>1291.3554750609237</v>
      </c>
      <c r="AZ54" s="99">
        <v>5</v>
      </c>
      <c r="BA54" s="99">
        <v>1674</v>
      </c>
      <c r="BB54" s="99">
        <v>3.7745194068675776</v>
      </c>
      <c r="BC54" s="99">
        <v>1263.7090974192649</v>
      </c>
      <c r="BD54" s="99">
        <v>3.0064806351912932</v>
      </c>
      <c r="BE54" s="99">
        <v>1006.569716662045</v>
      </c>
      <c r="BF54" s="99">
        <v>6.2620276405121631</v>
      </c>
      <c r="BG54" s="99">
        <v>2096.5268540434722</v>
      </c>
      <c r="BH54" s="99">
        <v>1.4797388504056579</v>
      </c>
      <c r="BI54" s="99">
        <v>495.4165671158143</v>
      </c>
      <c r="BJ54" s="99">
        <v>1.9461656292586178</v>
      </c>
      <c r="BK54" s="99">
        <v>651.57625267578521</v>
      </c>
      <c r="BL54" s="99">
        <v>7</v>
      </c>
      <c r="BM54" s="99">
        <v>2343.6</v>
      </c>
      <c r="BN54" s="99">
        <v>3</v>
      </c>
      <c r="BO54" s="99">
        <v>1004.4000000000001</v>
      </c>
      <c r="BP54" s="99">
        <v>3.6529731154488836</v>
      </c>
      <c r="BQ54" s="99">
        <v>1223.0153990522863</v>
      </c>
      <c r="BR54" s="99">
        <v>4.3460787259186677</v>
      </c>
      <c r="BS54" s="99">
        <v>1455.0671574375699</v>
      </c>
      <c r="BT54" s="99">
        <v>1.8180433626773476</v>
      </c>
      <c r="BU54" s="99">
        <v>608.68091782437602</v>
      </c>
      <c r="BV54" s="99">
        <v>4.3370903462377601</v>
      </c>
      <c r="BW54" s="99">
        <v>1452.0578479204021</v>
      </c>
      <c r="BX54" s="99">
        <v>3.0231342819180447</v>
      </c>
      <c r="BY54" s="99">
        <v>1012.1453575861614</v>
      </c>
      <c r="BZ54" s="99">
        <v>2.8392190678026807</v>
      </c>
      <c r="CA54" s="99">
        <v>950.5705439003375</v>
      </c>
      <c r="CB54" s="99">
        <v>5</v>
      </c>
      <c r="CC54" s="99">
        <v>1674</v>
      </c>
      <c r="CD54" s="99">
        <v>6.570843875736994</v>
      </c>
      <c r="CE54" s="99">
        <v>2199.9185295967459</v>
      </c>
      <c r="CF54" s="99">
        <v>5.6301300074606893</v>
      </c>
      <c r="CG54" s="99">
        <v>1884.9675264978389</v>
      </c>
      <c r="CH54" s="99">
        <v>3.5588312535930742</v>
      </c>
      <c r="CI54" s="99">
        <v>1191.4967037029612</v>
      </c>
      <c r="CJ54" s="99">
        <v>1.0816029151460769</v>
      </c>
      <c r="CK54" s="99">
        <v>362.12065599090653</v>
      </c>
      <c r="CL54" s="99">
        <v>3.7292356966748779</v>
      </c>
      <c r="CM54" s="99">
        <v>1248.5481112467492</v>
      </c>
      <c r="CN54" s="99">
        <v>6</v>
      </c>
      <c r="CO54" s="99">
        <v>2008.8000000000002</v>
      </c>
      <c r="CP54" s="99">
        <v>4.6983538787711057</v>
      </c>
      <c r="CQ54" s="99">
        <v>1573.0088786125661</v>
      </c>
      <c r="CR54" s="99">
        <v>5.8277836717726048</v>
      </c>
      <c r="CS54" s="99">
        <v>1951.1419733094681</v>
      </c>
      <c r="CT54" s="99">
        <v>3.7416389196128219</v>
      </c>
      <c r="CU54" s="99">
        <v>1252.7007102863729</v>
      </c>
    </row>
    <row r="55" spans="2:99">
      <c r="C55" s="98" t="s">
        <v>221</v>
      </c>
      <c r="D55" s="99">
        <v>5</v>
      </c>
      <c r="E55" s="99">
        <v>3318</v>
      </c>
      <c r="F55" s="99">
        <v>5</v>
      </c>
      <c r="G55" s="99">
        <v>3318</v>
      </c>
      <c r="H55" s="99">
        <v>5</v>
      </c>
      <c r="I55" s="99">
        <v>3318</v>
      </c>
      <c r="J55" s="99">
        <v>4</v>
      </c>
      <c r="K55" s="99">
        <v>2654.4</v>
      </c>
      <c r="L55" s="99">
        <v>5.2869397677816767</v>
      </c>
      <c r="M55" s="99">
        <v>3508.4132298999207</v>
      </c>
      <c r="N55" s="99">
        <v>5</v>
      </c>
      <c r="O55" s="99">
        <v>3318</v>
      </c>
      <c r="P55" s="99">
        <v>5</v>
      </c>
      <c r="Q55" s="99">
        <v>3318</v>
      </c>
      <c r="R55" s="99">
        <v>5</v>
      </c>
      <c r="S55" s="99">
        <v>3318</v>
      </c>
      <c r="T55" s="99">
        <v>7</v>
      </c>
      <c r="U55" s="99">
        <v>4645.2</v>
      </c>
      <c r="V55" s="99">
        <v>6</v>
      </c>
      <c r="W55" s="99">
        <v>3981.6000000000004</v>
      </c>
      <c r="X55" s="99">
        <v>6</v>
      </c>
      <c r="Y55" s="99">
        <v>3981.6000000000004</v>
      </c>
      <c r="Z55" s="99">
        <v>6</v>
      </c>
      <c r="AA55" s="99">
        <v>3981.6000000000004</v>
      </c>
      <c r="AB55" s="99">
        <v>5</v>
      </c>
      <c r="AC55" s="99">
        <v>3318</v>
      </c>
      <c r="AD55" s="99">
        <v>4.3519674092531719</v>
      </c>
      <c r="AE55" s="99">
        <v>2887.9655727804052</v>
      </c>
      <c r="AF55" s="99">
        <v>3.2087228502422525</v>
      </c>
      <c r="AG55" s="99">
        <v>2129.3084834207589</v>
      </c>
      <c r="AH55" s="99">
        <v>3.8878300374586399</v>
      </c>
      <c r="AI55" s="99">
        <v>2579.9640128575534</v>
      </c>
      <c r="AJ55" s="99">
        <v>3.4090487934250158</v>
      </c>
      <c r="AK55" s="99">
        <v>2262.2447793168403</v>
      </c>
      <c r="AL55" s="99">
        <v>6</v>
      </c>
      <c r="AM55" s="99">
        <v>3981.6000000000004</v>
      </c>
      <c r="AN55" s="99">
        <v>6</v>
      </c>
      <c r="AO55" s="99">
        <v>3981.6000000000004</v>
      </c>
      <c r="AP55" s="99">
        <v>6</v>
      </c>
      <c r="AQ55" s="99">
        <v>3981.6000000000004</v>
      </c>
      <c r="AR55" s="99">
        <v>5.1521907873902455</v>
      </c>
      <c r="AS55" s="99">
        <v>3418.9938065121669</v>
      </c>
      <c r="AT55" s="99">
        <v>2.2062694502924343</v>
      </c>
      <c r="AU55" s="99">
        <v>1464.0804072140595</v>
      </c>
      <c r="AV55" s="99">
        <v>2.2134096136323729</v>
      </c>
      <c r="AW55" s="99">
        <v>1468.8186196064428</v>
      </c>
      <c r="AX55" s="99">
        <v>3.8570952062751602</v>
      </c>
      <c r="AY55" s="99">
        <v>2559.5683788841966</v>
      </c>
      <c r="AZ55" s="99">
        <v>4</v>
      </c>
      <c r="BA55" s="99">
        <v>2654.4</v>
      </c>
      <c r="BB55" s="99">
        <v>3.8094529055426456</v>
      </c>
      <c r="BC55" s="99">
        <v>2527.9529481180998</v>
      </c>
      <c r="BD55" s="99">
        <v>3.0064806351912932</v>
      </c>
      <c r="BE55" s="99">
        <v>1995.1005495129423</v>
      </c>
      <c r="BF55" s="99">
        <v>6.2620276405121631</v>
      </c>
      <c r="BG55" s="99">
        <v>4155.4815422438714</v>
      </c>
      <c r="BH55" s="99">
        <v>1.4797388504056579</v>
      </c>
      <c r="BI55" s="99">
        <v>981.95470112919463</v>
      </c>
      <c r="BJ55" s="99">
        <v>1.6218046910488484</v>
      </c>
      <c r="BK55" s="99">
        <v>1076.2295929800159</v>
      </c>
      <c r="BL55" s="99">
        <v>7</v>
      </c>
      <c r="BM55" s="99">
        <v>4645.2</v>
      </c>
      <c r="BN55" s="99">
        <v>3</v>
      </c>
      <c r="BO55" s="99">
        <v>1990.8000000000002</v>
      </c>
      <c r="BP55" s="99">
        <v>3.6529731154488836</v>
      </c>
      <c r="BQ55" s="99">
        <v>2424.1129594118793</v>
      </c>
      <c r="BR55" s="99">
        <v>3.4898464026965978</v>
      </c>
      <c r="BS55" s="99">
        <v>2315.8620728294622</v>
      </c>
      <c r="BT55" s="99">
        <v>1.8180433626773476</v>
      </c>
      <c r="BU55" s="99">
        <v>1206.4535754726878</v>
      </c>
      <c r="BV55" s="99">
        <v>5.1790880409309228</v>
      </c>
      <c r="BW55" s="99">
        <v>3436.8428239617606</v>
      </c>
      <c r="BX55" s="99">
        <v>3.0231342819180447</v>
      </c>
      <c r="BY55" s="99">
        <v>2006.1519094808145</v>
      </c>
      <c r="BZ55" s="99">
        <v>2.8392190678026807</v>
      </c>
      <c r="CA55" s="99">
        <v>1884.105773393859</v>
      </c>
      <c r="CB55" s="99">
        <v>4</v>
      </c>
      <c r="CC55" s="99">
        <v>2654.4</v>
      </c>
      <c r="CD55" s="99">
        <v>5.6321518934888513</v>
      </c>
      <c r="CE55" s="99">
        <v>3737.495996519202</v>
      </c>
      <c r="CF55" s="99">
        <v>4.886684698685305</v>
      </c>
      <c r="CG55" s="99">
        <v>3242.8039660475683</v>
      </c>
      <c r="CH55" s="99">
        <v>2.965692711327562</v>
      </c>
      <c r="CI55" s="99">
        <v>1968.0336832369701</v>
      </c>
      <c r="CJ55" s="99">
        <v>0.93698766246790277</v>
      </c>
      <c r="CK55" s="99">
        <v>621.78501281370029</v>
      </c>
      <c r="CL55" s="99">
        <v>3.7292356966748779</v>
      </c>
      <c r="CM55" s="99">
        <v>2474.7208083134492</v>
      </c>
      <c r="CN55" s="99">
        <v>6</v>
      </c>
      <c r="CO55" s="99">
        <v>3981.6000000000004</v>
      </c>
      <c r="CP55" s="99">
        <v>4.6983538787711057</v>
      </c>
      <c r="CQ55" s="99">
        <v>3117.8276339525059</v>
      </c>
      <c r="CR55" s="99">
        <v>4.9952431472336611</v>
      </c>
      <c r="CS55" s="99">
        <v>3314.8433525042578</v>
      </c>
      <c r="CT55" s="99">
        <v>3.7416389196128219</v>
      </c>
      <c r="CU55" s="99">
        <v>2482.9515870550686</v>
      </c>
    </row>
    <row r="56" spans="2:99">
      <c r="C56" s="98" t="s">
        <v>222</v>
      </c>
      <c r="D56" s="99">
        <v>5</v>
      </c>
      <c r="E56" s="99">
        <v>4908</v>
      </c>
      <c r="F56" s="99">
        <v>5</v>
      </c>
      <c r="G56" s="99">
        <v>4908</v>
      </c>
      <c r="H56" s="99">
        <v>5</v>
      </c>
      <c r="I56" s="99">
        <v>4908</v>
      </c>
      <c r="J56" s="99">
        <v>3</v>
      </c>
      <c r="K56" s="99">
        <v>2944.7999999999997</v>
      </c>
      <c r="L56" s="99">
        <v>3.4325686662957007</v>
      </c>
      <c r="M56" s="99">
        <v>3369.4094028358595</v>
      </c>
      <c r="N56" s="99">
        <v>3.371346335400617</v>
      </c>
      <c r="O56" s="99">
        <v>3309.3135628292453</v>
      </c>
      <c r="P56" s="99">
        <v>2.8713483775879194</v>
      </c>
      <c r="Q56" s="99">
        <v>2818.5155674403013</v>
      </c>
      <c r="R56" s="99">
        <v>0.25102101584331321</v>
      </c>
      <c r="S56" s="99">
        <v>246.40222915179623</v>
      </c>
      <c r="T56" s="99">
        <v>0</v>
      </c>
      <c r="U56" s="99">
        <v>0</v>
      </c>
      <c r="V56" s="99">
        <v>0</v>
      </c>
      <c r="W56" s="99">
        <v>0</v>
      </c>
      <c r="X56" s="99">
        <v>0</v>
      </c>
      <c r="Y56" s="99">
        <v>0</v>
      </c>
      <c r="Z56" s="99">
        <v>2.8689753866133505</v>
      </c>
      <c r="AA56" s="99">
        <v>2816.1862394996647</v>
      </c>
      <c r="AB56" s="99">
        <v>2.2941744870420213</v>
      </c>
      <c r="AC56" s="99">
        <v>2251.9616764804477</v>
      </c>
      <c r="AD56" s="99">
        <v>2.9522757265731596</v>
      </c>
      <c r="AE56" s="99">
        <v>2897.9538532042134</v>
      </c>
      <c r="AF56" s="99">
        <v>2.1689465920026327</v>
      </c>
      <c r="AG56" s="99">
        <v>2129.0379747097841</v>
      </c>
      <c r="AH56" s="99">
        <v>4.1939900232199321</v>
      </c>
      <c r="AI56" s="99">
        <v>4116.8206067926849</v>
      </c>
      <c r="AJ56" s="99">
        <v>1.3256872847962173</v>
      </c>
      <c r="AK56" s="99">
        <v>1301.2946387559668</v>
      </c>
      <c r="AL56" s="99">
        <v>5.0709152098931911</v>
      </c>
      <c r="AM56" s="99">
        <v>4977.610370031156</v>
      </c>
      <c r="AN56" s="99">
        <v>4.3318069208373489</v>
      </c>
      <c r="AO56" s="99">
        <v>4252.1016734939412</v>
      </c>
      <c r="AP56" s="99">
        <v>3.3165535512686262</v>
      </c>
      <c r="AQ56" s="99">
        <v>3255.528965925283</v>
      </c>
      <c r="AR56" s="99">
        <v>1.5981711730545716</v>
      </c>
      <c r="AS56" s="99">
        <v>1568.7648234703672</v>
      </c>
      <c r="AT56" s="99">
        <v>3.6577093317262359</v>
      </c>
      <c r="AU56" s="99">
        <v>3590.407480022473</v>
      </c>
      <c r="AV56" s="99">
        <v>2.5410460124124659</v>
      </c>
      <c r="AW56" s="99">
        <v>2494.2907657840765</v>
      </c>
      <c r="AX56" s="99">
        <v>4.7028054676309043</v>
      </c>
      <c r="AY56" s="99">
        <v>4616.2738470264949</v>
      </c>
      <c r="AZ56" s="99">
        <v>2.5728773554144322</v>
      </c>
      <c r="BA56" s="99">
        <v>2525.5364120748063</v>
      </c>
      <c r="BB56" s="99">
        <v>3.3675871418891834</v>
      </c>
      <c r="BC56" s="99">
        <v>3305.6235384784222</v>
      </c>
      <c r="BD56" s="99">
        <v>2.7692670974045175</v>
      </c>
      <c r="BE56" s="99">
        <v>2718.3125828122743</v>
      </c>
      <c r="BF56" s="99">
        <v>4.0069801970052126</v>
      </c>
      <c r="BG56" s="99">
        <v>3933.2517613803161</v>
      </c>
      <c r="BH56" s="99">
        <v>1.0554209573894446</v>
      </c>
      <c r="BI56" s="99">
        <v>1036.0012117734789</v>
      </c>
      <c r="BJ56" s="99">
        <v>3.8064212251603333</v>
      </c>
      <c r="BK56" s="99">
        <v>3736.383074617383</v>
      </c>
      <c r="BL56" s="99">
        <v>3.7164760098617666</v>
      </c>
      <c r="BM56" s="99">
        <v>3648.0928512803098</v>
      </c>
      <c r="BN56" s="99">
        <v>2.4723111815994474</v>
      </c>
      <c r="BO56" s="99">
        <v>2426.8206558580173</v>
      </c>
      <c r="BP56" s="99">
        <v>3.5374254075797111</v>
      </c>
      <c r="BQ56" s="99">
        <v>3472.3367800802444</v>
      </c>
      <c r="BR56" s="99">
        <v>2.3505108912783532</v>
      </c>
      <c r="BS56" s="99">
        <v>2307.2614908788314</v>
      </c>
      <c r="BT56" s="99">
        <v>2.1180146712709256</v>
      </c>
      <c r="BU56" s="99">
        <v>2079.0432013195405</v>
      </c>
      <c r="BV56" s="99">
        <v>3.3457526295466056</v>
      </c>
      <c r="BW56" s="99">
        <v>3284.1907811629476</v>
      </c>
      <c r="BX56" s="99">
        <v>3.7338076627854249</v>
      </c>
      <c r="BY56" s="99">
        <v>3665.1056017901728</v>
      </c>
      <c r="BZ56" s="99">
        <v>2.293435493340978</v>
      </c>
      <c r="CA56" s="99">
        <v>2251.2362802635039</v>
      </c>
      <c r="CB56" s="99">
        <v>2.3745078950128207</v>
      </c>
      <c r="CC56" s="99">
        <v>2330.8169497445847</v>
      </c>
      <c r="CD56" s="99">
        <v>3.2076522927450521</v>
      </c>
      <c r="CE56" s="99">
        <v>3148.6314905585427</v>
      </c>
      <c r="CF56" s="99">
        <v>1.8411264186105041</v>
      </c>
      <c r="CG56" s="99">
        <v>1807.2496925080707</v>
      </c>
      <c r="CH56" s="99">
        <v>3.4107618769622943</v>
      </c>
      <c r="CI56" s="99">
        <v>3348.0038584261879</v>
      </c>
      <c r="CJ56" s="99">
        <v>3.0760981609206999</v>
      </c>
      <c r="CK56" s="99">
        <v>3019.4979547597586</v>
      </c>
      <c r="CL56" s="99">
        <v>5.5920452257239912</v>
      </c>
      <c r="CM56" s="99">
        <v>5489.1515935706693</v>
      </c>
      <c r="CN56" s="99">
        <v>2.0143570579886703</v>
      </c>
      <c r="CO56" s="99">
        <v>1977.2928881216785</v>
      </c>
      <c r="CP56" s="99">
        <v>2.5356794580170274</v>
      </c>
      <c r="CQ56" s="99">
        <v>2489.0229559895138</v>
      </c>
      <c r="CR56" s="99">
        <v>3.3294993650007161</v>
      </c>
      <c r="CS56" s="99">
        <v>3268.2365766847024</v>
      </c>
      <c r="CT56" s="99">
        <v>4.0599956709160816</v>
      </c>
      <c r="CU56" s="99">
        <v>3985.2917505712253</v>
      </c>
    </row>
    <row r="57" spans="2:99">
      <c r="C57" s="98" t="s">
        <v>223</v>
      </c>
      <c r="D57" s="99">
        <v>5</v>
      </c>
      <c r="E57" s="99">
        <v>7056</v>
      </c>
      <c r="F57" s="99">
        <v>5</v>
      </c>
      <c r="G57" s="99">
        <v>7056</v>
      </c>
      <c r="H57" s="99">
        <v>4</v>
      </c>
      <c r="I57" s="99">
        <v>5644.8</v>
      </c>
      <c r="J57" s="99">
        <v>4</v>
      </c>
      <c r="K57" s="99">
        <v>5644.8</v>
      </c>
      <c r="L57" s="99">
        <v>5.2869397677816767</v>
      </c>
      <c r="M57" s="99">
        <v>7460.9294002935021</v>
      </c>
      <c r="N57" s="99">
        <v>5</v>
      </c>
      <c r="O57" s="99">
        <v>7056</v>
      </c>
      <c r="P57" s="99">
        <v>5</v>
      </c>
      <c r="Q57" s="99">
        <v>7056</v>
      </c>
      <c r="R57" s="99">
        <v>4</v>
      </c>
      <c r="S57" s="99">
        <v>5644.8</v>
      </c>
      <c r="T57" s="99">
        <v>6</v>
      </c>
      <c r="U57" s="99">
        <v>8467.2000000000007</v>
      </c>
      <c r="V57" s="99">
        <v>6</v>
      </c>
      <c r="W57" s="99">
        <v>8467.2000000000007</v>
      </c>
      <c r="X57" s="99">
        <v>5</v>
      </c>
      <c r="Y57" s="99">
        <v>7056</v>
      </c>
      <c r="Z57" s="99">
        <v>5</v>
      </c>
      <c r="AA57" s="99">
        <v>7056</v>
      </c>
      <c r="AB57" s="99">
        <v>4</v>
      </c>
      <c r="AC57" s="99">
        <v>5644.8</v>
      </c>
      <c r="AD57" s="99">
        <v>4.3519674092531719</v>
      </c>
      <c r="AE57" s="99">
        <v>6141.4964079380761</v>
      </c>
      <c r="AF57" s="99">
        <v>2.7656873519553602</v>
      </c>
      <c r="AG57" s="99">
        <v>3902.9379910794046</v>
      </c>
      <c r="AH57" s="99">
        <v>3.1182502732864674</v>
      </c>
      <c r="AI57" s="99">
        <v>4400.4747856618633</v>
      </c>
      <c r="AJ57" s="99">
        <v>3.4090487934250158</v>
      </c>
      <c r="AK57" s="99">
        <v>4810.849657281382</v>
      </c>
      <c r="AL57" s="99">
        <v>5</v>
      </c>
      <c r="AM57" s="99">
        <v>7056</v>
      </c>
      <c r="AN57" s="99">
        <v>5</v>
      </c>
      <c r="AO57" s="99">
        <v>7056</v>
      </c>
      <c r="AP57" s="99">
        <v>7</v>
      </c>
      <c r="AQ57" s="99">
        <v>9878.4</v>
      </c>
      <c r="AR57" s="99">
        <v>5.137558034131283</v>
      </c>
      <c r="AS57" s="99">
        <v>7250.1218977660665</v>
      </c>
      <c r="AT57" s="99">
        <v>2.1891448366182211</v>
      </c>
      <c r="AU57" s="99">
        <v>3089.3211934356336</v>
      </c>
      <c r="AV57" s="99">
        <v>1.6717881381087165</v>
      </c>
      <c r="AW57" s="99">
        <v>2359.2274204990208</v>
      </c>
      <c r="AX57" s="99">
        <v>3.8570952062751602</v>
      </c>
      <c r="AY57" s="99">
        <v>5443.1327550955066</v>
      </c>
      <c r="AZ57" s="99">
        <v>4</v>
      </c>
      <c r="BA57" s="99">
        <v>5644.8</v>
      </c>
      <c r="BB57" s="99">
        <v>4.4805163900959988</v>
      </c>
      <c r="BC57" s="99">
        <v>6322.904729703474</v>
      </c>
      <c r="BD57" s="99">
        <v>3.0064806351912932</v>
      </c>
      <c r="BE57" s="99">
        <v>4242.7454723819528</v>
      </c>
      <c r="BF57" s="99">
        <v>6.2620276405121631</v>
      </c>
      <c r="BG57" s="99">
        <v>8836.9734062907646</v>
      </c>
      <c r="BH57" s="99">
        <v>1.1429468947090897</v>
      </c>
      <c r="BI57" s="99">
        <v>1612.9266578134675</v>
      </c>
      <c r="BJ57" s="99">
        <v>1.6218046910488484</v>
      </c>
      <c r="BK57" s="99">
        <v>2288.6907800081349</v>
      </c>
      <c r="BL57" s="99">
        <v>6</v>
      </c>
      <c r="BM57" s="99">
        <v>8467.2000000000007</v>
      </c>
      <c r="BN57" s="99">
        <v>4</v>
      </c>
      <c r="BO57" s="99">
        <v>5644.8</v>
      </c>
      <c r="BP57" s="99">
        <v>2.7397298365866631</v>
      </c>
      <c r="BQ57" s="99">
        <v>3866.306745391099</v>
      </c>
      <c r="BR57" s="99">
        <v>3.4790268843952115</v>
      </c>
      <c r="BS57" s="99">
        <v>4909.6027392585229</v>
      </c>
      <c r="BT57" s="99">
        <v>1.8159986514675952</v>
      </c>
      <c r="BU57" s="99">
        <v>2562.7372969510702</v>
      </c>
      <c r="BV57" s="99">
        <v>4.3370903462377601</v>
      </c>
      <c r="BW57" s="99">
        <v>6120.5018966107273</v>
      </c>
      <c r="BX57" s="99">
        <v>3.0231342819180447</v>
      </c>
      <c r="BY57" s="99">
        <v>4266.2470986427452</v>
      </c>
      <c r="BZ57" s="99">
        <v>2.8392190678026807</v>
      </c>
      <c r="CA57" s="99">
        <v>4006.7059484831434</v>
      </c>
      <c r="CB57" s="99">
        <v>4</v>
      </c>
      <c r="CC57" s="99">
        <v>5644.8</v>
      </c>
      <c r="CD57" s="99">
        <v>5.6321518934888513</v>
      </c>
      <c r="CE57" s="99">
        <v>7948.0927520914674</v>
      </c>
      <c r="CF57" s="99">
        <v>5.6050704282822776</v>
      </c>
      <c r="CG57" s="99">
        <v>7909.8753883919508</v>
      </c>
      <c r="CH57" s="99">
        <v>2.965692711327562</v>
      </c>
      <c r="CI57" s="99">
        <v>4185.1855542254552</v>
      </c>
      <c r="CJ57" s="99">
        <v>1.0816029151460769</v>
      </c>
      <c r="CK57" s="99">
        <v>1526.3580338541437</v>
      </c>
      <c r="CL57" s="99">
        <v>3.7292356966748779</v>
      </c>
      <c r="CM57" s="99">
        <v>5262.6974151475879</v>
      </c>
      <c r="CN57" s="99">
        <v>6</v>
      </c>
      <c r="CO57" s="99">
        <v>8467.2000000000007</v>
      </c>
      <c r="CP57" s="99">
        <v>4.6983538787711057</v>
      </c>
      <c r="CQ57" s="99">
        <v>6630.3169937217845</v>
      </c>
      <c r="CR57" s="99">
        <v>4.9952431472336611</v>
      </c>
      <c r="CS57" s="99">
        <v>7049.2871293761427</v>
      </c>
      <c r="CT57" s="99">
        <v>3.7416389196128219</v>
      </c>
      <c r="CU57" s="99">
        <v>5280.2008433576148</v>
      </c>
    </row>
    <row r="58" spans="2:99">
      <c r="C58" s="98" t="s">
        <v>224</v>
      </c>
      <c r="D58" s="99">
        <v>5</v>
      </c>
      <c r="E58" s="99">
        <v>5886</v>
      </c>
      <c r="F58" s="99">
        <v>5</v>
      </c>
      <c r="G58" s="99">
        <v>5886</v>
      </c>
      <c r="H58" s="99">
        <v>5</v>
      </c>
      <c r="I58" s="99">
        <v>5886</v>
      </c>
      <c r="J58" s="99">
        <v>4</v>
      </c>
      <c r="K58" s="99">
        <v>4708.8</v>
      </c>
      <c r="L58" s="99">
        <v>5</v>
      </c>
      <c r="M58" s="99">
        <v>5886</v>
      </c>
      <c r="N58" s="99">
        <v>4</v>
      </c>
      <c r="O58" s="99">
        <v>4708.8</v>
      </c>
      <c r="P58" s="99">
        <v>5</v>
      </c>
      <c r="Q58" s="99">
        <v>5886</v>
      </c>
      <c r="R58" s="99">
        <v>4</v>
      </c>
      <c r="S58" s="99">
        <v>4708.8</v>
      </c>
      <c r="T58" s="99">
        <v>7</v>
      </c>
      <c r="U58" s="99">
        <v>8240.4</v>
      </c>
      <c r="V58" s="99">
        <v>5.349645766545529</v>
      </c>
      <c r="W58" s="99">
        <v>6297.6029963773972</v>
      </c>
      <c r="X58" s="99">
        <v>6</v>
      </c>
      <c r="Y58" s="99">
        <v>7063.2000000000007</v>
      </c>
      <c r="Z58" s="99">
        <v>5</v>
      </c>
      <c r="AA58" s="99">
        <v>5886</v>
      </c>
      <c r="AB58" s="99">
        <v>5.1646809659022139</v>
      </c>
      <c r="AC58" s="99">
        <v>6079.8624330600869</v>
      </c>
      <c r="AD58" s="99">
        <v>5</v>
      </c>
      <c r="AE58" s="99">
        <v>5886</v>
      </c>
      <c r="AF58" s="99">
        <v>6</v>
      </c>
      <c r="AG58" s="99">
        <v>7063.2000000000007</v>
      </c>
      <c r="AH58" s="99">
        <v>5.4398677356640563</v>
      </c>
      <c r="AI58" s="99">
        <v>6403.812298423727</v>
      </c>
      <c r="AJ58" s="99">
        <v>4</v>
      </c>
      <c r="AK58" s="99">
        <v>4708.8</v>
      </c>
      <c r="AL58" s="99">
        <v>6</v>
      </c>
      <c r="AM58" s="99">
        <v>7063.2000000000007</v>
      </c>
      <c r="AN58" s="99">
        <v>6.4384548301561102</v>
      </c>
      <c r="AO58" s="99">
        <v>7579.3490260597728</v>
      </c>
      <c r="AP58" s="99">
        <v>7</v>
      </c>
      <c r="AQ58" s="99">
        <v>8240.4</v>
      </c>
      <c r="AR58" s="99">
        <v>6.2636164507802432</v>
      </c>
      <c r="AS58" s="99">
        <v>7373.5292858585026</v>
      </c>
      <c r="AT58" s="99">
        <v>7</v>
      </c>
      <c r="AU58" s="99">
        <v>8240.4</v>
      </c>
      <c r="AV58" s="99">
        <v>3.2560366926226854</v>
      </c>
      <c r="AW58" s="99">
        <v>3833.0063945554252</v>
      </c>
      <c r="AX58" s="99">
        <v>6</v>
      </c>
      <c r="AY58" s="99">
        <v>7063.2000000000007</v>
      </c>
      <c r="AZ58" s="99">
        <v>4</v>
      </c>
      <c r="BA58" s="99">
        <v>4708.8</v>
      </c>
      <c r="BB58" s="99">
        <v>5</v>
      </c>
      <c r="BC58" s="99">
        <v>5886</v>
      </c>
      <c r="BD58" s="99">
        <v>6.3497066361600716</v>
      </c>
      <c r="BE58" s="99">
        <v>7474.8746520876366</v>
      </c>
      <c r="BF58" s="99">
        <v>6</v>
      </c>
      <c r="BG58" s="99">
        <v>7063.2000000000007</v>
      </c>
      <c r="BH58" s="99">
        <v>4</v>
      </c>
      <c r="BI58" s="99">
        <v>4708.8</v>
      </c>
      <c r="BJ58" s="99">
        <v>5</v>
      </c>
      <c r="BK58" s="99">
        <v>5886</v>
      </c>
      <c r="BL58" s="99">
        <v>7</v>
      </c>
      <c r="BM58" s="99">
        <v>8240.4</v>
      </c>
      <c r="BN58" s="99">
        <v>4</v>
      </c>
      <c r="BO58" s="99">
        <v>4708.8</v>
      </c>
      <c r="BP58" s="99">
        <v>4</v>
      </c>
      <c r="BQ58" s="99">
        <v>4708.8</v>
      </c>
      <c r="BR58" s="99">
        <v>4</v>
      </c>
      <c r="BS58" s="99">
        <v>4708.8</v>
      </c>
      <c r="BT58" s="99">
        <v>5</v>
      </c>
      <c r="BU58" s="99">
        <v>5886</v>
      </c>
      <c r="BV58" s="99">
        <v>5</v>
      </c>
      <c r="BW58" s="99">
        <v>5886</v>
      </c>
      <c r="BX58" s="99">
        <v>4</v>
      </c>
      <c r="BY58" s="99">
        <v>4708.8</v>
      </c>
      <c r="BZ58" s="99">
        <v>4.1989030079575365</v>
      </c>
      <c r="CA58" s="99">
        <v>4942.9486209676124</v>
      </c>
      <c r="CB58" s="99">
        <v>4.4044782205710975</v>
      </c>
      <c r="CC58" s="99">
        <v>5184.9517612562959</v>
      </c>
      <c r="CD58" s="99">
        <v>6</v>
      </c>
      <c r="CE58" s="99">
        <v>7063.2000000000007</v>
      </c>
      <c r="CF58" s="99">
        <v>6</v>
      </c>
      <c r="CG58" s="99">
        <v>7063.2000000000007</v>
      </c>
      <c r="CH58" s="99">
        <v>6</v>
      </c>
      <c r="CI58" s="99">
        <v>7063.2000000000007</v>
      </c>
      <c r="CJ58" s="99">
        <v>6</v>
      </c>
      <c r="CK58" s="99">
        <v>7063.2000000000007</v>
      </c>
      <c r="CL58" s="99">
        <v>5</v>
      </c>
      <c r="CM58" s="99">
        <v>5886</v>
      </c>
      <c r="CN58" s="99">
        <v>6</v>
      </c>
      <c r="CO58" s="99">
        <v>7063.2000000000007</v>
      </c>
      <c r="CP58" s="99">
        <v>6</v>
      </c>
      <c r="CQ58" s="99">
        <v>7063.2000000000007</v>
      </c>
      <c r="CR58" s="99">
        <v>6</v>
      </c>
      <c r="CS58" s="99">
        <v>7063.2000000000007</v>
      </c>
      <c r="CT58" s="99">
        <v>3.521530082419805</v>
      </c>
      <c r="CU58" s="99">
        <v>4145.5452130245949</v>
      </c>
    </row>
    <row r="59" spans="2:99">
      <c r="C59" s="98" t="s">
        <v>225</v>
      </c>
      <c r="D59" s="99">
        <v>5</v>
      </c>
      <c r="E59" s="99">
        <v>1517.9999999999998</v>
      </c>
      <c r="F59" s="99">
        <v>5</v>
      </c>
      <c r="G59" s="99">
        <v>1517.9999999999998</v>
      </c>
      <c r="H59" s="99">
        <v>5</v>
      </c>
      <c r="I59" s="99">
        <v>1517.9999999999998</v>
      </c>
      <c r="J59" s="99">
        <v>4</v>
      </c>
      <c r="K59" s="99">
        <v>1214.3999999999999</v>
      </c>
      <c r="L59" s="99">
        <v>5.3347630624119562</v>
      </c>
      <c r="M59" s="99">
        <v>1619.6340657482697</v>
      </c>
      <c r="N59" s="99">
        <v>5</v>
      </c>
      <c r="O59" s="99">
        <v>1517.9999999999998</v>
      </c>
      <c r="P59" s="99">
        <v>5</v>
      </c>
      <c r="Q59" s="99">
        <v>1517.9999999999998</v>
      </c>
      <c r="R59" s="99">
        <v>4</v>
      </c>
      <c r="S59" s="99">
        <v>1214.3999999999999</v>
      </c>
      <c r="T59" s="99">
        <v>6</v>
      </c>
      <c r="U59" s="99">
        <v>1821.6</v>
      </c>
      <c r="V59" s="99">
        <v>6</v>
      </c>
      <c r="W59" s="99">
        <v>1821.6</v>
      </c>
      <c r="X59" s="99">
        <v>7</v>
      </c>
      <c r="Y59" s="99">
        <v>2125.1999999999998</v>
      </c>
      <c r="Z59" s="99">
        <v>5</v>
      </c>
      <c r="AA59" s="99">
        <v>1517.9999999999998</v>
      </c>
      <c r="AB59" s="99">
        <v>5</v>
      </c>
      <c r="AC59" s="99">
        <v>1517.9999999999998</v>
      </c>
      <c r="AD59" s="99">
        <v>4.3519674092531719</v>
      </c>
      <c r="AE59" s="99">
        <v>1321.257305449263</v>
      </c>
      <c r="AF59" s="99">
        <v>3.2240763305613962</v>
      </c>
      <c r="AG59" s="99">
        <v>978.82957395843982</v>
      </c>
      <c r="AH59" s="99">
        <v>3.8878300374586399</v>
      </c>
      <c r="AI59" s="99">
        <v>1180.3451993724429</v>
      </c>
      <c r="AJ59" s="99">
        <v>3.4090487934250158</v>
      </c>
      <c r="AK59" s="99">
        <v>1034.9872136838346</v>
      </c>
      <c r="AL59" s="99">
        <v>6</v>
      </c>
      <c r="AM59" s="99">
        <v>1821.6</v>
      </c>
      <c r="AN59" s="99">
        <v>6</v>
      </c>
      <c r="AO59" s="99">
        <v>1821.6</v>
      </c>
      <c r="AP59" s="99">
        <v>7</v>
      </c>
      <c r="AQ59" s="99">
        <v>2125.1999999999998</v>
      </c>
      <c r="AR59" s="99">
        <v>5.9694297843882262</v>
      </c>
      <c r="AS59" s="99">
        <v>1812.3188825402653</v>
      </c>
      <c r="AT59" s="99">
        <v>2.5540023093879243</v>
      </c>
      <c r="AU59" s="99">
        <v>775.39510113017377</v>
      </c>
      <c r="AV59" s="99">
        <v>1.69524999387759</v>
      </c>
      <c r="AW59" s="99">
        <v>514.67789814123626</v>
      </c>
      <c r="AX59" s="99">
        <v>3.8570952062751602</v>
      </c>
      <c r="AY59" s="99">
        <v>1171.0141046251385</v>
      </c>
      <c r="AZ59" s="99">
        <v>5</v>
      </c>
      <c r="BA59" s="99">
        <v>1517.9999999999998</v>
      </c>
      <c r="BB59" s="99">
        <v>3.8094529055426456</v>
      </c>
      <c r="BC59" s="99">
        <v>1156.549902122747</v>
      </c>
      <c r="BD59" s="99">
        <v>3.0064806351912932</v>
      </c>
      <c r="BE59" s="99">
        <v>912.76752084407656</v>
      </c>
      <c r="BF59" s="99">
        <v>7.2994601605853298</v>
      </c>
      <c r="BG59" s="99">
        <v>2216.1161047537057</v>
      </c>
      <c r="BH59" s="99">
        <v>1.4944689645855895</v>
      </c>
      <c r="BI59" s="99">
        <v>453.72077764818494</v>
      </c>
      <c r="BJ59" s="99">
        <v>1.9461656292586178</v>
      </c>
      <c r="BK59" s="99">
        <v>590.85588504291627</v>
      </c>
      <c r="BL59" s="99">
        <v>7</v>
      </c>
      <c r="BM59" s="99">
        <v>2125.1999999999998</v>
      </c>
      <c r="BN59" s="99">
        <v>4</v>
      </c>
      <c r="BO59" s="99">
        <v>1214.3999999999999</v>
      </c>
      <c r="BP59" s="99">
        <v>3.6529731154488836</v>
      </c>
      <c r="BQ59" s="99">
        <v>1109.0426378502809</v>
      </c>
      <c r="BR59" s="99">
        <v>4.3460787259186677</v>
      </c>
      <c r="BS59" s="99">
        <v>1319.4695011889073</v>
      </c>
      <c r="BT59" s="99">
        <v>1.8200880738870999</v>
      </c>
      <c r="BU59" s="99">
        <v>552.57873923212344</v>
      </c>
      <c r="BV59" s="99">
        <v>5.1790880409309228</v>
      </c>
      <c r="BW59" s="99">
        <v>1572.371129226628</v>
      </c>
      <c r="BX59" s="99">
        <v>3.247632993505531</v>
      </c>
      <c r="BY59" s="99">
        <v>985.98137682827905</v>
      </c>
      <c r="BZ59" s="99">
        <v>2.8392190678026807</v>
      </c>
      <c r="CA59" s="99">
        <v>861.98690898489383</v>
      </c>
      <c r="CB59" s="99">
        <v>4</v>
      </c>
      <c r="CC59" s="99">
        <v>1214.3999999999999</v>
      </c>
      <c r="CD59" s="99">
        <v>5.6321518934888513</v>
      </c>
      <c r="CE59" s="99">
        <v>1709.921314863215</v>
      </c>
      <c r="CF59" s="99">
        <v>4.9117442778637166</v>
      </c>
      <c r="CG59" s="99">
        <v>1491.2055627594241</v>
      </c>
      <c r="CH59" s="99">
        <v>3.5588312535930742</v>
      </c>
      <c r="CI59" s="99">
        <v>1080.4611685908571</v>
      </c>
      <c r="CJ59" s="99">
        <v>1.0816029151460769</v>
      </c>
      <c r="CK59" s="99">
        <v>328.37464503834889</v>
      </c>
      <c r="CL59" s="99">
        <v>3.1076964138957321</v>
      </c>
      <c r="CM59" s="99">
        <v>943.49663125874417</v>
      </c>
      <c r="CN59" s="99">
        <v>6</v>
      </c>
      <c r="CO59" s="99">
        <v>1821.6</v>
      </c>
      <c r="CP59" s="99">
        <v>4.6983538787711057</v>
      </c>
      <c r="CQ59" s="99">
        <v>1426.4202375949076</v>
      </c>
      <c r="CR59" s="99">
        <v>4.9952431472336611</v>
      </c>
      <c r="CS59" s="99">
        <v>1516.5558195001393</v>
      </c>
      <c r="CT59" s="99">
        <v>3.7416389196128219</v>
      </c>
      <c r="CU59" s="99">
        <v>1135.9615759944527</v>
      </c>
    </row>
    <row r="60" spans="2:99">
      <c r="C60" s="98" t="s">
        <v>226</v>
      </c>
      <c r="D60" s="99">
        <v>6</v>
      </c>
      <c r="E60" s="99">
        <v>3909.6000000000004</v>
      </c>
      <c r="F60" s="99">
        <v>5</v>
      </c>
      <c r="G60" s="99">
        <v>3258</v>
      </c>
      <c r="H60" s="99">
        <v>5</v>
      </c>
      <c r="I60" s="99">
        <v>3258</v>
      </c>
      <c r="J60" s="99">
        <v>4</v>
      </c>
      <c r="K60" s="99">
        <v>2606.4</v>
      </c>
      <c r="L60" s="99">
        <v>5.2869397677816767</v>
      </c>
      <c r="M60" s="99">
        <v>3444.9699526865406</v>
      </c>
      <c r="N60" s="99">
        <v>5</v>
      </c>
      <c r="O60" s="99">
        <v>3258</v>
      </c>
      <c r="P60" s="99">
        <v>5</v>
      </c>
      <c r="Q60" s="99">
        <v>3258</v>
      </c>
      <c r="R60" s="99">
        <v>5</v>
      </c>
      <c r="S60" s="99">
        <v>3258</v>
      </c>
      <c r="T60" s="99">
        <v>7</v>
      </c>
      <c r="U60" s="99">
        <v>4561.2</v>
      </c>
      <c r="V60" s="99">
        <v>5</v>
      </c>
      <c r="W60" s="99">
        <v>3258</v>
      </c>
      <c r="X60" s="99">
        <v>7</v>
      </c>
      <c r="Y60" s="99">
        <v>4561.2</v>
      </c>
      <c r="Z60" s="99">
        <v>5</v>
      </c>
      <c r="AA60" s="99">
        <v>3258</v>
      </c>
      <c r="AB60" s="99">
        <v>5</v>
      </c>
      <c r="AC60" s="99">
        <v>3258</v>
      </c>
      <c r="AD60" s="99">
        <v>4.3689660987737824</v>
      </c>
      <c r="AE60" s="99">
        <v>2846.8183099609969</v>
      </c>
      <c r="AF60" s="99">
        <v>3.2240763305613962</v>
      </c>
      <c r="AG60" s="99">
        <v>2100.8081369938059</v>
      </c>
      <c r="AH60" s="99">
        <v>3.8878300374586399</v>
      </c>
      <c r="AI60" s="99">
        <v>2533.3100524080496</v>
      </c>
      <c r="AJ60" s="99">
        <v>3.4090487934250158</v>
      </c>
      <c r="AK60" s="99">
        <v>2221.3361937957402</v>
      </c>
      <c r="AL60" s="99">
        <v>6</v>
      </c>
      <c r="AM60" s="99">
        <v>3909.6000000000004</v>
      </c>
      <c r="AN60" s="99">
        <v>5</v>
      </c>
      <c r="AO60" s="99">
        <v>3258</v>
      </c>
      <c r="AP60" s="99">
        <v>7</v>
      </c>
      <c r="AQ60" s="99">
        <v>4561.2</v>
      </c>
      <c r="AR60" s="99">
        <v>5.1521907873902455</v>
      </c>
      <c r="AS60" s="99">
        <v>3357.167517063484</v>
      </c>
      <c r="AT60" s="99">
        <v>2.5540023093879243</v>
      </c>
      <c r="AU60" s="99">
        <v>1664.1879047971715</v>
      </c>
      <c r="AV60" s="99">
        <v>2.2016786857479365</v>
      </c>
      <c r="AW60" s="99">
        <v>1434.6138316333554</v>
      </c>
      <c r="AX60" s="99">
        <v>3.8570952062751602</v>
      </c>
      <c r="AY60" s="99">
        <v>2513.2832364088945</v>
      </c>
      <c r="AZ60" s="99">
        <v>5</v>
      </c>
      <c r="BA60" s="99">
        <v>3258</v>
      </c>
      <c r="BB60" s="99">
        <v>4.5154498887710668</v>
      </c>
      <c r="BC60" s="99">
        <v>2942.2671475232273</v>
      </c>
      <c r="BD60" s="99">
        <v>3.0064806351912932</v>
      </c>
      <c r="BE60" s="99">
        <v>1959.0227818906467</v>
      </c>
      <c r="BF60" s="99">
        <v>7.2994601605853298</v>
      </c>
      <c r="BG60" s="99">
        <v>4756.328240637401</v>
      </c>
      <c r="BH60" s="99">
        <v>1.1282167805291579</v>
      </c>
      <c r="BI60" s="99">
        <v>735.14605419279928</v>
      </c>
      <c r="BJ60" s="99">
        <v>1.6218046910488484</v>
      </c>
      <c r="BK60" s="99">
        <v>1056.7679366874297</v>
      </c>
      <c r="BL60" s="99">
        <v>7</v>
      </c>
      <c r="BM60" s="99">
        <v>4561.2</v>
      </c>
      <c r="BN60" s="99">
        <v>3</v>
      </c>
      <c r="BO60" s="99">
        <v>1954.8000000000002</v>
      </c>
      <c r="BP60" s="99">
        <v>3.6529731154488836</v>
      </c>
      <c r="BQ60" s="99">
        <v>2380.2772820264927</v>
      </c>
      <c r="BR60" s="99">
        <v>4.3352592076172805</v>
      </c>
      <c r="BS60" s="99">
        <v>2824.8548996834202</v>
      </c>
      <c r="BT60" s="99">
        <v>1.8180433626773476</v>
      </c>
      <c r="BU60" s="99">
        <v>1184.6370551205598</v>
      </c>
      <c r="BV60" s="99">
        <v>5.1790880409309228</v>
      </c>
      <c r="BW60" s="99">
        <v>3374.6937674705896</v>
      </c>
      <c r="BX60" s="99">
        <v>3.2251831223467833</v>
      </c>
      <c r="BY60" s="99">
        <v>2101.529322521164</v>
      </c>
      <c r="BZ60" s="99">
        <v>2.8392190678026807</v>
      </c>
      <c r="CA60" s="99">
        <v>1850.0351445802269</v>
      </c>
      <c r="CB60" s="99">
        <v>4</v>
      </c>
      <c r="CC60" s="99">
        <v>2606.4</v>
      </c>
      <c r="CD60" s="99">
        <v>5.6321518934888513</v>
      </c>
      <c r="CE60" s="99">
        <v>3669.9101737973356</v>
      </c>
      <c r="CF60" s="99">
        <v>4.8616251195068934</v>
      </c>
      <c r="CG60" s="99">
        <v>3167.8349278706919</v>
      </c>
      <c r="CH60" s="99">
        <v>3.5588312535930742</v>
      </c>
      <c r="CI60" s="99">
        <v>2318.9344448412471</v>
      </c>
      <c r="CJ60" s="99">
        <v>1.0816029151460769</v>
      </c>
      <c r="CK60" s="99">
        <v>704.7724595091837</v>
      </c>
      <c r="CL60" s="99">
        <v>3.7292356966748779</v>
      </c>
      <c r="CM60" s="99">
        <v>2429.9699799533505</v>
      </c>
      <c r="CN60" s="99">
        <v>6</v>
      </c>
      <c r="CO60" s="99">
        <v>3909.6000000000004</v>
      </c>
      <c r="CP60" s="99">
        <v>4.6983538787711057</v>
      </c>
      <c r="CQ60" s="99">
        <v>3061.4473874072523</v>
      </c>
      <c r="CR60" s="99">
        <v>4.9952431472336611</v>
      </c>
      <c r="CS60" s="99">
        <v>3254.9004347374539</v>
      </c>
      <c r="CT60" s="99">
        <v>3.7416389196128219</v>
      </c>
      <c r="CU60" s="99">
        <v>2438.051920019715</v>
      </c>
    </row>
    <row r="61" spans="2:99">
      <c r="C61" s="98" t="s">
        <v>227</v>
      </c>
      <c r="D61" s="99">
        <v>6</v>
      </c>
      <c r="E61" s="99">
        <v>5709.5999999999995</v>
      </c>
      <c r="F61" s="99">
        <v>5</v>
      </c>
      <c r="G61" s="99">
        <v>4758</v>
      </c>
      <c r="H61" s="99">
        <v>5</v>
      </c>
      <c r="I61" s="99">
        <v>4758</v>
      </c>
      <c r="J61" s="99">
        <v>4</v>
      </c>
      <c r="K61" s="99">
        <v>3806.3999999999996</v>
      </c>
      <c r="L61" s="99">
        <v>5.3347630624119562</v>
      </c>
      <c r="M61" s="99">
        <v>5076.5605301912174</v>
      </c>
      <c r="N61" s="99">
        <v>4</v>
      </c>
      <c r="O61" s="99">
        <v>3806.3999999999996</v>
      </c>
      <c r="P61" s="99">
        <v>5</v>
      </c>
      <c r="Q61" s="99">
        <v>4758</v>
      </c>
      <c r="R61" s="99">
        <v>4</v>
      </c>
      <c r="S61" s="99">
        <v>3806.3999999999996</v>
      </c>
      <c r="T61" s="99">
        <v>6</v>
      </c>
      <c r="U61" s="99">
        <v>5709.5999999999995</v>
      </c>
      <c r="V61" s="99">
        <v>6</v>
      </c>
      <c r="W61" s="99">
        <v>5709.5999999999995</v>
      </c>
      <c r="X61" s="99">
        <v>6</v>
      </c>
      <c r="Y61" s="99">
        <v>5709.5999999999995</v>
      </c>
      <c r="Z61" s="99">
        <v>5</v>
      </c>
      <c r="AA61" s="99">
        <v>4758</v>
      </c>
      <c r="AB61" s="99">
        <v>5</v>
      </c>
      <c r="AC61" s="99">
        <v>4758</v>
      </c>
      <c r="AD61" s="99">
        <v>4.3349687197325624</v>
      </c>
      <c r="AE61" s="99">
        <v>4125.1562336975057</v>
      </c>
      <c r="AF61" s="99">
        <v>3.2087228502422525</v>
      </c>
      <c r="AG61" s="99">
        <v>3053.4206642905269</v>
      </c>
      <c r="AH61" s="99">
        <v>3.1226870751306652</v>
      </c>
      <c r="AI61" s="99">
        <v>2971.5490206943409</v>
      </c>
      <c r="AJ61" s="99">
        <v>3.4090487934250158</v>
      </c>
      <c r="AK61" s="99">
        <v>3244.0508318232446</v>
      </c>
      <c r="AL61" s="99">
        <v>7</v>
      </c>
      <c r="AM61" s="99">
        <v>6661.1999999999989</v>
      </c>
      <c r="AN61" s="99">
        <v>5</v>
      </c>
      <c r="AO61" s="99">
        <v>4758</v>
      </c>
      <c r="AP61" s="99">
        <v>6</v>
      </c>
      <c r="AQ61" s="99">
        <v>5709.5999999999995</v>
      </c>
      <c r="AR61" s="99">
        <v>5.9840625376471888</v>
      </c>
      <c r="AS61" s="99">
        <v>5694.4339108250642</v>
      </c>
      <c r="AT61" s="99">
        <v>2.5368776957137111</v>
      </c>
      <c r="AU61" s="99">
        <v>2414.0928152411675</v>
      </c>
      <c r="AV61" s="99">
        <v>1.6835190659931534</v>
      </c>
      <c r="AW61" s="99">
        <v>1602.0367431990846</v>
      </c>
      <c r="AX61" s="99">
        <v>3.8570952062751602</v>
      </c>
      <c r="AY61" s="99">
        <v>3670.4117982914422</v>
      </c>
      <c r="AZ61" s="99">
        <v>4</v>
      </c>
      <c r="BA61" s="99">
        <v>3806.3999999999996</v>
      </c>
      <c r="BB61" s="99">
        <v>3.8094529055426456</v>
      </c>
      <c r="BC61" s="99">
        <v>3625.0753849143812</v>
      </c>
      <c r="BD61" s="99">
        <v>2.5054005293260779</v>
      </c>
      <c r="BE61" s="99">
        <v>2384.1391437066954</v>
      </c>
      <c r="BF61" s="99">
        <v>7.2994601605853298</v>
      </c>
      <c r="BG61" s="99">
        <v>6946.1662888129995</v>
      </c>
      <c r="BH61" s="99">
        <v>1.4797388504056579</v>
      </c>
      <c r="BI61" s="99">
        <v>1408.1194900460239</v>
      </c>
      <c r="BJ61" s="99">
        <v>1.9461656292586178</v>
      </c>
      <c r="BK61" s="99">
        <v>1851.9712128025005</v>
      </c>
      <c r="BL61" s="99">
        <v>6</v>
      </c>
      <c r="BM61" s="99">
        <v>5709.5999999999995</v>
      </c>
      <c r="BN61" s="99">
        <v>4</v>
      </c>
      <c r="BO61" s="99">
        <v>3806.3999999999996</v>
      </c>
      <c r="BP61" s="99">
        <v>3.6529731154488836</v>
      </c>
      <c r="BQ61" s="99">
        <v>3476.1692166611574</v>
      </c>
      <c r="BR61" s="99">
        <v>4.3244396893158941</v>
      </c>
      <c r="BS61" s="99">
        <v>4115.1368083530042</v>
      </c>
      <c r="BT61" s="99">
        <v>1.5187847727823356</v>
      </c>
      <c r="BU61" s="99">
        <v>1445.2755897796703</v>
      </c>
      <c r="BV61" s="99">
        <v>4.3370903462377601</v>
      </c>
      <c r="BW61" s="99">
        <v>4127.1751734798518</v>
      </c>
      <c r="BX61" s="99">
        <v>3.247632993505531</v>
      </c>
      <c r="BY61" s="99">
        <v>3090.447556619863</v>
      </c>
      <c r="BZ61" s="99">
        <v>2.8392190678026807</v>
      </c>
      <c r="CA61" s="99">
        <v>2701.8008649210306</v>
      </c>
      <c r="CB61" s="99">
        <v>4</v>
      </c>
      <c r="CC61" s="99">
        <v>3806.3999999999996</v>
      </c>
      <c r="CD61" s="99">
        <v>5.6321518934888513</v>
      </c>
      <c r="CE61" s="99">
        <v>5359.5557418439903</v>
      </c>
      <c r="CF61" s="99">
        <v>5.6551895866391009</v>
      </c>
      <c r="CG61" s="99">
        <v>5381.4784106457682</v>
      </c>
      <c r="CH61" s="99">
        <v>2.965692711327562</v>
      </c>
      <c r="CI61" s="99">
        <v>2822.1531840993075</v>
      </c>
      <c r="CJ61" s="99">
        <v>1.0446449704000196</v>
      </c>
      <c r="CK61" s="99">
        <v>994.08415383265856</v>
      </c>
      <c r="CL61" s="99">
        <v>3.7292356966748779</v>
      </c>
      <c r="CM61" s="99">
        <v>3548.7406889558133</v>
      </c>
      <c r="CN61" s="99">
        <v>6</v>
      </c>
      <c r="CO61" s="99">
        <v>5709.5999999999995</v>
      </c>
      <c r="CP61" s="99">
        <v>4.6983538787711057</v>
      </c>
      <c r="CQ61" s="99">
        <v>4470.953551038584</v>
      </c>
      <c r="CR61" s="99">
        <v>4.9952431472336611</v>
      </c>
      <c r="CS61" s="99">
        <v>4753.4733789075517</v>
      </c>
      <c r="CT61" s="99">
        <v>3.7416389196128219</v>
      </c>
      <c r="CU61" s="99">
        <v>3560.5435959035608</v>
      </c>
    </row>
    <row r="62" spans="2:99">
      <c r="C62" s="98" t="s">
        <v>228</v>
      </c>
      <c r="D62" s="99">
        <v>6</v>
      </c>
      <c r="E62" s="99">
        <v>10015.200000000001</v>
      </c>
      <c r="F62" s="99">
        <v>5</v>
      </c>
      <c r="G62" s="99">
        <v>8346</v>
      </c>
      <c r="H62" s="99">
        <v>5</v>
      </c>
      <c r="I62" s="99">
        <v>8346</v>
      </c>
      <c r="J62" s="99">
        <v>4</v>
      </c>
      <c r="K62" s="99">
        <v>6676.8</v>
      </c>
      <c r="L62" s="99">
        <v>2.74605493303656</v>
      </c>
      <c r="M62" s="99">
        <v>4583.7148942246258</v>
      </c>
      <c r="N62" s="99">
        <v>3.371346335400617</v>
      </c>
      <c r="O62" s="99">
        <v>5627.4513030507105</v>
      </c>
      <c r="P62" s="99">
        <v>2.8975234296618071</v>
      </c>
      <c r="Q62" s="99">
        <v>4836.5461087914882</v>
      </c>
      <c r="R62" s="99">
        <v>0.25102101584331321</v>
      </c>
      <c r="S62" s="99">
        <v>419.00427964565841</v>
      </c>
      <c r="T62" s="99">
        <v>0</v>
      </c>
      <c r="U62" s="99">
        <v>0</v>
      </c>
      <c r="V62" s="99">
        <v>0</v>
      </c>
      <c r="W62" s="99">
        <v>0</v>
      </c>
      <c r="X62" s="99">
        <v>0</v>
      </c>
      <c r="Y62" s="99">
        <v>0</v>
      </c>
      <c r="Z62" s="99">
        <v>2.8689753866133505</v>
      </c>
      <c r="AA62" s="99">
        <v>4788.8937153350043</v>
      </c>
      <c r="AB62" s="99">
        <v>2.3033989029543891</v>
      </c>
      <c r="AC62" s="99">
        <v>3844.8334488114665</v>
      </c>
      <c r="AD62" s="99">
        <v>2.3781916331354882</v>
      </c>
      <c r="AE62" s="99">
        <v>3969.6774740297569</v>
      </c>
      <c r="AF62" s="99">
        <v>2.5304376906697383</v>
      </c>
      <c r="AG62" s="99">
        <v>4223.8065932659274</v>
      </c>
      <c r="AH62" s="99">
        <v>3.3551920185759454</v>
      </c>
      <c r="AI62" s="99">
        <v>5600.4865174069682</v>
      </c>
      <c r="AJ62" s="99">
        <v>1.3256872847962173</v>
      </c>
      <c r="AK62" s="99">
        <v>2212.8372157818462</v>
      </c>
      <c r="AL62" s="99">
        <v>4.2257626749109924</v>
      </c>
      <c r="AM62" s="99">
        <v>7053.6430569614286</v>
      </c>
      <c r="AN62" s="99">
        <v>3.4518367666802092</v>
      </c>
      <c r="AO62" s="99">
        <v>5761.8059309426053</v>
      </c>
      <c r="AP62" s="99">
        <v>2.8427601868016787</v>
      </c>
      <c r="AQ62" s="99">
        <v>4745.1353038093621</v>
      </c>
      <c r="AR62" s="99">
        <v>1.5981711730545716</v>
      </c>
      <c r="AS62" s="99">
        <v>2667.6673220626908</v>
      </c>
      <c r="AT62" s="99">
        <v>3.6577093317262359</v>
      </c>
      <c r="AU62" s="99">
        <v>6105.4484165174335</v>
      </c>
      <c r="AV62" s="99">
        <v>1.9330947813753201</v>
      </c>
      <c r="AW62" s="99">
        <v>3226.7218090716842</v>
      </c>
      <c r="AX62" s="99">
        <v>4.7028054676309043</v>
      </c>
      <c r="AY62" s="99">
        <v>7849.9228865695059</v>
      </c>
      <c r="AZ62" s="99">
        <v>2.557002573260359</v>
      </c>
      <c r="BA62" s="99">
        <v>4268.1486952861915</v>
      </c>
      <c r="BB62" s="99">
        <v>2.8123161883646546</v>
      </c>
      <c r="BC62" s="99">
        <v>4694.3181816182814</v>
      </c>
      <c r="BD62" s="99">
        <v>2.7692670974045175</v>
      </c>
      <c r="BE62" s="99">
        <v>4622.4606389876208</v>
      </c>
      <c r="BF62" s="99">
        <v>3.4618122592059648</v>
      </c>
      <c r="BG62" s="99">
        <v>5778.4570230665968</v>
      </c>
      <c r="BH62" s="99">
        <v>1.0468561617697267</v>
      </c>
      <c r="BI62" s="99">
        <v>1747.4123052260279</v>
      </c>
      <c r="BJ62" s="99">
        <v>4.5255560911887667</v>
      </c>
      <c r="BK62" s="99">
        <v>7554.0582274122899</v>
      </c>
      <c r="BL62" s="99">
        <v>3.7164760098617666</v>
      </c>
      <c r="BM62" s="99">
        <v>6203.541755661261</v>
      </c>
      <c r="BN62" s="99">
        <v>2.4723111815994474</v>
      </c>
      <c r="BO62" s="99">
        <v>4126.781824325798</v>
      </c>
      <c r="BP62" s="99">
        <v>3.3262604834388529</v>
      </c>
      <c r="BQ62" s="99">
        <v>5552.1939989561333</v>
      </c>
      <c r="BR62" s="99">
        <v>2.3246753215717546</v>
      </c>
      <c r="BS62" s="99">
        <v>3880.3480467675727</v>
      </c>
      <c r="BT62" s="99">
        <v>2.1180146712709256</v>
      </c>
      <c r="BU62" s="99">
        <v>3535.390089285429</v>
      </c>
      <c r="BV62" s="99">
        <v>3.3511043275165391</v>
      </c>
      <c r="BW62" s="99">
        <v>5593.6633434906071</v>
      </c>
      <c r="BX62" s="99">
        <v>3.7338076627854249</v>
      </c>
      <c r="BY62" s="99">
        <v>6232.4717507214309</v>
      </c>
      <c r="BZ62" s="99">
        <v>2.293435493340978</v>
      </c>
      <c r="CA62" s="99">
        <v>3828.2025254847604</v>
      </c>
      <c r="CB62" s="99">
        <v>2.3745078950128207</v>
      </c>
      <c r="CC62" s="99">
        <v>3963.5285783554004</v>
      </c>
      <c r="CD62" s="99">
        <v>2.7494162509243303</v>
      </c>
      <c r="CE62" s="99">
        <v>4589.3256060428921</v>
      </c>
      <c r="CF62" s="99">
        <v>1.8491879543328715</v>
      </c>
      <c r="CG62" s="99">
        <v>3086.6645333724291</v>
      </c>
      <c r="CH62" s="99">
        <v>2.8456803152365029</v>
      </c>
      <c r="CI62" s="99">
        <v>4750.0095821927707</v>
      </c>
      <c r="CJ62" s="99">
        <v>2.6366555665034568</v>
      </c>
      <c r="CK62" s="99">
        <v>4401.1054716075705</v>
      </c>
      <c r="CL62" s="99">
        <v>4.7202844569817248</v>
      </c>
      <c r="CM62" s="99">
        <v>7879.0988155938949</v>
      </c>
      <c r="CN62" s="99">
        <v>2.0143570579886703</v>
      </c>
      <c r="CO62" s="99">
        <v>3362.3648011946884</v>
      </c>
      <c r="CP62" s="99">
        <v>2.5356794580170274</v>
      </c>
      <c r="CQ62" s="99">
        <v>4232.5561513220227</v>
      </c>
      <c r="CR62" s="99">
        <v>3.3294993650007161</v>
      </c>
      <c r="CS62" s="99">
        <v>5557.6003400591953</v>
      </c>
      <c r="CT62" s="99">
        <v>4.0747161165271937</v>
      </c>
      <c r="CU62" s="99">
        <v>6801.5161417071922</v>
      </c>
    </row>
    <row r="63" spans="2:99">
      <c r="C63" s="98" t="s">
        <v>229</v>
      </c>
      <c r="D63" s="99">
        <v>5</v>
      </c>
      <c r="E63" s="99">
        <v>3978</v>
      </c>
      <c r="F63" s="99">
        <v>5</v>
      </c>
      <c r="G63" s="99">
        <v>3978</v>
      </c>
      <c r="H63" s="99">
        <v>5</v>
      </c>
      <c r="I63" s="99">
        <v>3978</v>
      </c>
      <c r="J63" s="99">
        <v>4</v>
      </c>
      <c r="K63" s="99">
        <v>3182.4</v>
      </c>
      <c r="L63" s="99">
        <v>5.3347630624119562</v>
      </c>
      <c r="M63" s="99">
        <v>4244.3374924549526</v>
      </c>
      <c r="N63" s="99">
        <v>5</v>
      </c>
      <c r="O63" s="99">
        <v>3978</v>
      </c>
      <c r="P63" s="99">
        <v>5</v>
      </c>
      <c r="Q63" s="99">
        <v>3978</v>
      </c>
      <c r="R63" s="99">
        <v>4</v>
      </c>
      <c r="S63" s="99">
        <v>3182.4</v>
      </c>
      <c r="T63" s="99">
        <v>6</v>
      </c>
      <c r="U63" s="99">
        <v>4773.6000000000004</v>
      </c>
      <c r="V63" s="99">
        <v>6</v>
      </c>
      <c r="W63" s="99">
        <v>4773.6000000000004</v>
      </c>
      <c r="X63" s="99">
        <v>7</v>
      </c>
      <c r="Y63" s="99">
        <v>5569.2</v>
      </c>
      <c r="Z63" s="99">
        <v>5</v>
      </c>
      <c r="AA63" s="99">
        <v>3978</v>
      </c>
      <c r="AB63" s="99">
        <v>5</v>
      </c>
      <c r="AC63" s="99">
        <v>3978</v>
      </c>
      <c r="AD63" s="99">
        <v>4.3349687197325624</v>
      </c>
      <c r="AE63" s="99">
        <v>3448.9011134192269</v>
      </c>
      <c r="AF63" s="99">
        <v>2.7656873519553602</v>
      </c>
      <c r="AG63" s="99">
        <v>2200.3808572156845</v>
      </c>
      <c r="AH63" s="99">
        <v>3.1226870751306652</v>
      </c>
      <c r="AI63" s="99">
        <v>2484.4098369739572</v>
      </c>
      <c r="AJ63" s="99">
        <v>3.4090487934250158</v>
      </c>
      <c r="AK63" s="99">
        <v>2712.2392200489426</v>
      </c>
      <c r="AL63" s="99">
        <v>6</v>
      </c>
      <c r="AM63" s="99">
        <v>4773.6000000000004</v>
      </c>
      <c r="AN63" s="99">
        <v>5</v>
      </c>
      <c r="AO63" s="99">
        <v>3978</v>
      </c>
      <c r="AP63" s="99">
        <v>6</v>
      </c>
      <c r="AQ63" s="99">
        <v>4773.6000000000004</v>
      </c>
      <c r="AR63" s="99">
        <v>5.9694297843882262</v>
      </c>
      <c r="AS63" s="99">
        <v>4749.2783364592733</v>
      </c>
      <c r="AT63" s="99">
        <v>2.5368776957137111</v>
      </c>
      <c r="AU63" s="99">
        <v>2018.3398947098287</v>
      </c>
      <c r="AV63" s="99">
        <v>1.6835190659931534</v>
      </c>
      <c r="AW63" s="99">
        <v>1339.4077689041528</v>
      </c>
      <c r="AX63" s="99">
        <v>3.8570952062751602</v>
      </c>
      <c r="AY63" s="99">
        <v>3068.7049461125175</v>
      </c>
      <c r="AZ63" s="99">
        <v>4</v>
      </c>
      <c r="BA63" s="99">
        <v>3182.4</v>
      </c>
      <c r="BB63" s="99">
        <v>3.8094529055426456</v>
      </c>
      <c r="BC63" s="99">
        <v>3030.8007316497287</v>
      </c>
      <c r="BD63" s="99">
        <v>3.0064806351912932</v>
      </c>
      <c r="BE63" s="99">
        <v>2391.9559933581927</v>
      </c>
      <c r="BF63" s="99">
        <v>6.2994601605853298</v>
      </c>
      <c r="BG63" s="99">
        <v>5011.8505037616887</v>
      </c>
      <c r="BH63" s="99">
        <v>1.465008736225726</v>
      </c>
      <c r="BI63" s="99">
        <v>1165.5609505411876</v>
      </c>
      <c r="BJ63" s="99">
        <v>1.6218046910488484</v>
      </c>
      <c r="BK63" s="99">
        <v>1290.3078121984638</v>
      </c>
      <c r="BL63" s="99">
        <v>6</v>
      </c>
      <c r="BM63" s="99">
        <v>4773.6000000000004</v>
      </c>
      <c r="BN63" s="99">
        <v>3</v>
      </c>
      <c r="BO63" s="99">
        <v>2386.8000000000002</v>
      </c>
      <c r="BP63" s="99">
        <v>3.6529731154488836</v>
      </c>
      <c r="BQ63" s="99">
        <v>2906.3054106511318</v>
      </c>
      <c r="BR63" s="99">
        <v>4.3244396893158941</v>
      </c>
      <c r="BS63" s="99">
        <v>3440.5242168197256</v>
      </c>
      <c r="BT63" s="99">
        <v>1.8180433626773476</v>
      </c>
      <c r="BU63" s="99">
        <v>1446.4352993460977</v>
      </c>
      <c r="BV63" s="99">
        <v>4.3688658144307473</v>
      </c>
      <c r="BW63" s="99">
        <v>3475.8696419611028</v>
      </c>
      <c r="BX63" s="99">
        <v>3.0231342819180447</v>
      </c>
      <c r="BY63" s="99">
        <v>2405.2056346939962</v>
      </c>
      <c r="BZ63" s="99">
        <v>2.8392190678026807</v>
      </c>
      <c r="CA63" s="99">
        <v>2258.882690343813</v>
      </c>
      <c r="CB63" s="99">
        <v>4</v>
      </c>
      <c r="CC63" s="99">
        <v>3182.4</v>
      </c>
      <c r="CD63" s="99">
        <v>5.6321518934888513</v>
      </c>
      <c r="CE63" s="99">
        <v>4480.9400464597302</v>
      </c>
      <c r="CF63" s="99">
        <v>5.6551895866391009</v>
      </c>
      <c r="CG63" s="99">
        <v>4499.2688351300685</v>
      </c>
      <c r="CH63" s="99">
        <v>3.5588312535930742</v>
      </c>
      <c r="CI63" s="99">
        <v>2831.4061453586501</v>
      </c>
      <c r="CJ63" s="99">
        <v>1.0769831720528198</v>
      </c>
      <c r="CK63" s="99">
        <v>856.84781168522341</v>
      </c>
      <c r="CL63" s="99">
        <v>3.7292356966748779</v>
      </c>
      <c r="CM63" s="99">
        <v>2966.979920274533</v>
      </c>
      <c r="CN63" s="99">
        <v>6</v>
      </c>
      <c r="CO63" s="99">
        <v>4773.6000000000004</v>
      </c>
      <c r="CP63" s="99">
        <v>4.6983538787711057</v>
      </c>
      <c r="CQ63" s="99">
        <v>3738.0103459502916</v>
      </c>
      <c r="CR63" s="99">
        <v>4.9952431472336611</v>
      </c>
      <c r="CS63" s="99">
        <v>3974.2154479391011</v>
      </c>
      <c r="CT63" s="99">
        <v>3.7416389196128219</v>
      </c>
      <c r="CU63" s="99">
        <v>2976.8479244439613</v>
      </c>
    </row>
    <row r="64" spans="2:99">
      <c r="C64" s="98" t="s">
        <v>230</v>
      </c>
      <c r="D64" s="99">
        <v>5</v>
      </c>
      <c r="E64" s="99">
        <v>5045.9999999999991</v>
      </c>
      <c r="F64" s="99">
        <v>5</v>
      </c>
      <c r="G64" s="99">
        <v>5045.9999999999991</v>
      </c>
      <c r="H64" s="99">
        <v>5</v>
      </c>
      <c r="I64" s="99">
        <v>5045.9999999999991</v>
      </c>
      <c r="J64" s="99">
        <v>4</v>
      </c>
      <c r="K64" s="99">
        <v>4036.7999999999993</v>
      </c>
      <c r="L64" s="99">
        <v>5.2869397677816767</v>
      </c>
      <c r="M64" s="99">
        <v>5335.5796136452673</v>
      </c>
      <c r="N64" s="99">
        <v>5</v>
      </c>
      <c r="O64" s="99">
        <v>5045.9999999999991</v>
      </c>
      <c r="P64" s="99">
        <v>5</v>
      </c>
      <c r="Q64" s="99">
        <v>5045.9999999999991</v>
      </c>
      <c r="R64" s="99">
        <v>4</v>
      </c>
      <c r="S64" s="99">
        <v>4036.7999999999993</v>
      </c>
      <c r="T64" s="99">
        <v>7</v>
      </c>
      <c r="U64" s="99">
        <v>7064.3999999999987</v>
      </c>
      <c r="V64" s="99">
        <v>6</v>
      </c>
      <c r="W64" s="99">
        <v>6055.1999999999989</v>
      </c>
      <c r="X64" s="99">
        <v>6</v>
      </c>
      <c r="Y64" s="99">
        <v>6055.1999999999989</v>
      </c>
      <c r="Z64" s="99">
        <v>5</v>
      </c>
      <c r="AA64" s="99">
        <v>5045.9999999999991</v>
      </c>
      <c r="AB64" s="99">
        <v>5</v>
      </c>
      <c r="AC64" s="99">
        <v>5045.9999999999991</v>
      </c>
      <c r="AD64" s="99">
        <v>4.3519674092531719</v>
      </c>
      <c r="AE64" s="99">
        <v>4392.0055094182999</v>
      </c>
      <c r="AF64" s="99">
        <v>2.7656873519553602</v>
      </c>
      <c r="AG64" s="99">
        <v>2791.131675593349</v>
      </c>
      <c r="AH64" s="99">
        <v>3.8922668393028377</v>
      </c>
      <c r="AI64" s="99">
        <v>3928.0756942244229</v>
      </c>
      <c r="AJ64" s="99">
        <v>3.4090487934250158</v>
      </c>
      <c r="AK64" s="99">
        <v>3440.4120423245254</v>
      </c>
      <c r="AL64" s="99">
        <v>6</v>
      </c>
      <c r="AM64" s="99">
        <v>6055.1999999999989</v>
      </c>
      <c r="AN64" s="99">
        <v>5</v>
      </c>
      <c r="AO64" s="99">
        <v>5045.9999999999991</v>
      </c>
      <c r="AP64" s="99">
        <v>6</v>
      </c>
      <c r="AQ64" s="99">
        <v>6055.1999999999989</v>
      </c>
      <c r="AR64" s="99">
        <v>5.1521907873902455</v>
      </c>
      <c r="AS64" s="99">
        <v>5199.590942634235</v>
      </c>
      <c r="AT64" s="99">
        <v>2.1891448366182211</v>
      </c>
      <c r="AU64" s="99">
        <v>2209.2849691151082</v>
      </c>
      <c r="AV64" s="99">
        <v>2.2016786857479365</v>
      </c>
      <c r="AW64" s="99">
        <v>2221.9341296568173</v>
      </c>
      <c r="AX64" s="99">
        <v>3.2142460052293003</v>
      </c>
      <c r="AY64" s="99">
        <v>3243.8170684774091</v>
      </c>
      <c r="AZ64" s="99">
        <v>4</v>
      </c>
      <c r="BA64" s="99">
        <v>4036.7999999999993</v>
      </c>
      <c r="BB64" s="99">
        <v>3.7745194068675776</v>
      </c>
      <c r="BC64" s="99">
        <v>3809.2449854107585</v>
      </c>
      <c r="BD64" s="99">
        <v>3.0064806351912932</v>
      </c>
      <c r="BE64" s="99">
        <v>3034.1402570350524</v>
      </c>
      <c r="BF64" s="99">
        <v>7.2620276405121631</v>
      </c>
      <c r="BG64" s="99">
        <v>7328.8382948048738</v>
      </c>
      <c r="BH64" s="99">
        <v>1.4797388504056579</v>
      </c>
      <c r="BI64" s="99">
        <v>1493.3524478293896</v>
      </c>
      <c r="BJ64" s="99">
        <v>1.6218046910488484</v>
      </c>
      <c r="BK64" s="99">
        <v>1636.7252942064974</v>
      </c>
      <c r="BL64" s="99">
        <v>7</v>
      </c>
      <c r="BM64" s="99">
        <v>7064.3999999999987</v>
      </c>
      <c r="BN64" s="99">
        <v>3</v>
      </c>
      <c r="BO64" s="99">
        <v>3027.5999999999995</v>
      </c>
      <c r="BP64" s="99">
        <v>3.6529731154488836</v>
      </c>
      <c r="BQ64" s="99">
        <v>3686.5804681110126</v>
      </c>
      <c r="BR64" s="99">
        <v>4.3352592076172805</v>
      </c>
      <c r="BS64" s="99">
        <v>4375.1435923273584</v>
      </c>
      <c r="BT64" s="99">
        <v>1.8200880738870999</v>
      </c>
      <c r="BU64" s="99">
        <v>1836.8328841668608</v>
      </c>
      <c r="BV64" s="99">
        <v>4.3688658144307473</v>
      </c>
      <c r="BW64" s="99">
        <v>4409.0593799235094</v>
      </c>
      <c r="BX64" s="99">
        <v>3.2251831223467833</v>
      </c>
      <c r="BY64" s="99">
        <v>3254.8548070723732</v>
      </c>
      <c r="BZ64" s="99">
        <v>2.8392190678026807</v>
      </c>
      <c r="CA64" s="99">
        <v>2865.3398832264647</v>
      </c>
      <c r="CB64" s="99">
        <v>4</v>
      </c>
      <c r="CC64" s="99">
        <v>4036.7999999999993</v>
      </c>
      <c r="CD64" s="99">
        <v>5.6321518934888513</v>
      </c>
      <c r="CE64" s="99">
        <v>5683.9676909089476</v>
      </c>
      <c r="CF64" s="99">
        <v>5.6301300074606893</v>
      </c>
      <c r="CG64" s="99">
        <v>5681.927203529327</v>
      </c>
      <c r="CH64" s="99">
        <v>2.965692711327562</v>
      </c>
      <c r="CI64" s="99">
        <v>2992.9770842717749</v>
      </c>
      <c r="CJ64" s="99">
        <v>0.92774817628138828</v>
      </c>
      <c r="CK64" s="99">
        <v>936.28345950317691</v>
      </c>
      <c r="CL64" s="99">
        <v>3.7292356966748779</v>
      </c>
      <c r="CM64" s="99">
        <v>3763.544665084286</v>
      </c>
      <c r="CN64" s="99">
        <v>6</v>
      </c>
      <c r="CO64" s="99">
        <v>6055.1999999999989</v>
      </c>
      <c r="CP64" s="99">
        <v>3.9152948989759211</v>
      </c>
      <c r="CQ64" s="99">
        <v>3951.3156120464987</v>
      </c>
      <c r="CR64" s="99">
        <v>4.9952431472336611</v>
      </c>
      <c r="CS64" s="99">
        <v>5041.1993841882095</v>
      </c>
      <c r="CT64" s="99">
        <v>3.7416389196128219</v>
      </c>
      <c r="CU64" s="99">
        <v>3776.0619976732592</v>
      </c>
    </row>
    <row r="65" spans="2:99">
      <c r="C65" s="98" t="s">
        <v>231</v>
      </c>
      <c r="D65" s="99">
        <v>6</v>
      </c>
      <c r="E65" s="99">
        <v>6156</v>
      </c>
      <c r="F65" s="99">
        <v>5</v>
      </c>
      <c r="G65" s="99">
        <v>5130</v>
      </c>
      <c r="H65" s="99">
        <v>5</v>
      </c>
      <c r="I65" s="99">
        <v>5130</v>
      </c>
      <c r="J65" s="99">
        <v>4</v>
      </c>
      <c r="K65" s="99">
        <v>4104</v>
      </c>
      <c r="L65" s="99">
        <v>4.2869397677816767</v>
      </c>
      <c r="M65" s="99">
        <v>4398.4002017440007</v>
      </c>
      <c r="N65" s="99">
        <v>5</v>
      </c>
      <c r="O65" s="99">
        <v>5130</v>
      </c>
      <c r="P65" s="99">
        <v>5</v>
      </c>
      <c r="Q65" s="99">
        <v>5130</v>
      </c>
      <c r="R65" s="99">
        <v>5</v>
      </c>
      <c r="S65" s="99">
        <v>5130</v>
      </c>
      <c r="T65" s="99">
        <v>7</v>
      </c>
      <c r="U65" s="99">
        <v>7182</v>
      </c>
      <c r="V65" s="99">
        <v>6</v>
      </c>
      <c r="W65" s="99">
        <v>6156</v>
      </c>
      <c r="X65" s="99">
        <v>7</v>
      </c>
      <c r="Y65" s="99">
        <v>7182</v>
      </c>
      <c r="Z65" s="99">
        <v>5</v>
      </c>
      <c r="AA65" s="99">
        <v>5130</v>
      </c>
      <c r="AB65" s="99">
        <v>5</v>
      </c>
      <c r="AC65" s="99">
        <v>5130</v>
      </c>
      <c r="AD65" s="99">
        <v>4.3689660987737824</v>
      </c>
      <c r="AE65" s="99">
        <v>4482.5592173419009</v>
      </c>
      <c r="AF65" s="99">
        <v>3.2087228502422525</v>
      </c>
      <c r="AG65" s="99">
        <v>3292.1496443485512</v>
      </c>
      <c r="AH65" s="99">
        <v>3.8878300374586399</v>
      </c>
      <c r="AI65" s="99">
        <v>3988.9136184325644</v>
      </c>
      <c r="AJ65" s="99">
        <v>3.4090487934250158</v>
      </c>
      <c r="AK65" s="99">
        <v>3497.6840620540661</v>
      </c>
      <c r="AL65" s="99">
        <v>6</v>
      </c>
      <c r="AM65" s="99">
        <v>6156</v>
      </c>
      <c r="AN65" s="99">
        <v>5</v>
      </c>
      <c r="AO65" s="99">
        <v>5130</v>
      </c>
      <c r="AP65" s="99">
        <v>6</v>
      </c>
      <c r="AQ65" s="99">
        <v>6156</v>
      </c>
      <c r="AR65" s="99">
        <v>5.1521907873902455</v>
      </c>
      <c r="AS65" s="99">
        <v>5286.147747862392</v>
      </c>
      <c r="AT65" s="99">
        <v>2.2062694502924343</v>
      </c>
      <c r="AU65" s="99">
        <v>2263.6324560000376</v>
      </c>
      <c r="AV65" s="99">
        <v>1.69524999387759</v>
      </c>
      <c r="AW65" s="99">
        <v>1739.3264937184074</v>
      </c>
      <c r="AX65" s="99">
        <v>3.8570952062751602</v>
      </c>
      <c r="AY65" s="99">
        <v>3957.3796816383142</v>
      </c>
      <c r="AZ65" s="99">
        <v>4</v>
      </c>
      <c r="BA65" s="99">
        <v>4104</v>
      </c>
      <c r="BB65" s="99">
        <v>4.5154498887710668</v>
      </c>
      <c r="BC65" s="99">
        <v>4632.8515858791143</v>
      </c>
      <c r="BD65" s="99">
        <v>2.5054005293260779</v>
      </c>
      <c r="BE65" s="99">
        <v>2570.5409430885561</v>
      </c>
      <c r="BF65" s="99">
        <v>6.2620276405121631</v>
      </c>
      <c r="BG65" s="99">
        <v>6424.8403591654796</v>
      </c>
      <c r="BH65" s="99">
        <v>1.4797388504056579</v>
      </c>
      <c r="BI65" s="99">
        <v>1518.2120605162049</v>
      </c>
      <c r="BJ65" s="99">
        <v>1.9461656292586178</v>
      </c>
      <c r="BK65" s="99">
        <v>1996.7659356193419</v>
      </c>
      <c r="BL65" s="99">
        <v>6</v>
      </c>
      <c r="BM65" s="99">
        <v>6156</v>
      </c>
      <c r="BN65" s="99">
        <v>4</v>
      </c>
      <c r="BO65" s="99">
        <v>4104</v>
      </c>
      <c r="BP65" s="99">
        <v>3.6529731154488836</v>
      </c>
      <c r="BQ65" s="99">
        <v>3747.9504164505547</v>
      </c>
      <c r="BR65" s="99">
        <v>3.4790268843952115</v>
      </c>
      <c r="BS65" s="99">
        <v>3569.4815833894868</v>
      </c>
      <c r="BT65" s="99">
        <v>1.8180433626773476</v>
      </c>
      <c r="BU65" s="99">
        <v>1865.3124901069586</v>
      </c>
      <c r="BV65" s="99">
        <v>4.3688658144307473</v>
      </c>
      <c r="BW65" s="99">
        <v>4482.4563256059464</v>
      </c>
      <c r="BX65" s="99">
        <v>3.0231342819180447</v>
      </c>
      <c r="BY65" s="99">
        <v>3101.735773247914</v>
      </c>
      <c r="BZ65" s="99">
        <v>2.8392190678026807</v>
      </c>
      <c r="CA65" s="99">
        <v>2913.0387635655507</v>
      </c>
      <c r="CB65" s="99">
        <v>4</v>
      </c>
      <c r="CC65" s="99">
        <v>4104</v>
      </c>
      <c r="CD65" s="99">
        <v>5.6321518934888513</v>
      </c>
      <c r="CE65" s="99">
        <v>5778.5878427195612</v>
      </c>
      <c r="CF65" s="99">
        <v>4.9117442778637166</v>
      </c>
      <c r="CG65" s="99">
        <v>5039.4496290881734</v>
      </c>
      <c r="CH65" s="99">
        <v>3.5588312535930742</v>
      </c>
      <c r="CI65" s="99">
        <v>3651.3608661864941</v>
      </c>
      <c r="CJ65" s="99">
        <v>1.0769831720528198</v>
      </c>
      <c r="CK65" s="99">
        <v>1104.9847345261931</v>
      </c>
      <c r="CL65" s="99">
        <v>3.1076964138957321</v>
      </c>
      <c r="CM65" s="99">
        <v>3188.4965206570214</v>
      </c>
      <c r="CN65" s="99">
        <v>6</v>
      </c>
      <c r="CO65" s="99">
        <v>6156</v>
      </c>
      <c r="CP65" s="99">
        <v>3.9152948989759211</v>
      </c>
      <c r="CQ65" s="99">
        <v>4017.0925663492949</v>
      </c>
      <c r="CR65" s="99">
        <v>4.9952431472336611</v>
      </c>
      <c r="CS65" s="99">
        <v>5125.1194690617367</v>
      </c>
      <c r="CT65" s="99">
        <v>3.7416389196128219</v>
      </c>
      <c r="CU65" s="99">
        <v>3838.9215315227552</v>
      </c>
    </row>
    <row r="66" spans="2:99">
      <c r="C66" s="98" t="s">
        <v>232</v>
      </c>
      <c r="D66" s="99">
        <v>5</v>
      </c>
      <c r="E66" s="99">
        <v>5951.9999999999991</v>
      </c>
      <c r="F66" s="99">
        <v>5</v>
      </c>
      <c r="G66" s="99">
        <v>5951.9999999999991</v>
      </c>
      <c r="H66" s="99">
        <v>5</v>
      </c>
      <c r="I66" s="99">
        <v>5951.9999999999991</v>
      </c>
      <c r="J66" s="99">
        <v>3</v>
      </c>
      <c r="K66" s="99">
        <v>3571.2</v>
      </c>
      <c r="L66" s="99">
        <v>5.3347630624119562</v>
      </c>
      <c r="M66" s="99">
        <v>6350.5019494951921</v>
      </c>
      <c r="N66" s="99">
        <v>5</v>
      </c>
      <c r="O66" s="99">
        <v>5951.9999999999991</v>
      </c>
      <c r="P66" s="99">
        <v>5</v>
      </c>
      <c r="Q66" s="99">
        <v>5951.9999999999991</v>
      </c>
      <c r="R66" s="99">
        <v>4</v>
      </c>
      <c r="S66" s="99">
        <v>4761.5999999999995</v>
      </c>
      <c r="T66" s="99">
        <v>7</v>
      </c>
      <c r="U66" s="99">
        <v>8332.7999999999993</v>
      </c>
      <c r="V66" s="99">
        <v>6</v>
      </c>
      <c r="W66" s="99">
        <v>7142.4</v>
      </c>
      <c r="X66" s="99">
        <v>5</v>
      </c>
      <c r="Y66" s="99">
        <v>5951.9999999999991</v>
      </c>
      <c r="Z66" s="99">
        <v>5</v>
      </c>
      <c r="AA66" s="99">
        <v>5951.9999999999991</v>
      </c>
      <c r="AB66" s="99">
        <v>5</v>
      </c>
      <c r="AC66" s="99">
        <v>5951.9999999999991</v>
      </c>
      <c r="AD66" s="99">
        <v>3.508771830635514</v>
      </c>
      <c r="AE66" s="99">
        <v>4176.8419871885153</v>
      </c>
      <c r="AF66" s="99">
        <v>2.7810408322745035</v>
      </c>
      <c r="AG66" s="99">
        <v>3310.5510067395685</v>
      </c>
      <c r="AH66" s="99">
        <v>3.8878300374586399</v>
      </c>
      <c r="AI66" s="99">
        <v>4628.0728765907643</v>
      </c>
      <c r="AJ66" s="99">
        <v>3.4090487934250158</v>
      </c>
      <c r="AK66" s="99">
        <v>4058.1316836931383</v>
      </c>
      <c r="AL66" s="99">
        <v>6</v>
      </c>
      <c r="AM66" s="99">
        <v>7142.4</v>
      </c>
      <c r="AN66" s="99">
        <v>6</v>
      </c>
      <c r="AO66" s="99">
        <v>7142.4</v>
      </c>
      <c r="AP66" s="99">
        <v>6</v>
      </c>
      <c r="AQ66" s="99">
        <v>7142.4</v>
      </c>
      <c r="AR66" s="99">
        <v>5.9840625376471888</v>
      </c>
      <c r="AS66" s="99">
        <v>7123.4280448152131</v>
      </c>
      <c r="AT66" s="99">
        <v>2.2062694502924343</v>
      </c>
      <c r="AU66" s="99">
        <v>2626.3431536281137</v>
      </c>
      <c r="AV66" s="99">
        <v>1.6835190659931534</v>
      </c>
      <c r="AW66" s="99">
        <v>2004.0610961582495</v>
      </c>
      <c r="AX66" s="99">
        <v>3.8570952062751602</v>
      </c>
      <c r="AY66" s="99">
        <v>4591.48613354995</v>
      </c>
      <c r="AZ66" s="99">
        <v>4</v>
      </c>
      <c r="BA66" s="99">
        <v>4761.5999999999995</v>
      </c>
      <c r="BB66" s="99">
        <v>4.4805163900959988</v>
      </c>
      <c r="BC66" s="99">
        <v>5333.6067107702765</v>
      </c>
      <c r="BD66" s="99">
        <v>3.0064806351912932</v>
      </c>
      <c r="BE66" s="99">
        <v>3578.914548131715</v>
      </c>
      <c r="BF66" s="99">
        <v>7.2994601605853298</v>
      </c>
      <c r="BG66" s="99">
        <v>8689.2773751607747</v>
      </c>
      <c r="BH66" s="99">
        <v>1.1282167805291579</v>
      </c>
      <c r="BI66" s="99">
        <v>1343.0292555419094</v>
      </c>
      <c r="BJ66" s="99">
        <v>1.6218046910488484</v>
      </c>
      <c r="BK66" s="99">
        <v>1930.5963042245489</v>
      </c>
      <c r="BL66" s="99">
        <v>7</v>
      </c>
      <c r="BM66" s="99">
        <v>8332.7999999999993</v>
      </c>
      <c r="BN66" s="99">
        <v>3</v>
      </c>
      <c r="BO66" s="99">
        <v>3571.2</v>
      </c>
      <c r="BP66" s="99">
        <v>3.6529731154488836</v>
      </c>
      <c r="BQ66" s="99">
        <v>4348.4991966303505</v>
      </c>
      <c r="BR66" s="99">
        <v>4.3352592076172805</v>
      </c>
      <c r="BS66" s="99">
        <v>5160.6925607476096</v>
      </c>
      <c r="BT66" s="99">
        <v>1.8180433626773476</v>
      </c>
      <c r="BU66" s="99">
        <v>2164.1988189311141</v>
      </c>
      <c r="BV66" s="99">
        <v>4.3370903462377601</v>
      </c>
      <c r="BW66" s="99">
        <v>5162.8723481614288</v>
      </c>
      <c r="BX66" s="99">
        <v>3.2251831223467833</v>
      </c>
      <c r="BY66" s="99">
        <v>3839.2579888416103</v>
      </c>
      <c r="BZ66" s="99">
        <v>2.8392190678026807</v>
      </c>
      <c r="CA66" s="99">
        <v>3379.8063783123107</v>
      </c>
      <c r="CB66" s="99">
        <v>4</v>
      </c>
      <c r="CC66" s="99">
        <v>4761.5999999999995</v>
      </c>
      <c r="CD66" s="99">
        <v>5.6321518934888513</v>
      </c>
      <c r="CE66" s="99">
        <v>6704.5136140091281</v>
      </c>
      <c r="CF66" s="99">
        <v>5.6551895866391009</v>
      </c>
      <c r="CG66" s="99">
        <v>6731.9376839351853</v>
      </c>
      <c r="CH66" s="99">
        <v>2.965692711327562</v>
      </c>
      <c r="CI66" s="99">
        <v>3530.3606035643293</v>
      </c>
      <c r="CJ66" s="99">
        <v>0.93236791937464558</v>
      </c>
      <c r="CK66" s="99">
        <v>1109.890771223578</v>
      </c>
      <c r="CL66" s="99">
        <v>3.7292356966748779</v>
      </c>
      <c r="CM66" s="99">
        <v>4439.2821733217743</v>
      </c>
      <c r="CN66" s="99">
        <v>6</v>
      </c>
      <c r="CO66" s="99">
        <v>7142.4</v>
      </c>
      <c r="CP66" s="99">
        <v>4.6983538787711057</v>
      </c>
      <c r="CQ66" s="99">
        <v>5592.920457289124</v>
      </c>
      <c r="CR66" s="99">
        <v>4.9952431472336611</v>
      </c>
      <c r="CS66" s="99">
        <v>5946.3374424669491</v>
      </c>
      <c r="CT66" s="99">
        <v>3.7416389196128219</v>
      </c>
      <c r="CU66" s="99">
        <v>4454.0469699071027</v>
      </c>
    </row>
    <row r="67" spans="2:99">
      <c r="C67" s="98" t="s">
        <v>233</v>
      </c>
      <c r="D67" s="99">
        <v>5</v>
      </c>
      <c r="E67" s="99">
        <v>5616</v>
      </c>
      <c r="F67" s="99">
        <v>5</v>
      </c>
      <c r="G67" s="99">
        <v>5616</v>
      </c>
      <c r="H67" s="99">
        <v>4</v>
      </c>
      <c r="I67" s="99">
        <v>4492.8</v>
      </c>
      <c r="J67" s="99">
        <v>4</v>
      </c>
      <c r="K67" s="99">
        <v>4492.8</v>
      </c>
      <c r="L67" s="99">
        <v>5.2869397677816767</v>
      </c>
      <c r="M67" s="99">
        <v>5938.2907471723793</v>
      </c>
      <c r="N67" s="99">
        <v>5</v>
      </c>
      <c r="O67" s="99">
        <v>5616</v>
      </c>
      <c r="P67" s="99">
        <v>5</v>
      </c>
      <c r="Q67" s="99">
        <v>5616</v>
      </c>
      <c r="R67" s="99">
        <v>4</v>
      </c>
      <c r="S67" s="99">
        <v>4492.8</v>
      </c>
      <c r="T67" s="99">
        <v>6</v>
      </c>
      <c r="U67" s="99">
        <v>6739.2000000000007</v>
      </c>
      <c r="V67" s="99">
        <v>6</v>
      </c>
      <c r="W67" s="99">
        <v>6739.2000000000007</v>
      </c>
      <c r="X67" s="99">
        <v>6</v>
      </c>
      <c r="Y67" s="99">
        <v>6739.2000000000007</v>
      </c>
      <c r="Z67" s="99">
        <v>5</v>
      </c>
      <c r="AA67" s="99">
        <v>5616</v>
      </c>
      <c r="AB67" s="99">
        <v>5</v>
      </c>
      <c r="AC67" s="99">
        <v>5616</v>
      </c>
      <c r="AD67" s="99">
        <v>4.3519674092531719</v>
      </c>
      <c r="AE67" s="99">
        <v>4888.1297940731629</v>
      </c>
      <c r="AF67" s="99">
        <v>3.2087228502422525</v>
      </c>
      <c r="AG67" s="99">
        <v>3604.037505392098</v>
      </c>
      <c r="AH67" s="99">
        <v>3.1226870751306652</v>
      </c>
      <c r="AI67" s="99">
        <v>3507.4021227867634</v>
      </c>
      <c r="AJ67" s="99">
        <v>3.4090487934250158</v>
      </c>
      <c r="AK67" s="99">
        <v>3829.0436047749777</v>
      </c>
      <c r="AL67" s="99">
        <v>6</v>
      </c>
      <c r="AM67" s="99">
        <v>6739.2000000000007</v>
      </c>
      <c r="AN67" s="99">
        <v>5</v>
      </c>
      <c r="AO67" s="99">
        <v>5616</v>
      </c>
      <c r="AP67" s="99">
        <v>6</v>
      </c>
      <c r="AQ67" s="99">
        <v>6739.2000000000007</v>
      </c>
      <c r="AR67" s="99">
        <v>5.9694297843882262</v>
      </c>
      <c r="AS67" s="99">
        <v>6704.8635338248559</v>
      </c>
      <c r="AT67" s="99">
        <v>2.5540023093879243</v>
      </c>
      <c r="AU67" s="99">
        <v>2868.6553939045166</v>
      </c>
      <c r="AV67" s="99">
        <v>2.2134096136323729</v>
      </c>
      <c r="AW67" s="99">
        <v>2486.1016780318814</v>
      </c>
      <c r="AX67" s="99">
        <v>3.8570952062751602</v>
      </c>
      <c r="AY67" s="99">
        <v>4332.2893356882605</v>
      </c>
      <c r="AZ67" s="99">
        <v>4</v>
      </c>
      <c r="BA67" s="99">
        <v>4492.8</v>
      </c>
      <c r="BB67" s="99">
        <v>3.8094529055426456</v>
      </c>
      <c r="BC67" s="99">
        <v>4278.7775035055001</v>
      </c>
      <c r="BD67" s="99">
        <v>3.0064806351912932</v>
      </c>
      <c r="BE67" s="99">
        <v>3376.8790494468608</v>
      </c>
      <c r="BF67" s="99">
        <v>6.2994601605853298</v>
      </c>
      <c r="BG67" s="99">
        <v>7075.5536523694427</v>
      </c>
      <c r="BH67" s="99">
        <v>1.1576770088890216</v>
      </c>
      <c r="BI67" s="99">
        <v>1300.3028163841491</v>
      </c>
      <c r="BJ67" s="99">
        <v>1.6218046910488484</v>
      </c>
      <c r="BK67" s="99">
        <v>1821.6110289860667</v>
      </c>
      <c r="BL67" s="99">
        <v>7</v>
      </c>
      <c r="BM67" s="99">
        <v>7862.4000000000005</v>
      </c>
      <c r="BN67" s="99">
        <v>3</v>
      </c>
      <c r="BO67" s="99">
        <v>3369.6000000000004</v>
      </c>
      <c r="BP67" s="99">
        <v>3.6529731154488836</v>
      </c>
      <c r="BQ67" s="99">
        <v>4103.0194032721865</v>
      </c>
      <c r="BR67" s="99">
        <v>4.3460787259186677</v>
      </c>
      <c r="BS67" s="99">
        <v>4881.5156249518477</v>
      </c>
      <c r="BT67" s="99">
        <v>1.8180433626773476</v>
      </c>
      <c r="BU67" s="99">
        <v>2042.026304959197</v>
      </c>
      <c r="BV67" s="99">
        <v>4.3688658144307473</v>
      </c>
      <c r="BW67" s="99">
        <v>4907.1100827686159</v>
      </c>
      <c r="BX67" s="99">
        <v>3.0231342819180447</v>
      </c>
      <c r="BY67" s="99">
        <v>3395.5844254503481</v>
      </c>
      <c r="BZ67" s="99">
        <v>2.8392190678026807</v>
      </c>
      <c r="CA67" s="99">
        <v>3189.0108569559711</v>
      </c>
      <c r="CB67" s="99">
        <v>4</v>
      </c>
      <c r="CC67" s="99">
        <v>4492.8</v>
      </c>
      <c r="CD67" s="99">
        <v>5.6321518934888513</v>
      </c>
      <c r="CE67" s="99">
        <v>6326.0330067666782</v>
      </c>
      <c r="CF67" s="99">
        <v>5.6551895866391009</v>
      </c>
      <c r="CG67" s="99">
        <v>6351.9089437130388</v>
      </c>
      <c r="CH67" s="99">
        <v>3.5588312535930742</v>
      </c>
      <c r="CI67" s="99">
        <v>3997.2792640357411</v>
      </c>
      <c r="CJ67" s="99">
        <v>1.0816029151460769</v>
      </c>
      <c r="CK67" s="99">
        <v>1214.8563942920737</v>
      </c>
      <c r="CL67" s="99">
        <v>3.7292356966748779</v>
      </c>
      <c r="CM67" s="99">
        <v>4188.6775345052229</v>
      </c>
      <c r="CN67" s="99">
        <v>5</v>
      </c>
      <c r="CO67" s="99">
        <v>5616</v>
      </c>
      <c r="CP67" s="99">
        <v>4.6983538787711057</v>
      </c>
      <c r="CQ67" s="99">
        <v>5277.1910766357059</v>
      </c>
      <c r="CR67" s="99">
        <v>4.9952431472336611</v>
      </c>
      <c r="CS67" s="99">
        <v>5610.6571029728484</v>
      </c>
      <c r="CT67" s="99">
        <v>3.7416389196128219</v>
      </c>
      <c r="CU67" s="99">
        <v>4202.6088345091221</v>
      </c>
    </row>
    <row r="68" spans="2:99">
      <c r="C68" s="98" t="s">
        <v>234</v>
      </c>
      <c r="D68" s="99">
        <v>5</v>
      </c>
      <c r="E68" s="99">
        <v>5166</v>
      </c>
      <c r="F68" s="99">
        <v>5</v>
      </c>
      <c r="G68" s="99">
        <v>5166</v>
      </c>
      <c r="H68" s="99">
        <v>5</v>
      </c>
      <c r="I68" s="99">
        <v>5166</v>
      </c>
      <c r="J68" s="99">
        <v>3</v>
      </c>
      <c r="K68" s="99">
        <v>3099.6000000000004</v>
      </c>
      <c r="L68" s="99">
        <v>5.2869397677816767</v>
      </c>
      <c r="M68" s="99">
        <v>5462.4661680720283</v>
      </c>
      <c r="N68" s="99">
        <v>4</v>
      </c>
      <c r="O68" s="99">
        <v>4132.8</v>
      </c>
      <c r="P68" s="99">
        <v>5</v>
      </c>
      <c r="Q68" s="99">
        <v>5166</v>
      </c>
      <c r="R68" s="99">
        <v>5</v>
      </c>
      <c r="S68" s="99">
        <v>5166</v>
      </c>
      <c r="T68" s="99">
        <v>7</v>
      </c>
      <c r="U68" s="99">
        <v>7232.4000000000005</v>
      </c>
      <c r="V68" s="99">
        <v>5</v>
      </c>
      <c r="W68" s="99">
        <v>5166</v>
      </c>
      <c r="X68" s="99">
        <v>6</v>
      </c>
      <c r="Y68" s="99">
        <v>6199.2000000000007</v>
      </c>
      <c r="Z68" s="99">
        <v>5</v>
      </c>
      <c r="AA68" s="99">
        <v>5166</v>
      </c>
      <c r="AB68" s="99">
        <v>5</v>
      </c>
      <c r="AC68" s="99">
        <v>5166</v>
      </c>
      <c r="AD68" s="99">
        <v>4.3519674092531719</v>
      </c>
      <c r="AE68" s="99">
        <v>4496.4527272403775</v>
      </c>
      <c r="AF68" s="99">
        <v>3.2087228502422525</v>
      </c>
      <c r="AG68" s="99">
        <v>3315.2524488702952</v>
      </c>
      <c r="AH68" s="99">
        <v>3.1226870751306652</v>
      </c>
      <c r="AI68" s="99">
        <v>3226.3602860250035</v>
      </c>
      <c r="AJ68" s="99">
        <v>3.4090487934250158</v>
      </c>
      <c r="AK68" s="99">
        <v>3522.2292133667265</v>
      </c>
      <c r="AL68" s="99">
        <v>5</v>
      </c>
      <c r="AM68" s="99">
        <v>5166</v>
      </c>
      <c r="AN68" s="99">
        <v>6</v>
      </c>
      <c r="AO68" s="99">
        <v>6199.2000000000007</v>
      </c>
      <c r="AP68" s="99">
        <v>6</v>
      </c>
      <c r="AQ68" s="99">
        <v>6199.2000000000007</v>
      </c>
      <c r="AR68" s="99">
        <v>5.9840625376471888</v>
      </c>
      <c r="AS68" s="99">
        <v>6182.7334138970755</v>
      </c>
      <c r="AT68" s="99">
        <v>2.2062694502924343</v>
      </c>
      <c r="AU68" s="99">
        <v>2279.5175960421434</v>
      </c>
      <c r="AV68" s="99">
        <v>1.6717881381087165</v>
      </c>
      <c r="AW68" s="99">
        <v>1727.291504293926</v>
      </c>
      <c r="AX68" s="99">
        <v>3.8570952062751602</v>
      </c>
      <c r="AY68" s="99">
        <v>3985.1507671234958</v>
      </c>
      <c r="AZ68" s="99">
        <v>4</v>
      </c>
      <c r="BA68" s="99">
        <v>4132.8</v>
      </c>
      <c r="BB68" s="99">
        <v>4.5154498887710668</v>
      </c>
      <c r="BC68" s="99">
        <v>4665.3628250782667</v>
      </c>
      <c r="BD68" s="99">
        <v>2.5054005293260779</v>
      </c>
      <c r="BE68" s="99">
        <v>2588.5798268997037</v>
      </c>
      <c r="BF68" s="99">
        <v>6.2994601605853298</v>
      </c>
      <c r="BG68" s="99">
        <v>6508.6022379167634</v>
      </c>
      <c r="BH68" s="99">
        <v>1.4797388504056579</v>
      </c>
      <c r="BI68" s="99">
        <v>1528.8661802391257</v>
      </c>
      <c r="BJ68" s="99">
        <v>1.6218046910488484</v>
      </c>
      <c r="BK68" s="99">
        <v>1675.6486067916703</v>
      </c>
      <c r="BL68" s="99">
        <v>7</v>
      </c>
      <c r="BM68" s="99">
        <v>7232.4000000000005</v>
      </c>
      <c r="BN68" s="99">
        <v>4</v>
      </c>
      <c r="BO68" s="99">
        <v>4132.8</v>
      </c>
      <c r="BP68" s="99">
        <v>3.6529731154488836</v>
      </c>
      <c r="BQ68" s="99">
        <v>3774.2518228817867</v>
      </c>
      <c r="BR68" s="99">
        <v>4.3352592076172805</v>
      </c>
      <c r="BS68" s="99">
        <v>4479.189813310174</v>
      </c>
      <c r="BT68" s="99">
        <v>1.5187847727823356</v>
      </c>
      <c r="BU68" s="99">
        <v>1569.2084272387092</v>
      </c>
      <c r="BV68" s="99">
        <v>5.1473125727379356</v>
      </c>
      <c r="BW68" s="99">
        <v>5318.2033501528349</v>
      </c>
      <c r="BX68" s="99">
        <v>3.2251831223467833</v>
      </c>
      <c r="BY68" s="99">
        <v>3332.2592020086968</v>
      </c>
      <c r="BZ68" s="99">
        <v>2.8392190678026807</v>
      </c>
      <c r="CA68" s="99">
        <v>2933.4811408537298</v>
      </c>
      <c r="CB68" s="99">
        <v>4</v>
      </c>
      <c r="CC68" s="99">
        <v>4132.8</v>
      </c>
      <c r="CD68" s="99">
        <v>5.6321518934888513</v>
      </c>
      <c r="CE68" s="99">
        <v>5819.1393363526813</v>
      </c>
      <c r="CF68" s="99">
        <v>4.886684698685305</v>
      </c>
      <c r="CG68" s="99">
        <v>5048.9226306816572</v>
      </c>
      <c r="CH68" s="99">
        <v>3.5588312535930742</v>
      </c>
      <c r="CI68" s="99">
        <v>3676.9844512123645</v>
      </c>
      <c r="CJ68" s="99">
        <v>1.0769831720528198</v>
      </c>
      <c r="CK68" s="99">
        <v>1112.7390133649735</v>
      </c>
      <c r="CL68" s="99">
        <v>3.1076964138957321</v>
      </c>
      <c r="CM68" s="99">
        <v>3210.8719348370705</v>
      </c>
      <c r="CN68" s="99">
        <v>6</v>
      </c>
      <c r="CO68" s="99">
        <v>6199.2000000000007</v>
      </c>
      <c r="CP68" s="99">
        <v>4.6983538787711057</v>
      </c>
      <c r="CQ68" s="99">
        <v>4854.3392275463066</v>
      </c>
      <c r="CR68" s="99">
        <v>4.1627026226947175</v>
      </c>
      <c r="CS68" s="99">
        <v>4300.9043497681823</v>
      </c>
      <c r="CT68" s="99">
        <v>3.7416389196128219</v>
      </c>
      <c r="CU68" s="99">
        <v>3865.8613317439676</v>
      </c>
    </row>
    <row r="69" spans="2:99">
      <c r="C69" s="98" t="s">
        <v>235</v>
      </c>
      <c r="D69" s="99">
        <v>6</v>
      </c>
      <c r="E69" s="99">
        <v>4550.3999999999996</v>
      </c>
      <c r="F69" s="99">
        <v>5</v>
      </c>
      <c r="G69" s="99">
        <v>3792</v>
      </c>
      <c r="H69" s="99">
        <v>5</v>
      </c>
      <c r="I69" s="99">
        <v>3792</v>
      </c>
      <c r="J69" s="99">
        <v>3</v>
      </c>
      <c r="K69" s="99">
        <v>2275.1999999999998</v>
      </c>
      <c r="L69" s="99">
        <v>5.2869397677816767</v>
      </c>
      <c r="M69" s="99">
        <v>4009.6151198856237</v>
      </c>
      <c r="N69" s="99">
        <v>5</v>
      </c>
      <c r="O69" s="99">
        <v>3792</v>
      </c>
      <c r="P69" s="99">
        <v>5</v>
      </c>
      <c r="Q69" s="99">
        <v>3792</v>
      </c>
      <c r="R69" s="99">
        <v>5</v>
      </c>
      <c r="S69" s="99">
        <v>3792</v>
      </c>
      <c r="T69" s="99">
        <v>7</v>
      </c>
      <c r="U69" s="99">
        <v>5308.8</v>
      </c>
      <c r="V69" s="99">
        <v>6</v>
      </c>
      <c r="W69" s="99">
        <v>4550.3999999999996</v>
      </c>
      <c r="X69" s="99">
        <v>6</v>
      </c>
      <c r="Y69" s="99">
        <v>4550.3999999999996</v>
      </c>
      <c r="Z69" s="99">
        <v>5</v>
      </c>
      <c r="AA69" s="99">
        <v>3792</v>
      </c>
      <c r="AB69" s="99">
        <v>5</v>
      </c>
      <c r="AC69" s="99">
        <v>3792</v>
      </c>
      <c r="AD69" s="99">
        <v>3.5257705201561245</v>
      </c>
      <c r="AE69" s="99">
        <v>2673.9443624864048</v>
      </c>
      <c r="AF69" s="99">
        <v>2.7810408322745035</v>
      </c>
      <c r="AG69" s="99">
        <v>2109.1413671969835</v>
      </c>
      <c r="AH69" s="99">
        <v>3.1226870751306652</v>
      </c>
      <c r="AI69" s="99">
        <v>2368.2458777790966</v>
      </c>
      <c r="AJ69" s="99">
        <v>3.4090487934250158</v>
      </c>
      <c r="AK69" s="99">
        <v>2585.4226049335321</v>
      </c>
      <c r="AL69" s="99">
        <v>6</v>
      </c>
      <c r="AM69" s="99">
        <v>4550.3999999999996</v>
      </c>
      <c r="AN69" s="99">
        <v>5</v>
      </c>
      <c r="AO69" s="99">
        <v>3792</v>
      </c>
      <c r="AP69" s="99">
        <v>7</v>
      </c>
      <c r="AQ69" s="99">
        <v>5308.8</v>
      </c>
      <c r="AR69" s="99">
        <v>5.9694297843882262</v>
      </c>
      <c r="AS69" s="99">
        <v>4527.2155484800305</v>
      </c>
      <c r="AT69" s="99">
        <v>2.5368776957137111</v>
      </c>
      <c r="AU69" s="99">
        <v>1923.9680444292785</v>
      </c>
      <c r="AV69" s="99">
        <v>1.6835190659931534</v>
      </c>
      <c r="AW69" s="99">
        <v>1276.7808596492075</v>
      </c>
      <c r="AX69" s="99">
        <v>3.8570952062751602</v>
      </c>
      <c r="AY69" s="99">
        <v>2925.2210044390813</v>
      </c>
      <c r="AZ69" s="99">
        <v>5</v>
      </c>
      <c r="BA69" s="99">
        <v>3792</v>
      </c>
      <c r="BB69" s="99">
        <v>4.4805163900959988</v>
      </c>
      <c r="BC69" s="99">
        <v>3398.0236302488051</v>
      </c>
      <c r="BD69" s="99">
        <v>3.0064806351912932</v>
      </c>
      <c r="BE69" s="99">
        <v>2280.1149137290768</v>
      </c>
      <c r="BF69" s="99">
        <v>6.2620276405121631</v>
      </c>
      <c r="BG69" s="99">
        <v>4749.121762564424</v>
      </c>
      <c r="BH69" s="99">
        <v>1.1429468947090897</v>
      </c>
      <c r="BI69" s="99">
        <v>866.81092494737356</v>
      </c>
      <c r="BJ69" s="99">
        <v>1.6218046910488484</v>
      </c>
      <c r="BK69" s="99">
        <v>1229.9766776914466</v>
      </c>
      <c r="BL69" s="99">
        <v>6</v>
      </c>
      <c r="BM69" s="99">
        <v>4550.3999999999996</v>
      </c>
      <c r="BN69" s="99">
        <v>4</v>
      </c>
      <c r="BO69" s="99">
        <v>3033.6</v>
      </c>
      <c r="BP69" s="99">
        <v>3.6529731154488836</v>
      </c>
      <c r="BQ69" s="99">
        <v>2770.4148107564333</v>
      </c>
      <c r="BR69" s="99">
        <v>4.3460787259186677</v>
      </c>
      <c r="BS69" s="99">
        <v>3296.0661057367174</v>
      </c>
      <c r="BT69" s="99">
        <v>1.8200880738870999</v>
      </c>
      <c r="BU69" s="99">
        <v>1380.3547952359766</v>
      </c>
      <c r="BV69" s="99">
        <v>4.3688658144307473</v>
      </c>
      <c r="BW69" s="99">
        <v>3313.3478336642788</v>
      </c>
      <c r="BX69" s="99">
        <v>3.2251831223467833</v>
      </c>
      <c r="BY69" s="99">
        <v>2445.9788799878002</v>
      </c>
      <c r="BZ69" s="99">
        <v>2.8392190678026807</v>
      </c>
      <c r="CA69" s="99">
        <v>2153.263741021553</v>
      </c>
      <c r="CB69" s="99">
        <v>4</v>
      </c>
      <c r="CC69" s="99">
        <v>3033.6</v>
      </c>
      <c r="CD69" s="99">
        <v>6.570843875736994</v>
      </c>
      <c r="CE69" s="99">
        <v>4983.3279953589363</v>
      </c>
      <c r="CF69" s="99">
        <v>5.6802491658175125</v>
      </c>
      <c r="CG69" s="99">
        <v>4307.9009673560013</v>
      </c>
      <c r="CH69" s="99">
        <v>2.965692711327562</v>
      </c>
      <c r="CI69" s="99">
        <v>2249.181352270823</v>
      </c>
      <c r="CJ69" s="99">
        <v>0.92774817628138828</v>
      </c>
      <c r="CK69" s="99">
        <v>703.60421689180487</v>
      </c>
      <c r="CL69" s="99">
        <v>3.7292356966748779</v>
      </c>
      <c r="CM69" s="99">
        <v>2828.2523523582272</v>
      </c>
      <c r="CN69" s="99">
        <v>6</v>
      </c>
      <c r="CO69" s="99">
        <v>4550.3999999999996</v>
      </c>
      <c r="CP69" s="99">
        <v>4.6983538787711057</v>
      </c>
      <c r="CQ69" s="99">
        <v>3563.2315816600062</v>
      </c>
      <c r="CR69" s="99">
        <v>4.9952431472336611</v>
      </c>
      <c r="CS69" s="99">
        <v>3788.3924028620086</v>
      </c>
      <c r="CT69" s="99">
        <v>3.7416389196128219</v>
      </c>
      <c r="CU69" s="99">
        <v>2837.6589566343641</v>
      </c>
    </row>
    <row r="70" spans="2:99">
      <c r="C70" s="98" t="s">
        <v>236</v>
      </c>
      <c r="D70" s="99">
        <v>5</v>
      </c>
      <c r="E70" s="99">
        <v>2675.9999999999995</v>
      </c>
      <c r="F70" s="99">
        <v>5</v>
      </c>
      <c r="G70" s="99">
        <v>2675.9999999999995</v>
      </c>
      <c r="H70" s="99">
        <v>5</v>
      </c>
      <c r="I70" s="99">
        <v>2675.9999999999995</v>
      </c>
      <c r="J70" s="99">
        <v>4</v>
      </c>
      <c r="K70" s="99">
        <v>2140.7999999999997</v>
      </c>
      <c r="L70" s="99">
        <v>5.2869397677816767</v>
      </c>
      <c r="M70" s="99">
        <v>2829.5701637167531</v>
      </c>
      <c r="N70" s="99">
        <v>5</v>
      </c>
      <c r="O70" s="99">
        <v>2675.9999999999995</v>
      </c>
      <c r="P70" s="99">
        <v>5</v>
      </c>
      <c r="Q70" s="99">
        <v>2675.9999999999995</v>
      </c>
      <c r="R70" s="99">
        <v>5</v>
      </c>
      <c r="S70" s="99">
        <v>2675.9999999999995</v>
      </c>
      <c r="T70" s="99">
        <v>6</v>
      </c>
      <c r="U70" s="99">
        <v>3211.2</v>
      </c>
      <c r="V70" s="99">
        <v>6</v>
      </c>
      <c r="W70" s="99">
        <v>3211.2</v>
      </c>
      <c r="X70" s="99">
        <v>7</v>
      </c>
      <c r="Y70" s="99">
        <v>3746.3999999999996</v>
      </c>
      <c r="Z70" s="99">
        <v>6</v>
      </c>
      <c r="AA70" s="99">
        <v>3211.2</v>
      </c>
      <c r="AB70" s="99">
        <v>5</v>
      </c>
      <c r="AC70" s="99">
        <v>2675.9999999999995</v>
      </c>
      <c r="AD70" s="99">
        <v>4.3519674092531719</v>
      </c>
      <c r="AE70" s="99">
        <v>2329.1729574322972</v>
      </c>
      <c r="AF70" s="99">
        <v>3.2240763305613962</v>
      </c>
      <c r="AG70" s="99">
        <v>1725.525652116459</v>
      </c>
      <c r="AH70" s="99">
        <v>3.8922668393028377</v>
      </c>
      <c r="AI70" s="99">
        <v>2083.1412123948785</v>
      </c>
      <c r="AJ70" s="99">
        <v>3.4090487934250158</v>
      </c>
      <c r="AK70" s="99">
        <v>1824.5229142410683</v>
      </c>
      <c r="AL70" s="99">
        <v>7</v>
      </c>
      <c r="AM70" s="99">
        <v>3746.3999999999996</v>
      </c>
      <c r="AN70" s="99">
        <v>5</v>
      </c>
      <c r="AO70" s="99">
        <v>2675.9999999999995</v>
      </c>
      <c r="AP70" s="99">
        <v>7</v>
      </c>
      <c r="AQ70" s="99">
        <v>3746.3999999999996</v>
      </c>
      <c r="AR70" s="99">
        <v>5.137558034131283</v>
      </c>
      <c r="AS70" s="99">
        <v>2749.6210598670623</v>
      </c>
      <c r="AT70" s="99">
        <v>2.1891448366182211</v>
      </c>
      <c r="AU70" s="99">
        <v>1171.6303165580719</v>
      </c>
      <c r="AV70" s="99">
        <v>1.6835190659931534</v>
      </c>
      <c r="AW70" s="99">
        <v>901.01940411953558</v>
      </c>
      <c r="AX70" s="99">
        <v>3.8570952062751602</v>
      </c>
      <c r="AY70" s="99">
        <v>2064.3173543984653</v>
      </c>
      <c r="AZ70" s="99">
        <v>5</v>
      </c>
      <c r="BA70" s="99">
        <v>2675.9999999999995</v>
      </c>
      <c r="BB70" s="99">
        <v>3.7745194068675776</v>
      </c>
      <c r="BC70" s="99">
        <v>2020.1227865555272</v>
      </c>
      <c r="BD70" s="99">
        <v>3.0064806351912932</v>
      </c>
      <c r="BE70" s="99">
        <v>1609.06843595438</v>
      </c>
      <c r="BF70" s="99">
        <v>6.3368926806584955</v>
      </c>
      <c r="BG70" s="99">
        <v>3391.5049626884265</v>
      </c>
      <c r="BH70" s="99">
        <v>1.4944689645855895</v>
      </c>
      <c r="BI70" s="99">
        <v>799.8397898462074</v>
      </c>
      <c r="BJ70" s="99">
        <v>1.9461656292586178</v>
      </c>
      <c r="BK70" s="99">
        <v>1041.5878447792122</v>
      </c>
      <c r="BL70" s="99">
        <v>7</v>
      </c>
      <c r="BM70" s="99">
        <v>3746.3999999999996</v>
      </c>
      <c r="BN70" s="99">
        <v>4</v>
      </c>
      <c r="BO70" s="99">
        <v>2140.7999999999997</v>
      </c>
      <c r="BP70" s="99">
        <v>3.6529731154488836</v>
      </c>
      <c r="BQ70" s="99">
        <v>1955.0712113882423</v>
      </c>
      <c r="BR70" s="99">
        <v>4.3460787259186677</v>
      </c>
      <c r="BS70" s="99">
        <v>2326.0213341116705</v>
      </c>
      <c r="BT70" s="99">
        <v>2.115257241362607</v>
      </c>
      <c r="BU70" s="99">
        <v>1132.085675577267</v>
      </c>
      <c r="BV70" s="99">
        <v>4.3370903462377601</v>
      </c>
      <c r="BW70" s="99">
        <v>2321.2107533064491</v>
      </c>
      <c r="BX70" s="99">
        <v>3.0231342819180447</v>
      </c>
      <c r="BY70" s="99">
        <v>1617.9814676825374</v>
      </c>
      <c r="BZ70" s="99">
        <v>3.5490238347533509</v>
      </c>
      <c r="CA70" s="99">
        <v>1899.4375563599931</v>
      </c>
      <c r="CB70" s="99">
        <v>4</v>
      </c>
      <c r="CC70" s="99">
        <v>2140.7999999999997</v>
      </c>
      <c r="CD70" s="99">
        <v>6.570843875736994</v>
      </c>
      <c r="CE70" s="99">
        <v>3516.7156422944386</v>
      </c>
      <c r="CF70" s="99">
        <v>4.9117442778637166</v>
      </c>
      <c r="CG70" s="99">
        <v>2628.7655375126606</v>
      </c>
      <c r="CH70" s="99">
        <v>2.965692711327562</v>
      </c>
      <c r="CI70" s="99">
        <v>1587.2387391025109</v>
      </c>
      <c r="CJ70" s="99">
        <v>1.0862226582393339</v>
      </c>
      <c r="CK70" s="99">
        <v>581.34636668969142</v>
      </c>
      <c r="CL70" s="99">
        <v>3.7292356966748779</v>
      </c>
      <c r="CM70" s="99">
        <v>1995.8869448603944</v>
      </c>
      <c r="CN70" s="99">
        <v>6</v>
      </c>
      <c r="CO70" s="99">
        <v>3211.2</v>
      </c>
      <c r="CP70" s="99">
        <v>4.6983538787711057</v>
      </c>
      <c r="CQ70" s="99">
        <v>2514.5589959182953</v>
      </c>
      <c r="CR70" s="99">
        <v>4.9952431472336611</v>
      </c>
      <c r="CS70" s="99">
        <v>2673.4541323994549</v>
      </c>
      <c r="CT70" s="99">
        <v>4.4899667035353863</v>
      </c>
      <c r="CU70" s="99">
        <v>2403.0301797321385</v>
      </c>
    </row>
    <row r="71" spans="2:99">
      <c r="B71" s="98" t="s">
        <v>130</v>
      </c>
      <c r="C71" s="98" t="s">
        <v>237</v>
      </c>
      <c r="D71" s="99">
        <v>6</v>
      </c>
      <c r="E71" s="99">
        <v>3384</v>
      </c>
      <c r="F71" s="99">
        <v>3</v>
      </c>
      <c r="G71" s="99">
        <v>1692</v>
      </c>
      <c r="H71" s="99">
        <v>4</v>
      </c>
      <c r="I71" s="99">
        <v>2256</v>
      </c>
      <c r="J71" s="99">
        <v>4</v>
      </c>
      <c r="K71" s="99">
        <v>2256</v>
      </c>
      <c r="L71" s="99">
        <v>4</v>
      </c>
      <c r="M71" s="99">
        <v>2256</v>
      </c>
      <c r="N71" s="99">
        <v>6</v>
      </c>
      <c r="O71" s="99">
        <v>3384</v>
      </c>
      <c r="P71" s="99">
        <v>6</v>
      </c>
      <c r="Q71" s="99">
        <v>3384</v>
      </c>
      <c r="R71" s="99">
        <v>5</v>
      </c>
      <c r="S71" s="99">
        <v>2820</v>
      </c>
      <c r="T71" s="99">
        <v>5</v>
      </c>
      <c r="U71" s="99">
        <v>2820</v>
      </c>
      <c r="V71" s="99">
        <v>3.6493421378702688</v>
      </c>
      <c r="W71" s="99">
        <v>2058.2289657588317</v>
      </c>
      <c r="X71" s="99">
        <v>3</v>
      </c>
      <c r="Y71" s="99">
        <v>1692</v>
      </c>
      <c r="Z71" s="99">
        <v>3</v>
      </c>
      <c r="AA71" s="99">
        <v>1692</v>
      </c>
      <c r="AB71" s="99">
        <v>3</v>
      </c>
      <c r="AC71" s="99">
        <v>1692</v>
      </c>
      <c r="AD71" s="99">
        <v>4</v>
      </c>
      <c r="AE71" s="99">
        <v>2256</v>
      </c>
      <c r="AF71" s="99">
        <v>4</v>
      </c>
      <c r="AG71" s="99">
        <v>2256</v>
      </c>
      <c r="AH71" s="99">
        <v>5.4398677356640563</v>
      </c>
      <c r="AI71" s="99">
        <v>3068.085402914528</v>
      </c>
      <c r="AJ71" s="99">
        <v>6</v>
      </c>
      <c r="AK71" s="99">
        <v>3384</v>
      </c>
      <c r="AL71" s="99">
        <v>5</v>
      </c>
      <c r="AM71" s="99">
        <v>2820</v>
      </c>
      <c r="AN71" s="99">
        <v>5.4384548301561102</v>
      </c>
      <c r="AO71" s="99">
        <v>3067.2885242080461</v>
      </c>
      <c r="AP71" s="99">
        <v>5</v>
      </c>
      <c r="AQ71" s="99">
        <v>2820</v>
      </c>
      <c r="AR71" s="99">
        <v>6</v>
      </c>
      <c r="AS71" s="99">
        <v>3384</v>
      </c>
      <c r="AT71" s="99">
        <v>6</v>
      </c>
      <c r="AU71" s="99">
        <v>3384</v>
      </c>
      <c r="AV71" s="99">
        <v>5</v>
      </c>
      <c r="AW71" s="99">
        <v>2820</v>
      </c>
      <c r="AX71" s="99">
        <v>4</v>
      </c>
      <c r="AY71" s="99">
        <v>2256</v>
      </c>
      <c r="AZ71" s="99">
        <v>3</v>
      </c>
      <c r="BA71" s="99">
        <v>1692</v>
      </c>
      <c r="BB71" s="99">
        <v>6</v>
      </c>
      <c r="BC71" s="99">
        <v>3384</v>
      </c>
      <c r="BD71" s="99">
        <v>4.6494551814401337</v>
      </c>
      <c r="BE71" s="99">
        <v>2622.2927223322354</v>
      </c>
      <c r="BF71" s="99">
        <v>6</v>
      </c>
      <c r="BG71" s="99">
        <v>3384</v>
      </c>
      <c r="BH71" s="99">
        <v>3</v>
      </c>
      <c r="BI71" s="99">
        <v>1692</v>
      </c>
      <c r="BJ71" s="99">
        <v>5</v>
      </c>
      <c r="BK71" s="99">
        <v>2820</v>
      </c>
      <c r="BL71" s="99">
        <v>6</v>
      </c>
      <c r="BM71" s="99">
        <v>3384</v>
      </c>
      <c r="BN71" s="99">
        <v>5</v>
      </c>
      <c r="BO71" s="99">
        <v>2820</v>
      </c>
      <c r="BP71" s="99">
        <v>4</v>
      </c>
      <c r="BQ71" s="99">
        <v>2256</v>
      </c>
      <c r="BR71" s="99">
        <v>4</v>
      </c>
      <c r="BS71" s="99">
        <v>2256</v>
      </c>
      <c r="BT71" s="99">
        <v>5</v>
      </c>
      <c r="BU71" s="99">
        <v>2820</v>
      </c>
      <c r="BV71" s="99">
        <v>5</v>
      </c>
      <c r="BW71" s="99">
        <v>2820</v>
      </c>
      <c r="BX71" s="99">
        <v>4</v>
      </c>
      <c r="BY71" s="99">
        <v>2256</v>
      </c>
      <c r="BZ71" s="99">
        <v>5</v>
      </c>
      <c r="CA71" s="99">
        <v>2820</v>
      </c>
      <c r="CB71" s="99">
        <v>4</v>
      </c>
      <c r="CC71" s="99">
        <v>2256</v>
      </c>
      <c r="CD71" s="99">
        <v>5</v>
      </c>
      <c r="CE71" s="99">
        <v>2820</v>
      </c>
      <c r="CF71" s="99">
        <v>4</v>
      </c>
      <c r="CG71" s="99">
        <v>2256</v>
      </c>
      <c r="CH71" s="99">
        <v>6</v>
      </c>
      <c r="CI71" s="99">
        <v>3384</v>
      </c>
      <c r="CJ71" s="99">
        <v>6</v>
      </c>
      <c r="CK71" s="99">
        <v>3384</v>
      </c>
      <c r="CL71" s="99">
        <v>4</v>
      </c>
      <c r="CM71" s="99">
        <v>2256</v>
      </c>
      <c r="CN71" s="99">
        <v>4</v>
      </c>
      <c r="CO71" s="99">
        <v>2256</v>
      </c>
      <c r="CP71" s="99">
        <v>5</v>
      </c>
      <c r="CQ71" s="99">
        <v>2820</v>
      </c>
      <c r="CR71" s="99">
        <v>3</v>
      </c>
      <c r="CS71" s="99">
        <v>1692</v>
      </c>
      <c r="CT71" s="99">
        <v>4.2258360989037662</v>
      </c>
      <c r="CU71" s="99">
        <v>2383.371559781724</v>
      </c>
    </row>
    <row r="72" spans="2:99">
      <c r="C72" s="98" t="s">
        <v>238</v>
      </c>
      <c r="D72" s="99">
        <v>6</v>
      </c>
      <c r="E72" s="99">
        <v>446.4</v>
      </c>
      <c r="F72" s="99">
        <v>3</v>
      </c>
      <c r="G72" s="99">
        <v>223.2</v>
      </c>
      <c r="H72" s="99">
        <v>4</v>
      </c>
      <c r="I72" s="99">
        <v>297.59999999999997</v>
      </c>
      <c r="J72" s="99">
        <v>4</v>
      </c>
      <c r="K72" s="99">
        <v>297.59999999999997</v>
      </c>
      <c r="L72" s="99">
        <v>4</v>
      </c>
      <c r="M72" s="99">
        <v>297.59999999999997</v>
      </c>
      <c r="N72" s="99">
        <v>6</v>
      </c>
      <c r="O72" s="99">
        <v>446.4</v>
      </c>
      <c r="P72" s="99">
        <v>6</v>
      </c>
      <c r="Q72" s="99">
        <v>446.4</v>
      </c>
      <c r="R72" s="99">
        <v>5</v>
      </c>
      <c r="S72" s="99">
        <v>371.99999999999994</v>
      </c>
      <c r="T72" s="99">
        <v>6</v>
      </c>
      <c r="U72" s="99">
        <v>446.4</v>
      </c>
      <c r="V72" s="99">
        <v>4.6992915330910581</v>
      </c>
      <c r="W72" s="99">
        <v>349.62729006197469</v>
      </c>
      <c r="X72" s="99">
        <v>4</v>
      </c>
      <c r="Y72" s="99">
        <v>297.59999999999997</v>
      </c>
      <c r="Z72" s="99">
        <v>3</v>
      </c>
      <c r="AA72" s="99">
        <v>223.2</v>
      </c>
      <c r="AB72" s="99">
        <v>3</v>
      </c>
      <c r="AC72" s="99">
        <v>223.2</v>
      </c>
      <c r="AD72" s="99">
        <v>4</v>
      </c>
      <c r="AE72" s="99">
        <v>297.59999999999997</v>
      </c>
      <c r="AF72" s="99">
        <v>5</v>
      </c>
      <c r="AG72" s="99">
        <v>371.99999999999994</v>
      </c>
      <c r="AH72" s="99">
        <v>6.4398677356640563</v>
      </c>
      <c r="AI72" s="99">
        <v>479.12615953340571</v>
      </c>
      <c r="AJ72" s="99">
        <v>6</v>
      </c>
      <c r="AK72" s="99">
        <v>446.4</v>
      </c>
      <c r="AL72" s="99">
        <v>6</v>
      </c>
      <c r="AM72" s="99">
        <v>446.4</v>
      </c>
      <c r="AN72" s="99">
        <v>5.4871720335067886</v>
      </c>
      <c r="AO72" s="99">
        <v>408.24559929290501</v>
      </c>
      <c r="AP72" s="99">
        <v>5</v>
      </c>
      <c r="AQ72" s="99">
        <v>371.99999999999994</v>
      </c>
      <c r="AR72" s="99">
        <v>6</v>
      </c>
      <c r="AS72" s="99">
        <v>446.4</v>
      </c>
      <c r="AT72" s="99">
        <v>6</v>
      </c>
      <c r="AU72" s="99">
        <v>446.4</v>
      </c>
      <c r="AV72" s="99">
        <v>5</v>
      </c>
      <c r="AW72" s="99">
        <v>371.99999999999994</v>
      </c>
      <c r="AX72" s="99">
        <v>4</v>
      </c>
      <c r="AY72" s="99">
        <v>297.59999999999997</v>
      </c>
      <c r="AZ72" s="99">
        <v>3</v>
      </c>
      <c r="BA72" s="99">
        <v>223.2</v>
      </c>
      <c r="BB72" s="99">
        <v>7</v>
      </c>
      <c r="BC72" s="99">
        <v>520.79999999999995</v>
      </c>
      <c r="BD72" s="99">
        <v>4.6994132723201432</v>
      </c>
      <c r="BE72" s="99">
        <v>349.63634746061859</v>
      </c>
      <c r="BF72" s="99">
        <v>6</v>
      </c>
      <c r="BG72" s="99">
        <v>446.4</v>
      </c>
      <c r="BH72" s="99">
        <v>3</v>
      </c>
      <c r="BI72" s="99">
        <v>223.2</v>
      </c>
      <c r="BJ72" s="99">
        <v>5</v>
      </c>
      <c r="BK72" s="99">
        <v>371.99999999999994</v>
      </c>
      <c r="BL72" s="99">
        <v>6</v>
      </c>
      <c r="BM72" s="99">
        <v>446.4</v>
      </c>
      <c r="BN72" s="99">
        <v>4</v>
      </c>
      <c r="BO72" s="99">
        <v>297.59999999999997</v>
      </c>
      <c r="BP72" s="99">
        <v>4</v>
      </c>
      <c r="BQ72" s="99">
        <v>297.59999999999997</v>
      </c>
      <c r="BR72" s="99">
        <v>4</v>
      </c>
      <c r="BS72" s="99">
        <v>297.59999999999997</v>
      </c>
      <c r="BT72" s="99">
        <v>5</v>
      </c>
      <c r="BU72" s="99">
        <v>371.99999999999994</v>
      </c>
      <c r="BV72" s="99">
        <v>4</v>
      </c>
      <c r="BW72" s="99">
        <v>297.59999999999997</v>
      </c>
      <c r="BX72" s="99">
        <v>4</v>
      </c>
      <c r="BY72" s="99">
        <v>297.59999999999997</v>
      </c>
      <c r="BZ72" s="99">
        <v>5</v>
      </c>
      <c r="CA72" s="99">
        <v>371.99999999999994</v>
      </c>
      <c r="CB72" s="99">
        <v>5</v>
      </c>
      <c r="CC72" s="99">
        <v>371.99999999999994</v>
      </c>
      <c r="CD72" s="99">
        <v>5</v>
      </c>
      <c r="CE72" s="99">
        <v>371.99999999999994</v>
      </c>
      <c r="CF72" s="99">
        <v>4</v>
      </c>
      <c r="CG72" s="99">
        <v>297.59999999999997</v>
      </c>
      <c r="CH72" s="99">
        <v>6</v>
      </c>
      <c r="CI72" s="99">
        <v>446.4</v>
      </c>
      <c r="CJ72" s="99">
        <v>5</v>
      </c>
      <c r="CK72" s="99">
        <v>371.99999999999994</v>
      </c>
      <c r="CL72" s="99">
        <v>5</v>
      </c>
      <c r="CM72" s="99">
        <v>371.99999999999994</v>
      </c>
      <c r="CN72" s="99">
        <v>4</v>
      </c>
      <c r="CO72" s="99">
        <v>297.59999999999997</v>
      </c>
      <c r="CP72" s="99">
        <v>6</v>
      </c>
      <c r="CQ72" s="99">
        <v>446.4</v>
      </c>
      <c r="CR72" s="99">
        <v>3</v>
      </c>
      <c r="CS72" s="99">
        <v>223.2</v>
      </c>
      <c r="CT72" s="99">
        <v>4.2258360989037662</v>
      </c>
      <c r="CU72" s="99">
        <v>314.40220575844018</v>
      </c>
    </row>
    <row r="73" spans="2:99">
      <c r="C73" s="98" t="s">
        <v>239</v>
      </c>
      <c r="D73" s="99">
        <v>5</v>
      </c>
      <c r="E73" s="99">
        <v>2795.9999999999995</v>
      </c>
      <c r="F73" s="99">
        <v>3</v>
      </c>
      <c r="G73" s="99">
        <v>1677.6</v>
      </c>
      <c r="H73" s="99">
        <v>4</v>
      </c>
      <c r="I73" s="99">
        <v>2236.7999999999997</v>
      </c>
      <c r="J73" s="99">
        <v>4</v>
      </c>
      <c r="K73" s="99">
        <v>2236.7999999999997</v>
      </c>
      <c r="L73" s="99">
        <v>5</v>
      </c>
      <c r="M73" s="99">
        <v>2795.9999999999995</v>
      </c>
      <c r="N73" s="99">
        <v>6</v>
      </c>
      <c r="O73" s="99">
        <v>3355.2</v>
      </c>
      <c r="P73" s="99">
        <v>5</v>
      </c>
      <c r="Q73" s="99">
        <v>2795.9999999999995</v>
      </c>
      <c r="R73" s="99">
        <v>5</v>
      </c>
      <c r="S73" s="99">
        <v>2795.9999999999995</v>
      </c>
      <c r="T73" s="99">
        <v>5</v>
      </c>
      <c r="U73" s="99">
        <v>2795.9999999999995</v>
      </c>
      <c r="V73" s="99">
        <v>4.5993927426494787</v>
      </c>
      <c r="W73" s="99">
        <v>2571.9804216895882</v>
      </c>
      <c r="X73" s="99">
        <v>3</v>
      </c>
      <c r="Y73" s="99">
        <v>1677.6</v>
      </c>
      <c r="Z73" s="99">
        <v>3</v>
      </c>
      <c r="AA73" s="99">
        <v>1677.6</v>
      </c>
      <c r="AB73" s="99">
        <v>3</v>
      </c>
      <c r="AC73" s="99">
        <v>1677.6</v>
      </c>
      <c r="AD73" s="99">
        <v>5</v>
      </c>
      <c r="AE73" s="99">
        <v>2795.9999999999995</v>
      </c>
      <c r="AF73" s="99">
        <v>4</v>
      </c>
      <c r="AG73" s="99">
        <v>2236.7999999999997</v>
      </c>
      <c r="AH73" s="99">
        <v>6.4887419285156183</v>
      </c>
      <c r="AI73" s="99">
        <v>3628.5044864259335</v>
      </c>
      <c r="AJ73" s="99">
        <v>5</v>
      </c>
      <c r="AK73" s="99">
        <v>2795.9999999999995</v>
      </c>
      <c r="AL73" s="99">
        <v>5</v>
      </c>
      <c r="AM73" s="99">
        <v>2795.9999999999995</v>
      </c>
      <c r="AN73" s="99">
        <v>4.4384548301561102</v>
      </c>
      <c r="AO73" s="99">
        <v>2481.9839410232967</v>
      </c>
      <c r="AP73" s="99">
        <v>5</v>
      </c>
      <c r="AQ73" s="99">
        <v>2795.9999999999995</v>
      </c>
      <c r="AR73" s="99">
        <v>5</v>
      </c>
      <c r="AS73" s="99">
        <v>2795.9999999999995</v>
      </c>
      <c r="AT73" s="99">
        <v>6</v>
      </c>
      <c r="AU73" s="99">
        <v>3355.2</v>
      </c>
      <c r="AV73" s="99">
        <v>4</v>
      </c>
      <c r="AW73" s="99">
        <v>2236.7999999999997</v>
      </c>
      <c r="AX73" s="99">
        <v>4</v>
      </c>
      <c r="AY73" s="99">
        <v>2236.7999999999997</v>
      </c>
      <c r="AZ73" s="99">
        <v>3</v>
      </c>
      <c r="BA73" s="99">
        <v>1677.6</v>
      </c>
      <c r="BB73" s="99">
        <v>6</v>
      </c>
      <c r="BC73" s="99">
        <v>3355.2</v>
      </c>
      <c r="BD73" s="99">
        <v>4.6994132723201432</v>
      </c>
      <c r="BE73" s="99">
        <v>2627.9119018814235</v>
      </c>
      <c r="BF73" s="99">
        <v>6</v>
      </c>
      <c r="BG73" s="99">
        <v>3355.2</v>
      </c>
      <c r="BH73" s="99">
        <v>3</v>
      </c>
      <c r="BI73" s="99">
        <v>1677.6</v>
      </c>
      <c r="BJ73" s="99">
        <v>4</v>
      </c>
      <c r="BK73" s="99">
        <v>2236.7999999999997</v>
      </c>
      <c r="BL73" s="99">
        <v>6</v>
      </c>
      <c r="BM73" s="99">
        <v>3355.2</v>
      </c>
      <c r="BN73" s="99">
        <v>5</v>
      </c>
      <c r="BO73" s="99">
        <v>2795.9999999999995</v>
      </c>
      <c r="BP73" s="99">
        <v>4</v>
      </c>
      <c r="BQ73" s="99">
        <v>2236.7999999999997</v>
      </c>
      <c r="BR73" s="99">
        <v>4</v>
      </c>
      <c r="BS73" s="99">
        <v>2236.7999999999997</v>
      </c>
      <c r="BT73" s="99">
        <v>4</v>
      </c>
      <c r="BU73" s="99">
        <v>2236.7999999999997</v>
      </c>
      <c r="BV73" s="99">
        <v>4</v>
      </c>
      <c r="BW73" s="99">
        <v>2236.7999999999997</v>
      </c>
      <c r="BX73" s="99">
        <v>4</v>
      </c>
      <c r="BY73" s="99">
        <v>2236.7999999999997</v>
      </c>
      <c r="BZ73" s="99">
        <v>5</v>
      </c>
      <c r="CA73" s="99">
        <v>2795.9999999999995</v>
      </c>
      <c r="CB73" s="99">
        <v>5</v>
      </c>
      <c r="CC73" s="99">
        <v>2795.9999999999995</v>
      </c>
      <c r="CD73" s="99">
        <v>5</v>
      </c>
      <c r="CE73" s="99">
        <v>2795.9999999999995</v>
      </c>
      <c r="CF73" s="99">
        <v>4</v>
      </c>
      <c r="CG73" s="99">
        <v>2236.7999999999997</v>
      </c>
      <c r="CH73" s="99">
        <v>6</v>
      </c>
      <c r="CI73" s="99">
        <v>3355.2</v>
      </c>
      <c r="CJ73" s="99">
        <v>5</v>
      </c>
      <c r="CK73" s="99">
        <v>2795.9999999999995</v>
      </c>
      <c r="CL73" s="99">
        <v>4</v>
      </c>
      <c r="CM73" s="99">
        <v>2236.7999999999997</v>
      </c>
      <c r="CN73" s="99">
        <v>3</v>
      </c>
      <c r="CO73" s="99">
        <v>1677.6</v>
      </c>
      <c r="CP73" s="99">
        <v>6</v>
      </c>
      <c r="CQ73" s="99">
        <v>3355.2</v>
      </c>
      <c r="CR73" s="99">
        <v>3</v>
      </c>
      <c r="CS73" s="99">
        <v>1677.6</v>
      </c>
      <c r="CT73" s="99">
        <v>4.2258360989037662</v>
      </c>
      <c r="CU73" s="99">
        <v>2363.0875465069857</v>
      </c>
    </row>
    <row r="74" spans="2:99">
      <c r="C74" s="98" t="s">
        <v>240</v>
      </c>
      <c r="D74" s="99">
        <v>6</v>
      </c>
      <c r="E74" s="99">
        <v>2419.1999999999998</v>
      </c>
      <c r="F74" s="99">
        <v>3</v>
      </c>
      <c r="G74" s="99">
        <v>1209.5999999999999</v>
      </c>
      <c r="H74" s="99">
        <v>4</v>
      </c>
      <c r="I74" s="99">
        <v>1612.8</v>
      </c>
      <c r="J74" s="99">
        <v>4</v>
      </c>
      <c r="K74" s="99">
        <v>1612.8</v>
      </c>
      <c r="L74" s="99">
        <v>5</v>
      </c>
      <c r="M74" s="99">
        <v>2016</v>
      </c>
      <c r="N74" s="99">
        <v>6</v>
      </c>
      <c r="O74" s="99">
        <v>2419.1999999999998</v>
      </c>
      <c r="P74" s="99">
        <v>6</v>
      </c>
      <c r="Q74" s="99">
        <v>2419.1999999999998</v>
      </c>
      <c r="R74" s="99">
        <v>6</v>
      </c>
      <c r="S74" s="99">
        <v>2419.1999999999998</v>
      </c>
      <c r="T74" s="99">
        <v>6</v>
      </c>
      <c r="U74" s="99">
        <v>2419.1999999999998</v>
      </c>
      <c r="V74" s="99">
        <v>4</v>
      </c>
      <c r="W74" s="99">
        <v>1612.8</v>
      </c>
      <c r="X74" s="99">
        <v>3</v>
      </c>
      <c r="Y74" s="99">
        <v>1209.5999999999999</v>
      </c>
      <c r="Z74" s="99">
        <v>3</v>
      </c>
      <c r="AA74" s="99">
        <v>1209.5999999999999</v>
      </c>
      <c r="AB74" s="99">
        <v>3</v>
      </c>
      <c r="AC74" s="99">
        <v>1209.5999999999999</v>
      </c>
      <c r="AD74" s="99">
        <v>4</v>
      </c>
      <c r="AE74" s="99">
        <v>1612.8</v>
      </c>
      <c r="AF74" s="99">
        <v>5</v>
      </c>
      <c r="AG74" s="99">
        <v>2016</v>
      </c>
      <c r="AH74" s="99">
        <v>6.4887419285156183</v>
      </c>
      <c r="AI74" s="99">
        <v>2616.2607455774973</v>
      </c>
      <c r="AJ74" s="99">
        <v>6</v>
      </c>
      <c r="AK74" s="99">
        <v>2419.1999999999998</v>
      </c>
      <c r="AL74" s="99">
        <v>5</v>
      </c>
      <c r="AM74" s="99">
        <v>2016</v>
      </c>
      <c r="AN74" s="99">
        <v>5.5358892368574679</v>
      </c>
      <c r="AO74" s="99">
        <v>2232.070540300931</v>
      </c>
      <c r="AP74" s="99">
        <v>5</v>
      </c>
      <c r="AQ74" s="99">
        <v>2016</v>
      </c>
      <c r="AR74" s="99">
        <v>6</v>
      </c>
      <c r="AS74" s="99">
        <v>2419.1999999999998</v>
      </c>
      <c r="AT74" s="99">
        <v>6</v>
      </c>
      <c r="AU74" s="99">
        <v>2419.1999999999998</v>
      </c>
      <c r="AV74" s="99">
        <v>4</v>
      </c>
      <c r="AW74" s="99">
        <v>1612.8</v>
      </c>
      <c r="AX74" s="99">
        <v>4</v>
      </c>
      <c r="AY74" s="99">
        <v>1612.8</v>
      </c>
      <c r="AZ74" s="99">
        <v>3</v>
      </c>
      <c r="BA74" s="99">
        <v>1209.5999999999999</v>
      </c>
      <c r="BB74" s="99">
        <v>6</v>
      </c>
      <c r="BC74" s="99">
        <v>2419.1999999999998</v>
      </c>
      <c r="BD74" s="99">
        <v>4.6994132723201432</v>
      </c>
      <c r="BE74" s="99">
        <v>1894.8034313994817</v>
      </c>
      <c r="BF74" s="99">
        <v>6</v>
      </c>
      <c r="BG74" s="99">
        <v>2419.1999999999998</v>
      </c>
      <c r="BH74" s="99">
        <v>3</v>
      </c>
      <c r="BI74" s="99">
        <v>1209.5999999999999</v>
      </c>
      <c r="BJ74" s="99">
        <v>5</v>
      </c>
      <c r="BK74" s="99">
        <v>2016</v>
      </c>
      <c r="BL74" s="99">
        <v>5</v>
      </c>
      <c r="BM74" s="99">
        <v>2016</v>
      </c>
      <c r="BN74" s="99">
        <v>5</v>
      </c>
      <c r="BO74" s="99">
        <v>2016</v>
      </c>
      <c r="BP74" s="99">
        <v>4</v>
      </c>
      <c r="BQ74" s="99">
        <v>1612.8</v>
      </c>
      <c r="BR74" s="99">
        <v>4</v>
      </c>
      <c r="BS74" s="99">
        <v>1612.8</v>
      </c>
      <c r="BT74" s="99">
        <v>5</v>
      </c>
      <c r="BU74" s="99">
        <v>2016</v>
      </c>
      <c r="BV74" s="99">
        <v>4</v>
      </c>
      <c r="BW74" s="99">
        <v>1612.8</v>
      </c>
      <c r="BX74" s="99">
        <v>4</v>
      </c>
      <c r="BY74" s="99">
        <v>1612.8</v>
      </c>
      <c r="BZ74" s="99">
        <v>5</v>
      </c>
      <c r="CA74" s="99">
        <v>2016</v>
      </c>
      <c r="CB74" s="99">
        <v>5</v>
      </c>
      <c r="CC74" s="99">
        <v>2016</v>
      </c>
      <c r="CD74" s="99">
        <v>5</v>
      </c>
      <c r="CE74" s="99">
        <v>2016</v>
      </c>
      <c r="CF74" s="99">
        <v>4</v>
      </c>
      <c r="CG74" s="99">
        <v>1612.8</v>
      </c>
      <c r="CH74" s="99">
        <v>6</v>
      </c>
      <c r="CI74" s="99">
        <v>2419.1999999999998</v>
      </c>
      <c r="CJ74" s="99">
        <v>6</v>
      </c>
      <c r="CK74" s="99">
        <v>2419.1999999999998</v>
      </c>
      <c r="CL74" s="99">
        <v>4</v>
      </c>
      <c r="CM74" s="99">
        <v>1612.8</v>
      </c>
      <c r="CN74" s="99">
        <v>3</v>
      </c>
      <c r="CO74" s="99">
        <v>1209.5999999999999</v>
      </c>
      <c r="CP74" s="99">
        <v>6</v>
      </c>
      <c r="CQ74" s="99">
        <v>2419.1999999999998</v>
      </c>
      <c r="CR74" s="99">
        <v>4</v>
      </c>
      <c r="CS74" s="99">
        <v>1612.8</v>
      </c>
      <c r="CT74" s="99">
        <v>4.2258360989037662</v>
      </c>
      <c r="CU74" s="99">
        <v>1703.8571150779985</v>
      </c>
    </row>
    <row r="75" spans="2:99">
      <c r="C75" s="98" t="s">
        <v>241</v>
      </c>
      <c r="D75" s="99">
        <v>6</v>
      </c>
      <c r="E75" s="99">
        <v>3859.2</v>
      </c>
      <c r="F75" s="99">
        <v>3</v>
      </c>
      <c r="G75" s="99">
        <v>1929.6</v>
      </c>
      <c r="H75" s="99">
        <v>4</v>
      </c>
      <c r="I75" s="99">
        <v>2572.7999999999997</v>
      </c>
      <c r="J75" s="99">
        <v>4</v>
      </c>
      <c r="K75" s="99">
        <v>2572.7999999999997</v>
      </c>
      <c r="L75" s="99">
        <v>4</v>
      </c>
      <c r="M75" s="99">
        <v>2572.7999999999997</v>
      </c>
      <c r="N75" s="99">
        <v>5</v>
      </c>
      <c r="O75" s="99">
        <v>3215.9999999999995</v>
      </c>
      <c r="P75" s="99">
        <v>6</v>
      </c>
      <c r="Q75" s="99">
        <v>3859.2</v>
      </c>
      <c r="R75" s="99">
        <v>5</v>
      </c>
      <c r="S75" s="99">
        <v>3215.9999999999995</v>
      </c>
      <c r="T75" s="99">
        <v>5</v>
      </c>
      <c r="U75" s="99">
        <v>3215.9999999999995</v>
      </c>
      <c r="V75" s="99">
        <v>4.6493421378702688</v>
      </c>
      <c r="W75" s="99">
        <v>2990.4568630781564</v>
      </c>
      <c r="X75" s="99">
        <v>4</v>
      </c>
      <c r="Y75" s="99">
        <v>2572.7999999999997</v>
      </c>
      <c r="Z75" s="99">
        <v>3</v>
      </c>
      <c r="AA75" s="99">
        <v>1929.6</v>
      </c>
      <c r="AB75" s="99">
        <v>3</v>
      </c>
      <c r="AC75" s="99">
        <v>1929.6</v>
      </c>
      <c r="AD75" s="99">
        <v>4</v>
      </c>
      <c r="AE75" s="99">
        <v>2572.7999999999997</v>
      </c>
      <c r="AF75" s="99">
        <v>5</v>
      </c>
      <c r="AG75" s="99">
        <v>3215.9999999999995</v>
      </c>
      <c r="AH75" s="99">
        <v>6.4398677356640563</v>
      </c>
      <c r="AI75" s="99">
        <v>4142.1229275791202</v>
      </c>
      <c r="AJ75" s="99">
        <v>6</v>
      </c>
      <c r="AK75" s="99">
        <v>3859.2</v>
      </c>
      <c r="AL75" s="99">
        <v>5</v>
      </c>
      <c r="AM75" s="99">
        <v>3215.9999999999995</v>
      </c>
      <c r="AN75" s="99">
        <v>5.4871720335067886</v>
      </c>
      <c r="AO75" s="99">
        <v>3529.3490519515663</v>
      </c>
      <c r="AP75" s="99">
        <v>4</v>
      </c>
      <c r="AQ75" s="99">
        <v>2572.7999999999997</v>
      </c>
      <c r="AR75" s="99">
        <v>5</v>
      </c>
      <c r="AS75" s="99">
        <v>3215.9999999999995</v>
      </c>
      <c r="AT75" s="99">
        <v>6</v>
      </c>
      <c r="AU75" s="99">
        <v>3859.2</v>
      </c>
      <c r="AV75" s="99">
        <v>4</v>
      </c>
      <c r="AW75" s="99">
        <v>2572.7999999999997</v>
      </c>
      <c r="AX75" s="99">
        <v>4</v>
      </c>
      <c r="AY75" s="99">
        <v>2572.7999999999997</v>
      </c>
      <c r="AZ75" s="99">
        <v>4</v>
      </c>
      <c r="BA75" s="99">
        <v>2572.7999999999997</v>
      </c>
      <c r="BB75" s="99">
        <v>6</v>
      </c>
      <c r="BC75" s="99">
        <v>3859.2</v>
      </c>
      <c r="BD75" s="99">
        <v>3.6994132723201436</v>
      </c>
      <c r="BE75" s="99">
        <v>2379.462616756316</v>
      </c>
      <c r="BF75" s="99">
        <v>6</v>
      </c>
      <c r="BG75" s="99">
        <v>3859.2</v>
      </c>
      <c r="BH75" s="99">
        <v>3</v>
      </c>
      <c r="BI75" s="99">
        <v>1929.6</v>
      </c>
      <c r="BJ75" s="99">
        <v>4</v>
      </c>
      <c r="BK75" s="99">
        <v>2572.7999999999997</v>
      </c>
      <c r="BL75" s="99">
        <v>6</v>
      </c>
      <c r="BM75" s="99">
        <v>3859.2</v>
      </c>
      <c r="BN75" s="99">
        <v>5</v>
      </c>
      <c r="BO75" s="99">
        <v>3215.9999999999995</v>
      </c>
      <c r="BP75" s="99">
        <v>4</v>
      </c>
      <c r="BQ75" s="99">
        <v>2572.7999999999997</v>
      </c>
      <c r="BR75" s="99">
        <v>4</v>
      </c>
      <c r="BS75" s="99">
        <v>2572.7999999999997</v>
      </c>
      <c r="BT75" s="99">
        <v>5</v>
      </c>
      <c r="BU75" s="99">
        <v>3215.9999999999995</v>
      </c>
      <c r="BV75" s="99">
        <v>4</v>
      </c>
      <c r="BW75" s="99">
        <v>2572.7999999999997</v>
      </c>
      <c r="BX75" s="99">
        <v>4</v>
      </c>
      <c r="BY75" s="99">
        <v>2572.7999999999997</v>
      </c>
      <c r="BZ75" s="99">
        <v>4</v>
      </c>
      <c r="CA75" s="99">
        <v>2572.7999999999997</v>
      </c>
      <c r="CB75" s="99">
        <v>5</v>
      </c>
      <c r="CC75" s="99">
        <v>3215.9999999999995</v>
      </c>
      <c r="CD75" s="99">
        <v>5</v>
      </c>
      <c r="CE75" s="99">
        <v>3215.9999999999995</v>
      </c>
      <c r="CF75" s="99">
        <v>4</v>
      </c>
      <c r="CG75" s="99">
        <v>2572.7999999999997</v>
      </c>
      <c r="CH75" s="99">
        <v>6</v>
      </c>
      <c r="CI75" s="99">
        <v>3859.2</v>
      </c>
      <c r="CJ75" s="99">
        <v>5</v>
      </c>
      <c r="CK75" s="99">
        <v>3215.9999999999995</v>
      </c>
      <c r="CL75" s="99">
        <v>4</v>
      </c>
      <c r="CM75" s="99">
        <v>2572.7999999999997</v>
      </c>
      <c r="CN75" s="99">
        <v>3</v>
      </c>
      <c r="CO75" s="99">
        <v>1929.6</v>
      </c>
      <c r="CP75" s="99">
        <v>6</v>
      </c>
      <c r="CQ75" s="99">
        <v>3859.2</v>
      </c>
      <c r="CR75" s="99">
        <v>4</v>
      </c>
      <c r="CS75" s="99">
        <v>2572.7999999999997</v>
      </c>
      <c r="CT75" s="99">
        <v>4.2258360989037662</v>
      </c>
      <c r="CU75" s="99">
        <v>2718.0577788149021</v>
      </c>
    </row>
    <row r="76" spans="2:99">
      <c r="C76" s="98" t="s">
        <v>242</v>
      </c>
      <c r="D76" s="99">
        <v>6</v>
      </c>
      <c r="E76" s="99">
        <v>4672.7999999999993</v>
      </c>
      <c r="F76" s="99">
        <v>3</v>
      </c>
      <c r="G76" s="99">
        <v>2336.3999999999996</v>
      </c>
      <c r="H76" s="99">
        <v>4</v>
      </c>
      <c r="I76" s="99">
        <v>3115.2</v>
      </c>
      <c r="J76" s="99">
        <v>4</v>
      </c>
      <c r="K76" s="99">
        <v>3115.2</v>
      </c>
      <c r="L76" s="99">
        <v>4</v>
      </c>
      <c r="M76" s="99">
        <v>3115.2</v>
      </c>
      <c r="N76" s="99">
        <v>6</v>
      </c>
      <c r="O76" s="99">
        <v>4672.7999999999993</v>
      </c>
      <c r="P76" s="99">
        <v>6</v>
      </c>
      <c r="Q76" s="99">
        <v>4672.7999999999993</v>
      </c>
      <c r="R76" s="99">
        <v>5</v>
      </c>
      <c r="S76" s="99">
        <v>3894</v>
      </c>
      <c r="T76" s="99">
        <v>5</v>
      </c>
      <c r="U76" s="99">
        <v>3894</v>
      </c>
      <c r="V76" s="99">
        <v>4.5993927426494787</v>
      </c>
      <c r="W76" s="99">
        <v>3582.007067975414</v>
      </c>
      <c r="X76" s="99">
        <v>3</v>
      </c>
      <c r="Y76" s="99">
        <v>2336.3999999999996</v>
      </c>
      <c r="Z76" s="99">
        <v>3</v>
      </c>
      <c r="AA76" s="99">
        <v>2336.3999999999996</v>
      </c>
      <c r="AB76" s="99">
        <v>3</v>
      </c>
      <c r="AC76" s="99">
        <v>2336.3999999999996</v>
      </c>
      <c r="AD76" s="99">
        <v>5</v>
      </c>
      <c r="AE76" s="99">
        <v>3894</v>
      </c>
      <c r="AF76" s="99">
        <v>5</v>
      </c>
      <c r="AG76" s="99">
        <v>3894</v>
      </c>
      <c r="AH76" s="99">
        <v>6.4887419285156183</v>
      </c>
      <c r="AI76" s="99">
        <v>5053.4322139279629</v>
      </c>
      <c r="AJ76" s="99">
        <v>5</v>
      </c>
      <c r="AK76" s="99">
        <v>3894</v>
      </c>
      <c r="AL76" s="99">
        <v>5</v>
      </c>
      <c r="AM76" s="99">
        <v>3894</v>
      </c>
      <c r="AN76" s="99">
        <v>4.5358892368574679</v>
      </c>
      <c r="AO76" s="99">
        <v>3532.5505376645956</v>
      </c>
      <c r="AP76" s="99">
        <v>5</v>
      </c>
      <c r="AQ76" s="99">
        <v>3894</v>
      </c>
      <c r="AR76" s="99">
        <v>6</v>
      </c>
      <c r="AS76" s="99">
        <v>4672.7999999999993</v>
      </c>
      <c r="AT76" s="99">
        <v>5</v>
      </c>
      <c r="AU76" s="99">
        <v>3894</v>
      </c>
      <c r="AV76" s="99">
        <v>4</v>
      </c>
      <c r="AW76" s="99">
        <v>3115.2</v>
      </c>
      <c r="AX76" s="99">
        <v>4</v>
      </c>
      <c r="AY76" s="99">
        <v>3115.2</v>
      </c>
      <c r="AZ76" s="99">
        <v>3</v>
      </c>
      <c r="BA76" s="99">
        <v>2336.3999999999996</v>
      </c>
      <c r="BB76" s="99">
        <v>6</v>
      </c>
      <c r="BC76" s="99">
        <v>4672.7999999999993</v>
      </c>
      <c r="BD76" s="99">
        <v>4.6494551814401337</v>
      </c>
      <c r="BE76" s="99">
        <v>3620.9956953055757</v>
      </c>
      <c r="BF76" s="99">
        <v>6</v>
      </c>
      <c r="BG76" s="99">
        <v>4672.7999999999993</v>
      </c>
      <c r="BH76" s="99">
        <v>3</v>
      </c>
      <c r="BI76" s="99">
        <v>2336.3999999999996</v>
      </c>
      <c r="BJ76" s="99">
        <v>5</v>
      </c>
      <c r="BK76" s="99">
        <v>3894</v>
      </c>
      <c r="BL76" s="99">
        <v>6</v>
      </c>
      <c r="BM76" s="99">
        <v>4672.7999999999993</v>
      </c>
      <c r="BN76" s="99">
        <v>5</v>
      </c>
      <c r="BO76" s="99">
        <v>3894</v>
      </c>
      <c r="BP76" s="99">
        <v>4</v>
      </c>
      <c r="BQ76" s="99">
        <v>3115.2</v>
      </c>
      <c r="BR76" s="99">
        <v>4</v>
      </c>
      <c r="BS76" s="99">
        <v>3115.2</v>
      </c>
      <c r="BT76" s="99">
        <v>4</v>
      </c>
      <c r="BU76" s="99">
        <v>3115.2</v>
      </c>
      <c r="BV76" s="99">
        <v>4</v>
      </c>
      <c r="BW76" s="99">
        <v>3115.2</v>
      </c>
      <c r="BX76" s="99">
        <v>4</v>
      </c>
      <c r="BY76" s="99">
        <v>3115.2</v>
      </c>
      <c r="BZ76" s="99">
        <v>5</v>
      </c>
      <c r="CA76" s="99">
        <v>3894</v>
      </c>
      <c r="CB76" s="99">
        <v>4</v>
      </c>
      <c r="CC76" s="99">
        <v>3115.2</v>
      </c>
      <c r="CD76" s="99">
        <v>5</v>
      </c>
      <c r="CE76" s="99">
        <v>3894</v>
      </c>
      <c r="CF76" s="99">
        <v>4</v>
      </c>
      <c r="CG76" s="99">
        <v>3115.2</v>
      </c>
      <c r="CH76" s="99">
        <v>6</v>
      </c>
      <c r="CI76" s="99">
        <v>4672.7999999999993</v>
      </c>
      <c r="CJ76" s="99">
        <v>6</v>
      </c>
      <c r="CK76" s="99">
        <v>4672.7999999999993</v>
      </c>
      <c r="CL76" s="99">
        <v>4</v>
      </c>
      <c r="CM76" s="99">
        <v>3115.2</v>
      </c>
      <c r="CN76" s="99">
        <v>4</v>
      </c>
      <c r="CO76" s="99">
        <v>3115.2</v>
      </c>
      <c r="CP76" s="99">
        <v>6</v>
      </c>
      <c r="CQ76" s="99">
        <v>4672.7999999999993</v>
      </c>
      <c r="CR76" s="99">
        <v>3</v>
      </c>
      <c r="CS76" s="99">
        <v>2336.3999999999996</v>
      </c>
      <c r="CT76" s="99">
        <v>3.521530082419805</v>
      </c>
      <c r="CU76" s="99">
        <v>2742.5676281885439</v>
      </c>
    </row>
    <row r="77" spans="2:99">
      <c r="C77" s="98" t="s">
        <v>243</v>
      </c>
      <c r="D77" s="99">
        <v>6</v>
      </c>
      <c r="E77" s="99">
        <v>1670.3999999999999</v>
      </c>
      <c r="F77" s="99">
        <v>4</v>
      </c>
      <c r="G77" s="99">
        <v>1113.5999999999999</v>
      </c>
      <c r="H77" s="99">
        <v>4</v>
      </c>
      <c r="I77" s="99">
        <v>1113.5999999999999</v>
      </c>
      <c r="J77" s="99">
        <v>4</v>
      </c>
      <c r="K77" s="99">
        <v>1113.5999999999999</v>
      </c>
      <c r="L77" s="99">
        <v>4</v>
      </c>
      <c r="M77" s="99">
        <v>1113.5999999999999</v>
      </c>
      <c r="N77" s="99">
        <v>5</v>
      </c>
      <c r="O77" s="99">
        <v>1392</v>
      </c>
      <c r="P77" s="99">
        <v>5</v>
      </c>
      <c r="Q77" s="99">
        <v>1392</v>
      </c>
      <c r="R77" s="99">
        <v>5</v>
      </c>
      <c r="S77" s="99">
        <v>1392</v>
      </c>
      <c r="T77" s="99">
        <v>5</v>
      </c>
      <c r="U77" s="99">
        <v>1392</v>
      </c>
      <c r="V77" s="99">
        <v>4.6493421378702688</v>
      </c>
      <c r="W77" s="99">
        <v>1294.3768511830826</v>
      </c>
      <c r="X77" s="99">
        <v>4</v>
      </c>
      <c r="Y77" s="99">
        <v>1113.5999999999999</v>
      </c>
      <c r="Z77" s="99">
        <v>3</v>
      </c>
      <c r="AA77" s="99">
        <v>835.19999999999993</v>
      </c>
      <c r="AB77" s="99">
        <v>3</v>
      </c>
      <c r="AC77" s="99">
        <v>835.19999999999993</v>
      </c>
      <c r="AD77" s="99">
        <v>4</v>
      </c>
      <c r="AE77" s="99">
        <v>1113.5999999999999</v>
      </c>
      <c r="AF77" s="99">
        <v>4</v>
      </c>
      <c r="AG77" s="99">
        <v>1113.5999999999999</v>
      </c>
      <c r="AH77" s="99">
        <v>5.4887419285156183</v>
      </c>
      <c r="AI77" s="99">
        <v>1528.0657528987481</v>
      </c>
      <c r="AJ77" s="99">
        <v>6</v>
      </c>
      <c r="AK77" s="99">
        <v>1670.3999999999999</v>
      </c>
      <c r="AL77" s="99">
        <v>5</v>
      </c>
      <c r="AM77" s="99">
        <v>1392</v>
      </c>
      <c r="AN77" s="99">
        <v>5.4384548301561102</v>
      </c>
      <c r="AO77" s="99">
        <v>1514.0658247154608</v>
      </c>
      <c r="AP77" s="99">
        <v>5</v>
      </c>
      <c r="AQ77" s="99">
        <v>1392</v>
      </c>
      <c r="AR77" s="99">
        <v>6</v>
      </c>
      <c r="AS77" s="99">
        <v>1670.3999999999999</v>
      </c>
      <c r="AT77" s="99">
        <v>6</v>
      </c>
      <c r="AU77" s="99">
        <v>1670.3999999999999</v>
      </c>
      <c r="AV77" s="99">
        <v>4</v>
      </c>
      <c r="AW77" s="99">
        <v>1113.5999999999999</v>
      </c>
      <c r="AX77" s="99">
        <v>4</v>
      </c>
      <c r="AY77" s="99">
        <v>1113.5999999999999</v>
      </c>
      <c r="AZ77" s="99">
        <v>3</v>
      </c>
      <c r="BA77" s="99">
        <v>835.19999999999993</v>
      </c>
      <c r="BB77" s="99">
        <v>6</v>
      </c>
      <c r="BC77" s="99">
        <v>1670.3999999999999</v>
      </c>
      <c r="BD77" s="99">
        <v>4.6994132723201432</v>
      </c>
      <c r="BE77" s="99">
        <v>1308.3166550139279</v>
      </c>
      <c r="BF77" s="99">
        <v>6</v>
      </c>
      <c r="BG77" s="99">
        <v>1670.3999999999999</v>
      </c>
      <c r="BH77" s="99">
        <v>3</v>
      </c>
      <c r="BI77" s="99">
        <v>835.19999999999993</v>
      </c>
      <c r="BJ77" s="99">
        <v>5</v>
      </c>
      <c r="BK77" s="99">
        <v>1392</v>
      </c>
      <c r="BL77" s="99">
        <v>5</v>
      </c>
      <c r="BM77" s="99">
        <v>1392</v>
      </c>
      <c r="BN77" s="99">
        <v>5</v>
      </c>
      <c r="BO77" s="99">
        <v>1392</v>
      </c>
      <c r="BP77" s="99">
        <v>4</v>
      </c>
      <c r="BQ77" s="99">
        <v>1113.5999999999999</v>
      </c>
      <c r="BR77" s="99">
        <v>4</v>
      </c>
      <c r="BS77" s="99">
        <v>1113.5999999999999</v>
      </c>
      <c r="BT77" s="99">
        <v>5</v>
      </c>
      <c r="BU77" s="99">
        <v>1392</v>
      </c>
      <c r="BV77" s="99">
        <v>5</v>
      </c>
      <c r="BW77" s="99">
        <v>1392</v>
      </c>
      <c r="BX77" s="99">
        <v>4</v>
      </c>
      <c r="BY77" s="99">
        <v>1113.5999999999999</v>
      </c>
      <c r="BZ77" s="99">
        <v>5</v>
      </c>
      <c r="CA77" s="99">
        <v>1392</v>
      </c>
      <c r="CB77" s="99">
        <v>5</v>
      </c>
      <c r="CC77" s="99">
        <v>1392</v>
      </c>
      <c r="CD77" s="99">
        <v>5</v>
      </c>
      <c r="CE77" s="99">
        <v>1392</v>
      </c>
      <c r="CF77" s="99">
        <v>4</v>
      </c>
      <c r="CG77" s="99">
        <v>1113.5999999999999</v>
      </c>
      <c r="CH77" s="99">
        <v>5</v>
      </c>
      <c r="CI77" s="99">
        <v>1392</v>
      </c>
      <c r="CJ77" s="99">
        <v>5</v>
      </c>
      <c r="CK77" s="99">
        <v>1392</v>
      </c>
      <c r="CL77" s="99">
        <v>5</v>
      </c>
      <c r="CM77" s="99">
        <v>1392</v>
      </c>
      <c r="CN77" s="99">
        <v>3</v>
      </c>
      <c r="CO77" s="99">
        <v>835.19999999999993</v>
      </c>
      <c r="CP77" s="99">
        <v>6</v>
      </c>
      <c r="CQ77" s="99">
        <v>1670.3999999999999</v>
      </c>
      <c r="CR77" s="99">
        <v>4</v>
      </c>
      <c r="CS77" s="99">
        <v>1113.5999999999999</v>
      </c>
      <c r="CT77" s="99">
        <v>4.2258360989037662</v>
      </c>
      <c r="CU77" s="99">
        <v>1176.4727699348084</v>
      </c>
    </row>
    <row r="78" spans="2:99">
      <c r="C78" s="98" t="s">
        <v>244</v>
      </c>
      <c r="D78" s="99">
        <v>6</v>
      </c>
      <c r="E78" s="99">
        <v>3312</v>
      </c>
      <c r="F78" s="99">
        <v>4</v>
      </c>
      <c r="G78" s="99">
        <v>2208</v>
      </c>
      <c r="H78" s="99">
        <v>4</v>
      </c>
      <c r="I78" s="99">
        <v>2208</v>
      </c>
      <c r="J78" s="99">
        <v>4</v>
      </c>
      <c r="K78" s="99">
        <v>2208</v>
      </c>
      <c r="L78" s="99">
        <v>4</v>
      </c>
      <c r="M78" s="99">
        <v>2208</v>
      </c>
      <c r="N78" s="99">
        <v>5</v>
      </c>
      <c r="O78" s="99">
        <v>2760</v>
      </c>
      <c r="P78" s="99">
        <v>5</v>
      </c>
      <c r="Q78" s="99">
        <v>2760</v>
      </c>
      <c r="R78" s="99">
        <v>5</v>
      </c>
      <c r="S78" s="99">
        <v>2760</v>
      </c>
      <c r="T78" s="99">
        <v>5</v>
      </c>
      <c r="U78" s="99">
        <v>2760</v>
      </c>
      <c r="V78" s="99">
        <v>4.5993927426494787</v>
      </c>
      <c r="W78" s="99">
        <v>2538.8647939425123</v>
      </c>
      <c r="X78" s="99">
        <v>4</v>
      </c>
      <c r="Y78" s="99">
        <v>2208</v>
      </c>
      <c r="Z78" s="99">
        <v>3</v>
      </c>
      <c r="AA78" s="99">
        <v>1656</v>
      </c>
      <c r="AB78" s="99">
        <v>3</v>
      </c>
      <c r="AC78" s="99">
        <v>1656</v>
      </c>
      <c r="AD78" s="99">
        <v>5</v>
      </c>
      <c r="AE78" s="99">
        <v>2760</v>
      </c>
      <c r="AF78" s="99">
        <v>5</v>
      </c>
      <c r="AG78" s="99">
        <v>2760</v>
      </c>
      <c r="AH78" s="99">
        <v>6.4398677356640563</v>
      </c>
      <c r="AI78" s="99">
        <v>3554.8069900865589</v>
      </c>
      <c r="AJ78" s="99">
        <v>6</v>
      </c>
      <c r="AK78" s="99">
        <v>3312</v>
      </c>
      <c r="AL78" s="99">
        <v>6</v>
      </c>
      <c r="AM78" s="99">
        <v>3312</v>
      </c>
      <c r="AN78" s="99">
        <v>5.4871720335067886</v>
      </c>
      <c r="AO78" s="99">
        <v>3028.9189624957471</v>
      </c>
      <c r="AP78" s="99">
        <v>4</v>
      </c>
      <c r="AQ78" s="99">
        <v>2208</v>
      </c>
      <c r="AR78" s="99">
        <v>5</v>
      </c>
      <c r="AS78" s="99">
        <v>2760</v>
      </c>
      <c r="AT78" s="99">
        <v>6</v>
      </c>
      <c r="AU78" s="99">
        <v>3312</v>
      </c>
      <c r="AV78" s="99">
        <v>4</v>
      </c>
      <c r="AW78" s="99">
        <v>2208</v>
      </c>
      <c r="AX78" s="99">
        <v>4</v>
      </c>
      <c r="AY78" s="99">
        <v>2208</v>
      </c>
      <c r="AZ78" s="99">
        <v>3</v>
      </c>
      <c r="BA78" s="99">
        <v>1656</v>
      </c>
      <c r="BB78" s="99">
        <v>6</v>
      </c>
      <c r="BC78" s="99">
        <v>3312</v>
      </c>
      <c r="BD78" s="99">
        <v>4.6494551814401337</v>
      </c>
      <c r="BE78" s="99">
        <v>2566.4992601549538</v>
      </c>
      <c r="BF78" s="99">
        <v>6</v>
      </c>
      <c r="BG78" s="99">
        <v>3312</v>
      </c>
      <c r="BH78" s="99">
        <v>3</v>
      </c>
      <c r="BI78" s="99">
        <v>1656</v>
      </c>
      <c r="BJ78" s="99">
        <v>4</v>
      </c>
      <c r="BK78" s="99">
        <v>2208</v>
      </c>
      <c r="BL78" s="99">
        <v>6</v>
      </c>
      <c r="BM78" s="99">
        <v>3312</v>
      </c>
      <c r="BN78" s="99">
        <v>4</v>
      </c>
      <c r="BO78" s="99">
        <v>2208</v>
      </c>
      <c r="BP78" s="99">
        <v>4</v>
      </c>
      <c r="BQ78" s="99">
        <v>2208</v>
      </c>
      <c r="BR78" s="99">
        <v>4</v>
      </c>
      <c r="BS78" s="99">
        <v>2208</v>
      </c>
      <c r="BT78" s="99">
        <v>4</v>
      </c>
      <c r="BU78" s="99">
        <v>2208</v>
      </c>
      <c r="BV78" s="99">
        <v>4</v>
      </c>
      <c r="BW78" s="99">
        <v>2208</v>
      </c>
      <c r="BX78" s="99">
        <v>4</v>
      </c>
      <c r="BY78" s="99">
        <v>2208</v>
      </c>
      <c r="BZ78" s="99">
        <v>5</v>
      </c>
      <c r="CA78" s="99">
        <v>2760</v>
      </c>
      <c r="CB78" s="99">
        <v>5</v>
      </c>
      <c r="CC78" s="99">
        <v>2760</v>
      </c>
      <c r="CD78" s="99">
        <v>5</v>
      </c>
      <c r="CE78" s="99">
        <v>2760</v>
      </c>
      <c r="CF78" s="99">
        <v>4</v>
      </c>
      <c r="CG78" s="99">
        <v>2208</v>
      </c>
      <c r="CH78" s="99">
        <v>6</v>
      </c>
      <c r="CI78" s="99">
        <v>3312</v>
      </c>
      <c r="CJ78" s="99">
        <v>6</v>
      </c>
      <c r="CK78" s="99">
        <v>3312</v>
      </c>
      <c r="CL78" s="99">
        <v>4</v>
      </c>
      <c r="CM78" s="99">
        <v>2208</v>
      </c>
      <c r="CN78" s="99">
        <v>4</v>
      </c>
      <c r="CO78" s="99">
        <v>2208</v>
      </c>
      <c r="CP78" s="99">
        <v>5</v>
      </c>
      <c r="CQ78" s="99">
        <v>2760</v>
      </c>
      <c r="CR78" s="99">
        <v>4</v>
      </c>
      <c r="CS78" s="99">
        <v>2208</v>
      </c>
      <c r="CT78" s="99">
        <v>4.2258360989037662</v>
      </c>
      <c r="CU78" s="99">
        <v>2332.661526594879</v>
      </c>
    </row>
    <row r="79" spans="2:99">
      <c r="C79" s="98" t="s">
        <v>245</v>
      </c>
      <c r="D79" s="99">
        <v>6</v>
      </c>
      <c r="E79" s="99">
        <v>4543.2</v>
      </c>
      <c r="F79" s="99">
        <v>4</v>
      </c>
      <c r="G79" s="99">
        <v>3028.7999999999997</v>
      </c>
      <c r="H79" s="99">
        <v>4</v>
      </c>
      <c r="I79" s="99">
        <v>3028.7999999999997</v>
      </c>
      <c r="J79" s="99">
        <v>4</v>
      </c>
      <c r="K79" s="99">
        <v>3028.7999999999997</v>
      </c>
      <c r="L79" s="99">
        <v>4</v>
      </c>
      <c r="M79" s="99">
        <v>3028.7999999999997</v>
      </c>
      <c r="N79" s="99">
        <v>6</v>
      </c>
      <c r="O79" s="99">
        <v>4543.2</v>
      </c>
      <c r="P79" s="99">
        <v>5</v>
      </c>
      <c r="Q79" s="99">
        <v>3785.9999999999995</v>
      </c>
      <c r="R79" s="99">
        <v>5</v>
      </c>
      <c r="S79" s="99">
        <v>3785.9999999999995</v>
      </c>
      <c r="T79" s="99">
        <v>6</v>
      </c>
      <c r="U79" s="99">
        <v>4543.2</v>
      </c>
      <c r="V79" s="99">
        <v>3.5993927426494787</v>
      </c>
      <c r="W79" s="99">
        <v>2725.4601847341851</v>
      </c>
      <c r="X79" s="99">
        <v>4</v>
      </c>
      <c r="Y79" s="99">
        <v>3028.7999999999997</v>
      </c>
      <c r="Z79" s="99">
        <v>3</v>
      </c>
      <c r="AA79" s="99">
        <v>2271.6</v>
      </c>
      <c r="AB79" s="99">
        <v>3</v>
      </c>
      <c r="AC79" s="99">
        <v>2271.6</v>
      </c>
      <c r="AD79" s="99">
        <v>4</v>
      </c>
      <c r="AE79" s="99">
        <v>3028.7999999999997</v>
      </c>
      <c r="AF79" s="99">
        <v>4</v>
      </c>
      <c r="AG79" s="99">
        <v>3028.7999999999997</v>
      </c>
      <c r="AH79" s="99">
        <v>5.4887419285156183</v>
      </c>
      <c r="AI79" s="99">
        <v>4156.0753882720255</v>
      </c>
      <c r="AJ79" s="99">
        <v>5</v>
      </c>
      <c r="AK79" s="99">
        <v>3785.9999999999995</v>
      </c>
      <c r="AL79" s="99">
        <v>5</v>
      </c>
      <c r="AM79" s="99">
        <v>3785.9999999999995</v>
      </c>
      <c r="AN79" s="99">
        <v>5.4871720335067886</v>
      </c>
      <c r="AO79" s="99">
        <v>4154.88666377134</v>
      </c>
      <c r="AP79" s="99">
        <v>5</v>
      </c>
      <c r="AQ79" s="99">
        <v>3785.9999999999995</v>
      </c>
      <c r="AR79" s="99">
        <v>6</v>
      </c>
      <c r="AS79" s="99">
        <v>4543.2</v>
      </c>
      <c r="AT79" s="99">
        <v>6</v>
      </c>
      <c r="AU79" s="99">
        <v>4543.2</v>
      </c>
      <c r="AV79" s="99">
        <v>4</v>
      </c>
      <c r="AW79" s="99">
        <v>3028.7999999999997</v>
      </c>
      <c r="AX79" s="99">
        <v>4</v>
      </c>
      <c r="AY79" s="99">
        <v>3028.7999999999997</v>
      </c>
      <c r="AZ79" s="99">
        <v>3</v>
      </c>
      <c r="BA79" s="99">
        <v>2271.6</v>
      </c>
      <c r="BB79" s="99">
        <v>6</v>
      </c>
      <c r="BC79" s="99">
        <v>4543.2</v>
      </c>
      <c r="BD79" s="99">
        <v>4.6494551814401337</v>
      </c>
      <c r="BE79" s="99">
        <v>3520.5674633864687</v>
      </c>
      <c r="BF79" s="99">
        <v>6</v>
      </c>
      <c r="BG79" s="99">
        <v>4543.2</v>
      </c>
      <c r="BH79" s="99">
        <v>3</v>
      </c>
      <c r="BI79" s="99">
        <v>2271.6</v>
      </c>
      <c r="BJ79" s="99">
        <v>4</v>
      </c>
      <c r="BK79" s="99">
        <v>3028.7999999999997</v>
      </c>
      <c r="BL79" s="99">
        <v>6</v>
      </c>
      <c r="BM79" s="99">
        <v>4543.2</v>
      </c>
      <c r="BN79" s="99">
        <v>5</v>
      </c>
      <c r="BO79" s="99">
        <v>3785.9999999999995</v>
      </c>
      <c r="BP79" s="99">
        <v>3</v>
      </c>
      <c r="BQ79" s="99">
        <v>2271.6</v>
      </c>
      <c r="BR79" s="99">
        <v>4</v>
      </c>
      <c r="BS79" s="99">
        <v>3028.7999999999997</v>
      </c>
      <c r="BT79" s="99">
        <v>4</v>
      </c>
      <c r="BU79" s="99">
        <v>3028.7999999999997</v>
      </c>
      <c r="BV79" s="99">
        <v>4</v>
      </c>
      <c r="BW79" s="99">
        <v>3028.7999999999997</v>
      </c>
      <c r="BX79" s="99">
        <v>4</v>
      </c>
      <c r="BY79" s="99">
        <v>3028.7999999999997</v>
      </c>
      <c r="BZ79" s="99">
        <v>5</v>
      </c>
      <c r="CA79" s="99">
        <v>3785.9999999999995</v>
      </c>
      <c r="CB79" s="99">
        <v>5</v>
      </c>
      <c r="CC79" s="99">
        <v>3785.9999999999995</v>
      </c>
      <c r="CD79" s="99">
        <v>5</v>
      </c>
      <c r="CE79" s="99">
        <v>3785.9999999999995</v>
      </c>
      <c r="CF79" s="99">
        <v>4</v>
      </c>
      <c r="CG79" s="99">
        <v>3028.7999999999997</v>
      </c>
      <c r="CH79" s="99">
        <v>6</v>
      </c>
      <c r="CI79" s="99">
        <v>4543.2</v>
      </c>
      <c r="CJ79" s="99">
        <v>5</v>
      </c>
      <c r="CK79" s="99">
        <v>3785.9999999999995</v>
      </c>
      <c r="CL79" s="99">
        <v>4</v>
      </c>
      <c r="CM79" s="99">
        <v>3028.7999999999997</v>
      </c>
      <c r="CN79" s="99">
        <v>4</v>
      </c>
      <c r="CO79" s="99">
        <v>3028.7999999999997</v>
      </c>
      <c r="CP79" s="99">
        <v>5</v>
      </c>
      <c r="CQ79" s="99">
        <v>3785.9999999999995</v>
      </c>
      <c r="CR79" s="99">
        <v>4</v>
      </c>
      <c r="CS79" s="99">
        <v>3028.7999999999997</v>
      </c>
      <c r="CT79" s="99">
        <v>4.2258360989037662</v>
      </c>
      <c r="CU79" s="99">
        <v>3199.8030940899316</v>
      </c>
    </row>
    <row r="80" spans="2:99">
      <c r="C80" s="98" t="s">
        <v>246</v>
      </c>
      <c r="D80" s="99">
        <v>5</v>
      </c>
      <c r="E80" s="99">
        <v>4025.9999999999995</v>
      </c>
      <c r="F80" s="99">
        <v>4</v>
      </c>
      <c r="G80" s="99">
        <v>3220.7999999999997</v>
      </c>
      <c r="H80" s="99">
        <v>4</v>
      </c>
      <c r="I80" s="99">
        <v>3220.7999999999997</v>
      </c>
      <c r="J80" s="99">
        <v>4</v>
      </c>
      <c r="K80" s="99">
        <v>3220.7999999999997</v>
      </c>
      <c r="L80" s="99">
        <v>4</v>
      </c>
      <c r="M80" s="99">
        <v>3220.7999999999997</v>
      </c>
      <c r="N80" s="99">
        <v>6</v>
      </c>
      <c r="O80" s="99">
        <v>4831.2</v>
      </c>
      <c r="P80" s="99">
        <v>6</v>
      </c>
      <c r="Q80" s="99">
        <v>4831.2</v>
      </c>
      <c r="R80" s="99">
        <v>5</v>
      </c>
      <c r="S80" s="99">
        <v>4025.9999999999995</v>
      </c>
      <c r="T80" s="99">
        <v>5</v>
      </c>
      <c r="U80" s="99">
        <v>4025.9999999999995</v>
      </c>
      <c r="V80" s="99">
        <v>4.5993927426494787</v>
      </c>
      <c r="W80" s="99">
        <v>3703.4310363813602</v>
      </c>
      <c r="X80" s="99">
        <v>3</v>
      </c>
      <c r="Y80" s="99">
        <v>2415.6</v>
      </c>
      <c r="Z80" s="99">
        <v>3</v>
      </c>
      <c r="AA80" s="99">
        <v>2415.6</v>
      </c>
      <c r="AB80" s="99">
        <v>3</v>
      </c>
      <c r="AC80" s="99">
        <v>2415.6</v>
      </c>
      <c r="AD80" s="99">
        <v>4</v>
      </c>
      <c r="AE80" s="99">
        <v>3220.7999999999997</v>
      </c>
      <c r="AF80" s="99">
        <v>4</v>
      </c>
      <c r="AG80" s="99">
        <v>3220.7999999999997</v>
      </c>
      <c r="AH80" s="99">
        <v>6.4887419285156183</v>
      </c>
      <c r="AI80" s="99">
        <v>5224.7350008407757</v>
      </c>
      <c r="AJ80" s="99">
        <v>5</v>
      </c>
      <c r="AK80" s="99">
        <v>4025.9999999999995</v>
      </c>
      <c r="AL80" s="99">
        <v>5</v>
      </c>
      <c r="AM80" s="99">
        <v>4025.9999999999995</v>
      </c>
      <c r="AN80" s="99">
        <v>5.4871720335067886</v>
      </c>
      <c r="AO80" s="99">
        <v>4418.2709213796661</v>
      </c>
      <c r="AP80" s="99">
        <v>5</v>
      </c>
      <c r="AQ80" s="99">
        <v>4025.9999999999995</v>
      </c>
      <c r="AR80" s="99">
        <v>6</v>
      </c>
      <c r="AS80" s="99">
        <v>4831.2</v>
      </c>
      <c r="AT80" s="99">
        <v>6</v>
      </c>
      <c r="AU80" s="99">
        <v>4831.2</v>
      </c>
      <c r="AV80" s="99">
        <v>4</v>
      </c>
      <c r="AW80" s="99">
        <v>3220.7999999999997</v>
      </c>
      <c r="AX80" s="99">
        <v>4</v>
      </c>
      <c r="AY80" s="99">
        <v>3220.7999999999997</v>
      </c>
      <c r="AZ80" s="99">
        <v>4</v>
      </c>
      <c r="BA80" s="99">
        <v>3220.7999999999997</v>
      </c>
      <c r="BB80" s="99">
        <v>6</v>
      </c>
      <c r="BC80" s="99">
        <v>4831.2</v>
      </c>
      <c r="BD80" s="99">
        <v>3.6994132723201436</v>
      </c>
      <c r="BE80" s="99">
        <v>2978.7675668721795</v>
      </c>
      <c r="BF80" s="99">
        <v>6</v>
      </c>
      <c r="BG80" s="99">
        <v>4831.2</v>
      </c>
      <c r="BH80" s="99">
        <v>3</v>
      </c>
      <c r="BI80" s="99">
        <v>2415.6</v>
      </c>
      <c r="BJ80" s="99">
        <v>4</v>
      </c>
      <c r="BK80" s="99">
        <v>3220.7999999999997</v>
      </c>
      <c r="BL80" s="99">
        <v>6</v>
      </c>
      <c r="BM80" s="99">
        <v>4831.2</v>
      </c>
      <c r="BN80" s="99">
        <v>5</v>
      </c>
      <c r="BO80" s="99">
        <v>4025.9999999999995</v>
      </c>
      <c r="BP80" s="99">
        <v>4</v>
      </c>
      <c r="BQ80" s="99">
        <v>3220.7999999999997</v>
      </c>
      <c r="BR80" s="99">
        <v>4</v>
      </c>
      <c r="BS80" s="99">
        <v>3220.7999999999997</v>
      </c>
      <c r="BT80" s="99">
        <v>4</v>
      </c>
      <c r="BU80" s="99">
        <v>3220.7999999999997</v>
      </c>
      <c r="BV80" s="99">
        <v>4</v>
      </c>
      <c r="BW80" s="99">
        <v>3220.7999999999997</v>
      </c>
      <c r="BX80" s="99">
        <v>4</v>
      </c>
      <c r="BY80" s="99">
        <v>3220.7999999999997</v>
      </c>
      <c r="BZ80" s="99">
        <v>5</v>
      </c>
      <c r="CA80" s="99">
        <v>4025.9999999999995</v>
      </c>
      <c r="CB80" s="99">
        <v>4</v>
      </c>
      <c r="CC80" s="99">
        <v>3220.7999999999997</v>
      </c>
      <c r="CD80" s="99">
        <v>5</v>
      </c>
      <c r="CE80" s="99">
        <v>4025.9999999999995</v>
      </c>
      <c r="CF80" s="99">
        <v>4</v>
      </c>
      <c r="CG80" s="99">
        <v>3220.7999999999997</v>
      </c>
      <c r="CH80" s="99">
        <v>5</v>
      </c>
      <c r="CI80" s="99">
        <v>4025.9999999999995</v>
      </c>
      <c r="CJ80" s="99">
        <v>6</v>
      </c>
      <c r="CK80" s="99">
        <v>4831.2</v>
      </c>
      <c r="CL80" s="99">
        <v>4</v>
      </c>
      <c r="CM80" s="99">
        <v>3220.7999999999997</v>
      </c>
      <c r="CN80" s="99">
        <v>4</v>
      </c>
      <c r="CO80" s="99">
        <v>3220.7999999999997</v>
      </c>
      <c r="CP80" s="99">
        <v>6</v>
      </c>
      <c r="CQ80" s="99">
        <v>4831.2</v>
      </c>
      <c r="CR80" s="99">
        <v>4</v>
      </c>
      <c r="CS80" s="99">
        <v>3220.7999999999997</v>
      </c>
      <c r="CT80" s="99">
        <v>4.2258360989037662</v>
      </c>
      <c r="CU80" s="99">
        <v>3402.6432268373123</v>
      </c>
    </row>
    <row r="81" spans="2:99">
      <c r="C81" s="98" t="s">
        <v>247</v>
      </c>
      <c r="D81" s="99">
        <v>5</v>
      </c>
      <c r="E81" s="99">
        <v>3768</v>
      </c>
      <c r="F81" s="99">
        <v>4</v>
      </c>
      <c r="G81" s="99">
        <v>3014.4</v>
      </c>
      <c r="H81" s="99">
        <v>4</v>
      </c>
      <c r="I81" s="99">
        <v>3014.4</v>
      </c>
      <c r="J81" s="99">
        <v>4</v>
      </c>
      <c r="K81" s="99">
        <v>3014.4</v>
      </c>
      <c r="L81" s="99">
        <v>5</v>
      </c>
      <c r="M81" s="99">
        <v>3768</v>
      </c>
      <c r="N81" s="99">
        <v>5</v>
      </c>
      <c r="O81" s="99">
        <v>3768</v>
      </c>
      <c r="P81" s="99">
        <v>5</v>
      </c>
      <c r="Q81" s="99">
        <v>3768</v>
      </c>
      <c r="R81" s="99">
        <v>5</v>
      </c>
      <c r="S81" s="99">
        <v>3768</v>
      </c>
      <c r="T81" s="99">
        <v>5</v>
      </c>
      <c r="U81" s="99">
        <v>3768</v>
      </c>
      <c r="V81" s="99">
        <v>3.5993927426494787</v>
      </c>
      <c r="W81" s="99">
        <v>2712.5023708606473</v>
      </c>
      <c r="X81" s="99">
        <v>3</v>
      </c>
      <c r="Y81" s="99">
        <v>2260.8000000000002</v>
      </c>
      <c r="Z81" s="99">
        <v>3</v>
      </c>
      <c r="AA81" s="99">
        <v>2260.8000000000002</v>
      </c>
      <c r="AB81" s="99">
        <v>3</v>
      </c>
      <c r="AC81" s="99">
        <v>2260.8000000000002</v>
      </c>
      <c r="AD81" s="99">
        <v>5</v>
      </c>
      <c r="AE81" s="99">
        <v>3768</v>
      </c>
      <c r="AF81" s="99">
        <v>5</v>
      </c>
      <c r="AG81" s="99">
        <v>3768</v>
      </c>
      <c r="AH81" s="99">
        <v>5.4887419285156183</v>
      </c>
      <c r="AI81" s="99">
        <v>4136.3159173293698</v>
      </c>
      <c r="AJ81" s="99">
        <v>5</v>
      </c>
      <c r="AK81" s="99">
        <v>3768</v>
      </c>
      <c r="AL81" s="99">
        <v>5</v>
      </c>
      <c r="AM81" s="99">
        <v>3768</v>
      </c>
      <c r="AN81" s="99">
        <v>5.4871720335067886</v>
      </c>
      <c r="AO81" s="99">
        <v>4135.1328444507162</v>
      </c>
      <c r="AP81" s="99">
        <v>5</v>
      </c>
      <c r="AQ81" s="99">
        <v>3768</v>
      </c>
      <c r="AR81" s="99">
        <v>5</v>
      </c>
      <c r="AS81" s="99">
        <v>3768</v>
      </c>
      <c r="AT81" s="99">
        <v>5</v>
      </c>
      <c r="AU81" s="99">
        <v>3768</v>
      </c>
      <c r="AV81" s="99">
        <v>4</v>
      </c>
      <c r="AW81" s="99">
        <v>3014.4</v>
      </c>
      <c r="AX81" s="99">
        <v>4</v>
      </c>
      <c r="AY81" s="99">
        <v>3014.4</v>
      </c>
      <c r="AZ81" s="99">
        <v>4</v>
      </c>
      <c r="BA81" s="99">
        <v>3014.4</v>
      </c>
      <c r="BB81" s="99">
        <v>6</v>
      </c>
      <c r="BC81" s="99">
        <v>4521.6000000000004</v>
      </c>
      <c r="BD81" s="99">
        <v>3.6494551814401337</v>
      </c>
      <c r="BE81" s="99">
        <v>2750.2294247332848</v>
      </c>
      <c r="BF81" s="99">
        <v>5</v>
      </c>
      <c r="BG81" s="99">
        <v>3768</v>
      </c>
      <c r="BH81" s="99">
        <v>3</v>
      </c>
      <c r="BI81" s="99">
        <v>2260.8000000000002</v>
      </c>
      <c r="BJ81" s="99">
        <v>4</v>
      </c>
      <c r="BK81" s="99">
        <v>3014.4</v>
      </c>
      <c r="BL81" s="99">
        <v>6</v>
      </c>
      <c r="BM81" s="99">
        <v>4521.6000000000004</v>
      </c>
      <c r="BN81" s="99">
        <v>4</v>
      </c>
      <c r="BO81" s="99">
        <v>3014.4</v>
      </c>
      <c r="BP81" s="99">
        <v>3</v>
      </c>
      <c r="BQ81" s="99">
        <v>2260.8000000000002</v>
      </c>
      <c r="BR81" s="99">
        <v>4</v>
      </c>
      <c r="BS81" s="99">
        <v>3014.4</v>
      </c>
      <c r="BT81" s="99">
        <v>4</v>
      </c>
      <c r="BU81" s="99">
        <v>3014.4</v>
      </c>
      <c r="BV81" s="99">
        <v>4</v>
      </c>
      <c r="BW81" s="99">
        <v>3014.4</v>
      </c>
      <c r="BX81" s="99">
        <v>3</v>
      </c>
      <c r="BY81" s="99">
        <v>2260.8000000000002</v>
      </c>
      <c r="BZ81" s="99">
        <v>5</v>
      </c>
      <c r="CA81" s="99">
        <v>3768</v>
      </c>
      <c r="CB81" s="99">
        <v>4</v>
      </c>
      <c r="CC81" s="99">
        <v>3014.4</v>
      </c>
      <c r="CD81" s="99">
        <v>5</v>
      </c>
      <c r="CE81" s="99">
        <v>3768</v>
      </c>
      <c r="CF81" s="99">
        <v>4</v>
      </c>
      <c r="CG81" s="99">
        <v>3014.4</v>
      </c>
      <c r="CH81" s="99">
        <v>6</v>
      </c>
      <c r="CI81" s="99">
        <v>4521.6000000000004</v>
      </c>
      <c r="CJ81" s="99">
        <v>5</v>
      </c>
      <c r="CK81" s="99">
        <v>3768</v>
      </c>
      <c r="CL81" s="99">
        <v>4</v>
      </c>
      <c r="CM81" s="99">
        <v>3014.4</v>
      </c>
      <c r="CN81" s="99">
        <v>4</v>
      </c>
      <c r="CO81" s="99">
        <v>3014.4</v>
      </c>
      <c r="CP81" s="99">
        <v>6</v>
      </c>
      <c r="CQ81" s="99">
        <v>4521.6000000000004</v>
      </c>
      <c r="CR81" s="99">
        <v>3</v>
      </c>
      <c r="CS81" s="99">
        <v>2260.8000000000002</v>
      </c>
      <c r="CT81" s="99">
        <v>4.2258360989037662</v>
      </c>
      <c r="CU81" s="99">
        <v>3184.5900841338785</v>
      </c>
    </row>
    <row r="82" spans="2:99">
      <c r="C82" s="98" t="s">
        <v>248</v>
      </c>
      <c r="D82" s="99">
        <v>6</v>
      </c>
      <c r="E82" s="99">
        <v>3052.7999999999993</v>
      </c>
      <c r="F82" s="99">
        <v>3</v>
      </c>
      <c r="G82" s="99">
        <v>1526.3999999999996</v>
      </c>
      <c r="H82" s="99">
        <v>4</v>
      </c>
      <c r="I82" s="99">
        <v>2035.1999999999996</v>
      </c>
      <c r="J82" s="99">
        <v>4</v>
      </c>
      <c r="K82" s="99">
        <v>2035.1999999999996</v>
      </c>
      <c r="L82" s="99">
        <v>4</v>
      </c>
      <c r="M82" s="99">
        <v>2035.1999999999996</v>
      </c>
      <c r="N82" s="99">
        <v>6</v>
      </c>
      <c r="O82" s="99">
        <v>3052.7999999999993</v>
      </c>
      <c r="P82" s="99">
        <v>5</v>
      </c>
      <c r="Q82" s="99">
        <v>2543.9999999999995</v>
      </c>
      <c r="R82" s="99">
        <v>5</v>
      </c>
      <c r="S82" s="99">
        <v>2543.9999999999995</v>
      </c>
      <c r="T82" s="99">
        <v>5</v>
      </c>
      <c r="U82" s="99">
        <v>2543.9999999999995</v>
      </c>
      <c r="V82" s="99">
        <v>3</v>
      </c>
      <c r="W82" s="99">
        <v>1526.3999999999996</v>
      </c>
      <c r="X82" s="99">
        <v>3</v>
      </c>
      <c r="Y82" s="99">
        <v>1526.3999999999996</v>
      </c>
      <c r="Z82" s="99">
        <v>3</v>
      </c>
      <c r="AA82" s="99">
        <v>1526.3999999999996</v>
      </c>
      <c r="AB82" s="99">
        <v>3</v>
      </c>
      <c r="AC82" s="99">
        <v>1526.3999999999996</v>
      </c>
      <c r="AD82" s="99">
        <v>4</v>
      </c>
      <c r="AE82" s="99">
        <v>2035.1999999999996</v>
      </c>
      <c r="AF82" s="99">
        <v>5</v>
      </c>
      <c r="AG82" s="99">
        <v>2543.9999999999995</v>
      </c>
      <c r="AH82" s="99">
        <v>6.4887419285156183</v>
      </c>
      <c r="AI82" s="99">
        <v>3301.471893228746</v>
      </c>
      <c r="AJ82" s="99">
        <v>6</v>
      </c>
      <c r="AK82" s="99">
        <v>3052.7999999999993</v>
      </c>
      <c r="AL82" s="99">
        <v>5</v>
      </c>
      <c r="AM82" s="99">
        <v>2543.9999999999995</v>
      </c>
      <c r="AN82" s="99">
        <v>4.5358892368574679</v>
      </c>
      <c r="AO82" s="99">
        <v>2307.8604437130793</v>
      </c>
      <c r="AP82" s="99">
        <v>4</v>
      </c>
      <c r="AQ82" s="99">
        <v>2035.1999999999996</v>
      </c>
      <c r="AR82" s="99">
        <v>6</v>
      </c>
      <c r="AS82" s="99">
        <v>3052.7999999999993</v>
      </c>
      <c r="AT82" s="99">
        <v>6</v>
      </c>
      <c r="AU82" s="99">
        <v>3052.7999999999993</v>
      </c>
      <c r="AV82" s="99">
        <v>5</v>
      </c>
      <c r="AW82" s="99">
        <v>2543.9999999999995</v>
      </c>
      <c r="AX82" s="99">
        <v>4</v>
      </c>
      <c r="AY82" s="99">
        <v>2035.1999999999996</v>
      </c>
      <c r="AZ82" s="99">
        <v>3</v>
      </c>
      <c r="BA82" s="99">
        <v>1526.3999999999996</v>
      </c>
      <c r="BB82" s="99">
        <v>6</v>
      </c>
      <c r="BC82" s="99">
        <v>3052.7999999999993</v>
      </c>
      <c r="BD82" s="99">
        <v>4.6994132723201432</v>
      </c>
      <c r="BE82" s="99">
        <v>2391.0614729564882</v>
      </c>
      <c r="BF82" s="99">
        <v>6</v>
      </c>
      <c r="BG82" s="99">
        <v>3052.7999999999993</v>
      </c>
      <c r="BH82" s="99">
        <v>3</v>
      </c>
      <c r="BI82" s="99">
        <v>1526.3999999999996</v>
      </c>
      <c r="BJ82" s="99">
        <v>5</v>
      </c>
      <c r="BK82" s="99">
        <v>2543.9999999999995</v>
      </c>
      <c r="BL82" s="99">
        <v>6</v>
      </c>
      <c r="BM82" s="99">
        <v>3052.7999999999993</v>
      </c>
      <c r="BN82" s="99">
        <v>4</v>
      </c>
      <c r="BO82" s="99">
        <v>2035.1999999999996</v>
      </c>
      <c r="BP82" s="99">
        <v>4</v>
      </c>
      <c r="BQ82" s="99">
        <v>2035.1999999999996</v>
      </c>
      <c r="BR82" s="99">
        <v>4</v>
      </c>
      <c r="BS82" s="99">
        <v>2035.1999999999996</v>
      </c>
      <c r="BT82" s="99">
        <v>4</v>
      </c>
      <c r="BU82" s="99">
        <v>2035.1999999999996</v>
      </c>
      <c r="BV82" s="99">
        <v>5</v>
      </c>
      <c r="BW82" s="99">
        <v>2543.9999999999995</v>
      </c>
      <c r="BX82" s="99">
        <v>4</v>
      </c>
      <c r="BY82" s="99">
        <v>2035.1999999999996</v>
      </c>
      <c r="BZ82" s="99">
        <v>5</v>
      </c>
      <c r="CA82" s="99">
        <v>2543.9999999999995</v>
      </c>
      <c r="CB82" s="99">
        <v>5</v>
      </c>
      <c r="CC82" s="99">
        <v>2543.9999999999995</v>
      </c>
      <c r="CD82" s="99">
        <v>5</v>
      </c>
      <c r="CE82" s="99">
        <v>2543.9999999999995</v>
      </c>
      <c r="CF82" s="99">
        <v>4</v>
      </c>
      <c r="CG82" s="99">
        <v>2035.1999999999996</v>
      </c>
      <c r="CH82" s="99">
        <v>6</v>
      </c>
      <c r="CI82" s="99">
        <v>3052.7999999999993</v>
      </c>
      <c r="CJ82" s="99">
        <v>5</v>
      </c>
      <c r="CK82" s="99">
        <v>2543.9999999999995</v>
      </c>
      <c r="CL82" s="99">
        <v>4</v>
      </c>
      <c r="CM82" s="99">
        <v>2035.1999999999996</v>
      </c>
      <c r="CN82" s="99">
        <v>4</v>
      </c>
      <c r="CO82" s="99">
        <v>2035.1999999999996</v>
      </c>
      <c r="CP82" s="99">
        <v>6</v>
      </c>
      <c r="CQ82" s="99">
        <v>3052.7999999999993</v>
      </c>
      <c r="CR82" s="99">
        <v>4</v>
      </c>
      <c r="CS82" s="99">
        <v>2035.1999999999996</v>
      </c>
      <c r="CT82" s="99">
        <v>4.2258360989037662</v>
      </c>
      <c r="CU82" s="99">
        <v>2150.1054071222356</v>
      </c>
    </row>
    <row r="83" spans="2:99">
      <c r="C83" s="98" t="s">
        <v>249</v>
      </c>
      <c r="D83" s="99">
        <v>5</v>
      </c>
      <c r="E83" s="99">
        <v>4302</v>
      </c>
      <c r="F83" s="99">
        <v>3</v>
      </c>
      <c r="G83" s="99">
        <v>2581.1999999999998</v>
      </c>
      <c r="H83" s="99">
        <v>4</v>
      </c>
      <c r="I83" s="99">
        <v>3441.6</v>
      </c>
      <c r="J83" s="99">
        <v>4</v>
      </c>
      <c r="K83" s="99">
        <v>3441.6</v>
      </c>
      <c r="L83" s="99">
        <v>4</v>
      </c>
      <c r="M83" s="99">
        <v>3441.6</v>
      </c>
      <c r="N83" s="99">
        <v>6</v>
      </c>
      <c r="O83" s="99">
        <v>5162.3999999999996</v>
      </c>
      <c r="P83" s="99">
        <v>5</v>
      </c>
      <c r="Q83" s="99">
        <v>4302</v>
      </c>
      <c r="R83" s="99">
        <v>5</v>
      </c>
      <c r="S83" s="99">
        <v>4302</v>
      </c>
      <c r="T83" s="99">
        <v>5</v>
      </c>
      <c r="U83" s="99">
        <v>4302</v>
      </c>
      <c r="V83" s="99">
        <v>3.5993927426494787</v>
      </c>
      <c r="W83" s="99">
        <v>3096.9175157756113</v>
      </c>
      <c r="X83" s="99">
        <v>4</v>
      </c>
      <c r="Y83" s="99">
        <v>3441.6</v>
      </c>
      <c r="Z83" s="99">
        <v>3</v>
      </c>
      <c r="AA83" s="99">
        <v>2581.1999999999998</v>
      </c>
      <c r="AB83" s="99">
        <v>3</v>
      </c>
      <c r="AC83" s="99">
        <v>2581.1999999999998</v>
      </c>
      <c r="AD83" s="99">
        <v>4</v>
      </c>
      <c r="AE83" s="99">
        <v>3441.6</v>
      </c>
      <c r="AF83" s="99">
        <v>4</v>
      </c>
      <c r="AG83" s="99">
        <v>3441.6</v>
      </c>
      <c r="AH83" s="99">
        <v>5.4398677356640563</v>
      </c>
      <c r="AI83" s="99">
        <v>4680.4621997653539</v>
      </c>
      <c r="AJ83" s="99">
        <v>6</v>
      </c>
      <c r="AK83" s="99">
        <v>5162.3999999999996</v>
      </c>
      <c r="AL83" s="99">
        <v>5</v>
      </c>
      <c r="AM83" s="99">
        <v>4302</v>
      </c>
      <c r="AN83" s="99">
        <v>5.4871720335067886</v>
      </c>
      <c r="AO83" s="99">
        <v>4721.1628176292406</v>
      </c>
      <c r="AP83" s="99">
        <v>5</v>
      </c>
      <c r="AQ83" s="99">
        <v>4302</v>
      </c>
      <c r="AR83" s="99">
        <v>5</v>
      </c>
      <c r="AS83" s="99">
        <v>4302</v>
      </c>
      <c r="AT83" s="99">
        <v>5</v>
      </c>
      <c r="AU83" s="99">
        <v>4302</v>
      </c>
      <c r="AV83" s="99">
        <v>5</v>
      </c>
      <c r="AW83" s="99">
        <v>4302</v>
      </c>
      <c r="AX83" s="99">
        <v>4</v>
      </c>
      <c r="AY83" s="99">
        <v>3441.6</v>
      </c>
      <c r="AZ83" s="99">
        <v>3</v>
      </c>
      <c r="BA83" s="99">
        <v>2581.1999999999998</v>
      </c>
      <c r="BB83" s="99">
        <v>5</v>
      </c>
      <c r="BC83" s="99">
        <v>4302</v>
      </c>
      <c r="BD83" s="99">
        <v>4.6994132723201432</v>
      </c>
      <c r="BE83" s="99">
        <v>4043.3751795042513</v>
      </c>
      <c r="BF83" s="99">
        <v>5</v>
      </c>
      <c r="BG83" s="99">
        <v>4302</v>
      </c>
      <c r="BH83" s="99">
        <v>3</v>
      </c>
      <c r="BI83" s="99">
        <v>2581.1999999999998</v>
      </c>
      <c r="BJ83" s="99">
        <v>5</v>
      </c>
      <c r="BK83" s="99">
        <v>4302</v>
      </c>
      <c r="BL83" s="99">
        <v>6</v>
      </c>
      <c r="BM83" s="99">
        <v>5162.3999999999996</v>
      </c>
      <c r="BN83" s="99">
        <v>4</v>
      </c>
      <c r="BO83" s="99">
        <v>3441.6</v>
      </c>
      <c r="BP83" s="99">
        <v>4</v>
      </c>
      <c r="BQ83" s="99">
        <v>3441.6</v>
      </c>
      <c r="BR83" s="99">
        <v>4</v>
      </c>
      <c r="BS83" s="99">
        <v>3441.6</v>
      </c>
      <c r="BT83" s="99">
        <v>5</v>
      </c>
      <c r="BU83" s="99">
        <v>4302</v>
      </c>
      <c r="BV83" s="99">
        <v>4</v>
      </c>
      <c r="BW83" s="99">
        <v>3441.6</v>
      </c>
      <c r="BX83" s="99">
        <v>4</v>
      </c>
      <c r="BY83" s="99">
        <v>3441.6</v>
      </c>
      <c r="BZ83" s="99">
        <v>5</v>
      </c>
      <c r="CA83" s="99">
        <v>4302</v>
      </c>
      <c r="CB83" s="99">
        <v>5</v>
      </c>
      <c r="CC83" s="99">
        <v>4302</v>
      </c>
      <c r="CD83" s="99">
        <v>5</v>
      </c>
      <c r="CE83" s="99">
        <v>4302</v>
      </c>
      <c r="CF83" s="99">
        <v>4</v>
      </c>
      <c r="CG83" s="99">
        <v>3441.6</v>
      </c>
      <c r="CH83" s="99">
        <v>6</v>
      </c>
      <c r="CI83" s="99">
        <v>5162.3999999999996</v>
      </c>
      <c r="CJ83" s="99">
        <v>5</v>
      </c>
      <c r="CK83" s="99">
        <v>4302</v>
      </c>
      <c r="CL83" s="99">
        <v>5</v>
      </c>
      <c r="CM83" s="99">
        <v>4302</v>
      </c>
      <c r="CN83" s="99">
        <v>3</v>
      </c>
      <c r="CO83" s="99">
        <v>2581.1999999999998</v>
      </c>
      <c r="CP83" s="99">
        <v>6</v>
      </c>
      <c r="CQ83" s="99">
        <v>5162.3999999999996</v>
      </c>
      <c r="CR83" s="99">
        <v>3</v>
      </c>
      <c r="CS83" s="99">
        <v>2581.1999999999998</v>
      </c>
      <c r="CT83" s="99">
        <v>3.521530082419805</v>
      </c>
      <c r="CU83" s="99">
        <v>3029.9244829140002</v>
      </c>
    </row>
    <row r="84" spans="2:99">
      <c r="C84" s="98" t="s">
        <v>250</v>
      </c>
      <c r="D84" s="99">
        <v>5</v>
      </c>
      <c r="E84" s="99">
        <v>3905.9999999999995</v>
      </c>
      <c r="F84" s="99">
        <v>4</v>
      </c>
      <c r="G84" s="99">
        <v>3124.7999999999997</v>
      </c>
      <c r="H84" s="99">
        <v>4</v>
      </c>
      <c r="I84" s="99">
        <v>3124.7999999999997</v>
      </c>
      <c r="J84" s="99">
        <v>4</v>
      </c>
      <c r="K84" s="99">
        <v>3124.7999999999997</v>
      </c>
      <c r="L84" s="99">
        <v>4</v>
      </c>
      <c r="M84" s="99">
        <v>3124.7999999999997</v>
      </c>
      <c r="N84" s="99">
        <v>5</v>
      </c>
      <c r="O84" s="99">
        <v>3905.9999999999995</v>
      </c>
      <c r="P84" s="99">
        <v>5</v>
      </c>
      <c r="Q84" s="99">
        <v>3905.9999999999995</v>
      </c>
      <c r="R84" s="99">
        <v>5</v>
      </c>
      <c r="S84" s="99">
        <v>3905.9999999999995</v>
      </c>
      <c r="T84" s="99">
        <v>5</v>
      </c>
      <c r="U84" s="99">
        <v>3905.9999999999995</v>
      </c>
      <c r="V84" s="99">
        <v>3</v>
      </c>
      <c r="W84" s="99">
        <v>2343.6</v>
      </c>
      <c r="X84" s="99">
        <v>3</v>
      </c>
      <c r="Y84" s="99">
        <v>2343.6</v>
      </c>
      <c r="Z84" s="99">
        <v>3</v>
      </c>
      <c r="AA84" s="99">
        <v>2343.6</v>
      </c>
      <c r="AB84" s="99">
        <v>3</v>
      </c>
      <c r="AC84" s="99">
        <v>2343.6</v>
      </c>
      <c r="AD84" s="99">
        <v>4</v>
      </c>
      <c r="AE84" s="99">
        <v>3124.7999999999997</v>
      </c>
      <c r="AF84" s="99">
        <v>4</v>
      </c>
      <c r="AG84" s="99">
        <v>3124.7999999999997</v>
      </c>
      <c r="AH84" s="99">
        <v>5.4398677356640563</v>
      </c>
      <c r="AI84" s="99">
        <v>4249.6246751007602</v>
      </c>
      <c r="AJ84" s="99">
        <v>6</v>
      </c>
      <c r="AK84" s="99">
        <v>4687.2</v>
      </c>
      <c r="AL84" s="99">
        <v>5</v>
      </c>
      <c r="AM84" s="99">
        <v>3905.9999999999995</v>
      </c>
      <c r="AN84" s="99">
        <v>5.4384548301561102</v>
      </c>
      <c r="AO84" s="99">
        <v>4248.5209133179533</v>
      </c>
      <c r="AP84" s="99">
        <v>5</v>
      </c>
      <c r="AQ84" s="99">
        <v>3905.9999999999995</v>
      </c>
      <c r="AR84" s="99">
        <v>6</v>
      </c>
      <c r="AS84" s="99">
        <v>4687.2</v>
      </c>
      <c r="AT84" s="99">
        <v>6</v>
      </c>
      <c r="AU84" s="99">
        <v>4687.2</v>
      </c>
      <c r="AV84" s="99">
        <v>5</v>
      </c>
      <c r="AW84" s="99">
        <v>3905.9999999999995</v>
      </c>
      <c r="AX84" s="99">
        <v>4</v>
      </c>
      <c r="AY84" s="99">
        <v>3124.7999999999997</v>
      </c>
      <c r="AZ84" s="99">
        <v>3</v>
      </c>
      <c r="BA84" s="99">
        <v>2343.6</v>
      </c>
      <c r="BB84" s="99">
        <v>6</v>
      </c>
      <c r="BC84" s="99">
        <v>4687.2</v>
      </c>
      <c r="BD84" s="99">
        <v>4.6494551814401337</v>
      </c>
      <c r="BE84" s="99">
        <v>3632.1543877410322</v>
      </c>
      <c r="BF84" s="99">
        <v>6</v>
      </c>
      <c r="BG84" s="99">
        <v>4687.2</v>
      </c>
      <c r="BH84" s="99">
        <v>3</v>
      </c>
      <c r="BI84" s="99">
        <v>2343.6</v>
      </c>
      <c r="BJ84" s="99">
        <v>4</v>
      </c>
      <c r="BK84" s="99">
        <v>3124.7999999999997</v>
      </c>
      <c r="BL84" s="99">
        <v>5</v>
      </c>
      <c r="BM84" s="99">
        <v>3905.9999999999995</v>
      </c>
      <c r="BN84" s="99">
        <v>4</v>
      </c>
      <c r="BO84" s="99">
        <v>3124.7999999999997</v>
      </c>
      <c r="BP84" s="99">
        <v>4</v>
      </c>
      <c r="BQ84" s="99">
        <v>3124.7999999999997</v>
      </c>
      <c r="BR84" s="99">
        <v>4</v>
      </c>
      <c r="BS84" s="99">
        <v>3124.7999999999997</v>
      </c>
      <c r="BT84" s="99">
        <v>4</v>
      </c>
      <c r="BU84" s="99">
        <v>3124.7999999999997</v>
      </c>
      <c r="BV84" s="99">
        <v>4</v>
      </c>
      <c r="BW84" s="99">
        <v>3124.7999999999997</v>
      </c>
      <c r="BX84" s="99">
        <v>3</v>
      </c>
      <c r="BY84" s="99">
        <v>2343.6</v>
      </c>
      <c r="BZ84" s="99">
        <v>5</v>
      </c>
      <c r="CA84" s="99">
        <v>3905.9999999999995</v>
      </c>
      <c r="CB84" s="99">
        <v>5</v>
      </c>
      <c r="CC84" s="99">
        <v>3905.9999999999995</v>
      </c>
      <c r="CD84" s="99">
        <v>5</v>
      </c>
      <c r="CE84" s="99">
        <v>3905.9999999999995</v>
      </c>
      <c r="CF84" s="99">
        <v>4</v>
      </c>
      <c r="CG84" s="99">
        <v>3124.7999999999997</v>
      </c>
      <c r="CH84" s="99">
        <v>6</v>
      </c>
      <c r="CI84" s="99">
        <v>4687.2</v>
      </c>
      <c r="CJ84" s="99">
        <v>5</v>
      </c>
      <c r="CK84" s="99">
        <v>3905.9999999999995</v>
      </c>
      <c r="CL84" s="99">
        <v>4</v>
      </c>
      <c r="CM84" s="99">
        <v>3124.7999999999997</v>
      </c>
      <c r="CN84" s="99">
        <v>3</v>
      </c>
      <c r="CO84" s="99">
        <v>2343.6</v>
      </c>
      <c r="CP84" s="99">
        <v>6</v>
      </c>
      <c r="CQ84" s="99">
        <v>4687.2</v>
      </c>
      <c r="CR84" s="99">
        <v>4</v>
      </c>
      <c r="CS84" s="99">
        <v>3124.7999999999997</v>
      </c>
      <c r="CT84" s="99">
        <v>4.2258360989037662</v>
      </c>
      <c r="CU84" s="99">
        <v>3301.2231604636218</v>
      </c>
    </row>
    <row r="85" spans="2:99">
      <c r="C85" s="98" t="s">
        <v>251</v>
      </c>
      <c r="D85" s="99">
        <v>6</v>
      </c>
      <c r="E85" s="99">
        <v>900</v>
      </c>
      <c r="F85" s="99">
        <v>3</v>
      </c>
      <c r="G85" s="99">
        <v>450</v>
      </c>
      <c r="H85" s="99">
        <v>4</v>
      </c>
      <c r="I85" s="99">
        <v>600</v>
      </c>
      <c r="J85" s="99">
        <v>4</v>
      </c>
      <c r="K85" s="99">
        <v>600</v>
      </c>
      <c r="L85" s="99">
        <v>4</v>
      </c>
      <c r="M85" s="99">
        <v>600</v>
      </c>
      <c r="N85" s="99">
        <v>6</v>
      </c>
      <c r="O85" s="99">
        <v>900</v>
      </c>
      <c r="P85" s="99">
        <v>6</v>
      </c>
      <c r="Q85" s="99">
        <v>900</v>
      </c>
      <c r="R85" s="99">
        <v>5</v>
      </c>
      <c r="S85" s="99">
        <v>750</v>
      </c>
      <c r="T85" s="99">
        <v>6</v>
      </c>
      <c r="U85" s="99">
        <v>900</v>
      </c>
      <c r="V85" s="99">
        <v>4.5993927426494787</v>
      </c>
      <c r="W85" s="99">
        <v>689.90891139742178</v>
      </c>
      <c r="X85" s="99">
        <v>4</v>
      </c>
      <c r="Y85" s="99">
        <v>600</v>
      </c>
      <c r="Z85" s="99">
        <v>3</v>
      </c>
      <c r="AA85" s="99">
        <v>450</v>
      </c>
      <c r="AB85" s="99">
        <v>3</v>
      </c>
      <c r="AC85" s="99">
        <v>450</v>
      </c>
      <c r="AD85" s="99">
        <v>5</v>
      </c>
      <c r="AE85" s="99">
        <v>750</v>
      </c>
      <c r="AF85" s="99">
        <v>4</v>
      </c>
      <c r="AG85" s="99">
        <v>600</v>
      </c>
      <c r="AH85" s="99">
        <v>5.4398677356640563</v>
      </c>
      <c r="AI85" s="99">
        <v>815.98016034960847</v>
      </c>
      <c r="AJ85" s="99">
        <v>5</v>
      </c>
      <c r="AK85" s="99">
        <v>750</v>
      </c>
      <c r="AL85" s="99">
        <v>5</v>
      </c>
      <c r="AM85" s="99">
        <v>750</v>
      </c>
      <c r="AN85" s="99">
        <v>5.4871720335067886</v>
      </c>
      <c r="AO85" s="99">
        <v>823.07580502601832</v>
      </c>
      <c r="AP85" s="99">
        <v>5</v>
      </c>
      <c r="AQ85" s="99">
        <v>750</v>
      </c>
      <c r="AR85" s="99">
        <v>6</v>
      </c>
      <c r="AS85" s="99">
        <v>900</v>
      </c>
      <c r="AT85" s="99">
        <v>6</v>
      </c>
      <c r="AU85" s="99">
        <v>900</v>
      </c>
      <c r="AV85" s="99">
        <v>5</v>
      </c>
      <c r="AW85" s="99">
        <v>750</v>
      </c>
      <c r="AX85" s="99">
        <v>4</v>
      </c>
      <c r="AY85" s="99">
        <v>600</v>
      </c>
      <c r="AZ85" s="99">
        <v>4</v>
      </c>
      <c r="BA85" s="99">
        <v>600</v>
      </c>
      <c r="BB85" s="99">
        <v>6</v>
      </c>
      <c r="BC85" s="99">
        <v>900</v>
      </c>
      <c r="BD85" s="99">
        <v>3.6994132723201436</v>
      </c>
      <c r="BE85" s="99">
        <v>554.91199084802156</v>
      </c>
      <c r="BF85" s="99">
        <v>6</v>
      </c>
      <c r="BG85" s="99">
        <v>900</v>
      </c>
      <c r="BH85" s="99">
        <v>3</v>
      </c>
      <c r="BI85" s="99">
        <v>450</v>
      </c>
      <c r="BJ85" s="99">
        <v>5</v>
      </c>
      <c r="BK85" s="99">
        <v>750</v>
      </c>
      <c r="BL85" s="99">
        <v>5</v>
      </c>
      <c r="BM85" s="99">
        <v>750</v>
      </c>
      <c r="BN85" s="99">
        <v>5</v>
      </c>
      <c r="BO85" s="99">
        <v>750</v>
      </c>
      <c r="BP85" s="99">
        <v>4</v>
      </c>
      <c r="BQ85" s="99">
        <v>600</v>
      </c>
      <c r="BR85" s="99">
        <v>5</v>
      </c>
      <c r="BS85" s="99">
        <v>750</v>
      </c>
      <c r="BT85" s="99">
        <v>4</v>
      </c>
      <c r="BU85" s="99">
        <v>600</v>
      </c>
      <c r="BV85" s="99">
        <v>4</v>
      </c>
      <c r="BW85" s="99">
        <v>600</v>
      </c>
      <c r="BX85" s="99">
        <v>4</v>
      </c>
      <c r="BY85" s="99">
        <v>600</v>
      </c>
      <c r="BZ85" s="99">
        <v>5</v>
      </c>
      <c r="CA85" s="99">
        <v>750</v>
      </c>
      <c r="CB85" s="99">
        <v>5</v>
      </c>
      <c r="CC85" s="99">
        <v>750</v>
      </c>
      <c r="CD85" s="99">
        <v>5</v>
      </c>
      <c r="CE85" s="99">
        <v>750</v>
      </c>
      <c r="CF85" s="99">
        <v>4</v>
      </c>
      <c r="CG85" s="99">
        <v>600</v>
      </c>
      <c r="CH85" s="99">
        <v>6</v>
      </c>
      <c r="CI85" s="99">
        <v>900</v>
      </c>
      <c r="CJ85" s="99">
        <v>5</v>
      </c>
      <c r="CK85" s="99">
        <v>750</v>
      </c>
      <c r="CL85" s="99">
        <v>4</v>
      </c>
      <c r="CM85" s="99">
        <v>600</v>
      </c>
      <c r="CN85" s="99">
        <v>4</v>
      </c>
      <c r="CO85" s="99">
        <v>600</v>
      </c>
      <c r="CP85" s="99">
        <v>6</v>
      </c>
      <c r="CQ85" s="99">
        <v>900</v>
      </c>
      <c r="CR85" s="99">
        <v>3</v>
      </c>
      <c r="CS85" s="99">
        <v>450</v>
      </c>
      <c r="CT85" s="99">
        <v>4.2258360989037662</v>
      </c>
      <c r="CU85" s="99">
        <v>633.87541483556492</v>
      </c>
    </row>
    <row r="86" spans="2:99">
      <c r="C86" s="98" t="s">
        <v>252</v>
      </c>
      <c r="D86" s="99">
        <v>6</v>
      </c>
      <c r="E86" s="99">
        <v>3240</v>
      </c>
      <c r="F86" s="99">
        <v>3</v>
      </c>
      <c r="G86" s="99">
        <v>1620</v>
      </c>
      <c r="H86" s="99">
        <v>4</v>
      </c>
      <c r="I86" s="99">
        <v>2160</v>
      </c>
      <c r="J86" s="99">
        <v>4</v>
      </c>
      <c r="K86" s="99">
        <v>2160</v>
      </c>
      <c r="L86" s="99">
        <v>4</v>
      </c>
      <c r="M86" s="99">
        <v>2160</v>
      </c>
      <c r="N86" s="99">
        <v>5</v>
      </c>
      <c r="O86" s="99">
        <v>2700</v>
      </c>
      <c r="P86" s="99">
        <v>6</v>
      </c>
      <c r="Q86" s="99">
        <v>3240</v>
      </c>
      <c r="R86" s="99">
        <v>5</v>
      </c>
      <c r="S86" s="99">
        <v>2700</v>
      </c>
      <c r="T86" s="99">
        <v>5</v>
      </c>
      <c r="U86" s="99">
        <v>2700</v>
      </c>
      <c r="V86" s="99">
        <v>3.6493421378702688</v>
      </c>
      <c r="W86" s="99">
        <v>1970.6447544499451</v>
      </c>
      <c r="X86" s="99">
        <v>4</v>
      </c>
      <c r="Y86" s="99">
        <v>2160</v>
      </c>
      <c r="Z86" s="99">
        <v>3</v>
      </c>
      <c r="AA86" s="99">
        <v>1620</v>
      </c>
      <c r="AB86" s="99">
        <v>3</v>
      </c>
      <c r="AC86" s="99">
        <v>1620</v>
      </c>
      <c r="AD86" s="99">
        <v>4</v>
      </c>
      <c r="AE86" s="99">
        <v>2160</v>
      </c>
      <c r="AF86" s="99">
        <v>5</v>
      </c>
      <c r="AG86" s="99">
        <v>2700</v>
      </c>
      <c r="AH86" s="99">
        <v>6.4887419285156183</v>
      </c>
      <c r="AI86" s="99">
        <v>3503.9206413984339</v>
      </c>
      <c r="AJ86" s="99">
        <v>5</v>
      </c>
      <c r="AK86" s="99">
        <v>2700</v>
      </c>
      <c r="AL86" s="99">
        <v>5</v>
      </c>
      <c r="AM86" s="99">
        <v>2700</v>
      </c>
      <c r="AN86" s="99">
        <v>5.4384548301561102</v>
      </c>
      <c r="AO86" s="99">
        <v>2936.7656082842996</v>
      </c>
      <c r="AP86" s="99">
        <v>5</v>
      </c>
      <c r="AQ86" s="99">
        <v>2700</v>
      </c>
      <c r="AR86" s="99">
        <v>6</v>
      </c>
      <c r="AS86" s="99">
        <v>3240</v>
      </c>
      <c r="AT86" s="99">
        <v>6</v>
      </c>
      <c r="AU86" s="99">
        <v>3240</v>
      </c>
      <c r="AV86" s="99">
        <v>5</v>
      </c>
      <c r="AW86" s="99">
        <v>2700</v>
      </c>
      <c r="AX86" s="99">
        <v>4</v>
      </c>
      <c r="AY86" s="99">
        <v>2160</v>
      </c>
      <c r="AZ86" s="99">
        <v>4</v>
      </c>
      <c r="BA86" s="99">
        <v>2160</v>
      </c>
      <c r="BB86" s="99">
        <v>6</v>
      </c>
      <c r="BC86" s="99">
        <v>3240</v>
      </c>
      <c r="BD86" s="99">
        <v>3.749371363200154</v>
      </c>
      <c r="BE86" s="99">
        <v>2024.6605361280831</v>
      </c>
      <c r="BF86" s="99">
        <v>6</v>
      </c>
      <c r="BG86" s="99">
        <v>3240</v>
      </c>
      <c r="BH86" s="99">
        <v>3</v>
      </c>
      <c r="BI86" s="99">
        <v>1620</v>
      </c>
      <c r="BJ86" s="99">
        <v>5</v>
      </c>
      <c r="BK86" s="99">
        <v>2700</v>
      </c>
      <c r="BL86" s="99">
        <v>5</v>
      </c>
      <c r="BM86" s="99">
        <v>2700</v>
      </c>
      <c r="BN86" s="99">
        <v>5</v>
      </c>
      <c r="BO86" s="99">
        <v>2700</v>
      </c>
      <c r="BP86" s="99">
        <v>4</v>
      </c>
      <c r="BQ86" s="99">
        <v>2160</v>
      </c>
      <c r="BR86" s="99">
        <v>4</v>
      </c>
      <c r="BS86" s="99">
        <v>2160</v>
      </c>
      <c r="BT86" s="99">
        <v>4</v>
      </c>
      <c r="BU86" s="99">
        <v>2160</v>
      </c>
      <c r="BV86" s="99">
        <v>4</v>
      </c>
      <c r="BW86" s="99">
        <v>2160</v>
      </c>
      <c r="BX86" s="99">
        <v>4</v>
      </c>
      <c r="BY86" s="99">
        <v>2160</v>
      </c>
      <c r="BZ86" s="99">
        <v>5</v>
      </c>
      <c r="CA86" s="99">
        <v>2700</v>
      </c>
      <c r="CB86" s="99">
        <v>5</v>
      </c>
      <c r="CC86" s="99">
        <v>2700</v>
      </c>
      <c r="CD86" s="99">
        <v>5</v>
      </c>
      <c r="CE86" s="99">
        <v>2700</v>
      </c>
      <c r="CF86" s="99">
        <v>4</v>
      </c>
      <c r="CG86" s="99">
        <v>2160</v>
      </c>
      <c r="CH86" s="99">
        <v>6</v>
      </c>
      <c r="CI86" s="99">
        <v>3240</v>
      </c>
      <c r="CJ86" s="99">
        <v>6</v>
      </c>
      <c r="CK86" s="99">
        <v>3240</v>
      </c>
      <c r="CL86" s="99">
        <v>4</v>
      </c>
      <c r="CM86" s="99">
        <v>2160</v>
      </c>
      <c r="CN86" s="99">
        <v>4</v>
      </c>
      <c r="CO86" s="99">
        <v>2160</v>
      </c>
      <c r="CP86" s="99">
        <v>6</v>
      </c>
      <c r="CQ86" s="99">
        <v>3240</v>
      </c>
      <c r="CR86" s="99">
        <v>3</v>
      </c>
      <c r="CS86" s="99">
        <v>1620</v>
      </c>
      <c r="CT86" s="99">
        <v>4.2258360989037662</v>
      </c>
      <c r="CU86" s="99">
        <v>2281.9514934080339</v>
      </c>
    </row>
    <row r="87" spans="2:99">
      <c r="B87" s="98" t="s">
        <v>131</v>
      </c>
      <c r="C87" s="98" t="s">
        <v>253</v>
      </c>
      <c r="D87" s="99">
        <v>5</v>
      </c>
      <c r="E87" s="99">
        <v>5370</v>
      </c>
      <c r="F87" s="99">
        <v>5</v>
      </c>
      <c r="G87" s="99">
        <v>5370</v>
      </c>
      <c r="H87" s="99">
        <v>7</v>
      </c>
      <c r="I87" s="99">
        <v>7518</v>
      </c>
      <c r="J87" s="99">
        <v>6</v>
      </c>
      <c r="K87" s="99">
        <v>6444</v>
      </c>
      <c r="L87" s="99">
        <v>2.0595411997774202</v>
      </c>
      <c r="M87" s="99">
        <v>2211.9472485609494</v>
      </c>
      <c r="N87" s="99">
        <v>2.6970770683204934</v>
      </c>
      <c r="O87" s="99">
        <v>2896.6607713762101</v>
      </c>
      <c r="P87" s="99">
        <v>3.9099525099127592</v>
      </c>
      <c r="Q87" s="99">
        <v>4199.2889956463032</v>
      </c>
      <c r="R87" s="99">
        <v>0.20081681267465054</v>
      </c>
      <c r="S87" s="99">
        <v>215.67725681257468</v>
      </c>
      <c r="T87" s="99">
        <v>0</v>
      </c>
      <c r="U87" s="99">
        <v>0</v>
      </c>
      <c r="V87" s="99">
        <v>0</v>
      </c>
      <c r="W87" s="99">
        <v>0</v>
      </c>
      <c r="X87" s="99">
        <v>0</v>
      </c>
      <c r="Y87" s="99">
        <v>0</v>
      </c>
      <c r="Z87" s="99">
        <v>2.8284467498703232</v>
      </c>
      <c r="AA87" s="99">
        <v>3037.7518093607273</v>
      </c>
      <c r="AB87" s="99">
        <v>2.7290259030782682</v>
      </c>
      <c r="AC87" s="99">
        <v>2930.9738199060603</v>
      </c>
      <c r="AD87" s="99">
        <v>2.3509065466738872</v>
      </c>
      <c r="AE87" s="99">
        <v>2524.8736311277548</v>
      </c>
      <c r="AF87" s="99">
        <v>1.4459643946684217</v>
      </c>
      <c r="AG87" s="99">
        <v>1552.965759873885</v>
      </c>
      <c r="AH87" s="99">
        <v>4.1939900232199321</v>
      </c>
      <c r="AI87" s="99">
        <v>4504.3452849382074</v>
      </c>
      <c r="AJ87" s="99">
        <v>1.9885309271943261</v>
      </c>
      <c r="AK87" s="99">
        <v>2135.6822158067062</v>
      </c>
      <c r="AL87" s="99">
        <v>5.0709152098931911</v>
      </c>
      <c r="AM87" s="99">
        <v>5446.1629354252873</v>
      </c>
      <c r="AN87" s="99">
        <v>3.5655984471728681</v>
      </c>
      <c r="AO87" s="99">
        <v>3829.4527322636604</v>
      </c>
      <c r="AP87" s="99">
        <v>2.3689668223347327</v>
      </c>
      <c r="AQ87" s="99">
        <v>2544.2703671875029</v>
      </c>
      <c r="AR87" s="99">
        <v>1.3318093108788096</v>
      </c>
      <c r="AS87" s="99">
        <v>1430.3631998838416</v>
      </c>
      <c r="AT87" s="99">
        <v>4.2673275536806088</v>
      </c>
      <c r="AU87" s="99">
        <v>4583.1097926529737</v>
      </c>
      <c r="AV87" s="99">
        <v>3.1177855039456439</v>
      </c>
      <c r="AW87" s="99">
        <v>3348.5016312376215</v>
      </c>
      <c r="AX87" s="99">
        <v>3.8986826842601672</v>
      </c>
      <c r="AY87" s="99">
        <v>4187.1852028954199</v>
      </c>
      <c r="AZ87" s="99">
        <v>3.7164429937349857</v>
      </c>
      <c r="BA87" s="99">
        <v>3991.4597752713744</v>
      </c>
      <c r="BB87" s="99">
        <v>3.3316257211471743</v>
      </c>
      <c r="BC87" s="99">
        <v>3578.1660245120652</v>
      </c>
      <c r="BD87" s="99">
        <v>2.7565899839206143</v>
      </c>
      <c r="BE87" s="99">
        <v>2960.5776427307396</v>
      </c>
      <c r="BF87" s="99">
        <v>3.4618122592059648</v>
      </c>
      <c r="BG87" s="99">
        <v>3717.9863663872061</v>
      </c>
      <c r="BH87" s="99">
        <v>1.395808215692969</v>
      </c>
      <c r="BI87" s="99">
        <v>1499.0980236542487</v>
      </c>
      <c r="BJ87" s="99">
        <v>2.4032759756064954</v>
      </c>
      <c r="BK87" s="99">
        <v>2581.118397801376</v>
      </c>
      <c r="BL87" s="99">
        <v>2.729294941605215</v>
      </c>
      <c r="BM87" s="99">
        <v>2931.2627672840008</v>
      </c>
      <c r="BN87" s="99">
        <v>3.0903889769993085</v>
      </c>
      <c r="BO87" s="99">
        <v>3319.0777612972574</v>
      </c>
      <c r="BP87" s="99">
        <v>4.9893907251582794</v>
      </c>
      <c r="BQ87" s="99">
        <v>5358.6056388199922</v>
      </c>
      <c r="BR87" s="99">
        <v>3.2932462095581432</v>
      </c>
      <c r="BS87" s="99">
        <v>3536.946429065446</v>
      </c>
      <c r="BT87" s="99">
        <v>1.4120097808472838</v>
      </c>
      <c r="BU87" s="99">
        <v>1516.4985046299828</v>
      </c>
      <c r="BV87" s="99">
        <v>4.6166222869440841</v>
      </c>
      <c r="BW87" s="99">
        <v>4958.2523361779458</v>
      </c>
      <c r="BX87" s="99">
        <v>2.9317263478222246</v>
      </c>
      <c r="BY87" s="99">
        <v>3148.6740975610692</v>
      </c>
      <c r="BZ87" s="99">
        <v>2.8399564642646618</v>
      </c>
      <c r="CA87" s="99">
        <v>3050.1132426202466</v>
      </c>
      <c r="CB87" s="99">
        <v>3.6922388202914243</v>
      </c>
      <c r="CC87" s="99">
        <v>3965.4644929929896</v>
      </c>
      <c r="CD87" s="99">
        <v>2.3566013711888218</v>
      </c>
      <c r="CE87" s="99">
        <v>2530.9898726567949</v>
      </c>
      <c r="CF87" s="99">
        <v>1.5396463726569982</v>
      </c>
      <c r="CG87" s="99">
        <v>1653.5802042336161</v>
      </c>
      <c r="CH87" s="99">
        <v>3.9743954025018331</v>
      </c>
      <c r="CI87" s="99">
        <v>4268.5006622869687</v>
      </c>
      <c r="CJ87" s="99">
        <v>2.6366555665034568</v>
      </c>
      <c r="CK87" s="99">
        <v>2831.7680784247127</v>
      </c>
      <c r="CL87" s="99">
        <v>4.623889626776287</v>
      </c>
      <c r="CM87" s="99">
        <v>4966.0574591577324</v>
      </c>
      <c r="CN87" s="99">
        <v>1.7167660390623867</v>
      </c>
      <c r="CO87" s="99">
        <v>1843.8067259530033</v>
      </c>
      <c r="CP87" s="99">
        <v>2.5356794580170274</v>
      </c>
      <c r="CQ87" s="99">
        <v>2723.3197379102876</v>
      </c>
      <c r="CR87" s="99">
        <v>2.2196662433338106</v>
      </c>
      <c r="CS87" s="99">
        <v>2383.9215453405127</v>
      </c>
      <c r="CT87" s="99">
        <v>5.5603421961491755</v>
      </c>
      <c r="CU87" s="99">
        <v>5971.8075186642145</v>
      </c>
    </row>
    <row r="88" spans="2:99">
      <c r="C88" s="98" t="s">
        <v>254</v>
      </c>
      <c r="D88" s="99">
        <v>5</v>
      </c>
      <c r="E88" s="99">
        <v>4962</v>
      </c>
      <c r="F88" s="99">
        <v>5</v>
      </c>
      <c r="G88" s="99">
        <v>4962</v>
      </c>
      <c r="H88" s="99">
        <v>7</v>
      </c>
      <c r="I88" s="99">
        <v>6946.8</v>
      </c>
      <c r="J88" s="99">
        <v>6</v>
      </c>
      <c r="K88" s="99">
        <v>5954.4</v>
      </c>
      <c r="L88" s="99">
        <v>2.74605493303656</v>
      </c>
      <c r="M88" s="99">
        <v>2725.184915545482</v>
      </c>
      <c r="N88" s="99">
        <v>2.6970770683204934</v>
      </c>
      <c r="O88" s="99">
        <v>2676.5792826012575</v>
      </c>
      <c r="P88" s="99">
        <v>3.9099525099127592</v>
      </c>
      <c r="Q88" s="99">
        <v>3880.236870837422</v>
      </c>
      <c r="R88" s="99">
        <v>0.20081681267465054</v>
      </c>
      <c r="S88" s="99">
        <v>199.29060489832318</v>
      </c>
      <c r="T88" s="99">
        <v>0</v>
      </c>
      <c r="U88" s="99">
        <v>0</v>
      </c>
      <c r="V88" s="99">
        <v>0</v>
      </c>
      <c r="W88" s="99">
        <v>0</v>
      </c>
      <c r="X88" s="99">
        <v>0</v>
      </c>
      <c r="Y88" s="99">
        <v>0</v>
      </c>
      <c r="Z88" s="99">
        <v>2.8284467498703232</v>
      </c>
      <c r="AA88" s="99">
        <v>2806.9505545713087</v>
      </c>
      <c r="AB88" s="99">
        <v>2.7290259030782682</v>
      </c>
      <c r="AC88" s="99">
        <v>2708.2853062148733</v>
      </c>
      <c r="AD88" s="99">
        <v>2.8977055536499581</v>
      </c>
      <c r="AE88" s="99">
        <v>2875.6829914422183</v>
      </c>
      <c r="AF88" s="99">
        <v>1.4459643946684217</v>
      </c>
      <c r="AG88" s="99">
        <v>1434.9750652689418</v>
      </c>
      <c r="AH88" s="99">
        <v>4.1939900232199321</v>
      </c>
      <c r="AI88" s="99">
        <v>4162.1156990434602</v>
      </c>
      <c r="AJ88" s="99">
        <v>1.9885309271943261</v>
      </c>
      <c r="AK88" s="99">
        <v>1973.4180921476493</v>
      </c>
      <c r="AL88" s="99">
        <v>5.0709152098931911</v>
      </c>
      <c r="AM88" s="99">
        <v>5032.376254298003</v>
      </c>
      <c r="AN88" s="99">
        <v>3.5655984471728681</v>
      </c>
      <c r="AO88" s="99">
        <v>3538.4998989743544</v>
      </c>
      <c r="AP88" s="99">
        <v>2.3907950509879679</v>
      </c>
      <c r="AQ88" s="99">
        <v>2372.6250086004593</v>
      </c>
      <c r="AR88" s="99">
        <v>1.5981711730545716</v>
      </c>
      <c r="AS88" s="99">
        <v>1586.0250721393568</v>
      </c>
      <c r="AT88" s="99">
        <v>3.6577093317262359</v>
      </c>
      <c r="AU88" s="99">
        <v>3629.9107408051163</v>
      </c>
      <c r="AV88" s="99">
        <v>3.1255884388216355</v>
      </c>
      <c r="AW88" s="99">
        <v>3101.8339666865909</v>
      </c>
      <c r="AX88" s="99">
        <v>3.1433323939268374</v>
      </c>
      <c r="AY88" s="99">
        <v>3119.4430677329933</v>
      </c>
      <c r="AZ88" s="99">
        <v>4.3358501593574834</v>
      </c>
      <c r="BA88" s="99">
        <v>4302.8976981463666</v>
      </c>
      <c r="BB88" s="99">
        <v>3.3727244877094704</v>
      </c>
      <c r="BC88" s="99">
        <v>3347.0917816028782</v>
      </c>
      <c r="BD88" s="99">
        <v>3.3053725580079569</v>
      </c>
      <c r="BE88" s="99">
        <v>3280.2517265670963</v>
      </c>
      <c r="BF88" s="99">
        <v>3.4618122592059648</v>
      </c>
      <c r="BG88" s="99">
        <v>3435.5024860359995</v>
      </c>
      <c r="BH88" s="99">
        <v>1.395808215692969</v>
      </c>
      <c r="BI88" s="99">
        <v>1385.2000732537024</v>
      </c>
      <c r="BJ88" s="99">
        <v>3.1575353241379562</v>
      </c>
      <c r="BK88" s="99">
        <v>3133.5380556745076</v>
      </c>
      <c r="BL88" s="99">
        <v>2.7520203564716357</v>
      </c>
      <c r="BM88" s="99">
        <v>2731.1050017624511</v>
      </c>
      <c r="BN88" s="99">
        <v>3.7084667723991704</v>
      </c>
      <c r="BO88" s="99">
        <v>3680.2824249289365</v>
      </c>
      <c r="BP88" s="99">
        <v>4.9893907251582794</v>
      </c>
      <c r="BQ88" s="99">
        <v>4951.4713556470761</v>
      </c>
      <c r="BR88" s="99">
        <v>3.2932462095581432</v>
      </c>
      <c r="BS88" s="99">
        <v>3268.2175383655012</v>
      </c>
      <c r="BT88" s="99">
        <v>1.4120097808472838</v>
      </c>
      <c r="BU88" s="99">
        <v>1401.2785065128444</v>
      </c>
      <c r="BV88" s="99">
        <v>3.9571048173806433</v>
      </c>
      <c r="BW88" s="99">
        <v>3927.0308207685503</v>
      </c>
      <c r="BX88" s="99">
        <v>2.5917083223952315</v>
      </c>
      <c r="BY88" s="99">
        <v>2572.0113391450277</v>
      </c>
      <c r="BZ88" s="99">
        <v>3.3711414909531681</v>
      </c>
      <c r="CA88" s="99">
        <v>3345.5208156219237</v>
      </c>
      <c r="CB88" s="99">
        <v>3.6759291980698992</v>
      </c>
      <c r="CC88" s="99">
        <v>3647.9921361645679</v>
      </c>
      <c r="CD88" s="99">
        <v>2.3566013711888218</v>
      </c>
      <c r="CE88" s="99">
        <v>2338.6912007677865</v>
      </c>
      <c r="CF88" s="99">
        <v>1.2462278624258598</v>
      </c>
      <c r="CG88" s="99">
        <v>1236.7565306714232</v>
      </c>
      <c r="CH88" s="99">
        <v>3.4078658045897878</v>
      </c>
      <c r="CI88" s="99">
        <v>3381.9660244749052</v>
      </c>
      <c r="CJ88" s="99">
        <v>2.1972129720862141</v>
      </c>
      <c r="CK88" s="99">
        <v>2180.5141534983591</v>
      </c>
      <c r="CL88" s="99">
        <v>4.6479883343276462</v>
      </c>
      <c r="CM88" s="99">
        <v>4612.6636229867563</v>
      </c>
      <c r="CN88" s="99">
        <v>2.0470443357645225</v>
      </c>
      <c r="CO88" s="99">
        <v>2031.4867988127121</v>
      </c>
      <c r="CP88" s="99">
        <v>2.5502783477509703</v>
      </c>
      <c r="CQ88" s="99">
        <v>2530.8962323080627</v>
      </c>
      <c r="CR88" s="99">
        <v>2.7745828041672631</v>
      </c>
      <c r="CS88" s="99">
        <v>2753.4959748555921</v>
      </c>
      <c r="CT88" s="99">
        <v>4.7660075966992936</v>
      </c>
      <c r="CU88" s="99">
        <v>4729.7859389643791</v>
      </c>
    </row>
    <row r="89" spans="2:99">
      <c r="C89" s="98" t="s">
        <v>255</v>
      </c>
      <c r="D89" s="99">
        <v>5</v>
      </c>
      <c r="E89" s="99">
        <v>5310</v>
      </c>
      <c r="F89" s="99">
        <v>6</v>
      </c>
      <c r="G89" s="99">
        <v>6372</v>
      </c>
      <c r="H89" s="99">
        <v>7</v>
      </c>
      <c r="I89" s="99">
        <v>7434</v>
      </c>
      <c r="J89" s="99">
        <v>6</v>
      </c>
      <c r="K89" s="99">
        <v>6372</v>
      </c>
      <c r="L89" s="99">
        <v>2.0595411997774202</v>
      </c>
      <c r="M89" s="99">
        <v>2187.2327541636205</v>
      </c>
      <c r="N89" s="99">
        <v>2.6970770683204934</v>
      </c>
      <c r="O89" s="99">
        <v>2864.2958465563638</v>
      </c>
      <c r="P89" s="99">
        <v>3.3775629177133952</v>
      </c>
      <c r="Q89" s="99">
        <v>3586.9718186116256</v>
      </c>
      <c r="R89" s="99">
        <v>0.20081681267465054</v>
      </c>
      <c r="S89" s="99">
        <v>213.26745506047888</v>
      </c>
      <c r="T89" s="99">
        <v>0</v>
      </c>
      <c r="U89" s="99">
        <v>0</v>
      </c>
      <c r="V89" s="99">
        <v>0</v>
      </c>
      <c r="W89" s="99">
        <v>0</v>
      </c>
      <c r="X89" s="99">
        <v>0</v>
      </c>
      <c r="Y89" s="99">
        <v>0</v>
      </c>
      <c r="Z89" s="99">
        <v>2.8284467498703232</v>
      </c>
      <c r="AA89" s="99">
        <v>3003.8104483622833</v>
      </c>
      <c r="AB89" s="99">
        <v>2.2849500711296531</v>
      </c>
      <c r="AC89" s="99">
        <v>2426.6169755396918</v>
      </c>
      <c r="AD89" s="99">
        <v>2.3236214602122867</v>
      </c>
      <c r="AE89" s="99">
        <v>2467.6859907454486</v>
      </c>
      <c r="AF89" s="99">
        <v>1.4459643946684217</v>
      </c>
      <c r="AG89" s="99">
        <v>1535.6141871378638</v>
      </c>
      <c r="AH89" s="99">
        <v>5.0327880278639183</v>
      </c>
      <c r="AI89" s="99">
        <v>5344.8208855914809</v>
      </c>
      <c r="AJ89" s="99">
        <v>1.9885309271943261</v>
      </c>
      <c r="AK89" s="99">
        <v>2111.8198446803744</v>
      </c>
      <c r="AL89" s="99">
        <v>5.0709152098931911</v>
      </c>
      <c r="AM89" s="99">
        <v>5385.3119529065689</v>
      </c>
      <c r="AN89" s="99">
        <v>3.5845587272549779</v>
      </c>
      <c r="AO89" s="99">
        <v>3806.8013683447866</v>
      </c>
      <c r="AP89" s="99">
        <v>2.3689668223347327</v>
      </c>
      <c r="AQ89" s="99">
        <v>2515.8427653194863</v>
      </c>
      <c r="AR89" s="99">
        <v>1.3318093108788096</v>
      </c>
      <c r="AS89" s="99">
        <v>1414.3814881532958</v>
      </c>
      <c r="AT89" s="99">
        <v>4.2673275536806088</v>
      </c>
      <c r="AU89" s="99">
        <v>4531.9018620088063</v>
      </c>
      <c r="AV89" s="99">
        <v>3.1255884388216355</v>
      </c>
      <c r="AW89" s="99">
        <v>3319.3749220285767</v>
      </c>
      <c r="AX89" s="99">
        <v>3.9230689307788711</v>
      </c>
      <c r="AY89" s="99">
        <v>4166.2992044871608</v>
      </c>
      <c r="AZ89" s="99">
        <v>3.7164429937349857</v>
      </c>
      <c r="BA89" s="99">
        <v>3946.8624593465547</v>
      </c>
      <c r="BB89" s="99">
        <v>3.3316257211471743</v>
      </c>
      <c r="BC89" s="99">
        <v>3538.1865158582991</v>
      </c>
      <c r="BD89" s="99">
        <v>3.2926954445240542</v>
      </c>
      <c r="BE89" s="99">
        <v>3496.8425620845455</v>
      </c>
      <c r="BF89" s="99">
        <v>3.4618122592059648</v>
      </c>
      <c r="BG89" s="99">
        <v>3676.4446192767346</v>
      </c>
      <c r="BH89" s="99">
        <v>1.395808215692969</v>
      </c>
      <c r="BI89" s="99">
        <v>1482.3483250659331</v>
      </c>
      <c r="BJ89" s="99">
        <v>3.1575353241379562</v>
      </c>
      <c r="BK89" s="99">
        <v>3353.3025142345095</v>
      </c>
      <c r="BL89" s="99">
        <v>2.2697925297765709</v>
      </c>
      <c r="BM89" s="99">
        <v>2410.5196666227184</v>
      </c>
      <c r="BN89" s="99">
        <v>3.7084667723991704</v>
      </c>
      <c r="BO89" s="99">
        <v>3938.3917122879188</v>
      </c>
      <c r="BP89" s="99">
        <v>5.2240184186481216</v>
      </c>
      <c r="BQ89" s="99">
        <v>5547.9075606043052</v>
      </c>
      <c r="BR89" s="99">
        <v>3.2932462095581432</v>
      </c>
      <c r="BS89" s="99">
        <v>3497.4274745507482</v>
      </c>
      <c r="BT89" s="99">
        <v>1.4120097808472838</v>
      </c>
      <c r="BU89" s="99">
        <v>1499.5543872598155</v>
      </c>
      <c r="BV89" s="99">
        <v>4.6166222869440841</v>
      </c>
      <c r="BW89" s="99">
        <v>4902.852868734617</v>
      </c>
      <c r="BX89" s="99">
        <v>3.4556110965269751</v>
      </c>
      <c r="BY89" s="99">
        <v>3669.8589845116476</v>
      </c>
      <c r="BZ89" s="99">
        <v>3.3711414909531681</v>
      </c>
      <c r="CA89" s="99">
        <v>3580.1522633922646</v>
      </c>
      <c r="CB89" s="99">
        <v>3.6922388202914243</v>
      </c>
      <c r="CC89" s="99">
        <v>3921.1576271494923</v>
      </c>
      <c r="CD89" s="99">
        <v>2.7712233049527346</v>
      </c>
      <c r="CE89" s="99">
        <v>2943.0391498598042</v>
      </c>
      <c r="CF89" s="99">
        <v>1.5396463726569982</v>
      </c>
      <c r="CG89" s="99">
        <v>1635.1044477617322</v>
      </c>
      <c r="CH89" s="99">
        <v>3.4078658045897878</v>
      </c>
      <c r="CI89" s="99">
        <v>3619.1534844743546</v>
      </c>
      <c r="CJ89" s="99">
        <v>2.6366555665034568</v>
      </c>
      <c r="CK89" s="99">
        <v>2800.1282116266711</v>
      </c>
      <c r="CL89" s="99">
        <v>4.6479883343276462</v>
      </c>
      <c r="CM89" s="99">
        <v>4936.1636110559602</v>
      </c>
      <c r="CN89" s="99">
        <v>1.5969126872175938</v>
      </c>
      <c r="CO89" s="99">
        <v>1695.9212738250847</v>
      </c>
      <c r="CP89" s="99">
        <v>2.9582927010198654</v>
      </c>
      <c r="CQ89" s="99">
        <v>3141.706848483097</v>
      </c>
      <c r="CR89" s="99">
        <v>2.7745828041672631</v>
      </c>
      <c r="CS89" s="99">
        <v>2946.6069380256336</v>
      </c>
      <c r="CT89" s="99">
        <v>4.7660075966992936</v>
      </c>
      <c r="CU89" s="99">
        <v>5061.5000676946502</v>
      </c>
    </row>
    <row r="90" spans="2:99">
      <c r="C90" s="98" t="s">
        <v>256</v>
      </c>
      <c r="D90" s="99">
        <v>5</v>
      </c>
      <c r="E90" s="99">
        <v>5544</v>
      </c>
      <c r="F90" s="99">
        <v>6</v>
      </c>
      <c r="G90" s="99">
        <v>6652.7999999999993</v>
      </c>
      <c r="H90" s="99">
        <v>6</v>
      </c>
      <c r="I90" s="99">
        <v>6652.7999999999993</v>
      </c>
      <c r="J90" s="99">
        <v>6</v>
      </c>
      <c r="K90" s="99">
        <v>6652.7999999999993</v>
      </c>
      <c r="L90" s="99">
        <v>2.0595411997774202</v>
      </c>
      <c r="M90" s="99">
        <v>2283.6192823132033</v>
      </c>
      <c r="N90" s="99">
        <v>2.6970770683204934</v>
      </c>
      <c r="O90" s="99">
        <v>2990.519053353763</v>
      </c>
      <c r="P90" s="99">
        <v>3.3513878656395075</v>
      </c>
      <c r="Q90" s="99">
        <v>3716.0188654210856</v>
      </c>
      <c r="R90" s="99">
        <v>0.20081681267465054</v>
      </c>
      <c r="S90" s="99">
        <v>222.6656818936525</v>
      </c>
      <c r="T90" s="99">
        <v>0</v>
      </c>
      <c r="U90" s="99">
        <v>0</v>
      </c>
      <c r="V90" s="99">
        <v>0</v>
      </c>
      <c r="W90" s="99">
        <v>0</v>
      </c>
      <c r="X90" s="99">
        <v>0</v>
      </c>
      <c r="Y90" s="99">
        <v>0</v>
      </c>
      <c r="Z90" s="99">
        <v>2.8081824314988095</v>
      </c>
      <c r="AA90" s="99">
        <v>3113.71268004588</v>
      </c>
      <c r="AB90" s="99">
        <v>2.2941744870420213</v>
      </c>
      <c r="AC90" s="99">
        <v>2543.7806712321931</v>
      </c>
      <c r="AD90" s="99">
        <v>2.3509065466738872</v>
      </c>
      <c r="AE90" s="99">
        <v>2606.685178952006</v>
      </c>
      <c r="AF90" s="99">
        <v>1.4459643946684217</v>
      </c>
      <c r="AG90" s="99">
        <v>1603.2853208083459</v>
      </c>
      <c r="AH90" s="99">
        <v>5.0327880278639183</v>
      </c>
      <c r="AI90" s="99">
        <v>5580.3553652955125</v>
      </c>
      <c r="AJ90" s="99">
        <v>1.9885309271943261</v>
      </c>
      <c r="AK90" s="99">
        <v>2204.8830920730688</v>
      </c>
      <c r="AL90" s="99">
        <v>5.0709152098931911</v>
      </c>
      <c r="AM90" s="99">
        <v>5622.6307847295702</v>
      </c>
      <c r="AN90" s="99">
        <v>3.5655984471728681</v>
      </c>
      <c r="AO90" s="99">
        <v>3953.535558225276</v>
      </c>
      <c r="AP90" s="99">
        <v>2.3907950509879679</v>
      </c>
      <c r="AQ90" s="99">
        <v>2650.9135525354586</v>
      </c>
      <c r="AR90" s="99">
        <v>1.5981711730545716</v>
      </c>
      <c r="AS90" s="99">
        <v>1772.052196682909</v>
      </c>
      <c r="AT90" s="99">
        <v>4.2673275536806088</v>
      </c>
      <c r="AU90" s="99">
        <v>4731.6127915210591</v>
      </c>
      <c r="AV90" s="99">
        <v>2.5098342729084986</v>
      </c>
      <c r="AW90" s="99">
        <v>2782.9042418009431</v>
      </c>
      <c r="AX90" s="99">
        <v>3.1677186404455413</v>
      </c>
      <c r="AY90" s="99">
        <v>3512.3664285260161</v>
      </c>
      <c r="AZ90" s="99">
        <v>3.7164429937349857</v>
      </c>
      <c r="BA90" s="99">
        <v>4120.7919914533522</v>
      </c>
      <c r="BB90" s="99">
        <v>3.3778618335297574</v>
      </c>
      <c r="BC90" s="99">
        <v>3745.3732010177951</v>
      </c>
      <c r="BD90" s="99">
        <v>3.3053725580079569</v>
      </c>
      <c r="BE90" s="99">
        <v>3664.9970923192227</v>
      </c>
      <c r="BF90" s="99">
        <v>3.4618122592059648</v>
      </c>
      <c r="BG90" s="99">
        <v>3838.4574330075734</v>
      </c>
      <c r="BH90" s="99">
        <v>1.395808215692969</v>
      </c>
      <c r="BI90" s="99">
        <v>1547.672149560364</v>
      </c>
      <c r="BJ90" s="99">
        <v>2.4032759756064954</v>
      </c>
      <c r="BK90" s="99">
        <v>2664.752401752482</v>
      </c>
      <c r="BL90" s="99">
        <v>2.7520203564716357</v>
      </c>
      <c r="BM90" s="99">
        <v>3051.4401712557496</v>
      </c>
      <c r="BN90" s="99">
        <v>3.0903889769993085</v>
      </c>
      <c r="BO90" s="99">
        <v>3426.6232976968331</v>
      </c>
      <c r="BP90" s="99">
        <v>4.9893907251582794</v>
      </c>
      <c r="BQ90" s="99">
        <v>5532.2364360555002</v>
      </c>
      <c r="BR90" s="99">
        <v>2.770207411005051</v>
      </c>
      <c r="BS90" s="99">
        <v>3071.6059773224006</v>
      </c>
      <c r="BT90" s="99">
        <v>1.4120097808472838</v>
      </c>
      <c r="BU90" s="99">
        <v>1565.6364450034682</v>
      </c>
      <c r="BV90" s="99">
        <v>4.6166222869440841</v>
      </c>
      <c r="BW90" s="99">
        <v>5118.9107917636002</v>
      </c>
      <c r="BX90" s="99">
        <v>3.4556110965269751</v>
      </c>
      <c r="BY90" s="99">
        <v>3831.5815838291096</v>
      </c>
      <c r="BZ90" s="99">
        <v>3.3711414909531681</v>
      </c>
      <c r="CA90" s="99">
        <v>3737.9216851688725</v>
      </c>
      <c r="CB90" s="99">
        <v>3.6759291980698992</v>
      </c>
      <c r="CC90" s="99">
        <v>4075.8702948199038</v>
      </c>
      <c r="CD90" s="99">
        <v>2.3347943171604175</v>
      </c>
      <c r="CE90" s="99">
        <v>2588.8199388674707</v>
      </c>
      <c r="CF90" s="99">
        <v>1.5477079083793654</v>
      </c>
      <c r="CG90" s="99">
        <v>1716.0985288110403</v>
      </c>
      <c r="CH90" s="99">
        <v>3.9743954025018331</v>
      </c>
      <c r="CI90" s="99">
        <v>4406.8096222940321</v>
      </c>
      <c r="CJ90" s="99">
        <v>2.6366555665034568</v>
      </c>
      <c r="CK90" s="99">
        <v>2923.5236921390328</v>
      </c>
      <c r="CL90" s="99">
        <v>5.5438478106212727</v>
      </c>
      <c r="CM90" s="99">
        <v>6147.0184524168671</v>
      </c>
      <c r="CN90" s="99">
        <v>1.7167660390623867</v>
      </c>
      <c r="CO90" s="99">
        <v>1903.5501841123742</v>
      </c>
      <c r="CP90" s="99">
        <v>2.5502783477509703</v>
      </c>
      <c r="CQ90" s="99">
        <v>2827.7486319862755</v>
      </c>
      <c r="CR90" s="99">
        <v>2.2196662433338106</v>
      </c>
      <c r="CS90" s="99">
        <v>2461.1659306085289</v>
      </c>
      <c r="CT90" s="99">
        <v>4.7660075966992936</v>
      </c>
      <c r="CU90" s="99">
        <v>5284.5492232201768</v>
      </c>
    </row>
    <row r="91" spans="2:99">
      <c r="C91" s="98" t="s">
        <v>257</v>
      </c>
      <c r="D91" s="99">
        <v>5</v>
      </c>
      <c r="E91" s="99">
        <v>5681.9999999999991</v>
      </c>
      <c r="F91" s="99">
        <v>5</v>
      </c>
      <c r="G91" s="99">
        <v>5681.9999999999991</v>
      </c>
      <c r="H91" s="99">
        <v>7</v>
      </c>
      <c r="I91" s="99">
        <v>7954.7999999999993</v>
      </c>
      <c r="J91" s="99">
        <v>6</v>
      </c>
      <c r="K91" s="99">
        <v>6818.4</v>
      </c>
      <c r="L91" s="99">
        <v>2.0595411997774202</v>
      </c>
      <c r="M91" s="99">
        <v>2340.46261942706</v>
      </c>
      <c r="N91" s="99">
        <v>2.6970770683204934</v>
      </c>
      <c r="O91" s="99">
        <v>3064.9583804394083</v>
      </c>
      <c r="P91" s="99">
        <v>3.4037379697872834</v>
      </c>
      <c r="Q91" s="99">
        <v>3868.0078288662685</v>
      </c>
      <c r="R91" s="99">
        <v>0.20081681267465054</v>
      </c>
      <c r="S91" s="99">
        <v>228.20822592347284</v>
      </c>
      <c r="T91" s="99">
        <v>0</v>
      </c>
      <c r="U91" s="99">
        <v>0</v>
      </c>
      <c r="V91" s="99">
        <v>0</v>
      </c>
      <c r="W91" s="99">
        <v>0</v>
      </c>
      <c r="X91" s="99">
        <v>0</v>
      </c>
      <c r="Y91" s="99">
        <v>0</v>
      </c>
      <c r="Z91" s="99">
        <v>2.8081824314988095</v>
      </c>
      <c r="AA91" s="99">
        <v>3191.2185151552467</v>
      </c>
      <c r="AB91" s="99">
        <v>2.7290259030782682</v>
      </c>
      <c r="AC91" s="99">
        <v>3101.2650362581435</v>
      </c>
      <c r="AD91" s="99">
        <v>2.3509065466738872</v>
      </c>
      <c r="AE91" s="99">
        <v>2671.5701996402049</v>
      </c>
      <c r="AF91" s="99">
        <v>1.4459643946684217</v>
      </c>
      <c r="AG91" s="99">
        <v>1643.1939381011944</v>
      </c>
      <c r="AH91" s="99">
        <v>5.0327880278639183</v>
      </c>
      <c r="AI91" s="99">
        <v>5719.2603148645558</v>
      </c>
      <c r="AJ91" s="99">
        <v>1.6571091059952716</v>
      </c>
      <c r="AK91" s="99">
        <v>1883.1387880530265</v>
      </c>
      <c r="AL91" s="99">
        <v>5.0709152098931911</v>
      </c>
      <c r="AM91" s="99">
        <v>5762.5880445226221</v>
      </c>
      <c r="AN91" s="99">
        <v>3.5845587272549779</v>
      </c>
      <c r="AO91" s="99">
        <v>4073.4925376525566</v>
      </c>
      <c r="AP91" s="99">
        <v>2.8427601868016787</v>
      </c>
      <c r="AQ91" s="99">
        <v>3230.5126762814275</v>
      </c>
      <c r="AR91" s="99">
        <v>1.5981711730545716</v>
      </c>
      <c r="AS91" s="99">
        <v>1816.1617210592149</v>
      </c>
      <c r="AT91" s="99">
        <v>4.2673275536806088</v>
      </c>
      <c r="AU91" s="99">
        <v>4849.3910320026434</v>
      </c>
      <c r="AV91" s="99">
        <v>3.1255884388216355</v>
      </c>
      <c r="AW91" s="99">
        <v>3551.9187018769062</v>
      </c>
      <c r="AX91" s="99">
        <v>3.1433323939268374</v>
      </c>
      <c r="AY91" s="99">
        <v>3572.0829324584574</v>
      </c>
      <c r="AZ91" s="99">
        <v>4.3358501593574834</v>
      </c>
      <c r="BA91" s="99">
        <v>4927.2601210938437</v>
      </c>
      <c r="BB91" s="99">
        <v>3.3778618335297574</v>
      </c>
      <c r="BC91" s="99">
        <v>3838.6021876232157</v>
      </c>
      <c r="BD91" s="99">
        <v>3.2926954445240542</v>
      </c>
      <c r="BE91" s="99">
        <v>3741.8191031571346</v>
      </c>
      <c r="BF91" s="99">
        <v>3.4618122592059648</v>
      </c>
      <c r="BG91" s="99">
        <v>3934.0034513616579</v>
      </c>
      <c r="BH91" s="99">
        <v>1.395808215692969</v>
      </c>
      <c r="BI91" s="99">
        <v>1586.1964563134898</v>
      </c>
      <c r="BJ91" s="99">
        <v>3.1224108416349283</v>
      </c>
      <c r="BK91" s="99">
        <v>3548.3076804339321</v>
      </c>
      <c r="BL91" s="99">
        <v>2.7747457713380563</v>
      </c>
      <c r="BM91" s="99">
        <v>3153.2210945485667</v>
      </c>
      <c r="BN91" s="99">
        <v>3.0903889769993085</v>
      </c>
      <c r="BO91" s="99">
        <v>3511.9180334620137</v>
      </c>
      <c r="BP91" s="99">
        <v>5.8209558460179922</v>
      </c>
      <c r="BQ91" s="99">
        <v>6614.9342234148453</v>
      </c>
      <c r="BR91" s="99">
        <v>2.770207411005051</v>
      </c>
      <c r="BS91" s="99">
        <v>3148.0637018661396</v>
      </c>
      <c r="BT91" s="99">
        <v>1.4120097808472838</v>
      </c>
      <c r="BU91" s="99">
        <v>1604.6079149548532</v>
      </c>
      <c r="BV91" s="99">
        <v>3.9571048173806433</v>
      </c>
      <c r="BW91" s="99">
        <v>4496.8539144713623</v>
      </c>
      <c r="BX91" s="99">
        <v>3.4556110965269751</v>
      </c>
      <c r="BY91" s="99">
        <v>3926.9564500932538</v>
      </c>
      <c r="BZ91" s="99">
        <v>3.3864774351883455</v>
      </c>
      <c r="CA91" s="99">
        <v>3848.3929573480355</v>
      </c>
      <c r="CB91" s="99">
        <v>3.6759291980698992</v>
      </c>
      <c r="CC91" s="99">
        <v>4177.3259406866327</v>
      </c>
      <c r="CD91" s="99">
        <v>2.3347943171604175</v>
      </c>
      <c r="CE91" s="99">
        <v>2653.2602620210982</v>
      </c>
      <c r="CF91" s="99">
        <v>1.531584836934631</v>
      </c>
      <c r="CG91" s="99">
        <v>1740.4930086925144</v>
      </c>
      <c r="CH91" s="99">
        <v>3.4078658045897878</v>
      </c>
      <c r="CI91" s="99">
        <v>3872.6987003358345</v>
      </c>
      <c r="CJ91" s="99">
        <v>2.6366555665034568</v>
      </c>
      <c r="CK91" s="99">
        <v>2996.2953857745279</v>
      </c>
      <c r="CL91" s="99">
        <v>5.5197491030699135</v>
      </c>
      <c r="CM91" s="99">
        <v>6272.6428807286493</v>
      </c>
      <c r="CN91" s="99">
        <v>1.7167660390623867</v>
      </c>
      <c r="CO91" s="99">
        <v>1950.9329267904959</v>
      </c>
      <c r="CP91" s="99">
        <v>2.5356794580170274</v>
      </c>
      <c r="CQ91" s="99">
        <v>2881.5461360905497</v>
      </c>
      <c r="CR91" s="99">
        <v>2.7745828041672631</v>
      </c>
      <c r="CS91" s="99">
        <v>3153.0358986556776</v>
      </c>
      <c r="CT91" s="99">
        <v>3.9716729972494109</v>
      </c>
      <c r="CU91" s="99">
        <v>4513.4091940742301</v>
      </c>
    </row>
    <row r="92" spans="2:99">
      <c r="C92" s="98" t="s">
        <v>258</v>
      </c>
      <c r="D92" s="99">
        <v>5</v>
      </c>
      <c r="E92" s="99">
        <v>3924</v>
      </c>
      <c r="F92" s="99">
        <v>5</v>
      </c>
      <c r="G92" s="99">
        <v>3924</v>
      </c>
      <c r="H92" s="99">
        <v>6</v>
      </c>
      <c r="I92" s="99">
        <v>4708.7999999999993</v>
      </c>
      <c r="J92" s="99">
        <v>7</v>
      </c>
      <c r="K92" s="99">
        <v>5493.5999999999995</v>
      </c>
      <c r="L92" s="99">
        <v>2.0595411997774202</v>
      </c>
      <c r="M92" s="99">
        <v>1616.3279335853192</v>
      </c>
      <c r="N92" s="99">
        <v>2.6970770683204934</v>
      </c>
      <c r="O92" s="99">
        <v>2116.6660832179232</v>
      </c>
      <c r="P92" s="99">
        <v>3.3775629177133952</v>
      </c>
      <c r="Q92" s="99">
        <v>2650.7113778214725</v>
      </c>
      <c r="R92" s="99">
        <v>0.1506126095059879</v>
      </c>
      <c r="S92" s="99">
        <v>118.20077594029929</v>
      </c>
      <c r="T92" s="99">
        <v>0</v>
      </c>
      <c r="U92" s="99">
        <v>0</v>
      </c>
      <c r="V92" s="99">
        <v>0</v>
      </c>
      <c r="W92" s="99">
        <v>0</v>
      </c>
      <c r="X92" s="99">
        <v>0</v>
      </c>
      <c r="Y92" s="99">
        <v>0</v>
      </c>
      <c r="Z92" s="99">
        <v>2.8284467498703232</v>
      </c>
      <c r="AA92" s="99">
        <v>2219.7650092982294</v>
      </c>
      <c r="AB92" s="99">
        <v>2.7382503189906364</v>
      </c>
      <c r="AC92" s="99">
        <v>2148.9788503438513</v>
      </c>
      <c r="AD92" s="99">
        <v>2.3509065466738872</v>
      </c>
      <c r="AE92" s="99">
        <v>1844.9914578296666</v>
      </c>
      <c r="AF92" s="99">
        <v>1.4459643946684217</v>
      </c>
      <c r="AG92" s="99">
        <v>1134.7928569357773</v>
      </c>
      <c r="AH92" s="99">
        <v>5.0327880278639183</v>
      </c>
      <c r="AI92" s="99">
        <v>3949.7320442676028</v>
      </c>
      <c r="AJ92" s="99">
        <v>1.9885309271943261</v>
      </c>
      <c r="AK92" s="99">
        <v>1560.599071662107</v>
      </c>
      <c r="AL92" s="99">
        <v>5.0709152098931911</v>
      </c>
      <c r="AM92" s="99">
        <v>3979.6542567241763</v>
      </c>
      <c r="AN92" s="99">
        <v>3.5845587272549779</v>
      </c>
      <c r="AO92" s="99">
        <v>2813.1616891497065</v>
      </c>
      <c r="AP92" s="99">
        <v>2.3907950509879679</v>
      </c>
      <c r="AQ92" s="99">
        <v>1876.295956015357</v>
      </c>
      <c r="AR92" s="99">
        <v>1.5981711730545716</v>
      </c>
      <c r="AS92" s="99">
        <v>1254.2447366132276</v>
      </c>
      <c r="AT92" s="99">
        <v>4.2673275536806088</v>
      </c>
      <c r="AU92" s="99">
        <v>3348.9986641285418</v>
      </c>
      <c r="AV92" s="99">
        <v>2.5098342729084986</v>
      </c>
      <c r="AW92" s="99">
        <v>1969.7179373785896</v>
      </c>
      <c r="AX92" s="99">
        <v>3.1677186404455413</v>
      </c>
      <c r="AY92" s="99">
        <v>2486.0255890216608</v>
      </c>
      <c r="AZ92" s="99">
        <v>3.7164429937349857</v>
      </c>
      <c r="BA92" s="99">
        <v>2916.6644614832167</v>
      </c>
      <c r="BB92" s="99">
        <v>3.3316257211471743</v>
      </c>
      <c r="BC92" s="99">
        <v>2614.6598659563024</v>
      </c>
      <c r="BD92" s="99">
        <v>2.7692670974045175</v>
      </c>
      <c r="BE92" s="99">
        <v>2173.3208180430652</v>
      </c>
      <c r="BF92" s="99">
        <v>2.9166443214067166</v>
      </c>
      <c r="BG92" s="99">
        <v>2288.9824634399911</v>
      </c>
      <c r="BH92" s="99">
        <v>1.395808215692969</v>
      </c>
      <c r="BI92" s="99">
        <v>1095.430287675842</v>
      </c>
      <c r="BJ92" s="99">
        <v>2.4384004581095229</v>
      </c>
      <c r="BK92" s="99">
        <v>1913.6566795243534</v>
      </c>
      <c r="BL92" s="99">
        <v>2.7747457713380563</v>
      </c>
      <c r="BM92" s="99">
        <v>2177.6204813461063</v>
      </c>
      <c r="BN92" s="99">
        <v>3.7084667723991704</v>
      </c>
      <c r="BO92" s="99">
        <v>2910.4047229788689</v>
      </c>
      <c r="BP92" s="99">
        <v>5.2240184186481216</v>
      </c>
      <c r="BQ92" s="99">
        <v>4099.8096549550455</v>
      </c>
      <c r="BR92" s="99">
        <v>3.2932462095581432</v>
      </c>
      <c r="BS92" s="99">
        <v>2584.5396252612304</v>
      </c>
      <c r="BT92" s="99">
        <v>1.4120097808472838</v>
      </c>
      <c r="BU92" s="99">
        <v>1108.1452760089483</v>
      </c>
      <c r="BV92" s="99">
        <v>4.6166222869440841</v>
      </c>
      <c r="BW92" s="99">
        <v>3623.1251707937167</v>
      </c>
      <c r="BX92" s="99">
        <v>3.4556110965269751</v>
      </c>
      <c r="BY92" s="99">
        <v>2711.9635885543698</v>
      </c>
      <c r="BZ92" s="99">
        <v>3.3711414909531681</v>
      </c>
      <c r="CA92" s="99">
        <v>2645.671842100046</v>
      </c>
      <c r="CB92" s="99">
        <v>4.2858657940446294</v>
      </c>
      <c r="CC92" s="99">
        <v>3363.547475166225</v>
      </c>
      <c r="CD92" s="99">
        <v>2.7930303589811394</v>
      </c>
      <c r="CE92" s="99">
        <v>2191.970225728398</v>
      </c>
      <c r="CF92" s="99">
        <v>1.5396463726569982</v>
      </c>
      <c r="CG92" s="99">
        <v>1208.3144732612122</v>
      </c>
      <c r="CH92" s="99">
        <v>3.4093138407760413</v>
      </c>
      <c r="CI92" s="99">
        <v>2675.6295022410372</v>
      </c>
      <c r="CJ92" s="99">
        <v>2.6366555665034568</v>
      </c>
      <c r="CK92" s="99">
        <v>2069.2472885919128</v>
      </c>
      <c r="CL92" s="99">
        <v>5.5438478106212727</v>
      </c>
      <c r="CM92" s="99">
        <v>4350.8117617755743</v>
      </c>
      <c r="CN92" s="99">
        <v>2.0470443357645225</v>
      </c>
      <c r="CO92" s="99">
        <v>1606.5203947079972</v>
      </c>
      <c r="CP92" s="99">
        <v>2.9582927010198654</v>
      </c>
      <c r="CQ92" s="99">
        <v>2321.6681117603903</v>
      </c>
      <c r="CR92" s="99">
        <v>2.2196662433338106</v>
      </c>
      <c r="CS92" s="99">
        <v>1741.9940677683744</v>
      </c>
      <c r="CT92" s="99">
        <v>4.7660075966992936</v>
      </c>
      <c r="CU92" s="99">
        <v>3740.3627618896053</v>
      </c>
    </row>
    <row r="93" spans="2:99">
      <c r="C93" s="98" t="s">
        <v>259</v>
      </c>
      <c r="D93" s="99">
        <v>5</v>
      </c>
      <c r="E93" s="99">
        <v>3468</v>
      </c>
      <c r="F93" s="99">
        <v>5</v>
      </c>
      <c r="G93" s="99">
        <v>3468</v>
      </c>
      <c r="H93" s="99">
        <v>7</v>
      </c>
      <c r="I93" s="99">
        <v>4855.2</v>
      </c>
      <c r="J93" s="99">
        <v>6</v>
      </c>
      <c r="K93" s="99">
        <v>4161.6000000000004</v>
      </c>
      <c r="L93" s="99">
        <v>2.0595411997774202</v>
      </c>
      <c r="M93" s="99">
        <v>1428.4977761656187</v>
      </c>
      <c r="N93" s="99">
        <v>2.6970770683204934</v>
      </c>
      <c r="O93" s="99">
        <v>1870.6926545870942</v>
      </c>
      <c r="P93" s="99">
        <v>3.3775629177133952</v>
      </c>
      <c r="Q93" s="99">
        <v>2342.677639726011</v>
      </c>
      <c r="R93" s="99">
        <v>0.1506126095059879</v>
      </c>
      <c r="S93" s="99">
        <v>104.46490595335321</v>
      </c>
      <c r="T93" s="99">
        <v>0</v>
      </c>
      <c r="U93" s="99">
        <v>0</v>
      </c>
      <c r="V93" s="99">
        <v>0</v>
      </c>
      <c r="W93" s="99">
        <v>0</v>
      </c>
      <c r="X93" s="99">
        <v>0</v>
      </c>
      <c r="Y93" s="99">
        <v>0</v>
      </c>
      <c r="Z93" s="99">
        <v>2.8284467498703232</v>
      </c>
      <c r="AA93" s="99">
        <v>1961.8106657100561</v>
      </c>
      <c r="AB93" s="99">
        <v>2.7290259030782682</v>
      </c>
      <c r="AC93" s="99">
        <v>1892.8523663750868</v>
      </c>
      <c r="AD93" s="99">
        <v>2.8977055536499581</v>
      </c>
      <c r="AE93" s="99">
        <v>2009.8485720116109</v>
      </c>
      <c r="AF93" s="99">
        <v>1.4459643946684217</v>
      </c>
      <c r="AG93" s="99">
        <v>1002.9209041420173</v>
      </c>
      <c r="AH93" s="99">
        <v>5.0327880278639183</v>
      </c>
      <c r="AI93" s="99">
        <v>3490.7417761264137</v>
      </c>
      <c r="AJ93" s="99">
        <v>1.9885309271943261</v>
      </c>
      <c r="AK93" s="99">
        <v>1379.2450511019847</v>
      </c>
      <c r="AL93" s="99">
        <v>5.0709152098931911</v>
      </c>
      <c r="AM93" s="99">
        <v>3517.1867895819173</v>
      </c>
      <c r="AN93" s="99">
        <v>3.5845587272549779</v>
      </c>
      <c r="AO93" s="99">
        <v>2486.2499332240527</v>
      </c>
      <c r="AP93" s="99">
        <v>2.3689668223347327</v>
      </c>
      <c r="AQ93" s="99">
        <v>1643.1153879713706</v>
      </c>
      <c r="AR93" s="99">
        <v>1.5981711730545716</v>
      </c>
      <c r="AS93" s="99">
        <v>1108.4915256306508</v>
      </c>
      <c r="AT93" s="99">
        <v>3.6577093317262359</v>
      </c>
      <c r="AU93" s="99">
        <v>2536.9871924853173</v>
      </c>
      <c r="AV93" s="99">
        <v>2.5098342729084986</v>
      </c>
      <c r="AW93" s="99">
        <v>1740.8210516893346</v>
      </c>
      <c r="AX93" s="99">
        <v>3.1921048869642457</v>
      </c>
      <c r="AY93" s="99">
        <v>2214.043949598401</v>
      </c>
      <c r="AZ93" s="99">
        <v>4.3358501593574834</v>
      </c>
      <c r="BA93" s="99">
        <v>3007.3456705303506</v>
      </c>
      <c r="BB93" s="99">
        <v>3.3316257211471743</v>
      </c>
      <c r="BC93" s="99">
        <v>2310.81560018768</v>
      </c>
      <c r="BD93" s="99">
        <v>2.7692670974045175</v>
      </c>
      <c r="BE93" s="99">
        <v>1920.7636587597733</v>
      </c>
      <c r="BF93" s="99">
        <v>3.4618122592059648</v>
      </c>
      <c r="BG93" s="99">
        <v>2401.1129829852571</v>
      </c>
      <c r="BH93" s="99">
        <v>1.395808215692969</v>
      </c>
      <c r="BI93" s="99">
        <v>968.13257840464337</v>
      </c>
      <c r="BJ93" s="99">
        <v>2.4384004581095229</v>
      </c>
      <c r="BK93" s="99">
        <v>1691.2745577447652</v>
      </c>
      <c r="BL93" s="99">
        <v>2.7747457713380563</v>
      </c>
      <c r="BM93" s="99">
        <v>1924.5636670000758</v>
      </c>
      <c r="BN93" s="99">
        <v>3.0903889769993085</v>
      </c>
      <c r="BO93" s="99">
        <v>2143.4937944467206</v>
      </c>
      <c r="BP93" s="99">
        <v>4.9893907251582794</v>
      </c>
      <c r="BQ93" s="99">
        <v>3460.6414069697826</v>
      </c>
      <c r="BR93" s="99">
        <v>2.770207411005051</v>
      </c>
      <c r="BS93" s="99">
        <v>1921.4158602731034</v>
      </c>
      <c r="BT93" s="99">
        <v>1.4120097808472838</v>
      </c>
      <c r="BU93" s="99">
        <v>979.36998399567608</v>
      </c>
      <c r="BV93" s="99">
        <v>4.6166222869440841</v>
      </c>
      <c r="BW93" s="99">
        <v>3202.089218224417</v>
      </c>
      <c r="BX93" s="99">
        <v>3.4556110965269751</v>
      </c>
      <c r="BY93" s="99">
        <v>2396.8118565511099</v>
      </c>
      <c r="BZ93" s="99">
        <v>3.3711414909531681</v>
      </c>
      <c r="CA93" s="99">
        <v>2338.2237381251175</v>
      </c>
      <c r="CB93" s="99">
        <v>3.6922388202914243</v>
      </c>
      <c r="CC93" s="99">
        <v>2560.9368457541318</v>
      </c>
      <c r="CD93" s="99">
        <v>2.3347943171604175</v>
      </c>
      <c r="CE93" s="99">
        <v>1619.4133383824656</v>
      </c>
      <c r="CF93" s="99">
        <v>1.5396463726569982</v>
      </c>
      <c r="CG93" s="99">
        <v>1067.8987240748941</v>
      </c>
      <c r="CH93" s="99">
        <v>3.4078658045897878</v>
      </c>
      <c r="CI93" s="99">
        <v>2363.6957220634768</v>
      </c>
      <c r="CJ93" s="99">
        <v>2.6366555665034568</v>
      </c>
      <c r="CK93" s="99">
        <v>1828.7843009267976</v>
      </c>
      <c r="CL93" s="99">
        <v>5.5438478106212727</v>
      </c>
      <c r="CM93" s="99">
        <v>3845.2128414469148</v>
      </c>
      <c r="CN93" s="99">
        <v>2.0470443357645225</v>
      </c>
      <c r="CO93" s="99">
        <v>1419.8299512862729</v>
      </c>
      <c r="CP93" s="99">
        <v>2.943693811285923</v>
      </c>
      <c r="CQ93" s="99">
        <v>2041.7460275079163</v>
      </c>
      <c r="CR93" s="99">
        <v>2.7745828041672631</v>
      </c>
      <c r="CS93" s="99">
        <v>1924.4506329704138</v>
      </c>
      <c r="CT93" s="99">
        <v>4.7660075966992936</v>
      </c>
      <c r="CU93" s="99">
        <v>3305.7028690706302</v>
      </c>
    </row>
    <row r="94" spans="2:99">
      <c r="C94" s="98" t="s">
        <v>260</v>
      </c>
      <c r="D94" s="99">
        <v>5</v>
      </c>
      <c r="E94" s="99">
        <v>5964</v>
      </c>
      <c r="F94" s="99">
        <v>5</v>
      </c>
      <c r="G94" s="99">
        <v>5964</v>
      </c>
      <c r="H94" s="99">
        <v>7</v>
      </c>
      <c r="I94" s="99">
        <v>8349.6</v>
      </c>
      <c r="J94" s="99">
        <v>6</v>
      </c>
      <c r="K94" s="99">
        <v>7156.7999999999993</v>
      </c>
      <c r="L94" s="99">
        <v>2.0595411997774202</v>
      </c>
      <c r="M94" s="99">
        <v>2456.6207430945069</v>
      </c>
      <c r="N94" s="99">
        <v>2.6970770683204934</v>
      </c>
      <c r="O94" s="99">
        <v>3217.0735270926843</v>
      </c>
      <c r="P94" s="99">
        <v>3.3513878656395075</v>
      </c>
      <c r="Q94" s="99">
        <v>3997.5354461348043</v>
      </c>
      <c r="R94" s="99">
        <v>0.20081681267465054</v>
      </c>
      <c r="S94" s="99">
        <v>239.53429415832315</v>
      </c>
      <c r="T94" s="99">
        <v>0</v>
      </c>
      <c r="U94" s="99">
        <v>0</v>
      </c>
      <c r="V94" s="99">
        <v>0</v>
      </c>
      <c r="W94" s="99">
        <v>0</v>
      </c>
      <c r="X94" s="99">
        <v>0</v>
      </c>
      <c r="Y94" s="99">
        <v>0</v>
      </c>
      <c r="Z94" s="99">
        <v>2.8081824314988095</v>
      </c>
      <c r="AA94" s="99">
        <v>3349.6000042917799</v>
      </c>
      <c r="AB94" s="99">
        <v>2.7382503189906364</v>
      </c>
      <c r="AC94" s="99">
        <v>3266.1849804920312</v>
      </c>
      <c r="AD94" s="99">
        <v>2.3509065466738872</v>
      </c>
      <c r="AE94" s="99">
        <v>2804.1613288726126</v>
      </c>
      <c r="AF94" s="99">
        <v>1.4459643946684217</v>
      </c>
      <c r="AG94" s="99">
        <v>1724.7463299604933</v>
      </c>
      <c r="AH94" s="99">
        <v>5.0327880278639183</v>
      </c>
      <c r="AI94" s="99">
        <v>6003.1095596360819</v>
      </c>
      <c r="AJ94" s="99">
        <v>1.9885309271943261</v>
      </c>
      <c r="AK94" s="99">
        <v>2371.9196899573922</v>
      </c>
      <c r="AL94" s="99">
        <v>5.0709152098931911</v>
      </c>
      <c r="AM94" s="99">
        <v>6048.5876623605982</v>
      </c>
      <c r="AN94" s="99">
        <v>3.5655984471728681</v>
      </c>
      <c r="AO94" s="99">
        <v>4253.045827787797</v>
      </c>
      <c r="AP94" s="99">
        <v>2.820931958148444</v>
      </c>
      <c r="AQ94" s="99">
        <v>3364.807639679464</v>
      </c>
      <c r="AR94" s="99">
        <v>1.3318093108788096</v>
      </c>
      <c r="AS94" s="99">
        <v>1588.582146016244</v>
      </c>
      <c r="AT94" s="99">
        <v>4.2673275536806088</v>
      </c>
      <c r="AU94" s="99">
        <v>5090.0683060302299</v>
      </c>
      <c r="AV94" s="99">
        <v>2.5098342729084986</v>
      </c>
      <c r="AW94" s="99">
        <v>2993.7303207252571</v>
      </c>
      <c r="AX94" s="99">
        <v>3.9230689307788711</v>
      </c>
      <c r="AY94" s="99">
        <v>4679.4366206330369</v>
      </c>
      <c r="AZ94" s="99">
        <v>3.7164429937349857</v>
      </c>
      <c r="BA94" s="99">
        <v>4432.9732029270908</v>
      </c>
      <c r="BB94" s="99">
        <v>3.3316257211471743</v>
      </c>
      <c r="BC94" s="99">
        <v>3973.9631601843494</v>
      </c>
      <c r="BD94" s="99">
        <v>3.3053725580079569</v>
      </c>
      <c r="BE94" s="99">
        <v>3942.6483871918908</v>
      </c>
      <c r="BF94" s="99">
        <v>3.4618122592059648</v>
      </c>
      <c r="BG94" s="99">
        <v>4129.249662780875</v>
      </c>
      <c r="BH94" s="99">
        <v>1.395808215692969</v>
      </c>
      <c r="BI94" s="99">
        <v>1664.9200396785734</v>
      </c>
      <c r="BJ94" s="99">
        <v>3.1575353241379562</v>
      </c>
      <c r="BK94" s="99">
        <v>3766.308134631754</v>
      </c>
      <c r="BL94" s="99">
        <v>2.2470671149101502</v>
      </c>
      <c r="BM94" s="99">
        <v>2680.3016546648269</v>
      </c>
      <c r="BN94" s="99">
        <v>3.7084667723991704</v>
      </c>
      <c r="BO94" s="99">
        <v>4423.4591661177301</v>
      </c>
      <c r="BP94" s="99">
        <v>4.9893907251582794</v>
      </c>
      <c r="BQ94" s="99">
        <v>5951.3452569687952</v>
      </c>
      <c r="BR94" s="99">
        <v>3.2932462095581432</v>
      </c>
      <c r="BS94" s="99">
        <v>3928.1840787609531</v>
      </c>
      <c r="BT94" s="99">
        <v>1.4120097808472838</v>
      </c>
      <c r="BU94" s="99">
        <v>1684.24526659464</v>
      </c>
      <c r="BV94" s="99">
        <v>3.9571048173806433</v>
      </c>
      <c r="BW94" s="99">
        <v>4720.0346261716313</v>
      </c>
      <c r="BX94" s="99">
        <v>3.7956291219539686</v>
      </c>
      <c r="BY94" s="99">
        <v>4527.4264166666935</v>
      </c>
      <c r="BZ94" s="99">
        <v>3.3711414909531681</v>
      </c>
      <c r="CA94" s="99">
        <v>4021.0975704089387</v>
      </c>
      <c r="CB94" s="99">
        <v>3.6922388202914243</v>
      </c>
      <c r="CC94" s="99">
        <v>4404.1024648436105</v>
      </c>
      <c r="CD94" s="99">
        <v>2.3347943171604175</v>
      </c>
      <c r="CE94" s="99">
        <v>2784.942661508946</v>
      </c>
      <c r="CF94" s="99">
        <v>1.2462278624258598</v>
      </c>
      <c r="CG94" s="99">
        <v>1486.5005943015656</v>
      </c>
      <c r="CH94" s="99">
        <v>3.9758434386880861</v>
      </c>
      <c r="CI94" s="99">
        <v>4742.3860536671491</v>
      </c>
      <c r="CJ94" s="99">
        <v>2.6366555665034568</v>
      </c>
      <c r="CK94" s="99">
        <v>3145.0027597253229</v>
      </c>
      <c r="CL94" s="99">
        <v>5.5438478106212727</v>
      </c>
      <c r="CM94" s="99">
        <v>6612.7016685090539</v>
      </c>
      <c r="CN94" s="99">
        <v>1.7276617983210041</v>
      </c>
      <c r="CO94" s="99">
        <v>2060.7549930372934</v>
      </c>
      <c r="CP94" s="99">
        <v>2.9582927010198654</v>
      </c>
      <c r="CQ94" s="99">
        <v>3528.6515337764954</v>
      </c>
      <c r="CR94" s="99">
        <v>2.7745828041672631</v>
      </c>
      <c r="CS94" s="99">
        <v>3309.5223688107112</v>
      </c>
      <c r="CT94" s="99">
        <v>4.7660075966992936</v>
      </c>
      <c r="CU94" s="99">
        <v>5684.8938613429173</v>
      </c>
    </row>
    <row r="95" spans="2:99">
      <c r="B95" s="98" t="s">
        <v>132</v>
      </c>
      <c r="C95" s="98" t="s">
        <v>261</v>
      </c>
      <c r="D95" s="99">
        <v>6</v>
      </c>
      <c r="E95" s="99">
        <v>1972.8000000000002</v>
      </c>
      <c r="F95" s="99">
        <v>7</v>
      </c>
      <c r="G95" s="99">
        <v>2301.6</v>
      </c>
      <c r="H95" s="99">
        <v>7</v>
      </c>
      <c r="I95" s="99">
        <v>2301.6</v>
      </c>
      <c r="J95" s="99">
        <v>7</v>
      </c>
      <c r="K95" s="99">
        <v>2301.6</v>
      </c>
      <c r="L95" s="99">
        <v>6.8651373325914014</v>
      </c>
      <c r="M95" s="99">
        <v>2257.257154956053</v>
      </c>
      <c r="N95" s="99">
        <v>6.0684234037211109</v>
      </c>
      <c r="O95" s="99">
        <v>1995.2976151435014</v>
      </c>
      <c r="P95" s="99">
        <v>5.1056069546809244</v>
      </c>
      <c r="Q95" s="99">
        <v>1678.723566699088</v>
      </c>
      <c r="R95" s="99">
        <v>0.3012252190119758</v>
      </c>
      <c r="S95" s="99">
        <v>99.04285201113764</v>
      </c>
      <c r="T95" s="99">
        <v>0</v>
      </c>
      <c r="U95" s="99">
        <v>0</v>
      </c>
      <c r="V95" s="99">
        <v>0</v>
      </c>
      <c r="W95" s="99">
        <v>0</v>
      </c>
      <c r="X95" s="99">
        <v>0</v>
      </c>
      <c r="Y95" s="99">
        <v>0</v>
      </c>
      <c r="Z95" s="99">
        <v>4.5295676634668203</v>
      </c>
      <c r="AA95" s="99">
        <v>1489.3218477478906</v>
      </c>
      <c r="AB95" s="99">
        <v>4.8848341514347693</v>
      </c>
      <c r="AC95" s="99">
        <v>1606.1334689917521</v>
      </c>
      <c r="AD95" s="99">
        <v>5.1940419274006446</v>
      </c>
      <c r="AE95" s="99">
        <v>1707.8009857293321</v>
      </c>
      <c r="AF95" s="99">
        <v>2.1689465920026327</v>
      </c>
      <c r="AG95" s="99">
        <v>713.14963945046566</v>
      </c>
      <c r="AH95" s="99">
        <v>6.7103840371518908</v>
      </c>
      <c r="AI95" s="99">
        <v>2206.3742714155419</v>
      </c>
      <c r="AJ95" s="99">
        <v>3.3142182119905432</v>
      </c>
      <c r="AK95" s="99">
        <v>1089.7149481024906</v>
      </c>
      <c r="AL95" s="99">
        <v>5.9160677448753889</v>
      </c>
      <c r="AM95" s="99">
        <v>1945.203074515028</v>
      </c>
      <c r="AN95" s="99">
        <v>4.1422041200162516</v>
      </c>
      <c r="AO95" s="99">
        <v>1361.9567146613435</v>
      </c>
      <c r="AP95" s="99">
        <v>5.1244140945234697</v>
      </c>
      <c r="AQ95" s="99">
        <v>1684.9073542793169</v>
      </c>
      <c r="AR95" s="99">
        <v>2.397256759581857</v>
      </c>
      <c r="AS95" s="99">
        <v>788.21802255051466</v>
      </c>
      <c r="AT95" s="99">
        <v>6.7058004414980985</v>
      </c>
      <c r="AU95" s="99">
        <v>2204.8671851645749</v>
      </c>
      <c r="AV95" s="99">
        <v>6.157541659131371</v>
      </c>
      <c r="AW95" s="99">
        <v>2024.5996975223948</v>
      </c>
      <c r="AX95" s="99">
        <v>4.5321017419999778</v>
      </c>
      <c r="AY95" s="99">
        <v>1490.1550527695927</v>
      </c>
      <c r="AZ95" s="99">
        <v>4.3358501593574834</v>
      </c>
      <c r="BA95" s="99">
        <v>1425.6275323967407</v>
      </c>
      <c r="BB95" s="99">
        <v>4.4832663947585276</v>
      </c>
      <c r="BC95" s="99">
        <v>1474.0979905966039</v>
      </c>
      <c r="BD95" s="99">
        <v>4.4156148196665441</v>
      </c>
      <c r="BE95" s="99">
        <v>1451.8541527063599</v>
      </c>
      <c r="BF95" s="99">
        <v>3.5163278684661003</v>
      </c>
      <c r="BG95" s="99">
        <v>1156.1686031516538</v>
      </c>
      <c r="BH95" s="99">
        <v>2.4426643774626955</v>
      </c>
      <c r="BI95" s="99">
        <v>803.14804730973435</v>
      </c>
      <c r="BJ95" s="99">
        <v>8.1563549038339609</v>
      </c>
      <c r="BK95" s="99">
        <v>2681.8094923806066</v>
      </c>
      <c r="BL95" s="99">
        <v>3.3478752574988047</v>
      </c>
      <c r="BM95" s="99">
        <v>1100.781384665607</v>
      </c>
      <c r="BN95" s="99">
        <v>4.326544567799032</v>
      </c>
      <c r="BO95" s="99">
        <v>1422.5678538923219</v>
      </c>
      <c r="BP95" s="99">
        <v>5.8209558460179922</v>
      </c>
      <c r="BQ95" s="99">
        <v>1913.9302821707158</v>
      </c>
      <c r="BR95" s="99">
        <v>6.0634536205631937</v>
      </c>
      <c r="BS95" s="99">
        <v>1993.6635504411781</v>
      </c>
      <c r="BT95" s="99">
        <v>2.4710171164827464</v>
      </c>
      <c r="BU95" s="99">
        <v>812.47042789952707</v>
      </c>
      <c r="BV95" s="99">
        <v>6.5951746956344053</v>
      </c>
      <c r="BW95" s="99">
        <v>2168.4934399245926</v>
      </c>
      <c r="BX95" s="99">
        <v>6.047319418922207</v>
      </c>
      <c r="BY95" s="99">
        <v>1988.3586249416217</v>
      </c>
      <c r="BZ95" s="99">
        <v>4.3721677673894703</v>
      </c>
      <c r="CA95" s="99">
        <v>1437.5687619176579</v>
      </c>
      <c r="CB95" s="99">
        <v>3.5617618425192306</v>
      </c>
      <c r="CC95" s="99">
        <v>1171.1072938203231</v>
      </c>
      <c r="CD95" s="99">
        <v>4.5387463101504082</v>
      </c>
      <c r="CE95" s="99">
        <v>1492.3397867774543</v>
      </c>
      <c r="CF95" s="99">
        <v>2.1264833931192753</v>
      </c>
      <c r="CG95" s="99">
        <v>699.18773965761773</v>
      </c>
      <c r="CH95" s="99">
        <v>3.9657071853843142</v>
      </c>
      <c r="CI95" s="99">
        <v>1303.9245225543625</v>
      </c>
      <c r="CJ95" s="99">
        <v>4.8338685385896705</v>
      </c>
      <c r="CK95" s="99">
        <v>1589.3759754882838</v>
      </c>
      <c r="CL95" s="99">
        <v>5.5438478106212727</v>
      </c>
      <c r="CM95" s="99">
        <v>1822.8171601322745</v>
      </c>
      <c r="CN95" s="99">
        <v>2.653122132875708</v>
      </c>
      <c r="CO95" s="99">
        <v>872.34655728953283</v>
      </c>
      <c r="CP95" s="99">
        <v>4.8961722392267433</v>
      </c>
      <c r="CQ95" s="99">
        <v>1609.8614322577532</v>
      </c>
      <c r="CR95" s="99">
        <v>4.4393324866676211</v>
      </c>
      <c r="CS95" s="99">
        <v>1459.6525216163138</v>
      </c>
      <c r="CT95" s="99">
        <v>5.5603421961491755</v>
      </c>
      <c r="CU95" s="99">
        <v>1828.240514093849</v>
      </c>
    </row>
    <row r="96" spans="2:99">
      <c r="C96" s="98" t="s">
        <v>262</v>
      </c>
      <c r="D96" s="99">
        <v>7</v>
      </c>
      <c r="E96" s="99">
        <v>4863.5999999999995</v>
      </c>
      <c r="F96" s="99">
        <v>7</v>
      </c>
      <c r="G96" s="99">
        <v>4863.5999999999995</v>
      </c>
      <c r="H96" s="99">
        <v>6</v>
      </c>
      <c r="I96" s="99">
        <v>4168.7999999999993</v>
      </c>
      <c r="J96" s="99">
        <v>8</v>
      </c>
      <c r="K96" s="99">
        <v>5558.4</v>
      </c>
      <c r="L96" s="99">
        <v>6.8651373325914014</v>
      </c>
      <c r="M96" s="99">
        <v>4769.8974186845053</v>
      </c>
      <c r="N96" s="99">
        <v>6.742692670801234</v>
      </c>
      <c r="O96" s="99">
        <v>4684.8228676726967</v>
      </c>
      <c r="P96" s="99">
        <v>5.1056069546809244</v>
      </c>
      <c r="Q96" s="99">
        <v>3547.3757121123062</v>
      </c>
      <c r="R96" s="99">
        <v>0.3012252190119758</v>
      </c>
      <c r="S96" s="99">
        <v>209.29128216952077</v>
      </c>
      <c r="T96" s="99">
        <v>0</v>
      </c>
      <c r="U96" s="99">
        <v>0</v>
      </c>
      <c r="V96" s="99">
        <v>0</v>
      </c>
      <c r="W96" s="99">
        <v>0</v>
      </c>
      <c r="X96" s="99">
        <v>0</v>
      </c>
      <c r="Y96" s="99">
        <v>0</v>
      </c>
      <c r="Z96" s="99">
        <v>4.5295676634668203</v>
      </c>
      <c r="AA96" s="99">
        <v>3147.1436125767464</v>
      </c>
      <c r="AB96" s="99">
        <v>4.4407583194861537</v>
      </c>
      <c r="AC96" s="99">
        <v>3085.4388803789793</v>
      </c>
      <c r="AD96" s="99">
        <v>4.5926727475013731</v>
      </c>
      <c r="AE96" s="99">
        <v>3190.9890249639539</v>
      </c>
      <c r="AF96" s="99">
        <v>2.1689465920026327</v>
      </c>
      <c r="AG96" s="99">
        <v>1506.984092123429</v>
      </c>
      <c r="AH96" s="99">
        <v>5.8715860325079046</v>
      </c>
      <c r="AI96" s="99">
        <v>4079.5779753864917</v>
      </c>
      <c r="AJ96" s="99">
        <v>3.3142182119905432</v>
      </c>
      <c r="AK96" s="99">
        <v>2302.7188136910295</v>
      </c>
      <c r="AL96" s="99">
        <v>5.9160677448753889</v>
      </c>
      <c r="AM96" s="99">
        <v>4110.4838691394198</v>
      </c>
      <c r="AN96" s="99">
        <v>4.1422041200162516</v>
      </c>
      <c r="AO96" s="99">
        <v>2878.0034225872914</v>
      </c>
      <c r="AP96" s="99">
        <v>5.1462423231767049</v>
      </c>
      <c r="AQ96" s="99">
        <v>3575.6091661431742</v>
      </c>
      <c r="AR96" s="99">
        <v>2.1308948974060953</v>
      </c>
      <c r="AS96" s="99">
        <v>1480.545774717755</v>
      </c>
      <c r="AT96" s="99">
        <v>6.7058004414980985</v>
      </c>
      <c r="AU96" s="99">
        <v>4659.1901467528787</v>
      </c>
      <c r="AV96" s="99">
        <v>5.5417874932182336</v>
      </c>
      <c r="AW96" s="99">
        <v>3850.4339502880284</v>
      </c>
      <c r="AX96" s="99">
        <v>3.7767514516666485</v>
      </c>
      <c r="AY96" s="99">
        <v>2624.0869086179873</v>
      </c>
      <c r="AZ96" s="99">
        <v>4.3358501593574834</v>
      </c>
      <c r="BA96" s="99">
        <v>3012.5486907215791</v>
      </c>
      <c r="BB96" s="99">
        <v>4.4729917031179545</v>
      </c>
      <c r="BC96" s="99">
        <v>3107.8346353263546</v>
      </c>
      <c r="BD96" s="99">
        <v>4.2888436848275155</v>
      </c>
      <c r="BE96" s="99">
        <v>2979.8885922181576</v>
      </c>
      <c r="BF96" s="99">
        <v>3.4890700638360324</v>
      </c>
      <c r="BG96" s="99">
        <v>2424.205880353275</v>
      </c>
      <c r="BH96" s="99">
        <v>2.4426643774626955</v>
      </c>
      <c r="BI96" s="99">
        <v>1697.1632094610807</v>
      </c>
      <c r="BJ96" s="99">
        <v>6.7180851717770933</v>
      </c>
      <c r="BK96" s="99">
        <v>4667.7255773507241</v>
      </c>
      <c r="BL96" s="99">
        <v>3.325149842632384</v>
      </c>
      <c r="BM96" s="99">
        <v>2310.3141106609801</v>
      </c>
      <c r="BN96" s="99">
        <v>3.7084667723991704</v>
      </c>
      <c r="BO96" s="99">
        <v>2576.6427134629434</v>
      </c>
      <c r="BP96" s="99">
        <v>5.8209558460179922</v>
      </c>
      <c r="BQ96" s="99">
        <v>4044.4001218133008</v>
      </c>
      <c r="BR96" s="99">
        <v>5.5404148220101019</v>
      </c>
      <c r="BS96" s="99">
        <v>3849.4802183326187</v>
      </c>
      <c r="BT96" s="99">
        <v>2.8240195616945676</v>
      </c>
      <c r="BU96" s="99">
        <v>1962.1287914653853</v>
      </c>
      <c r="BV96" s="99">
        <v>5.9356572260709646</v>
      </c>
      <c r="BW96" s="99">
        <v>4124.0946406741059</v>
      </c>
      <c r="BX96" s="99">
        <v>5.183416644790463</v>
      </c>
      <c r="BY96" s="99">
        <v>3601.4378848004135</v>
      </c>
      <c r="BZ96" s="99">
        <v>3.8256467964657865</v>
      </c>
      <c r="CA96" s="99">
        <v>2658.0593941844281</v>
      </c>
      <c r="CB96" s="99">
        <v>3.7248580647344718</v>
      </c>
      <c r="CC96" s="99">
        <v>2588.0313833775108</v>
      </c>
      <c r="CD96" s="99">
        <v>4.5387463101504082</v>
      </c>
      <c r="CE96" s="99">
        <v>3153.5209362925034</v>
      </c>
      <c r="CF96" s="99">
        <v>2.1184218573969078</v>
      </c>
      <c r="CG96" s="99">
        <v>1471.8795065193715</v>
      </c>
      <c r="CH96" s="99">
        <v>3.3991775874722694</v>
      </c>
      <c r="CI96" s="99">
        <v>2361.7485877757326</v>
      </c>
      <c r="CJ96" s="99">
        <v>4.8338685385896705</v>
      </c>
      <c r="CK96" s="99">
        <v>3358.5718606121027</v>
      </c>
      <c r="CL96" s="99">
        <v>5.5438478106212727</v>
      </c>
      <c r="CM96" s="99">
        <v>3851.86545881966</v>
      </c>
      <c r="CN96" s="99">
        <v>2.9725046703192266</v>
      </c>
      <c r="CO96" s="99">
        <v>2065.2962449377983</v>
      </c>
      <c r="CP96" s="99">
        <v>4.4881578859578477</v>
      </c>
      <c r="CQ96" s="99">
        <v>3118.3720991635123</v>
      </c>
      <c r="CR96" s="99">
        <v>4.4393324866676211</v>
      </c>
      <c r="CS96" s="99">
        <v>3084.4482117366629</v>
      </c>
      <c r="CT96" s="99">
        <v>6.3546767955990573</v>
      </c>
      <c r="CU96" s="99">
        <v>4415.2294375822248</v>
      </c>
    </row>
    <row r="97" spans="2:99">
      <c r="C97" s="98" t="s">
        <v>263</v>
      </c>
      <c r="D97" s="99">
        <v>7</v>
      </c>
      <c r="E97" s="99">
        <v>2746.7999999999997</v>
      </c>
      <c r="F97" s="99">
        <v>7</v>
      </c>
      <c r="G97" s="99">
        <v>2746.7999999999997</v>
      </c>
      <c r="H97" s="99">
        <v>7</v>
      </c>
      <c r="I97" s="99">
        <v>2746.7999999999997</v>
      </c>
      <c r="J97" s="99">
        <v>8</v>
      </c>
      <c r="K97" s="99">
        <v>3139.2</v>
      </c>
      <c r="L97" s="99">
        <v>8.2381647991096809</v>
      </c>
      <c r="M97" s="99">
        <v>3232.6558671706384</v>
      </c>
      <c r="N97" s="99">
        <v>6.0684234037211109</v>
      </c>
      <c r="O97" s="99">
        <v>2381.2493436201639</v>
      </c>
      <c r="P97" s="99">
        <v>5.6118214948064011</v>
      </c>
      <c r="Q97" s="99">
        <v>2202.0787545620315</v>
      </c>
      <c r="R97" s="99">
        <v>0.35142942218063844</v>
      </c>
      <c r="S97" s="99">
        <v>137.90090526368252</v>
      </c>
      <c r="T97" s="99">
        <v>0</v>
      </c>
      <c r="U97" s="99">
        <v>0</v>
      </c>
      <c r="V97" s="99">
        <v>0</v>
      </c>
      <c r="W97" s="99">
        <v>0</v>
      </c>
      <c r="X97" s="99">
        <v>0</v>
      </c>
      <c r="Y97" s="99">
        <v>0</v>
      </c>
      <c r="Z97" s="99">
        <v>4.489039026723793</v>
      </c>
      <c r="AA97" s="99">
        <v>1761.4989140864163</v>
      </c>
      <c r="AB97" s="99">
        <v>4.4407583194861537</v>
      </c>
      <c r="AC97" s="99">
        <v>1742.5535645663667</v>
      </c>
      <c r="AD97" s="99">
        <v>4.6472429204245733</v>
      </c>
      <c r="AE97" s="99">
        <v>1823.5781219746025</v>
      </c>
      <c r="AF97" s="99">
        <v>2.5304376906697383</v>
      </c>
      <c r="AG97" s="99">
        <v>992.94374981880526</v>
      </c>
      <c r="AH97" s="99">
        <v>5.8715860325079046</v>
      </c>
      <c r="AI97" s="99">
        <v>2304.0103591561015</v>
      </c>
      <c r="AJ97" s="99">
        <v>3.3142182119905432</v>
      </c>
      <c r="AK97" s="99">
        <v>1300.4992263850891</v>
      </c>
      <c r="AL97" s="99">
        <v>5.9160677448753889</v>
      </c>
      <c r="AM97" s="99">
        <v>2321.4649830891026</v>
      </c>
      <c r="AN97" s="99">
        <v>4.1422041200162516</v>
      </c>
      <c r="AO97" s="99">
        <v>1625.400896694377</v>
      </c>
      <c r="AP97" s="99">
        <v>4.694277187362994</v>
      </c>
      <c r="AQ97" s="99">
        <v>1842.0343683212388</v>
      </c>
      <c r="AR97" s="99">
        <v>2.397256759581857</v>
      </c>
      <c r="AS97" s="99">
        <v>940.68355245992063</v>
      </c>
      <c r="AT97" s="99">
        <v>7.3154186634524718</v>
      </c>
      <c r="AU97" s="99">
        <v>2870.5702835387497</v>
      </c>
      <c r="AV97" s="99">
        <v>6.7732958250445074</v>
      </c>
      <c r="AW97" s="99">
        <v>2657.8412817474646</v>
      </c>
      <c r="AX97" s="99">
        <v>4.5321017419999778</v>
      </c>
      <c r="AY97" s="99">
        <v>1778.3967235607911</v>
      </c>
      <c r="AZ97" s="99">
        <v>4.3358501593574834</v>
      </c>
      <c r="BA97" s="99">
        <v>1701.3876025318764</v>
      </c>
      <c r="BB97" s="99">
        <v>4.4421676281962332</v>
      </c>
      <c r="BC97" s="99">
        <v>1743.1065773042019</v>
      </c>
      <c r="BD97" s="99">
        <v>4.4156148196665441</v>
      </c>
      <c r="BE97" s="99">
        <v>1732.6872552371517</v>
      </c>
      <c r="BF97" s="99">
        <v>3.5435856730961683</v>
      </c>
      <c r="BG97" s="99">
        <v>1390.5030181229363</v>
      </c>
      <c r="BH97" s="99">
        <v>2.4426643774626955</v>
      </c>
      <c r="BI97" s="99">
        <v>958.50150171636164</v>
      </c>
      <c r="BJ97" s="99">
        <v>7.4020955553024983</v>
      </c>
      <c r="BK97" s="99">
        <v>2904.5822959007</v>
      </c>
      <c r="BL97" s="99">
        <v>2.8201966010708981</v>
      </c>
      <c r="BM97" s="99">
        <v>1106.6451462602204</v>
      </c>
      <c r="BN97" s="99">
        <v>4.326544567799032</v>
      </c>
      <c r="BO97" s="99">
        <v>1697.7360884043401</v>
      </c>
      <c r="BP97" s="99">
        <v>5.8209558460179922</v>
      </c>
      <c r="BQ97" s="99">
        <v>2284.1430739774601</v>
      </c>
      <c r="BR97" s="99">
        <v>5.5145792523035038</v>
      </c>
      <c r="BS97" s="99">
        <v>2163.9208986038948</v>
      </c>
      <c r="BT97" s="99">
        <v>2.4710171164827464</v>
      </c>
      <c r="BU97" s="99">
        <v>969.62711650782967</v>
      </c>
      <c r="BV97" s="99">
        <v>5.9356572260709646</v>
      </c>
      <c r="BW97" s="99">
        <v>2329.1518955102465</v>
      </c>
      <c r="BX97" s="99">
        <v>5.183416644790463</v>
      </c>
      <c r="BY97" s="99">
        <v>2033.9726914157775</v>
      </c>
      <c r="BZ97" s="99">
        <v>4.3721677673894703</v>
      </c>
      <c r="CA97" s="99">
        <v>1715.6386319236281</v>
      </c>
      <c r="CB97" s="99">
        <v>3.7248580647344718</v>
      </c>
      <c r="CC97" s="99">
        <v>1461.6343046018067</v>
      </c>
      <c r="CD97" s="99">
        <v>4.5823604182072177</v>
      </c>
      <c r="CE97" s="99">
        <v>1798.1182281045121</v>
      </c>
      <c r="CF97" s="99">
        <v>2.4199019033504139</v>
      </c>
      <c r="CG97" s="99">
        <v>949.56950687470237</v>
      </c>
      <c r="CH97" s="99">
        <v>3.9657071853843142</v>
      </c>
      <c r="CI97" s="99">
        <v>1556.1434995448049</v>
      </c>
      <c r="CJ97" s="99">
        <v>4.3944259441724283</v>
      </c>
      <c r="CK97" s="99">
        <v>1724.3727404932608</v>
      </c>
      <c r="CL97" s="99">
        <v>6.2710163340553846</v>
      </c>
      <c r="CM97" s="99">
        <v>2460.746809483333</v>
      </c>
      <c r="CN97" s="99">
        <v>2.9616089110606088</v>
      </c>
      <c r="CO97" s="99">
        <v>1162.1353367001827</v>
      </c>
      <c r="CP97" s="99">
        <v>4.4881578859578477</v>
      </c>
      <c r="CQ97" s="99">
        <v>1761.1531544498594</v>
      </c>
      <c r="CR97" s="99">
        <v>4.9942490475010741</v>
      </c>
      <c r="CS97" s="99">
        <v>1959.7433262394213</v>
      </c>
      <c r="CT97" s="99">
        <v>5.5603421961491755</v>
      </c>
      <c r="CU97" s="99">
        <v>2181.8782777689362</v>
      </c>
    </row>
    <row r="98" spans="2:99">
      <c r="C98" s="98" t="s">
        <v>264</v>
      </c>
      <c r="D98" s="99">
        <v>7</v>
      </c>
      <c r="E98" s="99">
        <v>3679.2000000000003</v>
      </c>
      <c r="F98" s="99">
        <v>8</v>
      </c>
      <c r="G98" s="99">
        <v>4204.8</v>
      </c>
      <c r="H98" s="99">
        <v>7</v>
      </c>
      <c r="I98" s="99">
        <v>3679.2000000000003</v>
      </c>
      <c r="J98" s="99">
        <v>8</v>
      </c>
      <c r="K98" s="99">
        <v>4204.8</v>
      </c>
      <c r="L98" s="99">
        <v>7.5516510658505407</v>
      </c>
      <c r="M98" s="99">
        <v>3969.1478002110443</v>
      </c>
      <c r="N98" s="99">
        <v>6.742692670801234</v>
      </c>
      <c r="O98" s="99">
        <v>3543.9592677731289</v>
      </c>
      <c r="P98" s="99">
        <v>5.6641715989541765</v>
      </c>
      <c r="Q98" s="99">
        <v>2977.0885924103154</v>
      </c>
      <c r="R98" s="99">
        <v>0.3012252190119758</v>
      </c>
      <c r="S98" s="99">
        <v>158.32397511269448</v>
      </c>
      <c r="T98" s="99">
        <v>0</v>
      </c>
      <c r="U98" s="99">
        <v>0</v>
      </c>
      <c r="V98" s="99">
        <v>0</v>
      </c>
      <c r="W98" s="99">
        <v>0</v>
      </c>
      <c r="X98" s="99">
        <v>0</v>
      </c>
      <c r="Y98" s="99">
        <v>0</v>
      </c>
      <c r="Z98" s="99">
        <v>3.9963012228871766</v>
      </c>
      <c r="AA98" s="99">
        <v>2100.4559227495001</v>
      </c>
      <c r="AB98" s="99">
        <v>4.4407583194861537</v>
      </c>
      <c r="AC98" s="99">
        <v>2334.0625727219226</v>
      </c>
      <c r="AD98" s="99">
        <v>4.6472429204245733</v>
      </c>
      <c r="AE98" s="99">
        <v>2442.5908789751556</v>
      </c>
      <c r="AF98" s="99">
        <v>2.1689465920026327</v>
      </c>
      <c r="AG98" s="99">
        <v>1139.9983287565838</v>
      </c>
      <c r="AH98" s="99">
        <v>5.8715860325079046</v>
      </c>
      <c r="AI98" s="99">
        <v>3086.1056186861547</v>
      </c>
      <c r="AJ98" s="99">
        <v>3.6456400331895984</v>
      </c>
      <c r="AK98" s="99">
        <v>1916.1484014444529</v>
      </c>
      <c r="AL98" s="99">
        <v>5.9160677448753889</v>
      </c>
      <c r="AM98" s="99">
        <v>3109.4852067065044</v>
      </c>
      <c r="AN98" s="99">
        <v>4.1422041200162516</v>
      </c>
      <c r="AO98" s="99">
        <v>2177.1424854805418</v>
      </c>
      <c r="AP98" s="99">
        <v>4.694277187362994</v>
      </c>
      <c r="AQ98" s="99">
        <v>2467.3120896779897</v>
      </c>
      <c r="AR98" s="99">
        <v>2.397256759581857</v>
      </c>
      <c r="AS98" s="99">
        <v>1259.9981528362241</v>
      </c>
      <c r="AT98" s="99">
        <v>6.7058004414980985</v>
      </c>
      <c r="AU98" s="99">
        <v>3524.5687120514008</v>
      </c>
      <c r="AV98" s="99">
        <v>5.5417874932182336</v>
      </c>
      <c r="AW98" s="99">
        <v>2912.7635064355036</v>
      </c>
      <c r="AX98" s="99">
        <v>3.7767514516666485</v>
      </c>
      <c r="AY98" s="99">
        <v>1985.0605629959905</v>
      </c>
      <c r="AZ98" s="99">
        <v>4.3358501593574834</v>
      </c>
      <c r="BA98" s="99">
        <v>2278.9228437582933</v>
      </c>
      <c r="BB98" s="99">
        <v>4.4421676281962332</v>
      </c>
      <c r="BC98" s="99">
        <v>2334.8033053799404</v>
      </c>
      <c r="BD98" s="99">
        <v>3.8795093590631051</v>
      </c>
      <c r="BE98" s="99">
        <v>2039.0701191235682</v>
      </c>
      <c r="BF98" s="99">
        <v>4.0887536108954157</v>
      </c>
      <c r="BG98" s="99">
        <v>2149.0488978866306</v>
      </c>
      <c r="BH98" s="99">
        <v>2.791616431385938</v>
      </c>
      <c r="BI98" s="99">
        <v>1467.2735963364491</v>
      </c>
      <c r="BJ98" s="99">
        <v>8.1212304213309316</v>
      </c>
      <c r="BK98" s="99">
        <v>4268.5187094515377</v>
      </c>
      <c r="BL98" s="99">
        <v>2.7974711862044774</v>
      </c>
      <c r="BM98" s="99">
        <v>1470.3508554690734</v>
      </c>
      <c r="BN98" s="99">
        <v>4.326544567799032</v>
      </c>
      <c r="BO98" s="99">
        <v>2274.0318248351714</v>
      </c>
      <c r="BP98" s="99">
        <v>5.8209558460179922</v>
      </c>
      <c r="BQ98" s="99">
        <v>3059.4943926670567</v>
      </c>
      <c r="BR98" s="99">
        <v>5.0173760234570102</v>
      </c>
      <c r="BS98" s="99">
        <v>2637.1328379290048</v>
      </c>
      <c r="BT98" s="99">
        <v>2.4710171164827464</v>
      </c>
      <c r="BU98" s="99">
        <v>1298.7665964233315</v>
      </c>
      <c r="BV98" s="99">
        <v>6.5951746956344053</v>
      </c>
      <c r="BW98" s="99">
        <v>3466.4238200254435</v>
      </c>
      <c r="BX98" s="99">
        <v>5.4616132110489124</v>
      </c>
      <c r="BY98" s="99">
        <v>2870.6239037273085</v>
      </c>
      <c r="BZ98" s="99">
        <v>4.3721677673894703</v>
      </c>
      <c r="CA98" s="99">
        <v>2298.0113785399058</v>
      </c>
      <c r="CB98" s="99">
        <v>4.318485038487677</v>
      </c>
      <c r="CC98" s="99">
        <v>2269.7957362291231</v>
      </c>
      <c r="CD98" s="99">
        <v>4.5387463101504082</v>
      </c>
      <c r="CE98" s="99">
        <v>2385.5650606150548</v>
      </c>
      <c r="CF98" s="99">
        <v>2.6407665920802459</v>
      </c>
      <c r="CG98" s="99">
        <v>1387.9869207973773</v>
      </c>
      <c r="CH98" s="99">
        <v>3.9657071853843142</v>
      </c>
      <c r="CI98" s="99">
        <v>2084.3756966379956</v>
      </c>
      <c r="CJ98" s="99">
        <v>4.3944259441724283</v>
      </c>
      <c r="CK98" s="99">
        <v>2309.7102762570285</v>
      </c>
      <c r="CL98" s="99">
        <v>5.375156857761759</v>
      </c>
      <c r="CM98" s="99">
        <v>2825.1824444395806</v>
      </c>
      <c r="CN98" s="99">
        <v>2.9616089110606088</v>
      </c>
      <c r="CO98" s="99">
        <v>1556.621643653456</v>
      </c>
      <c r="CP98" s="99">
        <v>4.4881578859578477</v>
      </c>
      <c r="CQ98" s="99">
        <v>2358.975784859445</v>
      </c>
      <c r="CR98" s="99">
        <v>4.4393324866676211</v>
      </c>
      <c r="CS98" s="99">
        <v>2333.3131549925019</v>
      </c>
      <c r="CT98" s="99">
        <v>6.5166016973212866</v>
      </c>
      <c r="CU98" s="99">
        <v>3425.1258521120685</v>
      </c>
    </row>
    <row r="99" spans="2:99">
      <c r="C99" s="98" t="s">
        <v>265</v>
      </c>
      <c r="D99" s="99">
        <v>5</v>
      </c>
      <c r="E99" s="99">
        <v>21042</v>
      </c>
      <c r="F99" s="99">
        <v>6</v>
      </c>
      <c r="G99" s="99">
        <v>25250.399999999998</v>
      </c>
      <c r="H99" s="99">
        <v>6</v>
      </c>
      <c r="I99" s="99">
        <v>25250.399999999998</v>
      </c>
      <c r="J99" s="99">
        <v>6</v>
      </c>
      <c r="K99" s="99">
        <v>25250.399999999998</v>
      </c>
      <c r="L99" s="99">
        <v>5.49210986607312</v>
      </c>
      <c r="M99" s="99">
        <v>23112.995160382117</v>
      </c>
      <c r="N99" s="99">
        <v>5.3941541366409869</v>
      </c>
      <c r="O99" s="99">
        <v>22700.758268639926</v>
      </c>
      <c r="P99" s="99">
        <v>4.0146527182083096</v>
      </c>
      <c r="Q99" s="99">
        <v>16895.26449930785</v>
      </c>
      <c r="R99" s="99">
        <v>0.25102101584331321</v>
      </c>
      <c r="S99" s="99">
        <v>1056.3968430749992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3.4022418271929933</v>
      </c>
      <c r="AA99" s="99">
        <v>14317.994505558992</v>
      </c>
      <c r="AB99" s="99">
        <v>3.9966824875375386</v>
      </c>
      <c r="AC99" s="99">
        <v>16819.638580552975</v>
      </c>
      <c r="AD99" s="99">
        <v>3.4717896470876299</v>
      </c>
      <c r="AE99" s="99">
        <v>14610.679550803581</v>
      </c>
      <c r="AF99" s="99">
        <v>1.8074554933355274</v>
      </c>
      <c r="AG99" s="99">
        <v>7606.4956981532323</v>
      </c>
      <c r="AH99" s="99">
        <v>5.0327880278639183</v>
      </c>
      <c r="AI99" s="99">
        <v>21179.985136462514</v>
      </c>
      <c r="AJ99" s="99">
        <v>2.9827963907914889</v>
      </c>
      <c r="AK99" s="99">
        <v>12552.800331006902</v>
      </c>
      <c r="AL99" s="99">
        <v>4.2257626749109924</v>
      </c>
      <c r="AM99" s="99">
        <v>17783.69964109542</v>
      </c>
      <c r="AN99" s="99">
        <v>3.4518367666802092</v>
      </c>
      <c r="AO99" s="99">
        <v>14526.709848896991</v>
      </c>
      <c r="AP99" s="99">
        <v>3.7685186870823362</v>
      </c>
      <c r="AQ99" s="99">
        <v>15859.434042717303</v>
      </c>
      <c r="AR99" s="99">
        <v>1.8645330352303333</v>
      </c>
      <c r="AS99" s="99">
        <v>7846.7008254633338</v>
      </c>
      <c r="AT99" s="99">
        <v>5.4865639975893536</v>
      </c>
      <c r="AU99" s="99">
        <v>23089.655927455035</v>
      </c>
      <c r="AV99" s="99">
        <v>5.5417874932182336</v>
      </c>
      <c r="AW99" s="99">
        <v>23322.058486459613</v>
      </c>
      <c r="AX99" s="99">
        <v>3.7767514516666485</v>
      </c>
      <c r="AY99" s="99">
        <v>15894.080809193922</v>
      </c>
      <c r="AZ99" s="99">
        <v>3.7164429937349857</v>
      </c>
      <c r="BA99" s="99">
        <v>15640.278694834313</v>
      </c>
      <c r="BB99" s="99">
        <v>3.3316257211471743</v>
      </c>
      <c r="BC99" s="99">
        <v>14020.813684875768</v>
      </c>
      <c r="BD99" s="99">
        <v>3.2166327636206371</v>
      </c>
      <c r="BE99" s="99">
        <v>13536.877322421087</v>
      </c>
      <c r="BF99" s="99">
        <v>2.9166443214067166</v>
      </c>
      <c r="BG99" s="99">
        <v>12274.405962208026</v>
      </c>
      <c r="BH99" s="99">
        <v>1.7447602696162112</v>
      </c>
      <c r="BI99" s="99">
        <v>7342.6491186528629</v>
      </c>
      <c r="BJ99" s="99">
        <v>6.6829606892740649</v>
      </c>
      <c r="BK99" s="99">
        <v>28124.571764740973</v>
      </c>
      <c r="BL99" s="99">
        <v>2.5247662078074291</v>
      </c>
      <c r="BM99" s="99">
        <v>10625.226108936784</v>
      </c>
      <c r="BN99" s="99">
        <v>3.7084667723991704</v>
      </c>
      <c r="BO99" s="99">
        <v>15606.711564964668</v>
      </c>
      <c r="BP99" s="99">
        <v>4.9893907251582794</v>
      </c>
      <c r="BQ99" s="99">
        <v>20997.351927756103</v>
      </c>
      <c r="BR99" s="99">
        <v>4.4426660854907203</v>
      </c>
      <c r="BS99" s="99">
        <v>18696.515954179147</v>
      </c>
      <c r="BT99" s="99">
        <v>2.4710171164827464</v>
      </c>
      <c r="BU99" s="99">
        <v>10399.028433005989</v>
      </c>
      <c r="BV99" s="99">
        <v>5.2761397565075248</v>
      </c>
      <c r="BW99" s="99">
        <v>22204.106551286266</v>
      </c>
      <c r="BX99" s="99">
        <v>4.5358889777486242</v>
      </c>
      <c r="BY99" s="99">
        <v>19088.835173957308</v>
      </c>
      <c r="BZ99" s="99">
        <v>3.2791258255421027</v>
      </c>
      <c r="CA99" s="99">
        <v>13799.873124211384</v>
      </c>
      <c r="CB99" s="99">
        <v>2.9681348687660258</v>
      </c>
      <c r="CC99" s="99">
        <v>12491.098781714942</v>
      </c>
      <c r="CD99" s="99">
        <v>3.6440812805373688</v>
      </c>
      <c r="CE99" s="99">
        <v>15335.751661013461</v>
      </c>
      <c r="CF99" s="99">
        <v>1.7605110613868309</v>
      </c>
      <c r="CG99" s="99">
        <v>7408.9347507403381</v>
      </c>
      <c r="CH99" s="99">
        <v>2.8326479895602241</v>
      </c>
      <c r="CI99" s="99">
        <v>11920.915799265245</v>
      </c>
      <c r="CJ99" s="99">
        <v>3.9549833497551856</v>
      </c>
      <c r="CK99" s="99">
        <v>16644.151929109721</v>
      </c>
      <c r="CL99" s="99">
        <v>4.4792973814681325</v>
      </c>
      <c r="CM99" s="99">
        <v>18850.675100170487</v>
      </c>
      <c r="CN99" s="99">
        <v>2.3010523176563367</v>
      </c>
      <c r="CO99" s="99">
        <v>9683.7485736249255</v>
      </c>
      <c r="CP99" s="99">
        <v>3.672129179420057</v>
      </c>
      <c r="CQ99" s="99">
        <v>15453.788438671367</v>
      </c>
      <c r="CR99" s="99">
        <v>3.8844159258341682</v>
      </c>
      <c r="CS99" s="99">
        <v>16347.175982280512</v>
      </c>
      <c r="CT99" s="99">
        <v>5.5603421961491755</v>
      </c>
      <c r="CU99" s="99">
        <v>23400.144098274188</v>
      </c>
    </row>
    <row r="100" spans="2:99">
      <c r="C100" s="98" t="s">
        <v>266</v>
      </c>
      <c r="D100" s="99">
        <v>6</v>
      </c>
      <c r="E100" s="99">
        <v>1944</v>
      </c>
      <c r="F100" s="99">
        <v>8</v>
      </c>
      <c r="G100" s="99">
        <v>2592</v>
      </c>
      <c r="H100" s="99">
        <v>7</v>
      </c>
      <c r="I100" s="99">
        <v>2268</v>
      </c>
      <c r="J100" s="99">
        <v>9</v>
      </c>
      <c r="K100" s="99">
        <v>2916</v>
      </c>
      <c r="L100" s="99">
        <v>6.8651373325914014</v>
      </c>
      <c r="M100" s="99">
        <v>2224.3044957596139</v>
      </c>
      <c r="N100" s="99">
        <v>6.0684234037211109</v>
      </c>
      <c r="O100" s="99">
        <v>1966.1691828056398</v>
      </c>
      <c r="P100" s="99">
        <v>5.131782006754813</v>
      </c>
      <c r="Q100" s="99">
        <v>1662.6973701885595</v>
      </c>
      <c r="R100" s="99">
        <v>0.35142942218063844</v>
      </c>
      <c r="S100" s="99">
        <v>113.86313278652685</v>
      </c>
      <c r="T100" s="99">
        <v>0</v>
      </c>
      <c r="U100" s="99">
        <v>0</v>
      </c>
      <c r="V100" s="99">
        <v>0</v>
      </c>
      <c r="W100" s="99">
        <v>0</v>
      </c>
      <c r="X100" s="99">
        <v>0</v>
      </c>
      <c r="Y100" s="99">
        <v>0</v>
      </c>
      <c r="Z100" s="99">
        <v>4.266131524637145</v>
      </c>
      <c r="AA100" s="99">
        <v>1382.2266139824349</v>
      </c>
      <c r="AB100" s="99">
        <v>4.8848341514347693</v>
      </c>
      <c r="AC100" s="99">
        <v>1582.6862650648652</v>
      </c>
      <c r="AD100" s="99">
        <v>4.6199578339629728</v>
      </c>
      <c r="AE100" s="99">
        <v>1496.8663382040031</v>
      </c>
      <c r="AF100" s="99">
        <v>2.1689465920026327</v>
      </c>
      <c r="AG100" s="99">
        <v>702.73869580885298</v>
      </c>
      <c r="AH100" s="99">
        <v>5.8715860325079046</v>
      </c>
      <c r="AI100" s="99">
        <v>1902.3938745325611</v>
      </c>
      <c r="AJ100" s="99">
        <v>3.6456400331895984</v>
      </c>
      <c r="AK100" s="99">
        <v>1181.1873707534298</v>
      </c>
      <c r="AL100" s="99">
        <v>6.7612202798575876</v>
      </c>
      <c r="AM100" s="99">
        <v>2190.6353706738582</v>
      </c>
      <c r="AN100" s="99">
        <v>4.1422041200162516</v>
      </c>
      <c r="AO100" s="99">
        <v>1342.0741348852655</v>
      </c>
      <c r="AP100" s="99">
        <v>5.1244140945234697</v>
      </c>
      <c r="AQ100" s="99">
        <v>1660.3101666256041</v>
      </c>
      <c r="AR100" s="99">
        <v>2.6636186217576192</v>
      </c>
      <c r="AS100" s="99">
        <v>863.01243344946863</v>
      </c>
      <c r="AT100" s="99">
        <v>6.7058004414980985</v>
      </c>
      <c r="AU100" s="99">
        <v>2172.679343045384</v>
      </c>
      <c r="AV100" s="99">
        <v>6.157541659131371</v>
      </c>
      <c r="AW100" s="99">
        <v>1995.0434975585642</v>
      </c>
      <c r="AX100" s="99">
        <v>4.5321017419999778</v>
      </c>
      <c r="AY100" s="99">
        <v>1468.4009644079929</v>
      </c>
      <c r="AZ100" s="99">
        <v>4.9552573249799812</v>
      </c>
      <c r="BA100" s="99">
        <v>1605.503373293514</v>
      </c>
      <c r="BB100" s="99">
        <v>3.9228580954137127</v>
      </c>
      <c r="BC100" s="99">
        <v>1271.0060229140429</v>
      </c>
      <c r="BD100" s="99">
        <v>4.4156148196665441</v>
      </c>
      <c r="BE100" s="99">
        <v>1430.6592015719602</v>
      </c>
      <c r="BF100" s="99">
        <v>4.0614958062653486</v>
      </c>
      <c r="BG100" s="99">
        <v>1315.9246412299728</v>
      </c>
      <c r="BH100" s="99">
        <v>2.791616431385938</v>
      </c>
      <c r="BI100" s="99">
        <v>904.48372376904388</v>
      </c>
      <c r="BJ100" s="99">
        <v>7.4372200378055258</v>
      </c>
      <c r="BK100" s="99">
        <v>2409.6592922489904</v>
      </c>
      <c r="BL100" s="99">
        <v>3.325149842632384</v>
      </c>
      <c r="BM100" s="99">
        <v>1077.3485490128924</v>
      </c>
      <c r="BN100" s="99">
        <v>3.7084667723991704</v>
      </c>
      <c r="BO100" s="99">
        <v>1201.5432342573313</v>
      </c>
      <c r="BP100" s="99">
        <v>5.8209558460179922</v>
      </c>
      <c r="BQ100" s="99">
        <v>1885.9896941098295</v>
      </c>
      <c r="BR100" s="99">
        <v>5.5145792523035038</v>
      </c>
      <c r="BS100" s="99">
        <v>1786.7236777463352</v>
      </c>
      <c r="BT100" s="99">
        <v>2.8240195616945676</v>
      </c>
      <c r="BU100" s="99">
        <v>914.98233798903993</v>
      </c>
      <c r="BV100" s="99">
        <v>6.5951746956344053</v>
      </c>
      <c r="BW100" s="99">
        <v>2136.8366013855475</v>
      </c>
      <c r="BX100" s="99">
        <v>6.047319418922207</v>
      </c>
      <c r="BY100" s="99">
        <v>1959.3314917307951</v>
      </c>
      <c r="BZ100" s="99">
        <v>3.9943421830527397</v>
      </c>
      <c r="CA100" s="99">
        <v>1294.1668673090876</v>
      </c>
      <c r="CB100" s="99">
        <v>3.708548442512948</v>
      </c>
      <c r="CC100" s="99">
        <v>1201.5696953741951</v>
      </c>
      <c r="CD100" s="99">
        <v>4.560553364178813</v>
      </c>
      <c r="CE100" s="99">
        <v>1477.6192899939354</v>
      </c>
      <c r="CF100" s="99">
        <v>2.3473480818491077</v>
      </c>
      <c r="CG100" s="99">
        <v>760.54077851911086</v>
      </c>
      <c r="CH100" s="99">
        <v>3.4107618769622943</v>
      </c>
      <c r="CI100" s="99">
        <v>1105.0868481357834</v>
      </c>
      <c r="CJ100" s="99">
        <v>4.3944259441724283</v>
      </c>
      <c r="CK100" s="99">
        <v>1423.7940059118669</v>
      </c>
      <c r="CL100" s="99">
        <v>5.375156857761759</v>
      </c>
      <c r="CM100" s="99">
        <v>1741.5508219148098</v>
      </c>
      <c r="CN100" s="99">
        <v>2.9616089110606088</v>
      </c>
      <c r="CO100" s="99">
        <v>959.56128718363721</v>
      </c>
      <c r="CP100" s="99">
        <v>4.8961722392267433</v>
      </c>
      <c r="CQ100" s="99">
        <v>1586.3598055094649</v>
      </c>
      <c r="CR100" s="99">
        <v>4.4393324866676211</v>
      </c>
      <c r="CS100" s="99">
        <v>1438.3437256803093</v>
      </c>
      <c r="CT100" s="99">
        <v>6.3546767955990573</v>
      </c>
      <c r="CU100" s="99">
        <v>2058.9152817740946</v>
      </c>
    </row>
    <row r="101" spans="2:99">
      <c r="C101" s="98" t="s">
        <v>267</v>
      </c>
      <c r="D101" s="99">
        <v>7</v>
      </c>
      <c r="E101" s="99">
        <v>5065.2</v>
      </c>
      <c r="F101" s="99">
        <v>7</v>
      </c>
      <c r="G101" s="99">
        <v>5065.2</v>
      </c>
      <c r="H101" s="99">
        <v>7</v>
      </c>
      <c r="I101" s="99">
        <v>5065.2</v>
      </c>
      <c r="J101" s="99">
        <v>8</v>
      </c>
      <c r="K101" s="99">
        <v>5788.8</v>
      </c>
      <c r="L101" s="99">
        <v>6.1786235993322602</v>
      </c>
      <c r="M101" s="99">
        <v>4470.8520364768237</v>
      </c>
      <c r="N101" s="99">
        <v>6.0684234037211109</v>
      </c>
      <c r="O101" s="99">
        <v>4391.1111749325955</v>
      </c>
      <c r="P101" s="99">
        <v>5.1056069546809244</v>
      </c>
      <c r="Q101" s="99">
        <v>3694.417192407117</v>
      </c>
      <c r="R101" s="99">
        <v>0.3012252190119758</v>
      </c>
      <c r="S101" s="99">
        <v>217.96656847706569</v>
      </c>
      <c r="T101" s="99">
        <v>0</v>
      </c>
      <c r="U101" s="99">
        <v>0</v>
      </c>
      <c r="V101" s="99">
        <v>0</v>
      </c>
      <c r="W101" s="99">
        <v>0</v>
      </c>
      <c r="X101" s="99">
        <v>0</v>
      </c>
      <c r="Y101" s="99">
        <v>0</v>
      </c>
      <c r="Z101" s="99">
        <v>4.489039026723793</v>
      </c>
      <c r="AA101" s="99">
        <v>3248.2686397373368</v>
      </c>
      <c r="AB101" s="99">
        <v>5.3289099833833848</v>
      </c>
      <c r="AC101" s="99">
        <v>3855.9992639762172</v>
      </c>
      <c r="AD101" s="99">
        <v>5.1667568409390441</v>
      </c>
      <c r="AE101" s="99">
        <v>3738.6652501034923</v>
      </c>
      <c r="AF101" s="99">
        <v>2.1689465920026327</v>
      </c>
      <c r="AG101" s="99">
        <v>1569.4497539731051</v>
      </c>
      <c r="AH101" s="99">
        <v>5.8715860325079046</v>
      </c>
      <c r="AI101" s="99">
        <v>4248.6796531227201</v>
      </c>
      <c r="AJ101" s="99">
        <v>3.6456400331895984</v>
      </c>
      <c r="AK101" s="99">
        <v>2637.9851280159933</v>
      </c>
      <c r="AL101" s="99">
        <v>5.0709152098931911</v>
      </c>
      <c r="AM101" s="99">
        <v>3669.3142458787133</v>
      </c>
      <c r="AN101" s="99">
        <v>4.1422041200162516</v>
      </c>
      <c r="AO101" s="99">
        <v>2997.2989012437597</v>
      </c>
      <c r="AP101" s="99">
        <v>4.2423120515492831</v>
      </c>
      <c r="AQ101" s="99">
        <v>3069.7370005010612</v>
      </c>
      <c r="AR101" s="99">
        <v>2.1308948974060953</v>
      </c>
      <c r="AS101" s="99">
        <v>1541.9155477630507</v>
      </c>
      <c r="AT101" s="99">
        <v>6.0961822195437261</v>
      </c>
      <c r="AU101" s="99">
        <v>4411.1974540618403</v>
      </c>
      <c r="AV101" s="99">
        <v>5.5417874932182336</v>
      </c>
      <c r="AW101" s="99">
        <v>4010.0374300927137</v>
      </c>
      <c r="AX101" s="99">
        <v>3.7767514516666485</v>
      </c>
      <c r="AY101" s="99">
        <v>2732.8573504259871</v>
      </c>
      <c r="AZ101" s="99">
        <v>4.3358501593574834</v>
      </c>
      <c r="BA101" s="99">
        <v>3137.4211753110749</v>
      </c>
      <c r="BB101" s="99">
        <v>4.478129048938241</v>
      </c>
      <c r="BC101" s="99">
        <v>3240.3741798117112</v>
      </c>
      <c r="BD101" s="99">
        <v>3.8921864725470083</v>
      </c>
      <c r="BE101" s="99">
        <v>2816.3861315350155</v>
      </c>
      <c r="BF101" s="99">
        <v>4.0614958062653486</v>
      </c>
      <c r="BG101" s="99">
        <v>2938.8983654136064</v>
      </c>
      <c r="BH101" s="99">
        <v>2.4426643774626955</v>
      </c>
      <c r="BI101" s="99">
        <v>1767.5119435320066</v>
      </c>
      <c r="BJ101" s="99">
        <v>7.4372200378055258</v>
      </c>
      <c r="BK101" s="99">
        <v>5381.5724193560782</v>
      </c>
      <c r="BL101" s="99">
        <v>3.325149842632384</v>
      </c>
      <c r="BM101" s="99">
        <v>2406.0784261287931</v>
      </c>
      <c r="BN101" s="99">
        <v>3.7084667723991704</v>
      </c>
      <c r="BO101" s="99">
        <v>2683.44655650804</v>
      </c>
      <c r="BP101" s="99">
        <v>5.8209558460179922</v>
      </c>
      <c r="BQ101" s="99">
        <v>4212.0436501786189</v>
      </c>
      <c r="BR101" s="99">
        <v>5.4887436825969047</v>
      </c>
      <c r="BS101" s="99">
        <v>3971.6549287271205</v>
      </c>
      <c r="BT101" s="99">
        <v>2.8240195616945676</v>
      </c>
      <c r="BU101" s="99">
        <v>2043.4605548421891</v>
      </c>
      <c r="BV101" s="99">
        <v>7.2546921651978451</v>
      </c>
      <c r="BW101" s="99">
        <v>5249.4952507371609</v>
      </c>
      <c r="BX101" s="99">
        <v>5.183416644790463</v>
      </c>
      <c r="BY101" s="99">
        <v>3750.7202841703793</v>
      </c>
      <c r="BZ101" s="99">
        <v>4.3721677673894703</v>
      </c>
      <c r="CA101" s="99">
        <v>3163.7005964830209</v>
      </c>
      <c r="CB101" s="99">
        <v>4.318485038487677</v>
      </c>
      <c r="CC101" s="99">
        <v>3124.8557738496829</v>
      </c>
      <c r="CD101" s="99">
        <v>4.9751752979427257</v>
      </c>
      <c r="CE101" s="99">
        <v>3600.0368455913563</v>
      </c>
      <c r="CF101" s="99">
        <v>2.3473480818491077</v>
      </c>
      <c r="CG101" s="99">
        <v>1698.5410720260145</v>
      </c>
      <c r="CH101" s="99">
        <v>3.9657071853843142</v>
      </c>
      <c r="CI101" s="99">
        <v>2869.5857193440897</v>
      </c>
      <c r="CJ101" s="99">
        <v>4.3944259441724283</v>
      </c>
      <c r="CK101" s="99">
        <v>3179.806613203169</v>
      </c>
      <c r="CL101" s="99">
        <v>5.375156857761759</v>
      </c>
      <c r="CM101" s="99">
        <v>3889.4635022764091</v>
      </c>
      <c r="CN101" s="99">
        <v>2.9725046703192266</v>
      </c>
      <c r="CO101" s="99">
        <v>2150.9043794429926</v>
      </c>
      <c r="CP101" s="99">
        <v>4.8961722392267433</v>
      </c>
      <c r="CQ101" s="99">
        <v>3542.8702323044718</v>
      </c>
      <c r="CR101" s="99">
        <v>4.4393324866676211</v>
      </c>
      <c r="CS101" s="99">
        <v>3212.3009873526908</v>
      </c>
      <c r="CT101" s="99">
        <v>5.5603421961491755</v>
      </c>
      <c r="CU101" s="99">
        <v>4023.4636131335433</v>
      </c>
    </row>
    <row r="102" spans="2:99">
      <c r="C102" s="98" t="s">
        <v>268</v>
      </c>
      <c r="D102" s="99">
        <v>7</v>
      </c>
      <c r="E102" s="99">
        <v>3721.2000000000003</v>
      </c>
      <c r="F102" s="99">
        <v>8</v>
      </c>
      <c r="G102" s="99">
        <v>4252.8</v>
      </c>
      <c r="H102" s="99">
        <v>8</v>
      </c>
      <c r="I102" s="99">
        <v>4252.8</v>
      </c>
      <c r="J102" s="99">
        <v>8</v>
      </c>
      <c r="K102" s="99">
        <v>4252.8</v>
      </c>
      <c r="L102" s="99">
        <v>7.5516510658505407</v>
      </c>
      <c r="M102" s="99">
        <v>4014.4577066061474</v>
      </c>
      <c r="N102" s="99">
        <v>6.0684234037211109</v>
      </c>
      <c r="O102" s="99">
        <v>3225.9738814181428</v>
      </c>
      <c r="P102" s="99">
        <v>5.6118214948064011</v>
      </c>
      <c r="Q102" s="99">
        <v>2983.2443066390829</v>
      </c>
      <c r="R102" s="99">
        <v>0.3012252190119758</v>
      </c>
      <c r="S102" s="99">
        <v>160.13132642676635</v>
      </c>
      <c r="T102" s="99">
        <v>0</v>
      </c>
      <c r="U102" s="99">
        <v>0</v>
      </c>
      <c r="V102" s="99">
        <v>0</v>
      </c>
      <c r="W102" s="99">
        <v>0</v>
      </c>
      <c r="X102" s="99">
        <v>0</v>
      </c>
      <c r="Y102" s="99">
        <v>0</v>
      </c>
      <c r="Z102" s="99">
        <v>4.5295676634668203</v>
      </c>
      <c r="AA102" s="99">
        <v>2407.9181698989619</v>
      </c>
      <c r="AB102" s="99">
        <v>4.8848341514347693</v>
      </c>
      <c r="AC102" s="99">
        <v>2596.7778349027235</v>
      </c>
      <c r="AD102" s="99">
        <v>4.0458737405253009</v>
      </c>
      <c r="AE102" s="99">
        <v>2150.78648046325</v>
      </c>
      <c r="AF102" s="99">
        <v>2.1689465920026327</v>
      </c>
      <c r="AG102" s="99">
        <v>1153.0120083085997</v>
      </c>
      <c r="AH102" s="99">
        <v>5.8715860325079046</v>
      </c>
      <c r="AI102" s="99">
        <v>3121.3351348812021</v>
      </c>
      <c r="AJ102" s="99">
        <v>3.3142182119905432</v>
      </c>
      <c r="AK102" s="99">
        <v>1761.8384014941728</v>
      </c>
      <c r="AL102" s="99">
        <v>5.0709152098931911</v>
      </c>
      <c r="AM102" s="99">
        <v>2695.6985255792206</v>
      </c>
      <c r="AN102" s="99">
        <v>4.1422041200162516</v>
      </c>
      <c r="AO102" s="99">
        <v>2201.9957102006392</v>
      </c>
      <c r="AP102" s="99">
        <v>4.2423120515492831</v>
      </c>
      <c r="AQ102" s="99">
        <v>2255.2130866035991</v>
      </c>
      <c r="AR102" s="99">
        <v>2.397256759581857</v>
      </c>
      <c r="AS102" s="99">
        <v>1274.3816933937153</v>
      </c>
      <c r="AT102" s="99">
        <v>6.0961822195437261</v>
      </c>
      <c r="AU102" s="99">
        <v>3240.730467909445</v>
      </c>
      <c r="AV102" s="99">
        <v>6.157541659131371</v>
      </c>
      <c r="AW102" s="99">
        <v>3273.349145994237</v>
      </c>
      <c r="AX102" s="99">
        <v>4.5321017419999778</v>
      </c>
      <c r="AY102" s="99">
        <v>2409.2652860471885</v>
      </c>
      <c r="AZ102" s="99">
        <v>4.3358501593574834</v>
      </c>
      <c r="BA102" s="99">
        <v>2304.9379447144383</v>
      </c>
      <c r="BB102" s="99">
        <v>3.8868966746717035</v>
      </c>
      <c r="BC102" s="99">
        <v>2066.2742722554776</v>
      </c>
      <c r="BD102" s="99">
        <v>3.9048635860309111</v>
      </c>
      <c r="BE102" s="99">
        <v>2075.8254823340326</v>
      </c>
      <c r="BF102" s="99">
        <v>4.0614958062653486</v>
      </c>
      <c r="BG102" s="99">
        <v>2159.0911706106594</v>
      </c>
      <c r="BH102" s="99">
        <v>2.4426643774626955</v>
      </c>
      <c r="BI102" s="99">
        <v>1298.520383059169</v>
      </c>
      <c r="BJ102" s="99">
        <v>8.1563549038339609</v>
      </c>
      <c r="BK102" s="99">
        <v>4335.9182668781341</v>
      </c>
      <c r="BL102" s="99">
        <v>3.3024244277659633</v>
      </c>
      <c r="BM102" s="99">
        <v>1755.5688258003861</v>
      </c>
      <c r="BN102" s="99">
        <v>4.326544567799032</v>
      </c>
      <c r="BO102" s="99">
        <v>2299.9910922419654</v>
      </c>
      <c r="BP102" s="99">
        <v>6.1025090782058031</v>
      </c>
      <c r="BQ102" s="99">
        <v>3244.0938259742052</v>
      </c>
      <c r="BR102" s="99">
        <v>5.5145792523035038</v>
      </c>
      <c r="BS102" s="99">
        <v>2931.5503305245429</v>
      </c>
      <c r="BT102" s="99">
        <v>2.8240195616945676</v>
      </c>
      <c r="BU102" s="99">
        <v>1501.2487989968322</v>
      </c>
      <c r="BV102" s="99">
        <v>5.9356572260709646</v>
      </c>
      <c r="BW102" s="99">
        <v>3155.395381379325</v>
      </c>
      <c r="BX102" s="99">
        <v>5.183416644790463</v>
      </c>
      <c r="BY102" s="99">
        <v>2755.5042883706101</v>
      </c>
      <c r="BZ102" s="99">
        <v>3.8256467964657865</v>
      </c>
      <c r="CA102" s="99">
        <v>2033.7138370012121</v>
      </c>
      <c r="CB102" s="99">
        <v>3.708548442512948</v>
      </c>
      <c r="CC102" s="99">
        <v>1971.4643520398834</v>
      </c>
      <c r="CD102" s="99">
        <v>4.5387463101504082</v>
      </c>
      <c r="CE102" s="99">
        <v>2412.797538475957</v>
      </c>
      <c r="CF102" s="99">
        <v>2.4199019033504139</v>
      </c>
      <c r="CG102" s="99">
        <v>1286.4198518210801</v>
      </c>
      <c r="CH102" s="99">
        <v>3.9657071853843142</v>
      </c>
      <c r="CI102" s="99">
        <v>2108.1699397503016</v>
      </c>
      <c r="CJ102" s="99">
        <v>4.8338685385896705</v>
      </c>
      <c r="CK102" s="99">
        <v>2569.6845151142688</v>
      </c>
      <c r="CL102" s="99">
        <v>5.5438478106212727</v>
      </c>
      <c r="CM102" s="99">
        <v>2947.1094961262688</v>
      </c>
      <c r="CN102" s="99">
        <v>2.9725046703192266</v>
      </c>
      <c r="CO102" s="99">
        <v>1580.183482741701</v>
      </c>
      <c r="CP102" s="99">
        <v>4.4881578859578477</v>
      </c>
      <c r="CQ102" s="99">
        <v>2385.9047321751918</v>
      </c>
      <c r="CR102" s="99">
        <v>4.4393324866676211</v>
      </c>
      <c r="CS102" s="99">
        <v>2359.9491499125074</v>
      </c>
      <c r="CT102" s="99">
        <v>6.3546767955990573</v>
      </c>
      <c r="CU102" s="99">
        <v>3378.1461845404592</v>
      </c>
    </row>
    <row r="103" spans="2:99">
      <c r="C103" s="98" t="s">
        <v>269</v>
      </c>
      <c r="D103" s="99">
        <v>7</v>
      </c>
      <c r="E103" s="99">
        <v>4124.3999999999996</v>
      </c>
      <c r="F103" s="99">
        <v>7</v>
      </c>
      <c r="G103" s="99">
        <v>4124.3999999999996</v>
      </c>
      <c r="H103" s="99">
        <v>7</v>
      </c>
      <c r="I103" s="99">
        <v>4124.3999999999996</v>
      </c>
      <c r="J103" s="99">
        <v>8</v>
      </c>
      <c r="K103" s="99">
        <v>4713.5999999999995</v>
      </c>
      <c r="L103" s="99">
        <v>7.5516510658505407</v>
      </c>
      <c r="M103" s="99">
        <v>4449.4328079991383</v>
      </c>
      <c r="N103" s="99">
        <v>6.0684234037211109</v>
      </c>
      <c r="O103" s="99">
        <v>3575.515069472478</v>
      </c>
      <c r="P103" s="99">
        <v>5.6118214948064011</v>
      </c>
      <c r="Q103" s="99">
        <v>3306.4852247399313</v>
      </c>
      <c r="R103" s="99">
        <v>0.3012252190119758</v>
      </c>
      <c r="S103" s="99">
        <v>177.48189904185611</v>
      </c>
      <c r="T103" s="99">
        <v>0</v>
      </c>
      <c r="U103" s="99">
        <v>0</v>
      </c>
      <c r="V103" s="99">
        <v>0</v>
      </c>
      <c r="W103" s="99">
        <v>0</v>
      </c>
      <c r="X103" s="99">
        <v>0</v>
      </c>
      <c r="Y103" s="99">
        <v>0</v>
      </c>
      <c r="Z103" s="99">
        <v>4.489039026723793</v>
      </c>
      <c r="AA103" s="99">
        <v>2644.9417945456585</v>
      </c>
      <c r="AB103" s="99">
        <v>4.8848341514347693</v>
      </c>
      <c r="AC103" s="99">
        <v>2878.1442820253656</v>
      </c>
      <c r="AD103" s="99">
        <v>4.6472429204245733</v>
      </c>
      <c r="AE103" s="99">
        <v>2738.1555287141582</v>
      </c>
      <c r="AF103" s="99">
        <v>2.1689465920026327</v>
      </c>
      <c r="AG103" s="99">
        <v>1277.9433320079511</v>
      </c>
      <c r="AH103" s="99">
        <v>5.8715860325079046</v>
      </c>
      <c r="AI103" s="99">
        <v>3459.5384903536569</v>
      </c>
      <c r="AJ103" s="99">
        <v>2.9827963907914889</v>
      </c>
      <c r="AK103" s="99">
        <v>1757.463633454345</v>
      </c>
      <c r="AL103" s="99">
        <v>5.9160677448753889</v>
      </c>
      <c r="AM103" s="99">
        <v>3485.7471152805788</v>
      </c>
      <c r="AN103" s="99">
        <v>4.1422041200162516</v>
      </c>
      <c r="AO103" s="99">
        <v>2440.5866675135753</v>
      </c>
      <c r="AP103" s="99">
        <v>4.694277187362994</v>
      </c>
      <c r="AQ103" s="99">
        <v>2765.8681187942757</v>
      </c>
      <c r="AR103" s="99">
        <v>2.397256759581857</v>
      </c>
      <c r="AS103" s="99">
        <v>1412.46368274563</v>
      </c>
      <c r="AT103" s="99">
        <v>6.7058004414980985</v>
      </c>
      <c r="AU103" s="99">
        <v>3951.057620130679</v>
      </c>
      <c r="AV103" s="99">
        <v>6.157541659131371</v>
      </c>
      <c r="AW103" s="99">
        <v>3628.0235455602033</v>
      </c>
      <c r="AX103" s="99">
        <v>4.5321017419999778</v>
      </c>
      <c r="AY103" s="99">
        <v>2670.3143463863867</v>
      </c>
      <c r="AZ103" s="99">
        <v>4.9552573249799812</v>
      </c>
      <c r="BA103" s="99">
        <v>2919.6376158782045</v>
      </c>
      <c r="BB103" s="99">
        <v>4.478129048938241</v>
      </c>
      <c r="BC103" s="99">
        <v>2638.5136356344115</v>
      </c>
      <c r="BD103" s="99">
        <v>4.4282919331504482</v>
      </c>
      <c r="BE103" s="99">
        <v>2609.1496070122439</v>
      </c>
      <c r="BF103" s="99">
        <v>3.5163278684661003</v>
      </c>
      <c r="BG103" s="99">
        <v>2071.820380100226</v>
      </c>
      <c r="BH103" s="99">
        <v>2.791616431385938</v>
      </c>
      <c r="BI103" s="99">
        <v>1644.8204013725945</v>
      </c>
      <c r="BJ103" s="99">
        <v>7.4372200378055258</v>
      </c>
      <c r="BK103" s="99">
        <v>4382.0100462750152</v>
      </c>
      <c r="BL103" s="99">
        <v>3.325149842632384</v>
      </c>
      <c r="BM103" s="99">
        <v>1959.1782872790004</v>
      </c>
      <c r="BN103" s="99">
        <v>3.7084667723991704</v>
      </c>
      <c r="BO103" s="99">
        <v>2185.028622297591</v>
      </c>
      <c r="BP103" s="99">
        <v>5.8209558460179922</v>
      </c>
      <c r="BQ103" s="99">
        <v>3429.7071844738007</v>
      </c>
      <c r="BR103" s="99">
        <v>5.5404148220101019</v>
      </c>
      <c r="BS103" s="99">
        <v>3264.4124131283515</v>
      </c>
      <c r="BT103" s="99">
        <v>2.4710171164827464</v>
      </c>
      <c r="BU103" s="99">
        <v>1455.9232850316339</v>
      </c>
      <c r="BV103" s="99">
        <v>5.9356572260709646</v>
      </c>
      <c r="BW103" s="99">
        <v>3497.2892376010118</v>
      </c>
      <c r="BX103" s="99">
        <v>5.4307024814646399</v>
      </c>
      <c r="BY103" s="99">
        <v>3199.7699020789655</v>
      </c>
      <c r="BZ103" s="99">
        <v>4.3721677673894703</v>
      </c>
      <c r="CA103" s="99">
        <v>2576.0812485458755</v>
      </c>
      <c r="CB103" s="99">
        <v>3.7248580647344718</v>
      </c>
      <c r="CC103" s="99">
        <v>2194.6863717415504</v>
      </c>
      <c r="CD103" s="99">
        <v>5.0187894059995353</v>
      </c>
      <c r="CE103" s="99">
        <v>2957.0707180149257</v>
      </c>
      <c r="CF103" s="99">
        <v>2.1264833931192753</v>
      </c>
      <c r="CG103" s="99">
        <v>1252.9240152258769</v>
      </c>
      <c r="CH103" s="99">
        <v>3.9657071853843142</v>
      </c>
      <c r="CI103" s="99">
        <v>2336.5946736284377</v>
      </c>
      <c r="CJ103" s="99">
        <v>4.3944259441724283</v>
      </c>
      <c r="CK103" s="99">
        <v>2589.1957663063945</v>
      </c>
      <c r="CL103" s="99">
        <v>5.375156857761759</v>
      </c>
      <c r="CM103" s="99">
        <v>3167.0424205932281</v>
      </c>
      <c r="CN103" s="99">
        <v>2.9725046703192266</v>
      </c>
      <c r="CO103" s="99">
        <v>1751.3997517520882</v>
      </c>
      <c r="CP103" s="99">
        <v>4.0801435326889521</v>
      </c>
      <c r="CQ103" s="99">
        <v>2404.0205694603305</v>
      </c>
      <c r="CR103" s="99">
        <v>4.9942490475010741</v>
      </c>
      <c r="CS103" s="99">
        <v>2942.6115387876325</v>
      </c>
      <c r="CT103" s="99">
        <v>5.5603421961491755</v>
      </c>
      <c r="CU103" s="99">
        <v>3276.1536219710938</v>
      </c>
    </row>
    <row r="104" spans="2:99">
      <c r="C104" s="98" t="s">
        <v>270</v>
      </c>
      <c r="D104" s="99">
        <v>7</v>
      </c>
      <c r="E104" s="99">
        <v>4426.8</v>
      </c>
      <c r="F104" s="99">
        <v>8</v>
      </c>
      <c r="G104" s="99">
        <v>5059.2</v>
      </c>
      <c r="H104" s="99">
        <v>7</v>
      </c>
      <c r="I104" s="99">
        <v>4426.8</v>
      </c>
      <c r="J104" s="99">
        <v>8</v>
      </c>
      <c r="K104" s="99">
        <v>5059.2</v>
      </c>
      <c r="L104" s="99">
        <v>7.5516510658505407</v>
      </c>
      <c r="M104" s="99">
        <v>4775.6641340438819</v>
      </c>
      <c r="N104" s="99">
        <v>6.0684234037211109</v>
      </c>
      <c r="O104" s="99">
        <v>3837.6709605132305</v>
      </c>
      <c r="P104" s="99">
        <v>5.1056069546809244</v>
      </c>
      <c r="Q104" s="99">
        <v>3228.7858381402166</v>
      </c>
      <c r="R104" s="99">
        <v>0.35142942218063844</v>
      </c>
      <c r="S104" s="99">
        <v>222.24396658703574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4.5093033450953062</v>
      </c>
      <c r="AA104" s="99">
        <v>2851.6834354382713</v>
      </c>
      <c r="AB104" s="99">
        <v>4.4407583194861537</v>
      </c>
      <c r="AC104" s="99">
        <v>2808.3355612430437</v>
      </c>
      <c r="AD104" s="99">
        <v>4.6472429204245733</v>
      </c>
      <c r="AE104" s="99">
        <v>2938.9164228764998</v>
      </c>
      <c r="AF104" s="99">
        <v>2.5304376906697383</v>
      </c>
      <c r="AG104" s="99">
        <v>1600.2487955795425</v>
      </c>
      <c r="AH104" s="99">
        <v>5.8715860325079046</v>
      </c>
      <c r="AI104" s="99">
        <v>3713.1910069579985</v>
      </c>
      <c r="AJ104" s="99">
        <v>3.6456400331895984</v>
      </c>
      <c r="AK104" s="99">
        <v>2305.5027569891017</v>
      </c>
      <c r="AL104" s="99">
        <v>5.9160677448753889</v>
      </c>
      <c r="AM104" s="99">
        <v>3741.3212418591957</v>
      </c>
      <c r="AN104" s="99">
        <v>4.1422041200162516</v>
      </c>
      <c r="AO104" s="99">
        <v>2619.5298854982775</v>
      </c>
      <c r="AP104" s="99">
        <v>4.694277187362994</v>
      </c>
      <c r="AQ104" s="99">
        <v>2968.6608932883573</v>
      </c>
      <c r="AR104" s="99">
        <v>2.1308948974060953</v>
      </c>
      <c r="AS104" s="99">
        <v>1347.5779331196145</v>
      </c>
      <c r="AT104" s="99">
        <v>6.7058004414980985</v>
      </c>
      <c r="AU104" s="99">
        <v>4240.7481992033972</v>
      </c>
      <c r="AV104" s="99">
        <v>6.157541659131371</v>
      </c>
      <c r="AW104" s="99">
        <v>3894.0293452346787</v>
      </c>
      <c r="AX104" s="99">
        <v>4.5321017419999778</v>
      </c>
      <c r="AY104" s="99">
        <v>2866.101141640786</v>
      </c>
      <c r="AZ104" s="99">
        <v>4.9552573249799812</v>
      </c>
      <c r="BA104" s="99">
        <v>3133.7047323173401</v>
      </c>
      <c r="BB104" s="99">
        <v>4.478129048938241</v>
      </c>
      <c r="BC104" s="99">
        <v>2831.9688105485434</v>
      </c>
      <c r="BD104" s="99">
        <v>4.4156148196665441</v>
      </c>
      <c r="BE104" s="99">
        <v>2792.4348119571223</v>
      </c>
      <c r="BF104" s="99">
        <v>4.0887536108954157</v>
      </c>
      <c r="BG104" s="99">
        <v>2585.7277835302607</v>
      </c>
      <c r="BH104" s="99">
        <v>2.4426643774626955</v>
      </c>
      <c r="BI104" s="99">
        <v>1544.7409523074086</v>
      </c>
      <c r="BJ104" s="99">
        <v>6.6829606892740649</v>
      </c>
      <c r="BK104" s="99">
        <v>4226.3043398969185</v>
      </c>
      <c r="BL104" s="99">
        <v>3.3478752574988047</v>
      </c>
      <c r="BM104" s="99">
        <v>2117.196312842244</v>
      </c>
      <c r="BN104" s="99">
        <v>4.326544567799032</v>
      </c>
      <c r="BO104" s="99">
        <v>2736.1067846761075</v>
      </c>
      <c r="BP104" s="99">
        <v>5.8209558460179922</v>
      </c>
      <c r="BQ104" s="99">
        <v>3681.1724770217779</v>
      </c>
      <c r="BR104" s="99">
        <v>5.4887436825969047</v>
      </c>
      <c r="BS104" s="99">
        <v>3471.0815048742825</v>
      </c>
      <c r="BT104" s="99">
        <v>2.8240195616945676</v>
      </c>
      <c r="BU104" s="99">
        <v>1785.9099708156446</v>
      </c>
      <c r="BV104" s="99">
        <v>7.2546921651978451</v>
      </c>
      <c r="BW104" s="99">
        <v>4587.8673252711169</v>
      </c>
      <c r="BX104" s="99">
        <v>6.047319418922207</v>
      </c>
      <c r="BY104" s="99">
        <v>3824.3248005264036</v>
      </c>
      <c r="BZ104" s="99">
        <v>4.3721677673894703</v>
      </c>
      <c r="CA104" s="99">
        <v>2764.9588960971009</v>
      </c>
      <c r="CB104" s="99">
        <v>3.7248580647344718</v>
      </c>
      <c r="CC104" s="99">
        <v>2355.6002401380797</v>
      </c>
      <c r="CD104" s="99">
        <v>4.5387463101504082</v>
      </c>
      <c r="CE104" s="99">
        <v>2870.3031665391181</v>
      </c>
      <c r="CF104" s="99">
        <v>2.4118403676280464</v>
      </c>
      <c r="CG104" s="99">
        <v>1525.2478484879764</v>
      </c>
      <c r="CH104" s="99">
        <v>3.3991775874722694</v>
      </c>
      <c r="CI104" s="99">
        <v>2149.6399063174631</v>
      </c>
      <c r="CJ104" s="99">
        <v>4.3944259441724283</v>
      </c>
      <c r="CK104" s="99">
        <v>2779.0349670946434</v>
      </c>
      <c r="CL104" s="99">
        <v>5.375156857761759</v>
      </c>
      <c r="CM104" s="99">
        <v>3399.2491968485365</v>
      </c>
      <c r="CN104" s="99">
        <v>2.9616089110606088</v>
      </c>
      <c r="CO104" s="99">
        <v>1872.921475354729</v>
      </c>
      <c r="CP104" s="99">
        <v>4.0801435326889521</v>
      </c>
      <c r="CQ104" s="99">
        <v>2580.2827700724933</v>
      </c>
      <c r="CR104" s="99">
        <v>4.4393324866676211</v>
      </c>
      <c r="CS104" s="99">
        <v>2807.4338645686034</v>
      </c>
      <c r="CT104" s="99">
        <v>5.5603421961491755</v>
      </c>
      <c r="CU104" s="99">
        <v>3516.3604048447382</v>
      </c>
    </row>
    <row r="105" spans="2:99">
      <c r="C105" s="98" t="s">
        <v>271</v>
      </c>
      <c r="D105" s="99">
        <v>7</v>
      </c>
      <c r="E105" s="99">
        <v>3897.5999999999995</v>
      </c>
      <c r="F105" s="99">
        <v>7</v>
      </c>
      <c r="G105" s="99">
        <v>3897.5999999999995</v>
      </c>
      <c r="H105" s="99">
        <v>8</v>
      </c>
      <c r="I105" s="99">
        <v>4454.3999999999996</v>
      </c>
      <c r="J105" s="99">
        <v>8</v>
      </c>
      <c r="K105" s="99">
        <v>4454.3999999999996</v>
      </c>
      <c r="L105" s="99">
        <v>6.8651373325914014</v>
      </c>
      <c r="M105" s="99">
        <v>3822.5084667868919</v>
      </c>
      <c r="N105" s="99">
        <v>6.742692670801234</v>
      </c>
      <c r="O105" s="99">
        <v>3754.3312791021267</v>
      </c>
      <c r="P105" s="99">
        <v>4.5732173624815609</v>
      </c>
      <c r="Q105" s="99">
        <v>2546.3674274297327</v>
      </c>
      <c r="R105" s="99">
        <v>0.3012252190119758</v>
      </c>
      <c r="S105" s="99">
        <v>167.72220194586811</v>
      </c>
      <c r="T105" s="99">
        <v>0</v>
      </c>
      <c r="U105" s="99">
        <v>0</v>
      </c>
      <c r="V105" s="99">
        <v>0</v>
      </c>
      <c r="W105" s="99">
        <v>0</v>
      </c>
      <c r="X105" s="99">
        <v>0</v>
      </c>
      <c r="Y105" s="99">
        <v>0</v>
      </c>
      <c r="Z105" s="99">
        <v>4.489039026723793</v>
      </c>
      <c r="AA105" s="99">
        <v>2499.4969300798075</v>
      </c>
      <c r="AB105" s="99">
        <v>4.8848341514347693</v>
      </c>
      <c r="AC105" s="99">
        <v>2719.8756555188793</v>
      </c>
      <c r="AD105" s="99">
        <v>5.1394717544774435</v>
      </c>
      <c r="AE105" s="99">
        <v>2861.6578728930403</v>
      </c>
      <c r="AF105" s="99">
        <v>2.1689465920026327</v>
      </c>
      <c r="AG105" s="99">
        <v>1207.6694624270658</v>
      </c>
      <c r="AH105" s="99">
        <v>6.7103840371518908</v>
      </c>
      <c r="AI105" s="99">
        <v>3736.3418318861727</v>
      </c>
      <c r="AJ105" s="99">
        <v>3.6456400331895984</v>
      </c>
      <c r="AK105" s="99">
        <v>2029.8923704799681</v>
      </c>
      <c r="AL105" s="99">
        <v>5.0709152098931911</v>
      </c>
      <c r="AM105" s="99">
        <v>2823.4855888685288</v>
      </c>
      <c r="AN105" s="99">
        <v>4.1422041200162516</v>
      </c>
      <c r="AO105" s="99">
        <v>2306.3792540250488</v>
      </c>
      <c r="AP105" s="99">
        <v>4.2423120515492831</v>
      </c>
      <c r="AQ105" s="99">
        <v>2362.1193503026407</v>
      </c>
      <c r="AR105" s="99">
        <v>2.397256759581857</v>
      </c>
      <c r="AS105" s="99">
        <v>1334.792563735178</v>
      </c>
      <c r="AT105" s="99">
        <v>6.0961822195437261</v>
      </c>
      <c r="AU105" s="99">
        <v>3394.3542598419463</v>
      </c>
      <c r="AV105" s="99">
        <v>5.5417874932182336</v>
      </c>
      <c r="AW105" s="99">
        <v>3085.6672762239123</v>
      </c>
      <c r="AX105" s="99">
        <v>4.5321017419999778</v>
      </c>
      <c r="AY105" s="99">
        <v>2523.4742499455874</v>
      </c>
      <c r="AZ105" s="99">
        <v>4.3358501593574834</v>
      </c>
      <c r="BA105" s="99">
        <v>2414.2013687302465</v>
      </c>
      <c r="BB105" s="99">
        <v>4.4421676281962332</v>
      </c>
      <c r="BC105" s="99">
        <v>2473.3989353796624</v>
      </c>
      <c r="BD105" s="99">
        <v>4.4156148196665441</v>
      </c>
      <c r="BE105" s="99">
        <v>2458.6143315903314</v>
      </c>
      <c r="BF105" s="99">
        <v>4.0614958062653486</v>
      </c>
      <c r="BG105" s="99">
        <v>2261.440864928546</v>
      </c>
      <c r="BH105" s="99">
        <v>2.4426643774626955</v>
      </c>
      <c r="BI105" s="99">
        <v>1360.0755253712287</v>
      </c>
      <c r="BJ105" s="99">
        <v>6.7180851717770933</v>
      </c>
      <c r="BK105" s="99">
        <v>3740.6298236454854</v>
      </c>
      <c r="BL105" s="99">
        <v>3.325149842632384</v>
      </c>
      <c r="BM105" s="99">
        <v>1851.4434323777114</v>
      </c>
      <c r="BN105" s="99">
        <v>3.7084667723991704</v>
      </c>
      <c r="BO105" s="99">
        <v>2064.8742988718577</v>
      </c>
      <c r="BP105" s="99">
        <v>5.8209558460179922</v>
      </c>
      <c r="BQ105" s="99">
        <v>3241.1082150628176</v>
      </c>
      <c r="BR105" s="99">
        <v>4.991540453750412</v>
      </c>
      <c r="BS105" s="99">
        <v>2779.2897246482294</v>
      </c>
      <c r="BT105" s="99">
        <v>2.4710171164827464</v>
      </c>
      <c r="BU105" s="99">
        <v>1375.8623304575931</v>
      </c>
      <c r="BV105" s="99">
        <v>6.5951746956344053</v>
      </c>
      <c r="BW105" s="99">
        <v>3672.1932705292365</v>
      </c>
      <c r="BX105" s="99">
        <v>6.047319418922207</v>
      </c>
      <c r="BY105" s="99">
        <v>3367.1474524558844</v>
      </c>
      <c r="BZ105" s="99">
        <v>3.8256467964657865</v>
      </c>
      <c r="CA105" s="99">
        <v>2130.1201362721499</v>
      </c>
      <c r="CB105" s="99">
        <v>3.708548442512948</v>
      </c>
      <c r="CC105" s="99">
        <v>2064.9197727912092</v>
      </c>
      <c r="CD105" s="99">
        <v>4.9751752979427257</v>
      </c>
      <c r="CE105" s="99">
        <v>2770.1776058945093</v>
      </c>
      <c r="CF105" s="99">
        <v>2.3473480818491077</v>
      </c>
      <c r="CG105" s="99">
        <v>1307.0034119735831</v>
      </c>
      <c r="CH105" s="99">
        <v>3.9657071853843142</v>
      </c>
      <c r="CI105" s="99">
        <v>2208.1057608219858</v>
      </c>
      <c r="CJ105" s="99">
        <v>4.8338685385896705</v>
      </c>
      <c r="CK105" s="99">
        <v>2691.4980022867285</v>
      </c>
      <c r="CL105" s="99">
        <v>5.375156857761759</v>
      </c>
      <c r="CM105" s="99">
        <v>2992.887338401747</v>
      </c>
      <c r="CN105" s="99">
        <v>2.9616089110606088</v>
      </c>
      <c r="CO105" s="99">
        <v>1649.0238416785469</v>
      </c>
      <c r="CP105" s="99">
        <v>4.4881578859578477</v>
      </c>
      <c r="CQ105" s="99">
        <v>2499.0063109013295</v>
      </c>
      <c r="CR105" s="99">
        <v>3.8844159258341682</v>
      </c>
      <c r="CS105" s="99">
        <v>2162.8427875044645</v>
      </c>
      <c r="CT105" s="99">
        <v>6.3546767955990573</v>
      </c>
      <c r="CU105" s="99">
        <v>3538.2840397895548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432</v>
      </c>
      <c r="E109" s="99">
        <f>SUM(L$6:L$19)+SUM(N$6:N$19)+SUM(P$6:P$19)+SUM(R$6:R$19)</f>
        <v>439.02144593617936</v>
      </c>
      <c r="F109" s="99">
        <f>SUM(T$6:T$19)+SUM(V$6:V$19)+SUM(X$6:X$19)+SUM(Z$6:Z$19)</f>
        <v>362</v>
      </c>
      <c r="G109" s="99">
        <f>SUM(AB$6:AB$19)+SUM(AD$6:AD$19)+SUM(AF$6:AF$19)+SUM(AH$6:AH$19)</f>
        <v>326.5719768598463</v>
      </c>
      <c r="H109" s="99">
        <f>SUM(AJ$6:AJ$19)+SUM(AL$6:AL$19)+SUM(AN$6:AN$19)+SUM(AP$6:AP$19)</f>
        <v>365.0332380668566</v>
      </c>
      <c r="I109" s="99">
        <f>SUM(AR$6:AR$19)+SUM(AT$6:AT$19)+SUM(AV$6:AV$19)+SUM(AX$6:AX$19)</f>
        <v>270.50204053510794</v>
      </c>
      <c r="J109" s="99">
        <f>SUM(AZ$6:AZ$19)+SUM(BB$6:BB$19)+SUM(BD$6:BD$19)+SUM(BF$6:BF$19)</f>
        <v>353.84055415635305</v>
      </c>
      <c r="K109" s="99">
        <f>SUM(BH$6:BH$19)+SUM(BJ$6:BJ$19)+SUM(BL$6:BL$19)+SUM(BN$6:BN$19)</f>
        <v>319.7639390974856</v>
      </c>
      <c r="L109" s="99">
        <f>SUM(BP$6:BP$19)+SUM(BR$6:BR$19)+SUM(BT$6:BT$19)+SUM(BV$6:BV$19)</f>
        <v>376.55829098035991</v>
      </c>
      <c r="M109" s="99">
        <f>SUM(BX$6:BX$19)+SUM(BZ$6:BZ$19)+SUM(CB$6:CB$19)+SUM(CD$6:CD$19)</f>
        <v>342.31842884847225</v>
      </c>
      <c r="N109" s="99">
        <f>SUM(CF$6:CF$19)+SUM(CH$6:CH$19)+SUM(CJ$6:CJ$19)+SUM(CL$6:CL$19)</f>
        <v>238.90812154228661</v>
      </c>
      <c r="O109" s="99">
        <f>SUM(CN$6:CN$19)+SUM(CP$6:CP$19)+SUM(CR$6:CR$19)+SUM(CT$6:CT$19)</f>
        <v>405.01317841433536</v>
      </c>
    </row>
    <row r="110" spans="2:99">
      <c r="C110" s="98" t="s">
        <v>127</v>
      </c>
      <c r="D110" s="99">
        <f>SUM(D$20:D$36)+SUM(F$20:F$36)+SUM(H$20:H$36)+SUM(J$20:J$36)</f>
        <v>708</v>
      </c>
      <c r="E110" s="99">
        <f>SUM(L$20:L$36)+SUM(N$20:N$36)+SUM(P$20:P$36)+SUM(R$20:R$36)</f>
        <v>866.89942198846779</v>
      </c>
      <c r="F110" s="99">
        <f>SUM(T$20:T$36)+SUM(V$20:V$36)+SUM(X$20:X$36)+SUM(Z$20:Z$36)</f>
        <v>693</v>
      </c>
      <c r="G110" s="99">
        <f>SUM(AB$20:AB$36)+SUM(AD$20:AD$36)+SUM(AF$20:AF$36)+SUM(AH$20:AH$36)</f>
        <v>632.15053020033781</v>
      </c>
      <c r="H110" s="99">
        <f>SUM(AJ$20:AJ$36)+SUM(AL$20:AL$36)+SUM(AN$20:AN$36)+SUM(AP$20:AP$36)</f>
        <v>779.99814691070071</v>
      </c>
      <c r="I110" s="99">
        <f>SUM(AR$20:AR$36)+SUM(AT$20:AT$36)+SUM(AV$20:AV$36)+SUM(AX$20:AX$36)</f>
        <v>486.85723976628083</v>
      </c>
      <c r="J110" s="99">
        <f>SUM(AZ$20:AZ$36)+SUM(BB$20:BB$36)+SUM(BD$20:BD$36)+SUM(BF$20:BF$36)</f>
        <v>687.45826953186986</v>
      </c>
      <c r="K110" s="99">
        <f>SUM(BH$20:BH$36)+SUM(BJ$20:BJ$36)+SUM(BL$20:BL$36)+SUM(BN$20:BN$36)</f>
        <v>536.34866851704544</v>
      </c>
      <c r="L110" s="99">
        <f>SUM(BP$20:BP$36)+SUM(BR$20:BR$36)+SUM(BT$20:BT$36)+SUM(BV$20:BV$36)</f>
        <v>706.06865956181741</v>
      </c>
      <c r="M110" s="99">
        <f>SUM(BX$20:BX$36)+SUM(BZ$20:BZ$36)+SUM(CB$20:CB$36)+SUM(CD$20:CD$36)</f>
        <v>727.71569877345632</v>
      </c>
      <c r="N110" s="99">
        <f>SUM(CF$20:CF$36)+SUM(CH$20:CH$36)+SUM(CJ$20:CJ$36)+SUM(CL$20:CL$36)</f>
        <v>444.06646681075813</v>
      </c>
      <c r="O110" s="99">
        <f>SUM(CN$20:CN$36)+SUM(CP$20:CP$36)+SUM(CR$20:CR$36)+SUM(CT$20:CT$36)</f>
        <v>759.95522948790756</v>
      </c>
    </row>
    <row r="111" spans="2:99">
      <c r="C111" s="98" t="s">
        <v>128</v>
      </c>
      <c r="D111" s="99">
        <f>SUM(D$37:D$48)+SUM(F$37:F$48)+SUM(H$37:H$48)+SUM(J$37:J$48)</f>
        <v>365</v>
      </c>
      <c r="E111" s="99">
        <f>SUM(L$37:L$48)+SUM(N$37:N$48)+SUM(P$37:P$48)+SUM(R$37:R$48)</f>
        <v>336.03431349788696</v>
      </c>
      <c r="F111" s="99">
        <f>SUM(T$37:T$48)+SUM(V$37:V$48)+SUM(X$37:X$48)+SUM(Z$37:Z$48)</f>
        <v>387</v>
      </c>
      <c r="G111" s="99">
        <f>SUM(AB$37:AB$48)+SUM(AD$37:AD$48)+SUM(AF$37:AF$48)+SUM(AH$37:AH$48)</f>
        <v>247.02086292911963</v>
      </c>
      <c r="H111" s="99">
        <f>SUM(AJ$37:AJ$48)+SUM(AL$37:AL$48)+SUM(AN$37:AN$48)+SUM(AP$37:AP$48)</f>
        <v>314.10156728986902</v>
      </c>
      <c r="I111" s="99">
        <f>SUM(AR$37:AR$48)+SUM(AT$37:AT$48)+SUM(AV$37:AV$48)+SUM(AX$37:AX$48)</f>
        <v>187.75681325926362</v>
      </c>
      <c r="J111" s="99">
        <f>SUM(AZ$37:AZ$48)+SUM(BB$37:BB$48)+SUM(BD$37:BD$48)+SUM(BF$37:BF$48)</f>
        <v>289.44627377017281</v>
      </c>
      <c r="K111" s="99">
        <f>SUM(BH$37:BH$48)+SUM(BJ$37:BJ$48)+SUM(BL$37:BL$48)+SUM(BN$37:BN$48)</f>
        <v>215.97803723619276</v>
      </c>
      <c r="L111" s="99">
        <f>SUM(BP$37:BP$48)+SUM(BR$37:BR$48)+SUM(BT$37:BT$48)+SUM(BV$37:BV$48)</f>
        <v>251.44050555380284</v>
      </c>
      <c r="M111" s="99">
        <f>SUM(BX$37:BX$48)+SUM(BZ$37:BZ$48)+SUM(CB$37:CB$48)+SUM(CD$37:CD$48)</f>
        <v>283.870818496982</v>
      </c>
      <c r="N111" s="99">
        <f>SUM(CF$37:CF$48)+SUM(CH$37:CH$48)+SUM(CJ$37:CJ$48)+SUM(CL$37:CL$48)</f>
        <v>201.90993764584732</v>
      </c>
      <c r="O111" s="99">
        <f>SUM(CN$37:CN$48)+SUM(CP$37:CP$48)+SUM(CR$37:CR$48)+SUM(CT$37:CT$48)</f>
        <v>250.07038079903413</v>
      </c>
    </row>
    <row r="112" spans="2:99">
      <c r="C112" s="98" t="s">
        <v>129</v>
      </c>
      <c r="D112" s="99">
        <f>SUM(D$49:D$70)+SUM(F$49:F$70)+SUM(H$49:H$70)+SUM(J$49:J$70)</f>
        <v>423</v>
      </c>
      <c r="E112" s="99">
        <f>SUM(L$49:L$70)+SUM(N$49:N$70)+SUM(P$49:P$70)+SUM(R$49:R$70)</f>
        <v>410.54843910766112</v>
      </c>
      <c r="F112" s="99">
        <f>SUM(T$49:T$70)+SUM(V$49:V$70)+SUM(X$49:X$70)+SUM(Z$49:Z$70)</f>
        <v>478.43724230631778</v>
      </c>
      <c r="G112" s="99">
        <f>SUM(AB$49:AB$70)+SUM(AD$49:AD$70)+SUM(AF$49:AF$70)+SUM(AH$49:AH$70)</f>
        <v>349.49119030751785</v>
      </c>
      <c r="H112" s="99">
        <f>SUM(AJ$49:AJ$70)+SUM(AL$49:AL$70)+SUM(AN$49:AN$70)+SUM(AP$49:AP$70)</f>
        <v>456.130797821947</v>
      </c>
      <c r="I112" s="99">
        <f>SUM(AR$49:AR$70)+SUM(AT$49:AT$70)+SUM(AV$49:AV$70)+SUM(AX$49:AX$70)</f>
        <v>317.11676237278317</v>
      </c>
      <c r="J112" s="99">
        <f>SUM(AZ$49:AZ$70)+SUM(BB$49:BB$70)+SUM(BD$49:BD$70)+SUM(BF$49:BF$70)</f>
        <v>392.93316692263784</v>
      </c>
      <c r="K112" s="99">
        <f>SUM(BH$49:BH$70)+SUM(BJ$49:BJ$70)+SUM(BL$49:BL$70)+SUM(BN$49:BN$70)</f>
        <v>303.52543431053749</v>
      </c>
      <c r="L112" s="99">
        <f>SUM(BP$49:BP$70)+SUM(BR$49:BR$70)+SUM(BT$49:BT$70)+SUM(BV$49:BV$70)</f>
        <v>315.00214494363752</v>
      </c>
      <c r="M112" s="99">
        <f>SUM(BX$49:BX$70)+SUM(BZ$49:BZ$70)+SUM(CB$49:CB$70)+SUM(CD$49:CD$70)</f>
        <v>348.69689519018863</v>
      </c>
      <c r="N112" s="99">
        <f>SUM(CF$49:CF$70)+SUM(CH$49:CH$70)+SUM(CJ$49:CJ$70)+SUM(CL$49:CL$70)</f>
        <v>313.88222669266634</v>
      </c>
      <c r="O112" s="99">
        <f>SUM(CN$49:CN$70)+SUM(CP$49:CP$70)+SUM(CR$49:CR$70)+SUM(CT$49:CT$70)</f>
        <v>415.00278210448835</v>
      </c>
    </row>
    <row r="113" spans="2:15">
      <c r="C113" s="98" t="s">
        <v>130</v>
      </c>
      <c r="D113" s="99">
        <f>SUM(D$71:D$86)+SUM(F$71:F$86)+SUM(H$71:H$86)+SUM(J$71:J$86)</f>
        <v>273</v>
      </c>
      <c r="E113" s="99">
        <f>SUM(L$71:L$86)+SUM(N$71:N$86)+SUM(P$71:P$86)+SUM(R$71:R$86)</f>
        <v>326</v>
      </c>
      <c r="F113" s="99">
        <f>SUM(T$71:T$86)+SUM(V$71:V$86)+SUM(X$71:X$86)+SUM(Z$71:Z$86)</f>
        <v>253.09180202576795</v>
      </c>
      <c r="G113" s="99">
        <f>SUM(AB$71:AB$86)+SUM(AD$71:AD$86)+SUM(AF$71:AF$86)+SUM(AH$71:AH$86)</f>
        <v>285.47775150628894</v>
      </c>
      <c r="H113" s="99">
        <f>SUM(AJ$71:AJ$86)+SUM(AL$71:AL$86)+SUM(AN$71:AN$86)+SUM(AP$71:AP$86)</f>
        <v>332.69731812940728</v>
      </c>
      <c r="I113" s="99">
        <f>SUM(AR$71:AR$86)+SUM(AT$71:AT$86)+SUM(AV$71:AV$86)+SUM(AX$71:AX$86)</f>
        <v>319</v>
      </c>
      <c r="J113" s="99">
        <f>SUM(AZ$71:AZ$86)+SUM(BB$71:BB$86)+SUM(BD$71:BD$86)+SUM(BF$71:BF$86)</f>
        <v>312.94082190272223</v>
      </c>
      <c r="K113" s="99">
        <f>SUM(BH$71:BH$86)+SUM(BJ$71:BJ$86)+SUM(BL$71:BL$86)+SUM(BN$71:BN$86)</f>
        <v>286</v>
      </c>
      <c r="L113" s="99">
        <f>SUM(BP$71:BP$86)+SUM(BR$71:BR$86)+SUM(BT$71:BT$86)+SUM(BV$71:BV$86)</f>
        <v>264</v>
      </c>
      <c r="M113" s="99">
        <f>SUM(BX$71:BX$86)+SUM(BZ$71:BZ$86)+SUM(CB$71:CB$86)+SUM(CD$71:CD$86)</f>
        <v>297</v>
      </c>
      <c r="N113" s="99">
        <f>SUM(CF$71:CF$86)+SUM(CH$71:CH$86)+SUM(CJ$71:CJ$86)+SUM(CL$71:CL$86)</f>
        <v>311</v>
      </c>
      <c r="O113" s="99">
        <f>SUM(CN$71:CN$86)+SUM(CP$71:CP$86)+SUM(CR$71:CR$86)+SUM(CT$71:CT$86)</f>
        <v>273.20476554949232</v>
      </c>
    </row>
    <row r="114" spans="2:15">
      <c r="C114" s="98" t="s">
        <v>131</v>
      </c>
      <c r="D114" s="99">
        <f>SUM(D$87:D$94)+SUM(F$87:F$94)+SUM(H$87:H$94)+SUM(J$87:J$94)</f>
        <v>185</v>
      </c>
      <c r="E114" s="99">
        <f>SUM(L$87:L$94)+SUM(N$87:N$94)+SUM(P$87:P$94)+SUM(R$87:R$94)</f>
        <v>68.304693447134341</v>
      </c>
      <c r="F114" s="99">
        <f>SUM(T$87:T$94)+SUM(V$87:V$94)+SUM(X$87:X$94)+SUM(Z$87:Z$94)</f>
        <v>22.566781043848046</v>
      </c>
      <c r="G114" s="99">
        <f>SUM(AB$87:AB$94)+SUM(AD$87:AD$94)+SUM(AF$87:AF$94)+SUM(AH$87:AH$94)</f>
        <v>90.9977174803184</v>
      </c>
      <c r="H114" s="99">
        <f>SUM(AJ$87:AJ$94)+SUM(AL$87:AL$94)+SUM(AN$87:AN$94)+SUM(AP$87:AP$94)</f>
        <v>104.6877537381307</v>
      </c>
      <c r="I114" s="99">
        <f>SUM(AR$87:AR$94)+SUM(AT$87:AT$94)+SUM(AV$87:AV$94)+SUM(AX$87:AX$94)</f>
        <v>94.99858319701687</v>
      </c>
      <c r="J114" s="99">
        <f>SUM(AZ$87:AZ$94)+SUM(BB$87:BB$94)+SUM(BD$87:BD$94)+SUM(BF$87:BF$94)</f>
        <v>110.32230508490234</v>
      </c>
      <c r="K114" s="99">
        <f>SUM(BH$87:BH$94)+SUM(BJ$87:BJ$94)+SUM(BL$87:BL$94)+SUM(BN$87:BN$94)</f>
        <v>81.714691017867878</v>
      </c>
      <c r="L114" s="99">
        <f>SUM(BP$87:BP$94)+SUM(BR$87:BR$94)+SUM(BT$87:BT$94)+SUM(BV$87:BV$94)</f>
        <v>112.24330372355212</v>
      </c>
      <c r="M114" s="99">
        <f>SUM(BX$87:BX$94)+SUM(BZ$87:BZ$94)+SUM(CB$87:CB$94)+SUM(CD$87:CD$94)</f>
        <v>102.74964446435152</v>
      </c>
      <c r="N114" s="99">
        <f>SUM(CF$87:CF$94)+SUM(CH$87:CH$94)+SUM(CJ$87:CJ$94)+SUM(CL$87:CL$94)</f>
        <v>102.96455384221764</v>
      </c>
      <c r="O114" s="99">
        <f>SUM(CN$87:CN$94)+SUM(CP$87:CP$94)+SUM(CR$87:CR$94)+SUM(CT$87:CT$94)</f>
        <v>95.266466660332924</v>
      </c>
    </row>
    <row r="115" spans="2:15">
      <c r="C115" s="98" t="s">
        <v>132</v>
      </c>
      <c r="D115" s="99">
        <f>SUM(D$95:D$105)+SUM(F$95:F$105)+SUM(H$95:H$105)+SUM(J$95:J$105)</f>
        <v>316</v>
      </c>
      <c r="E115" s="99">
        <f>SUM(L$95:L$105)+SUM(N$95:N$105)+SUM(P$95:P$105)+SUM(R$95:R$105)</f>
        <v>205.73284963838611</v>
      </c>
      <c r="F115" s="99">
        <f>SUM(T$95:T$105)+SUM(V$95:V$105)+SUM(X$95:X$105)+SUM(Z$95:Z$105)</f>
        <v>47.718837017108257</v>
      </c>
      <c r="G115" s="99">
        <f>SUM(AB$95:AB$105)+SUM(AD$95:AD$105)+SUM(AF$95:AF$105)+SUM(AH$95:AH$105)</f>
        <v>191.97848065255909</v>
      </c>
      <c r="H115" s="99">
        <f>SUM(AJ$95:AJ$105)+SUM(AL$95:AL$105)+SUM(AN$95:AN$105)+SUM(AP$95:AP$105)</f>
        <v>194.68831291944218</v>
      </c>
      <c r="I115" s="99">
        <f>SUM(AR$95:AR$105)+SUM(AT$95:AT$105)+SUM(AV$95:AV$105)+SUM(AX$95:AX$105)</f>
        <v>208.73136846281795</v>
      </c>
      <c r="J115" s="99">
        <f>SUM(AZ$95:AZ$105)+SUM(BB$95:BB$105)+SUM(BD$95:BD$105)+SUM(BF$95:BF$105)</f>
        <v>182.8855428443855</v>
      </c>
      <c r="K115" s="99">
        <f>SUM(BH$95:BH$105)+SUM(BJ$95:BJ$105)+SUM(BL$95:BL$105)+SUM(BN$95:BN$105)</f>
        <v>186.81792945023159</v>
      </c>
      <c r="L115" s="99">
        <f>SUM(BP$95:BP$105)+SUM(BR$95:BR$105)+SUM(BT$95:BT$105)+SUM(BV$95:BV$105)</f>
        <v>221.45264564800593</v>
      </c>
      <c r="M115" s="99">
        <f>SUM(BX$95:BX$105)+SUM(BZ$95:BZ$105)+SUM(CB$95:CB$105)+SUM(CD$95:CD$105)</f>
        <v>196.97637491773963</v>
      </c>
      <c r="N115" s="99">
        <f>SUM(CF$95:CF$105)+SUM(CH$95:CH$105)+SUM(CJ$95:CJ$105)+SUM(CL$95:CL$105)</f>
        <v>175.15788151924232</v>
      </c>
      <c r="O115" s="99">
        <f>SUM(CN$95:CN$105)+SUM(CP$95:CP$105)+SUM(CR$95:CR$105)+SUM(CT$95:CT$105)</f>
        <v>194.74397948933583</v>
      </c>
    </row>
    <row r="116" spans="2:15">
      <c r="C116" s="98" t="s">
        <v>278</v>
      </c>
      <c r="D116" s="99">
        <f t="shared" ref="D116:O116" si="0">SUM(D$109:D$115)</f>
        <v>2702</v>
      </c>
      <c r="E116" s="99">
        <f t="shared" si="0"/>
        <v>2652.541163615716</v>
      </c>
      <c r="F116" s="99">
        <f t="shared" si="0"/>
        <v>2243.814662393042</v>
      </c>
      <c r="G116" s="99">
        <f t="shared" si="0"/>
        <v>2123.6885099359883</v>
      </c>
      <c r="H116" s="99">
        <f t="shared" si="0"/>
        <v>2547.3371348763535</v>
      </c>
      <c r="I116" s="99">
        <f t="shared" si="0"/>
        <v>1884.9628075932703</v>
      </c>
      <c r="J116" s="99">
        <f t="shared" si="0"/>
        <v>2329.8269342130434</v>
      </c>
      <c r="K116" s="99">
        <f t="shared" si="0"/>
        <v>1930.1486996293606</v>
      </c>
      <c r="L116" s="99">
        <f t="shared" si="0"/>
        <v>2246.7655504111758</v>
      </c>
      <c r="M116" s="99">
        <f t="shared" si="0"/>
        <v>2299.3278606911904</v>
      </c>
      <c r="N116" s="99">
        <f t="shared" si="0"/>
        <v>1787.8891880530182</v>
      </c>
      <c r="O116" s="99">
        <f t="shared" si="0"/>
        <v>2393.2567825049264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D109*pricing!D24*2000</f>
        <v>3283200</v>
      </c>
      <c r="E120" s="99">
        <f>E109*pricing!E24*2000</f>
        <v>3336562.989114963</v>
      </c>
      <c r="F120" s="99">
        <f>F109*pricing!F24*2000</f>
        <v>2751200</v>
      </c>
      <c r="G120" s="99">
        <f>G109*pricing!G24*2000</f>
        <v>2481947.0241348315</v>
      </c>
      <c r="H120" s="99">
        <f>H109*pricing!H24*2000</f>
        <v>2774252.6093081101</v>
      </c>
      <c r="I120" s="99">
        <f>I109*pricing!I24*2000</f>
        <v>2055815.5080668202</v>
      </c>
      <c r="J120" s="99">
        <f>J109*pricing!J24*2000</f>
        <v>2689188.2115882831</v>
      </c>
      <c r="K120" s="99">
        <f>K109*pricing!K24*2000</f>
        <v>2430205.9371408904</v>
      </c>
      <c r="L120" s="99">
        <f>L109*pricing!L24*2000</f>
        <v>2861843.0114507349</v>
      </c>
      <c r="M120" s="99">
        <f>M109*pricing!M24*2000</f>
        <v>2601620.0592483887</v>
      </c>
      <c r="N120" s="99">
        <f>N109*pricing!N24*2000</f>
        <v>1815701.723721378</v>
      </c>
      <c r="O120" s="99">
        <f>O109*pricing!O24*2000</f>
        <v>3078100.1559489486</v>
      </c>
    </row>
    <row r="121" spans="2:15">
      <c r="C121" s="98" t="s">
        <v>127</v>
      </c>
      <c r="D121" s="99">
        <f>D110*pricing!D25*2000</f>
        <v>5380800</v>
      </c>
      <c r="E121" s="99">
        <f>E110*pricing!E25*2000</f>
        <v>6588435.6071123546</v>
      </c>
      <c r="F121" s="99">
        <f>F110*pricing!F25*2000</f>
        <v>5266800</v>
      </c>
      <c r="G121" s="99">
        <f>G110*pricing!G25*2000</f>
        <v>4804344.0295225671</v>
      </c>
      <c r="H121" s="99">
        <f>H110*pricing!H25*2000</f>
        <v>5927985.9165213248</v>
      </c>
      <c r="I121" s="99">
        <f>I110*pricing!I25*2000</f>
        <v>3700115.0222237343</v>
      </c>
      <c r="J121" s="99">
        <f>J110*pricing!J25*2000</f>
        <v>5224682.8484422099</v>
      </c>
      <c r="K121" s="99">
        <f>K110*pricing!K25*2000</f>
        <v>4076249.8807295449</v>
      </c>
      <c r="L121" s="99">
        <f>L110*pricing!L25*2000</f>
        <v>5366121.8126698127</v>
      </c>
      <c r="M121" s="99">
        <f>M110*pricing!M25*2000</f>
        <v>5530639.3106782679</v>
      </c>
      <c r="N121" s="99">
        <f>N110*pricing!N25*2000</f>
        <v>3374905.1477617617</v>
      </c>
      <c r="O121" s="99">
        <f>O110*pricing!O25*2000</f>
        <v>5775659.7441080976</v>
      </c>
    </row>
    <row r="122" spans="2:15">
      <c r="C122" s="98" t="s">
        <v>128</v>
      </c>
      <c r="D122" s="99">
        <f>D111*pricing!D26*2000</f>
        <v>2774000</v>
      </c>
      <c r="E122" s="99">
        <f>E111*pricing!E26*2000</f>
        <v>2553860.7825839408</v>
      </c>
      <c r="F122" s="99">
        <f>F111*pricing!F26*2000</f>
        <v>2941200</v>
      </c>
      <c r="G122" s="99">
        <f>G111*pricing!G26*2000</f>
        <v>1877358.5582613091</v>
      </c>
      <c r="H122" s="99">
        <f>H111*pricing!H26*2000</f>
        <v>2387171.9114030041</v>
      </c>
      <c r="I122" s="99">
        <f>I111*pricing!I26*2000</f>
        <v>1426951.7807704036</v>
      </c>
      <c r="J122" s="99">
        <f>J111*pricing!J26*2000</f>
        <v>2199791.6806533132</v>
      </c>
      <c r="K122" s="99">
        <f>K111*pricing!K26*2000</f>
        <v>1641433.082995065</v>
      </c>
      <c r="L122" s="99">
        <f>L111*pricing!L26*2000</f>
        <v>1910947.8422089014</v>
      </c>
      <c r="M122" s="99">
        <f>M111*pricing!M26*2000</f>
        <v>2157418.220577063</v>
      </c>
      <c r="N122" s="99">
        <f>N111*pricing!N26*2000</f>
        <v>1534515.5261084395</v>
      </c>
      <c r="O122" s="99">
        <f>O111*pricing!O26*2000</f>
        <v>1900534.8940726593</v>
      </c>
    </row>
    <row r="123" spans="2:15">
      <c r="C123" s="98" t="s">
        <v>129</v>
      </c>
      <c r="D123" s="99">
        <f>D112*pricing!D27*2000</f>
        <v>3214799.9999999995</v>
      </c>
      <c r="E123" s="99">
        <f>E112*pricing!E27*2000</f>
        <v>3120168.1372182244</v>
      </c>
      <c r="F123" s="99">
        <f>F112*pricing!F27*2000</f>
        <v>3636123.0415280154</v>
      </c>
      <c r="G123" s="99">
        <f>G112*pricing!G27*2000</f>
        <v>2656133.0463371356</v>
      </c>
      <c r="H123" s="99">
        <f>H112*pricing!H27*2000</f>
        <v>3466594.063446797</v>
      </c>
      <c r="I123" s="99">
        <f>I112*pricing!I27*2000</f>
        <v>2410087.3940331521</v>
      </c>
      <c r="J123" s="99">
        <f>J112*pricing!J27*2000</f>
        <v>2986292.0686120475</v>
      </c>
      <c r="K123" s="99">
        <f>K112*pricing!K27*2000</f>
        <v>2306793.3007600852</v>
      </c>
      <c r="L123" s="99">
        <f>L112*pricing!L27*2000</f>
        <v>2394016.3015716448</v>
      </c>
      <c r="M123" s="99">
        <f>M112*pricing!M27*2000</f>
        <v>2650096.4034454334</v>
      </c>
      <c r="N123" s="99">
        <f>N112*pricing!N27*2000</f>
        <v>2385504.9228642643</v>
      </c>
      <c r="O123" s="99">
        <f>O112*pricing!O27*2000</f>
        <v>3154021.1439941111</v>
      </c>
    </row>
    <row r="124" spans="2:15">
      <c r="C124" s="98" t="s">
        <v>130</v>
      </c>
      <c r="D124" s="99">
        <f>D113*pricing!D28*2000</f>
        <v>2074799.9999999998</v>
      </c>
      <c r="E124" s="99">
        <f>E113*pricing!E28*2000</f>
        <v>2477600</v>
      </c>
      <c r="F124" s="99">
        <f>F113*pricing!F28*2000</f>
        <v>1923497.6953958361</v>
      </c>
      <c r="G124" s="99">
        <f>G113*pricing!G28*2000</f>
        <v>2169630.911447796</v>
      </c>
      <c r="H124" s="99">
        <f>H113*pricing!H28*2000</f>
        <v>2528499.6177834952</v>
      </c>
      <c r="I124" s="99">
        <f>I113*pricing!I28*2000</f>
        <v>2424400</v>
      </c>
      <c r="J124" s="99">
        <f>J113*pricing!J28*2000</f>
        <v>2378350.2464606892</v>
      </c>
      <c r="K124" s="99">
        <f>K113*pricing!K28*2000</f>
        <v>2173600</v>
      </c>
      <c r="L124" s="99">
        <f>L113*pricing!L28*2000</f>
        <v>2006399.9999999998</v>
      </c>
      <c r="M124" s="99">
        <f>M113*pricing!M28*2000</f>
        <v>2257200</v>
      </c>
      <c r="N124" s="99">
        <f>N113*pricing!N28*2000</f>
        <v>2363600</v>
      </c>
      <c r="O124" s="99">
        <f>O113*pricing!O28*2000</f>
        <v>2076356.2181761418</v>
      </c>
    </row>
    <row r="125" spans="2:15">
      <c r="C125" s="98" t="s">
        <v>131</v>
      </c>
      <c r="D125" s="99">
        <f>D114*pricing!D29*2000</f>
        <v>1406000</v>
      </c>
      <c r="E125" s="99">
        <f>E114*pricing!E29*2000</f>
        <v>519115.67019822099</v>
      </c>
      <c r="F125" s="99">
        <f>F114*pricing!F29*2000</f>
        <v>171507.53593324515</v>
      </c>
      <c r="G125" s="99">
        <f>G114*pricing!G29*2000</f>
        <v>691582.65285041975</v>
      </c>
      <c r="H125" s="99">
        <f>H114*pricing!H29*2000</f>
        <v>795626.92840979318</v>
      </c>
      <c r="I125" s="99">
        <f>I114*pricing!I29*2000</f>
        <v>721989.23229732818</v>
      </c>
      <c r="J125" s="99">
        <f>J114*pricing!J29*2000</f>
        <v>838449.51864525769</v>
      </c>
      <c r="K125" s="99">
        <f>K114*pricing!K29*2000</f>
        <v>621031.65173579589</v>
      </c>
      <c r="L125" s="99">
        <f>L114*pricing!L29*2000</f>
        <v>853049.10829899611</v>
      </c>
      <c r="M125" s="99">
        <f>M114*pricing!M29*2000</f>
        <v>780897.29792907159</v>
      </c>
      <c r="N125" s="99">
        <f>N114*pricing!N29*2000</f>
        <v>782530.60920085397</v>
      </c>
      <c r="O125" s="99">
        <f>O114*pricing!O29*2000</f>
        <v>724025.14661853027</v>
      </c>
    </row>
    <row r="126" spans="2:15">
      <c r="C126" s="98" t="s">
        <v>132</v>
      </c>
      <c r="D126" s="99">
        <f>D115*pricing!D30*2000</f>
        <v>2401600</v>
      </c>
      <c r="E126" s="99">
        <f>E115*pricing!E30*2000</f>
        <v>1563569.6572517345</v>
      </c>
      <c r="F126" s="99">
        <f>F115*pricing!F30*2000</f>
        <v>362663.16133002273</v>
      </c>
      <c r="G126" s="99">
        <f>G115*pricing!G30*2000</f>
        <v>1459036.452959449</v>
      </c>
      <c r="H126" s="99">
        <f>H115*pricing!H30*2000</f>
        <v>1479631.1781877605</v>
      </c>
      <c r="I126" s="99">
        <f>I115*pricing!I30*2000</f>
        <v>1586358.4003174165</v>
      </c>
      <c r="J126" s="99">
        <f>J115*pricing!J30*2000</f>
        <v>1389930.1256173297</v>
      </c>
      <c r="K126" s="99">
        <f>K115*pricing!K30*2000</f>
        <v>1419816.26382176</v>
      </c>
      <c r="L126" s="99">
        <f>L115*pricing!L30*2000</f>
        <v>1683040.1069248451</v>
      </c>
      <c r="M126" s="99">
        <f>M115*pricing!M30*2000</f>
        <v>1497020.449374821</v>
      </c>
      <c r="N126" s="99">
        <f>N115*pricing!N30*2000</f>
        <v>1331199.8995462416</v>
      </c>
      <c r="O126" s="99">
        <f>O115*pricing!O30*2000</f>
        <v>1480054.2441189522</v>
      </c>
    </row>
    <row r="127" spans="2:15">
      <c r="C127" s="98" t="s">
        <v>278</v>
      </c>
      <c r="D127" s="99">
        <f t="shared" ref="D127:O127" si="1">SUM(D$120:D$126)</f>
        <v>20535200</v>
      </c>
      <c r="E127" s="99">
        <f t="shared" si="1"/>
        <v>20159312.84347944</v>
      </c>
      <c r="F127" s="99">
        <f t="shared" si="1"/>
        <v>17052991.434187122</v>
      </c>
      <c r="G127" s="99">
        <f t="shared" si="1"/>
        <v>16140032.675513506</v>
      </c>
      <c r="H127" s="99">
        <f t="shared" si="1"/>
        <v>19359762.225060284</v>
      </c>
      <c r="I127" s="99">
        <f t="shared" si="1"/>
        <v>14325717.337708853</v>
      </c>
      <c r="J127" s="99">
        <f t="shared" si="1"/>
        <v>17706684.700019129</v>
      </c>
      <c r="K127" s="99">
        <f t="shared" si="1"/>
        <v>14669130.117183141</v>
      </c>
      <c r="L127" s="99">
        <f t="shared" si="1"/>
        <v>17075418.183124937</v>
      </c>
      <c r="M127" s="99">
        <f t="shared" si="1"/>
        <v>17474891.741253044</v>
      </c>
      <c r="N127" s="99">
        <f t="shared" si="1"/>
        <v>13587957.829202939</v>
      </c>
      <c r="O127" s="99">
        <f t="shared" si="1"/>
        <v>18188751.547037441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218141.99999999997</v>
      </c>
      <c r="E131" s="105">
        <f>SUM(M$6:M$19)+SUM(O$6:O$19)+SUM(Q$6:Q$19)+SUM(S$6:S$19)</f>
        <v>221275.67300248751</v>
      </c>
      <c r="F131" s="105">
        <f>SUM(U$6:U$19)+SUM(W$6:W$19)+SUM(Y$6:Y$19)+SUM(AA$6:AA$19)</f>
        <v>183901.2</v>
      </c>
      <c r="G131" s="105">
        <f>SUM(AC$6:AC$19)+SUM(AE$6:AE$19)+SUM(AG$6:AG$19)+SUM(AI$6:AI$19)</f>
        <v>164410.17252235848</v>
      </c>
      <c r="H131" s="105">
        <f>SUM(AK$6:AK$19)+SUM(AM$6:AM$19)+SUM(AO$6:AO$19)+SUM(AQ$6:AQ$19)</f>
        <v>183915.02457702413</v>
      </c>
      <c r="I131" s="105">
        <f>SUM(AS$6:AS$19)+SUM(AU$6:AU$19)+SUM(AW$6:AW$19)+SUM(AY$6:AY$19)</f>
        <v>136307.76168114206</v>
      </c>
      <c r="J131" s="105">
        <f>SUM(BA$6:BA$19)+SUM(BC$6:BC$19)+SUM(BE$6:BE$19)+SUM(BG$6:BG$19)</f>
        <v>178581.43816125582</v>
      </c>
      <c r="K131" s="105">
        <f>SUM(BI$6:BI$19)+SUM(BK$6:BK$19)+SUM(BM$6:BM$19)+SUM(BO$6:BO$19)</f>
        <v>161086.326604092</v>
      </c>
      <c r="L131" s="105">
        <f>SUM(BQ$6:BQ$19)+SUM(BS$6:BS$19)+SUM(BU$6:BU$19)+SUM(BW$6:BW$19)</f>
        <v>190265.2326321048</v>
      </c>
      <c r="M131" s="105">
        <f>SUM(BY$6:BY$19)+SUM(CA$6:CA$19)+SUM(CC$6:CC$19)+SUM(CE$6:CE$19)</f>
        <v>172188.89063489428</v>
      </c>
      <c r="N131" s="105">
        <f>SUM(CG$6:CG$19)+SUM(CI$6:CI$19)+SUM(CK$6:CK$19)+SUM(CM$6:CM$19)</f>
        <v>121143.1178865851</v>
      </c>
      <c r="O131" s="105">
        <f>SUM(CO$6:CO$19)+SUM(CQ$6:CQ$19)+SUM(CS$6:CS$19)+SUM(CU$6:CU$19)</f>
        <v>203621.73694028507</v>
      </c>
    </row>
    <row r="132" spans="2:15">
      <c r="C132" s="104" t="s">
        <v>127</v>
      </c>
      <c r="D132" s="105">
        <f>SUM(E$20:E$36)+SUM(G$20:G$36)+SUM(I$20:I$36)+SUM(K$20:K$36)</f>
        <v>302275.19999999995</v>
      </c>
      <c r="E132" s="105">
        <f>SUM(M$20:M$36)+SUM(O$20:O$36)+SUM(Q$20:Q$36)+SUM(S$20:S$36)</f>
        <v>371221.03135779861</v>
      </c>
      <c r="F132" s="105">
        <f>SUM(U$20:U$36)+SUM(W$20:W$36)+SUM(Y$20:Y$36)+SUM(AA$20:AA$36)</f>
        <v>297663.59999999998</v>
      </c>
      <c r="G132" s="105">
        <f>SUM(AC$20:AC$36)+SUM(AE$20:AE$36)+SUM(AG$20:AG$36)+SUM(AI$20:AI$36)</f>
        <v>268957.62190313655</v>
      </c>
      <c r="H132" s="105">
        <f>SUM(AK$20:AK$36)+SUM(AM$20:AM$36)+SUM(AO$20:AO$36)+SUM(AQ$20:AQ$36)</f>
        <v>337628.22661180299</v>
      </c>
      <c r="I132" s="105">
        <f>SUM(AS$20:AS$36)+SUM(AU$20:AU$36)+SUM(AW$20:AW$36)+SUM(AY$20:AY$36)</f>
        <v>208520.53528844158</v>
      </c>
      <c r="J132" s="105">
        <f>SUM(BA$20:BA$36)+SUM(BC$20:BC$36)+SUM(BE$20:BE$36)+SUM(BG$20:BG$36)</f>
        <v>294929.90130285994</v>
      </c>
      <c r="K132" s="105">
        <f>SUM(BI$20:BI$36)+SUM(BK$20:BK$36)+SUM(BM$20:BM$36)+SUM(BO$20:BO$36)</f>
        <v>232316.5586707647</v>
      </c>
      <c r="L132" s="105">
        <f>SUM(BQ$20:BQ$36)+SUM(BS$20:BS$36)+SUM(BU$20:BU$36)+SUM(BW$20:BW$36)</f>
        <v>301997.9345875401</v>
      </c>
      <c r="M132" s="105">
        <f>SUM(BY$20:BY$36)+SUM(CA$20:CA$36)+SUM(CC$20:CC$36)+SUM(CE$20:CE$36)</f>
        <v>311245.85550823633</v>
      </c>
      <c r="N132" s="105">
        <f>SUM(CG$20:CG$36)+SUM(CI$20:CI$36)+SUM(CK$20:CK$36)+SUM(CM$20:CM$36)</f>
        <v>189315.9789081132</v>
      </c>
      <c r="O132" s="105">
        <f>SUM(CO$20:CO$36)+SUM(CQ$20:CQ$36)+SUM(CS$20:CS$36)+SUM(CU$20:CU$36)</f>
        <v>324529.15451006498</v>
      </c>
    </row>
    <row r="133" spans="2:15">
      <c r="C133" s="104" t="s">
        <v>128</v>
      </c>
      <c r="D133" s="105">
        <f>SUM(E$37:E$48)+SUM(G$37:G$48)+SUM(I$37:I$48)+SUM(K$37:K$48)</f>
        <v>383536.80000000005</v>
      </c>
      <c r="E133" s="105">
        <f>SUM(M$37:M$48)+SUM(O$37:O$48)+SUM(Q$37:Q$48)+SUM(S$37:S$48)</f>
        <v>353771.24787089438</v>
      </c>
      <c r="F133" s="105">
        <f>SUM(U$37:U$48)+SUM(W$37:W$48)+SUM(Y$37:Y$48)+SUM(AA$37:AA$48)</f>
        <v>406522.8</v>
      </c>
      <c r="G133" s="105">
        <f>SUM(AC$37:AC$48)+SUM(AE$37:AE$48)+SUM(AG$37:AG$48)+SUM(AI$37:AI$48)</f>
        <v>260802.08529382115</v>
      </c>
      <c r="H133" s="105">
        <f>SUM(AK$37:AK$48)+SUM(AM$37:AM$48)+SUM(AO$37:AO$48)+SUM(AQ$37:AQ$48)</f>
        <v>329858.63015110057</v>
      </c>
      <c r="I133" s="105">
        <f>SUM(AS$37:AS$48)+SUM(AU$37:AU$48)+SUM(AW$37:AW$48)+SUM(AY$37:AY$48)</f>
        <v>197926.38993615162</v>
      </c>
      <c r="J133" s="105">
        <f>SUM(BA$37:BA$48)+SUM(BC$37:BC$48)+SUM(BE$37:BE$48)+SUM(BG$37:BG$48)</f>
        <v>304266.42801889312</v>
      </c>
      <c r="K133" s="105">
        <f>SUM(BI$37:BI$48)+SUM(BK$37:BK$48)+SUM(BM$37:BM$48)+SUM(BO$37:BO$48)</f>
        <v>225806.24351353344</v>
      </c>
      <c r="L133" s="105">
        <f>SUM(BQ$37:BQ$48)+SUM(BS$37:BS$48)+SUM(BU$37:BU$48)+SUM(BW$37:BW$48)</f>
        <v>263718.11892709398</v>
      </c>
      <c r="M133" s="105">
        <f>SUM(BY$37:BY$48)+SUM(CA$37:CA$48)+SUM(CC$37:CC$48)+SUM(CE$37:CE$48)</f>
        <v>298670.91401613178</v>
      </c>
      <c r="N133" s="105">
        <f>SUM(CG$37:CG$48)+SUM(CI$37:CI$48)+SUM(CK$37:CK$48)+SUM(CM$37:CM$48)</f>
        <v>211393.30585501652</v>
      </c>
      <c r="O133" s="105">
        <f>SUM(CO$37:CO$48)+SUM(CQ$37:CQ$48)+SUM(CS$37:CS$48)+SUM(CU$37:CU$48)</f>
        <v>262160.04826466611</v>
      </c>
    </row>
    <row r="134" spans="2:15">
      <c r="C134" s="104" t="s">
        <v>129</v>
      </c>
      <c r="D134" s="105">
        <f>SUM(E$49:E$70)+SUM(G$49:G$70)+SUM(I$49:I$70)+SUM(K$49:K$70)</f>
        <v>356438.4</v>
      </c>
      <c r="E134" s="105">
        <f>SUM(M$49:M$70)+SUM(O$49:O$70)+SUM(Q$49:Q$70)+SUM(S$49:S$70)</f>
        <v>336723.04634147137</v>
      </c>
      <c r="F134" s="105">
        <f>SUM(U$49:U$70)+SUM(W$49:W$70)+SUM(Y$49:Y$70)+SUM(AA$49:AA$70)</f>
        <v>385857.15396041266</v>
      </c>
      <c r="G134" s="105">
        <f>SUM(AC$49:AC$70)+SUM(AE$49:AE$70)+SUM(AG$49:AG$70)+SUM(AI$49:AI$70)</f>
        <v>292681.30910350743</v>
      </c>
      <c r="H134" s="105">
        <f>SUM(AK$49:AK$70)+SUM(AM$49:AM$70)+SUM(AO$49:AO$70)+SUM(AQ$49:AQ$70)</f>
        <v>376021.1058842708</v>
      </c>
      <c r="I134" s="105">
        <f>SUM(AS$49:AS$70)+SUM(AU$49:AU$70)+SUM(AW$49:AW$70)+SUM(AY$49:AY$70)</f>
        <v>270404.9145868381</v>
      </c>
      <c r="J134" s="105">
        <f>SUM(BA$49:BA$70)+SUM(BC$49:BC$70)+SUM(BE$49:BE$70)+SUM(BG$49:BG$70)</f>
        <v>327278.74846762384</v>
      </c>
      <c r="K134" s="105">
        <f>SUM(BI$49:BI$70)+SUM(BK$49:BK$70)+SUM(BM$49:BM$70)+SUM(BO$49:BO$70)</f>
        <v>257075.63195528396</v>
      </c>
      <c r="L134" s="105">
        <f>SUM(BQ$49:BQ$70)+SUM(BS$49:BS$70)+SUM(BU$49:BU$70)+SUM(BW$49:BW$70)</f>
        <v>264182.57027971861</v>
      </c>
      <c r="M134" s="105">
        <f>SUM(BY$49:BY$70)+SUM(CA$49:CA$70)+SUM(CC$49:CC$70)+SUM(CE$49:CE$70)</f>
        <v>291131.51439788763</v>
      </c>
      <c r="N134" s="105">
        <f>SUM(CG$49:CG$70)+SUM(CI$49:CI$70)+SUM(CK$49:CK$70)+SUM(CM$49:CM$70)</f>
        <v>270319.10880659003</v>
      </c>
      <c r="O134" s="105">
        <f>SUM(CO$49:CO$70)+SUM(CQ$49:CQ$70)+SUM(CS$49:CS$70)+SUM(CU$49:CU$70)</f>
        <v>344566.11799533089</v>
      </c>
    </row>
    <row r="135" spans="2:15">
      <c r="C135" s="104" t="s">
        <v>130</v>
      </c>
      <c r="D135" s="105">
        <f>SUM(E$71:E$86)+SUM(G$71:G$86)+SUM(I$71:I$86)+SUM(K$71:K$86)</f>
        <v>153331.19999999998</v>
      </c>
      <c r="E135" s="105">
        <f>SUM(M$71:M$86)+SUM(O$71:O$86)+SUM(Q$71:Q$86)+SUM(S$71:S$86)</f>
        <v>182721.60000000003</v>
      </c>
      <c r="F135" s="105">
        <f>SUM(U$71:U$86)+SUM(W$71:W$86)+SUM(Y$71:Y$86)+SUM(AA$71:AA$86)</f>
        <v>140113.20702728871</v>
      </c>
      <c r="G135" s="105">
        <f>SUM(AC$71:AC$86)+SUM(AE$71:AE$86)+SUM(AG$71:AG$86)+SUM(AI$71:AI$86)</f>
        <v>160292.19055522882</v>
      </c>
      <c r="H135" s="105">
        <f>SUM(AK$71:AK$86)+SUM(AM$71:AM$86)+SUM(AO$71:AO$86)+SUM(AQ$71:AQ$86)</f>
        <v>186272.14899922488</v>
      </c>
      <c r="I135" s="105">
        <f>SUM(AS$71:AS$86)+SUM(AU$71:AU$86)+SUM(AW$71:AW$86)+SUM(AY$71:AY$86)</f>
        <v>177909.6</v>
      </c>
      <c r="J135" s="105">
        <f>SUM(BA$71:BA$86)+SUM(BC$71:BC$86)+SUM(BE$71:BE$86)+SUM(BG$71:BG$86)</f>
        <v>174901.64665247436</v>
      </c>
      <c r="K135" s="105">
        <f>SUM(BI$71:BI$86)+SUM(BK$71:BK$86)+SUM(BM$71:BM$86)+SUM(BO$71:BO$86)</f>
        <v>160647.6</v>
      </c>
      <c r="L135" s="105">
        <f>SUM(BQ$71:BQ$86)+SUM(BS$71:BS$86)+SUM(BU$71:BU$86)+SUM(BW$71:BW$86)</f>
        <v>146967.6</v>
      </c>
      <c r="M135" s="105">
        <f>SUM(BY$71:BY$86)+SUM(CA$71:CA$86)+SUM(CC$71:CC$86)+SUM(CE$71:CE$86)</f>
        <v>166102.79999999999</v>
      </c>
      <c r="N135" s="105">
        <f>SUM(CG$71:CG$86)+SUM(CI$71:CI$86)+SUM(CK$71:CK$86)+SUM(CM$71:CM$86)</f>
        <v>174955.19999999998</v>
      </c>
      <c r="O135" s="105">
        <f>SUM(CO$71:CO$86)+SUM(CQ$71:CQ$86)+SUM(CS$71:CS$86)+SUM(CU$71:CU$86)</f>
        <v>153373.79449446287</v>
      </c>
    </row>
    <row r="136" spans="2:15">
      <c r="C136" s="104" t="s">
        <v>131</v>
      </c>
      <c r="D136" s="105">
        <f>SUM(E$87:E$94)+SUM(G$87:G$94)+SUM(I$87:I$94)+SUM(K$87:K$94)</f>
        <v>186092.39999999997</v>
      </c>
      <c r="E136" s="105">
        <f>SUM(M$87:M$94)+SUM(O$87:O$94)+SUM(Q$87:Q$94)+SUM(S$87:S$94)</f>
        <v>68730.096915785936</v>
      </c>
      <c r="F136" s="105">
        <f>SUM(U$87:U$94)+SUM(W$87:W$94)+SUM(Y$87:Y$94)+SUM(AA$87:AA$94)</f>
        <v>22684.619686795515</v>
      </c>
      <c r="G136" s="105">
        <f>SUM(AC$87:AC$94)+SUM(AE$87:AE$94)+SUM(AG$87:AG$94)+SUM(AI$87:AI$94)</f>
        <v>91211.412648975282</v>
      </c>
      <c r="H136" s="105">
        <f>SUM(AK$87:AK$94)+SUM(AM$87:AM$94)+SUM(AO$87:AO$94)+SUM(AQ$87:AQ$94)</f>
        <v>105367.82742524377</v>
      </c>
      <c r="I136" s="105">
        <f>SUM(AS$87:AS$94)+SUM(AU$87:AU$94)+SUM(AW$87:AW$94)+SUM(AY$87:AY$94)</f>
        <v>96017.968236590386</v>
      </c>
      <c r="J136" s="105">
        <f>SUM(BA$87:BA$94)+SUM(BC$87:BC$94)+SUM(BE$87:BE$94)+SUM(BG$87:BG$94)</f>
        <v>111196.0741733235</v>
      </c>
      <c r="K136" s="105">
        <f>SUM(BI$87:BI$94)+SUM(BK$87:BK$94)+SUM(BM$87:BM$94)+SUM(BO$87:BO$94)</f>
        <v>82294.941773105253</v>
      </c>
      <c r="L136" s="105">
        <f>SUM(BQ$87:BQ$94)+SUM(BS$87:BS$94)+SUM(BU$87:BU$94)+SUM(BW$87:BW$94)</f>
        <v>112781.83825096693</v>
      </c>
      <c r="M136" s="105">
        <f>SUM(BY$87:BY$94)+SUM(CA$87:CA$94)+SUM(CC$87:CC$94)+SUM(CE$87:CE$94)</f>
        <v>103119.90235906804</v>
      </c>
      <c r="N136" s="105">
        <f>SUM(CG$87:CG$94)+SUM(CI$87:CI$94)+SUM(CK$87:CK$94)+SUM(CM$87:CM$94)</f>
        <v>103594.1224524306</v>
      </c>
      <c r="O136" s="105">
        <f>SUM(CO$87:CO$94)+SUM(CQ$87:CQ$94)+SUM(CS$87:CS$94)+SUM(CU$87:CU$94)</f>
        <v>95476.291300304554</v>
      </c>
    </row>
    <row r="137" spans="2:15">
      <c r="C137" s="104" t="s">
        <v>132</v>
      </c>
      <c r="D137" s="105">
        <f>SUM(E$95:E$105)+SUM(G$95:G$105)+SUM(I$95:I$105)+SUM(K$95:K$105)</f>
        <v>252219.59999999998</v>
      </c>
      <c r="E137" s="105">
        <f>SUM(M$95:M$105)+SUM(O$95:O$105)+SUM(Q$95:Q$105)+SUM(S$95:S$105)</f>
        <v>164598.92539770386</v>
      </c>
      <c r="F137" s="105">
        <f>SUM(U$95:U$105)+SUM(W$95:W$105)+SUM(Y$95:Y$105)+SUM(AA$95:AA$105)</f>
        <v>37850.950386402023</v>
      </c>
      <c r="G137" s="105">
        <f>SUM(AC$95:AC$105)+SUM(AE$95:AE$105)+SUM(AG$95:AG$105)+SUM(AI$95:AI$105)</f>
        <v>154238.49929489291</v>
      </c>
      <c r="H137" s="105">
        <f>SUM(AK$95:AK$105)+SUM(AM$95:AM$105)+SUM(AO$95:AO$105)+SUM(AQ$95:AQ$105)</f>
        <v>155700.57380344422</v>
      </c>
      <c r="I137" s="105">
        <f>SUM(AS$95:AS$105)+SUM(AU$95:AU$105)+SUM(AW$95:AW$105)+SUM(AY$95:AY$105)</f>
        <v>170945.95034049926</v>
      </c>
      <c r="J137" s="105">
        <f>SUM(BA$95:BA$105)+SUM(BC$95:BC$105)+SUM(BE$95:BE$105)+SUM(BG$95:BG$105)</f>
        <v>145427.04619975717</v>
      </c>
      <c r="K137" s="105">
        <f>SUM(BI$95:BI$105)+SUM(BK$95:BK$105)+SUM(BM$95:BM$105)+SUM(BO$95:BO$105)</f>
        <v>152441.00250485912</v>
      </c>
      <c r="L137" s="105">
        <f>SUM(BQ$95:BQ$105)+SUM(BS$95:BS$105)+SUM(BU$95:BU$105)+SUM(BW$95:BW$105)</f>
        <v>180649.61694209944</v>
      </c>
      <c r="M137" s="105">
        <f>SUM(BY$95:BY$105)+SUM(CA$95:CA$105)+SUM(CC$95:CC$105)+SUM(CE$95:CE$105)</f>
        <v>157459.98391365202</v>
      </c>
      <c r="N137" s="105">
        <f>SUM(CG$95:CG$105)+SUM(CI$95:CI$105)+SUM(CK$95:CK$105)+SUM(CM$95:CM$105)</f>
        <v>140560.31275750307</v>
      </c>
      <c r="O137" s="105">
        <f>SUM(CO$95:CO$105)+SUM(CQ$95:CQ$105)+SUM(CS$95:CS$105)+SUM(CU$95:CU$105)</f>
        <v>159754.49448074118</v>
      </c>
    </row>
    <row r="138" spans="2:15">
      <c r="C138" s="104" t="s">
        <v>278</v>
      </c>
      <c r="D138" s="99">
        <f t="shared" ref="D138:O138" si="2">SUM(D$131:D$137)</f>
        <v>1852035.5999999996</v>
      </c>
      <c r="E138" s="99">
        <f t="shared" si="2"/>
        <v>1699041.6208861417</v>
      </c>
      <c r="F138" s="99">
        <f t="shared" si="2"/>
        <v>1474593.5310608989</v>
      </c>
      <c r="G138" s="99">
        <f t="shared" si="2"/>
        <v>1392593.2913219207</v>
      </c>
      <c r="H138" s="99">
        <f t="shared" si="2"/>
        <v>1674763.5374521113</v>
      </c>
      <c r="I138" s="99">
        <f t="shared" si="2"/>
        <v>1258033.1200696628</v>
      </c>
      <c r="J138" s="99">
        <f t="shared" si="2"/>
        <v>1536581.2829761878</v>
      </c>
      <c r="K138" s="99">
        <f t="shared" si="2"/>
        <v>1271668.3050216385</v>
      </c>
      <c r="L138" s="99">
        <f t="shared" si="2"/>
        <v>1460562.911619524</v>
      </c>
      <c r="M138" s="99">
        <f t="shared" si="2"/>
        <v>1499919.8608298702</v>
      </c>
      <c r="N138" s="99">
        <f t="shared" si="2"/>
        <v>1211281.1466662383</v>
      </c>
      <c r="O138" s="99">
        <f t="shared" si="2"/>
        <v>1543481.6379858556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1" spans="1:99">
      <c r="A1" s="100"/>
    </row>
    <row r="2" spans="1:99">
      <c r="B2" s="101" t="s">
        <v>272</v>
      </c>
    </row>
    <row r="3" spans="1:99">
      <c r="B3" s="102" t="s">
        <v>273</v>
      </c>
    </row>
    <row r="4" spans="1:99">
      <c r="A4" s="100"/>
      <c r="B4" s="100"/>
      <c r="C4" s="98" t="s">
        <v>274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167</v>
      </c>
      <c r="C5" s="98" t="s">
        <v>275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172</v>
      </c>
      <c r="D6" s="99">
        <v>6</v>
      </c>
      <c r="E6" s="99">
        <v>3470.3999999999996</v>
      </c>
      <c r="F6" s="99">
        <v>6.5160814934059639</v>
      </c>
      <c r="G6" s="99">
        <v>3768.9015357860094</v>
      </c>
      <c r="H6" s="99">
        <v>7.5697906164209288</v>
      </c>
      <c r="I6" s="99">
        <v>4378.3668925378652</v>
      </c>
      <c r="J6" s="99">
        <v>8</v>
      </c>
      <c r="K6" s="99">
        <v>4627.2</v>
      </c>
      <c r="L6" s="99">
        <v>5.2862791270178109</v>
      </c>
      <c r="M6" s="99">
        <v>3057.5838470671015</v>
      </c>
      <c r="N6" s="99">
        <v>5</v>
      </c>
      <c r="O6" s="99">
        <v>2892</v>
      </c>
      <c r="P6" s="99">
        <v>8</v>
      </c>
      <c r="Q6" s="99">
        <v>4627.2</v>
      </c>
      <c r="R6" s="99">
        <v>5</v>
      </c>
      <c r="S6" s="99">
        <v>2892</v>
      </c>
      <c r="T6" s="99">
        <v>6.1437570684464671</v>
      </c>
      <c r="U6" s="99">
        <v>3553.5490883894363</v>
      </c>
      <c r="V6" s="99">
        <v>5</v>
      </c>
      <c r="W6" s="99">
        <v>2892</v>
      </c>
      <c r="X6" s="99">
        <v>8</v>
      </c>
      <c r="Y6" s="99">
        <v>4627.2</v>
      </c>
      <c r="Z6" s="99">
        <v>9</v>
      </c>
      <c r="AA6" s="99">
        <v>5205.5999999999995</v>
      </c>
      <c r="AB6" s="99">
        <v>3.6700716537558984</v>
      </c>
      <c r="AC6" s="99">
        <v>2122.7694445324114</v>
      </c>
      <c r="AD6" s="99">
        <v>5.237597864266367</v>
      </c>
      <c r="AE6" s="99">
        <v>3029.4266046916664</v>
      </c>
      <c r="AF6" s="99">
        <v>8.4458385138500773</v>
      </c>
      <c r="AG6" s="99">
        <v>4885.0729964108841</v>
      </c>
      <c r="AH6" s="99">
        <v>5.8898641505285809</v>
      </c>
      <c r="AI6" s="99">
        <v>3406.697424665731</v>
      </c>
      <c r="AJ6" s="99">
        <v>6.5288276431587207</v>
      </c>
      <c r="AK6" s="99">
        <v>3776.2739088030039</v>
      </c>
      <c r="AL6" s="99">
        <v>6</v>
      </c>
      <c r="AM6" s="99">
        <v>3470.3999999999996</v>
      </c>
      <c r="AN6" s="99">
        <v>8</v>
      </c>
      <c r="AO6" s="99">
        <v>4627.2</v>
      </c>
      <c r="AP6" s="99">
        <v>5</v>
      </c>
      <c r="AQ6" s="99">
        <v>2892</v>
      </c>
      <c r="AR6" s="99">
        <v>3.9481535279773539</v>
      </c>
      <c r="AS6" s="99">
        <v>2283.6120005821012</v>
      </c>
      <c r="AT6" s="99">
        <v>6.2008235153432256</v>
      </c>
      <c r="AU6" s="99">
        <v>3586.5563212745215</v>
      </c>
      <c r="AV6" s="99">
        <v>8.6626857679697267</v>
      </c>
      <c r="AW6" s="99">
        <v>5010.4974481936897</v>
      </c>
      <c r="AX6" s="99">
        <v>9.125011118226741</v>
      </c>
      <c r="AY6" s="99">
        <v>5277.9064307823464</v>
      </c>
      <c r="AZ6" s="99">
        <v>5.2356718462402041</v>
      </c>
      <c r="BA6" s="99">
        <v>3028.3125958653341</v>
      </c>
      <c r="BB6" s="99">
        <v>4.8665333456790378</v>
      </c>
      <c r="BC6" s="99">
        <v>2814.8028871407555</v>
      </c>
      <c r="BD6" s="99">
        <v>11.049995100159544</v>
      </c>
      <c r="BE6" s="99">
        <v>6391.3171659322797</v>
      </c>
      <c r="BF6" s="99">
        <v>3.5182927521614906</v>
      </c>
      <c r="BG6" s="99">
        <v>2034.980527850206</v>
      </c>
      <c r="BH6" s="99">
        <v>3.198290704700701</v>
      </c>
      <c r="BI6" s="99">
        <v>1849.8913435988854</v>
      </c>
      <c r="BJ6" s="99">
        <v>11.227245151851307</v>
      </c>
      <c r="BK6" s="99">
        <v>6493.8385958307954</v>
      </c>
      <c r="BL6" s="99">
        <v>8</v>
      </c>
      <c r="BM6" s="99">
        <v>4627.2</v>
      </c>
      <c r="BN6" s="99">
        <v>9</v>
      </c>
      <c r="BO6" s="99">
        <v>5205.5999999999995</v>
      </c>
      <c r="BP6" s="99">
        <v>6.4436879578611235</v>
      </c>
      <c r="BQ6" s="99">
        <v>3727.0291148268739</v>
      </c>
      <c r="BR6" s="99">
        <v>3.3376330488221377</v>
      </c>
      <c r="BS6" s="99">
        <v>1930.4869554387244</v>
      </c>
      <c r="BT6" s="99">
        <v>9.0458415168453037</v>
      </c>
      <c r="BU6" s="99">
        <v>5232.1147333433237</v>
      </c>
      <c r="BV6" s="99">
        <v>10.085177250257162</v>
      </c>
      <c r="BW6" s="99">
        <v>5833.2665215487423</v>
      </c>
      <c r="BX6" s="99">
        <v>7.9839106672950546</v>
      </c>
      <c r="BY6" s="99">
        <v>4617.8939299634594</v>
      </c>
      <c r="BZ6" s="99">
        <v>10.297686346518082</v>
      </c>
      <c r="CA6" s="99">
        <v>5956.1817828260582</v>
      </c>
      <c r="CB6" s="99">
        <v>10</v>
      </c>
      <c r="CC6" s="99">
        <v>5784</v>
      </c>
      <c r="CD6" s="99">
        <v>6.9854017945023772</v>
      </c>
      <c r="CE6" s="99">
        <v>4040.3563979401747</v>
      </c>
      <c r="CF6" s="99">
        <v>7.4807635949407745</v>
      </c>
      <c r="CG6" s="99">
        <v>4326.8736633137441</v>
      </c>
      <c r="CH6" s="99">
        <v>2.9201977310974541</v>
      </c>
      <c r="CI6" s="99">
        <v>1689.0423676667674</v>
      </c>
      <c r="CJ6" s="99">
        <v>6.5667422537883589</v>
      </c>
      <c r="CK6" s="99">
        <v>3798.2037195911867</v>
      </c>
      <c r="CL6" s="99">
        <v>12.317277935352571</v>
      </c>
      <c r="CM6" s="99">
        <v>7124.3135578079273</v>
      </c>
      <c r="CN6" s="99">
        <v>10</v>
      </c>
      <c r="CO6" s="99">
        <v>5784</v>
      </c>
      <c r="CP6" s="99">
        <v>4.7775444382982322</v>
      </c>
      <c r="CQ6" s="99">
        <v>2763.3317031116972</v>
      </c>
      <c r="CR6" s="99">
        <v>7.8704849365122627</v>
      </c>
      <c r="CS6" s="99">
        <v>4552.2884872786926</v>
      </c>
      <c r="CT6" s="99">
        <v>9.8405738573450527</v>
      </c>
      <c r="CU6" s="99">
        <v>5691.7879190883787</v>
      </c>
    </row>
    <row r="7" spans="1:99">
      <c r="C7" s="98" t="s">
        <v>173</v>
      </c>
      <c r="D7" s="99">
        <v>5</v>
      </c>
      <c r="E7" s="99">
        <v>3942</v>
      </c>
      <c r="F7" s="99">
        <v>5.7015713067302185</v>
      </c>
      <c r="G7" s="99">
        <v>4495.1188182261039</v>
      </c>
      <c r="H7" s="99">
        <v>8.5160144434735461</v>
      </c>
      <c r="I7" s="99">
        <v>6714.0257872345437</v>
      </c>
      <c r="J7" s="99">
        <v>8</v>
      </c>
      <c r="K7" s="99">
        <v>6307.2</v>
      </c>
      <c r="L7" s="99">
        <v>5.2862791270178109</v>
      </c>
      <c r="M7" s="99">
        <v>4167.7024637408422</v>
      </c>
      <c r="N7" s="99">
        <v>5</v>
      </c>
      <c r="O7" s="99">
        <v>3942</v>
      </c>
      <c r="P7" s="99">
        <v>8</v>
      </c>
      <c r="Q7" s="99">
        <v>6307.2</v>
      </c>
      <c r="R7" s="99">
        <v>5</v>
      </c>
      <c r="S7" s="99">
        <v>3942</v>
      </c>
      <c r="T7" s="99">
        <v>6.9117267020022757</v>
      </c>
      <c r="U7" s="99">
        <v>5449.205331858594</v>
      </c>
      <c r="V7" s="99">
        <v>5</v>
      </c>
      <c r="W7" s="99">
        <v>3942</v>
      </c>
      <c r="X7" s="99">
        <v>8</v>
      </c>
      <c r="Y7" s="99">
        <v>6307.2</v>
      </c>
      <c r="Z7" s="99">
        <v>8</v>
      </c>
      <c r="AA7" s="99">
        <v>6307.2</v>
      </c>
      <c r="AB7" s="99">
        <v>3.6700716537558984</v>
      </c>
      <c r="AC7" s="99">
        <v>2893.4844918211502</v>
      </c>
      <c r="AD7" s="99">
        <v>5.1633593014783825</v>
      </c>
      <c r="AE7" s="99">
        <v>4070.7924732855568</v>
      </c>
      <c r="AF7" s="99">
        <v>8.2854649630932915</v>
      </c>
      <c r="AG7" s="99">
        <v>6532.2605769027505</v>
      </c>
      <c r="AH7" s="99">
        <v>6.7449339661569763</v>
      </c>
      <c r="AI7" s="99">
        <v>5317.7059389181595</v>
      </c>
      <c r="AJ7" s="99">
        <v>7.4406897026322678</v>
      </c>
      <c r="AK7" s="99">
        <v>5866.23976155528</v>
      </c>
      <c r="AL7" s="99">
        <v>6</v>
      </c>
      <c r="AM7" s="99">
        <v>4730.3999999999996</v>
      </c>
      <c r="AN7" s="99">
        <v>8</v>
      </c>
      <c r="AO7" s="99">
        <v>6307.2</v>
      </c>
      <c r="AP7" s="99">
        <v>6</v>
      </c>
      <c r="AQ7" s="99">
        <v>4730.3999999999996</v>
      </c>
      <c r="AR7" s="99">
        <v>3.9579032620161385</v>
      </c>
      <c r="AS7" s="99">
        <v>3120.4109317735233</v>
      </c>
      <c r="AT7" s="99">
        <v>5.4447200907211686</v>
      </c>
      <c r="AU7" s="99">
        <v>4292.6173195245692</v>
      </c>
      <c r="AV7" s="99">
        <v>8.6626857679697267</v>
      </c>
      <c r="AW7" s="99">
        <v>6829.661459467332</v>
      </c>
      <c r="AX7" s="99">
        <v>9.96429524419435</v>
      </c>
      <c r="AY7" s="99">
        <v>7855.850370522825</v>
      </c>
      <c r="AZ7" s="99">
        <v>5.9836249671316617</v>
      </c>
      <c r="BA7" s="99">
        <v>4717.4899240866016</v>
      </c>
      <c r="BB7" s="99">
        <v>5.9950176590788447</v>
      </c>
      <c r="BC7" s="99">
        <v>4726.4719224177607</v>
      </c>
      <c r="BD7" s="99">
        <v>10.87499591679962</v>
      </c>
      <c r="BE7" s="99">
        <v>8573.846780804819</v>
      </c>
      <c r="BF7" s="99">
        <v>3.110242816073348</v>
      </c>
      <c r="BG7" s="99">
        <v>2452.1154361922277</v>
      </c>
      <c r="BH7" s="99">
        <v>3.1764123369535913</v>
      </c>
      <c r="BI7" s="99">
        <v>2504.2834864542115</v>
      </c>
      <c r="BJ7" s="99">
        <v>9.2272451518513066</v>
      </c>
      <c r="BK7" s="99">
        <v>7274.7600777195703</v>
      </c>
      <c r="BL7" s="99">
        <v>7</v>
      </c>
      <c r="BM7" s="99">
        <v>5518.8</v>
      </c>
      <c r="BN7" s="99">
        <v>10</v>
      </c>
      <c r="BO7" s="99">
        <v>7884</v>
      </c>
      <c r="BP7" s="99">
        <v>6</v>
      </c>
      <c r="BQ7" s="99">
        <v>4730.3999999999996</v>
      </c>
      <c r="BR7" s="99">
        <v>3.3376330488221377</v>
      </c>
      <c r="BS7" s="99">
        <v>2631.3898956913731</v>
      </c>
      <c r="BT7" s="99">
        <v>8.0468534566490888</v>
      </c>
      <c r="BU7" s="99">
        <v>6344.1392652221411</v>
      </c>
      <c r="BV7" s="99">
        <v>10.085177250257162</v>
      </c>
      <c r="BW7" s="99">
        <v>7951.1537441027467</v>
      </c>
      <c r="BX7" s="99">
        <v>7.9839106672950546</v>
      </c>
      <c r="BY7" s="99">
        <v>6294.5151700954211</v>
      </c>
      <c r="BZ7" s="99">
        <v>11.153498974682741</v>
      </c>
      <c r="CA7" s="99">
        <v>8793.4185916398728</v>
      </c>
      <c r="CB7" s="99">
        <v>11</v>
      </c>
      <c r="CC7" s="99">
        <v>8672.4</v>
      </c>
      <c r="CD7" s="99">
        <v>6.0207947542720461</v>
      </c>
      <c r="CE7" s="99">
        <v>4746.7945842680811</v>
      </c>
      <c r="CF7" s="99">
        <v>7.3579824113059233</v>
      </c>
      <c r="CG7" s="99">
        <v>5801.0333330735893</v>
      </c>
      <c r="CH7" s="99">
        <v>2.389252689079735</v>
      </c>
      <c r="CI7" s="99">
        <v>1883.686820070463</v>
      </c>
      <c r="CJ7" s="99">
        <v>5.5794456293567967</v>
      </c>
      <c r="CK7" s="99">
        <v>4398.834934184898</v>
      </c>
      <c r="CL7" s="99">
        <v>12.317277935352571</v>
      </c>
      <c r="CM7" s="99">
        <v>9710.9419242319673</v>
      </c>
      <c r="CN7" s="99">
        <v>9</v>
      </c>
      <c r="CO7" s="99">
        <v>7095.5999999999995</v>
      </c>
      <c r="CP7" s="99">
        <v>5.7330533259578784</v>
      </c>
      <c r="CQ7" s="99">
        <v>4519.9392421851908</v>
      </c>
      <c r="CR7" s="99">
        <v>6.1825682406062912</v>
      </c>
      <c r="CS7" s="99">
        <v>4874.3368008939997</v>
      </c>
      <c r="CT7" s="99">
        <v>8.8824776301310227</v>
      </c>
      <c r="CU7" s="99">
        <v>7002.9453635952977</v>
      </c>
    </row>
    <row r="8" spans="1:99">
      <c r="C8" s="98" t="s">
        <v>174</v>
      </c>
      <c r="D8" s="99">
        <v>5</v>
      </c>
      <c r="E8" s="99">
        <v>1547.9999999999998</v>
      </c>
      <c r="F8" s="99">
        <v>6.5160814934059639</v>
      </c>
      <c r="G8" s="99">
        <v>2017.3788303584861</v>
      </c>
      <c r="H8" s="99">
        <v>8.5160144434735461</v>
      </c>
      <c r="I8" s="99">
        <v>2636.5580716994095</v>
      </c>
      <c r="J8" s="99">
        <v>8</v>
      </c>
      <c r="K8" s="99">
        <v>2476.7999999999997</v>
      </c>
      <c r="L8" s="99">
        <v>5.9205238064926036</v>
      </c>
      <c r="M8" s="99">
        <v>1832.9941704901098</v>
      </c>
      <c r="N8" s="99">
        <v>5</v>
      </c>
      <c r="O8" s="99">
        <v>1547.9999999999998</v>
      </c>
      <c r="P8" s="99">
        <v>9</v>
      </c>
      <c r="Q8" s="99">
        <v>2786.3999999999996</v>
      </c>
      <c r="R8" s="99">
        <v>6</v>
      </c>
      <c r="S8" s="99">
        <v>1857.6</v>
      </c>
      <c r="T8" s="99">
        <v>6.9117267020022757</v>
      </c>
      <c r="U8" s="99">
        <v>2139.8705869399041</v>
      </c>
      <c r="V8" s="99">
        <v>6</v>
      </c>
      <c r="W8" s="99">
        <v>1857.6</v>
      </c>
      <c r="X8" s="99">
        <v>9</v>
      </c>
      <c r="Y8" s="99">
        <v>2786.3999999999996</v>
      </c>
      <c r="Z8" s="99">
        <v>8</v>
      </c>
      <c r="AA8" s="99">
        <v>2476.7999999999997</v>
      </c>
      <c r="AB8" s="99">
        <v>3.6700716537558984</v>
      </c>
      <c r="AC8" s="99">
        <v>1136.2541840028259</v>
      </c>
      <c r="AD8" s="99">
        <v>5.2390945019519659</v>
      </c>
      <c r="AE8" s="99">
        <v>1622.0236578043284</v>
      </c>
      <c r="AF8" s="99">
        <v>8.2908365847294458</v>
      </c>
      <c r="AG8" s="99">
        <v>2566.8430066322362</v>
      </c>
      <c r="AH8" s="99">
        <v>6.7455513129855076</v>
      </c>
      <c r="AI8" s="99">
        <v>2088.4226865003129</v>
      </c>
      <c r="AJ8" s="99">
        <v>7.5288276431587207</v>
      </c>
      <c r="AK8" s="99">
        <v>2330.9250383219396</v>
      </c>
      <c r="AL8" s="99">
        <v>6</v>
      </c>
      <c r="AM8" s="99">
        <v>1857.6</v>
      </c>
      <c r="AN8" s="99">
        <v>9</v>
      </c>
      <c r="AO8" s="99">
        <v>2786.3999999999996</v>
      </c>
      <c r="AP8" s="99">
        <v>5</v>
      </c>
      <c r="AQ8" s="99">
        <v>1547.9999999999998</v>
      </c>
      <c r="AR8" s="99">
        <v>4.502425726506762</v>
      </c>
      <c r="AS8" s="99">
        <v>1393.9510049264934</v>
      </c>
      <c r="AT8" s="99">
        <v>5.5537582564105348</v>
      </c>
      <c r="AU8" s="99">
        <v>1719.4435561847013</v>
      </c>
      <c r="AV8" s="99">
        <v>8.6626857679697267</v>
      </c>
      <c r="AW8" s="99">
        <v>2681.9675137634272</v>
      </c>
      <c r="AX8" s="99">
        <v>10.125011118226741</v>
      </c>
      <c r="AY8" s="99">
        <v>3134.7034422029988</v>
      </c>
      <c r="AZ8" s="99">
        <v>5.2356718462402041</v>
      </c>
      <c r="BA8" s="99">
        <v>1620.9640035959669</v>
      </c>
      <c r="BB8" s="99">
        <v>5.9950176590788447</v>
      </c>
      <c r="BC8" s="99">
        <v>1856.0574672508101</v>
      </c>
      <c r="BD8" s="99">
        <v>11.049995100159544</v>
      </c>
      <c r="BE8" s="99">
        <v>3421.0784830093944</v>
      </c>
      <c r="BF8" s="99">
        <v>3.0943744871073262</v>
      </c>
      <c r="BG8" s="99">
        <v>958.01834120842807</v>
      </c>
      <c r="BH8" s="99">
        <v>3.676643236116377</v>
      </c>
      <c r="BI8" s="99">
        <v>1138.2887459016301</v>
      </c>
      <c r="BJ8" s="99">
        <v>10.227245151851307</v>
      </c>
      <c r="BK8" s="99">
        <v>3166.3550990131644</v>
      </c>
      <c r="BL8" s="99">
        <v>8</v>
      </c>
      <c r="BM8" s="99">
        <v>2476.7999999999997</v>
      </c>
      <c r="BN8" s="99">
        <v>9</v>
      </c>
      <c r="BO8" s="99">
        <v>2786.3999999999996</v>
      </c>
      <c r="BP8" s="99">
        <v>7</v>
      </c>
      <c r="BQ8" s="99">
        <v>2167.1999999999998</v>
      </c>
      <c r="BR8" s="99">
        <v>3.8084127728148198</v>
      </c>
      <c r="BS8" s="99">
        <v>1179.0845944634682</v>
      </c>
      <c r="BT8" s="99">
        <v>9.0458415168453037</v>
      </c>
      <c r="BU8" s="99">
        <v>2800.5925336153059</v>
      </c>
      <c r="BV8" s="99">
        <v>9.9795812094253726</v>
      </c>
      <c r="BW8" s="99">
        <v>3089.6783424380951</v>
      </c>
      <c r="BX8" s="99">
        <v>8.1048974483981269</v>
      </c>
      <c r="BY8" s="99">
        <v>2509.2762500240597</v>
      </c>
      <c r="BZ8" s="99">
        <v>10.297686346518082</v>
      </c>
      <c r="CA8" s="99">
        <v>3188.163692881998</v>
      </c>
      <c r="CB8" s="99">
        <v>11</v>
      </c>
      <c r="CC8" s="99">
        <v>3405.5999999999995</v>
      </c>
      <c r="CD8" s="99">
        <v>6.0207947542720461</v>
      </c>
      <c r="CE8" s="99">
        <v>1864.0380559226253</v>
      </c>
      <c r="CF8" s="99">
        <v>7.3619860875884626</v>
      </c>
      <c r="CG8" s="99">
        <v>2279.2708927173876</v>
      </c>
      <c r="CH8" s="99">
        <v>2.389252689079735</v>
      </c>
      <c r="CI8" s="99">
        <v>739.71263253908592</v>
      </c>
      <c r="CJ8" s="99">
        <v>5.5822640802631476</v>
      </c>
      <c r="CK8" s="99">
        <v>1728.2689592494703</v>
      </c>
      <c r="CL8" s="99">
        <v>12.152618193433501</v>
      </c>
      <c r="CM8" s="99">
        <v>3762.4505926870115</v>
      </c>
      <c r="CN8" s="99">
        <v>9</v>
      </c>
      <c r="CO8" s="99">
        <v>2786.3999999999996</v>
      </c>
      <c r="CP8" s="99">
        <v>5.7330533259578784</v>
      </c>
      <c r="CQ8" s="99">
        <v>1774.953309716559</v>
      </c>
      <c r="CR8" s="99">
        <v>7.0657922749786186</v>
      </c>
      <c r="CS8" s="99">
        <v>2187.56928833338</v>
      </c>
      <c r="CT8" s="99">
        <v>9.0330758909695064</v>
      </c>
      <c r="CU8" s="99">
        <v>2796.640295844159</v>
      </c>
    </row>
    <row r="9" spans="1:99">
      <c r="C9" s="98" t="s">
        <v>175</v>
      </c>
      <c r="D9" s="99">
        <v>5</v>
      </c>
      <c r="E9" s="99">
        <v>3510</v>
      </c>
      <c r="F9" s="99">
        <v>6.5160814934059639</v>
      </c>
      <c r="G9" s="99">
        <v>4574.2892083709867</v>
      </c>
      <c r="H9" s="99">
        <v>7.5697906164209288</v>
      </c>
      <c r="I9" s="99">
        <v>5313.993012727492</v>
      </c>
      <c r="J9" s="99">
        <v>8</v>
      </c>
      <c r="K9" s="99">
        <v>5616</v>
      </c>
      <c r="L9" s="99">
        <v>5.3166107971920216</v>
      </c>
      <c r="M9" s="99">
        <v>3732.2607796287994</v>
      </c>
      <c r="N9" s="99">
        <v>5</v>
      </c>
      <c r="O9" s="99">
        <v>3510</v>
      </c>
      <c r="P9" s="99">
        <v>9</v>
      </c>
      <c r="Q9" s="99">
        <v>6318</v>
      </c>
      <c r="R9" s="99">
        <v>5</v>
      </c>
      <c r="S9" s="99">
        <v>3510</v>
      </c>
      <c r="T9" s="99">
        <v>6.1437570684464671</v>
      </c>
      <c r="U9" s="99">
        <v>4312.9174620494196</v>
      </c>
      <c r="V9" s="99">
        <v>5</v>
      </c>
      <c r="W9" s="99">
        <v>3510</v>
      </c>
      <c r="X9" s="99">
        <v>8</v>
      </c>
      <c r="Y9" s="99">
        <v>5616</v>
      </c>
      <c r="Z9" s="99">
        <v>8</v>
      </c>
      <c r="AA9" s="99">
        <v>5616</v>
      </c>
      <c r="AB9" s="99">
        <v>3.6700716537558984</v>
      </c>
      <c r="AC9" s="99">
        <v>2576.3903009366409</v>
      </c>
      <c r="AD9" s="99">
        <v>4.8166380124669734</v>
      </c>
      <c r="AE9" s="99">
        <v>3381.2798847518152</v>
      </c>
      <c r="AF9" s="99">
        <v>8.2908365847294458</v>
      </c>
      <c r="AG9" s="99">
        <v>5820.1672824800708</v>
      </c>
      <c r="AH9" s="99">
        <v>6.7449339661569763</v>
      </c>
      <c r="AI9" s="99">
        <v>4734.9436442421975</v>
      </c>
      <c r="AJ9" s="99">
        <v>7.5288276431587207</v>
      </c>
      <c r="AK9" s="99">
        <v>5285.2370054974217</v>
      </c>
      <c r="AL9" s="99">
        <v>6</v>
      </c>
      <c r="AM9" s="99">
        <v>4212</v>
      </c>
      <c r="AN9" s="99">
        <v>8</v>
      </c>
      <c r="AO9" s="99">
        <v>5616</v>
      </c>
      <c r="AP9" s="99">
        <v>5</v>
      </c>
      <c r="AQ9" s="99">
        <v>3510</v>
      </c>
      <c r="AR9" s="99">
        <v>3.9579032620161385</v>
      </c>
      <c r="AS9" s="99">
        <v>2778.4480899353293</v>
      </c>
      <c r="AT9" s="99">
        <v>5.4447200907211686</v>
      </c>
      <c r="AU9" s="99">
        <v>3822.1935036862606</v>
      </c>
      <c r="AV9" s="99">
        <v>8.5008131263928828</v>
      </c>
      <c r="AW9" s="99">
        <v>5967.5708147278037</v>
      </c>
      <c r="AX9" s="99">
        <v>9.125011118226741</v>
      </c>
      <c r="AY9" s="99">
        <v>6405.7578049951726</v>
      </c>
      <c r="AZ9" s="99">
        <v>5.9836249671316617</v>
      </c>
      <c r="BA9" s="99">
        <v>4200.5047269264269</v>
      </c>
      <c r="BB9" s="99">
        <v>6.5254935250342507</v>
      </c>
      <c r="BC9" s="99">
        <v>4580.8964545740437</v>
      </c>
      <c r="BD9" s="99">
        <v>10.049995100159544</v>
      </c>
      <c r="BE9" s="99">
        <v>7055.0965603119994</v>
      </c>
      <c r="BF9" s="99">
        <v>3.110242816073348</v>
      </c>
      <c r="BG9" s="99">
        <v>2183.3904568834901</v>
      </c>
      <c r="BH9" s="99">
        <v>3.1545339692064815</v>
      </c>
      <c r="BI9" s="99">
        <v>2214.4828463829499</v>
      </c>
      <c r="BJ9" s="99">
        <v>10.227245151851307</v>
      </c>
      <c r="BK9" s="99">
        <v>7179.5260965996176</v>
      </c>
      <c r="BL9" s="99">
        <v>7</v>
      </c>
      <c r="BM9" s="99">
        <v>4914</v>
      </c>
      <c r="BN9" s="99">
        <v>8</v>
      </c>
      <c r="BO9" s="99">
        <v>5616</v>
      </c>
      <c r="BP9" s="99">
        <v>6.554609947326405</v>
      </c>
      <c r="BQ9" s="99">
        <v>4601.3361830231361</v>
      </c>
      <c r="BR9" s="99">
        <v>2.8668533248294552</v>
      </c>
      <c r="BS9" s="99">
        <v>2012.5310340302776</v>
      </c>
      <c r="BT9" s="99">
        <v>8.1929344425574104</v>
      </c>
      <c r="BU9" s="99">
        <v>5751.439978675302</v>
      </c>
      <c r="BV9" s="99">
        <v>10.966099921148267</v>
      </c>
      <c r="BW9" s="99">
        <v>7698.2021446460831</v>
      </c>
      <c r="BX9" s="99">
        <v>7.9839106672950546</v>
      </c>
      <c r="BY9" s="99">
        <v>5604.7052884411287</v>
      </c>
      <c r="BZ9" s="99">
        <v>11.297686346518082</v>
      </c>
      <c r="CA9" s="99">
        <v>7930.9758152556942</v>
      </c>
      <c r="CB9" s="99">
        <v>10</v>
      </c>
      <c r="CC9" s="99">
        <v>7020</v>
      </c>
      <c r="CD9" s="99">
        <v>6.0596535064203882</v>
      </c>
      <c r="CE9" s="99">
        <v>4253.8767615071129</v>
      </c>
      <c r="CF9" s="99">
        <v>6.4178026189242932</v>
      </c>
      <c r="CG9" s="99">
        <v>4505.297438484854</v>
      </c>
      <c r="CH9" s="99">
        <v>2.6547252100885945</v>
      </c>
      <c r="CI9" s="99">
        <v>1863.6170974821935</v>
      </c>
      <c r="CJ9" s="99">
        <v>6.5639238028820079</v>
      </c>
      <c r="CK9" s="99">
        <v>4607.8745096231696</v>
      </c>
      <c r="CL9" s="99">
        <v>12.152618193433501</v>
      </c>
      <c r="CM9" s="99">
        <v>8531.1379717903183</v>
      </c>
      <c r="CN9" s="99">
        <v>9</v>
      </c>
      <c r="CO9" s="99">
        <v>6318</v>
      </c>
      <c r="CP9" s="99">
        <v>5.7330533259578784</v>
      </c>
      <c r="CQ9" s="99">
        <v>4024.6034348224307</v>
      </c>
      <c r="CR9" s="99">
        <v>6.2610996134449746</v>
      </c>
      <c r="CS9" s="99">
        <v>4395.2919286383722</v>
      </c>
      <c r="CT9" s="99">
        <v>9.8405738573450527</v>
      </c>
      <c r="CU9" s="99">
        <v>6908.0828478562271</v>
      </c>
    </row>
    <row r="10" spans="1:99">
      <c r="C10" s="98" t="s">
        <v>176</v>
      </c>
      <c r="D10" s="99">
        <v>5</v>
      </c>
      <c r="E10" s="99">
        <v>2724</v>
      </c>
      <c r="F10" s="99">
        <v>6.5160814934059639</v>
      </c>
      <c r="G10" s="99">
        <v>3549.9611976075689</v>
      </c>
      <c r="H10" s="99">
        <v>8.5160144434735461</v>
      </c>
      <c r="I10" s="99">
        <v>4639.5246688043871</v>
      </c>
      <c r="J10" s="99">
        <v>9</v>
      </c>
      <c r="K10" s="99">
        <v>4903.2</v>
      </c>
      <c r="L10" s="99">
        <v>5.9205238064926036</v>
      </c>
      <c r="M10" s="99">
        <v>3225.5013697771701</v>
      </c>
      <c r="N10" s="99">
        <v>6</v>
      </c>
      <c r="O10" s="99">
        <v>3268.7999999999997</v>
      </c>
      <c r="P10" s="99">
        <v>9</v>
      </c>
      <c r="Q10" s="99">
        <v>4903.2</v>
      </c>
      <c r="R10" s="99">
        <v>5</v>
      </c>
      <c r="S10" s="99">
        <v>2724</v>
      </c>
      <c r="T10" s="99">
        <v>6.9117267020022757</v>
      </c>
      <c r="U10" s="99">
        <v>3765.5087072508395</v>
      </c>
      <c r="V10" s="99">
        <v>5</v>
      </c>
      <c r="W10" s="99">
        <v>2724</v>
      </c>
      <c r="X10" s="99">
        <v>9</v>
      </c>
      <c r="Y10" s="99">
        <v>4903.2</v>
      </c>
      <c r="Z10" s="99">
        <v>8</v>
      </c>
      <c r="AA10" s="99">
        <v>4358.3999999999996</v>
      </c>
      <c r="AB10" s="99">
        <v>3.6700716537558984</v>
      </c>
      <c r="AC10" s="99">
        <v>1999.4550369662134</v>
      </c>
      <c r="AD10" s="99">
        <v>5.237597864266367</v>
      </c>
      <c r="AE10" s="99">
        <v>2853.4433164523166</v>
      </c>
      <c r="AF10" s="99">
        <v>8.2854649630932915</v>
      </c>
      <c r="AG10" s="99">
        <v>4513.9213118932248</v>
      </c>
      <c r="AH10" s="99">
        <v>7.708319576514107</v>
      </c>
      <c r="AI10" s="99">
        <v>4199.4925052848848</v>
      </c>
      <c r="AJ10" s="99">
        <v>6</v>
      </c>
      <c r="AK10" s="99">
        <v>3268.7999999999997</v>
      </c>
      <c r="AL10" s="99">
        <v>6</v>
      </c>
      <c r="AM10" s="99">
        <v>3268.7999999999997</v>
      </c>
      <c r="AN10" s="99">
        <v>9</v>
      </c>
      <c r="AO10" s="99">
        <v>4903.2</v>
      </c>
      <c r="AP10" s="99">
        <v>5</v>
      </c>
      <c r="AQ10" s="99">
        <v>2724</v>
      </c>
      <c r="AR10" s="99">
        <v>3.9481535279773539</v>
      </c>
      <c r="AS10" s="99">
        <v>2150.9540420420622</v>
      </c>
      <c r="AT10" s="99">
        <v>6.0917853496538594</v>
      </c>
      <c r="AU10" s="99">
        <v>3318.8046584914223</v>
      </c>
      <c r="AV10" s="99">
        <v>8.5008131263928828</v>
      </c>
      <c r="AW10" s="99">
        <v>4631.2429912588423</v>
      </c>
      <c r="AX10" s="99">
        <v>9</v>
      </c>
      <c r="AY10" s="99">
        <v>4903.2</v>
      </c>
      <c r="AZ10" s="99">
        <v>5.9836249671316617</v>
      </c>
      <c r="BA10" s="99">
        <v>3259.8788820933291</v>
      </c>
      <c r="BB10" s="99">
        <v>4.8348229743242097</v>
      </c>
      <c r="BC10" s="99">
        <v>2634.0115564118291</v>
      </c>
      <c r="BD10" s="99">
        <v>11.049995100159544</v>
      </c>
      <c r="BE10" s="99">
        <v>6020.0373305669191</v>
      </c>
      <c r="BF10" s="99">
        <v>3.5182927521614906</v>
      </c>
      <c r="BG10" s="99">
        <v>1916.7658913775799</v>
      </c>
      <c r="BH10" s="99">
        <v>3.1764123369535913</v>
      </c>
      <c r="BI10" s="99">
        <v>1730.5094411723164</v>
      </c>
      <c r="BJ10" s="99">
        <v>10.38065079583272</v>
      </c>
      <c r="BK10" s="99">
        <v>5655.3785535696652</v>
      </c>
      <c r="BL10" s="99">
        <v>8</v>
      </c>
      <c r="BM10" s="99">
        <v>4358.3999999999996</v>
      </c>
      <c r="BN10" s="99">
        <v>9</v>
      </c>
      <c r="BO10" s="99">
        <v>4903.2</v>
      </c>
      <c r="BP10" s="99">
        <v>7.4991489525937647</v>
      </c>
      <c r="BQ10" s="99">
        <v>4085.5363493730829</v>
      </c>
      <c r="BR10" s="99">
        <v>2.8668533248294552</v>
      </c>
      <c r="BS10" s="99">
        <v>1561.8616913670871</v>
      </c>
      <c r="BT10" s="99">
        <v>8.0468534566490888</v>
      </c>
      <c r="BU10" s="99">
        <v>4383.925763182423</v>
      </c>
      <c r="BV10" s="99">
        <v>9.975087446666338</v>
      </c>
      <c r="BW10" s="99">
        <v>5434.4276409438207</v>
      </c>
      <c r="BX10" s="99">
        <v>8.8604764530702074</v>
      </c>
      <c r="BY10" s="99">
        <v>4827.1875716326485</v>
      </c>
      <c r="BZ10" s="99">
        <v>10.153498974682741</v>
      </c>
      <c r="CA10" s="99">
        <v>5531.6262414071571</v>
      </c>
      <c r="CB10" s="99">
        <v>12</v>
      </c>
      <c r="CC10" s="99">
        <v>6537.5999999999995</v>
      </c>
      <c r="CD10" s="99">
        <v>6.0207947542720461</v>
      </c>
      <c r="CE10" s="99">
        <v>3280.1289821274104</v>
      </c>
      <c r="CF10" s="99">
        <v>7.3619860875884626</v>
      </c>
      <c r="CG10" s="99">
        <v>4010.8100205181941</v>
      </c>
      <c r="CH10" s="99">
        <v>2.6547252100885945</v>
      </c>
      <c r="CI10" s="99">
        <v>1446.2942944562662</v>
      </c>
      <c r="CJ10" s="99">
        <v>5.5822640802631476</v>
      </c>
      <c r="CK10" s="99">
        <v>3041.2174709273627</v>
      </c>
      <c r="CL10" s="99">
        <v>13.317277935352571</v>
      </c>
      <c r="CM10" s="99">
        <v>7255.2530191800806</v>
      </c>
      <c r="CN10" s="99">
        <v>9</v>
      </c>
      <c r="CO10" s="99">
        <v>4903.2</v>
      </c>
      <c r="CP10" s="99">
        <v>5.7330533259578784</v>
      </c>
      <c r="CQ10" s="99">
        <v>3123.3674519818519</v>
      </c>
      <c r="CR10" s="99">
        <v>6.2610996134449746</v>
      </c>
      <c r="CS10" s="99">
        <v>3411.0470694048217</v>
      </c>
      <c r="CT10" s="99">
        <v>9.7341187209879383</v>
      </c>
      <c r="CU10" s="99">
        <v>5303.1478791942282</v>
      </c>
    </row>
    <row r="11" spans="1:99">
      <c r="C11" s="98" t="s">
        <v>177</v>
      </c>
      <c r="D11" s="99">
        <v>6</v>
      </c>
      <c r="E11" s="99">
        <v>3196.7999999999997</v>
      </c>
      <c r="F11" s="99">
        <v>6.5160814934059639</v>
      </c>
      <c r="G11" s="99">
        <v>3471.7682196866972</v>
      </c>
      <c r="H11" s="99">
        <v>7.5697906164209288</v>
      </c>
      <c r="I11" s="99">
        <v>4033.1844404290705</v>
      </c>
      <c r="J11" s="99">
        <v>9</v>
      </c>
      <c r="K11" s="99">
        <v>4795.2</v>
      </c>
      <c r="L11" s="99">
        <v>5.2862791270178109</v>
      </c>
      <c r="M11" s="99">
        <v>2816.5295188750893</v>
      </c>
      <c r="N11" s="99">
        <v>5</v>
      </c>
      <c r="O11" s="99">
        <v>2664</v>
      </c>
      <c r="P11" s="99">
        <v>9</v>
      </c>
      <c r="Q11" s="99">
        <v>4795.2</v>
      </c>
      <c r="R11" s="99">
        <v>5</v>
      </c>
      <c r="S11" s="99">
        <v>2664</v>
      </c>
      <c r="T11" s="99">
        <v>6.9117267020022757</v>
      </c>
      <c r="U11" s="99">
        <v>3682.5679868268121</v>
      </c>
      <c r="V11" s="99">
        <v>5</v>
      </c>
      <c r="W11" s="99">
        <v>2664</v>
      </c>
      <c r="X11" s="99">
        <v>8</v>
      </c>
      <c r="Y11" s="99">
        <v>4262.3999999999996</v>
      </c>
      <c r="Z11" s="99">
        <v>8</v>
      </c>
      <c r="AA11" s="99">
        <v>4262.3999999999996</v>
      </c>
      <c r="AB11" s="99">
        <v>3.6700716537558984</v>
      </c>
      <c r="AC11" s="99">
        <v>1955.4141771211425</v>
      </c>
      <c r="AD11" s="99">
        <v>5.2390945019519659</v>
      </c>
      <c r="AE11" s="99">
        <v>2791.3895506400072</v>
      </c>
      <c r="AF11" s="99">
        <v>8.2908365847294458</v>
      </c>
      <c r="AG11" s="99">
        <v>4417.3577323438485</v>
      </c>
      <c r="AH11" s="99">
        <v>6.7455513129855076</v>
      </c>
      <c r="AI11" s="99">
        <v>3594.0297395586781</v>
      </c>
      <c r="AJ11" s="99">
        <v>6.5288276431587207</v>
      </c>
      <c r="AK11" s="99">
        <v>3478.5593682749659</v>
      </c>
      <c r="AL11" s="99">
        <v>6</v>
      </c>
      <c r="AM11" s="99">
        <v>3196.7999999999997</v>
      </c>
      <c r="AN11" s="99">
        <v>9</v>
      </c>
      <c r="AO11" s="99">
        <v>4795.2</v>
      </c>
      <c r="AP11" s="99">
        <v>5</v>
      </c>
      <c r="AQ11" s="99">
        <v>2664</v>
      </c>
      <c r="AR11" s="99">
        <v>3.9579032620161385</v>
      </c>
      <c r="AS11" s="99">
        <v>2108.7708580021986</v>
      </c>
      <c r="AT11" s="99">
        <v>6.0864156055691847</v>
      </c>
      <c r="AU11" s="99">
        <v>3242.8422346472612</v>
      </c>
      <c r="AV11" s="99">
        <v>7.7702024163778631</v>
      </c>
      <c r="AW11" s="99">
        <v>4139.9638474461253</v>
      </c>
      <c r="AX11" s="99">
        <v>9.125011118226741</v>
      </c>
      <c r="AY11" s="99">
        <v>4861.8059237912075</v>
      </c>
      <c r="AZ11" s="99">
        <v>5.2356718462402041</v>
      </c>
      <c r="BA11" s="99">
        <v>2789.5659596767805</v>
      </c>
      <c r="BB11" s="99">
        <v>5.5073917584534806</v>
      </c>
      <c r="BC11" s="99">
        <v>2934.3383289040144</v>
      </c>
      <c r="BD11" s="99">
        <v>11.87499591679962</v>
      </c>
      <c r="BE11" s="99">
        <v>6326.9978244708363</v>
      </c>
      <c r="BF11" s="99">
        <v>3.0943744871073262</v>
      </c>
      <c r="BG11" s="99">
        <v>1648.6827267307833</v>
      </c>
      <c r="BH11" s="99">
        <v>3.1545339692064815</v>
      </c>
      <c r="BI11" s="99">
        <v>1680.7356987932133</v>
      </c>
      <c r="BJ11" s="99">
        <v>11.38065079583272</v>
      </c>
      <c r="BK11" s="99">
        <v>6063.6107440196729</v>
      </c>
      <c r="BL11" s="99">
        <v>7</v>
      </c>
      <c r="BM11" s="99">
        <v>3729.5999999999995</v>
      </c>
      <c r="BN11" s="99">
        <v>10</v>
      </c>
      <c r="BO11" s="99">
        <v>5328</v>
      </c>
      <c r="BP11" s="99">
        <v>6.4991489525937647</v>
      </c>
      <c r="BQ11" s="99">
        <v>3462.7465619419577</v>
      </c>
      <c r="BR11" s="99">
        <v>3.3376330488221377</v>
      </c>
      <c r="BS11" s="99">
        <v>1778.2908884124349</v>
      </c>
      <c r="BT11" s="99">
        <v>9.0458415168453037</v>
      </c>
      <c r="BU11" s="99">
        <v>4819.6243601751776</v>
      </c>
      <c r="BV11" s="99">
        <v>10.975087446666338</v>
      </c>
      <c r="BW11" s="99">
        <v>5847.5265915838245</v>
      </c>
      <c r="BX11" s="99">
        <v>8.1234304559968198</v>
      </c>
      <c r="BY11" s="99">
        <v>4328.1637469551051</v>
      </c>
      <c r="BZ11" s="99">
        <v>10.153498974682741</v>
      </c>
      <c r="CA11" s="99">
        <v>5409.7842537109636</v>
      </c>
      <c r="CB11" s="99">
        <v>11</v>
      </c>
      <c r="CC11" s="99">
        <v>5860.7999999999993</v>
      </c>
      <c r="CD11" s="99">
        <v>6.0207947542720461</v>
      </c>
      <c r="CE11" s="99">
        <v>3207.8794450761461</v>
      </c>
      <c r="CF11" s="99">
        <v>7.4807635949407745</v>
      </c>
      <c r="CG11" s="99">
        <v>3985.7508433844441</v>
      </c>
      <c r="CH11" s="99">
        <v>2.6547252100885945</v>
      </c>
      <c r="CI11" s="99">
        <v>1414.437591935203</v>
      </c>
      <c r="CJ11" s="99">
        <v>6.5639238028820079</v>
      </c>
      <c r="CK11" s="99">
        <v>3497.2586021755337</v>
      </c>
      <c r="CL11" s="99">
        <v>13.317277935352571</v>
      </c>
      <c r="CM11" s="99">
        <v>7095.4456839558497</v>
      </c>
      <c r="CN11" s="99">
        <v>9</v>
      </c>
      <c r="CO11" s="99">
        <v>4795.2</v>
      </c>
      <c r="CP11" s="99">
        <v>5.7330533259578784</v>
      </c>
      <c r="CQ11" s="99">
        <v>3054.5708120703575</v>
      </c>
      <c r="CR11" s="99">
        <v>6.9872609021399343</v>
      </c>
      <c r="CS11" s="99">
        <v>3722.8126086601569</v>
      </c>
      <c r="CT11" s="99">
        <v>8.0749796637554745</v>
      </c>
      <c r="CU11" s="99">
        <v>4302.3491648489162</v>
      </c>
    </row>
    <row r="12" spans="1:99">
      <c r="C12" s="98" t="s">
        <v>178</v>
      </c>
      <c r="D12" s="99">
        <v>5</v>
      </c>
      <c r="E12" s="99">
        <v>2814</v>
      </c>
      <c r="F12" s="99">
        <v>5.7015713067302185</v>
      </c>
      <c r="G12" s="99">
        <v>3208.8443314277665</v>
      </c>
      <c r="H12" s="99">
        <v>7.5697906164209288</v>
      </c>
      <c r="I12" s="99">
        <v>4260.2781589216984</v>
      </c>
      <c r="J12" s="99">
        <v>9</v>
      </c>
      <c r="K12" s="99">
        <v>5065.2</v>
      </c>
      <c r="L12" s="99">
        <v>5.9508554766668142</v>
      </c>
      <c r="M12" s="99">
        <v>3349.1414622680827</v>
      </c>
      <c r="N12" s="99">
        <v>5</v>
      </c>
      <c r="O12" s="99">
        <v>2814</v>
      </c>
      <c r="P12" s="99">
        <v>8</v>
      </c>
      <c r="Q12" s="99">
        <v>4502.3999999999996</v>
      </c>
      <c r="R12" s="99">
        <v>6</v>
      </c>
      <c r="S12" s="99">
        <v>3376.7999999999997</v>
      </c>
      <c r="T12" s="99">
        <v>6.1437570684464671</v>
      </c>
      <c r="U12" s="99">
        <v>3457.7064781216714</v>
      </c>
      <c r="V12" s="99">
        <v>5</v>
      </c>
      <c r="W12" s="99">
        <v>2814</v>
      </c>
      <c r="X12" s="99">
        <v>8</v>
      </c>
      <c r="Y12" s="99">
        <v>4502.3999999999996</v>
      </c>
      <c r="Z12" s="99">
        <v>9</v>
      </c>
      <c r="AA12" s="99">
        <v>5065.2</v>
      </c>
      <c r="AB12" s="99">
        <v>3.6700716537558984</v>
      </c>
      <c r="AC12" s="99">
        <v>2065.5163267338194</v>
      </c>
      <c r="AD12" s="99">
        <v>5.1633593014783825</v>
      </c>
      <c r="AE12" s="99">
        <v>2905.9386148720337</v>
      </c>
      <c r="AF12" s="99">
        <v>8.2908365847294458</v>
      </c>
      <c r="AG12" s="99">
        <v>4666.0828298857314</v>
      </c>
      <c r="AH12" s="99">
        <v>5.8898641505285809</v>
      </c>
      <c r="AI12" s="99">
        <v>3314.8155439174852</v>
      </c>
      <c r="AJ12" s="99">
        <v>6.5288276431587207</v>
      </c>
      <c r="AK12" s="99">
        <v>3674.4241975697278</v>
      </c>
      <c r="AL12" s="99">
        <v>5</v>
      </c>
      <c r="AM12" s="99">
        <v>2814</v>
      </c>
      <c r="AN12" s="99">
        <v>8</v>
      </c>
      <c r="AO12" s="99">
        <v>4502.3999999999996</v>
      </c>
      <c r="AP12" s="99">
        <v>5</v>
      </c>
      <c r="AQ12" s="99">
        <v>2814</v>
      </c>
      <c r="AR12" s="99">
        <v>3.9579032620161385</v>
      </c>
      <c r="AS12" s="99">
        <v>2227.5079558626826</v>
      </c>
      <c r="AT12" s="99">
        <v>5.4447200907211686</v>
      </c>
      <c r="AU12" s="99">
        <v>3064.2884670578733</v>
      </c>
      <c r="AV12" s="99">
        <v>8.5044778586730647</v>
      </c>
      <c r="AW12" s="99">
        <v>4786.3201388612006</v>
      </c>
      <c r="AX12" s="99">
        <v>9.125011118226741</v>
      </c>
      <c r="AY12" s="99">
        <v>5135.5562573380093</v>
      </c>
      <c r="AZ12" s="99">
        <v>5.9836249671316617</v>
      </c>
      <c r="BA12" s="99">
        <v>3367.5841315016987</v>
      </c>
      <c r="BB12" s="99">
        <v>4.8665333456790378</v>
      </c>
      <c r="BC12" s="99">
        <v>2738.8849669481624</v>
      </c>
      <c r="BD12" s="99">
        <v>12.049995100159544</v>
      </c>
      <c r="BE12" s="99">
        <v>6781.7372423697907</v>
      </c>
      <c r="BF12" s="99">
        <v>3.110242816073348</v>
      </c>
      <c r="BG12" s="99">
        <v>1750.4446568860801</v>
      </c>
      <c r="BH12" s="99">
        <v>3.1764123369535913</v>
      </c>
      <c r="BI12" s="99">
        <v>1787.6848632374811</v>
      </c>
      <c r="BJ12" s="99">
        <v>10.227245151851307</v>
      </c>
      <c r="BK12" s="99">
        <v>5755.8935714619147</v>
      </c>
      <c r="BL12" s="99">
        <v>8</v>
      </c>
      <c r="BM12" s="99">
        <v>4502.3999999999996</v>
      </c>
      <c r="BN12" s="99">
        <v>10</v>
      </c>
      <c r="BO12" s="99">
        <v>5628</v>
      </c>
      <c r="BP12" s="99">
        <v>7</v>
      </c>
      <c r="BQ12" s="99">
        <v>3939.5999999999995</v>
      </c>
      <c r="BR12" s="99">
        <v>3.3376330488221377</v>
      </c>
      <c r="BS12" s="99">
        <v>1878.419879877099</v>
      </c>
      <c r="BT12" s="99">
        <v>9.0468534566490888</v>
      </c>
      <c r="BU12" s="99">
        <v>5091.5691254021067</v>
      </c>
      <c r="BV12" s="99">
        <v>9.9660999211482668</v>
      </c>
      <c r="BW12" s="99">
        <v>5608.9210356222438</v>
      </c>
      <c r="BX12" s="99">
        <v>6.370298884446516</v>
      </c>
      <c r="BY12" s="99">
        <v>3585.204212166499</v>
      </c>
      <c r="BZ12" s="99">
        <v>11.297686346518082</v>
      </c>
      <c r="CA12" s="99">
        <v>6358.3378758203762</v>
      </c>
      <c r="CB12" s="99">
        <v>11</v>
      </c>
      <c r="CC12" s="99">
        <v>6190.7999999999993</v>
      </c>
      <c r="CD12" s="99">
        <v>6.9854017945023772</v>
      </c>
      <c r="CE12" s="99">
        <v>3931.3841299459377</v>
      </c>
      <c r="CF12" s="99">
        <v>7.3619860875884626</v>
      </c>
      <c r="CG12" s="99">
        <v>4143.3257700947861</v>
      </c>
      <c r="CH12" s="99">
        <v>2.6547252100885945</v>
      </c>
      <c r="CI12" s="99">
        <v>1494.0793482378608</v>
      </c>
      <c r="CJ12" s="99">
        <v>6.4728772878268233</v>
      </c>
      <c r="CK12" s="99">
        <v>3642.9353375889359</v>
      </c>
      <c r="CL12" s="99">
        <v>12.317277935352571</v>
      </c>
      <c r="CM12" s="99">
        <v>6932.1640220164263</v>
      </c>
      <c r="CN12" s="99">
        <v>10</v>
      </c>
      <c r="CO12" s="99">
        <v>5628</v>
      </c>
      <c r="CP12" s="99">
        <v>5.7330533259578784</v>
      </c>
      <c r="CQ12" s="99">
        <v>3226.5624118490937</v>
      </c>
      <c r="CR12" s="99">
        <v>7.8704849365122627</v>
      </c>
      <c r="CS12" s="99">
        <v>4429.5089222691013</v>
      </c>
      <c r="CT12" s="99">
        <v>9.6899755965065708</v>
      </c>
      <c r="CU12" s="99">
        <v>5453.5182657138976</v>
      </c>
    </row>
    <row r="13" spans="1:99">
      <c r="C13" s="98" t="s">
        <v>179</v>
      </c>
      <c r="D13" s="99">
        <v>6</v>
      </c>
      <c r="E13" s="99">
        <v>511.20000000000005</v>
      </c>
      <c r="F13" s="99">
        <v>6.5160814934059639</v>
      </c>
      <c r="G13" s="99">
        <v>555.17014323818819</v>
      </c>
      <c r="H13" s="99">
        <v>8.5160144434735461</v>
      </c>
      <c r="I13" s="99">
        <v>725.5644305839462</v>
      </c>
      <c r="J13" s="99">
        <v>10</v>
      </c>
      <c r="K13" s="99">
        <v>852</v>
      </c>
      <c r="L13" s="99">
        <v>5.3166107971920216</v>
      </c>
      <c r="M13" s="99">
        <v>452.97523992076026</v>
      </c>
      <c r="N13" s="99">
        <v>6</v>
      </c>
      <c r="O13" s="99">
        <v>511.20000000000005</v>
      </c>
      <c r="P13" s="99">
        <v>8</v>
      </c>
      <c r="Q13" s="99">
        <v>681.6</v>
      </c>
      <c r="R13" s="99">
        <v>5</v>
      </c>
      <c r="S13" s="99">
        <v>426</v>
      </c>
      <c r="T13" s="99">
        <v>6.1437570684464671</v>
      </c>
      <c r="U13" s="99">
        <v>523.44810223163904</v>
      </c>
      <c r="V13" s="99">
        <v>6</v>
      </c>
      <c r="W13" s="99">
        <v>511.20000000000005</v>
      </c>
      <c r="X13" s="99">
        <v>8</v>
      </c>
      <c r="Y13" s="99">
        <v>681.6</v>
      </c>
      <c r="Z13" s="99">
        <v>8</v>
      </c>
      <c r="AA13" s="99">
        <v>681.6</v>
      </c>
      <c r="AB13" s="99">
        <v>3.6700716537558984</v>
      </c>
      <c r="AC13" s="99">
        <v>312.69010490000255</v>
      </c>
      <c r="AD13" s="99">
        <v>5.2390945019519659</v>
      </c>
      <c r="AE13" s="99">
        <v>446.37085156630752</v>
      </c>
      <c r="AF13" s="99">
        <v>8.4512101354862335</v>
      </c>
      <c r="AG13" s="99">
        <v>720.04310354342715</v>
      </c>
      <c r="AH13" s="99">
        <v>6.8532497608857117</v>
      </c>
      <c r="AI13" s="99">
        <v>583.89687962746268</v>
      </c>
      <c r="AJ13" s="99">
        <v>7.5288276431587207</v>
      </c>
      <c r="AK13" s="99">
        <v>641.45611519712304</v>
      </c>
      <c r="AL13" s="99">
        <v>7</v>
      </c>
      <c r="AM13" s="99">
        <v>596.4</v>
      </c>
      <c r="AN13" s="99">
        <v>9</v>
      </c>
      <c r="AO13" s="99">
        <v>766.80000000000007</v>
      </c>
      <c r="AP13" s="99">
        <v>6</v>
      </c>
      <c r="AQ13" s="99">
        <v>511.20000000000005</v>
      </c>
      <c r="AR13" s="99">
        <v>3.9579032620161385</v>
      </c>
      <c r="AS13" s="99">
        <v>337.21335792377499</v>
      </c>
      <c r="AT13" s="99">
        <v>6.1954537712585518</v>
      </c>
      <c r="AU13" s="99">
        <v>527.85266131122864</v>
      </c>
      <c r="AV13" s="99">
        <v>7.766537684097683</v>
      </c>
      <c r="AW13" s="99">
        <v>661.70901068512262</v>
      </c>
      <c r="AX13" s="99">
        <v>9.125011118226741</v>
      </c>
      <c r="AY13" s="99">
        <v>777.45094727291837</v>
      </c>
      <c r="AZ13" s="99">
        <v>5.9836249671316617</v>
      </c>
      <c r="BA13" s="99">
        <v>509.8048471996176</v>
      </c>
      <c r="BB13" s="99">
        <v>5.5073917584534806</v>
      </c>
      <c r="BC13" s="99">
        <v>469.22977782023656</v>
      </c>
      <c r="BD13" s="99">
        <v>11.049995100159544</v>
      </c>
      <c r="BE13" s="99">
        <v>941.45958253359311</v>
      </c>
      <c r="BF13" s="99">
        <v>3.110242816073348</v>
      </c>
      <c r="BG13" s="99">
        <v>264.99268792944923</v>
      </c>
      <c r="BH13" s="99">
        <v>3.198290704700701</v>
      </c>
      <c r="BI13" s="99">
        <v>272.49436804049975</v>
      </c>
      <c r="BJ13" s="99">
        <v>11.38065079583272</v>
      </c>
      <c r="BK13" s="99">
        <v>969.63144780494781</v>
      </c>
      <c r="BL13" s="99">
        <v>8</v>
      </c>
      <c r="BM13" s="99">
        <v>681.6</v>
      </c>
      <c r="BN13" s="99">
        <v>9</v>
      </c>
      <c r="BO13" s="99">
        <v>766.80000000000007</v>
      </c>
      <c r="BP13" s="99">
        <v>6.4991489525937647</v>
      </c>
      <c r="BQ13" s="99">
        <v>553.72749076098876</v>
      </c>
      <c r="BR13" s="99">
        <v>3.3376330488221377</v>
      </c>
      <c r="BS13" s="99">
        <v>284.36633575964612</v>
      </c>
      <c r="BT13" s="99">
        <v>10.045841516845304</v>
      </c>
      <c r="BU13" s="99">
        <v>855.90569723521992</v>
      </c>
      <c r="BV13" s="99">
        <v>9.431400347572156</v>
      </c>
      <c r="BW13" s="99">
        <v>803.55530961314776</v>
      </c>
      <c r="BX13" s="99">
        <v>7.246864670221667</v>
      </c>
      <c r="BY13" s="99">
        <v>617.43286990288607</v>
      </c>
      <c r="BZ13" s="99">
        <v>12.297686346518082</v>
      </c>
      <c r="CA13" s="99">
        <v>1047.7628767233407</v>
      </c>
      <c r="CB13" s="99">
        <v>11</v>
      </c>
      <c r="CC13" s="99">
        <v>937.2</v>
      </c>
      <c r="CD13" s="99">
        <v>6.9854017945023772</v>
      </c>
      <c r="CE13" s="99">
        <v>595.1562328916026</v>
      </c>
      <c r="CF13" s="99">
        <v>8.4249470636049448</v>
      </c>
      <c r="CG13" s="99">
        <v>717.80548981914137</v>
      </c>
      <c r="CH13" s="99">
        <v>2.6547252100885945</v>
      </c>
      <c r="CI13" s="99">
        <v>226.18258789954825</v>
      </c>
      <c r="CJ13" s="99">
        <v>6.4756957387331759</v>
      </c>
      <c r="CK13" s="99">
        <v>551.7292769400666</v>
      </c>
      <c r="CL13" s="99">
        <v>12.152618193433501</v>
      </c>
      <c r="CM13" s="99">
        <v>1035.4030700805342</v>
      </c>
      <c r="CN13" s="99">
        <v>10</v>
      </c>
      <c r="CO13" s="99">
        <v>852</v>
      </c>
      <c r="CP13" s="99">
        <v>5.7330533259578784</v>
      </c>
      <c r="CQ13" s="99">
        <v>488.45614337161123</v>
      </c>
      <c r="CR13" s="99">
        <v>7.0657922749786186</v>
      </c>
      <c r="CS13" s="99">
        <v>602.00550182817835</v>
      </c>
      <c r="CT13" s="99">
        <v>8.8824776301310227</v>
      </c>
      <c r="CU13" s="99">
        <v>756.78709408716315</v>
      </c>
    </row>
    <row r="14" spans="1:99">
      <c r="C14" s="98" t="s">
        <v>180</v>
      </c>
      <c r="D14" s="99">
        <v>6</v>
      </c>
      <c r="E14" s="99">
        <v>2930.3999999999996</v>
      </c>
      <c r="F14" s="99">
        <v>5.7015713067302185</v>
      </c>
      <c r="G14" s="99">
        <v>2784.6474262070387</v>
      </c>
      <c r="H14" s="99">
        <v>8.5160144434735461</v>
      </c>
      <c r="I14" s="99">
        <v>4159.2214541924795</v>
      </c>
      <c r="J14" s="99">
        <v>8</v>
      </c>
      <c r="K14" s="99">
        <v>3907.2</v>
      </c>
      <c r="L14" s="99">
        <v>5.9508554766668142</v>
      </c>
      <c r="M14" s="99">
        <v>2906.3978148040719</v>
      </c>
      <c r="N14" s="99">
        <v>6</v>
      </c>
      <c r="O14" s="99">
        <v>2930.3999999999996</v>
      </c>
      <c r="P14" s="99">
        <v>8</v>
      </c>
      <c r="Q14" s="99">
        <v>3907.2</v>
      </c>
      <c r="R14" s="99">
        <v>6</v>
      </c>
      <c r="S14" s="99">
        <v>2930.3999999999996</v>
      </c>
      <c r="T14" s="99">
        <v>6.9117267020022757</v>
      </c>
      <c r="U14" s="99">
        <v>3375.6873212579112</v>
      </c>
      <c r="V14" s="99">
        <v>5</v>
      </c>
      <c r="W14" s="99">
        <v>2442</v>
      </c>
      <c r="X14" s="99">
        <v>8</v>
      </c>
      <c r="Y14" s="99">
        <v>3907.2</v>
      </c>
      <c r="Z14" s="99">
        <v>9</v>
      </c>
      <c r="AA14" s="99">
        <v>4395.5999999999995</v>
      </c>
      <c r="AB14" s="99">
        <v>3.6700716537558984</v>
      </c>
      <c r="AC14" s="99">
        <v>1792.4629956943807</v>
      </c>
      <c r="AD14" s="99">
        <v>4.8166380124669734</v>
      </c>
      <c r="AE14" s="99">
        <v>2352.4460052888699</v>
      </c>
      <c r="AF14" s="99">
        <v>8.4512101354862335</v>
      </c>
      <c r="AG14" s="99">
        <v>4127.5710301714762</v>
      </c>
      <c r="AH14" s="99">
        <v>6.7449339661569763</v>
      </c>
      <c r="AI14" s="99">
        <v>3294.2257490710672</v>
      </c>
      <c r="AJ14" s="99">
        <v>6.5288276431587207</v>
      </c>
      <c r="AK14" s="99">
        <v>3188.6794209187192</v>
      </c>
      <c r="AL14" s="99">
        <v>6</v>
      </c>
      <c r="AM14" s="99">
        <v>2930.3999999999996</v>
      </c>
      <c r="AN14" s="99">
        <v>9</v>
      </c>
      <c r="AO14" s="99">
        <v>4395.5999999999995</v>
      </c>
      <c r="AP14" s="99">
        <v>5</v>
      </c>
      <c r="AQ14" s="99">
        <v>2442</v>
      </c>
      <c r="AR14" s="99">
        <v>3.9481535279773539</v>
      </c>
      <c r="AS14" s="99">
        <v>1928.2781830641395</v>
      </c>
      <c r="AT14" s="99">
        <v>6.2008235153432256</v>
      </c>
      <c r="AU14" s="99">
        <v>3028.4822048936312</v>
      </c>
      <c r="AV14" s="99">
        <v>8.5044778586730647</v>
      </c>
      <c r="AW14" s="99">
        <v>4153.5869861759247</v>
      </c>
      <c r="AX14" s="99">
        <v>10.125011118226741</v>
      </c>
      <c r="AY14" s="99">
        <v>4945.0554301419397</v>
      </c>
      <c r="AZ14" s="99">
        <v>5.2356718462402041</v>
      </c>
      <c r="BA14" s="99">
        <v>2557.1021297037155</v>
      </c>
      <c r="BB14" s="99">
        <v>5.4756813870986525</v>
      </c>
      <c r="BC14" s="99">
        <v>2674.3227894589818</v>
      </c>
      <c r="BD14" s="99">
        <v>11.049995100159544</v>
      </c>
      <c r="BE14" s="99">
        <v>5396.8176069179208</v>
      </c>
      <c r="BF14" s="99">
        <v>3.0943744871073262</v>
      </c>
      <c r="BG14" s="99">
        <v>1511.2924995032181</v>
      </c>
      <c r="BH14" s="99">
        <v>3.676643236116377</v>
      </c>
      <c r="BI14" s="99">
        <v>1795.6725565192385</v>
      </c>
      <c r="BJ14" s="99">
        <v>9.2272451518513066</v>
      </c>
      <c r="BK14" s="99">
        <v>4506.5865321641777</v>
      </c>
      <c r="BL14" s="99">
        <v>8</v>
      </c>
      <c r="BM14" s="99">
        <v>3907.2</v>
      </c>
      <c r="BN14" s="99">
        <v>9</v>
      </c>
      <c r="BO14" s="99">
        <v>4395.5999999999995</v>
      </c>
      <c r="BP14" s="99">
        <v>6.4991489525937647</v>
      </c>
      <c r="BQ14" s="99">
        <v>3174.1843484467945</v>
      </c>
      <c r="BR14" s="99">
        <v>3.3376330488221377</v>
      </c>
      <c r="BS14" s="99">
        <v>1630.099981044732</v>
      </c>
      <c r="BT14" s="99">
        <v>9.0458415168453037</v>
      </c>
      <c r="BU14" s="99">
        <v>4417.9889968272464</v>
      </c>
      <c r="BV14" s="99">
        <v>10.089671013016197</v>
      </c>
      <c r="BW14" s="99">
        <v>4927.7953227571106</v>
      </c>
      <c r="BX14" s="99">
        <v>7.246864670221667</v>
      </c>
      <c r="BY14" s="99">
        <v>3539.368704936262</v>
      </c>
      <c r="BZ14" s="99">
        <v>11.297686346518082</v>
      </c>
      <c r="CA14" s="99">
        <v>5517.7900116394312</v>
      </c>
      <c r="CB14" s="99">
        <v>10</v>
      </c>
      <c r="CC14" s="99">
        <v>4884</v>
      </c>
      <c r="CD14" s="99">
        <v>6.0207947542720461</v>
      </c>
      <c r="CE14" s="99">
        <v>2940.556157986467</v>
      </c>
      <c r="CF14" s="99">
        <v>6.4218062952068324</v>
      </c>
      <c r="CG14" s="99">
        <v>3136.4101945790167</v>
      </c>
      <c r="CH14" s="99">
        <v>2.6547252100885945</v>
      </c>
      <c r="CI14" s="99">
        <v>1296.5677926072694</v>
      </c>
      <c r="CJ14" s="99">
        <v>5.5850825311694985</v>
      </c>
      <c r="CK14" s="99">
        <v>2727.7543082231828</v>
      </c>
      <c r="CL14" s="99">
        <v>11.152618193433501</v>
      </c>
      <c r="CM14" s="99">
        <v>5446.9387256729215</v>
      </c>
      <c r="CN14" s="99">
        <v>8</v>
      </c>
      <c r="CO14" s="99">
        <v>3907.2</v>
      </c>
      <c r="CP14" s="99">
        <v>5.7330533259578784</v>
      </c>
      <c r="CQ14" s="99">
        <v>2800.0232443978275</v>
      </c>
      <c r="CR14" s="99">
        <v>6.1825682406062912</v>
      </c>
      <c r="CS14" s="99">
        <v>3019.5663287121124</v>
      </c>
      <c r="CT14" s="99">
        <v>9.7341187209879383</v>
      </c>
      <c r="CU14" s="99">
        <v>4754.1435833305086</v>
      </c>
    </row>
    <row r="15" spans="1:99">
      <c r="C15" s="98" t="s">
        <v>181</v>
      </c>
      <c r="D15" s="99">
        <v>6</v>
      </c>
      <c r="E15" s="99">
        <v>4579.2</v>
      </c>
      <c r="F15" s="99">
        <v>6.5160814934059639</v>
      </c>
      <c r="G15" s="99">
        <v>4973.0733957674311</v>
      </c>
      <c r="H15" s="99">
        <v>7.5697906164209288</v>
      </c>
      <c r="I15" s="99">
        <v>5777.2641984524525</v>
      </c>
      <c r="J15" s="99">
        <v>8</v>
      </c>
      <c r="K15" s="99">
        <v>6105.5999999999995</v>
      </c>
      <c r="L15" s="99">
        <v>5.2862791270178109</v>
      </c>
      <c r="M15" s="99">
        <v>4034.4882297399931</v>
      </c>
      <c r="N15" s="99">
        <v>5</v>
      </c>
      <c r="O15" s="99">
        <v>3815.9999999999995</v>
      </c>
      <c r="P15" s="99">
        <v>8</v>
      </c>
      <c r="Q15" s="99">
        <v>6105.5999999999995</v>
      </c>
      <c r="R15" s="99">
        <v>5</v>
      </c>
      <c r="S15" s="99">
        <v>3815.9999999999995</v>
      </c>
      <c r="T15" s="99">
        <v>6.1437570684464671</v>
      </c>
      <c r="U15" s="99">
        <v>4688.9153946383431</v>
      </c>
      <c r="V15" s="99">
        <v>6</v>
      </c>
      <c r="W15" s="99">
        <v>4579.2</v>
      </c>
      <c r="X15" s="99">
        <v>9</v>
      </c>
      <c r="Y15" s="99">
        <v>6868.7999999999993</v>
      </c>
      <c r="Z15" s="99">
        <v>8</v>
      </c>
      <c r="AA15" s="99">
        <v>6105.5999999999995</v>
      </c>
      <c r="AB15" s="99">
        <v>3.6700716537558984</v>
      </c>
      <c r="AC15" s="99">
        <v>2800.9986861465013</v>
      </c>
      <c r="AD15" s="99">
        <v>4.8166380124669734</v>
      </c>
      <c r="AE15" s="99">
        <v>3676.0581311147939</v>
      </c>
      <c r="AF15" s="99">
        <v>8.2908365847294458</v>
      </c>
      <c r="AG15" s="99">
        <v>6327.5664814655129</v>
      </c>
      <c r="AH15" s="99">
        <v>5.9969452516002537</v>
      </c>
      <c r="AI15" s="99">
        <v>4576.8686160213128</v>
      </c>
      <c r="AJ15" s="99">
        <v>6.4406897026322678</v>
      </c>
      <c r="AK15" s="99">
        <v>4915.5343810489467</v>
      </c>
      <c r="AL15" s="99">
        <v>6</v>
      </c>
      <c r="AM15" s="99">
        <v>4579.2</v>
      </c>
      <c r="AN15" s="99">
        <v>9</v>
      </c>
      <c r="AO15" s="99">
        <v>6868.7999999999993</v>
      </c>
      <c r="AP15" s="99">
        <v>5</v>
      </c>
      <c r="AQ15" s="99">
        <v>3815.9999999999995</v>
      </c>
      <c r="AR15" s="99">
        <v>3.9481535279773539</v>
      </c>
      <c r="AS15" s="99">
        <v>3013.230772552316</v>
      </c>
      <c r="AT15" s="99">
        <v>5.4393503466364939</v>
      </c>
      <c r="AU15" s="99">
        <v>4151.3121845529713</v>
      </c>
      <c r="AV15" s="99">
        <v>8.6626857679697267</v>
      </c>
      <c r="AW15" s="99">
        <v>6611.3617781144949</v>
      </c>
      <c r="AX15" s="99">
        <v>9</v>
      </c>
      <c r="AY15" s="99">
        <v>6868.7999999999993</v>
      </c>
      <c r="AZ15" s="99">
        <v>5.2356718462402041</v>
      </c>
      <c r="BA15" s="99">
        <v>3995.8647530505236</v>
      </c>
      <c r="BB15" s="99">
        <v>4.8348229743242097</v>
      </c>
      <c r="BC15" s="99">
        <v>3689.9368940042364</v>
      </c>
      <c r="BD15" s="99">
        <v>10.87499591679962</v>
      </c>
      <c r="BE15" s="99">
        <v>8299.7968837014687</v>
      </c>
      <c r="BF15" s="99">
        <v>3.110242816073348</v>
      </c>
      <c r="BG15" s="99">
        <v>2373.7373172271791</v>
      </c>
      <c r="BH15" s="99">
        <v>3.1764123369535913</v>
      </c>
      <c r="BI15" s="99">
        <v>2424.2378955629806</v>
      </c>
      <c r="BJ15" s="99">
        <v>11.38065079583272</v>
      </c>
      <c r="BK15" s="99">
        <v>8685.7126873795314</v>
      </c>
      <c r="BL15" s="99">
        <v>7</v>
      </c>
      <c r="BM15" s="99">
        <v>5342.4</v>
      </c>
      <c r="BN15" s="99">
        <v>8</v>
      </c>
      <c r="BO15" s="99">
        <v>6105.5999999999995</v>
      </c>
      <c r="BP15" s="99">
        <v>6</v>
      </c>
      <c r="BQ15" s="99">
        <v>4579.2</v>
      </c>
      <c r="BR15" s="99">
        <v>2.860828327561832</v>
      </c>
      <c r="BS15" s="99">
        <v>2183.3841795951898</v>
      </c>
      <c r="BT15" s="99">
        <v>9.1929344425574104</v>
      </c>
      <c r="BU15" s="99">
        <v>7016.0475665598151</v>
      </c>
      <c r="BV15" s="99">
        <v>10.089671013016197</v>
      </c>
      <c r="BW15" s="99">
        <v>7700.4369171339613</v>
      </c>
      <c r="BX15" s="99">
        <v>7.9839106672950546</v>
      </c>
      <c r="BY15" s="99">
        <v>6093.3206212795849</v>
      </c>
      <c r="BZ15" s="99">
        <v>10.153498974682741</v>
      </c>
      <c r="CA15" s="99">
        <v>7749.1504174778665</v>
      </c>
      <c r="CB15" s="99">
        <v>11</v>
      </c>
      <c r="CC15" s="99">
        <v>8395.1999999999989</v>
      </c>
      <c r="CD15" s="99">
        <v>6.9854017945023772</v>
      </c>
      <c r="CE15" s="99">
        <v>5331.2586495642136</v>
      </c>
      <c r="CF15" s="99">
        <v>6.5405838025591443</v>
      </c>
      <c r="CG15" s="99">
        <v>4991.7735581131383</v>
      </c>
      <c r="CH15" s="99">
        <v>2.6547252100885945</v>
      </c>
      <c r="CI15" s="99">
        <v>2026.0862803396151</v>
      </c>
      <c r="CJ15" s="99">
        <v>6.5667422537883589</v>
      </c>
      <c r="CK15" s="99">
        <v>5011.7376880912752</v>
      </c>
      <c r="CL15" s="99">
        <v>11.317277935352571</v>
      </c>
      <c r="CM15" s="99">
        <v>8637.3465202610823</v>
      </c>
      <c r="CN15" s="99">
        <v>8</v>
      </c>
      <c r="CO15" s="99">
        <v>6105.5999999999995</v>
      </c>
      <c r="CP15" s="99">
        <v>5.7330533259578784</v>
      </c>
      <c r="CQ15" s="99">
        <v>4375.4662983710523</v>
      </c>
      <c r="CR15" s="99">
        <v>6.2610996134449746</v>
      </c>
      <c r="CS15" s="99">
        <v>4778.4712249812046</v>
      </c>
      <c r="CT15" s="99">
        <v>8.9266207546123919</v>
      </c>
      <c r="CU15" s="99">
        <v>6812.796959920177</v>
      </c>
    </row>
    <row r="16" spans="1:99">
      <c r="C16" s="98" t="s">
        <v>182</v>
      </c>
      <c r="D16" s="99">
        <v>5</v>
      </c>
      <c r="E16" s="99">
        <v>1704</v>
      </c>
      <c r="F16" s="99">
        <v>6.5160814934059639</v>
      </c>
      <c r="G16" s="99">
        <v>2220.6805729527528</v>
      </c>
      <c r="H16" s="99">
        <v>8.5160144434735461</v>
      </c>
      <c r="I16" s="99">
        <v>2902.2577223357848</v>
      </c>
      <c r="J16" s="99">
        <v>8</v>
      </c>
      <c r="K16" s="99">
        <v>2726.4</v>
      </c>
      <c r="L16" s="99">
        <v>5.9205238064926036</v>
      </c>
      <c r="M16" s="99">
        <v>2017.7145132526794</v>
      </c>
      <c r="N16" s="99">
        <v>5</v>
      </c>
      <c r="O16" s="99">
        <v>1704</v>
      </c>
      <c r="P16" s="99">
        <v>9</v>
      </c>
      <c r="Q16" s="99">
        <v>3067.2000000000003</v>
      </c>
      <c r="R16" s="99">
        <v>6</v>
      </c>
      <c r="S16" s="99">
        <v>2044.8000000000002</v>
      </c>
      <c r="T16" s="99">
        <v>6.9117267020022757</v>
      </c>
      <c r="U16" s="99">
        <v>2355.5164600423755</v>
      </c>
      <c r="V16" s="99">
        <v>5</v>
      </c>
      <c r="W16" s="99">
        <v>1704</v>
      </c>
      <c r="X16" s="99">
        <v>8</v>
      </c>
      <c r="Y16" s="99">
        <v>2726.4</v>
      </c>
      <c r="Z16" s="99">
        <v>8</v>
      </c>
      <c r="AA16" s="99">
        <v>2726.4</v>
      </c>
      <c r="AB16" s="99">
        <v>3.6700716537558984</v>
      </c>
      <c r="AC16" s="99">
        <v>1250.7604196000102</v>
      </c>
      <c r="AD16" s="99">
        <v>5.237597864266367</v>
      </c>
      <c r="AE16" s="99">
        <v>1784.973352141978</v>
      </c>
      <c r="AF16" s="99">
        <v>9.3071444639760283</v>
      </c>
      <c r="AG16" s="99">
        <v>3171.8748333230305</v>
      </c>
      <c r="AH16" s="99">
        <v>6.8520150672286482</v>
      </c>
      <c r="AI16" s="99">
        <v>2335.1667349115232</v>
      </c>
      <c r="AJ16" s="99">
        <v>6.5288276431587207</v>
      </c>
      <c r="AK16" s="99">
        <v>2225.024460788492</v>
      </c>
      <c r="AL16" s="99">
        <v>5</v>
      </c>
      <c r="AM16" s="99">
        <v>1704</v>
      </c>
      <c r="AN16" s="99">
        <v>9</v>
      </c>
      <c r="AO16" s="99">
        <v>3067.2000000000003</v>
      </c>
      <c r="AP16" s="99">
        <v>6</v>
      </c>
      <c r="AQ16" s="99">
        <v>2044.8000000000002</v>
      </c>
      <c r="AR16" s="99">
        <v>3.9579032620161385</v>
      </c>
      <c r="AS16" s="99">
        <v>1348.8534316951</v>
      </c>
      <c r="AT16" s="99">
        <v>6.2008235153432256</v>
      </c>
      <c r="AU16" s="99">
        <v>2113.2406540289712</v>
      </c>
      <c r="AV16" s="99">
        <v>8.6663505002499068</v>
      </c>
      <c r="AW16" s="99">
        <v>2953.4922504851684</v>
      </c>
      <c r="AX16" s="99">
        <v>9.96429524419435</v>
      </c>
      <c r="AY16" s="99">
        <v>3395.8318192214347</v>
      </c>
      <c r="AZ16" s="99">
        <v>5.9836249671316617</v>
      </c>
      <c r="BA16" s="99">
        <v>2039.2193887984704</v>
      </c>
      <c r="BB16" s="99">
        <v>5.5073917584534806</v>
      </c>
      <c r="BC16" s="99">
        <v>1876.9191112809463</v>
      </c>
      <c r="BD16" s="99">
        <v>11.049995100159544</v>
      </c>
      <c r="BE16" s="99">
        <v>3765.8383301343724</v>
      </c>
      <c r="BF16" s="99">
        <v>3.5341610811275124</v>
      </c>
      <c r="BG16" s="99">
        <v>1204.4420964482563</v>
      </c>
      <c r="BH16" s="99">
        <v>3.676643236116377</v>
      </c>
      <c r="BI16" s="99">
        <v>1253.0000148684612</v>
      </c>
      <c r="BJ16" s="99">
        <v>11.227245151851307</v>
      </c>
      <c r="BK16" s="99">
        <v>3826.2451477509253</v>
      </c>
      <c r="BL16" s="99">
        <v>9</v>
      </c>
      <c r="BM16" s="99">
        <v>3067.2000000000003</v>
      </c>
      <c r="BN16" s="99">
        <v>10</v>
      </c>
      <c r="BO16" s="99">
        <v>3408</v>
      </c>
      <c r="BP16" s="99">
        <v>7</v>
      </c>
      <c r="BQ16" s="99">
        <v>2385.6</v>
      </c>
      <c r="BR16" s="99">
        <v>3.3376330488221377</v>
      </c>
      <c r="BS16" s="99">
        <v>1137.4653430385845</v>
      </c>
      <c r="BT16" s="99">
        <v>9.1939463823611955</v>
      </c>
      <c r="BU16" s="99">
        <v>3133.2969271086954</v>
      </c>
      <c r="BV16" s="99">
        <v>10.431400347572156</v>
      </c>
      <c r="BW16" s="99">
        <v>3555.0212384525908</v>
      </c>
      <c r="BX16" s="99">
        <v>8.8604764530702074</v>
      </c>
      <c r="BY16" s="99">
        <v>3019.6503752063268</v>
      </c>
      <c r="BZ16" s="99">
        <v>10.297686346518082</v>
      </c>
      <c r="CA16" s="99">
        <v>3509.4515068933624</v>
      </c>
      <c r="CB16" s="99">
        <v>12</v>
      </c>
      <c r="CC16" s="99">
        <v>4089.6000000000004</v>
      </c>
      <c r="CD16" s="99">
        <v>6.0596535064203882</v>
      </c>
      <c r="CE16" s="99">
        <v>2065.1299149880683</v>
      </c>
      <c r="CF16" s="99">
        <v>7.4807635949407745</v>
      </c>
      <c r="CG16" s="99">
        <v>2549.4442331558162</v>
      </c>
      <c r="CH16" s="99">
        <v>2.9201977310974541</v>
      </c>
      <c r="CI16" s="99">
        <v>995.20338675801236</v>
      </c>
      <c r="CJ16" s="99">
        <v>6.5667422537883589</v>
      </c>
      <c r="CK16" s="99">
        <v>2237.9457600910728</v>
      </c>
      <c r="CL16" s="99">
        <v>12.317277935352571</v>
      </c>
      <c r="CM16" s="99">
        <v>4197.7283203681563</v>
      </c>
      <c r="CN16" s="99">
        <v>9</v>
      </c>
      <c r="CO16" s="99">
        <v>3067.2000000000003</v>
      </c>
      <c r="CP16" s="99">
        <v>5.7330533259578784</v>
      </c>
      <c r="CQ16" s="99">
        <v>1953.8245734864449</v>
      </c>
      <c r="CR16" s="99">
        <v>6.9872609021399343</v>
      </c>
      <c r="CS16" s="99">
        <v>2381.2585154492899</v>
      </c>
      <c r="CT16" s="99">
        <v>8.0749796637554745</v>
      </c>
      <c r="CU16" s="99">
        <v>2751.9530694078658</v>
      </c>
    </row>
    <row r="17" spans="2:99">
      <c r="C17" s="98" t="s">
        <v>183</v>
      </c>
      <c r="D17" s="99">
        <v>5</v>
      </c>
      <c r="E17" s="99">
        <v>2112</v>
      </c>
      <c r="F17" s="99">
        <v>5.7015713067302185</v>
      </c>
      <c r="G17" s="99">
        <v>2408.3437199628443</v>
      </c>
      <c r="H17" s="99">
        <v>8.5160144434735461</v>
      </c>
      <c r="I17" s="99">
        <v>3597.1645009232257</v>
      </c>
      <c r="J17" s="99">
        <v>9</v>
      </c>
      <c r="K17" s="99">
        <v>3801.6</v>
      </c>
      <c r="L17" s="99">
        <v>5.3166107971920216</v>
      </c>
      <c r="M17" s="99">
        <v>2245.7364007339097</v>
      </c>
      <c r="N17" s="99">
        <v>5</v>
      </c>
      <c r="O17" s="99">
        <v>2112</v>
      </c>
      <c r="P17" s="99">
        <v>9</v>
      </c>
      <c r="Q17" s="99">
        <v>3801.6</v>
      </c>
      <c r="R17" s="99">
        <v>6</v>
      </c>
      <c r="S17" s="99">
        <v>2534.3999999999996</v>
      </c>
      <c r="T17" s="99">
        <v>6.1437570684464671</v>
      </c>
      <c r="U17" s="99">
        <v>2595.1229857117874</v>
      </c>
      <c r="V17" s="99">
        <v>5</v>
      </c>
      <c r="W17" s="99">
        <v>2112</v>
      </c>
      <c r="X17" s="99">
        <v>8</v>
      </c>
      <c r="Y17" s="99">
        <v>3379.2</v>
      </c>
      <c r="Z17" s="99">
        <v>8</v>
      </c>
      <c r="AA17" s="99">
        <v>3379.2</v>
      </c>
      <c r="AB17" s="99">
        <v>3.6700716537558984</v>
      </c>
      <c r="AC17" s="99">
        <v>1550.2382665464913</v>
      </c>
      <c r="AD17" s="99">
        <v>6.0219236681439821</v>
      </c>
      <c r="AE17" s="99">
        <v>2543.660557424018</v>
      </c>
      <c r="AF17" s="99">
        <v>9.1467709132192407</v>
      </c>
      <c r="AG17" s="99">
        <v>3863.5960337438069</v>
      </c>
      <c r="AH17" s="99">
        <v>7.7077022296855748</v>
      </c>
      <c r="AI17" s="99">
        <v>3255.7334218191868</v>
      </c>
      <c r="AJ17" s="99">
        <v>7.5288276431587207</v>
      </c>
      <c r="AK17" s="99">
        <v>3180.1767964702435</v>
      </c>
      <c r="AL17" s="99">
        <v>6</v>
      </c>
      <c r="AM17" s="99">
        <v>2534.3999999999996</v>
      </c>
      <c r="AN17" s="99">
        <v>9</v>
      </c>
      <c r="AO17" s="99">
        <v>3801.6</v>
      </c>
      <c r="AP17" s="99">
        <v>6</v>
      </c>
      <c r="AQ17" s="99">
        <v>2534.3999999999996</v>
      </c>
      <c r="AR17" s="99">
        <v>3.9481535279773539</v>
      </c>
      <c r="AS17" s="99">
        <v>1667.7000502176343</v>
      </c>
      <c r="AT17" s="99">
        <v>5.5483885123258601</v>
      </c>
      <c r="AU17" s="99">
        <v>2343.6393076064433</v>
      </c>
      <c r="AV17" s="99">
        <v>8.5008131263928828</v>
      </c>
      <c r="AW17" s="99">
        <v>3590.7434645883536</v>
      </c>
      <c r="AX17" s="99">
        <v>8.96429524419435</v>
      </c>
      <c r="AY17" s="99">
        <v>3786.5183111476931</v>
      </c>
      <c r="AZ17" s="99">
        <v>5.9836249671316617</v>
      </c>
      <c r="BA17" s="99">
        <v>2527.4831861164139</v>
      </c>
      <c r="BB17" s="99">
        <v>5.4756813870986525</v>
      </c>
      <c r="BC17" s="99">
        <v>2312.9278179104708</v>
      </c>
      <c r="BD17" s="99">
        <v>11.049995100159544</v>
      </c>
      <c r="BE17" s="99">
        <v>4667.517930307391</v>
      </c>
      <c r="BF17" s="99">
        <v>3.0943744871073262</v>
      </c>
      <c r="BG17" s="99">
        <v>1307.0637833541346</v>
      </c>
      <c r="BH17" s="99">
        <v>3.6985216038634867</v>
      </c>
      <c r="BI17" s="99">
        <v>1562.2555254719366</v>
      </c>
      <c r="BJ17" s="99">
        <v>10.38065079583272</v>
      </c>
      <c r="BK17" s="99">
        <v>4384.7868961597405</v>
      </c>
      <c r="BL17" s="99">
        <v>8</v>
      </c>
      <c r="BM17" s="99">
        <v>3379.2</v>
      </c>
      <c r="BN17" s="99">
        <v>10</v>
      </c>
      <c r="BO17" s="99">
        <v>4224</v>
      </c>
      <c r="BP17" s="99">
        <v>6</v>
      </c>
      <c r="BQ17" s="99">
        <v>2534.3999999999996</v>
      </c>
      <c r="BR17" s="99">
        <v>3.3376330488221377</v>
      </c>
      <c r="BS17" s="99">
        <v>1409.8161998224709</v>
      </c>
      <c r="BT17" s="99">
        <v>8.1939463823611955</v>
      </c>
      <c r="BU17" s="99">
        <v>3461.122951909369</v>
      </c>
      <c r="BV17" s="99">
        <v>10.085177250257162</v>
      </c>
      <c r="BW17" s="99">
        <v>4259.9788705086248</v>
      </c>
      <c r="BX17" s="99">
        <v>8.8639665853394636</v>
      </c>
      <c r="BY17" s="99">
        <v>3744.1394856473894</v>
      </c>
      <c r="BZ17" s="99">
        <v>10.297686346518082</v>
      </c>
      <c r="CA17" s="99">
        <v>4349.7427127692381</v>
      </c>
      <c r="CB17" s="99">
        <v>11</v>
      </c>
      <c r="CC17" s="99">
        <v>4646.3999999999996</v>
      </c>
      <c r="CD17" s="99">
        <v>6.0207947542720461</v>
      </c>
      <c r="CE17" s="99">
        <v>2543.1837042045122</v>
      </c>
      <c r="CF17" s="99">
        <v>7.4847672712233146</v>
      </c>
      <c r="CG17" s="99">
        <v>3161.5656953647281</v>
      </c>
      <c r="CH17" s="99">
        <v>2.389252689079735</v>
      </c>
      <c r="CI17" s="99">
        <v>1009.22033586728</v>
      </c>
      <c r="CJ17" s="99">
        <v>5.4912175652079656</v>
      </c>
      <c r="CK17" s="99">
        <v>2319.4902995438447</v>
      </c>
      <c r="CL17" s="99">
        <v>12.317277935352571</v>
      </c>
      <c r="CM17" s="99">
        <v>5202.8181998929258</v>
      </c>
      <c r="CN17" s="99">
        <v>8</v>
      </c>
      <c r="CO17" s="99">
        <v>3379.2</v>
      </c>
      <c r="CP17" s="99">
        <v>5.7330533259578784</v>
      </c>
      <c r="CQ17" s="99">
        <v>2421.6417248846078</v>
      </c>
      <c r="CR17" s="99">
        <v>6.9872609021399343</v>
      </c>
      <c r="CS17" s="99">
        <v>2951.4190050639081</v>
      </c>
      <c r="CT17" s="99">
        <v>8.8824776301310227</v>
      </c>
      <c r="CU17" s="99">
        <v>3751.9585509673439</v>
      </c>
    </row>
    <row r="18" spans="2:99">
      <c r="C18" s="98" t="s">
        <v>184</v>
      </c>
      <c r="D18" s="99">
        <v>6</v>
      </c>
      <c r="E18" s="99">
        <v>3916.7999999999997</v>
      </c>
      <c r="F18" s="99">
        <v>6.5160814934059639</v>
      </c>
      <c r="G18" s="99">
        <v>4253.6979988954126</v>
      </c>
      <c r="H18" s="99">
        <v>8.5160144434735461</v>
      </c>
      <c r="I18" s="99">
        <v>5559.2542286995304</v>
      </c>
      <c r="J18" s="99">
        <v>8</v>
      </c>
      <c r="K18" s="99">
        <v>5222.3999999999996</v>
      </c>
      <c r="L18" s="99">
        <v>5.3166107971920216</v>
      </c>
      <c r="M18" s="99">
        <v>3470.6835284069516</v>
      </c>
      <c r="N18" s="99">
        <v>5</v>
      </c>
      <c r="O18" s="99">
        <v>3264</v>
      </c>
      <c r="P18" s="99">
        <v>8</v>
      </c>
      <c r="Q18" s="99">
        <v>5222.3999999999996</v>
      </c>
      <c r="R18" s="99">
        <v>6</v>
      </c>
      <c r="S18" s="99">
        <v>3916.7999999999997</v>
      </c>
      <c r="T18" s="99">
        <v>6.1437570684464671</v>
      </c>
      <c r="U18" s="99">
        <v>4010.6446142818536</v>
      </c>
      <c r="V18" s="99">
        <v>5</v>
      </c>
      <c r="W18" s="99">
        <v>3264</v>
      </c>
      <c r="X18" s="99">
        <v>8</v>
      </c>
      <c r="Y18" s="99">
        <v>5222.3999999999996</v>
      </c>
      <c r="Z18" s="99">
        <v>8</v>
      </c>
      <c r="AA18" s="99">
        <v>5222.3999999999996</v>
      </c>
      <c r="AB18" s="99">
        <v>3.6700716537558984</v>
      </c>
      <c r="AC18" s="99">
        <v>2395.8227755718503</v>
      </c>
      <c r="AD18" s="99">
        <v>5.9476851053559967</v>
      </c>
      <c r="AE18" s="99">
        <v>3882.6488367763945</v>
      </c>
      <c r="AF18" s="99">
        <v>8.4512101354862335</v>
      </c>
      <c r="AG18" s="99">
        <v>5516.9499764454131</v>
      </c>
      <c r="AH18" s="99">
        <v>6.8520150672286482</v>
      </c>
      <c r="AI18" s="99">
        <v>4472.9954358868608</v>
      </c>
      <c r="AJ18" s="99">
        <v>6.4406897026322678</v>
      </c>
      <c r="AK18" s="99">
        <v>4204.4822378783438</v>
      </c>
      <c r="AL18" s="99">
        <v>6</v>
      </c>
      <c r="AM18" s="99">
        <v>3916.7999999999997</v>
      </c>
      <c r="AN18" s="99">
        <v>9</v>
      </c>
      <c r="AO18" s="99">
        <v>5875.2</v>
      </c>
      <c r="AP18" s="99">
        <v>5</v>
      </c>
      <c r="AQ18" s="99">
        <v>3264</v>
      </c>
      <c r="AR18" s="99">
        <v>3.9481535279773539</v>
      </c>
      <c r="AS18" s="99">
        <v>2577.3546230636166</v>
      </c>
      <c r="AT18" s="99">
        <v>6.0917853496538594</v>
      </c>
      <c r="AU18" s="99">
        <v>3976.717476254039</v>
      </c>
      <c r="AV18" s="99">
        <v>7.6046650425208417</v>
      </c>
      <c r="AW18" s="99">
        <v>4964.3253397576054</v>
      </c>
      <c r="AX18" s="99">
        <v>8.96429524419435</v>
      </c>
      <c r="AY18" s="99">
        <v>5851.8919354100717</v>
      </c>
      <c r="AZ18" s="99">
        <v>5.2356718462402041</v>
      </c>
      <c r="BA18" s="99">
        <v>3417.846581225605</v>
      </c>
      <c r="BB18" s="99">
        <v>6.1165397998730953</v>
      </c>
      <c r="BC18" s="99">
        <v>3992.8771813571561</v>
      </c>
      <c r="BD18" s="99">
        <v>10.87499591679962</v>
      </c>
      <c r="BE18" s="99">
        <v>7099.1973344867911</v>
      </c>
      <c r="BF18" s="99">
        <v>3.0943744871073262</v>
      </c>
      <c r="BG18" s="99">
        <v>2020.0076651836623</v>
      </c>
      <c r="BH18" s="99">
        <v>3.198290704700701</v>
      </c>
      <c r="BI18" s="99">
        <v>2087.8441720286173</v>
      </c>
      <c r="BJ18" s="99">
        <v>9.2272451518513066</v>
      </c>
      <c r="BK18" s="99">
        <v>6023.5456351285329</v>
      </c>
      <c r="BL18" s="99">
        <v>8</v>
      </c>
      <c r="BM18" s="99">
        <v>5222.3999999999996</v>
      </c>
      <c r="BN18" s="99">
        <v>9</v>
      </c>
      <c r="BO18" s="99">
        <v>5875.2</v>
      </c>
      <c r="BP18" s="99">
        <v>6</v>
      </c>
      <c r="BQ18" s="99">
        <v>3916.7999999999997</v>
      </c>
      <c r="BR18" s="99">
        <v>2.860828327561832</v>
      </c>
      <c r="BS18" s="99">
        <v>1867.5487322323638</v>
      </c>
      <c r="BT18" s="99">
        <v>10.046853456649089</v>
      </c>
      <c r="BU18" s="99">
        <v>6558.5859365005244</v>
      </c>
      <c r="BV18" s="99">
        <v>9.9705936839073015</v>
      </c>
      <c r="BW18" s="99">
        <v>6508.8035568546857</v>
      </c>
      <c r="BX18" s="99">
        <v>7.9839106672950546</v>
      </c>
      <c r="BY18" s="99">
        <v>5211.8968836102113</v>
      </c>
      <c r="BZ18" s="99">
        <v>11.297686346518082</v>
      </c>
      <c r="CA18" s="99">
        <v>7375.1296470070038</v>
      </c>
      <c r="CB18" s="99">
        <v>10</v>
      </c>
      <c r="CC18" s="99">
        <v>6528</v>
      </c>
      <c r="CD18" s="99">
        <v>6.0207947542720461</v>
      </c>
      <c r="CE18" s="99">
        <v>3930.3748155887915</v>
      </c>
      <c r="CF18" s="99">
        <v>7.3619860875884626</v>
      </c>
      <c r="CG18" s="99">
        <v>4805.9045179777477</v>
      </c>
      <c r="CH18" s="99">
        <v>2.6547252100885945</v>
      </c>
      <c r="CI18" s="99">
        <v>1733.0046171458343</v>
      </c>
      <c r="CJ18" s="99">
        <v>6.5667422537883589</v>
      </c>
      <c r="CK18" s="99">
        <v>4286.7693432730402</v>
      </c>
      <c r="CL18" s="99">
        <v>12.317277935352571</v>
      </c>
      <c r="CM18" s="99">
        <v>8040.7190361981575</v>
      </c>
      <c r="CN18" s="99">
        <v>9</v>
      </c>
      <c r="CO18" s="99">
        <v>5875.2</v>
      </c>
      <c r="CP18" s="99">
        <v>5.7330533259578784</v>
      </c>
      <c r="CQ18" s="99">
        <v>3742.5372111853026</v>
      </c>
      <c r="CR18" s="99">
        <v>6.9872609021399343</v>
      </c>
      <c r="CS18" s="99">
        <v>4561.2839169169492</v>
      </c>
      <c r="CT18" s="99">
        <v>8.8824776301310227</v>
      </c>
      <c r="CU18" s="99">
        <v>5798.4813969495308</v>
      </c>
    </row>
    <row r="19" spans="2:99">
      <c r="C19" s="98" t="s">
        <v>185</v>
      </c>
      <c r="D19" s="99">
        <v>6</v>
      </c>
      <c r="E19" s="99">
        <v>1980</v>
      </c>
      <c r="F19" s="99">
        <v>6.5160814934059639</v>
      </c>
      <c r="G19" s="99">
        <v>2150.3068928239682</v>
      </c>
      <c r="H19" s="99">
        <v>7.5697906164209288</v>
      </c>
      <c r="I19" s="99">
        <v>2498.0309034189063</v>
      </c>
      <c r="J19" s="99">
        <v>9</v>
      </c>
      <c r="K19" s="99">
        <v>2970</v>
      </c>
      <c r="L19" s="99">
        <v>5.9508554766668142</v>
      </c>
      <c r="M19" s="99">
        <v>1963.7823073000486</v>
      </c>
      <c r="N19" s="99">
        <v>6</v>
      </c>
      <c r="O19" s="99">
        <v>1980</v>
      </c>
      <c r="P19" s="99">
        <v>9</v>
      </c>
      <c r="Q19" s="99">
        <v>2970</v>
      </c>
      <c r="R19" s="99">
        <v>5</v>
      </c>
      <c r="S19" s="99">
        <v>1650</v>
      </c>
      <c r="T19" s="99">
        <v>6.9117267020022757</v>
      </c>
      <c r="U19" s="99">
        <v>2280.8698116607511</v>
      </c>
      <c r="V19" s="99">
        <v>5</v>
      </c>
      <c r="W19" s="99">
        <v>1650</v>
      </c>
      <c r="X19" s="99">
        <v>8</v>
      </c>
      <c r="Y19" s="99">
        <v>2640</v>
      </c>
      <c r="Z19" s="99">
        <v>9</v>
      </c>
      <c r="AA19" s="99">
        <v>2970</v>
      </c>
      <c r="AB19" s="99">
        <v>3.6700716537558984</v>
      </c>
      <c r="AC19" s="99">
        <v>1211.1236457394464</v>
      </c>
      <c r="AD19" s="99">
        <v>5.1633593014783825</v>
      </c>
      <c r="AE19" s="99">
        <v>1703.9085694878663</v>
      </c>
      <c r="AF19" s="99">
        <v>9.1467709132192407</v>
      </c>
      <c r="AG19" s="99">
        <v>3018.4344013623495</v>
      </c>
      <c r="AH19" s="99">
        <v>5.9969452516002537</v>
      </c>
      <c r="AI19" s="99">
        <v>1978.9919330280836</v>
      </c>
      <c r="AJ19" s="99">
        <v>6.5288276431587207</v>
      </c>
      <c r="AK19" s="99">
        <v>2154.5131222423779</v>
      </c>
      <c r="AL19" s="99">
        <v>6</v>
      </c>
      <c r="AM19" s="99">
        <v>1980</v>
      </c>
      <c r="AN19" s="99">
        <v>9</v>
      </c>
      <c r="AO19" s="99">
        <v>2970</v>
      </c>
      <c r="AP19" s="99">
        <v>6</v>
      </c>
      <c r="AQ19" s="99">
        <v>1980</v>
      </c>
      <c r="AR19" s="99">
        <v>4.502425726506762</v>
      </c>
      <c r="AS19" s="99">
        <v>1485.8004897472315</v>
      </c>
      <c r="AT19" s="99">
        <v>5.4447200907211686</v>
      </c>
      <c r="AU19" s="99">
        <v>1796.7576299379857</v>
      </c>
      <c r="AV19" s="99">
        <v>7.6046650425208417</v>
      </c>
      <c r="AW19" s="99">
        <v>2509.5394640318777</v>
      </c>
      <c r="AX19" s="99">
        <v>10.125011118226741</v>
      </c>
      <c r="AY19" s="99">
        <v>3341.2536690148245</v>
      </c>
      <c r="AZ19" s="99">
        <v>5.2356718462402041</v>
      </c>
      <c r="BA19" s="99">
        <v>1727.7717092592673</v>
      </c>
      <c r="BB19" s="99">
        <v>5.5073917584534806</v>
      </c>
      <c r="BC19" s="99">
        <v>1817.4392802896487</v>
      </c>
      <c r="BD19" s="99">
        <v>10.87499591679962</v>
      </c>
      <c r="BE19" s="99">
        <v>3588.7486525438744</v>
      </c>
      <c r="BF19" s="99">
        <v>3.110242816073348</v>
      </c>
      <c r="BG19" s="99">
        <v>1026.3801293042047</v>
      </c>
      <c r="BH19" s="99">
        <v>3.198290704700701</v>
      </c>
      <c r="BI19" s="99">
        <v>1055.4359325512314</v>
      </c>
      <c r="BJ19" s="99">
        <v>10.227245151851307</v>
      </c>
      <c r="BK19" s="99">
        <v>3374.9909001109313</v>
      </c>
      <c r="BL19" s="99">
        <v>8</v>
      </c>
      <c r="BM19" s="99">
        <v>2640</v>
      </c>
      <c r="BN19" s="99">
        <v>10</v>
      </c>
      <c r="BO19" s="99">
        <v>3300</v>
      </c>
      <c r="BP19" s="99">
        <v>7</v>
      </c>
      <c r="BQ19" s="99">
        <v>2310</v>
      </c>
      <c r="BR19" s="99">
        <v>3.3316080515545146</v>
      </c>
      <c r="BS19" s="99">
        <v>1099.4306570129897</v>
      </c>
      <c r="BT19" s="99">
        <v>9.0458415168453037</v>
      </c>
      <c r="BU19" s="99">
        <v>2985.1277005589504</v>
      </c>
      <c r="BV19" s="99">
        <v>11.089671013016197</v>
      </c>
      <c r="BW19" s="99">
        <v>3659.5914342953452</v>
      </c>
      <c r="BX19" s="99">
        <v>8.1234304559968198</v>
      </c>
      <c r="BY19" s="99">
        <v>2680.7320504789504</v>
      </c>
      <c r="BZ19" s="99">
        <v>10.297686346518082</v>
      </c>
      <c r="CA19" s="99">
        <v>3398.236494350967</v>
      </c>
      <c r="CB19" s="99">
        <v>12</v>
      </c>
      <c r="CC19" s="99">
        <v>3960</v>
      </c>
      <c r="CD19" s="99">
        <v>7.0242605466507193</v>
      </c>
      <c r="CE19" s="99">
        <v>2318.0059803947374</v>
      </c>
      <c r="CF19" s="99">
        <v>6.5405838025591443</v>
      </c>
      <c r="CG19" s="99">
        <v>2158.3926548445174</v>
      </c>
      <c r="CH19" s="99">
        <v>2.389252689079735</v>
      </c>
      <c r="CI19" s="99">
        <v>788.45338739631256</v>
      </c>
      <c r="CJ19" s="99">
        <v>6.4756957387331759</v>
      </c>
      <c r="CK19" s="99">
        <v>2136.9795937819481</v>
      </c>
      <c r="CL19" s="99">
        <v>12.317277935352571</v>
      </c>
      <c r="CM19" s="99">
        <v>4064.7017186663484</v>
      </c>
      <c r="CN19" s="99">
        <v>9</v>
      </c>
      <c r="CO19" s="99">
        <v>2970</v>
      </c>
      <c r="CP19" s="99">
        <v>6.6885622136175247</v>
      </c>
      <c r="CQ19" s="99">
        <v>2207.225530493783</v>
      </c>
      <c r="CR19" s="99">
        <v>7.7919535636735775</v>
      </c>
      <c r="CS19" s="99">
        <v>2571.3446760122806</v>
      </c>
      <c r="CT19" s="99">
        <v>9.8405738573450527</v>
      </c>
      <c r="CU19" s="99">
        <v>3247.3893729238675</v>
      </c>
    </row>
    <row r="20" spans="2:99">
      <c r="B20" s="98" t="s">
        <v>127</v>
      </c>
      <c r="C20" s="98" t="s">
        <v>186</v>
      </c>
      <c r="D20" s="99">
        <v>10</v>
      </c>
      <c r="E20" s="99">
        <v>2868</v>
      </c>
      <c r="F20" s="99">
        <v>8.1451018667574555</v>
      </c>
      <c r="G20" s="99">
        <v>2336.0152153860381</v>
      </c>
      <c r="H20" s="99">
        <v>8.5160144434735461</v>
      </c>
      <c r="I20" s="99">
        <v>2442.3929423882132</v>
      </c>
      <c r="J20" s="99">
        <v>6</v>
      </c>
      <c r="K20" s="99">
        <v>1720.8000000000002</v>
      </c>
      <c r="L20" s="99">
        <v>4.8340244685882796</v>
      </c>
      <c r="M20" s="99">
        <v>1386.3982175911187</v>
      </c>
      <c r="N20" s="99">
        <v>9</v>
      </c>
      <c r="O20" s="99">
        <v>2581.2000000000003</v>
      </c>
      <c r="P20" s="99">
        <v>7</v>
      </c>
      <c r="Q20" s="99">
        <v>2007.6000000000001</v>
      </c>
      <c r="R20" s="99">
        <v>5</v>
      </c>
      <c r="S20" s="99">
        <v>1434</v>
      </c>
      <c r="T20" s="99">
        <v>6.9117267020022757</v>
      </c>
      <c r="U20" s="99">
        <v>1982.2832181342528</v>
      </c>
      <c r="V20" s="99">
        <v>10</v>
      </c>
      <c r="W20" s="99">
        <v>2868</v>
      </c>
      <c r="X20" s="99">
        <v>10</v>
      </c>
      <c r="Y20" s="99">
        <v>2868</v>
      </c>
      <c r="Z20" s="99">
        <v>8</v>
      </c>
      <c r="AA20" s="99">
        <v>2294.4</v>
      </c>
      <c r="AB20" s="99">
        <v>3.6700716537558984</v>
      </c>
      <c r="AC20" s="99">
        <v>1052.5765502971917</v>
      </c>
      <c r="AD20" s="99">
        <v>4.8798855491534257</v>
      </c>
      <c r="AE20" s="99">
        <v>1399.5511754972026</v>
      </c>
      <c r="AF20" s="99">
        <v>9.681607781851163</v>
      </c>
      <c r="AG20" s="99">
        <v>2776.6851118349136</v>
      </c>
      <c r="AH20" s="99">
        <v>8.0301802265576558</v>
      </c>
      <c r="AI20" s="99">
        <v>2303.0556889767358</v>
      </c>
      <c r="AJ20" s="99">
        <v>6.8813794052645347</v>
      </c>
      <c r="AK20" s="99">
        <v>1973.5796134298687</v>
      </c>
      <c r="AL20" s="99">
        <v>9</v>
      </c>
      <c r="AM20" s="99">
        <v>2581.2000000000003</v>
      </c>
      <c r="AN20" s="99">
        <v>7</v>
      </c>
      <c r="AO20" s="99">
        <v>2007.6000000000001</v>
      </c>
      <c r="AP20" s="99">
        <v>10</v>
      </c>
      <c r="AQ20" s="99">
        <v>2868</v>
      </c>
      <c r="AR20" s="99">
        <v>4.9995286997126849</v>
      </c>
      <c r="AS20" s="99">
        <v>1433.8648310775982</v>
      </c>
      <c r="AT20" s="99">
        <v>7.0338973482695684</v>
      </c>
      <c r="AU20" s="99">
        <v>2017.3217594837122</v>
      </c>
      <c r="AV20" s="99">
        <v>8.5832303565422574</v>
      </c>
      <c r="AW20" s="99">
        <v>2461.6704662563197</v>
      </c>
      <c r="AX20" s="99">
        <v>9.089306362421091</v>
      </c>
      <c r="AY20" s="99">
        <v>2606.8130647423691</v>
      </c>
      <c r="AZ20" s="99">
        <v>8.2274843298060354</v>
      </c>
      <c r="BA20" s="99">
        <v>2359.6425057883712</v>
      </c>
      <c r="BB20" s="99">
        <v>8.9999814974527634</v>
      </c>
      <c r="BC20" s="99">
        <v>2581.1946934694524</v>
      </c>
      <c r="BD20" s="99">
        <v>12.27498938367901</v>
      </c>
      <c r="BE20" s="99">
        <v>3520.4669552391401</v>
      </c>
      <c r="BF20" s="99">
        <v>4.0850259779098517</v>
      </c>
      <c r="BG20" s="99">
        <v>1171.5854504645456</v>
      </c>
      <c r="BH20" s="99">
        <v>3.3514392789304672</v>
      </c>
      <c r="BI20" s="99">
        <v>961.19278519725799</v>
      </c>
      <c r="BJ20" s="99">
        <v>10.84086772777696</v>
      </c>
      <c r="BK20" s="99">
        <v>3109.1608643264321</v>
      </c>
      <c r="BL20" s="99">
        <v>9</v>
      </c>
      <c r="BM20" s="99">
        <v>2581.2000000000003</v>
      </c>
      <c r="BN20" s="99">
        <v>10</v>
      </c>
      <c r="BO20" s="99">
        <v>2868</v>
      </c>
      <c r="BP20" s="99">
        <v>7.8873759157222478</v>
      </c>
      <c r="BQ20" s="99">
        <v>2262.0994126291407</v>
      </c>
      <c r="BR20" s="99">
        <v>3.8445627564205584</v>
      </c>
      <c r="BS20" s="99">
        <v>1102.6205985414163</v>
      </c>
      <c r="BT20" s="99">
        <v>7.9456020477822857</v>
      </c>
      <c r="BU20" s="99">
        <v>2278.7986673039595</v>
      </c>
      <c r="BV20" s="99">
        <v>6.6274914146504074</v>
      </c>
      <c r="BW20" s="99">
        <v>1900.7645377217368</v>
      </c>
      <c r="BX20" s="99">
        <v>10.366407070245515</v>
      </c>
      <c r="BY20" s="99">
        <v>2973.0855477464138</v>
      </c>
      <c r="BZ20" s="99">
        <v>10.730248462024109</v>
      </c>
      <c r="CA20" s="99">
        <v>3077.4352589085147</v>
      </c>
      <c r="CB20" s="99">
        <v>9</v>
      </c>
      <c r="CC20" s="99">
        <v>2581.2000000000003</v>
      </c>
      <c r="CD20" s="99">
        <v>8.222020099771111</v>
      </c>
      <c r="CE20" s="99">
        <v>2358.0753646143548</v>
      </c>
      <c r="CF20" s="99">
        <v>6.8301866089367875</v>
      </c>
      <c r="CG20" s="99">
        <v>1958.8975194430707</v>
      </c>
      <c r="CH20" s="99">
        <v>1.8583076470620163</v>
      </c>
      <c r="CI20" s="99">
        <v>532.96263317738635</v>
      </c>
      <c r="CJ20" s="99">
        <v>9.2978921321564627</v>
      </c>
      <c r="CK20" s="99">
        <v>2666.6354635024736</v>
      </c>
      <c r="CL20" s="99">
        <v>12.140576644947929</v>
      </c>
      <c r="CM20" s="99">
        <v>3481.9173817710662</v>
      </c>
      <c r="CN20" s="99">
        <v>9</v>
      </c>
      <c r="CO20" s="99">
        <v>2581.2000000000003</v>
      </c>
      <c r="CP20" s="99">
        <v>14.353218421987824</v>
      </c>
      <c r="CQ20" s="99">
        <v>4116.503043426108</v>
      </c>
      <c r="CR20" s="99">
        <v>8.9107717165619569</v>
      </c>
      <c r="CS20" s="99">
        <v>2555.6093283099694</v>
      </c>
      <c r="CT20" s="99">
        <v>8.3320330609510727</v>
      </c>
      <c r="CU20" s="99">
        <v>2389.6270818807679</v>
      </c>
    </row>
    <row r="21" spans="2:99">
      <c r="C21" s="98" t="s">
        <v>187</v>
      </c>
      <c r="D21" s="99">
        <v>9</v>
      </c>
      <c r="E21" s="99">
        <v>561.6</v>
      </c>
      <c r="F21" s="99">
        <v>7.3305916800817101</v>
      </c>
      <c r="G21" s="99">
        <v>457.4289208370987</v>
      </c>
      <c r="H21" s="99">
        <v>9.4622382705261607</v>
      </c>
      <c r="I21" s="99">
        <v>590.44366808083237</v>
      </c>
      <c r="J21" s="99">
        <v>6</v>
      </c>
      <c r="K21" s="99">
        <v>374.4</v>
      </c>
      <c r="L21" s="99">
        <v>4.1997797891134878</v>
      </c>
      <c r="M21" s="99">
        <v>262.06625884068166</v>
      </c>
      <c r="N21" s="99">
        <v>8</v>
      </c>
      <c r="O21" s="99">
        <v>499.2</v>
      </c>
      <c r="P21" s="99">
        <v>7</v>
      </c>
      <c r="Q21" s="99">
        <v>436.8</v>
      </c>
      <c r="R21" s="99">
        <v>6</v>
      </c>
      <c r="S21" s="99">
        <v>374.4</v>
      </c>
      <c r="T21" s="99">
        <v>7.6796963355580834</v>
      </c>
      <c r="U21" s="99">
        <v>479.21305133882441</v>
      </c>
      <c r="V21" s="99">
        <v>11</v>
      </c>
      <c r="W21" s="99">
        <v>686.4</v>
      </c>
      <c r="X21" s="99">
        <v>11</v>
      </c>
      <c r="Y21" s="99">
        <v>686.4</v>
      </c>
      <c r="Z21" s="99">
        <v>9</v>
      </c>
      <c r="AA21" s="99">
        <v>561.6</v>
      </c>
      <c r="AB21" s="99">
        <v>4.2817502627152146</v>
      </c>
      <c r="AC21" s="99">
        <v>267.18121639342939</v>
      </c>
      <c r="AD21" s="99">
        <v>6.4485371569086523</v>
      </c>
      <c r="AE21" s="99">
        <v>402.38871859109992</v>
      </c>
      <c r="AF21" s="99">
        <v>9.3554890587014299</v>
      </c>
      <c r="AG21" s="99">
        <v>583.78251726296924</v>
      </c>
      <c r="AH21" s="99">
        <v>7.8172527180713729</v>
      </c>
      <c r="AI21" s="99">
        <v>487.79656960765368</v>
      </c>
      <c r="AJ21" s="99">
        <v>7.8813794052645347</v>
      </c>
      <c r="AK21" s="99">
        <v>491.79807488850696</v>
      </c>
      <c r="AL21" s="99">
        <v>8</v>
      </c>
      <c r="AM21" s="99">
        <v>499.2</v>
      </c>
      <c r="AN21" s="99">
        <v>8</v>
      </c>
      <c r="AO21" s="99">
        <v>499.2</v>
      </c>
      <c r="AP21" s="99">
        <v>11</v>
      </c>
      <c r="AQ21" s="99">
        <v>686.4</v>
      </c>
      <c r="AR21" s="99">
        <v>4.9450423162882391</v>
      </c>
      <c r="AS21" s="99">
        <v>308.57064053638612</v>
      </c>
      <c r="AT21" s="99">
        <v>6.9087499503261753</v>
      </c>
      <c r="AU21" s="99">
        <v>431.10599690035332</v>
      </c>
      <c r="AV21" s="99">
        <v>8.2631498056687516</v>
      </c>
      <c r="AW21" s="99">
        <v>515.62054787373006</v>
      </c>
      <c r="AX21" s="99">
        <v>10.250022236453482</v>
      </c>
      <c r="AY21" s="99">
        <v>639.60138755469723</v>
      </c>
      <c r="AZ21" s="99">
        <v>7.4795312089145778</v>
      </c>
      <c r="BA21" s="99">
        <v>466.72274743626963</v>
      </c>
      <c r="BB21" s="99">
        <v>8.3591230846783215</v>
      </c>
      <c r="BC21" s="99">
        <v>521.60928048392725</v>
      </c>
      <c r="BD21" s="99">
        <v>12.099990200319088</v>
      </c>
      <c r="BE21" s="99">
        <v>755.03938849991107</v>
      </c>
      <c r="BF21" s="99">
        <v>4.5248125719300374</v>
      </c>
      <c r="BG21" s="99">
        <v>282.34830448843434</v>
      </c>
      <c r="BH21" s="99">
        <v>3.3076825434362487</v>
      </c>
      <c r="BI21" s="99">
        <v>206.39939071042193</v>
      </c>
      <c r="BJ21" s="99">
        <v>10.84086772777696</v>
      </c>
      <c r="BK21" s="99">
        <v>676.47014621328231</v>
      </c>
      <c r="BL21" s="99">
        <v>8</v>
      </c>
      <c r="BM21" s="99">
        <v>499.2</v>
      </c>
      <c r="BN21" s="99">
        <v>11</v>
      </c>
      <c r="BO21" s="99">
        <v>686.4</v>
      </c>
      <c r="BP21" s="99">
        <v>8.8873759157222469</v>
      </c>
      <c r="BQ21" s="99">
        <v>554.57225714106823</v>
      </c>
      <c r="BR21" s="99">
        <v>3.8566127509558044</v>
      </c>
      <c r="BS21" s="99">
        <v>240.65263565964219</v>
      </c>
      <c r="BT21" s="99">
        <v>8.9466139875860691</v>
      </c>
      <c r="BU21" s="99">
        <v>558.2687128253707</v>
      </c>
      <c r="BV21" s="99">
        <v>8.5704740922108122</v>
      </c>
      <c r="BW21" s="99">
        <v>534.79758335395468</v>
      </c>
      <c r="BX21" s="99">
        <v>9.3688545033672881</v>
      </c>
      <c r="BY21" s="99">
        <v>584.61652101011873</v>
      </c>
      <c r="BZ21" s="99">
        <v>10.018623205694794</v>
      </c>
      <c r="CA21" s="99">
        <v>625.16208803535517</v>
      </c>
      <c r="CB21" s="99">
        <v>9</v>
      </c>
      <c r="CC21" s="99">
        <v>561.6</v>
      </c>
      <c r="CD21" s="99">
        <v>7.7168563218426485</v>
      </c>
      <c r="CE21" s="99">
        <v>481.53183448298125</v>
      </c>
      <c r="CF21" s="99">
        <v>7.6475852176835657</v>
      </c>
      <c r="CG21" s="99">
        <v>477.20931758345449</v>
      </c>
      <c r="CH21" s="99">
        <v>2.1237801680708754</v>
      </c>
      <c r="CI21" s="99">
        <v>132.52388248762261</v>
      </c>
      <c r="CJ21" s="99">
        <v>10.467281786698393</v>
      </c>
      <c r="CK21" s="99">
        <v>653.15838348997977</v>
      </c>
      <c r="CL21" s="99">
        <v>12.140576644947929</v>
      </c>
      <c r="CM21" s="99">
        <v>757.57198264475073</v>
      </c>
      <c r="CN21" s="99">
        <v>10</v>
      </c>
      <c r="CO21" s="99">
        <v>624</v>
      </c>
      <c r="CP21" s="99">
        <v>14.125971024056952</v>
      </c>
      <c r="CQ21" s="99">
        <v>881.46059190115375</v>
      </c>
      <c r="CR21" s="99">
        <v>8.9893030894006394</v>
      </c>
      <c r="CS21" s="99">
        <v>560.93251277859986</v>
      </c>
      <c r="CT21" s="99">
        <v>8.4384881973081871</v>
      </c>
      <c r="CU21" s="99">
        <v>526.56166351203092</v>
      </c>
    </row>
    <row r="22" spans="2:99">
      <c r="C22" s="98" t="s">
        <v>188</v>
      </c>
      <c r="D22" s="99">
        <v>9</v>
      </c>
      <c r="E22" s="99">
        <v>1684.8</v>
      </c>
      <c r="F22" s="99">
        <v>7.3305916800817101</v>
      </c>
      <c r="G22" s="99">
        <v>1372.286762511296</v>
      </c>
      <c r="H22" s="99">
        <v>9.4622382705261607</v>
      </c>
      <c r="I22" s="99">
        <v>1771.3310042424971</v>
      </c>
      <c r="J22" s="99">
        <v>5</v>
      </c>
      <c r="K22" s="99">
        <v>936</v>
      </c>
      <c r="L22" s="99">
        <v>4.169448118939278</v>
      </c>
      <c r="M22" s="99">
        <v>780.52068786543282</v>
      </c>
      <c r="N22" s="99">
        <v>9</v>
      </c>
      <c r="O22" s="99">
        <v>1684.8</v>
      </c>
      <c r="P22" s="99">
        <v>8</v>
      </c>
      <c r="Q22" s="99">
        <v>1497.6</v>
      </c>
      <c r="R22" s="99">
        <v>6</v>
      </c>
      <c r="S22" s="99">
        <v>1123.1999999999998</v>
      </c>
      <c r="T22" s="99">
        <v>6.9117267020022757</v>
      </c>
      <c r="U22" s="99">
        <v>1293.875238614826</v>
      </c>
      <c r="V22" s="99">
        <v>10</v>
      </c>
      <c r="W22" s="99">
        <v>1872</v>
      </c>
      <c r="X22" s="99">
        <v>11</v>
      </c>
      <c r="Y22" s="99">
        <v>2059.1999999999998</v>
      </c>
      <c r="Z22" s="99">
        <v>7</v>
      </c>
      <c r="AA22" s="99">
        <v>1310.3999999999999</v>
      </c>
      <c r="AB22" s="99">
        <v>4.2817502627152146</v>
      </c>
      <c r="AC22" s="99">
        <v>801.54364918028818</v>
      </c>
      <c r="AD22" s="99">
        <v>5.664211353031039</v>
      </c>
      <c r="AE22" s="99">
        <v>1060.3403652874103</v>
      </c>
      <c r="AF22" s="99">
        <v>8.6599282809684244</v>
      </c>
      <c r="AG22" s="99">
        <v>1621.138574197289</v>
      </c>
      <c r="AH22" s="99">
        <v>9.6357081440569008</v>
      </c>
      <c r="AI22" s="99">
        <v>1803.8045645674517</v>
      </c>
      <c r="AJ22" s="99">
        <v>7.9695173457909885</v>
      </c>
      <c r="AK22" s="99">
        <v>1491.8936471320731</v>
      </c>
      <c r="AL22" s="99">
        <v>8</v>
      </c>
      <c r="AM22" s="99">
        <v>1497.6</v>
      </c>
      <c r="AN22" s="99">
        <v>7</v>
      </c>
      <c r="AO22" s="99">
        <v>1310.3999999999999</v>
      </c>
      <c r="AP22" s="99">
        <v>11</v>
      </c>
      <c r="AQ22" s="99">
        <v>2059.1999999999998</v>
      </c>
      <c r="AR22" s="99">
        <v>4.9440667316580988</v>
      </c>
      <c r="AS22" s="99">
        <v>925.52929216639609</v>
      </c>
      <c r="AT22" s="99">
        <v>6.79971178463681</v>
      </c>
      <c r="AU22" s="99">
        <v>1272.9060460840108</v>
      </c>
      <c r="AV22" s="99">
        <v>8.5905598211026177</v>
      </c>
      <c r="AW22" s="99">
        <v>1608.1527985104099</v>
      </c>
      <c r="AX22" s="99">
        <v>10.089306362421091</v>
      </c>
      <c r="AY22" s="99">
        <v>1888.7181510452281</v>
      </c>
      <c r="AZ22" s="99">
        <v>7.4795312089145778</v>
      </c>
      <c r="BA22" s="99">
        <v>1400.1682423088089</v>
      </c>
      <c r="BB22" s="99">
        <v>8.253710543748948</v>
      </c>
      <c r="BC22" s="99">
        <v>1545.0946137898029</v>
      </c>
      <c r="BD22" s="99">
        <v>12.27498938367901</v>
      </c>
      <c r="BE22" s="99">
        <v>2297.8780126247107</v>
      </c>
      <c r="BF22" s="99">
        <v>4.5248125719300374</v>
      </c>
      <c r="BG22" s="99">
        <v>847.0449134653029</v>
      </c>
      <c r="BH22" s="99">
        <v>3.3076825434362487</v>
      </c>
      <c r="BI22" s="99">
        <v>619.19817213126566</v>
      </c>
      <c r="BJ22" s="99">
        <v>11.994273371758373</v>
      </c>
      <c r="BK22" s="99">
        <v>2245.3279751931673</v>
      </c>
      <c r="BL22" s="99">
        <v>8</v>
      </c>
      <c r="BM22" s="99">
        <v>1497.6</v>
      </c>
      <c r="BN22" s="99">
        <v>11</v>
      </c>
      <c r="BO22" s="99">
        <v>2059.1999999999998</v>
      </c>
      <c r="BP22" s="99">
        <v>7.8319149209896075</v>
      </c>
      <c r="BQ22" s="99">
        <v>1466.1344732092543</v>
      </c>
      <c r="BR22" s="99">
        <v>3.915295267918383</v>
      </c>
      <c r="BS22" s="99">
        <v>732.94327415432122</v>
      </c>
      <c r="BT22" s="99">
        <v>7.9496498069974235</v>
      </c>
      <c r="BU22" s="99">
        <v>1488.1744438699177</v>
      </c>
      <c r="BV22" s="99">
        <v>8.4558905258609531</v>
      </c>
      <c r="BW22" s="99">
        <v>1582.9427064411702</v>
      </c>
      <c r="BX22" s="99">
        <v>10.601400367913147</v>
      </c>
      <c r="BY22" s="99">
        <v>1984.5821488733409</v>
      </c>
      <c r="BZ22" s="99">
        <v>11.018623205694794</v>
      </c>
      <c r="CA22" s="99">
        <v>2062.6862641060652</v>
      </c>
      <c r="CB22" s="99">
        <v>8</v>
      </c>
      <c r="CC22" s="99">
        <v>1497.6</v>
      </c>
      <c r="CD22" s="99">
        <v>9.2643446442981272</v>
      </c>
      <c r="CE22" s="99">
        <v>1734.2853174126094</v>
      </c>
      <c r="CF22" s="99">
        <v>6.7074054253019364</v>
      </c>
      <c r="CG22" s="99">
        <v>1255.6262956165224</v>
      </c>
      <c r="CH22" s="99">
        <v>2.1237801680708754</v>
      </c>
      <c r="CI22" s="99">
        <v>397.57164746286787</v>
      </c>
      <c r="CJ22" s="99">
        <v>10.285188756588026</v>
      </c>
      <c r="CK22" s="99">
        <v>1925.3873352332782</v>
      </c>
      <c r="CL22" s="99">
        <v>11.305236386867001</v>
      </c>
      <c r="CM22" s="99">
        <v>2116.3402516215024</v>
      </c>
      <c r="CN22" s="99">
        <v>9</v>
      </c>
      <c r="CO22" s="99">
        <v>1684.8</v>
      </c>
      <c r="CP22" s="99">
        <v>13.397709534328179</v>
      </c>
      <c r="CQ22" s="99">
        <v>2508.0512248262348</v>
      </c>
      <c r="CR22" s="99">
        <v>8.0275476821896294</v>
      </c>
      <c r="CS22" s="99">
        <v>1502.7569261058986</v>
      </c>
      <c r="CT22" s="99">
        <v>9.1395310273266208</v>
      </c>
      <c r="CU22" s="99">
        <v>1710.9202083155433</v>
      </c>
    </row>
    <row r="23" spans="2:99">
      <c r="C23" s="98" t="s">
        <v>189</v>
      </c>
      <c r="D23" s="99">
        <v>9</v>
      </c>
      <c r="E23" s="99">
        <v>2646</v>
      </c>
      <c r="F23" s="99">
        <v>7.3305916800817101</v>
      </c>
      <c r="G23" s="99">
        <v>2155.1939539440227</v>
      </c>
      <c r="H23" s="99">
        <v>8.5160144434735461</v>
      </c>
      <c r="I23" s="99">
        <v>2503.7082463812226</v>
      </c>
      <c r="J23" s="99">
        <v>6</v>
      </c>
      <c r="K23" s="99">
        <v>1764</v>
      </c>
      <c r="L23" s="99">
        <v>4.1391164487650673</v>
      </c>
      <c r="M23" s="99">
        <v>1216.9002359369299</v>
      </c>
      <c r="N23" s="99">
        <v>8</v>
      </c>
      <c r="O23" s="99">
        <v>2352</v>
      </c>
      <c r="P23" s="99">
        <v>7</v>
      </c>
      <c r="Q23" s="99">
        <v>2058</v>
      </c>
      <c r="R23" s="99">
        <v>6</v>
      </c>
      <c r="S23" s="99">
        <v>1764</v>
      </c>
      <c r="T23" s="99">
        <v>6.9117267020022757</v>
      </c>
      <c r="U23" s="99">
        <v>2032.0476503886691</v>
      </c>
      <c r="V23" s="99">
        <v>10</v>
      </c>
      <c r="W23" s="99">
        <v>2940</v>
      </c>
      <c r="X23" s="99">
        <v>10</v>
      </c>
      <c r="Y23" s="99">
        <v>2940</v>
      </c>
      <c r="Z23" s="99">
        <v>7</v>
      </c>
      <c r="AA23" s="99">
        <v>2058</v>
      </c>
      <c r="AB23" s="99">
        <v>4.2817502627152146</v>
      </c>
      <c r="AC23" s="99">
        <v>1258.8345772382731</v>
      </c>
      <c r="AD23" s="99">
        <v>5.6800232372026516</v>
      </c>
      <c r="AE23" s="99">
        <v>1669.9268317375795</v>
      </c>
      <c r="AF23" s="99">
        <v>8.6706715242407366</v>
      </c>
      <c r="AG23" s="99">
        <v>2549.1774281267767</v>
      </c>
      <c r="AH23" s="99">
        <v>9.6363254908854312</v>
      </c>
      <c r="AI23" s="99">
        <v>2833.0796943203168</v>
      </c>
      <c r="AJ23" s="99">
        <v>6.8813794052645347</v>
      </c>
      <c r="AK23" s="99">
        <v>2023.1255451477732</v>
      </c>
      <c r="AL23" s="99">
        <v>9</v>
      </c>
      <c r="AM23" s="99">
        <v>2646</v>
      </c>
      <c r="AN23" s="99">
        <v>8</v>
      </c>
      <c r="AO23" s="99">
        <v>2352</v>
      </c>
      <c r="AP23" s="99">
        <v>12</v>
      </c>
      <c r="AQ23" s="99">
        <v>3528</v>
      </c>
      <c r="AR23" s="99">
        <v>4.9440667316580988</v>
      </c>
      <c r="AS23" s="99">
        <v>1453.5556191074811</v>
      </c>
      <c r="AT23" s="99">
        <v>6.8050815287214848</v>
      </c>
      <c r="AU23" s="99">
        <v>2000.6939694441164</v>
      </c>
      <c r="AV23" s="99">
        <v>9.3248352633978175</v>
      </c>
      <c r="AW23" s="99">
        <v>2741.5015674389583</v>
      </c>
      <c r="AX23" s="99">
        <v>10.250022236453482</v>
      </c>
      <c r="AY23" s="99">
        <v>3013.5065375173235</v>
      </c>
      <c r="AZ23" s="99">
        <v>7.4795312089145778</v>
      </c>
      <c r="BA23" s="99">
        <v>2198.9821754208861</v>
      </c>
      <c r="BB23" s="99">
        <v>8.253710543748948</v>
      </c>
      <c r="BC23" s="99">
        <v>2426.5908998621908</v>
      </c>
      <c r="BD23" s="99">
        <v>13.449988567038936</v>
      </c>
      <c r="BE23" s="99">
        <v>3954.2966387094471</v>
      </c>
      <c r="BF23" s="99">
        <v>4.9328625080181805</v>
      </c>
      <c r="BG23" s="99">
        <v>1450.261577357345</v>
      </c>
      <c r="BH23" s="99">
        <v>3.329560911183358</v>
      </c>
      <c r="BI23" s="99">
        <v>978.89090788790725</v>
      </c>
      <c r="BJ23" s="99">
        <v>11.147679015739786</v>
      </c>
      <c r="BK23" s="99">
        <v>3277.4176306274971</v>
      </c>
      <c r="BL23" s="99">
        <v>9</v>
      </c>
      <c r="BM23" s="99">
        <v>2646</v>
      </c>
      <c r="BN23" s="99">
        <v>10</v>
      </c>
      <c r="BO23" s="99">
        <v>2940</v>
      </c>
      <c r="BP23" s="99">
        <v>8.7764539262569663</v>
      </c>
      <c r="BQ23" s="99">
        <v>2580.2774543195483</v>
      </c>
      <c r="BR23" s="99">
        <v>3.8505877536881812</v>
      </c>
      <c r="BS23" s="99">
        <v>1132.0727995843254</v>
      </c>
      <c r="BT23" s="99">
        <v>7.9476259273898542</v>
      </c>
      <c r="BU23" s="99">
        <v>2336.6020226526171</v>
      </c>
      <c r="BV23" s="99">
        <v>6.7059278414817083</v>
      </c>
      <c r="BW23" s="99">
        <v>1971.5427853956223</v>
      </c>
      <c r="BX23" s="99">
        <v>10.473433322271562</v>
      </c>
      <c r="BY23" s="99">
        <v>3079.1893967478395</v>
      </c>
      <c r="BZ23" s="99">
        <v>10.874435833859453</v>
      </c>
      <c r="CA23" s="99">
        <v>3197.0841351546792</v>
      </c>
      <c r="CB23" s="99">
        <v>9</v>
      </c>
      <c r="CC23" s="99">
        <v>2646</v>
      </c>
      <c r="CD23" s="99">
        <v>8.6814633620729786</v>
      </c>
      <c r="CE23" s="99">
        <v>2552.3502284494557</v>
      </c>
      <c r="CF23" s="99">
        <v>7.5635080157502257</v>
      </c>
      <c r="CG23" s="99">
        <v>2223.6713566305662</v>
      </c>
      <c r="CH23" s="99">
        <v>2.1237801680708754</v>
      </c>
      <c r="CI23" s="99">
        <v>624.39136941283743</v>
      </c>
      <c r="CJ23" s="99">
        <v>9.3007105830628145</v>
      </c>
      <c r="CK23" s="99">
        <v>2734.4089114204676</v>
      </c>
      <c r="CL23" s="99">
        <v>11.140576644947929</v>
      </c>
      <c r="CM23" s="99">
        <v>3275.3295336146912</v>
      </c>
      <c r="CN23" s="99">
        <v>10</v>
      </c>
      <c r="CO23" s="99">
        <v>2940</v>
      </c>
      <c r="CP23" s="99">
        <v>13.397709534328179</v>
      </c>
      <c r="CQ23" s="99">
        <v>3938.9266030924846</v>
      </c>
      <c r="CR23" s="99">
        <v>9.6369330052569175</v>
      </c>
      <c r="CS23" s="99">
        <v>2833.2583035455336</v>
      </c>
      <c r="CT23" s="99">
        <v>9.0330758909695064</v>
      </c>
      <c r="CU23" s="99">
        <v>2655.724311945035</v>
      </c>
    </row>
    <row r="24" spans="2:99">
      <c r="C24" s="98" t="s">
        <v>190</v>
      </c>
      <c r="D24" s="99">
        <v>9</v>
      </c>
      <c r="E24" s="99">
        <v>3304.7999999999997</v>
      </c>
      <c r="F24" s="99">
        <v>8.1451018667574555</v>
      </c>
      <c r="G24" s="99">
        <v>2990.8814054733375</v>
      </c>
      <c r="H24" s="99">
        <v>8.5160144434735461</v>
      </c>
      <c r="I24" s="99">
        <v>3127.0805036434858</v>
      </c>
      <c r="J24" s="99">
        <v>6</v>
      </c>
      <c r="K24" s="99">
        <v>2203.1999999999998</v>
      </c>
      <c r="L24" s="99">
        <v>4.8036927984140698</v>
      </c>
      <c r="M24" s="99">
        <v>1763.9159955776463</v>
      </c>
      <c r="N24" s="99">
        <v>8</v>
      </c>
      <c r="O24" s="99">
        <v>2937.6</v>
      </c>
      <c r="P24" s="99">
        <v>7</v>
      </c>
      <c r="Q24" s="99">
        <v>2570.4</v>
      </c>
      <c r="R24" s="99">
        <v>6</v>
      </c>
      <c r="S24" s="99">
        <v>2203.1999999999998</v>
      </c>
      <c r="T24" s="99">
        <v>6.9117267020022757</v>
      </c>
      <c r="U24" s="99">
        <v>2537.9860449752355</v>
      </c>
      <c r="V24" s="99">
        <v>10</v>
      </c>
      <c r="W24" s="99">
        <v>3672</v>
      </c>
      <c r="X24" s="99">
        <v>11</v>
      </c>
      <c r="Y24" s="99">
        <v>4039.2</v>
      </c>
      <c r="Z24" s="99">
        <v>9</v>
      </c>
      <c r="AA24" s="99">
        <v>3304.7999999999997</v>
      </c>
      <c r="AB24" s="99">
        <v>3.6700716537558984</v>
      </c>
      <c r="AC24" s="99">
        <v>1347.6503112591658</v>
      </c>
      <c r="AD24" s="99">
        <v>5.6958351213742651</v>
      </c>
      <c r="AE24" s="99">
        <v>2091.5106565686301</v>
      </c>
      <c r="AF24" s="99">
        <v>9.6654929169426946</v>
      </c>
      <c r="AG24" s="99">
        <v>3549.1689991013573</v>
      </c>
      <c r="AH24" s="99">
        <v>8.6729398805283004</v>
      </c>
      <c r="AI24" s="99">
        <v>3184.7035241299918</v>
      </c>
      <c r="AJ24" s="99">
        <v>6.8813794052645347</v>
      </c>
      <c r="AK24" s="99">
        <v>2526.8425176131373</v>
      </c>
      <c r="AL24" s="99">
        <v>9</v>
      </c>
      <c r="AM24" s="99">
        <v>3304.7999999999997</v>
      </c>
      <c r="AN24" s="99">
        <v>7</v>
      </c>
      <c r="AO24" s="99">
        <v>2570.4</v>
      </c>
      <c r="AP24" s="99">
        <v>11</v>
      </c>
      <c r="AQ24" s="99">
        <v>4039.2</v>
      </c>
      <c r="AR24" s="99">
        <v>4.3907701177588301</v>
      </c>
      <c r="AS24" s="99">
        <v>1612.2907872410424</v>
      </c>
      <c r="AT24" s="99">
        <v>7.6702231190329098</v>
      </c>
      <c r="AU24" s="99">
        <v>2816.5059293088843</v>
      </c>
      <c r="AV24" s="99">
        <v>8.5868950888224376</v>
      </c>
      <c r="AW24" s="99">
        <v>3153.1078766155988</v>
      </c>
      <c r="AX24" s="99">
        <v>9.2500222364534821</v>
      </c>
      <c r="AY24" s="99">
        <v>3396.6081652257185</v>
      </c>
      <c r="AZ24" s="99">
        <v>6.7315780880231193</v>
      </c>
      <c r="BA24" s="99">
        <v>2471.8354739220895</v>
      </c>
      <c r="BB24" s="99">
        <v>7.5223496077141228</v>
      </c>
      <c r="BC24" s="99">
        <v>2762.2067759526258</v>
      </c>
      <c r="BD24" s="99">
        <v>11.27498938367901</v>
      </c>
      <c r="BE24" s="99">
        <v>4140.1761016869323</v>
      </c>
      <c r="BF24" s="99">
        <v>4.9328625080181805</v>
      </c>
      <c r="BG24" s="99">
        <v>1811.3471129442758</v>
      </c>
      <c r="BH24" s="99">
        <v>2.8074516442734629</v>
      </c>
      <c r="BI24" s="99">
        <v>1030.8962437772157</v>
      </c>
      <c r="BJ24" s="99">
        <v>9.9942733717583732</v>
      </c>
      <c r="BK24" s="99">
        <v>3669.8971821096743</v>
      </c>
      <c r="BL24" s="99">
        <v>9</v>
      </c>
      <c r="BM24" s="99">
        <v>3304.7999999999997</v>
      </c>
      <c r="BN24" s="99">
        <v>10</v>
      </c>
      <c r="BO24" s="99">
        <v>3672</v>
      </c>
      <c r="BP24" s="99">
        <v>7.8319149209896075</v>
      </c>
      <c r="BQ24" s="99">
        <v>2875.8791589873836</v>
      </c>
      <c r="BR24" s="99">
        <v>3.915295267918383</v>
      </c>
      <c r="BS24" s="99">
        <v>1437.6964223796301</v>
      </c>
      <c r="BT24" s="99">
        <v>9.095730792905746</v>
      </c>
      <c r="BU24" s="99">
        <v>3339.9523471549896</v>
      </c>
      <c r="BV24" s="99">
        <v>6.6274914146504074</v>
      </c>
      <c r="BW24" s="99">
        <v>2433.6148474596293</v>
      </c>
      <c r="BX24" s="99">
        <v>9.603847801034922</v>
      </c>
      <c r="BY24" s="99">
        <v>3526.5329125400231</v>
      </c>
      <c r="BZ24" s="99">
        <v>10.730248462024109</v>
      </c>
      <c r="CA24" s="99">
        <v>3940.1472352552528</v>
      </c>
      <c r="CB24" s="99">
        <v>8</v>
      </c>
      <c r="CC24" s="99">
        <v>2937.6</v>
      </c>
      <c r="CD24" s="99">
        <v>9.2254858921497842</v>
      </c>
      <c r="CE24" s="99">
        <v>3387.5984195974006</v>
      </c>
      <c r="CF24" s="99">
        <v>5.7712293092028455</v>
      </c>
      <c r="CG24" s="99">
        <v>2119.195402339285</v>
      </c>
      <c r="CH24" s="99">
        <v>1.8583076470620163</v>
      </c>
      <c r="CI24" s="99">
        <v>682.37056800117239</v>
      </c>
      <c r="CJ24" s="99">
        <v>9.3091659357818699</v>
      </c>
      <c r="CK24" s="99">
        <v>3418.3257316191025</v>
      </c>
      <c r="CL24" s="99">
        <v>12.140576644947929</v>
      </c>
      <c r="CM24" s="99">
        <v>4458.0197440248794</v>
      </c>
      <c r="CN24" s="99">
        <v>9</v>
      </c>
      <c r="CO24" s="99">
        <v>3304.7999999999997</v>
      </c>
      <c r="CP24" s="99">
        <v>13.28408583536274</v>
      </c>
      <c r="CQ24" s="99">
        <v>4877.9163187451977</v>
      </c>
      <c r="CR24" s="99">
        <v>8.9107717165619569</v>
      </c>
      <c r="CS24" s="99">
        <v>3272.0353743215505</v>
      </c>
      <c r="CT24" s="99">
        <v>9.2459861636837335</v>
      </c>
      <c r="CU24" s="99">
        <v>3395.1261193046666</v>
      </c>
    </row>
    <row r="25" spans="2:99">
      <c r="C25" s="98" t="s">
        <v>191</v>
      </c>
      <c r="D25" s="99">
        <v>10</v>
      </c>
      <c r="E25" s="99">
        <v>5304</v>
      </c>
      <c r="F25" s="99">
        <v>7.3305916800817101</v>
      </c>
      <c r="G25" s="99">
        <v>3888.1458271153388</v>
      </c>
      <c r="H25" s="99">
        <v>9.4622382705261607</v>
      </c>
      <c r="I25" s="99">
        <v>5018.771178687075</v>
      </c>
      <c r="J25" s="99">
        <v>6</v>
      </c>
      <c r="K25" s="99">
        <v>3182.3999999999996</v>
      </c>
      <c r="L25" s="99">
        <v>4.8340244685882796</v>
      </c>
      <c r="M25" s="99">
        <v>2563.9665781392232</v>
      </c>
      <c r="N25" s="99">
        <v>8</v>
      </c>
      <c r="O25" s="99">
        <v>4243.2</v>
      </c>
      <c r="P25" s="99">
        <v>6</v>
      </c>
      <c r="Q25" s="99">
        <v>3182.3999999999996</v>
      </c>
      <c r="R25" s="99">
        <v>5</v>
      </c>
      <c r="S25" s="99">
        <v>2652</v>
      </c>
      <c r="T25" s="99">
        <v>6.9117267020022757</v>
      </c>
      <c r="U25" s="99">
        <v>3665.9798427420069</v>
      </c>
      <c r="V25" s="99">
        <v>11</v>
      </c>
      <c r="W25" s="99">
        <v>5834.4</v>
      </c>
      <c r="X25" s="99">
        <v>11</v>
      </c>
      <c r="Y25" s="99">
        <v>5834.4</v>
      </c>
      <c r="Z25" s="99">
        <v>7</v>
      </c>
      <c r="AA25" s="99">
        <v>3712.7999999999997</v>
      </c>
      <c r="AB25" s="99">
        <v>3.6700716537558984</v>
      </c>
      <c r="AC25" s="99">
        <v>1946.6060051521283</v>
      </c>
      <c r="AD25" s="99">
        <v>4.8798855491534257</v>
      </c>
      <c r="AE25" s="99">
        <v>2588.2912952709767</v>
      </c>
      <c r="AF25" s="99">
        <v>7.9589958815992636</v>
      </c>
      <c r="AG25" s="99">
        <v>4221.4514156002497</v>
      </c>
      <c r="AH25" s="99">
        <v>8.7787862879429124</v>
      </c>
      <c r="AI25" s="99">
        <v>4656.2682471249209</v>
      </c>
      <c r="AJ25" s="99">
        <v>7.9695173457909885</v>
      </c>
      <c r="AK25" s="99">
        <v>4227.0320002075405</v>
      </c>
      <c r="AL25" s="99">
        <v>7</v>
      </c>
      <c r="AM25" s="99">
        <v>3712.7999999999997</v>
      </c>
      <c r="AN25" s="99">
        <v>7</v>
      </c>
      <c r="AO25" s="99">
        <v>3712.7999999999997</v>
      </c>
      <c r="AP25" s="99">
        <v>12</v>
      </c>
      <c r="AQ25" s="99">
        <v>6364.7999999999993</v>
      </c>
      <c r="AR25" s="99">
        <v>4.3888189484985487</v>
      </c>
      <c r="AS25" s="99">
        <v>2327.8295702836303</v>
      </c>
      <c r="AT25" s="99">
        <v>6.79971178463681</v>
      </c>
      <c r="AU25" s="99">
        <v>3606.567130571364</v>
      </c>
      <c r="AV25" s="99">
        <v>8.5832303565422574</v>
      </c>
      <c r="AW25" s="99">
        <v>4552.5453811100133</v>
      </c>
      <c r="AX25" s="99">
        <v>9.9285904883887</v>
      </c>
      <c r="AY25" s="99">
        <v>5266.1243950413664</v>
      </c>
      <c r="AZ25" s="99">
        <v>8.2274843298060354</v>
      </c>
      <c r="BA25" s="99">
        <v>4363.8576885291213</v>
      </c>
      <c r="BB25" s="99">
        <v>8.2586805496386102</v>
      </c>
      <c r="BC25" s="99">
        <v>4380.4041635283183</v>
      </c>
      <c r="BD25" s="99">
        <v>12.27498938367901</v>
      </c>
      <c r="BE25" s="99">
        <v>6510.6543691033467</v>
      </c>
      <c r="BF25" s="99">
        <v>4.4930759139979948</v>
      </c>
      <c r="BG25" s="99">
        <v>2383.1274647845362</v>
      </c>
      <c r="BH25" s="99">
        <v>3.3514392789304672</v>
      </c>
      <c r="BI25" s="99">
        <v>1777.6033935447197</v>
      </c>
      <c r="BJ25" s="99">
        <v>10.84086772777696</v>
      </c>
      <c r="BK25" s="99">
        <v>5749.9962428128993</v>
      </c>
      <c r="BL25" s="99">
        <v>8</v>
      </c>
      <c r="BM25" s="99">
        <v>4243.2</v>
      </c>
      <c r="BN25" s="99">
        <v>9</v>
      </c>
      <c r="BO25" s="99">
        <v>4773.5999999999995</v>
      </c>
      <c r="BP25" s="99">
        <v>7.8873759157222478</v>
      </c>
      <c r="BQ25" s="99">
        <v>4183.4641856990802</v>
      </c>
      <c r="BR25" s="99">
        <v>3.3798080296954987</v>
      </c>
      <c r="BS25" s="99">
        <v>1792.6501789504923</v>
      </c>
      <c r="BT25" s="99">
        <v>8.0937069132981776</v>
      </c>
      <c r="BU25" s="99">
        <v>4292.9021468133533</v>
      </c>
      <c r="BV25" s="99">
        <v>8.4603842886199878</v>
      </c>
      <c r="BW25" s="99">
        <v>4487.3878266840411</v>
      </c>
      <c r="BX25" s="99">
        <v>9.721344449868738</v>
      </c>
      <c r="BY25" s="99">
        <v>5156.2010962103786</v>
      </c>
      <c r="BZ25" s="99">
        <v>9.7302484620241092</v>
      </c>
      <c r="CA25" s="99">
        <v>5160.9237842575876</v>
      </c>
      <c r="CB25" s="99">
        <v>9</v>
      </c>
      <c r="CC25" s="99">
        <v>4773.5999999999995</v>
      </c>
      <c r="CD25" s="99">
        <v>8.222020099771111</v>
      </c>
      <c r="CE25" s="99">
        <v>4360.959460918597</v>
      </c>
      <c r="CF25" s="99">
        <v>6.7074054253019364</v>
      </c>
      <c r="CG25" s="99">
        <v>3557.6078375801471</v>
      </c>
      <c r="CH25" s="99">
        <v>2.1237801680708754</v>
      </c>
      <c r="CI25" s="99">
        <v>1126.4530011447923</v>
      </c>
      <c r="CJ25" s="99">
        <v>9.218119420726687</v>
      </c>
      <c r="CK25" s="99">
        <v>4889.2905407534345</v>
      </c>
      <c r="CL25" s="99">
        <v>11.975916903028857</v>
      </c>
      <c r="CM25" s="99">
        <v>6352.0263253665053</v>
      </c>
      <c r="CN25" s="99">
        <v>8</v>
      </c>
      <c r="CO25" s="99">
        <v>4243.2</v>
      </c>
      <c r="CP25" s="99">
        <v>13.170462136397305</v>
      </c>
      <c r="CQ25" s="99">
        <v>6985.6131171451298</v>
      </c>
      <c r="CR25" s="99">
        <v>8.8322403437232726</v>
      </c>
      <c r="CS25" s="99">
        <v>4684.6202783108238</v>
      </c>
      <c r="CT25" s="99">
        <v>9.0330758909695064</v>
      </c>
      <c r="CU25" s="99">
        <v>4791.1434525702261</v>
      </c>
    </row>
    <row r="26" spans="2:99">
      <c r="C26" s="98" t="s">
        <v>192</v>
      </c>
      <c r="D26" s="99">
        <v>9</v>
      </c>
      <c r="E26" s="99">
        <v>4374</v>
      </c>
      <c r="F26" s="99">
        <v>7.3305916800817101</v>
      </c>
      <c r="G26" s="99">
        <v>3562.6675565197111</v>
      </c>
      <c r="H26" s="99">
        <v>9.4622382705261607</v>
      </c>
      <c r="I26" s="99">
        <v>4598.6477994757142</v>
      </c>
      <c r="J26" s="99">
        <v>6</v>
      </c>
      <c r="K26" s="99">
        <v>2916</v>
      </c>
      <c r="L26" s="99">
        <v>4.8036927984140698</v>
      </c>
      <c r="M26" s="99">
        <v>2334.5947000292381</v>
      </c>
      <c r="N26" s="99">
        <v>9</v>
      </c>
      <c r="O26" s="99">
        <v>4374</v>
      </c>
      <c r="P26" s="99">
        <v>8</v>
      </c>
      <c r="Q26" s="99">
        <v>3888</v>
      </c>
      <c r="R26" s="99">
        <v>6</v>
      </c>
      <c r="S26" s="99">
        <v>2916</v>
      </c>
      <c r="T26" s="99">
        <v>7.6796963355580834</v>
      </c>
      <c r="U26" s="99">
        <v>3732.3324190812286</v>
      </c>
      <c r="V26" s="99">
        <v>10</v>
      </c>
      <c r="W26" s="99">
        <v>4860</v>
      </c>
      <c r="X26" s="99">
        <v>10</v>
      </c>
      <c r="Y26" s="99">
        <v>4860</v>
      </c>
      <c r="Z26" s="99">
        <v>8</v>
      </c>
      <c r="AA26" s="99">
        <v>3888</v>
      </c>
      <c r="AB26" s="99">
        <v>4.2817502627152146</v>
      </c>
      <c r="AC26" s="99">
        <v>2080.9306276795942</v>
      </c>
      <c r="AD26" s="99">
        <v>4.9115093174966509</v>
      </c>
      <c r="AE26" s="99">
        <v>2386.9935283033724</v>
      </c>
      <c r="AF26" s="99">
        <v>8.6706715242407366</v>
      </c>
      <c r="AG26" s="99">
        <v>4213.9463607809976</v>
      </c>
      <c r="AH26" s="99">
        <v>7.9243338191430457</v>
      </c>
      <c r="AI26" s="99">
        <v>3851.22623610352</v>
      </c>
      <c r="AJ26" s="99">
        <v>6.9695173457909885</v>
      </c>
      <c r="AK26" s="99">
        <v>3387.1854300544205</v>
      </c>
      <c r="AL26" s="99">
        <v>9</v>
      </c>
      <c r="AM26" s="99">
        <v>4374</v>
      </c>
      <c r="AN26" s="99">
        <v>8</v>
      </c>
      <c r="AO26" s="99">
        <v>3888</v>
      </c>
      <c r="AP26" s="99">
        <v>10</v>
      </c>
      <c r="AQ26" s="99">
        <v>4860</v>
      </c>
      <c r="AR26" s="99">
        <v>4.3907701177588301</v>
      </c>
      <c r="AS26" s="99">
        <v>2133.9142772307914</v>
      </c>
      <c r="AT26" s="99">
        <v>7.0285276041848928</v>
      </c>
      <c r="AU26" s="99">
        <v>3415.8644156338578</v>
      </c>
      <c r="AV26" s="99">
        <v>8.4286871795257738</v>
      </c>
      <c r="AW26" s="99">
        <v>4096.3419692495263</v>
      </c>
      <c r="AX26" s="99">
        <v>10.089306362421091</v>
      </c>
      <c r="AY26" s="99">
        <v>4903.4028921366498</v>
      </c>
      <c r="AZ26" s="99">
        <v>7.4795312089145778</v>
      </c>
      <c r="BA26" s="99">
        <v>3635.0521675324849</v>
      </c>
      <c r="BB26" s="99">
        <v>7.5124095959347956</v>
      </c>
      <c r="BC26" s="99">
        <v>3651.0310636243107</v>
      </c>
      <c r="BD26" s="99">
        <v>13.099990200319088</v>
      </c>
      <c r="BE26" s="99">
        <v>6366.5952373550763</v>
      </c>
      <c r="BF26" s="99">
        <v>4.9169941790521587</v>
      </c>
      <c r="BG26" s="99">
        <v>2389.6591710193493</v>
      </c>
      <c r="BH26" s="99">
        <v>3.329560911183358</v>
      </c>
      <c r="BI26" s="99">
        <v>1618.1666028351119</v>
      </c>
      <c r="BJ26" s="99">
        <v>10.994273371758373</v>
      </c>
      <c r="BK26" s="99">
        <v>5343.2168586745693</v>
      </c>
      <c r="BL26" s="99">
        <v>9</v>
      </c>
      <c r="BM26" s="99">
        <v>4374</v>
      </c>
      <c r="BN26" s="99">
        <v>10</v>
      </c>
      <c r="BO26" s="99">
        <v>4860</v>
      </c>
      <c r="BP26" s="99">
        <v>8.8319149209896075</v>
      </c>
      <c r="BQ26" s="99">
        <v>4292.3106516009493</v>
      </c>
      <c r="BR26" s="99">
        <v>3.8445627564205584</v>
      </c>
      <c r="BS26" s="99">
        <v>1868.4574996203914</v>
      </c>
      <c r="BT26" s="99">
        <v>8.095730792905746</v>
      </c>
      <c r="BU26" s="99">
        <v>3934.5251653521927</v>
      </c>
      <c r="BV26" s="99">
        <v>7.6274914146504074</v>
      </c>
      <c r="BW26" s="99">
        <v>3706.9608275200981</v>
      </c>
      <c r="BX26" s="99">
        <v>9.5968675364964096</v>
      </c>
      <c r="BY26" s="99">
        <v>4664.0776227372553</v>
      </c>
      <c r="BZ26" s="99">
        <v>10.018623205694794</v>
      </c>
      <c r="CA26" s="99">
        <v>4869.0508779676702</v>
      </c>
      <c r="CB26" s="99">
        <v>8</v>
      </c>
      <c r="CC26" s="99">
        <v>3888</v>
      </c>
      <c r="CD26" s="99">
        <v>9.2254858921497842</v>
      </c>
      <c r="CE26" s="99">
        <v>4483.5861435847955</v>
      </c>
      <c r="CF26" s="99">
        <v>5.7672256329203053</v>
      </c>
      <c r="CG26" s="99">
        <v>2802.8716575992685</v>
      </c>
      <c r="CH26" s="99">
        <v>1.8583076470620163</v>
      </c>
      <c r="CI26" s="99">
        <v>903.13751647213996</v>
      </c>
      <c r="CJ26" s="99">
        <v>10.470100237604743</v>
      </c>
      <c r="CK26" s="99">
        <v>5088.4687154759049</v>
      </c>
      <c r="CL26" s="99">
        <v>11.140576644947929</v>
      </c>
      <c r="CM26" s="99">
        <v>5414.3202494446932</v>
      </c>
      <c r="CN26" s="99">
        <v>9</v>
      </c>
      <c r="CO26" s="99">
        <v>4374</v>
      </c>
      <c r="CP26" s="99">
        <v>13.28408583536274</v>
      </c>
      <c r="CQ26" s="99">
        <v>6456.0657159862913</v>
      </c>
      <c r="CR26" s="99">
        <v>9.7154643780956</v>
      </c>
      <c r="CS26" s="99">
        <v>4721.7156877544612</v>
      </c>
      <c r="CT26" s="99">
        <v>9.1395310273266208</v>
      </c>
      <c r="CU26" s="99">
        <v>4441.8120792807376</v>
      </c>
    </row>
    <row r="27" spans="2:99">
      <c r="C27" s="98" t="s">
        <v>193</v>
      </c>
      <c r="D27" s="99">
        <v>9</v>
      </c>
      <c r="E27" s="99">
        <v>3844.7999999999997</v>
      </c>
      <c r="F27" s="99">
        <v>7.3305916800817101</v>
      </c>
      <c r="G27" s="99">
        <v>3131.6287657309067</v>
      </c>
      <c r="H27" s="99">
        <v>7.5697906164209288</v>
      </c>
      <c r="I27" s="99">
        <v>3233.8145513350205</v>
      </c>
      <c r="J27" s="99">
        <v>6</v>
      </c>
      <c r="K27" s="99">
        <v>2563.1999999999998</v>
      </c>
      <c r="L27" s="99">
        <v>4.77336112823986</v>
      </c>
      <c r="M27" s="99">
        <v>2039.1798739840681</v>
      </c>
      <c r="N27" s="99">
        <v>8</v>
      </c>
      <c r="O27" s="99">
        <v>3417.6</v>
      </c>
      <c r="P27" s="99">
        <v>6</v>
      </c>
      <c r="Q27" s="99">
        <v>2563.1999999999998</v>
      </c>
      <c r="R27" s="99">
        <v>5</v>
      </c>
      <c r="S27" s="99">
        <v>2136</v>
      </c>
      <c r="T27" s="99">
        <v>7.6796963355580834</v>
      </c>
      <c r="U27" s="99">
        <v>3280.7662745504131</v>
      </c>
      <c r="V27" s="99">
        <v>11</v>
      </c>
      <c r="W27" s="99">
        <v>4699.2</v>
      </c>
      <c r="X27" s="99">
        <v>11</v>
      </c>
      <c r="Y27" s="99">
        <v>4699.2</v>
      </c>
      <c r="Z27" s="99">
        <v>7</v>
      </c>
      <c r="AA27" s="99">
        <v>2990.4</v>
      </c>
      <c r="AB27" s="99">
        <v>4.2817502627152146</v>
      </c>
      <c r="AC27" s="99">
        <v>1829.1637122319396</v>
      </c>
      <c r="AD27" s="99">
        <v>5.664211353031039</v>
      </c>
      <c r="AE27" s="99">
        <v>2419.75109001486</v>
      </c>
      <c r="AF27" s="99">
        <v>8.8149302100890576</v>
      </c>
      <c r="AG27" s="99">
        <v>3765.7381857500454</v>
      </c>
      <c r="AH27" s="99">
        <v>9.7421718983000396</v>
      </c>
      <c r="AI27" s="99">
        <v>4161.855834953777</v>
      </c>
      <c r="AJ27" s="99">
        <v>6.8813794052645347</v>
      </c>
      <c r="AK27" s="99">
        <v>2939.7252819290093</v>
      </c>
      <c r="AL27" s="99">
        <v>8</v>
      </c>
      <c r="AM27" s="99">
        <v>3417.6</v>
      </c>
      <c r="AN27" s="99">
        <v>7</v>
      </c>
      <c r="AO27" s="99">
        <v>2990.4</v>
      </c>
      <c r="AP27" s="99">
        <v>12</v>
      </c>
      <c r="AQ27" s="99">
        <v>5126.3999999999996</v>
      </c>
      <c r="AR27" s="99">
        <v>4.3907701177588301</v>
      </c>
      <c r="AS27" s="99">
        <v>1875.7369943065721</v>
      </c>
      <c r="AT27" s="99">
        <v>7.023157860100218</v>
      </c>
      <c r="AU27" s="99">
        <v>3000.2930378348133</v>
      </c>
      <c r="AV27" s="99">
        <v>9.317505798837459</v>
      </c>
      <c r="AW27" s="99">
        <v>3980.4384772633625</v>
      </c>
      <c r="AX27" s="99">
        <v>10.250022236453482</v>
      </c>
      <c r="AY27" s="99">
        <v>4378.8094994129278</v>
      </c>
      <c r="AZ27" s="99">
        <v>7.4795312089145778</v>
      </c>
      <c r="BA27" s="99">
        <v>3195.2557324483078</v>
      </c>
      <c r="BB27" s="99">
        <v>7.6029121191951781</v>
      </c>
      <c r="BC27" s="99">
        <v>3247.96405732018</v>
      </c>
      <c r="BD27" s="99">
        <v>11.27498938367901</v>
      </c>
      <c r="BE27" s="99">
        <v>4816.6754647076732</v>
      </c>
      <c r="BF27" s="99">
        <v>4.0691576489438299</v>
      </c>
      <c r="BG27" s="99">
        <v>1738.3441476288042</v>
      </c>
      <c r="BH27" s="99">
        <v>2.8293300120205722</v>
      </c>
      <c r="BI27" s="99">
        <v>1208.6897811351885</v>
      </c>
      <c r="BJ27" s="99">
        <v>9.9942733717583732</v>
      </c>
      <c r="BK27" s="99">
        <v>4269.5535844151773</v>
      </c>
      <c r="BL27" s="99">
        <v>10</v>
      </c>
      <c r="BM27" s="99">
        <v>4272</v>
      </c>
      <c r="BN27" s="99">
        <v>9</v>
      </c>
      <c r="BO27" s="99">
        <v>3844.7999999999997</v>
      </c>
      <c r="BP27" s="99">
        <v>8.8873759157222469</v>
      </c>
      <c r="BQ27" s="99">
        <v>3796.6869911965437</v>
      </c>
      <c r="BR27" s="99">
        <v>3.8385377591529348</v>
      </c>
      <c r="BS27" s="99">
        <v>1639.8233307101336</v>
      </c>
      <c r="BT27" s="99">
        <v>9.2428237186178528</v>
      </c>
      <c r="BU27" s="99">
        <v>3948.5342925935465</v>
      </c>
      <c r="BV27" s="99">
        <v>7.4513967631019176</v>
      </c>
      <c r="BW27" s="99">
        <v>3183.2366971971392</v>
      </c>
      <c r="BX27" s="99">
        <v>9.4793708876625935</v>
      </c>
      <c r="BY27" s="99">
        <v>4049.5872432094598</v>
      </c>
      <c r="BZ27" s="99">
        <v>11.018623205694794</v>
      </c>
      <c r="CA27" s="99">
        <v>4707.1558334728161</v>
      </c>
      <c r="CB27" s="99">
        <v>9</v>
      </c>
      <c r="CC27" s="99">
        <v>3844.7999999999997</v>
      </c>
      <c r="CD27" s="99">
        <v>10.151234180231773</v>
      </c>
      <c r="CE27" s="99">
        <v>4336.6072417950136</v>
      </c>
      <c r="CF27" s="99">
        <v>6.7034017490193953</v>
      </c>
      <c r="CG27" s="99">
        <v>2863.6932271810856</v>
      </c>
      <c r="CH27" s="99">
        <v>1.8583076470620163</v>
      </c>
      <c r="CI27" s="99">
        <v>793.86902682489335</v>
      </c>
      <c r="CJ27" s="99">
        <v>10.290825658400728</v>
      </c>
      <c r="CK27" s="99">
        <v>4396.2407212687904</v>
      </c>
      <c r="CL27" s="99">
        <v>11.975916903028857</v>
      </c>
      <c r="CM27" s="99">
        <v>5116.1117009739273</v>
      </c>
      <c r="CN27" s="99">
        <v>9</v>
      </c>
      <c r="CO27" s="99">
        <v>3844.7999999999997</v>
      </c>
      <c r="CP27" s="99">
        <v>12.214953248737659</v>
      </c>
      <c r="CQ27" s="99">
        <v>5218.2280278607277</v>
      </c>
      <c r="CR27" s="99">
        <v>8.1060790550283119</v>
      </c>
      <c r="CS27" s="99">
        <v>3462.916972308095</v>
      </c>
      <c r="CT27" s="99">
        <v>9.0330758909695064</v>
      </c>
      <c r="CU27" s="99">
        <v>3858.9300206221728</v>
      </c>
    </row>
    <row r="28" spans="2:99">
      <c r="C28" s="98" t="s">
        <v>194</v>
      </c>
      <c r="D28" s="99">
        <v>9</v>
      </c>
      <c r="E28" s="99">
        <v>6642</v>
      </c>
      <c r="F28" s="99">
        <v>7.3305916800817101</v>
      </c>
      <c r="G28" s="99">
        <v>5409.9766599003024</v>
      </c>
      <c r="H28" s="99">
        <v>9.4622382705261607</v>
      </c>
      <c r="I28" s="99">
        <v>6983.131843648307</v>
      </c>
      <c r="J28" s="99">
        <v>6</v>
      </c>
      <c r="K28" s="99">
        <v>4428</v>
      </c>
      <c r="L28" s="99">
        <v>4.8340244685882796</v>
      </c>
      <c r="M28" s="99">
        <v>3567.5100578181505</v>
      </c>
      <c r="N28" s="99">
        <v>7</v>
      </c>
      <c r="O28" s="99">
        <v>5166</v>
      </c>
      <c r="P28" s="99">
        <v>8</v>
      </c>
      <c r="Q28" s="99">
        <v>5904</v>
      </c>
      <c r="R28" s="99">
        <v>6</v>
      </c>
      <c r="S28" s="99">
        <v>4428</v>
      </c>
      <c r="T28" s="99">
        <v>6.9117267020022757</v>
      </c>
      <c r="U28" s="99">
        <v>5100.8543060776792</v>
      </c>
      <c r="V28" s="99">
        <v>9</v>
      </c>
      <c r="W28" s="99">
        <v>6642</v>
      </c>
      <c r="X28" s="99">
        <v>10</v>
      </c>
      <c r="Y28" s="99">
        <v>7380</v>
      </c>
      <c r="Z28" s="99">
        <v>7</v>
      </c>
      <c r="AA28" s="99">
        <v>5166</v>
      </c>
      <c r="AB28" s="99">
        <v>3.6700716537558984</v>
      </c>
      <c r="AC28" s="99">
        <v>2708.5128804718529</v>
      </c>
      <c r="AD28" s="99">
        <v>5.664211353031039</v>
      </c>
      <c r="AE28" s="99">
        <v>4180.1879785369065</v>
      </c>
      <c r="AF28" s="99">
        <v>8.8041869668167454</v>
      </c>
      <c r="AG28" s="99">
        <v>6497.4899815107583</v>
      </c>
      <c r="AH28" s="99">
        <v>8.6729398805283004</v>
      </c>
      <c r="AI28" s="99">
        <v>6400.6296318298855</v>
      </c>
      <c r="AJ28" s="99">
        <v>6.8813794052645347</v>
      </c>
      <c r="AK28" s="99">
        <v>5078.4580010852269</v>
      </c>
      <c r="AL28" s="99">
        <v>8</v>
      </c>
      <c r="AM28" s="99">
        <v>5904</v>
      </c>
      <c r="AN28" s="99">
        <v>7</v>
      </c>
      <c r="AO28" s="99">
        <v>5166</v>
      </c>
      <c r="AP28" s="99">
        <v>11</v>
      </c>
      <c r="AQ28" s="99">
        <v>8118</v>
      </c>
      <c r="AR28" s="99">
        <v>4.3897945331286898</v>
      </c>
      <c r="AS28" s="99">
        <v>3239.668365448973</v>
      </c>
      <c r="AT28" s="99">
        <v>6.2563149473088098</v>
      </c>
      <c r="AU28" s="99">
        <v>4617.1604311139017</v>
      </c>
      <c r="AV28" s="99">
        <v>8.4213577149654153</v>
      </c>
      <c r="AW28" s="99">
        <v>6214.9619936444769</v>
      </c>
      <c r="AX28" s="99">
        <v>8.9285904883887</v>
      </c>
      <c r="AY28" s="99">
        <v>6589.2997804308607</v>
      </c>
      <c r="AZ28" s="99">
        <v>6.7315780880231193</v>
      </c>
      <c r="BA28" s="99">
        <v>4967.9046289610624</v>
      </c>
      <c r="BB28" s="99">
        <v>7.5173796018244596</v>
      </c>
      <c r="BC28" s="99">
        <v>5547.8261461464508</v>
      </c>
      <c r="BD28" s="99">
        <v>11.099990200319088</v>
      </c>
      <c r="BE28" s="99">
        <v>8191.7927678354863</v>
      </c>
      <c r="BF28" s="99">
        <v>4.0850259779098517</v>
      </c>
      <c r="BG28" s="99">
        <v>3014.7491716974705</v>
      </c>
      <c r="BH28" s="99">
        <v>3.3076825434362487</v>
      </c>
      <c r="BI28" s="99">
        <v>2441.0697170559515</v>
      </c>
      <c r="BJ28" s="99">
        <v>9.9942733717583732</v>
      </c>
      <c r="BK28" s="99">
        <v>7375.7737483576793</v>
      </c>
      <c r="BL28" s="99">
        <v>9</v>
      </c>
      <c r="BM28" s="99">
        <v>6642</v>
      </c>
      <c r="BN28" s="99">
        <v>9</v>
      </c>
      <c r="BO28" s="99">
        <v>6642</v>
      </c>
      <c r="BP28" s="99">
        <v>7.7764539262569663</v>
      </c>
      <c r="BQ28" s="99">
        <v>5739.022997577641</v>
      </c>
      <c r="BR28" s="99">
        <v>3.3737830324278755</v>
      </c>
      <c r="BS28" s="99">
        <v>2489.8518779317719</v>
      </c>
      <c r="BT28" s="99">
        <v>8.0937069132981776</v>
      </c>
      <c r="BU28" s="99">
        <v>5973.1557020140554</v>
      </c>
      <c r="BV28" s="99">
        <v>7.5704740922108122</v>
      </c>
      <c r="BW28" s="99">
        <v>5587.0098800515798</v>
      </c>
      <c r="BX28" s="99">
        <v>9.4828610199318479</v>
      </c>
      <c r="BY28" s="99">
        <v>6998.3514327097037</v>
      </c>
      <c r="BZ28" s="99">
        <v>9.7302484620241092</v>
      </c>
      <c r="CA28" s="99">
        <v>7180.9233649737926</v>
      </c>
      <c r="CB28" s="99">
        <v>8</v>
      </c>
      <c r="CC28" s="99">
        <v>5904</v>
      </c>
      <c r="CD28" s="99">
        <v>7.7168563218426485</v>
      </c>
      <c r="CE28" s="99">
        <v>5695.0399655198744</v>
      </c>
      <c r="CF28" s="99">
        <v>5.6831484309869653</v>
      </c>
      <c r="CG28" s="99">
        <v>4194.1635420683806</v>
      </c>
      <c r="CH28" s="99">
        <v>1.8583076470620163</v>
      </c>
      <c r="CI28" s="99">
        <v>1371.431043531768</v>
      </c>
      <c r="CJ28" s="99">
        <v>9.3889386472116456</v>
      </c>
      <c r="CK28" s="99">
        <v>6929.0367216421946</v>
      </c>
      <c r="CL28" s="99">
        <v>10.975916903028857</v>
      </c>
      <c r="CM28" s="99">
        <v>8100.2266744352964</v>
      </c>
      <c r="CN28" s="99">
        <v>8</v>
      </c>
      <c r="CO28" s="99">
        <v>5904</v>
      </c>
      <c r="CP28" s="99">
        <v>12.214953248737659</v>
      </c>
      <c r="CQ28" s="99">
        <v>9014.6354975683935</v>
      </c>
      <c r="CR28" s="99">
        <v>8.8322403437232726</v>
      </c>
      <c r="CS28" s="99">
        <v>6518.1933736677756</v>
      </c>
      <c r="CT28" s="99">
        <v>8.3320330609510727</v>
      </c>
      <c r="CU28" s="99">
        <v>6149.0403989818915</v>
      </c>
    </row>
    <row r="29" spans="2:99">
      <c r="C29" s="98" t="s">
        <v>195</v>
      </c>
      <c r="D29" s="99">
        <v>10</v>
      </c>
      <c r="E29" s="99">
        <v>3384</v>
      </c>
      <c r="F29" s="99">
        <v>8.1451018667574555</v>
      </c>
      <c r="G29" s="99">
        <v>2756.3024717107228</v>
      </c>
      <c r="H29" s="99">
        <v>8.5160144434735461</v>
      </c>
      <c r="I29" s="99">
        <v>2881.8192876714479</v>
      </c>
      <c r="J29" s="99">
        <v>6</v>
      </c>
      <c r="K29" s="99">
        <v>2030.3999999999999</v>
      </c>
      <c r="L29" s="99">
        <v>4.8340244685882796</v>
      </c>
      <c r="M29" s="99">
        <v>1635.8338801702737</v>
      </c>
      <c r="N29" s="99">
        <v>8</v>
      </c>
      <c r="O29" s="99">
        <v>2707.2</v>
      </c>
      <c r="P29" s="99">
        <v>7</v>
      </c>
      <c r="Q29" s="99">
        <v>2368.7999999999997</v>
      </c>
      <c r="R29" s="99">
        <v>6</v>
      </c>
      <c r="S29" s="99">
        <v>2030.3999999999999</v>
      </c>
      <c r="T29" s="99">
        <v>6.9117267020022757</v>
      </c>
      <c r="U29" s="99">
        <v>2338.9283159575698</v>
      </c>
      <c r="V29" s="99">
        <v>11</v>
      </c>
      <c r="W29" s="99">
        <v>3722.3999999999996</v>
      </c>
      <c r="X29" s="99">
        <v>11</v>
      </c>
      <c r="Y29" s="99">
        <v>3722.3999999999996</v>
      </c>
      <c r="Z29" s="99">
        <v>8</v>
      </c>
      <c r="AA29" s="99">
        <v>2707.2</v>
      </c>
      <c r="AB29" s="99">
        <v>4.2817502627152146</v>
      </c>
      <c r="AC29" s="99">
        <v>1448.9442889028285</v>
      </c>
      <c r="AD29" s="99">
        <v>5.6800232372026516</v>
      </c>
      <c r="AE29" s="99">
        <v>1922.1198634693772</v>
      </c>
      <c r="AF29" s="99">
        <v>8.820301831725212</v>
      </c>
      <c r="AG29" s="99">
        <v>2984.7901398558115</v>
      </c>
      <c r="AH29" s="99">
        <v>7.9243338191430457</v>
      </c>
      <c r="AI29" s="99">
        <v>2681.5945643980067</v>
      </c>
      <c r="AJ29" s="99">
        <v>7.8813794052645347</v>
      </c>
      <c r="AK29" s="99">
        <v>2667.0587907415184</v>
      </c>
      <c r="AL29" s="99">
        <v>9</v>
      </c>
      <c r="AM29" s="99">
        <v>3045.6</v>
      </c>
      <c r="AN29" s="99">
        <v>7</v>
      </c>
      <c r="AO29" s="99">
        <v>2368.7999999999997</v>
      </c>
      <c r="AP29" s="99">
        <v>10</v>
      </c>
      <c r="AQ29" s="99">
        <v>3384</v>
      </c>
      <c r="AR29" s="99">
        <v>4.3343325650741029</v>
      </c>
      <c r="AS29" s="99">
        <v>1466.7381400210763</v>
      </c>
      <c r="AT29" s="99">
        <v>6.7014131071167942</v>
      </c>
      <c r="AU29" s="99">
        <v>2267.758195448323</v>
      </c>
      <c r="AV29" s="99">
        <v>8.5905598211026177</v>
      </c>
      <c r="AW29" s="99">
        <v>2907.0454434611256</v>
      </c>
      <c r="AX29" s="99">
        <v>10.250022236453482</v>
      </c>
      <c r="AY29" s="99">
        <v>3468.6075248158581</v>
      </c>
      <c r="AZ29" s="99">
        <v>7.4795312089145778</v>
      </c>
      <c r="BA29" s="99">
        <v>2531.0733610966931</v>
      </c>
      <c r="BB29" s="99">
        <v>7.5074395900451325</v>
      </c>
      <c r="BC29" s="99">
        <v>2540.5175572712728</v>
      </c>
      <c r="BD29" s="99">
        <v>11.099990200319088</v>
      </c>
      <c r="BE29" s="99">
        <v>3756.236683787979</v>
      </c>
      <c r="BF29" s="99">
        <v>4.9328625080181805</v>
      </c>
      <c r="BG29" s="99">
        <v>1669.2806727133523</v>
      </c>
      <c r="BH29" s="99">
        <v>3.329560911183358</v>
      </c>
      <c r="BI29" s="99">
        <v>1126.7234123444482</v>
      </c>
      <c r="BJ29" s="99">
        <v>10.84086772777696</v>
      </c>
      <c r="BK29" s="99">
        <v>3668.549639079723</v>
      </c>
      <c r="BL29" s="99">
        <v>8</v>
      </c>
      <c r="BM29" s="99">
        <v>2707.2</v>
      </c>
      <c r="BN29" s="99">
        <v>9</v>
      </c>
      <c r="BO29" s="99">
        <v>3045.6</v>
      </c>
      <c r="BP29" s="99">
        <v>8.7764539262569663</v>
      </c>
      <c r="BQ29" s="99">
        <v>2969.9520086453572</v>
      </c>
      <c r="BR29" s="99">
        <v>3.3737830324278755</v>
      </c>
      <c r="BS29" s="99">
        <v>1141.6881781735931</v>
      </c>
      <c r="BT29" s="99">
        <v>7.9445901079785006</v>
      </c>
      <c r="BU29" s="99">
        <v>2688.4492925399245</v>
      </c>
      <c r="BV29" s="99">
        <v>7.446903000342882</v>
      </c>
      <c r="BW29" s="99">
        <v>2520.0319753160311</v>
      </c>
      <c r="BX29" s="99">
        <v>9.4758807553933391</v>
      </c>
      <c r="BY29" s="99">
        <v>3206.6380476251056</v>
      </c>
      <c r="BZ29" s="99">
        <v>9.8744358338594527</v>
      </c>
      <c r="CA29" s="99">
        <v>3341.5090861780386</v>
      </c>
      <c r="CB29" s="99">
        <v>9</v>
      </c>
      <c r="CC29" s="99">
        <v>3045.6</v>
      </c>
      <c r="CD29" s="99">
        <v>9.2254858921497842</v>
      </c>
      <c r="CE29" s="99">
        <v>3121.9044259034868</v>
      </c>
      <c r="CF29" s="99">
        <v>6.6233282233685955</v>
      </c>
      <c r="CG29" s="99">
        <v>2241.3342707879324</v>
      </c>
      <c r="CH29" s="99">
        <v>2.1237801680708754</v>
      </c>
      <c r="CI29" s="99">
        <v>718.68720887518418</v>
      </c>
      <c r="CJ29" s="99">
        <v>10.282370305681674</v>
      </c>
      <c r="CK29" s="99">
        <v>3479.5541114426783</v>
      </c>
      <c r="CL29" s="99">
        <v>12.305236386867001</v>
      </c>
      <c r="CM29" s="99">
        <v>4164.0919933157929</v>
      </c>
      <c r="CN29" s="99">
        <v>10</v>
      </c>
      <c r="CO29" s="99">
        <v>3384</v>
      </c>
      <c r="CP29" s="99">
        <v>12.328576947703095</v>
      </c>
      <c r="CQ29" s="99">
        <v>4171.9904391027267</v>
      </c>
      <c r="CR29" s="99">
        <v>8.9107717165619569</v>
      </c>
      <c r="CS29" s="99">
        <v>3015.4051488845662</v>
      </c>
      <c r="CT29" s="99">
        <v>8.2255779245939582</v>
      </c>
      <c r="CU29" s="99">
        <v>2783.5355696825955</v>
      </c>
    </row>
    <row r="30" spans="2:99">
      <c r="C30" s="98" t="s">
        <v>196</v>
      </c>
      <c r="D30" s="99">
        <v>11</v>
      </c>
      <c r="E30" s="99">
        <v>1531.1999999999998</v>
      </c>
      <c r="F30" s="99">
        <v>7.3305916800817101</v>
      </c>
      <c r="G30" s="99">
        <v>1020.418361867374</v>
      </c>
      <c r="H30" s="99">
        <v>8.5160144434735461</v>
      </c>
      <c r="I30" s="99">
        <v>1185.4292105315176</v>
      </c>
      <c r="J30" s="99">
        <v>6</v>
      </c>
      <c r="K30" s="99">
        <v>835.19999999999993</v>
      </c>
      <c r="L30" s="99">
        <v>4.8340244685882796</v>
      </c>
      <c r="M30" s="99">
        <v>672.89620602748846</v>
      </c>
      <c r="N30" s="99">
        <v>9</v>
      </c>
      <c r="O30" s="99">
        <v>1252.8</v>
      </c>
      <c r="P30" s="99">
        <v>8</v>
      </c>
      <c r="Q30" s="99">
        <v>1113.5999999999999</v>
      </c>
      <c r="R30" s="99">
        <v>5</v>
      </c>
      <c r="S30" s="99">
        <v>696</v>
      </c>
      <c r="T30" s="99">
        <v>7.6796963355580834</v>
      </c>
      <c r="U30" s="99">
        <v>1069.013729909685</v>
      </c>
      <c r="V30" s="99">
        <v>11</v>
      </c>
      <c r="W30" s="99">
        <v>1531.1999999999998</v>
      </c>
      <c r="X30" s="99">
        <v>12</v>
      </c>
      <c r="Y30" s="99">
        <v>1670.3999999999999</v>
      </c>
      <c r="Z30" s="99">
        <v>8</v>
      </c>
      <c r="AA30" s="99">
        <v>1113.5999999999999</v>
      </c>
      <c r="AB30" s="99">
        <v>4.2817502627152146</v>
      </c>
      <c r="AC30" s="99">
        <v>596.01963656995781</v>
      </c>
      <c r="AD30" s="99">
        <v>5.664211353031039</v>
      </c>
      <c r="AE30" s="99">
        <v>788.45822034192054</v>
      </c>
      <c r="AF30" s="99">
        <v>9.5104909878220631</v>
      </c>
      <c r="AG30" s="99">
        <v>1323.860345504831</v>
      </c>
      <c r="AH30" s="99">
        <v>8.779403634771441</v>
      </c>
      <c r="AI30" s="99">
        <v>1222.0929859601845</v>
      </c>
      <c r="AJ30" s="99">
        <v>6.8813794052645347</v>
      </c>
      <c r="AK30" s="99">
        <v>957.88801321282313</v>
      </c>
      <c r="AL30" s="99">
        <v>9</v>
      </c>
      <c r="AM30" s="99">
        <v>1252.8</v>
      </c>
      <c r="AN30" s="99">
        <v>8</v>
      </c>
      <c r="AO30" s="99">
        <v>1113.5999999999999</v>
      </c>
      <c r="AP30" s="99">
        <v>12</v>
      </c>
      <c r="AQ30" s="99">
        <v>1670.3999999999999</v>
      </c>
      <c r="AR30" s="99">
        <v>4.3897945331286898</v>
      </c>
      <c r="AS30" s="99">
        <v>611.05939901151362</v>
      </c>
      <c r="AT30" s="99">
        <v>7.0338973482695684</v>
      </c>
      <c r="AU30" s="99">
        <v>979.11851087912385</v>
      </c>
      <c r="AV30" s="99">
        <v>9.3248352633978175</v>
      </c>
      <c r="AW30" s="99">
        <v>1298.017068664976</v>
      </c>
      <c r="AX30" s="99">
        <v>9.089306362421091</v>
      </c>
      <c r="AY30" s="99">
        <v>1265.2314456490158</v>
      </c>
      <c r="AZ30" s="99">
        <v>7.4795312089145778</v>
      </c>
      <c r="BA30" s="99">
        <v>1041.1507442809091</v>
      </c>
      <c r="BB30" s="99">
        <v>8.253710543748948</v>
      </c>
      <c r="BC30" s="99">
        <v>1148.9165076898535</v>
      </c>
      <c r="BD30" s="99">
        <v>12.27498938367901</v>
      </c>
      <c r="BE30" s="99">
        <v>1708.678522208118</v>
      </c>
      <c r="BF30" s="99">
        <v>4.0850259779098517</v>
      </c>
      <c r="BG30" s="99">
        <v>568.63561612505134</v>
      </c>
      <c r="BH30" s="99">
        <v>2.8293300120205722</v>
      </c>
      <c r="BI30" s="99">
        <v>393.84273767326363</v>
      </c>
      <c r="BJ30" s="99">
        <v>11.994273371758373</v>
      </c>
      <c r="BK30" s="99">
        <v>1669.6028533487654</v>
      </c>
      <c r="BL30" s="99">
        <v>9</v>
      </c>
      <c r="BM30" s="99">
        <v>1252.8</v>
      </c>
      <c r="BN30" s="99">
        <v>11</v>
      </c>
      <c r="BO30" s="99">
        <v>1531.1999999999998</v>
      </c>
      <c r="BP30" s="99">
        <v>7.9428369104548882</v>
      </c>
      <c r="BQ30" s="99">
        <v>1105.6428979353204</v>
      </c>
      <c r="BR30" s="99">
        <v>4.3860749919110651</v>
      </c>
      <c r="BS30" s="99">
        <v>610.54163887402024</v>
      </c>
      <c r="BT30" s="99">
        <v>7.9253632517065924</v>
      </c>
      <c r="BU30" s="99">
        <v>1103.2105646375576</v>
      </c>
      <c r="BV30" s="99">
        <v>7.5659803294517776</v>
      </c>
      <c r="BW30" s="99">
        <v>1053.1844618596874</v>
      </c>
      <c r="BX30" s="99">
        <v>10.59092997110538</v>
      </c>
      <c r="BY30" s="99">
        <v>1474.2574519778689</v>
      </c>
      <c r="BZ30" s="99">
        <v>9.8744358338594527</v>
      </c>
      <c r="CA30" s="99">
        <v>1374.5214680732356</v>
      </c>
      <c r="CB30" s="99">
        <v>10</v>
      </c>
      <c r="CC30" s="99">
        <v>1392</v>
      </c>
      <c r="CD30" s="99">
        <v>9.2643446442981272</v>
      </c>
      <c r="CE30" s="99">
        <v>1289.5967744862992</v>
      </c>
      <c r="CF30" s="99">
        <v>6.7461094070034475</v>
      </c>
      <c r="CG30" s="99">
        <v>939.05842945487984</v>
      </c>
      <c r="CH30" s="99">
        <v>2.1237801680708754</v>
      </c>
      <c r="CI30" s="99">
        <v>295.63019939546587</v>
      </c>
      <c r="CJ30" s="99">
        <v>10.475737139417449</v>
      </c>
      <c r="CK30" s="99">
        <v>1458.2226098069088</v>
      </c>
      <c r="CL30" s="99">
        <v>11.140576644947929</v>
      </c>
      <c r="CM30" s="99">
        <v>1550.7682689767516</v>
      </c>
      <c r="CN30" s="99">
        <v>9</v>
      </c>
      <c r="CO30" s="99">
        <v>1252.8</v>
      </c>
      <c r="CP30" s="99">
        <v>13.397709534328179</v>
      </c>
      <c r="CQ30" s="99">
        <v>1864.9611671784824</v>
      </c>
      <c r="CR30" s="99">
        <v>8.9893030894006394</v>
      </c>
      <c r="CS30" s="99">
        <v>1251.3109900445688</v>
      </c>
      <c r="CT30" s="99">
        <v>8.3320330609510727</v>
      </c>
      <c r="CU30" s="99">
        <v>1159.8190020843892</v>
      </c>
    </row>
    <row r="31" spans="2:99">
      <c r="C31" s="98" t="s">
        <v>197</v>
      </c>
      <c r="D31" s="99">
        <v>10</v>
      </c>
      <c r="E31" s="99">
        <v>3408</v>
      </c>
      <c r="F31" s="99">
        <v>8.1451018667574555</v>
      </c>
      <c r="G31" s="99">
        <v>2775.8507161909411</v>
      </c>
      <c r="H31" s="99">
        <v>9.4622382705261607</v>
      </c>
      <c r="I31" s="99">
        <v>3224.7308025953157</v>
      </c>
      <c r="J31" s="99">
        <v>5</v>
      </c>
      <c r="K31" s="99">
        <v>1704</v>
      </c>
      <c r="L31" s="99">
        <v>4.8036927984140698</v>
      </c>
      <c r="M31" s="99">
        <v>1637.098505699515</v>
      </c>
      <c r="N31" s="99">
        <v>8</v>
      </c>
      <c r="O31" s="99">
        <v>2726.4</v>
      </c>
      <c r="P31" s="99">
        <v>7</v>
      </c>
      <c r="Q31" s="99">
        <v>2385.6</v>
      </c>
      <c r="R31" s="99">
        <v>6</v>
      </c>
      <c r="S31" s="99">
        <v>2044.8000000000002</v>
      </c>
      <c r="T31" s="99">
        <v>6.9117267020022757</v>
      </c>
      <c r="U31" s="99">
        <v>2355.5164600423755</v>
      </c>
      <c r="V31" s="99">
        <v>10</v>
      </c>
      <c r="W31" s="99">
        <v>3408</v>
      </c>
      <c r="X31" s="99">
        <v>12</v>
      </c>
      <c r="Y31" s="99">
        <v>4089.6000000000004</v>
      </c>
      <c r="Z31" s="99">
        <v>8</v>
      </c>
      <c r="AA31" s="99">
        <v>2726.4</v>
      </c>
      <c r="AB31" s="99">
        <v>4.2817502627152146</v>
      </c>
      <c r="AC31" s="99">
        <v>1459.2204895333452</v>
      </c>
      <c r="AD31" s="99">
        <v>5.6800232372026516</v>
      </c>
      <c r="AE31" s="99">
        <v>1935.7519192386637</v>
      </c>
      <c r="AF31" s="99">
        <v>7.9589958815992636</v>
      </c>
      <c r="AG31" s="99">
        <v>2712.4257964490293</v>
      </c>
      <c r="AH31" s="99">
        <v>8.8858673890145816</v>
      </c>
      <c r="AI31" s="99">
        <v>3028.3036061761695</v>
      </c>
      <c r="AJ31" s="99">
        <v>6.9695173457909885</v>
      </c>
      <c r="AK31" s="99">
        <v>2375.2115114455692</v>
      </c>
      <c r="AL31" s="99">
        <v>8</v>
      </c>
      <c r="AM31" s="99">
        <v>2726.4</v>
      </c>
      <c r="AN31" s="99">
        <v>8</v>
      </c>
      <c r="AO31" s="99">
        <v>2726.4</v>
      </c>
      <c r="AP31" s="99">
        <v>11</v>
      </c>
      <c r="AQ31" s="99">
        <v>3748.8</v>
      </c>
      <c r="AR31" s="99">
        <v>4.9450423162882391</v>
      </c>
      <c r="AS31" s="99">
        <v>1685.270421391032</v>
      </c>
      <c r="AT31" s="99">
        <v>7.571924441512893</v>
      </c>
      <c r="AU31" s="99">
        <v>2580.5118496675941</v>
      </c>
      <c r="AV31" s="99">
        <v>8.5832303565422574</v>
      </c>
      <c r="AW31" s="99">
        <v>2925.1649055096013</v>
      </c>
      <c r="AX31" s="99">
        <v>8.9285904883887</v>
      </c>
      <c r="AY31" s="99">
        <v>3042.8636384428692</v>
      </c>
      <c r="AZ31" s="99">
        <v>6.7315780880231193</v>
      </c>
      <c r="BA31" s="99">
        <v>2294.121812398279</v>
      </c>
      <c r="BB31" s="99">
        <v>8.3491830728989935</v>
      </c>
      <c r="BC31" s="99">
        <v>2845.4015912439772</v>
      </c>
      <c r="BD31" s="99">
        <v>12.099990200319088</v>
      </c>
      <c r="BE31" s="99">
        <v>4123.6766602687449</v>
      </c>
      <c r="BF31" s="99">
        <v>4.9328625080181805</v>
      </c>
      <c r="BG31" s="99">
        <v>1681.1195427325961</v>
      </c>
      <c r="BH31" s="99">
        <v>3.3514392789304672</v>
      </c>
      <c r="BI31" s="99">
        <v>1142.1705062595033</v>
      </c>
      <c r="BJ31" s="99">
        <v>11.147679015739786</v>
      </c>
      <c r="BK31" s="99">
        <v>3799.1290085641194</v>
      </c>
      <c r="BL31" s="99">
        <v>9</v>
      </c>
      <c r="BM31" s="99">
        <v>3067.2000000000003</v>
      </c>
      <c r="BN31" s="99">
        <v>11</v>
      </c>
      <c r="BO31" s="99">
        <v>3748.8</v>
      </c>
      <c r="BP31" s="99">
        <v>7.7764539262569663</v>
      </c>
      <c r="BQ31" s="99">
        <v>2650.215498068374</v>
      </c>
      <c r="BR31" s="99">
        <v>3.8445627564205584</v>
      </c>
      <c r="BS31" s="99">
        <v>1310.2269873881264</v>
      </c>
      <c r="BT31" s="99">
        <v>8.2438356584216379</v>
      </c>
      <c r="BU31" s="99">
        <v>2809.4991923900943</v>
      </c>
      <c r="BV31" s="99">
        <v>6.6667096280660578</v>
      </c>
      <c r="BW31" s="99">
        <v>2272.0146412449126</v>
      </c>
      <c r="BX31" s="99">
        <v>9.7178543175994836</v>
      </c>
      <c r="BY31" s="99">
        <v>3311.8447514379041</v>
      </c>
      <c r="BZ31" s="99">
        <v>9.8744358338594527</v>
      </c>
      <c r="CA31" s="99">
        <v>3365.2077321793017</v>
      </c>
      <c r="CB31" s="99">
        <v>9</v>
      </c>
      <c r="CC31" s="99">
        <v>3067.2000000000003</v>
      </c>
      <c r="CD31" s="99">
        <v>9.2643446442981272</v>
      </c>
      <c r="CE31" s="99">
        <v>3157.2886547768016</v>
      </c>
      <c r="CF31" s="99">
        <v>6.7074054253019364</v>
      </c>
      <c r="CG31" s="99">
        <v>2285.8837689429001</v>
      </c>
      <c r="CH31" s="99">
        <v>1.8583076470620163</v>
      </c>
      <c r="CI31" s="99">
        <v>633.3112461187352</v>
      </c>
      <c r="CJ31" s="99">
        <v>9.3889386472116456</v>
      </c>
      <c r="CK31" s="99">
        <v>3199.7502909697291</v>
      </c>
      <c r="CL31" s="99">
        <v>10.975916903028857</v>
      </c>
      <c r="CM31" s="99">
        <v>3740.5924805522345</v>
      </c>
      <c r="CN31" s="99">
        <v>9</v>
      </c>
      <c r="CO31" s="99">
        <v>3067.2000000000003</v>
      </c>
      <c r="CP31" s="99">
        <v>12.214953248737659</v>
      </c>
      <c r="CQ31" s="99">
        <v>4162.8560671697942</v>
      </c>
      <c r="CR31" s="99">
        <v>8.8322403437232726</v>
      </c>
      <c r="CS31" s="99">
        <v>3010.0275091408912</v>
      </c>
      <c r="CT31" s="99">
        <v>8.2255779245939582</v>
      </c>
      <c r="CU31" s="99">
        <v>2803.2769567016212</v>
      </c>
    </row>
    <row r="32" spans="2:99">
      <c r="C32" s="98" t="s">
        <v>198</v>
      </c>
      <c r="D32" s="99">
        <v>9</v>
      </c>
      <c r="E32" s="99">
        <v>7560</v>
      </c>
      <c r="F32" s="99">
        <v>7.3305916800817101</v>
      </c>
      <c r="G32" s="99">
        <v>6157.6970112686367</v>
      </c>
      <c r="H32" s="99">
        <v>8.5160144434735461</v>
      </c>
      <c r="I32" s="99">
        <v>7153.4521325177784</v>
      </c>
      <c r="J32" s="99">
        <v>6</v>
      </c>
      <c r="K32" s="99">
        <v>5040</v>
      </c>
      <c r="L32" s="99">
        <v>4.169448118939278</v>
      </c>
      <c r="M32" s="99">
        <v>3502.3364199089933</v>
      </c>
      <c r="N32" s="99">
        <v>8</v>
      </c>
      <c r="O32" s="99">
        <v>6720</v>
      </c>
      <c r="P32" s="99">
        <v>7</v>
      </c>
      <c r="Q32" s="99">
        <v>5880</v>
      </c>
      <c r="R32" s="99">
        <v>5</v>
      </c>
      <c r="S32" s="99">
        <v>4200</v>
      </c>
      <c r="T32" s="99">
        <v>7.6796963355580834</v>
      </c>
      <c r="U32" s="99">
        <v>6450.9449218687896</v>
      </c>
      <c r="V32" s="99">
        <v>10</v>
      </c>
      <c r="W32" s="99">
        <v>8400</v>
      </c>
      <c r="X32" s="99">
        <v>10</v>
      </c>
      <c r="Y32" s="99">
        <v>8400</v>
      </c>
      <c r="Z32" s="99">
        <v>7</v>
      </c>
      <c r="AA32" s="99">
        <v>5880</v>
      </c>
      <c r="AB32" s="99">
        <v>3.6700716537558984</v>
      </c>
      <c r="AC32" s="99">
        <v>3082.8601891549547</v>
      </c>
      <c r="AD32" s="99">
        <v>5.664211353031039</v>
      </c>
      <c r="AE32" s="99">
        <v>4757.9375365460728</v>
      </c>
      <c r="AF32" s="99">
        <v>7.7986223308424751</v>
      </c>
      <c r="AG32" s="99">
        <v>6550.8427579076788</v>
      </c>
      <c r="AH32" s="99">
        <v>7.9243338191430457</v>
      </c>
      <c r="AI32" s="99">
        <v>6656.4404080801587</v>
      </c>
      <c r="AJ32" s="99">
        <v>7.8813794052645347</v>
      </c>
      <c r="AK32" s="99">
        <v>6620.358700422209</v>
      </c>
      <c r="AL32" s="99">
        <v>7</v>
      </c>
      <c r="AM32" s="99">
        <v>5880</v>
      </c>
      <c r="AN32" s="99">
        <v>8</v>
      </c>
      <c r="AO32" s="99">
        <v>6720</v>
      </c>
      <c r="AP32" s="99">
        <v>11</v>
      </c>
      <c r="AQ32" s="99">
        <v>9240</v>
      </c>
      <c r="AR32" s="99">
        <v>4.9440667316580988</v>
      </c>
      <c r="AS32" s="99">
        <v>4153.0160545928029</v>
      </c>
      <c r="AT32" s="99">
        <v>6.8104512728061604</v>
      </c>
      <c r="AU32" s="99">
        <v>5720.7790691571745</v>
      </c>
      <c r="AV32" s="99">
        <v>8.2594850733885714</v>
      </c>
      <c r="AW32" s="99">
        <v>6937.9674616463999</v>
      </c>
      <c r="AX32" s="99">
        <v>10.250022236453482</v>
      </c>
      <c r="AY32" s="99">
        <v>8610.0186786209251</v>
      </c>
      <c r="AZ32" s="99">
        <v>6.7315780880231193</v>
      </c>
      <c r="BA32" s="99">
        <v>5654.5255939394201</v>
      </c>
      <c r="BB32" s="99">
        <v>6.9719937182000615</v>
      </c>
      <c r="BC32" s="99">
        <v>5856.4747232880518</v>
      </c>
      <c r="BD32" s="99">
        <v>12.27498938367901</v>
      </c>
      <c r="BE32" s="99">
        <v>10310.991082290368</v>
      </c>
      <c r="BF32" s="99">
        <v>4.0532893199778073</v>
      </c>
      <c r="BG32" s="99">
        <v>3404.7630287813581</v>
      </c>
      <c r="BH32" s="99">
        <v>3.329560911183358</v>
      </c>
      <c r="BI32" s="99">
        <v>2796.8311653940209</v>
      </c>
      <c r="BJ32" s="99">
        <v>10.84086772777696</v>
      </c>
      <c r="BK32" s="99">
        <v>9106.3288913326469</v>
      </c>
      <c r="BL32" s="99">
        <v>8</v>
      </c>
      <c r="BM32" s="99">
        <v>6720</v>
      </c>
      <c r="BN32" s="99">
        <v>11</v>
      </c>
      <c r="BO32" s="99">
        <v>9240</v>
      </c>
      <c r="BP32" s="99">
        <v>7.8319149209896075</v>
      </c>
      <c r="BQ32" s="99">
        <v>6578.8085336312706</v>
      </c>
      <c r="BR32" s="99">
        <v>4.3418408313034922</v>
      </c>
      <c r="BS32" s="99">
        <v>3647.1462982949333</v>
      </c>
      <c r="BT32" s="99">
        <v>7.9456020477822857</v>
      </c>
      <c r="BU32" s="99">
        <v>6674.3057201371203</v>
      </c>
      <c r="BV32" s="99">
        <v>7.5659803294517776</v>
      </c>
      <c r="BW32" s="99">
        <v>6355.4234767394928</v>
      </c>
      <c r="BX32" s="99">
        <v>8.7237918829905148</v>
      </c>
      <c r="BY32" s="99">
        <v>7327.9851817120325</v>
      </c>
      <c r="BZ32" s="99">
        <v>9.7302484620241092</v>
      </c>
      <c r="CA32" s="99">
        <v>8173.4087081002517</v>
      </c>
      <c r="CB32" s="99">
        <v>9</v>
      </c>
      <c r="CC32" s="99">
        <v>7560</v>
      </c>
      <c r="CD32" s="99">
        <v>8.2608788519194523</v>
      </c>
      <c r="CE32" s="99">
        <v>6939.1382356123395</v>
      </c>
      <c r="CF32" s="99">
        <v>5.7672256329203053</v>
      </c>
      <c r="CG32" s="99">
        <v>4844.469531653056</v>
      </c>
      <c r="CH32" s="99">
        <v>1.5928351260531566</v>
      </c>
      <c r="CI32" s="99">
        <v>1337.9815058846516</v>
      </c>
      <c r="CJ32" s="99">
        <v>9.2153009698203334</v>
      </c>
      <c r="CK32" s="99">
        <v>7740.8528146490798</v>
      </c>
      <c r="CL32" s="99">
        <v>10.975916903028857</v>
      </c>
      <c r="CM32" s="99">
        <v>9219.77019854424</v>
      </c>
      <c r="CN32" s="99">
        <v>8</v>
      </c>
      <c r="CO32" s="99">
        <v>6720</v>
      </c>
      <c r="CP32" s="99">
        <v>11.373068060043448</v>
      </c>
      <c r="CQ32" s="99">
        <v>9553.3771704364954</v>
      </c>
      <c r="CR32" s="99">
        <v>8.1060790550283119</v>
      </c>
      <c r="CS32" s="99">
        <v>6809.106406223782</v>
      </c>
      <c r="CT32" s="99">
        <v>8.2255779245939582</v>
      </c>
      <c r="CU32" s="99">
        <v>6909.4854566589247</v>
      </c>
    </row>
    <row r="33" spans="2:99">
      <c r="C33" s="98" t="s">
        <v>199</v>
      </c>
      <c r="D33" s="99">
        <v>9</v>
      </c>
      <c r="E33" s="99">
        <v>4266</v>
      </c>
      <c r="F33" s="99">
        <v>7.3305916800817101</v>
      </c>
      <c r="G33" s="99">
        <v>3474.7004563587307</v>
      </c>
      <c r="H33" s="99">
        <v>8.5160144434735461</v>
      </c>
      <c r="I33" s="99">
        <v>4036.5908462064608</v>
      </c>
      <c r="J33" s="99">
        <v>6</v>
      </c>
      <c r="K33" s="99">
        <v>2844</v>
      </c>
      <c r="L33" s="99">
        <v>4.8340244685882796</v>
      </c>
      <c r="M33" s="99">
        <v>2291.3275981108445</v>
      </c>
      <c r="N33" s="99">
        <v>8</v>
      </c>
      <c r="O33" s="99">
        <v>3792</v>
      </c>
      <c r="P33" s="99">
        <v>7</v>
      </c>
      <c r="Q33" s="99">
        <v>3318</v>
      </c>
      <c r="R33" s="99">
        <v>5</v>
      </c>
      <c r="S33" s="99">
        <v>2370</v>
      </c>
      <c r="T33" s="99">
        <v>6.9117267020022757</v>
      </c>
      <c r="U33" s="99">
        <v>3276.1584567490786</v>
      </c>
      <c r="V33" s="99">
        <v>10</v>
      </c>
      <c r="W33" s="99">
        <v>4740</v>
      </c>
      <c r="X33" s="99">
        <v>11</v>
      </c>
      <c r="Y33" s="99">
        <v>5214</v>
      </c>
      <c r="Z33" s="99">
        <v>8</v>
      </c>
      <c r="AA33" s="99">
        <v>3792</v>
      </c>
      <c r="AB33" s="99">
        <v>4.2817502627152146</v>
      </c>
      <c r="AC33" s="99">
        <v>2029.5496245270117</v>
      </c>
      <c r="AD33" s="99">
        <v>4.8798855491534257</v>
      </c>
      <c r="AE33" s="99">
        <v>2313.0657502987237</v>
      </c>
      <c r="AF33" s="99">
        <v>8.6599282809684244</v>
      </c>
      <c r="AG33" s="99">
        <v>4104.8060051790335</v>
      </c>
      <c r="AH33" s="99">
        <v>8.8871020826716443</v>
      </c>
      <c r="AI33" s="99">
        <v>4212.486387186359</v>
      </c>
      <c r="AJ33" s="99">
        <v>7.8813794052645347</v>
      </c>
      <c r="AK33" s="99">
        <v>3735.7738380953892</v>
      </c>
      <c r="AL33" s="99">
        <v>8</v>
      </c>
      <c r="AM33" s="99">
        <v>3792</v>
      </c>
      <c r="AN33" s="99">
        <v>7</v>
      </c>
      <c r="AO33" s="99">
        <v>3318</v>
      </c>
      <c r="AP33" s="99">
        <v>12</v>
      </c>
      <c r="AQ33" s="99">
        <v>5688</v>
      </c>
      <c r="AR33" s="99">
        <v>4.3897945331286898</v>
      </c>
      <c r="AS33" s="99">
        <v>2080.7626087029989</v>
      </c>
      <c r="AT33" s="99">
        <v>7.4521467876541765</v>
      </c>
      <c r="AU33" s="99">
        <v>3532.3175773480798</v>
      </c>
      <c r="AV33" s="99">
        <v>8.5905598211026177</v>
      </c>
      <c r="AW33" s="99">
        <v>4071.9253552026407</v>
      </c>
      <c r="AX33" s="99">
        <v>9.9285904883887</v>
      </c>
      <c r="AY33" s="99">
        <v>4706.1518914962435</v>
      </c>
      <c r="AZ33" s="99">
        <v>7.4795312089145778</v>
      </c>
      <c r="BA33" s="99">
        <v>3545.2977930255097</v>
      </c>
      <c r="BB33" s="99">
        <v>7.6227921427538323</v>
      </c>
      <c r="BC33" s="99">
        <v>3613.2034756653165</v>
      </c>
      <c r="BD33" s="99">
        <v>12.27498938367901</v>
      </c>
      <c r="BE33" s="99">
        <v>5818.3449678638508</v>
      </c>
      <c r="BF33" s="99">
        <v>4.9169941790521587</v>
      </c>
      <c r="BG33" s="99">
        <v>2330.6552408707234</v>
      </c>
      <c r="BH33" s="99">
        <v>3.3076825434362487</v>
      </c>
      <c r="BI33" s="99">
        <v>1567.8415255887819</v>
      </c>
      <c r="BJ33" s="99">
        <v>11.147679015739786</v>
      </c>
      <c r="BK33" s="99">
        <v>5283.9998534606584</v>
      </c>
      <c r="BL33" s="99">
        <v>9</v>
      </c>
      <c r="BM33" s="99">
        <v>4266</v>
      </c>
      <c r="BN33" s="99">
        <v>9</v>
      </c>
      <c r="BO33" s="99">
        <v>4266</v>
      </c>
      <c r="BP33" s="99">
        <v>8.8319149209896075</v>
      </c>
      <c r="BQ33" s="99">
        <v>4186.3276725490741</v>
      </c>
      <c r="BR33" s="99">
        <v>3.8445627564205584</v>
      </c>
      <c r="BS33" s="99">
        <v>1822.3227465433447</v>
      </c>
      <c r="BT33" s="99">
        <v>8.095730792905746</v>
      </c>
      <c r="BU33" s="99">
        <v>3837.3763958373238</v>
      </c>
      <c r="BV33" s="99">
        <v>8.5659803294517776</v>
      </c>
      <c r="BW33" s="99">
        <v>4060.2746761601425</v>
      </c>
      <c r="BX33" s="99">
        <v>9.4828610199318479</v>
      </c>
      <c r="BY33" s="99">
        <v>4494.876123447696</v>
      </c>
      <c r="BZ33" s="99">
        <v>10.730248462024109</v>
      </c>
      <c r="CA33" s="99">
        <v>5086.1377709994276</v>
      </c>
      <c r="CB33" s="99">
        <v>10</v>
      </c>
      <c r="CC33" s="99">
        <v>4740</v>
      </c>
      <c r="CD33" s="99">
        <v>10.190092932380114</v>
      </c>
      <c r="CE33" s="99">
        <v>4830.1040499481742</v>
      </c>
      <c r="CF33" s="99">
        <v>6.6233282233685955</v>
      </c>
      <c r="CG33" s="99">
        <v>3139.4575778767144</v>
      </c>
      <c r="CH33" s="99">
        <v>1.8583076470620163</v>
      </c>
      <c r="CI33" s="99">
        <v>880.83782470739573</v>
      </c>
      <c r="CJ33" s="99">
        <v>10.293644109307079</v>
      </c>
      <c r="CK33" s="99">
        <v>4879.1873078115559</v>
      </c>
      <c r="CL33" s="99">
        <v>11.305236386867001</v>
      </c>
      <c r="CM33" s="99">
        <v>5358.6820473749585</v>
      </c>
      <c r="CN33" s="99">
        <v>9</v>
      </c>
      <c r="CO33" s="99">
        <v>4266</v>
      </c>
      <c r="CP33" s="99">
        <v>12.10132954977222</v>
      </c>
      <c r="CQ33" s="99">
        <v>5736.0302065920323</v>
      </c>
      <c r="CR33" s="99">
        <v>8.9107717165619569</v>
      </c>
      <c r="CS33" s="99">
        <v>4223.7057936503679</v>
      </c>
      <c r="CT33" s="99">
        <v>7.5245350945755254</v>
      </c>
      <c r="CU33" s="99">
        <v>3566.6296348287992</v>
      </c>
    </row>
    <row r="34" spans="2:99">
      <c r="C34" s="98" t="s">
        <v>200</v>
      </c>
      <c r="D34" s="99">
        <v>10</v>
      </c>
      <c r="E34" s="99">
        <v>5484</v>
      </c>
      <c r="F34" s="99">
        <v>8.1451018667574555</v>
      </c>
      <c r="G34" s="99">
        <v>4466.773863729788</v>
      </c>
      <c r="H34" s="99">
        <v>8.5160144434735461</v>
      </c>
      <c r="I34" s="99">
        <v>4670.1823208008927</v>
      </c>
      <c r="J34" s="99">
        <v>6</v>
      </c>
      <c r="K34" s="99">
        <v>3290.3999999999996</v>
      </c>
      <c r="L34" s="99">
        <v>4.77336112823986</v>
      </c>
      <c r="M34" s="99">
        <v>2617.7112427267393</v>
      </c>
      <c r="N34" s="99">
        <v>9</v>
      </c>
      <c r="O34" s="99">
        <v>4935.5999999999995</v>
      </c>
      <c r="P34" s="99">
        <v>8</v>
      </c>
      <c r="Q34" s="99">
        <v>4387.2</v>
      </c>
      <c r="R34" s="99">
        <v>5</v>
      </c>
      <c r="S34" s="99">
        <v>2742</v>
      </c>
      <c r="T34" s="99">
        <v>7.6796963355580834</v>
      </c>
      <c r="U34" s="99">
        <v>4211.5454704200529</v>
      </c>
      <c r="V34" s="99">
        <v>11</v>
      </c>
      <c r="W34" s="99">
        <v>6032.4</v>
      </c>
      <c r="X34" s="99">
        <v>11</v>
      </c>
      <c r="Y34" s="99">
        <v>6032.4</v>
      </c>
      <c r="Z34" s="99">
        <v>7</v>
      </c>
      <c r="AA34" s="99">
        <v>3838.7999999999997</v>
      </c>
      <c r="AB34" s="99">
        <v>3.6700716537558984</v>
      </c>
      <c r="AC34" s="99">
        <v>2012.6672949197346</v>
      </c>
      <c r="AD34" s="99">
        <v>5.664211353031039</v>
      </c>
      <c r="AE34" s="99">
        <v>3106.2535060022215</v>
      </c>
      <c r="AF34" s="99">
        <v>8.6599282809684244</v>
      </c>
      <c r="AG34" s="99">
        <v>4749.1046692830841</v>
      </c>
      <c r="AH34" s="99">
        <v>7.9230991254859839</v>
      </c>
      <c r="AI34" s="99">
        <v>4345.0275604165136</v>
      </c>
      <c r="AJ34" s="99">
        <v>6.8813794052645347</v>
      </c>
      <c r="AK34" s="99">
        <v>3773.7484658470707</v>
      </c>
      <c r="AL34" s="99">
        <v>9</v>
      </c>
      <c r="AM34" s="99">
        <v>4935.5999999999995</v>
      </c>
      <c r="AN34" s="99">
        <v>7</v>
      </c>
      <c r="AO34" s="99">
        <v>3838.7999999999997</v>
      </c>
      <c r="AP34" s="99">
        <v>12</v>
      </c>
      <c r="AQ34" s="99">
        <v>6580.7999999999993</v>
      </c>
      <c r="AR34" s="99">
        <v>4.3897945331286898</v>
      </c>
      <c r="AS34" s="99">
        <v>2407.3633219677736</v>
      </c>
      <c r="AT34" s="99">
        <v>7.4467770435695009</v>
      </c>
      <c r="AU34" s="99">
        <v>4083.812530693514</v>
      </c>
      <c r="AV34" s="99">
        <v>8.4250224472455955</v>
      </c>
      <c r="AW34" s="99">
        <v>4620.2823100694841</v>
      </c>
      <c r="AX34" s="99">
        <v>9.2500222364534821</v>
      </c>
      <c r="AY34" s="99">
        <v>5072.7121944710898</v>
      </c>
      <c r="AZ34" s="99">
        <v>7.4795312089145778</v>
      </c>
      <c r="BA34" s="99">
        <v>4101.7749149687543</v>
      </c>
      <c r="BB34" s="99">
        <v>7.6078821250848421</v>
      </c>
      <c r="BC34" s="99">
        <v>4172.1625573965275</v>
      </c>
      <c r="BD34" s="99">
        <v>12.27498938367901</v>
      </c>
      <c r="BE34" s="99">
        <v>6731.6041780095684</v>
      </c>
      <c r="BF34" s="99">
        <v>4.6631009155958099</v>
      </c>
      <c r="BG34" s="99">
        <v>2557.2445421127422</v>
      </c>
      <c r="BH34" s="99">
        <v>3.3514392789304672</v>
      </c>
      <c r="BI34" s="99">
        <v>1837.9293005654681</v>
      </c>
      <c r="BJ34" s="99">
        <v>11.147679015739786</v>
      </c>
      <c r="BK34" s="99">
        <v>6113.387172231699</v>
      </c>
      <c r="BL34" s="99">
        <v>9</v>
      </c>
      <c r="BM34" s="99">
        <v>4935.5999999999995</v>
      </c>
      <c r="BN34" s="99">
        <v>10</v>
      </c>
      <c r="BO34" s="99">
        <v>5484</v>
      </c>
      <c r="BP34" s="99">
        <v>7.8873759157222478</v>
      </c>
      <c r="BQ34" s="99">
        <v>4325.4369521820809</v>
      </c>
      <c r="BR34" s="99">
        <v>3.3737830324278755</v>
      </c>
      <c r="BS34" s="99">
        <v>1850.1826149834469</v>
      </c>
      <c r="BT34" s="99">
        <v>8.0967427327095294</v>
      </c>
      <c r="BU34" s="99">
        <v>4440.2537146179056</v>
      </c>
      <c r="BV34" s="99">
        <v>7.5704740922108122</v>
      </c>
      <c r="BW34" s="99">
        <v>4151.6479921684095</v>
      </c>
      <c r="BX34" s="99">
        <v>9.4863511522011059</v>
      </c>
      <c r="BY34" s="99">
        <v>5202.3149718670866</v>
      </c>
      <c r="BZ34" s="99">
        <v>10.874435833859453</v>
      </c>
      <c r="CA34" s="99">
        <v>5963.5406112885239</v>
      </c>
      <c r="CB34" s="99">
        <v>9</v>
      </c>
      <c r="CC34" s="99">
        <v>4935.5999999999995</v>
      </c>
      <c r="CD34" s="99">
        <v>10.151234180231773</v>
      </c>
      <c r="CE34" s="99">
        <v>5566.9368244391044</v>
      </c>
      <c r="CF34" s="99">
        <v>5.7672256329203053</v>
      </c>
      <c r="CG34" s="99">
        <v>3162.7465370934951</v>
      </c>
      <c r="CH34" s="99">
        <v>1.8583076470620163</v>
      </c>
      <c r="CI34" s="99">
        <v>1019.0959136488098</v>
      </c>
      <c r="CJ34" s="99">
        <v>10.379053722549559</v>
      </c>
      <c r="CK34" s="99">
        <v>5691.8730614461774</v>
      </c>
      <c r="CL34" s="99">
        <v>11.140576644947929</v>
      </c>
      <c r="CM34" s="99">
        <v>6109.4922320894439</v>
      </c>
      <c r="CN34" s="99">
        <v>10</v>
      </c>
      <c r="CO34" s="99">
        <v>5484</v>
      </c>
      <c r="CP34" s="99">
        <v>12.214953248737659</v>
      </c>
      <c r="CQ34" s="99">
        <v>6698.6803616077323</v>
      </c>
      <c r="CR34" s="99">
        <v>8.9107717165619569</v>
      </c>
      <c r="CS34" s="99">
        <v>4886.6672093625766</v>
      </c>
      <c r="CT34" s="99">
        <v>9.1395310273266208</v>
      </c>
      <c r="CU34" s="99">
        <v>5012.1188153859184</v>
      </c>
    </row>
    <row r="35" spans="2:99">
      <c r="C35" s="98" t="s">
        <v>201</v>
      </c>
      <c r="D35" s="99">
        <v>10</v>
      </c>
      <c r="E35" s="99">
        <v>5027.9999999999991</v>
      </c>
      <c r="F35" s="99">
        <v>8.1451018667574555</v>
      </c>
      <c r="G35" s="99">
        <v>4095.3572186056476</v>
      </c>
      <c r="H35" s="99">
        <v>8.5160144434735461</v>
      </c>
      <c r="I35" s="99">
        <v>4281.8520621784983</v>
      </c>
      <c r="J35" s="99">
        <v>6</v>
      </c>
      <c r="K35" s="99">
        <v>3016.7999999999993</v>
      </c>
      <c r="L35" s="99">
        <v>4.169448118939278</v>
      </c>
      <c r="M35" s="99">
        <v>2096.3985142026686</v>
      </c>
      <c r="N35" s="99">
        <v>8</v>
      </c>
      <c r="O35" s="99">
        <v>4022.3999999999992</v>
      </c>
      <c r="P35" s="99">
        <v>7</v>
      </c>
      <c r="Q35" s="99">
        <v>3519.5999999999995</v>
      </c>
      <c r="R35" s="99">
        <v>5</v>
      </c>
      <c r="S35" s="99">
        <v>2513.9999999999995</v>
      </c>
      <c r="T35" s="99">
        <v>7.6796963355580834</v>
      </c>
      <c r="U35" s="99">
        <v>3861.3513175186035</v>
      </c>
      <c r="V35" s="99">
        <v>11</v>
      </c>
      <c r="W35" s="99">
        <v>5530.7999999999993</v>
      </c>
      <c r="X35" s="99">
        <v>10</v>
      </c>
      <c r="Y35" s="99">
        <v>5027.9999999999991</v>
      </c>
      <c r="Z35" s="99">
        <v>7</v>
      </c>
      <c r="AA35" s="99">
        <v>3519.5999999999995</v>
      </c>
      <c r="AB35" s="99">
        <v>4.2817502627152146</v>
      </c>
      <c r="AC35" s="99">
        <v>2152.8640320932095</v>
      </c>
      <c r="AD35" s="99">
        <v>5.6800232372026516</v>
      </c>
      <c r="AE35" s="99">
        <v>2855.9156836654925</v>
      </c>
      <c r="AF35" s="99">
        <v>7.8515634488761465</v>
      </c>
      <c r="AG35" s="99">
        <v>3947.7661020949258</v>
      </c>
      <c r="AH35" s="99">
        <v>9.5280096961566958</v>
      </c>
      <c r="AI35" s="99">
        <v>4790.6832752275859</v>
      </c>
      <c r="AJ35" s="99">
        <v>6.9695173457909885</v>
      </c>
      <c r="AK35" s="99">
        <v>3504.2733214637083</v>
      </c>
      <c r="AL35" s="99">
        <v>7</v>
      </c>
      <c r="AM35" s="99">
        <v>3519.5999999999995</v>
      </c>
      <c r="AN35" s="99">
        <v>7</v>
      </c>
      <c r="AO35" s="99">
        <v>3519.5999999999995</v>
      </c>
      <c r="AP35" s="99">
        <v>11</v>
      </c>
      <c r="AQ35" s="99">
        <v>5530.7999999999993</v>
      </c>
      <c r="AR35" s="99">
        <v>4.9450423162882391</v>
      </c>
      <c r="AS35" s="99">
        <v>2486.3672766297259</v>
      </c>
      <c r="AT35" s="99">
        <v>6.2777939236475113</v>
      </c>
      <c r="AU35" s="99">
        <v>3156.4747848099682</v>
      </c>
      <c r="AV35" s="99">
        <v>8.5832303565422574</v>
      </c>
      <c r="AW35" s="99">
        <v>4315.6482232694461</v>
      </c>
      <c r="AX35" s="99">
        <v>10.250022236453482</v>
      </c>
      <c r="AY35" s="99">
        <v>5153.71118048881</v>
      </c>
      <c r="AZ35" s="99">
        <v>6.7315780880231193</v>
      </c>
      <c r="BA35" s="99">
        <v>3384.6374626580237</v>
      </c>
      <c r="BB35" s="99">
        <v>7.5074395900451325</v>
      </c>
      <c r="BC35" s="99">
        <v>3774.7406258746919</v>
      </c>
      <c r="BD35" s="99">
        <v>12.27498938367901</v>
      </c>
      <c r="BE35" s="99">
        <v>6171.864662113805</v>
      </c>
      <c r="BF35" s="99">
        <v>4.9169941790521587</v>
      </c>
      <c r="BG35" s="99">
        <v>2472.2646732274247</v>
      </c>
      <c r="BH35" s="99">
        <v>3.3514392789304672</v>
      </c>
      <c r="BI35" s="99">
        <v>1685.1036694462387</v>
      </c>
      <c r="BJ35" s="99">
        <v>12.147679015739786</v>
      </c>
      <c r="BK35" s="99">
        <v>6107.8530091139637</v>
      </c>
      <c r="BL35" s="99">
        <v>9</v>
      </c>
      <c r="BM35" s="99">
        <v>4525.1999999999989</v>
      </c>
      <c r="BN35" s="99">
        <v>9</v>
      </c>
      <c r="BO35" s="99">
        <v>4525.1999999999989</v>
      </c>
      <c r="BP35" s="99">
        <v>8.8873759157222469</v>
      </c>
      <c r="BQ35" s="99">
        <v>4468.5726104251453</v>
      </c>
      <c r="BR35" s="99">
        <v>3.3737830324278755</v>
      </c>
      <c r="BS35" s="99">
        <v>1696.3381087047355</v>
      </c>
      <c r="BT35" s="99">
        <v>8.2438356584216379</v>
      </c>
      <c r="BU35" s="99">
        <v>4145.0005690543985</v>
      </c>
      <c r="BV35" s="99">
        <v>7.5659803294517776</v>
      </c>
      <c r="BW35" s="99">
        <v>3804.1749096483532</v>
      </c>
      <c r="BX35" s="99">
        <v>9.4793708876625935</v>
      </c>
      <c r="BY35" s="99">
        <v>4766.2276823167513</v>
      </c>
      <c r="BZ35" s="99">
        <v>10.874435833859453</v>
      </c>
      <c r="CA35" s="99">
        <v>5467.6663372645316</v>
      </c>
      <c r="CB35" s="99">
        <v>9</v>
      </c>
      <c r="CC35" s="99">
        <v>4525.1999999999989</v>
      </c>
      <c r="CD35" s="99">
        <v>9.2254858921497842</v>
      </c>
      <c r="CE35" s="99">
        <v>4638.5743065729102</v>
      </c>
      <c r="CF35" s="99">
        <v>5.6484481255679935</v>
      </c>
      <c r="CG35" s="99">
        <v>2840.0397175355865</v>
      </c>
      <c r="CH35" s="99">
        <v>1.8583076470620163</v>
      </c>
      <c r="CI35" s="99">
        <v>934.35708494278163</v>
      </c>
      <c r="CJ35" s="99">
        <v>9.4828036131731839</v>
      </c>
      <c r="CK35" s="99">
        <v>4767.9536567034756</v>
      </c>
      <c r="CL35" s="99">
        <v>11.140576644947929</v>
      </c>
      <c r="CM35" s="99">
        <v>5601.4819370798177</v>
      </c>
      <c r="CN35" s="99">
        <v>9</v>
      </c>
      <c r="CO35" s="99">
        <v>4525.1999999999989</v>
      </c>
      <c r="CP35" s="99">
        <v>14.125971024056952</v>
      </c>
      <c r="CQ35" s="99">
        <v>7102.5382308958342</v>
      </c>
      <c r="CR35" s="99">
        <v>8.9107717165619569</v>
      </c>
      <c r="CS35" s="99">
        <v>4480.3360190873509</v>
      </c>
      <c r="CT35" s="99">
        <v>8.2255779245939582</v>
      </c>
      <c r="CU35" s="99">
        <v>4135.8205804858417</v>
      </c>
    </row>
    <row r="36" spans="2:99">
      <c r="C36" s="98" t="s">
        <v>202</v>
      </c>
      <c r="D36" s="99">
        <v>8</v>
      </c>
      <c r="E36" s="99">
        <v>6086.4</v>
      </c>
      <c r="F36" s="99">
        <v>7.3305916800817101</v>
      </c>
      <c r="G36" s="99">
        <v>5577.1141502061646</v>
      </c>
      <c r="H36" s="99">
        <v>8.5160144434735461</v>
      </c>
      <c r="I36" s="99">
        <v>6478.9837885946736</v>
      </c>
      <c r="J36" s="99">
        <v>5</v>
      </c>
      <c r="K36" s="99">
        <v>3804</v>
      </c>
      <c r="L36" s="99">
        <v>4.1391164487650673</v>
      </c>
      <c r="M36" s="99">
        <v>3149.0397942204631</v>
      </c>
      <c r="N36" s="99">
        <v>8</v>
      </c>
      <c r="O36" s="99">
        <v>6086.4</v>
      </c>
      <c r="P36" s="99">
        <v>8</v>
      </c>
      <c r="Q36" s="99">
        <v>6086.4</v>
      </c>
      <c r="R36" s="99">
        <v>5</v>
      </c>
      <c r="S36" s="99">
        <v>3804</v>
      </c>
      <c r="T36" s="99">
        <v>6.9117267020022757</v>
      </c>
      <c r="U36" s="99">
        <v>5258.441674883331</v>
      </c>
      <c r="V36" s="99">
        <v>11</v>
      </c>
      <c r="W36" s="99">
        <v>8368.7999999999993</v>
      </c>
      <c r="X36" s="99">
        <v>11</v>
      </c>
      <c r="Y36" s="99">
        <v>8368.7999999999993</v>
      </c>
      <c r="Z36" s="99">
        <v>7</v>
      </c>
      <c r="AA36" s="99">
        <v>5325.5999999999995</v>
      </c>
      <c r="AB36" s="99">
        <v>4.2817502627152146</v>
      </c>
      <c r="AC36" s="99">
        <v>3257.555599873735</v>
      </c>
      <c r="AD36" s="99">
        <v>5.664211353031039</v>
      </c>
      <c r="AE36" s="99">
        <v>4309.3319973860143</v>
      </c>
      <c r="AF36" s="99">
        <v>8.4995547302116368</v>
      </c>
      <c r="AG36" s="99">
        <v>6466.4612387450125</v>
      </c>
      <c r="AH36" s="99">
        <v>8.67232253369977</v>
      </c>
      <c r="AI36" s="99">
        <v>6597.9029836387845</v>
      </c>
      <c r="AJ36" s="99">
        <v>6.9695173457909885</v>
      </c>
      <c r="AK36" s="99">
        <v>5302.4087966777834</v>
      </c>
      <c r="AL36" s="99">
        <v>8</v>
      </c>
      <c r="AM36" s="99">
        <v>6086.4</v>
      </c>
      <c r="AN36" s="99">
        <v>6</v>
      </c>
      <c r="AO36" s="99">
        <v>4564.7999999999993</v>
      </c>
      <c r="AP36" s="99">
        <v>11</v>
      </c>
      <c r="AQ36" s="99">
        <v>8368.7999999999993</v>
      </c>
      <c r="AR36" s="99">
        <v>4.3907701177588301</v>
      </c>
      <c r="AS36" s="99">
        <v>3340.4979055909175</v>
      </c>
      <c r="AT36" s="99">
        <v>6.0543478481841033</v>
      </c>
      <c r="AU36" s="99">
        <v>4606.1478428984656</v>
      </c>
      <c r="AV36" s="99">
        <v>8.4213577149654153</v>
      </c>
      <c r="AW36" s="99">
        <v>6406.9689495456878</v>
      </c>
      <c r="AX36" s="99">
        <v>9.9285904883887</v>
      </c>
      <c r="AY36" s="99">
        <v>7553.6716435661228</v>
      </c>
      <c r="AZ36" s="99">
        <v>6.7315780880231193</v>
      </c>
      <c r="BA36" s="99">
        <v>5121.3846093679886</v>
      </c>
      <c r="BB36" s="99">
        <v>7.6128521309745043</v>
      </c>
      <c r="BC36" s="99">
        <v>5791.8579012454029</v>
      </c>
      <c r="BD36" s="99">
        <v>12.099990200319088</v>
      </c>
      <c r="BE36" s="99">
        <v>9205.6725444027616</v>
      </c>
      <c r="BF36" s="99">
        <v>4.0691576489438299</v>
      </c>
      <c r="BG36" s="99">
        <v>3095.8151393164658</v>
      </c>
      <c r="BH36" s="99">
        <v>3.3076825434362487</v>
      </c>
      <c r="BI36" s="99">
        <v>2516.4848790462979</v>
      </c>
      <c r="BJ36" s="99">
        <v>9.9942733717583732</v>
      </c>
      <c r="BK36" s="99">
        <v>7603.6431812337696</v>
      </c>
      <c r="BL36" s="99">
        <v>8</v>
      </c>
      <c r="BM36" s="99">
        <v>6086.4</v>
      </c>
      <c r="BN36" s="99">
        <v>10</v>
      </c>
      <c r="BO36" s="99">
        <v>7608</v>
      </c>
      <c r="BP36" s="99">
        <v>7.8319149209896075</v>
      </c>
      <c r="BQ36" s="99">
        <v>5958.5208718888935</v>
      </c>
      <c r="BR36" s="99">
        <v>3.8505877536881812</v>
      </c>
      <c r="BS36" s="99">
        <v>2929.5271630059679</v>
      </c>
      <c r="BT36" s="99">
        <v>8.0734681172224843</v>
      </c>
      <c r="BU36" s="99">
        <v>6142.294543582866</v>
      </c>
      <c r="BV36" s="99">
        <v>7.446903000342882</v>
      </c>
      <c r="BW36" s="99">
        <v>5665.6038026608639</v>
      </c>
      <c r="BX36" s="99">
        <v>9.3653643710980337</v>
      </c>
      <c r="BY36" s="99">
        <v>7125.1692135313833</v>
      </c>
      <c r="BZ36" s="99">
        <v>10.874435833859453</v>
      </c>
      <c r="CA36" s="99">
        <v>8273.2707824002719</v>
      </c>
      <c r="CB36" s="99">
        <v>9</v>
      </c>
      <c r="CC36" s="99">
        <v>6847.2</v>
      </c>
      <c r="CD36" s="99">
        <v>8.222020099771111</v>
      </c>
      <c r="CE36" s="99">
        <v>6255.3128919058609</v>
      </c>
      <c r="CF36" s="99">
        <v>6.6233282233685955</v>
      </c>
      <c r="CG36" s="99">
        <v>5039.0281123388268</v>
      </c>
      <c r="CH36" s="99">
        <v>2.1237801680708754</v>
      </c>
      <c r="CI36" s="99">
        <v>1615.771951868322</v>
      </c>
      <c r="CJ36" s="99">
        <v>9.4884405149858839</v>
      </c>
      <c r="CK36" s="99">
        <v>7218.8055438012598</v>
      </c>
      <c r="CL36" s="99">
        <v>11.305236386867001</v>
      </c>
      <c r="CM36" s="99">
        <v>8601.0238431284142</v>
      </c>
      <c r="CN36" s="99">
        <v>9</v>
      </c>
      <c r="CO36" s="99">
        <v>6847.2</v>
      </c>
      <c r="CP36" s="99">
        <v>13.170462136397305</v>
      </c>
      <c r="CQ36" s="99">
        <v>10020.087593371069</v>
      </c>
      <c r="CR36" s="99">
        <v>8.9107717165619569</v>
      </c>
      <c r="CS36" s="99">
        <v>6779.315121960336</v>
      </c>
      <c r="CT36" s="99">
        <v>7.5245350945755254</v>
      </c>
      <c r="CU36" s="99">
        <v>5724.666299953059</v>
      </c>
    </row>
    <row r="37" spans="2:99">
      <c r="B37" s="98" t="s">
        <v>128</v>
      </c>
      <c r="C37" s="98" t="s">
        <v>203</v>
      </c>
      <c r="D37" s="99">
        <v>10</v>
      </c>
      <c r="E37" s="99">
        <v>8604</v>
      </c>
      <c r="F37" s="99">
        <v>12.217652800136182</v>
      </c>
      <c r="G37" s="99">
        <v>10512.068469237171</v>
      </c>
      <c r="H37" s="99">
        <v>10.408462097578777</v>
      </c>
      <c r="I37" s="99">
        <v>8955.4407887567795</v>
      </c>
      <c r="J37" s="99">
        <v>16</v>
      </c>
      <c r="K37" s="99">
        <v>13766.4</v>
      </c>
      <c r="L37" s="99">
        <v>9.5136701921218876</v>
      </c>
      <c r="M37" s="99">
        <v>8185.5618333016719</v>
      </c>
      <c r="N37" s="99">
        <v>13</v>
      </c>
      <c r="O37" s="99">
        <v>11185.199999999999</v>
      </c>
      <c r="P37" s="99">
        <v>17</v>
      </c>
      <c r="Q37" s="99">
        <v>14626.8</v>
      </c>
      <c r="R37" s="99">
        <v>15</v>
      </c>
      <c r="S37" s="99">
        <v>12906</v>
      </c>
      <c r="T37" s="99">
        <v>9.2156356026696997</v>
      </c>
      <c r="U37" s="99">
        <v>7929.1328725370095</v>
      </c>
      <c r="V37" s="99">
        <v>12</v>
      </c>
      <c r="W37" s="99">
        <v>10324.799999999999</v>
      </c>
      <c r="X37" s="99">
        <v>16</v>
      </c>
      <c r="Y37" s="99">
        <v>13766.4</v>
      </c>
      <c r="Z37" s="99">
        <v>20</v>
      </c>
      <c r="AA37" s="99">
        <v>17208</v>
      </c>
      <c r="AB37" s="99">
        <v>12.233572179186329</v>
      </c>
      <c r="AC37" s="99">
        <v>10525.765502971917</v>
      </c>
      <c r="AD37" s="99">
        <v>13.014100528682512</v>
      </c>
      <c r="AE37" s="99">
        <v>11197.332094878433</v>
      </c>
      <c r="AF37" s="99">
        <v>11.581058456112613</v>
      </c>
      <c r="AG37" s="99">
        <v>9964.3426956392923</v>
      </c>
      <c r="AH37" s="99">
        <v>11.022135084784548</v>
      </c>
      <c r="AI37" s="99">
        <v>9483.4450269486242</v>
      </c>
      <c r="AJ37" s="99">
        <v>18.528827643158721</v>
      </c>
      <c r="AK37" s="99">
        <v>15942.203304173763</v>
      </c>
      <c r="AL37" s="99">
        <v>11</v>
      </c>
      <c r="AM37" s="99">
        <v>9464.4</v>
      </c>
      <c r="AN37" s="99">
        <v>17</v>
      </c>
      <c r="AO37" s="99">
        <v>14626.8</v>
      </c>
      <c r="AP37" s="99">
        <v>13</v>
      </c>
      <c r="AQ37" s="99">
        <v>11185.199999999999</v>
      </c>
      <c r="AR37" s="99">
        <v>8.7120726006246461</v>
      </c>
      <c r="AS37" s="99">
        <v>7495.8672655774453</v>
      </c>
      <c r="AT37" s="99">
        <v>8.3744108646552267</v>
      </c>
      <c r="AU37" s="99">
        <v>7205.3431079493566</v>
      </c>
      <c r="AV37" s="99">
        <v>15.922320047214079</v>
      </c>
      <c r="AW37" s="99">
        <v>13699.564168622994</v>
      </c>
      <c r="AX37" s="99">
        <v>20.285726992259132</v>
      </c>
      <c r="AY37" s="99">
        <v>17453.839504139756</v>
      </c>
      <c r="AZ37" s="99">
        <v>14.959062417829156</v>
      </c>
      <c r="BA37" s="99">
        <v>12870.777304300205</v>
      </c>
      <c r="BB37" s="99">
        <v>9.866559162455264</v>
      </c>
      <c r="BC37" s="99">
        <v>8489.1875033765082</v>
      </c>
      <c r="BD37" s="99">
        <v>22.399993466879391</v>
      </c>
      <c r="BE37" s="99">
        <v>19272.954378903029</v>
      </c>
      <c r="BF37" s="99">
        <v>6.7826922408666324</v>
      </c>
      <c r="BG37" s="99">
        <v>5835.8284040416502</v>
      </c>
      <c r="BH37" s="99">
        <v>6.221554467424526</v>
      </c>
      <c r="BI37" s="99">
        <v>5353.0254637720618</v>
      </c>
      <c r="BJ37" s="99">
        <v>14.38065079583272</v>
      </c>
      <c r="BK37" s="99">
        <v>12373.111944734472</v>
      </c>
      <c r="BL37" s="99">
        <v>17</v>
      </c>
      <c r="BM37" s="99">
        <v>14626.8</v>
      </c>
      <c r="BN37" s="99">
        <v>10</v>
      </c>
      <c r="BO37" s="99">
        <v>8604</v>
      </c>
      <c r="BP37" s="99">
        <v>16.388226963128485</v>
      </c>
      <c r="BQ37" s="99">
        <v>14100.430479075749</v>
      </c>
      <c r="BR37" s="99">
        <v>6.4756865511562269</v>
      </c>
      <c r="BS37" s="99">
        <v>5571.6807086148174</v>
      </c>
      <c r="BT37" s="99">
        <v>12.345087067288441</v>
      </c>
      <c r="BU37" s="99">
        <v>10621.712912694975</v>
      </c>
      <c r="BV37" s="99">
        <v>12.644818035893863</v>
      </c>
      <c r="BW37" s="99">
        <v>10879.60143808308</v>
      </c>
      <c r="BX37" s="99">
        <v>12.128256166233925</v>
      </c>
      <c r="BY37" s="99">
        <v>10435.151605427669</v>
      </c>
      <c r="BZ37" s="99">
        <v>11.865124231012055</v>
      </c>
      <c r="CA37" s="99">
        <v>10208.752888362773</v>
      </c>
      <c r="CB37" s="99">
        <v>17</v>
      </c>
      <c r="CC37" s="99">
        <v>14626.8</v>
      </c>
      <c r="CD37" s="99">
        <v>15.7057239087237</v>
      </c>
      <c r="CE37" s="99">
        <v>13513.204851065871</v>
      </c>
      <c r="CF37" s="99">
        <v>11.52741825128596</v>
      </c>
      <c r="CG37" s="99">
        <v>9918.1906634064399</v>
      </c>
      <c r="CH37" s="99">
        <v>3.4511427731151731</v>
      </c>
      <c r="CI37" s="99">
        <v>2969.3632419882947</v>
      </c>
      <c r="CJ37" s="99">
        <v>14.354339577841211</v>
      </c>
      <c r="CK37" s="99">
        <v>12350.473772774578</v>
      </c>
      <c r="CL37" s="99">
        <v>13.646597419190716</v>
      </c>
      <c r="CM37" s="99">
        <v>11741.532419471692</v>
      </c>
      <c r="CN37" s="99">
        <v>15</v>
      </c>
      <c r="CO37" s="99">
        <v>12906</v>
      </c>
      <c r="CP37" s="99">
        <v>11.53321105494504</v>
      </c>
      <c r="CQ37" s="99">
        <v>9923.1747916747117</v>
      </c>
      <c r="CR37" s="99">
        <v>15.760348806171331</v>
      </c>
      <c r="CS37" s="99">
        <v>13560.204112829813</v>
      </c>
      <c r="CT37" s="99">
        <v>14.366196246526997</v>
      </c>
      <c r="CU37" s="99">
        <v>12360.675250511827</v>
      </c>
    </row>
    <row r="38" spans="2:99">
      <c r="C38" s="98" t="s">
        <v>204</v>
      </c>
      <c r="D38" s="99">
        <v>9</v>
      </c>
      <c r="E38" s="99">
        <v>11178</v>
      </c>
      <c r="F38" s="99">
        <v>11.403142613460437</v>
      </c>
      <c r="G38" s="99">
        <v>14162.703125917862</v>
      </c>
      <c r="H38" s="99">
        <v>9.4622382705261607</v>
      </c>
      <c r="I38" s="99">
        <v>11752.099931993491</v>
      </c>
      <c r="J38" s="99">
        <v>17</v>
      </c>
      <c r="K38" s="99">
        <v>21114</v>
      </c>
      <c r="L38" s="99">
        <v>9.5136701921218876</v>
      </c>
      <c r="M38" s="99">
        <v>11815.978378615384</v>
      </c>
      <c r="N38" s="99">
        <v>11</v>
      </c>
      <c r="O38" s="99">
        <v>13662</v>
      </c>
      <c r="P38" s="99">
        <v>15</v>
      </c>
      <c r="Q38" s="99">
        <v>18630</v>
      </c>
      <c r="R38" s="99">
        <v>15</v>
      </c>
      <c r="S38" s="99">
        <v>18630</v>
      </c>
      <c r="T38" s="99">
        <v>10.751574869781317</v>
      </c>
      <c r="U38" s="99">
        <v>13353.455988268395</v>
      </c>
      <c r="V38" s="99">
        <v>13</v>
      </c>
      <c r="W38" s="99">
        <v>16146</v>
      </c>
      <c r="X38" s="99">
        <v>15</v>
      </c>
      <c r="Y38" s="99">
        <v>18630</v>
      </c>
      <c r="Z38" s="99">
        <v>18</v>
      </c>
      <c r="AA38" s="99">
        <v>22356</v>
      </c>
      <c r="AB38" s="99">
        <v>12.845250788145645</v>
      </c>
      <c r="AC38" s="99">
        <v>15953.801478876891</v>
      </c>
      <c r="AD38" s="99">
        <v>12.155536162016913</v>
      </c>
      <c r="AE38" s="99">
        <v>15097.175913225006</v>
      </c>
      <c r="AF38" s="99">
        <v>12.447736027874718</v>
      </c>
      <c r="AG38" s="99">
        <v>15460.088146620401</v>
      </c>
      <c r="AH38" s="99">
        <v>11.878439594070008</v>
      </c>
      <c r="AI38" s="99">
        <v>14753.021975834949</v>
      </c>
      <c r="AJ38" s="99">
        <v>15.440689702632268</v>
      </c>
      <c r="AK38" s="99">
        <v>19177.336610669277</v>
      </c>
      <c r="AL38" s="99">
        <v>11</v>
      </c>
      <c r="AM38" s="99">
        <v>13662</v>
      </c>
      <c r="AN38" s="99">
        <v>16</v>
      </c>
      <c r="AO38" s="99">
        <v>19872</v>
      </c>
      <c r="AP38" s="99">
        <v>13</v>
      </c>
      <c r="AQ38" s="99">
        <v>16146</v>
      </c>
      <c r="AR38" s="99">
        <v>7.6025526189356887</v>
      </c>
      <c r="AS38" s="99">
        <v>9442.370352718126</v>
      </c>
      <c r="AT38" s="99">
        <v>7.8310140273272273</v>
      </c>
      <c r="AU38" s="99">
        <v>9726.1194219404169</v>
      </c>
      <c r="AV38" s="99">
        <v>14.291896521046837</v>
      </c>
      <c r="AW38" s="99">
        <v>17750.535479140173</v>
      </c>
      <c r="AX38" s="99">
        <v>18.446442866291523</v>
      </c>
      <c r="AY38" s="99">
        <v>22910.482039934072</v>
      </c>
      <c r="AZ38" s="99">
        <v>13.463156176046239</v>
      </c>
      <c r="BA38" s="99">
        <v>16721.239970649429</v>
      </c>
      <c r="BB38" s="99">
        <v>8.5848423369063784</v>
      </c>
      <c r="BC38" s="99">
        <v>10662.374182437721</v>
      </c>
      <c r="BD38" s="99">
        <v>20.399993466879391</v>
      </c>
      <c r="BE38" s="99">
        <v>25336.791885864204</v>
      </c>
      <c r="BF38" s="99">
        <v>6.3587739758124684</v>
      </c>
      <c r="BG38" s="99">
        <v>7897.5972779590857</v>
      </c>
      <c r="BH38" s="99">
        <v>6.1993063237175106</v>
      </c>
      <c r="BI38" s="99">
        <v>7699.5384540571486</v>
      </c>
      <c r="BJ38" s="99">
        <v>12.227245151851307</v>
      </c>
      <c r="BK38" s="99">
        <v>15186.238478599324</v>
      </c>
      <c r="BL38" s="99">
        <v>20</v>
      </c>
      <c r="BM38" s="99">
        <v>24840</v>
      </c>
      <c r="BN38" s="99">
        <v>11</v>
      </c>
      <c r="BO38" s="99">
        <v>13662</v>
      </c>
      <c r="BP38" s="99">
        <v>16.388226963128485</v>
      </c>
      <c r="BQ38" s="99">
        <v>20354.177888205577</v>
      </c>
      <c r="BR38" s="99">
        <v>6.0485820363075247</v>
      </c>
      <c r="BS38" s="99">
        <v>7512.3388890939459</v>
      </c>
      <c r="BT38" s="99">
        <v>13.332943789643025</v>
      </c>
      <c r="BU38" s="99">
        <v>16559.516186736637</v>
      </c>
      <c r="BV38" s="99">
        <v>11.635830510375792</v>
      </c>
      <c r="BW38" s="99">
        <v>14451.701493886734</v>
      </c>
      <c r="BX38" s="99">
        <v>13.12580873311215</v>
      </c>
      <c r="BY38" s="99">
        <v>16302.25444652529</v>
      </c>
      <c r="BZ38" s="99">
        <v>11.009311602847397</v>
      </c>
      <c r="CA38" s="99">
        <v>13673.565010736467</v>
      </c>
      <c r="CB38" s="99">
        <v>15</v>
      </c>
      <c r="CC38" s="99">
        <v>18630</v>
      </c>
      <c r="CD38" s="99">
        <v>14.741116868493368</v>
      </c>
      <c r="CE38" s="99">
        <v>18308.467150668763</v>
      </c>
      <c r="CF38" s="99">
        <v>12.467598043667591</v>
      </c>
      <c r="CG38" s="99">
        <v>15484.756770235148</v>
      </c>
      <c r="CH38" s="99">
        <v>3.1856702521063132</v>
      </c>
      <c r="CI38" s="99">
        <v>3956.602453116041</v>
      </c>
      <c r="CJ38" s="99">
        <v>13.372679855222353</v>
      </c>
      <c r="CK38" s="99">
        <v>16608.868380186163</v>
      </c>
      <c r="CL38" s="99">
        <v>12.317277935352571</v>
      </c>
      <c r="CM38" s="99">
        <v>15298.059195707894</v>
      </c>
      <c r="CN38" s="99">
        <v>16</v>
      </c>
      <c r="CO38" s="99">
        <v>19872</v>
      </c>
      <c r="CP38" s="99">
        <v>11.53321105494504</v>
      </c>
      <c r="CQ38" s="99">
        <v>14324.24813024174</v>
      </c>
      <c r="CR38" s="99">
        <v>16.565041467704976</v>
      </c>
      <c r="CS38" s="99">
        <v>20573.781502889578</v>
      </c>
      <c r="CT38" s="99">
        <v>14.366196246526997</v>
      </c>
      <c r="CU38" s="99">
        <v>17842.815738186531</v>
      </c>
    </row>
    <row r="39" spans="2:99">
      <c r="C39" s="98" t="s">
        <v>205</v>
      </c>
      <c r="D39" s="99">
        <v>10</v>
      </c>
      <c r="E39" s="99">
        <v>14232</v>
      </c>
      <c r="F39" s="99">
        <v>10.588632426784692</v>
      </c>
      <c r="G39" s="99">
        <v>15069.741669799974</v>
      </c>
      <c r="H39" s="99">
        <v>9.4622382705261607</v>
      </c>
      <c r="I39" s="99">
        <v>13466.657506612832</v>
      </c>
      <c r="J39" s="99">
        <v>17</v>
      </c>
      <c r="K39" s="99">
        <v>24194.400000000001</v>
      </c>
      <c r="L39" s="99">
        <v>8.245180833172304</v>
      </c>
      <c r="M39" s="99">
        <v>11734.541361770824</v>
      </c>
      <c r="N39" s="99">
        <v>12</v>
      </c>
      <c r="O39" s="99">
        <v>17078.400000000001</v>
      </c>
      <c r="P39" s="99">
        <v>17</v>
      </c>
      <c r="Q39" s="99">
        <v>24194.400000000001</v>
      </c>
      <c r="R39" s="99">
        <v>14</v>
      </c>
      <c r="S39" s="99">
        <v>19924.8</v>
      </c>
      <c r="T39" s="99">
        <v>9.9836052362255074</v>
      </c>
      <c r="U39" s="99">
        <v>14208.666972196143</v>
      </c>
      <c r="V39" s="99">
        <v>12</v>
      </c>
      <c r="W39" s="99">
        <v>17078.400000000001</v>
      </c>
      <c r="X39" s="99">
        <v>17</v>
      </c>
      <c r="Y39" s="99">
        <v>24194.400000000001</v>
      </c>
      <c r="Z39" s="99">
        <v>17</v>
      </c>
      <c r="AA39" s="99">
        <v>24194.400000000001</v>
      </c>
      <c r="AB39" s="99">
        <v>11.621893570227011</v>
      </c>
      <c r="AC39" s="99">
        <v>16540.278929147084</v>
      </c>
      <c r="AD39" s="99">
        <v>12.2282780871193</v>
      </c>
      <c r="AE39" s="99">
        <v>17403.285373588187</v>
      </c>
      <c r="AF39" s="99">
        <v>11.586430077748769</v>
      </c>
      <c r="AG39" s="99">
        <v>16489.807286652049</v>
      </c>
      <c r="AH39" s="99">
        <v>11.87905694089854</v>
      </c>
      <c r="AI39" s="99">
        <v>16906.273838286801</v>
      </c>
      <c r="AJ39" s="99">
        <v>15.528827643158721</v>
      </c>
      <c r="AK39" s="99">
        <v>22100.627501743493</v>
      </c>
      <c r="AL39" s="99">
        <v>11</v>
      </c>
      <c r="AM39" s="99">
        <v>15655.2</v>
      </c>
      <c r="AN39" s="99">
        <v>16</v>
      </c>
      <c r="AO39" s="99">
        <v>22771.200000000001</v>
      </c>
      <c r="AP39" s="99">
        <v>12</v>
      </c>
      <c r="AQ39" s="99">
        <v>17078.400000000001</v>
      </c>
      <c r="AR39" s="99">
        <v>7.6015770343055484</v>
      </c>
      <c r="AS39" s="99">
        <v>10818.564435223658</v>
      </c>
      <c r="AT39" s="99">
        <v>9.0161063795032419</v>
      </c>
      <c r="AU39" s="99">
        <v>12831.722599309014</v>
      </c>
      <c r="AV39" s="99">
        <v>14.291896521046837</v>
      </c>
      <c r="AW39" s="99">
        <v>20340.227128753861</v>
      </c>
      <c r="AX39" s="99">
        <v>21.285726992259132</v>
      </c>
      <c r="AY39" s="99">
        <v>30293.846655383197</v>
      </c>
      <c r="AZ39" s="99">
        <v>12.715203055154781</v>
      </c>
      <c r="BA39" s="99">
        <v>18096.276988096284</v>
      </c>
      <c r="BB39" s="99">
        <v>9.8982695338100921</v>
      </c>
      <c r="BC39" s="99">
        <v>14087.217200518524</v>
      </c>
      <c r="BD39" s="99">
        <v>20.399993466879391</v>
      </c>
      <c r="BE39" s="99">
        <v>29033.270702062749</v>
      </c>
      <c r="BF39" s="99">
        <v>6.3587739758124684</v>
      </c>
      <c r="BG39" s="99">
        <v>9049.8071223763054</v>
      </c>
      <c r="BH39" s="99">
        <v>6.7217853665873122</v>
      </c>
      <c r="BI39" s="99">
        <v>9566.4449337270635</v>
      </c>
      <c r="BJ39" s="99">
        <v>12.38065079583272</v>
      </c>
      <c r="BK39" s="99">
        <v>17620.142212629129</v>
      </c>
      <c r="BL39" s="99">
        <v>17</v>
      </c>
      <c r="BM39" s="99">
        <v>24194.400000000001</v>
      </c>
      <c r="BN39" s="99">
        <v>11</v>
      </c>
      <c r="BO39" s="99">
        <v>15655.2</v>
      </c>
      <c r="BP39" s="99">
        <v>15.388226963128483</v>
      </c>
      <c r="BQ39" s="99">
        <v>21900.524613924459</v>
      </c>
      <c r="BR39" s="99">
        <v>5.5335681517072697</v>
      </c>
      <c r="BS39" s="99">
        <v>7875.3741935097869</v>
      </c>
      <c r="BT39" s="99">
        <v>13.195970261968764</v>
      </c>
      <c r="BU39" s="99">
        <v>18780.504876833944</v>
      </c>
      <c r="BV39" s="99">
        <v>11.644818035893863</v>
      </c>
      <c r="BW39" s="99">
        <v>16572.905028684145</v>
      </c>
      <c r="BX39" s="99">
        <v>13.001331819739821</v>
      </c>
      <c r="BY39" s="99">
        <v>18503.495445853714</v>
      </c>
      <c r="BZ39" s="99">
        <v>10.865124231012055</v>
      </c>
      <c r="CA39" s="99">
        <v>15463.244805576358</v>
      </c>
      <c r="CB39" s="99">
        <v>17</v>
      </c>
      <c r="CC39" s="99">
        <v>24194.400000000001</v>
      </c>
      <c r="CD39" s="99">
        <v>13.737651076114695</v>
      </c>
      <c r="CE39" s="99">
        <v>19551.425011526433</v>
      </c>
      <c r="CF39" s="99">
        <v>12.467598043667591</v>
      </c>
      <c r="CG39" s="99">
        <v>17743.885535747715</v>
      </c>
      <c r="CH39" s="99">
        <v>3.1856702521063132</v>
      </c>
      <c r="CI39" s="99">
        <v>4533.8459027977051</v>
      </c>
      <c r="CJ39" s="99">
        <v>13.463726370277536</v>
      </c>
      <c r="CK39" s="99">
        <v>19161.575370178991</v>
      </c>
      <c r="CL39" s="99">
        <v>12.481937677271643</v>
      </c>
      <c r="CM39" s="99">
        <v>17764.293702293002</v>
      </c>
      <c r="CN39" s="99">
        <v>16</v>
      </c>
      <c r="CO39" s="99">
        <v>22771.200000000001</v>
      </c>
      <c r="CP39" s="99">
        <v>12.488719942604686</v>
      </c>
      <c r="CQ39" s="99">
        <v>17773.946222314989</v>
      </c>
      <c r="CR39" s="99">
        <v>15.68181743333265</v>
      </c>
      <c r="CS39" s="99">
        <v>22318.362571119029</v>
      </c>
      <c r="CT39" s="99">
        <v>13.452243143794334</v>
      </c>
      <c r="CU39" s="99">
        <v>19145.232442248096</v>
      </c>
    </row>
    <row r="40" spans="2:99">
      <c r="C40" s="98" t="s">
        <v>206</v>
      </c>
      <c r="D40" s="99">
        <v>11</v>
      </c>
      <c r="E40" s="99">
        <v>7972.7999999999993</v>
      </c>
      <c r="F40" s="99">
        <v>11.403142613460437</v>
      </c>
      <c r="G40" s="99">
        <v>8264.9977662361234</v>
      </c>
      <c r="H40" s="99">
        <v>10.408462097578777</v>
      </c>
      <c r="I40" s="99">
        <v>7544.053328325097</v>
      </c>
      <c r="J40" s="99">
        <v>17</v>
      </c>
      <c r="K40" s="99">
        <v>12321.599999999999</v>
      </c>
      <c r="L40" s="99">
        <v>8.8794255126470958</v>
      </c>
      <c r="M40" s="99">
        <v>6435.8076115666145</v>
      </c>
      <c r="N40" s="99">
        <v>14</v>
      </c>
      <c r="O40" s="99">
        <v>10147.199999999999</v>
      </c>
      <c r="P40" s="99">
        <v>16</v>
      </c>
      <c r="Q40" s="99">
        <v>11596.8</v>
      </c>
      <c r="R40" s="99">
        <v>14</v>
      </c>
      <c r="S40" s="99">
        <v>10147.199999999999</v>
      </c>
      <c r="T40" s="99">
        <v>10.751574869781317</v>
      </c>
      <c r="U40" s="99">
        <v>7792.7414656174979</v>
      </c>
      <c r="V40" s="99">
        <v>15</v>
      </c>
      <c r="W40" s="99">
        <v>10872</v>
      </c>
      <c r="X40" s="99">
        <v>16</v>
      </c>
      <c r="Y40" s="99">
        <v>11596.8</v>
      </c>
      <c r="Z40" s="99">
        <v>19</v>
      </c>
      <c r="AA40" s="99">
        <v>13771.199999999999</v>
      </c>
      <c r="AB40" s="99">
        <v>12.845250788145645</v>
      </c>
      <c r="AC40" s="99">
        <v>9310.2377712479629</v>
      </c>
      <c r="AD40" s="99">
        <v>11.351754068226519</v>
      </c>
      <c r="AE40" s="99">
        <v>8227.7513486505813</v>
      </c>
      <c r="AF40" s="99">
        <v>11.431428148628138</v>
      </c>
      <c r="AG40" s="99">
        <v>8285.4991221256732</v>
      </c>
      <c r="AH40" s="99">
        <v>11.02275243161308</v>
      </c>
      <c r="AI40" s="99">
        <v>7989.2909624331596</v>
      </c>
      <c r="AJ40" s="99">
        <v>17.528827643158721</v>
      </c>
      <c r="AK40" s="99">
        <v>12704.89427576144</v>
      </c>
      <c r="AL40" s="99">
        <v>11</v>
      </c>
      <c r="AM40" s="99">
        <v>7972.7999999999993</v>
      </c>
      <c r="AN40" s="99">
        <v>16</v>
      </c>
      <c r="AO40" s="99">
        <v>11596.8</v>
      </c>
      <c r="AP40" s="99">
        <v>12</v>
      </c>
      <c r="AQ40" s="99">
        <v>8697.5999999999985</v>
      </c>
      <c r="AR40" s="99">
        <v>8.1023384340406519</v>
      </c>
      <c r="AS40" s="99">
        <v>5872.5748969926644</v>
      </c>
      <c r="AT40" s="99">
        <v>9.0161063795032419</v>
      </c>
      <c r="AU40" s="99">
        <v>6534.8739038639496</v>
      </c>
      <c r="AV40" s="99">
        <v>15.184379872638697</v>
      </c>
      <c r="AW40" s="99">
        <v>11005.638531688526</v>
      </c>
      <c r="AX40" s="99">
        <v>19.285726992259132</v>
      </c>
      <c r="AY40" s="99">
        <v>13978.294923989419</v>
      </c>
      <c r="AZ40" s="99">
        <v>14.959062417829156</v>
      </c>
      <c r="BA40" s="99">
        <v>10842.328440442572</v>
      </c>
      <c r="BB40" s="99">
        <v>9.2257007496808203</v>
      </c>
      <c r="BC40" s="99">
        <v>6686.7879033686586</v>
      </c>
      <c r="BD40" s="99">
        <v>21.574992650239317</v>
      </c>
      <c r="BE40" s="99">
        <v>15637.554672893455</v>
      </c>
      <c r="BF40" s="99">
        <v>6.3587739758124684</v>
      </c>
      <c r="BG40" s="99">
        <v>4608.8393776688772</v>
      </c>
      <c r="BH40" s="99">
        <v>6.2434328351716353</v>
      </c>
      <c r="BI40" s="99">
        <v>4525.2401189324009</v>
      </c>
      <c r="BJ40" s="99">
        <v>15.38065079583272</v>
      </c>
      <c r="BK40" s="99">
        <v>11147.895696819554</v>
      </c>
      <c r="BL40" s="99">
        <v>19</v>
      </c>
      <c r="BM40" s="99">
        <v>13771.199999999999</v>
      </c>
      <c r="BN40" s="99">
        <v>10</v>
      </c>
      <c r="BO40" s="99">
        <v>7248</v>
      </c>
      <c r="BP40" s="99">
        <v>14.443687957861124</v>
      </c>
      <c r="BQ40" s="99">
        <v>10468.785031857742</v>
      </c>
      <c r="BR40" s="99">
        <v>6.4762455026198191</v>
      </c>
      <c r="BS40" s="99">
        <v>4693.9827402988449</v>
      </c>
      <c r="BT40" s="99">
        <v>14.184838924127135</v>
      </c>
      <c r="BU40" s="99">
        <v>10281.171252207347</v>
      </c>
      <c r="BV40" s="99">
        <v>11.754907839484687</v>
      </c>
      <c r="BW40" s="99">
        <v>8519.9572020585001</v>
      </c>
      <c r="BX40" s="99">
        <v>14.757953523559383</v>
      </c>
      <c r="BY40" s="99">
        <v>10696.56471387584</v>
      </c>
      <c r="BZ40" s="99">
        <v>12.865124231012055</v>
      </c>
      <c r="CA40" s="99">
        <v>9324.6420426375371</v>
      </c>
      <c r="CB40" s="99">
        <v>15</v>
      </c>
      <c r="CC40" s="99">
        <v>10872</v>
      </c>
      <c r="CD40" s="99">
        <v>16.631472196805689</v>
      </c>
      <c r="CE40" s="99">
        <v>12054.491048244763</v>
      </c>
      <c r="CF40" s="99">
        <v>13.438435428887521</v>
      </c>
      <c r="CG40" s="99">
        <v>9740.1779988576745</v>
      </c>
      <c r="CH40" s="99">
        <v>3.7166152941240327</v>
      </c>
      <c r="CI40" s="99">
        <v>2693.8027651810989</v>
      </c>
      <c r="CJ40" s="99">
        <v>14.445386092896394</v>
      </c>
      <c r="CK40" s="99">
        <v>10470.015840131306</v>
      </c>
      <c r="CL40" s="99">
        <v>11.481937677271643</v>
      </c>
      <c r="CM40" s="99">
        <v>8322.1084284864864</v>
      </c>
      <c r="CN40" s="99">
        <v>14</v>
      </c>
      <c r="CO40" s="99">
        <v>10147.199999999999</v>
      </c>
      <c r="CP40" s="99">
        <v>11.53321105494504</v>
      </c>
      <c r="CQ40" s="99">
        <v>8359.2713726241655</v>
      </c>
      <c r="CR40" s="99">
        <v>15.760348806171331</v>
      </c>
      <c r="CS40" s="99">
        <v>11423.10081471298</v>
      </c>
      <c r="CT40" s="99">
        <v>15.067239076545428</v>
      </c>
      <c r="CU40" s="99">
        <v>10920.734882680126</v>
      </c>
    </row>
    <row r="41" spans="2:99">
      <c r="C41" s="98" t="s">
        <v>207</v>
      </c>
      <c r="D41" s="99">
        <v>10</v>
      </c>
      <c r="E41" s="99">
        <v>6600</v>
      </c>
      <c r="F41" s="99">
        <v>13.032162986811928</v>
      </c>
      <c r="G41" s="99">
        <v>8601.2275712958726</v>
      </c>
      <c r="H41" s="99">
        <v>10.408462097578777</v>
      </c>
      <c r="I41" s="99">
        <v>6869.5849844019931</v>
      </c>
      <c r="J41" s="99">
        <v>17</v>
      </c>
      <c r="K41" s="99">
        <v>11220</v>
      </c>
      <c r="L41" s="99">
        <v>10.147914871596681</v>
      </c>
      <c r="M41" s="99">
        <v>6697.6238152538099</v>
      </c>
      <c r="N41" s="99">
        <v>13</v>
      </c>
      <c r="O41" s="99">
        <v>8580</v>
      </c>
      <c r="P41" s="99">
        <v>15</v>
      </c>
      <c r="Q41" s="99">
        <v>9900</v>
      </c>
      <c r="R41" s="99">
        <v>15</v>
      </c>
      <c r="S41" s="99">
        <v>9900</v>
      </c>
      <c r="T41" s="99">
        <v>10.751574869781317</v>
      </c>
      <c r="U41" s="99">
        <v>7096.0394140556691</v>
      </c>
      <c r="V41" s="99">
        <v>13</v>
      </c>
      <c r="W41" s="99">
        <v>8580</v>
      </c>
      <c r="X41" s="99">
        <v>16</v>
      </c>
      <c r="Y41" s="99">
        <v>10560</v>
      </c>
      <c r="Z41" s="99">
        <v>19</v>
      </c>
      <c r="AA41" s="99">
        <v>12540</v>
      </c>
      <c r="AB41" s="99">
        <v>12.233572179186329</v>
      </c>
      <c r="AC41" s="99">
        <v>8074.1576382629764</v>
      </c>
      <c r="AD41" s="99">
        <v>12.136079872104133</v>
      </c>
      <c r="AE41" s="99">
        <v>8009.8127155887278</v>
      </c>
      <c r="AF41" s="99">
        <v>12.436992784602408</v>
      </c>
      <c r="AG41" s="99">
        <v>8208.4152378375893</v>
      </c>
      <c r="AH41" s="99">
        <v>12.627663002283793</v>
      </c>
      <c r="AI41" s="99">
        <v>8334.2575815073033</v>
      </c>
      <c r="AJ41" s="99">
        <v>16.528827643158721</v>
      </c>
      <c r="AK41" s="99">
        <v>10909.026244484756</v>
      </c>
      <c r="AL41" s="99">
        <v>12</v>
      </c>
      <c r="AM41" s="99">
        <v>7920</v>
      </c>
      <c r="AN41" s="99">
        <v>16</v>
      </c>
      <c r="AO41" s="99">
        <v>10560</v>
      </c>
      <c r="AP41" s="99">
        <v>13</v>
      </c>
      <c r="AQ41" s="99">
        <v>8580</v>
      </c>
      <c r="AR41" s="99">
        <v>8.1568248174650968</v>
      </c>
      <c r="AS41" s="99">
        <v>5383.5043795269639</v>
      </c>
      <c r="AT41" s="99">
        <v>9.1197748011079334</v>
      </c>
      <c r="AU41" s="99">
        <v>6019.0513687312359</v>
      </c>
      <c r="AV41" s="99">
        <v>15.022507231061857</v>
      </c>
      <c r="AW41" s="99">
        <v>9914.8547725008248</v>
      </c>
      <c r="AX41" s="99">
        <v>20.446442866291523</v>
      </c>
      <c r="AY41" s="99">
        <v>13494.652291752405</v>
      </c>
      <c r="AZ41" s="99">
        <v>13.463156176046239</v>
      </c>
      <c r="BA41" s="99">
        <v>8885.6830761905167</v>
      </c>
      <c r="BB41" s="99">
        <v>9.8982695338100921</v>
      </c>
      <c r="BC41" s="99">
        <v>6532.8578923146606</v>
      </c>
      <c r="BD41" s="99">
        <v>20.399993466879391</v>
      </c>
      <c r="BE41" s="99">
        <v>13463.995688140398</v>
      </c>
      <c r="BF41" s="99">
        <v>6.3587739758124684</v>
      </c>
      <c r="BG41" s="99">
        <v>4196.7908240362294</v>
      </c>
      <c r="BH41" s="99">
        <v>7.2438946334972067</v>
      </c>
      <c r="BI41" s="99">
        <v>4780.9704581081569</v>
      </c>
      <c r="BJ41" s="99">
        <v>14.38065079583272</v>
      </c>
      <c r="BK41" s="99">
        <v>9491.2295252495951</v>
      </c>
      <c r="BL41" s="99">
        <v>20</v>
      </c>
      <c r="BM41" s="99">
        <v>13200</v>
      </c>
      <c r="BN41" s="99">
        <v>12</v>
      </c>
      <c r="BO41" s="99">
        <v>7920</v>
      </c>
      <c r="BP41" s="99">
        <v>17.443687957861123</v>
      </c>
      <c r="BQ41" s="99">
        <v>11512.83405218834</v>
      </c>
      <c r="BR41" s="99">
        <v>6.0049068271635448</v>
      </c>
      <c r="BS41" s="99">
        <v>3963.2385059279395</v>
      </c>
      <c r="BT41" s="99">
        <v>14.332943789643025</v>
      </c>
      <c r="BU41" s="99">
        <v>9459.7429011643962</v>
      </c>
      <c r="BV41" s="99">
        <v>13.644818035893863</v>
      </c>
      <c r="BW41" s="99">
        <v>9005.5799036899498</v>
      </c>
      <c r="BX41" s="99">
        <v>13.12580873311215</v>
      </c>
      <c r="BY41" s="99">
        <v>8663.0337638540186</v>
      </c>
      <c r="BZ41" s="99">
        <v>11.009311602847397</v>
      </c>
      <c r="CA41" s="99">
        <v>7266.1456578792822</v>
      </c>
      <c r="CB41" s="99">
        <v>17</v>
      </c>
      <c r="CC41" s="99">
        <v>11220</v>
      </c>
      <c r="CD41" s="99">
        <v>16.670330948954032</v>
      </c>
      <c r="CE41" s="99">
        <v>11002.418426309661</v>
      </c>
      <c r="CF41" s="99">
        <v>12.467598043667591</v>
      </c>
      <c r="CG41" s="99">
        <v>8228.6147088206108</v>
      </c>
      <c r="CH41" s="99">
        <v>3.9820878151328918</v>
      </c>
      <c r="CI41" s="99">
        <v>2628.1779579877084</v>
      </c>
      <c r="CJ41" s="99">
        <v>14.448204543802747</v>
      </c>
      <c r="CK41" s="99">
        <v>9535.8149989098129</v>
      </c>
      <c r="CL41" s="99">
        <v>12.481937677271643</v>
      </c>
      <c r="CM41" s="99">
        <v>8238.0788669992853</v>
      </c>
      <c r="CN41" s="99">
        <v>15</v>
      </c>
      <c r="CO41" s="99">
        <v>9900</v>
      </c>
      <c r="CP41" s="99">
        <v>13.557852529229768</v>
      </c>
      <c r="CQ41" s="99">
        <v>8948.1826692916475</v>
      </c>
      <c r="CR41" s="99">
        <v>14.150963483104043</v>
      </c>
      <c r="CS41" s="99">
        <v>9339.6358988486681</v>
      </c>
      <c r="CT41" s="99">
        <v>14.259741110169882</v>
      </c>
      <c r="CU41" s="99">
        <v>9411.4291327121227</v>
      </c>
    </row>
    <row r="42" spans="2:99">
      <c r="C42" s="98" t="s">
        <v>208</v>
      </c>
      <c r="D42" s="99">
        <v>10</v>
      </c>
      <c r="E42" s="99">
        <v>8460</v>
      </c>
      <c r="F42" s="99">
        <v>11.403142613460437</v>
      </c>
      <c r="G42" s="99">
        <v>9647.0586509875302</v>
      </c>
      <c r="H42" s="99">
        <v>10.408462097578777</v>
      </c>
      <c r="I42" s="99">
        <v>8805.5589345516455</v>
      </c>
      <c r="J42" s="99">
        <v>16</v>
      </c>
      <c r="K42" s="99">
        <v>13536</v>
      </c>
      <c r="L42" s="99">
        <v>8.8794255126470958</v>
      </c>
      <c r="M42" s="99">
        <v>7511.9939836994427</v>
      </c>
      <c r="N42" s="99">
        <v>12</v>
      </c>
      <c r="O42" s="99">
        <v>10152</v>
      </c>
      <c r="P42" s="99">
        <v>16</v>
      </c>
      <c r="Q42" s="99">
        <v>13536</v>
      </c>
      <c r="R42" s="99">
        <v>14</v>
      </c>
      <c r="S42" s="99">
        <v>11844</v>
      </c>
      <c r="T42" s="99">
        <v>9.9836052362255074</v>
      </c>
      <c r="U42" s="99">
        <v>8446.1300298467795</v>
      </c>
      <c r="V42" s="99">
        <v>13</v>
      </c>
      <c r="W42" s="99">
        <v>10998</v>
      </c>
      <c r="X42" s="99">
        <v>18</v>
      </c>
      <c r="Y42" s="99">
        <v>15228</v>
      </c>
      <c r="Z42" s="99">
        <v>18</v>
      </c>
      <c r="AA42" s="99">
        <v>15228</v>
      </c>
      <c r="AB42" s="99">
        <v>11.621893570227011</v>
      </c>
      <c r="AC42" s="99">
        <v>9832.1219604120506</v>
      </c>
      <c r="AD42" s="99">
        <v>12.920405675981744</v>
      </c>
      <c r="AE42" s="99">
        <v>10930.663201880556</v>
      </c>
      <c r="AF42" s="99">
        <v>11.586430077748769</v>
      </c>
      <c r="AG42" s="99">
        <v>9802.1198457754581</v>
      </c>
      <c r="AH42" s="99">
        <v>12.627045655455261</v>
      </c>
      <c r="AI42" s="99">
        <v>10682.48062451515</v>
      </c>
      <c r="AJ42" s="99">
        <v>17.440689702632266</v>
      </c>
      <c r="AK42" s="99">
        <v>14754.823488426897</v>
      </c>
      <c r="AL42" s="99">
        <v>10</v>
      </c>
      <c r="AM42" s="99">
        <v>8460</v>
      </c>
      <c r="AN42" s="99">
        <v>15</v>
      </c>
      <c r="AO42" s="99">
        <v>12690</v>
      </c>
      <c r="AP42" s="99">
        <v>13</v>
      </c>
      <c r="AQ42" s="99">
        <v>10998</v>
      </c>
      <c r="AR42" s="99">
        <v>8.7110970159945058</v>
      </c>
      <c r="AS42" s="99">
        <v>7369.5880755313519</v>
      </c>
      <c r="AT42" s="99">
        <v>8.4727095421752434</v>
      </c>
      <c r="AU42" s="99">
        <v>7167.9122726802561</v>
      </c>
      <c r="AV42" s="99">
        <v>14.288231788766657</v>
      </c>
      <c r="AW42" s="99">
        <v>12087.844093296591</v>
      </c>
      <c r="AX42" s="99">
        <v>21.285726992259132</v>
      </c>
      <c r="AY42" s="99">
        <v>18007.725035451225</v>
      </c>
      <c r="AZ42" s="99">
        <v>12.715203055154781</v>
      </c>
      <c r="BA42" s="99">
        <v>10757.061784660944</v>
      </c>
      <c r="BB42" s="99">
        <v>9.2574111210356484</v>
      </c>
      <c r="BC42" s="99">
        <v>7831.7698083961586</v>
      </c>
      <c r="BD42" s="99">
        <v>20.224994283519468</v>
      </c>
      <c r="BE42" s="99">
        <v>17110.34516385747</v>
      </c>
      <c r="BF42" s="99">
        <v>5.9348557107583035</v>
      </c>
      <c r="BG42" s="99">
        <v>5020.887931301525</v>
      </c>
      <c r="BH42" s="99">
        <v>6.2434328351716353</v>
      </c>
      <c r="BI42" s="99">
        <v>5281.9441785552035</v>
      </c>
      <c r="BJ42" s="99">
        <v>14.38065079583272</v>
      </c>
      <c r="BK42" s="99">
        <v>12166.030573274482</v>
      </c>
      <c r="BL42" s="99">
        <v>19</v>
      </c>
      <c r="BM42" s="99">
        <v>16074</v>
      </c>
      <c r="BN42" s="99">
        <v>12</v>
      </c>
      <c r="BO42" s="99">
        <v>10152</v>
      </c>
      <c r="BP42" s="99">
        <v>17.388226963128485</v>
      </c>
      <c r="BQ42" s="99">
        <v>14710.440010806698</v>
      </c>
      <c r="BR42" s="99">
        <v>6.5188028088366146</v>
      </c>
      <c r="BS42" s="99">
        <v>5514.9071762757758</v>
      </c>
      <c r="BT42" s="99">
        <v>14.346099007092226</v>
      </c>
      <c r="BU42" s="99">
        <v>12136.799760000024</v>
      </c>
      <c r="BV42" s="99">
        <v>13.649311798652898</v>
      </c>
      <c r="BW42" s="99">
        <v>11547.317781660351</v>
      </c>
      <c r="BX42" s="99">
        <v>13.884877870053487</v>
      </c>
      <c r="BY42" s="99">
        <v>11746.606678065249</v>
      </c>
      <c r="BZ42" s="99">
        <v>13.009311602847397</v>
      </c>
      <c r="CA42" s="99">
        <v>11005.877616008898</v>
      </c>
      <c r="CB42" s="99">
        <v>16</v>
      </c>
      <c r="CC42" s="99">
        <v>13536</v>
      </c>
      <c r="CD42" s="99">
        <v>14.702258116345027</v>
      </c>
      <c r="CE42" s="99">
        <v>12438.110366427893</v>
      </c>
      <c r="CF42" s="99">
        <v>12.49825563650589</v>
      </c>
      <c r="CG42" s="99">
        <v>10573.524268483983</v>
      </c>
      <c r="CH42" s="99">
        <v>3.7166152941240327</v>
      </c>
      <c r="CI42" s="99">
        <v>3144.2565388289318</v>
      </c>
      <c r="CJ42" s="99">
        <v>14.445386092896394</v>
      </c>
      <c r="CK42" s="99">
        <v>12220.79663459035</v>
      </c>
      <c r="CL42" s="99">
        <v>12.646597419190716</v>
      </c>
      <c r="CM42" s="99">
        <v>10699.021416635345</v>
      </c>
      <c r="CN42" s="99">
        <v>15</v>
      </c>
      <c r="CO42" s="99">
        <v>12690</v>
      </c>
      <c r="CP42" s="99">
        <v>12.602343641570121</v>
      </c>
      <c r="CQ42" s="99">
        <v>10661.582720768321</v>
      </c>
      <c r="CR42" s="99">
        <v>14.150963483104043</v>
      </c>
      <c r="CS42" s="99">
        <v>11971.71510670602</v>
      </c>
      <c r="CT42" s="99">
        <v>14.366196246526997</v>
      </c>
      <c r="CU42" s="99">
        <v>12153.802024561839</v>
      </c>
    </row>
    <row r="43" spans="2:99">
      <c r="C43" s="98" t="s">
        <v>209</v>
      </c>
      <c r="D43" s="99">
        <v>10</v>
      </c>
      <c r="E43" s="99">
        <v>10224</v>
      </c>
      <c r="F43" s="99">
        <v>12.217652800136182</v>
      </c>
      <c r="G43" s="99">
        <v>12491.328222859232</v>
      </c>
      <c r="H43" s="99">
        <v>9.4622382705261607</v>
      </c>
      <c r="I43" s="99">
        <v>9674.1924077859458</v>
      </c>
      <c r="J43" s="99">
        <v>17</v>
      </c>
      <c r="K43" s="99">
        <v>17380.8</v>
      </c>
      <c r="L43" s="99">
        <v>8.8794255126470958</v>
      </c>
      <c r="M43" s="99">
        <v>9078.3246441303909</v>
      </c>
      <c r="N43" s="99">
        <v>13</v>
      </c>
      <c r="O43" s="99">
        <v>13291.199999999999</v>
      </c>
      <c r="P43" s="99">
        <v>15</v>
      </c>
      <c r="Q43" s="99">
        <v>15336</v>
      </c>
      <c r="R43" s="99">
        <v>14</v>
      </c>
      <c r="S43" s="99">
        <v>14313.6</v>
      </c>
      <c r="T43" s="99">
        <v>10.751574869781317</v>
      </c>
      <c r="U43" s="99">
        <v>10992.410146864418</v>
      </c>
      <c r="V43" s="99">
        <v>12</v>
      </c>
      <c r="W43" s="99">
        <v>12268.8</v>
      </c>
      <c r="X43" s="99">
        <v>16</v>
      </c>
      <c r="Y43" s="99">
        <v>16358.4</v>
      </c>
      <c r="Z43" s="99">
        <v>17</v>
      </c>
      <c r="AA43" s="99">
        <v>17380.8</v>
      </c>
      <c r="AB43" s="99">
        <v>12.233572179186329</v>
      </c>
      <c r="AC43" s="99">
        <v>12507.604196000102</v>
      </c>
      <c r="AD43" s="99">
        <v>11.371210358139301</v>
      </c>
      <c r="AE43" s="99">
        <v>11625.925470161621</v>
      </c>
      <c r="AF43" s="99">
        <v>12.287362477117933</v>
      </c>
      <c r="AG43" s="99">
        <v>12562.599396605374</v>
      </c>
      <c r="AH43" s="99">
        <v>10.916288677369939</v>
      </c>
      <c r="AI43" s="99">
        <v>11160.813543743026</v>
      </c>
      <c r="AJ43" s="99">
        <v>17.528827643158721</v>
      </c>
      <c r="AK43" s="99">
        <v>17921.473382365475</v>
      </c>
      <c r="AL43" s="99">
        <v>11</v>
      </c>
      <c r="AM43" s="99">
        <v>11246.4</v>
      </c>
      <c r="AN43" s="99">
        <v>17</v>
      </c>
      <c r="AO43" s="99">
        <v>17380.8</v>
      </c>
      <c r="AP43" s="99">
        <v>11</v>
      </c>
      <c r="AQ43" s="99">
        <v>11246.4</v>
      </c>
      <c r="AR43" s="99">
        <v>8.1568248174650968</v>
      </c>
      <c r="AS43" s="99">
        <v>8339.5376933763146</v>
      </c>
      <c r="AT43" s="99">
        <v>8.3690411205705519</v>
      </c>
      <c r="AU43" s="99">
        <v>8556.5076416713327</v>
      </c>
      <c r="AV43" s="99">
        <v>14.288231788766657</v>
      </c>
      <c r="AW43" s="99">
        <v>14608.28818083503</v>
      </c>
      <c r="AX43" s="99">
        <v>22.446442866291523</v>
      </c>
      <c r="AY43" s="99">
        <v>22949.243186496453</v>
      </c>
      <c r="AZ43" s="99">
        <v>14.959062417829156</v>
      </c>
      <c r="BA43" s="99">
        <v>15294.145415988529</v>
      </c>
      <c r="BB43" s="99">
        <v>10.539127946584532</v>
      </c>
      <c r="BC43" s="99">
        <v>10775.204412588026</v>
      </c>
      <c r="BD43" s="99">
        <v>19.399993466879391</v>
      </c>
      <c r="BE43" s="99">
        <v>19834.553320537489</v>
      </c>
      <c r="BF43" s="99">
        <v>6.3587739758124684</v>
      </c>
      <c r="BG43" s="99">
        <v>6501.2105128706671</v>
      </c>
      <c r="BH43" s="99">
        <v>6.7816924003127461</v>
      </c>
      <c r="BI43" s="99">
        <v>6933.6023100797511</v>
      </c>
      <c r="BJ43" s="99">
        <v>13.38065079583272</v>
      </c>
      <c r="BK43" s="99">
        <v>13680.377373659372</v>
      </c>
      <c r="BL43" s="99">
        <v>21</v>
      </c>
      <c r="BM43" s="99">
        <v>21470.399999999998</v>
      </c>
      <c r="BN43" s="99">
        <v>11</v>
      </c>
      <c r="BO43" s="99">
        <v>11246.4</v>
      </c>
      <c r="BP43" s="99">
        <v>14.388226963128483</v>
      </c>
      <c r="BQ43" s="99">
        <v>14710.523247102561</v>
      </c>
      <c r="BR43" s="99">
        <v>6.4762455026198191</v>
      </c>
      <c r="BS43" s="99">
        <v>6621.3134018785031</v>
      </c>
      <c r="BT43" s="99">
        <v>13.332943789643025</v>
      </c>
      <c r="BU43" s="99">
        <v>13631.601730531029</v>
      </c>
      <c r="BV43" s="99">
        <v>12.635830510375792</v>
      </c>
      <c r="BW43" s="99">
        <v>12918.873113808209</v>
      </c>
      <c r="BX43" s="99">
        <v>13.008312084278334</v>
      </c>
      <c r="BY43" s="99">
        <v>13299.698274966167</v>
      </c>
      <c r="BZ43" s="99">
        <v>13.009311602847397</v>
      </c>
      <c r="CA43" s="99">
        <v>13300.720182751178</v>
      </c>
      <c r="CB43" s="99">
        <v>16</v>
      </c>
      <c r="CC43" s="99">
        <v>16358.4</v>
      </c>
      <c r="CD43" s="99">
        <v>13.737651076114695</v>
      </c>
      <c r="CE43" s="99">
        <v>14045.374460219664</v>
      </c>
      <c r="CF43" s="99">
        <v>12.467598043667591</v>
      </c>
      <c r="CG43" s="99">
        <v>12746.872239845745</v>
      </c>
      <c r="CH43" s="99">
        <v>3.9820878151328918</v>
      </c>
      <c r="CI43" s="99">
        <v>4071.2865821918685</v>
      </c>
      <c r="CJ43" s="99">
        <v>13.460907919371184</v>
      </c>
      <c r="CK43" s="99">
        <v>13762.432256765098</v>
      </c>
      <c r="CL43" s="99">
        <v>11.481937677271643</v>
      </c>
      <c r="CM43" s="99">
        <v>11739.133081242528</v>
      </c>
      <c r="CN43" s="99">
        <v>16</v>
      </c>
      <c r="CO43" s="99">
        <v>16358.4</v>
      </c>
      <c r="CP43" s="99">
        <v>11.53321105494504</v>
      </c>
      <c r="CQ43" s="99">
        <v>11791.554982575808</v>
      </c>
      <c r="CR43" s="99">
        <v>15.760348806171331</v>
      </c>
      <c r="CS43" s="99">
        <v>16113.380619429568</v>
      </c>
      <c r="CT43" s="99">
        <v>13.558698280151448</v>
      </c>
      <c r="CU43" s="99">
        <v>13862.41312162684</v>
      </c>
    </row>
    <row r="44" spans="2:99">
      <c r="C44" s="98" t="s">
        <v>210</v>
      </c>
      <c r="D44" s="99">
        <v>11</v>
      </c>
      <c r="E44" s="99">
        <v>11246.4</v>
      </c>
      <c r="F44" s="99">
        <v>11.403142613460437</v>
      </c>
      <c r="G44" s="99">
        <v>11658.573008001951</v>
      </c>
      <c r="H44" s="99">
        <v>8.5160144434735461</v>
      </c>
      <c r="I44" s="99">
        <v>8706.7731670073535</v>
      </c>
      <c r="J44" s="99">
        <v>15</v>
      </c>
      <c r="K44" s="99">
        <v>15336</v>
      </c>
      <c r="L44" s="99">
        <v>8.245180833172304</v>
      </c>
      <c r="M44" s="99">
        <v>8429.8728838353636</v>
      </c>
      <c r="N44" s="99">
        <v>13</v>
      </c>
      <c r="O44" s="99">
        <v>13291.199999999999</v>
      </c>
      <c r="P44" s="99">
        <v>15</v>
      </c>
      <c r="Q44" s="99">
        <v>15336</v>
      </c>
      <c r="R44" s="99">
        <v>13</v>
      </c>
      <c r="S44" s="99">
        <v>13291.199999999999</v>
      </c>
      <c r="T44" s="99">
        <v>9.9836052362255074</v>
      </c>
      <c r="U44" s="99">
        <v>10207.237993516959</v>
      </c>
      <c r="V44" s="99">
        <v>12</v>
      </c>
      <c r="W44" s="99">
        <v>12268.8</v>
      </c>
      <c r="X44" s="99">
        <v>18</v>
      </c>
      <c r="Y44" s="99">
        <v>18403.2</v>
      </c>
      <c r="Z44" s="99">
        <v>19</v>
      </c>
      <c r="AA44" s="99">
        <v>19425.599999999999</v>
      </c>
      <c r="AB44" s="99">
        <v>11.010214961267694</v>
      </c>
      <c r="AC44" s="99">
        <v>11256.84377640009</v>
      </c>
      <c r="AD44" s="99">
        <v>12.2297747248049</v>
      </c>
      <c r="AE44" s="99">
        <v>12503.72167864053</v>
      </c>
      <c r="AF44" s="99">
        <v>11.581058456112613</v>
      </c>
      <c r="AG44" s="99">
        <v>11840.474165529535</v>
      </c>
      <c r="AH44" s="99">
        <v>11.02275243161308</v>
      </c>
      <c r="AI44" s="99">
        <v>11269.662086081213</v>
      </c>
      <c r="AJ44" s="99">
        <v>15.440689702632268</v>
      </c>
      <c r="AK44" s="99">
        <v>15786.561151971231</v>
      </c>
      <c r="AL44" s="99">
        <v>11</v>
      </c>
      <c r="AM44" s="99">
        <v>11246.4</v>
      </c>
      <c r="AN44" s="99">
        <v>17</v>
      </c>
      <c r="AO44" s="99">
        <v>17380.8</v>
      </c>
      <c r="AP44" s="99">
        <v>13</v>
      </c>
      <c r="AQ44" s="99">
        <v>13291.199999999999</v>
      </c>
      <c r="AR44" s="99">
        <v>8.6566106325700609</v>
      </c>
      <c r="AS44" s="99">
        <v>8850.5187107396305</v>
      </c>
      <c r="AT44" s="99">
        <v>9.0161063795032419</v>
      </c>
      <c r="AU44" s="99">
        <v>9218.0671624041152</v>
      </c>
      <c r="AV44" s="99">
        <v>14.126359147189813</v>
      </c>
      <c r="AW44" s="99">
        <v>14442.789592086865</v>
      </c>
      <c r="AX44" s="99">
        <v>20.446442866291523</v>
      </c>
      <c r="AY44" s="99">
        <v>20904.443186496454</v>
      </c>
      <c r="AZ44" s="99">
        <v>14.211109296937696</v>
      </c>
      <c r="BA44" s="99">
        <v>14529.4381451891</v>
      </c>
      <c r="BB44" s="99">
        <v>9.2574111210356484</v>
      </c>
      <c r="BC44" s="99">
        <v>9464.7771301468474</v>
      </c>
      <c r="BD44" s="99">
        <v>19.399993466879391</v>
      </c>
      <c r="BE44" s="99">
        <v>19834.553320537489</v>
      </c>
      <c r="BF44" s="99">
        <v>5.9348557107583035</v>
      </c>
      <c r="BG44" s="99">
        <v>6067.7964786792891</v>
      </c>
      <c r="BH44" s="99">
        <v>6.7436637343344215</v>
      </c>
      <c r="BI44" s="99">
        <v>6894.7218019835127</v>
      </c>
      <c r="BJ44" s="99">
        <v>15.38065079583272</v>
      </c>
      <c r="BK44" s="99">
        <v>15725.177373659373</v>
      </c>
      <c r="BL44" s="99">
        <v>18</v>
      </c>
      <c r="BM44" s="99">
        <v>18403.2</v>
      </c>
      <c r="BN44" s="99">
        <v>10</v>
      </c>
      <c r="BO44" s="99">
        <v>10224</v>
      </c>
      <c r="BP44" s="99">
        <v>14.443687957861124</v>
      </c>
      <c r="BQ44" s="99">
        <v>14767.226568117214</v>
      </c>
      <c r="BR44" s="99">
        <v>6.0480230848439325</v>
      </c>
      <c r="BS44" s="99">
        <v>6183.4988019444363</v>
      </c>
      <c r="BT44" s="99">
        <v>15.332943789643025</v>
      </c>
      <c r="BU44" s="99">
        <v>15676.401730531028</v>
      </c>
      <c r="BV44" s="99">
        <v>12.644818035893863</v>
      </c>
      <c r="BW44" s="99">
        <v>12928.061959897885</v>
      </c>
      <c r="BX44" s="99">
        <v>13.998884386618048</v>
      </c>
      <c r="BY44" s="99">
        <v>14312.459396878292</v>
      </c>
      <c r="BZ44" s="99">
        <v>12.009311602847397</v>
      </c>
      <c r="CA44" s="99">
        <v>12278.320182751178</v>
      </c>
      <c r="CB44" s="99">
        <v>15</v>
      </c>
      <c r="CC44" s="99">
        <v>15336</v>
      </c>
      <c r="CD44" s="99">
        <v>16.631472196805689</v>
      </c>
      <c r="CE44" s="99">
        <v>17004.017174014134</v>
      </c>
      <c r="CF44" s="99">
        <v>11.52741825128596</v>
      </c>
      <c r="CG44" s="99">
        <v>11785.632420114765</v>
      </c>
      <c r="CH44" s="99">
        <v>3.4511427731151731</v>
      </c>
      <c r="CI44" s="99">
        <v>3528.4483712329529</v>
      </c>
      <c r="CJ44" s="99">
        <v>13.372679855222353</v>
      </c>
      <c r="CK44" s="99">
        <v>13672.227883979334</v>
      </c>
      <c r="CL44" s="99">
        <v>11.317277935352571</v>
      </c>
      <c r="CM44" s="99">
        <v>11570.784961104469</v>
      </c>
      <c r="CN44" s="99">
        <v>14</v>
      </c>
      <c r="CO44" s="99">
        <v>14313.6</v>
      </c>
      <c r="CP44" s="99">
        <v>10.691325866250828</v>
      </c>
      <c r="CQ44" s="99">
        <v>10930.811565654847</v>
      </c>
      <c r="CR44" s="99">
        <v>14.955656144637688</v>
      </c>
      <c r="CS44" s="99">
        <v>15290.662842277572</v>
      </c>
      <c r="CT44" s="99">
        <v>13.558698280151448</v>
      </c>
      <c r="CU44" s="99">
        <v>13862.41312162684</v>
      </c>
    </row>
    <row r="45" spans="2:99">
      <c r="C45" s="98" t="s">
        <v>211</v>
      </c>
      <c r="D45" s="99">
        <v>9</v>
      </c>
      <c r="E45" s="99">
        <v>11242.800000000001</v>
      </c>
      <c r="F45" s="99">
        <v>12.217652800136182</v>
      </c>
      <c r="G45" s="99">
        <v>15262.29187793012</v>
      </c>
      <c r="H45" s="99">
        <v>8.5160144434735461</v>
      </c>
      <c r="I45" s="99">
        <v>10638.205242787155</v>
      </c>
      <c r="J45" s="99">
        <v>15</v>
      </c>
      <c r="K45" s="99">
        <v>18738</v>
      </c>
      <c r="L45" s="99">
        <v>8.8794255126470958</v>
      </c>
      <c r="M45" s="99">
        <v>11092.178350398752</v>
      </c>
      <c r="N45" s="99">
        <v>13</v>
      </c>
      <c r="O45" s="99">
        <v>16239.6</v>
      </c>
      <c r="P45" s="99">
        <v>16</v>
      </c>
      <c r="Q45" s="99">
        <v>19987.2</v>
      </c>
      <c r="R45" s="99">
        <v>13</v>
      </c>
      <c r="S45" s="99">
        <v>16239.6</v>
      </c>
      <c r="T45" s="99">
        <v>9.9836052362255074</v>
      </c>
      <c r="U45" s="99">
        <v>12471.519661092905</v>
      </c>
      <c r="V45" s="99">
        <v>13</v>
      </c>
      <c r="W45" s="99">
        <v>16239.6</v>
      </c>
      <c r="X45" s="99">
        <v>15</v>
      </c>
      <c r="Y45" s="99">
        <v>18738</v>
      </c>
      <c r="Z45" s="99">
        <v>16</v>
      </c>
      <c r="AA45" s="99">
        <v>19987.2</v>
      </c>
      <c r="AB45" s="99">
        <v>10.39853635230838</v>
      </c>
      <c r="AC45" s="99">
        <v>12989.851611303629</v>
      </c>
      <c r="AD45" s="99">
        <v>10.567428264348905</v>
      </c>
      <c r="AE45" s="99">
        <v>13200.831387824652</v>
      </c>
      <c r="AF45" s="99">
        <v>11.431428148628138</v>
      </c>
      <c r="AG45" s="99">
        <v>14280.14004326627</v>
      </c>
      <c r="AH45" s="99">
        <v>10.916288677369939</v>
      </c>
      <c r="AI45" s="99">
        <v>13636.627815770529</v>
      </c>
      <c r="AJ45" s="99">
        <v>16.528827643158721</v>
      </c>
      <c r="AK45" s="99">
        <v>20647.811491833876</v>
      </c>
      <c r="AL45" s="99">
        <v>10</v>
      </c>
      <c r="AM45" s="99">
        <v>12492</v>
      </c>
      <c r="AN45" s="99">
        <v>16</v>
      </c>
      <c r="AO45" s="99">
        <v>19987.2</v>
      </c>
      <c r="AP45" s="99">
        <v>13</v>
      </c>
      <c r="AQ45" s="99">
        <v>16239.6</v>
      </c>
      <c r="AR45" s="99">
        <v>8.1023384340406519</v>
      </c>
      <c r="AS45" s="99">
        <v>10121.441171803583</v>
      </c>
      <c r="AT45" s="99">
        <v>9.1251445451926081</v>
      </c>
      <c r="AU45" s="99">
        <v>11399.130565854606</v>
      </c>
      <c r="AV45" s="99">
        <v>13.392083704894613</v>
      </c>
      <c r="AW45" s="99">
        <v>16729.390964154351</v>
      </c>
      <c r="AX45" s="99">
        <v>18.285726992259132</v>
      </c>
      <c r="AY45" s="99">
        <v>22842.530158730107</v>
      </c>
      <c r="AZ45" s="99">
        <v>13.463156176046239</v>
      </c>
      <c r="BA45" s="99">
        <v>16818.174695116963</v>
      </c>
      <c r="BB45" s="99">
        <v>9.8982695338100921</v>
      </c>
      <c r="BC45" s="99">
        <v>12364.918301635567</v>
      </c>
      <c r="BD45" s="99">
        <v>21.224994283519468</v>
      </c>
      <c r="BE45" s="99">
        <v>26514.262858972521</v>
      </c>
      <c r="BF45" s="99">
        <v>5.5109374457041387</v>
      </c>
      <c r="BG45" s="99">
        <v>6884.2630571736099</v>
      </c>
      <c r="BH45" s="99">
        <v>6.7852855833552255</v>
      </c>
      <c r="BI45" s="99">
        <v>8476.1787507273475</v>
      </c>
      <c r="BJ45" s="99">
        <v>14.38065079583272</v>
      </c>
      <c r="BK45" s="99">
        <v>17964.308974154235</v>
      </c>
      <c r="BL45" s="99">
        <v>19</v>
      </c>
      <c r="BM45" s="99">
        <v>23734.799999999999</v>
      </c>
      <c r="BN45" s="99">
        <v>10</v>
      </c>
      <c r="BO45" s="99">
        <v>12492</v>
      </c>
      <c r="BP45" s="99">
        <v>15.332765968395844</v>
      </c>
      <c r="BQ45" s="99">
        <v>19153.691247720089</v>
      </c>
      <c r="BR45" s="99">
        <v>6.0491409877711169</v>
      </c>
      <c r="BS45" s="99">
        <v>7556.5869219236793</v>
      </c>
      <c r="BT45" s="99">
        <v>14.195970261968764</v>
      </c>
      <c r="BU45" s="99">
        <v>17733.60605125138</v>
      </c>
      <c r="BV45" s="99">
        <v>13.635830510375792</v>
      </c>
      <c r="BW45" s="99">
        <v>17033.879473561439</v>
      </c>
      <c r="BX45" s="99">
        <v>13.004821952009078</v>
      </c>
      <c r="BY45" s="99">
        <v>16245.62358244974</v>
      </c>
      <c r="BZ45" s="99">
        <v>11.009311602847397</v>
      </c>
      <c r="CA45" s="99">
        <v>13752.832054276969</v>
      </c>
      <c r="CB45" s="99">
        <v>16</v>
      </c>
      <c r="CC45" s="99">
        <v>19987.2</v>
      </c>
      <c r="CD45" s="99">
        <v>14.702258116345027</v>
      </c>
      <c r="CE45" s="99">
        <v>18366.060838938207</v>
      </c>
      <c r="CF45" s="99">
        <v>12.467598043667591</v>
      </c>
      <c r="CG45" s="99">
        <v>15574.523476149556</v>
      </c>
      <c r="CH45" s="99">
        <v>3.7166152941240327</v>
      </c>
      <c r="CI45" s="99">
        <v>4642.795825419742</v>
      </c>
      <c r="CJ45" s="99">
        <v>12.388201681697144</v>
      </c>
      <c r="CK45" s="99">
        <v>15475.341540776073</v>
      </c>
      <c r="CL45" s="99">
        <v>11.646597419190716</v>
      </c>
      <c r="CM45" s="99">
        <v>14548.929496053042</v>
      </c>
      <c r="CN45" s="99">
        <v>14</v>
      </c>
      <c r="CO45" s="99">
        <v>17488.8</v>
      </c>
      <c r="CP45" s="99">
        <v>11.419587355979603</v>
      </c>
      <c r="CQ45" s="99">
        <v>14265.348525089721</v>
      </c>
      <c r="CR45" s="99">
        <v>15.760348806171331</v>
      </c>
      <c r="CS45" s="99">
        <v>19687.827728669228</v>
      </c>
      <c r="CT45" s="99">
        <v>13.452243143794334</v>
      </c>
      <c r="CU45" s="99">
        <v>16804.542135227883</v>
      </c>
    </row>
    <row r="46" spans="2:99">
      <c r="C46" s="98" t="s">
        <v>212</v>
      </c>
      <c r="D46" s="99">
        <v>9</v>
      </c>
      <c r="E46" s="99">
        <v>10908</v>
      </c>
      <c r="F46" s="99">
        <v>10.588632426784692</v>
      </c>
      <c r="G46" s="99">
        <v>12833.422501263047</v>
      </c>
      <c r="H46" s="99">
        <v>9.4622382705261607</v>
      </c>
      <c r="I46" s="99">
        <v>11468.232783877707</v>
      </c>
      <c r="J46" s="99">
        <v>15</v>
      </c>
      <c r="K46" s="99">
        <v>18180</v>
      </c>
      <c r="L46" s="99">
        <v>8.8794255126470958</v>
      </c>
      <c r="M46" s="99">
        <v>10761.86372132828</v>
      </c>
      <c r="N46" s="99">
        <v>12</v>
      </c>
      <c r="O46" s="99">
        <v>14544</v>
      </c>
      <c r="P46" s="99">
        <v>16</v>
      </c>
      <c r="Q46" s="99">
        <v>19392</v>
      </c>
      <c r="R46" s="99">
        <v>13</v>
      </c>
      <c r="S46" s="99">
        <v>15756</v>
      </c>
      <c r="T46" s="99">
        <v>9.9836052362255074</v>
      </c>
      <c r="U46" s="99">
        <v>12100.129546305316</v>
      </c>
      <c r="V46" s="99">
        <v>14</v>
      </c>
      <c r="W46" s="99">
        <v>16968</v>
      </c>
      <c r="X46" s="99">
        <v>18</v>
      </c>
      <c r="Y46" s="99">
        <v>21816</v>
      </c>
      <c r="Z46" s="99">
        <v>17</v>
      </c>
      <c r="AA46" s="99">
        <v>20604</v>
      </c>
      <c r="AB46" s="99">
        <v>12.845250788145645</v>
      </c>
      <c r="AC46" s="99">
        <v>15568.443955232522</v>
      </c>
      <c r="AD46" s="99">
        <v>12.2282780871193</v>
      </c>
      <c r="AE46" s="99">
        <v>14820.67304158859</v>
      </c>
      <c r="AF46" s="99">
        <v>10.72512412762282</v>
      </c>
      <c r="AG46" s="99">
        <v>12998.850442678859</v>
      </c>
      <c r="AH46" s="99">
        <v>11.878439594070008</v>
      </c>
      <c r="AI46" s="99">
        <v>14396.668788012848</v>
      </c>
      <c r="AJ46" s="99">
        <v>16.440689702632266</v>
      </c>
      <c r="AK46" s="99">
        <v>19926.115919590306</v>
      </c>
      <c r="AL46" s="99">
        <v>11</v>
      </c>
      <c r="AM46" s="99">
        <v>13332</v>
      </c>
      <c r="AN46" s="99">
        <v>14</v>
      </c>
      <c r="AO46" s="99">
        <v>16968</v>
      </c>
      <c r="AP46" s="99">
        <v>12</v>
      </c>
      <c r="AQ46" s="99">
        <v>14544</v>
      </c>
      <c r="AR46" s="99">
        <v>7.5480662355112429</v>
      </c>
      <c r="AS46" s="99">
        <v>9148.2562774396265</v>
      </c>
      <c r="AT46" s="99">
        <v>8.4780792862599181</v>
      </c>
      <c r="AU46" s="99">
        <v>10275.43209494702</v>
      </c>
      <c r="AV46" s="99">
        <v>15.188044604918879</v>
      </c>
      <c r="AW46" s="99">
        <v>18407.910061161681</v>
      </c>
      <c r="AX46" s="99">
        <v>19.285726992259132</v>
      </c>
      <c r="AY46" s="99">
        <v>23374.301114618069</v>
      </c>
      <c r="AZ46" s="99">
        <v>14.211109296937696</v>
      </c>
      <c r="BA46" s="99">
        <v>17223.864467888488</v>
      </c>
      <c r="BB46" s="99">
        <v>9.866559162455264</v>
      </c>
      <c r="BC46" s="99">
        <v>11958.26970489578</v>
      </c>
      <c r="BD46" s="99">
        <v>18.399993466879391</v>
      </c>
      <c r="BE46" s="99">
        <v>22300.79208185782</v>
      </c>
      <c r="BF46" s="99">
        <v>5.9348557107583035</v>
      </c>
      <c r="BG46" s="99">
        <v>7193.0451214390641</v>
      </c>
      <c r="BH46" s="99">
        <v>6.221554467424526</v>
      </c>
      <c r="BI46" s="99">
        <v>7540.5240145185253</v>
      </c>
      <c r="BJ46" s="99">
        <v>13.227245151851307</v>
      </c>
      <c r="BK46" s="99">
        <v>16031.421124043783</v>
      </c>
      <c r="BL46" s="99">
        <v>19</v>
      </c>
      <c r="BM46" s="99">
        <v>23028</v>
      </c>
      <c r="BN46" s="99">
        <v>11</v>
      </c>
      <c r="BO46" s="99">
        <v>13332</v>
      </c>
      <c r="BP46" s="99">
        <v>15.388226963128483</v>
      </c>
      <c r="BQ46" s="99">
        <v>18650.531079311721</v>
      </c>
      <c r="BR46" s="99">
        <v>5.5341271031708619</v>
      </c>
      <c r="BS46" s="99">
        <v>6707.3620490430849</v>
      </c>
      <c r="BT46" s="99">
        <v>14.196982201772549</v>
      </c>
      <c r="BU46" s="99">
        <v>17206.742428548328</v>
      </c>
      <c r="BV46" s="99">
        <v>11.635830510375792</v>
      </c>
      <c r="BW46" s="99">
        <v>14102.62657857546</v>
      </c>
      <c r="BX46" s="99">
        <v>13.88138773778423</v>
      </c>
      <c r="BY46" s="99">
        <v>16824.241938194486</v>
      </c>
      <c r="BZ46" s="99">
        <v>11.865124231012055</v>
      </c>
      <c r="CA46" s="99">
        <v>14380.530567986611</v>
      </c>
      <c r="CB46" s="99">
        <v>14</v>
      </c>
      <c r="CC46" s="99">
        <v>16968</v>
      </c>
      <c r="CD46" s="99">
        <v>13.737651076114695</v>
      </c>
      <c r="CE46" s="99">
        <v>16650.033104251012</v>
      </c>
      <c r="CF46" s="99">
        <v>12.436940450829292</v>
      </c>
      <c r="CG46" s="99">
        <v>15073.571826405101</v>
      </c>
      <c r="CH46" s="99">
        <v>3.4511427731151731</v>
      </c>
      <c r="CI46" s="99">
        <v>4182.7850410155897</v>
      </c>
      <c r="CJ46" s="99">
        <v>13.372679855222353</v>
      </c>
      <c r="CK46" s="99">
        <v>16207.687984529492</v>
      </c>
      <c r="CL46" s="99">
        <v>13.481937677271643</v>
      </c>
      <c r="CM46" s="99">
        <v>16340.108464853232</v>
      </c>
      <c r="CN46" s="99">
        <v>16</v>
      </c>
      <c r="CO46" s="99">
        <v>19392</v>
      </c>
      <c r="CP46" s="99">
        <v>12.37509624363925</v>
      </c>
      <c r="CQ46" s="99">
        <v>14998.616647290772</v>
      </c>
      <c r="CR46" s="99">
        <v>14.955656144637688</v>
      </c>
      <c r="CS46" s="99">
        <v>18126.255247300876</v>
      </c>
      <c r="CT46" s="99">
        <v>13.452243143794334</v>
      </c>
      <c r="CU46" s="99">
        <v>16304.118690278732</v>
      </c>
    </row>
    <row r="47" spans="2:99">
      <c r="C47" s="98" t="s">
        <v>213</v>
      </c>
      <c r="D47" s="99">
        <v>9</v>
      </c>
      <c r="E47" s="99">
        <v>13748.4</v>
      </c>
      <c r="F47" s="99">
        <v>10.588632426784692</v>
      </c>
      <c r="G47" s="99">
        <v>16175.194895156294</v>
      </c>
      <c r="H47" s="99">
        <v>9.4622382705261607</v>
      </c>
      <c r="I47" s="99">
        <v>14454.515182055762</v>
      </c>
      <c r="J47" s="99">
        <v>15</v>
      </c>
      <c r="K47" s="99">
        <v>22914</v>
      </c>
      <c r="L47" s="99">
        <v>7.6109361536975104</v>
      </c>
      <c r="M47" s="99">
        <v>11626.466068388316</v>
      </c>
      <c r="N47" s="99">
        <v>12</v>
      </c>
      <c r="O47" s="99">
        <v>18331.199999999997</v>
      </c>
      <c r="P47" s="99">
        <v>16</v>
      </c>
      <c r="Q47" s="99">
        <v>24441.599999999999</v>
      </c>
      <c r="R47" s="99">
        <v>14</v>
      </c>
      <c r="S47" s="99">
        <v>21386.399999999998</v>
      </c>
      <c r="T47" s="99">
        <v>9.2156356026696997</v>
      </c>
      <c r="U47" s="99">
        <v>14077.804946638233</v>
      </c>
      <c r="V47" s="99">
        <v>13</v>
      </c>
      <c r="W47" s="99">
        <v>19858.8</v>
      </c>
      <c r="X47" s="99">
        <v>15</v>
      </c>
      <c r="Y47" s="99">
        <v>22914</v>
      </c>
      <c r="Z47" s="99">
        <v>18</v>
      </c>
      <c r="AA47" s="99">
        <v>27496.799999999999</v>
      </c>
      <c r="AB47" s="99">
        <v>11.621893570227011</v>
      </c>
      <c r="AC47" s="99">
        <v>17753.60461787878</v>
      </c>
      <c r="AD47" s="99">
        <v>12.154039524331314</v>
      </c>
      <c r="AE47" s="99">
        <v>18566.510777368512</v>
      </c>
      <c r="AF47" s="99">
        <v>12.287362477117933</v>
      </c>
      <c r="AG47" s="99">
        <v>18770.174920045352</v>
      </c>
      <c r="AH47" s="99">
        <v>11.878439594070008</v>
      </c>
      <c r="AI47" s="99">
        <v>18145.504323901343</v>
      </c>
      <c r="AJ47" s="99">
        <v>16.440689702632266</v>
      </c>
      <c r="AK47" s="99">
        <v>25114.797589741047</v>
      </c>
      <c r="AL47" s="99">
        <v>10</v>
      </c>
      <c r="AM47" s="99">
        <v>15276</v>
      </c>
      <c r="AN47" s="99">
        <v>16</v>
      </c>
      <c r="AO47" s="99">
        <v>24441.599999999999</v>
      </c>
      <c r="AP47" s="99">
        <v>13</v>
      </c>
      <c r="AQ47" s="99">
        <v>19858.8</v>
      </c>
      <c r="AR47" s="99">
        <v>7.6025526189356887</v>
      </c>
      <c r="AS47" s="99">
        <v>11613.659380686157</v>
      </c>
      <c r="AT47" s="99">
        <v>8.3636713764858754</v>
      </c>
      <c r="AU47" s="99">
        <v>12776.344394719823</v>
      </c>
      <c r="AV47" s="99">
        <v>15.018842498781677</v>
      </c>
      <c r="AW47" s="99">
        <v>22942.783801138889</v>
      </c>
      <c r="AX47" s="99">
        <v>18.285726992259132</v>
      </c>
      <c r="AY47" s="99">
        <v>27933.27655337505</v>
      </c>
      <c r="AZ47" s="99">
        <v>13.463156176046239</v>
      </c>
      <c r="BA47" s="99">
        <v>20566.317374528233</v>
      </c>
      <c r="BB47" s="99">
        <v>9.2257007496808203</v>
      </c>
      <c r="BC47" s="99">
        <v>14093.180465212421</v>
      </c>
      <c r="BD47" s="99">
        <v>17.224994283519468</v>
      </c>
      <c r="BE47" s="99">
        <v>26312.901267504338</v>
      </c>
      <c r="BF47" s="99">
        <v>5.5109374457041387</v>
      </c>
      <c r="BG47" s="99">
        <v>8418.5080420576414</v>
      </c>
      <c r="BH47" s="99">
        <v>6.1957131406750312</v>
      </c>
      <c r="BI47" s="99">
        <v>9464.5713936951779</v>
      </c>
      <c r="BJ47" s="99">
        <v>13.38065079583272</v>
      </c>
      <c r="BK47" s="99">
        <v>20440.282155714063</v>
      </c>
      <c r="BL47" s="99">
        <v>19</v>
      </c>
      <c r="BM47" s="99">
        <v>29024.399999999998</v>
      </c>
      <c r="BN47" s="99">
        <v>10</v>
      </c>
      <c r="BO47" s="99">
        <v>15276</v>
      </c>
      <c r="BP47" s="99">
        <v>13.332765968395844</v>
      </c>
      <c r="BQ47" s="99">
        <v>20367.133293321491</v>
      </c>
      <c r="BR47" s="99">
        <v>6.0485820363075247</v>
      </c>
      <c r="BS47" s="99">
        <v>9239.8139186633744</v>
      </c>
      <c r="BT47" s="99">
        <v>13.184838924127135</v>
      </c>
      <c r="BU47" s="99">
        <v>20141.159940496611</v>
      </c>
      <c r="BV47" s="99">
        <v>10.640324273134826</v>
      </c>
      <c r="BW47" s="99">
        <v>16254.15935964076</v>
      </c>
      <c r="BX47" s="99">
        <v>12.128256166233925</v>
      </c>
      <c r="BY47" s="99">
        <v>18527.124119538941</v>
      </c>
      <c r="BZ47" s="99">
        <v>12.009311602847397</v>
      </c>
      <c r="CA47" s="99">
        <v>18345.424404509682</v>
      </c>
      <c r="CB47" s="99">
        <v>14</v>
      </c>
      <c r="CC47" s="99">
        <v>21386.399999999998</v>
      </c>
      <c r="CD47" s="99">
        <v>15.666865156575355</v>
      </c>
      <c r="CE47" s="99">
        <v>23932.703213184512</v>
      </c>
      <c r="CF47" s="99">
        <v>11.52741825128596</v>
      </c>
      <c r="CG47" s="99">
        <v>17609.28412066443</v>
      </c>
      <c r="CH47" s="99">
        <v>3.1856702521063132</v>
      </c>
      <c r="CI47" s="99">
        <v>4866.4298771176036</v>
      </c>
      <c r="CJ47" s="99">
        <v>13.367042953409651</v>
      </c>
      <c r="CK47" s="99">
        <v>20419.494815628583</v>
      </c>
      <c r="CL47" s="99">
        <v>11.481937677271643</v>
      </c>
      <c r="CM47" s="99">
        <v>17539.807995800162</v>
      </c>
      <c r="CN47" s="99">
        <v>14</v>
      </c>
      <c r="CO47" s="99">
        <v>21386.399999999998</v>
      </c>
      <c r="CP47" s="99">
        <v>10.577702167285393</v>
      </c>
      <c r="CQ47" s="99">
        <v>16158.497830745166</v>
      </c>
      <c r="CR47" s="99">
        <v>14.150963483104043</v>
      </c>
      <c r="CS47" s="99">
        <v>21617.011816789734</v>
      </c>
      <c r="CT47" s="99">
        <v>13.558698280151448</v>
      </c>
      <c r="CU47" s="99">
        <v>20712.267492759351</v>
      </c>
    </row>
    <row r="48" spans="2:99">
      <c r="C48" s="98" t="s">
        <v>214</v>
      </c>
      <c r="D48" s="99">
        <v>10</v>
      </c>
      <c r="E48" s="99">
        <v>8676</v>
      </c>
      <c r="F48" s="99">
        <v>13.032162986811928</v>
      </c>
      <c r="G48" s="99">
        <v>11306.70460735803</v>
      </c>
      <c r="H48" s="99">
        <v>10.408462097578777</v>
      </c>
      <c r="I48" s="99">
        <v>9030.3817158593465</v>
      </c>
      <c r="J48" s="99">
        <v>16</v>
      </c>
      <c r="K48" s="99">
        <v>13881.6</v>
      </c>
      <c r="L48" s="99">
        <v>8.8794255126470958</v>
      </c>
      <c r="M48" s="99">
        <v>7703.7895747726207</v>
      </c>
      <c r="N48" s="99">
        <v>13</v>
      </c>
      <c r="O48" s="99">
        <v>11278.800000000001</v>
      </c>
      <c r="P48" s="99">
        <v>18</v>
      </c>
      <c r="Q48" s="99">
        <v>15616.800000000001</v>
      </c>
      <c r="R48" s="99">
        <v>13</v>
      </c>
      <c r="S48" s="99">
        <v>11278.800000000001</v>
      </c>
      <c r="T48" s="99">
        <v>9.2156356026696997</v>
      </c>
      <c r="U48" s="99">
        <v>7995.4854488762321</v>
      </c>
      <c r="V48" s="99">
        <v>13</v>
      </c>
      <c r="W48" s="99">
        <v>11278.800000000001</v>
      </c>
      <c r="X48" s="99">
        <v>17</v>
      </c>
      <c r="Y48" s="99">
        <v>14749.2</v>
      </c>
      <c r="Z48" s="99">
        <v>20</v>
      </c>
      <c r="AA48" s="99">
        <v>17352</v>
      </c>
      <c r="AB48" s="99">
        <v>12.845250788145645</v>
      </c>
      <c r="AC48" s="99">
        <v>11144.539583795162</v>
      </c>
      <c r="AD48" s="99">
        <v>11.443952283241687</v>
      </c>
      <c r="AE48" s="99">
        <v>9928.7730009404877</v>
      </c>
      <c r="AF48" s="99">
        <v>11.581058456112613</v>
      </c>
      <c r="AG48" s="99">
        <v>10047.726316523303</v>
      </c>
      <c r="AH48" s="99">
        <v>11.771358492998335</v>
      </c>
      <c r="AI48" s="99">
        <v>10212.830628525355</v>
      </c>
      <c r="AJ48" s="99">
        <v>15.528827643158721</v>
      </c>
      <c r="AK48" s="99">
        <v>13472.810863204506</v>
      </c>
      <c r="AL48" s="99">
        <v>10</v>
      </c>
      <c r="AM48" s="99">
        <v>8676</v>
      </c>
      <c r="AN48" s="99">
        <v>16</v>
      </c>
      <c r="AO48" s="99">
        <v>13881.6</v>
      </c>
      <c r="AP48" s="99">
        <v>13</v>
      </c>
      <c r="AQ48" s="99">
        <v>11278.800000000001</v>
      </c>
      <c r="AR48" s="99">
        <v>8.7110970159945058</v>
      </c>
      <c r="AS48" s="99">
        <v>7557.7477710768335</v>
      </c>
      <c r="AT48" s="99">
        <v>9.0107366354185672</v>
      </c>
      <c r="AU48" s="99">
        <v>7817.7151048891492</v>
      </c>
      <c r="AV48" s="99">
        <v>16.084192688790921</v>
      </c>
      <c r="AW48" s="99">
        <v>13954.645576795003</v>
      </c>
      <c r="AX48" s="99">
        <v>20.285726992259132</v>
      </c>
      <c r="AY48" s="99">
        <v>17599.896738484025</v>
      </c>
      <c r="AZ48" s="99">
        <v>12.715203055154781</v>
      </c>
      <c r="BA48" s="99">
        <v>11031.710170652288</v>
      </c>
      <c r="BB48" s="99">
        <v>9.2574111210356484</v>
      </c>
      <c r="BC48" s="99">
        <v>8031.7298886105291</v>
      </c>
      <c r="BD48" s="99">
        <v>20.399993466879391</v>
      </c>
      <c r="BE48" s="99">
        <v>17699.034331864561</v>
      </c>
      <c r="BF48" s="99">
        <v>6.3587739758124684</v>
      </c>
      <c r="BG48" s="99">
        <v>5516.8723014148982</v>
      </c>
      <c r="BH48" s="99">
        <v>6.7217853665873122</v>
      </c>
      <c r="BI48" s="99">
        <v>5831.8209840511518</v>
      </c>
      <c r="BJ48" s="99">
        <v>14.38065079583272</v>
      </c>
      <c r="BK48" s="99">
        <v>12476.652630464469</v>
      </c>
      <c r="BL48" s="99">
        <v>19</v>
      </c>
      <c r="BM48" s="99">
        <v>16484.400000000001</v>
      </c>
      <c r="BN48" s="99">
        <v>11</v>
      </c>
      <c r="BO48" s="99">
        <v>9543.6</v>
      </c>
      <c r="BP48" s="99">
        <v>14.388226963128483</v>
      </c>
      <c r="BQ48" s="99">
        <v>12483.225713210273</v>
      </c>
      <c r="BR48" s="99">
        <v>6.0491409877711169</v>
      </c>
      <c r="BS48" s="99">
        <v>5248.2347209902209</v>
      </c>
      <c r="BT48" s="99">
        <v>14.345087067288441</v>
      </c>
      <c r="BU48" s="99">
        <v>12445.797539579451</v>
      </c>
      <c r="BV48" s="99">
        <v>12.635830510375792</v>
      </c>
      <c r="BW48" s="99">
        <v>10962.846550802038</v>
      </c>
      <c r="BX48" s="99">
        <v>13.12580873311215</v>
      </c>
      <c r="BY48" s="99">
        <v>11387.951656848101</v>
      </c>
      <c r="BZ48" s="99">
        <v>13.009311602847397</v>
      </c>
      <c r="CA48" s="99">
        <v>11286.878746630402</v>
      </c>
      <c r="CB48" s="99">
        <v>15</v>
      </c>
      <c r="CC48" s="99">
        <v>13014</v>
      </c>
      <c r="CD48" s="99">
        <v>14.702258116345027</v>
      </c>
      <c r="CE48" s="99">
        <v>12755.679141740946</v>
      </c>
      <c r="CF48" s="99">
        <v>12.30044006420124</v>
      </c>
      <c r="CG48" s="99">
        <v>10671.861799700997</v>
      </c>
      <c r="CH48" s="99">
        <v>3.7166152941240327</v>
      </c>
      <c r="CI48" s="99">
        <v>3224.5354291820108</v>
      </c>
      <c r="CJ48" s="99">
        <v>14.354339577841211</v>
      </c>
      <c r="CK48" s="99">
        <v>12453.825017735035</v>
      </c>
      <c r="CL48" s="99">
        <v>12.646597419190716</v>
      </c>
      <c r="CM48" s="99">
        <v>10972.187920889864</v>
      </c>
      <c r="CN48" s="99">
        <v>16</v>
      </c>
      <c r="CO48" s="99">
        <v>13881.6</v>
      </c>
      <c r="CP48" s="99">
        <v>12.37509624363925</v>
      </c>
      <c r="CQ48" s="99">
        <v>10736.633500981414</v>
      </c>
      <c r="CR48" s="99">
        <v>14.150963483104043</v>
      </c>
      <c r="CS48" s="99">
        <v>12277.375917941068</v>
      </c>
      <c r="CT48" s="99">
        <v>14.259741110169882</v>
      </c>
      <c r="CU48" s="99">
        <v>12371.751387183391</v>
      </c>
    </row>
    <row r="49" spans="2:99">
      <c r="B49" s="98" t="s">
        <v>129</v>
      </c>
      <c r="C49" s="98" t="s">
        <v>215</v>
      </c>
      <c r="D49" s="99">
        <v>6</v>
      </c>
      <c r="E49" s="99">
        <v>5911.2</v>
      </c>
      <c r="F49" s="99">
        <v>6</v>
      </c>
      <c r="G49" s="99">
        <v>5911.2</v>
      </c>
      <c r="H49" s="99">
        <v>9</v>
      </c>
      <c r="I49" s="99">
        <v>8866.7999999999993</v>
      </c>
      <c r="J49" s="99">
        <v>7</v>
      </c>
      <c r="K49" s="99">
        <v>6896.4</v>
      </c>
      <c r="L49" s="99">
        <v>10</v>
      </c>
      <c r="M49" s="99">
        <v>9852</v>
      </c>
      <c r="N49" s="99">
        <v>11</v>
      </c>
      <c r="O49" s="99">
        <v>10837.199999999999</v>
      </c>
      <c r="P49" s="99">
        <v>9</v>
      </c>
      <c r="Q49" s="99">
        <v>8866.7999999999993</v>
      </c>
      <c r="R49" s="99">
        <v>8</v>
      </c>
      <c r="S49" s="99">
        <v>7881.5999999999995</v>
      </c>
      <c r="T49" s="99">
        <v>9</v>
      </c>
      <c r="U49" s="99">
        <v>8866.7999999999993</v>
      </c>
      <c r="V49" s="99">
        <v>0.95012884785260276</v>
      </c>
      <c r="W49" s="99">
        <v>936.06694090438418</v>
      </c>
      <c r="X49" s="99">
        <v>7</v>
      </c>
      <c r="Y49" s="99">
        <v>6896.4</v>
      </c>
      <c r="Z49" s="99">
        <v>6</v>
      </c>
      <c r="AA49" s="99">
        <v>5911.2</v>
      </c>
      <c r="AB49" s="99">
        <v>6</v>
      </c>
      <c r="AC49" s="99">
        <v>5911.2</v>
      </c>
      <c r="AD49" s="99">
        <v>7</v>
      </c>
      <c r="AE49" s="99">
        <v>6896.4</v>
      </c>
      <c r="AF49" s="99">
        <v>7</v>
      </c>
      <c r="AG49" s="99">
        <v>6896.4</v>
      </c>
      <c r="AH49" s="99">
        <v>6.4513666786555142</v>
      </c>
      <c r="AI49" s="99">
        <v>6355.8864518114124</v>
      </c>
      <c r="AJ49" s="99">
        <v>9</v>
      </c>
      <c r="AK49" s="99">
        <v>8866.7999999999993</v>
      </c>
      <c r="AL49" s="99">
        <v>7</v>
      </c>
      <c r="AM49" s="99">
        <v>6896.4</v>
      </c>
      <c r="AN49" s="99">
        <v>2.6034627440336373</v>
      </c>
      <c r="AO49" s="99">
        <v>2564.9314954219394</v>
      </c>
      <c r="AP49" s="99">
        <v>8</v>
      </c>
      <c r="AQ49" s="99">
        <v>7881.5999999999995</v>
      </c>
      <c r="AR49" s="99">
        <v>8</v>
      </c>
      <c r="AS49" s="99">
        <v>7881.5999999999995</v>
      </c>
      <c r="AT49" s="99">
        <v>6</v>
      </c>
      <c r="AU49" s="99">
        <v>5911.2</v>
      </c>
      <c r="AV49" s="99">
        <v>5.8748996280647052</v>
      </c>
      <c r="AW49" s="99">
        <v>5787.9511135693474</v>
      </c>
      <c r="AX49" s="99">
        <v>7</v>
      </c>
      <c r="AY49" s="99">
        <v>6896.4</v>
      </c>
      <c r="AZ49" s="99">
        <v>7</v>
      </c>
      <c r="BA49" s="99">
        <v>6896.4</v>
      </c>
      <c r="BB49" s="99">
        <v>5</v>
      </c>
      <c r="BC49" s="99">
        <v>4926</v>
      </c>
      <c r="BD49" s="99">
        <v>5.0496339473223486</v>
      </c>
      <c r="BE49" s="99">
        <v>4974.8993649019776</v>
      </c>
      <c r="BF49" s="99">
        <v>1.7111201210726484E-2</v>
      </c>
      <c r="BG49" s="99">
        <v>16.857955432807731</v>
      </c>
      <c r="BH49" s="99">
        <v>11</v>
      </c>
      <c r="BI49" s="99">
        <v>10837.199999999999</v>
      </c>
      <c r="BJ49" s="99">
        <v>7</v>
      </c>
      <c r="BK49" s="99">
        <v>6896.4</v>
      </c>
      <c r="BL49" s="99">
        <v>10</v>
      </c>
      <c r="BM49" s="99">
        <v>9852</v>
      </c>
      <c r="BN49" s="99">
        <v>10</v>
      </c>
      <c r="BO49" s="99">
        <v>9852</v>
      </c>
      <c r="BP49" s="99">
        <v>10</v>
      </c>
      <c r="BQ49" s="99">
        <v>9852</v>
      </c>
      <c r="BR49" s="99">
        <v>9</v>
      </c>
      <c r="BS49" s="99">
        <v>8866.7999999999993</v>
      </c>
      <c r="BT49" s="99">
        <v>7</v>
      </c>
      <c r="BU49" s="99">
        <v>6896.4</v>
      </c>
      <c r="BV49" s="99">
        <v>8</v>
      </c>
      <c r="BW49" s="99">
        <v>7881.5999999999995</v>
      </c>
      <c r="BX49" s="99">
        <v>2.4022894147549207</v>
      </c>
      <c r="BY49" s="99">
        <v>2366.7355314165479</v>
      </c>
      <c r="BZ49" s="99">
        <v>9</v>
      </c>
      <c r="CA49" s="99">
        <v>8866.7999999999993</v>
      </c>
      <c r="CB49" s="99">
        <v>5.2401602918430141</v>
      </c>
      <c r="CC49" s="99">
        <v>5162.6059195237376</v>
      </c>
      <c r="CD49" s="99">
        <v>1.0113529523609163E-15</v>
      </c>
      <c r="CE49" s="99">
        <v>9.9638492866597467E-13</v>
      </c>
      <c r="CF49" s="99">
        <v>10</v>
      </c>
      <c r="CG49" s="99">
        <v>9852</v>
      </c>
      <c r="CH49" s="99">
        <v>6</v>
      </c>
      <c r="CI49" s="99">
        <v>5911.2</v>
      </c>
      <c r="CJ49" s="99">
        <v>6</v>
      </c>
      <c r="CK49" s="99">
        <v>5911.2</v>
      </c>
      <c r="CL49" s="99">
        <v>8</v>
      </c>
      <c r="CM49" s="99">
        <v>7881.5999999999995</v>
      </c>
      <c r="CN49" s="99">
        <v>6.4483417203089495</v>
      </c>
      <c r="CO49" s="99">
        <v>6352.9062628483762</v>
      </c>
      <c r="CP49" s="99">
        <v>9.5471910983982404</v>
      </c>
      <c r="CQ49" s="99">
        <v>9405.8926701419459</v>
      </c>
      <c r="CR49" s="99">
        <v>8</v>
      </c>
      <c r="CS49" s="99">
        <v>7881.5999999999995</v>
      </c>
      <c r="CT49" s="99">
        <v>7.7289066806995939</v>
      </c>
      <c r="CU49" s="99">
        <v>7614.5188618252396</v>
      </c>
    </row>
    <row r="50" spans="2:99">
      <c r="C50" s="98" t="s">
        <v>216</v>
      </c>
      <c r="D50" s="99">
        <v>8</v>
      </c>
      <c r="E50" s="99">
        <v>2256</v>
      </c>
      <c r="F50" s="99">
        <v>5.7015713067302185</v>
      </c>
      <c r="G50" s="99">
        <v>1607.8431084979215</v>
      </c>
      <c r="H50" s="99">
        <v>10.408462097578777</v>
      </c>
      <c r="I50" s="99">
        <v>2935.186311517215</v>
      </c>
      <c r="J50" s="99">
        <v>7</v>
      </c>
      <c r="K50" s="99">
        <v>1974</v>
      </c>
      <c r="L50" s="99">
        <v>6.5244368157931865</v>
      </c>
      <c r="M50" s="99">
        <v>1839.8911820536787</v>
      </c>
      <c r="N50" s="99">
        <v>11</v>
      </c>
      <c r="O50" s="99">
        <v>3102</v>
      </c>
      <c r="P50" s="99">
        <v>11</v>
      </c>
      <c r="Q50" s="99">
        <v>3102</v>
      </c>
      <c r="R50" s="99">
        <v>8</v>
      </c>
      <c r="S50" s="99">
        <v>2256</v>
      </c>
      <c r="T50" s="99">
        <v>9.2156356026696997</v>
      </c>
      <c r="U50" s="99">
        <v>2598.8092399528555</v>
      </c>
      <c r="V50" s="99">
        <v>7</v>
      </c>
      <c r="W50" s="99">
        <v>1974</v>
      </c>
      <c r="X50" s="99">
        <v>6</v>
      </c>
      <c r="Y50" s="99">
        <v>1692</v>
      </c>
      <c r="Z50" s="99">
        <v>6</v>
      </c>
      <c r="AA50" s="99">
        <v>1692</v>
      </c>
      <c r="AB50" s="99">
        <v>4.2817502627152146</v>
      </c>
      <c r="AC50" s="99">
        <v>1207.4535740856904</v>
      </c>
      <c r="AD50" s="99">
        <v>5.0891207386903972</v>
      </c>
      <c r="AE50" s="99">
        <v>1435.132048310692</v>
      </c>
      <c r="AF50" s="99">
        <v>7.8204591757313935</v>
      </c>
      <c r="AG50" s="99">
        <v>2205.3694875562528</v>
      </c>
      <c r="AH50" s="99">
        <v>10.809824923126797</v>
      </c>
      <c r="AI50" s="99">
        <v>3048.3706283217566</v>
      </c>
      <c r="AJ50" s="99">
        <v>10.352551762105813</v>
      </c>
      <c r="AK50" s="99">
        <v>2919.4195969138395</v>
      </c>
      <c r="AL50" s="99">
        <v>7</v>
      </c>
      <c r="AM50" s="99">
        <v>1974</v>
      </c>
      <c r="AN50" s="99">
        <v>10</v>
      </c>
      <c r="AO50" s="99">
        <v>2820</v>
      </c>
      <c r="AP50" s="99">
        <v>9</v>
      </c>
      <c r="AQ50" s="99">
        <v>2538</v>
      </c>
      <c r="AR50" s="99">
        <v>5.9407116079776019</v>
      </c>
      <c r="AS50" s="99">
        <v>1675.2806734496837</v>
      </c>
      <c r="AT50" s="99">
        <v>5.3249424368624529</v>
      </c>
      <c r="AU50" s="99">
        <v>1501.6337671952117</v>
      </c>
      <c r="AV50" s="99">
        <v>5.1722077730297462</v>
      </c>
      <c r="AW50" s="99">
        <v>1458.5625919943884</v>
      </c>
      <c r="AX50" s="99">
        <v>8.96429524419435</v>
      </c>
      <c r="AY50" s="99">
        <v>2527.9312588628068</v>
      </c>
      <c r="AZ50" s="99">
        <v>5.2356718462402041</v>
      </c>
      <c r="BA50" s="99">
        <v>1476.4594606397375</v>
      </c>
      <c r="BB50" s="99">
        <v>4.3871231989625121</v>
      </c>
      <c r="BC50" s="99">
        <v>1237.1687421074284</v>
      </c>
      <c r="BD50" s="99">
        <v>13.049995100159544</v>
      </c>
      <c r="BE50" s="99">
        <v>3680.0986182449915</v>
      </c>
      <c r="BF50" s="99">
        <v>3.110242816073348</v>
      </c>
      <c r="BG50" s="99">
        <v>877.08847413268415</v>
      </c>
      <c r="BH50" s="99">
        <v>5.7813440704703094</v>
      </c>
      <c r="BI50" s="99">
        <v>1630.3390278726272</v>
      </c>
      <c r="BJ50" s="99">
        <v>7.7670282199070666</v>
      </c>
      <c r="BK50" s="99">
        <v>2190.301958013793</v>
      </c>
      <c r="BL50" s="99">
        <v>10</v>
      </c>
      <c r="BM50" s="99">
        <v>2820</v>
      </c>
      <c r="BN50" s="99">
        <v>11</v>
      </c>
      <c r="BO50" s="99">
        <v>3102</v>
      </c>
      <c r="BP50" s="99">
        <v>12.221843978930561</v>
      </c>
      <c r="BQ50" s="99">
        <v>3446.5600020584184</v>
      </c>
      <c r="BR50" s="99">
        <v>5.4031014757389224</v>
      </c>
      <c r="BS50" s="99">
        <v>1523.674616158376</v>
      </c>
      <c r="BT50" s="99">
        <v>6.8997605309369812</v>
      </c>
      <c r="BU50" s="99">
        <v>1945.7324697242286</v>
      </c>
      <c r="BV50" s="99">
        <v>8.7324390256895121</v>
      </c>
      <c r="BW50" s="99">
        <v>2462.5478052444423</v>
      </c>
      <c r="BX50" s="99">
        <v>6.6443385507231465</v>
      </c>
      <c r="BY50" s="99">
        <v>1873.7034713039272</v>
      </c>
      <c r="BZ50" s="99">
        <v>10.57674948734137</v>
      </c>
      <c r="CA50" s="99">
        <v>2982.6433554302666</v>
      </c>
      <c r="CB50" s="99">
        <v>6</v>
      </c>
      <c r="CC50" s="99">
        <v>1692</v>
      </c>
      <c r="CD50" s="99">
        <v>10.843829955423701</v>
      </c>
      <c r="CE50" s="99">
        <v>3057.9600474294834</v>
      </c>
      <c r="CF50" s="99">
        <v>10.309310324650747</v>
      </c>
      <c r="CG50" s="99">
        <v>2907.2255115515109</v>
      </c>
      <c r="CH50" s="99">
        <v>1.5928351260531566</v>
      </c>
      <c r="CI50" s="99">
        <v>449.17950554699013</v>
      </c>
      <c r="CJ50" s="99">
        <v>7.4629923631647372</v>
      </c>
      <c r="CK50" s="99">
        <v>2104.5638464124559</v>
      </c>
      <c r="CL50" s="99">
        <v>9.9879584515144284</v>
      </c>
      <c r="CM50" s="99">
        <v>2816.604283327069</v>
      </c>
      <c r="CN50" s="99">
        <v>7</v>
      </c>
      <c r="CO50" s="99">
        <v>1974</v>
      </c>
      <c r="CP50" s="99">
        <v>12.147848845708374</v>
      </c>
      <c r="CQ50" s="99">
        <v>3425.6933744897615</v>
      </c>
      <c r="CR50" s="99">
        <v>7.713422190834895</v>
      </c>
      <c r="CS50" s="99">
        <v>2175.1850578154404</v>
      </c>
      <c r="CT50" s="99">
        <v>6.9922594127899522</v>
      </c>
      <c r="CU50" s="99">
        <v>1971.8171544067666</v>
      </c>
    </row>
    <row r="51" spans="2:99">
      <c r="C51" s="98" t="s">
        <v>217</v>
      </c>
      <c r="D51" s="99">
        <v>7</v>
      </c>
      <c r="E51" s="99">
        <v>5980.8</v>
      </c>
      <c r="F51" s="99">
        <v>4.8870611200544731</v>
      </c>
      <c r="G51" s="99">
        <v>4175.5050209745414</v>
      </c>
      <c r="H51" s="99">
        <v>9.4622382705261607</v>
      </c>
      <c r="I51" s="99">
        <v>8084.5363783375515</v>
      </c>
      <c r="J51" s="99">
        <v>6</v>
      </c>
      <c r="K51" s="99">
        <v>5126.3999999999996</v>
      </c>
      <c r="L51" s="99">
        <v>7.1586814952679791</v>
      </c>
      <c r="M51" s="99">
        <v>6116.3774695569609</v>
      </c>
      <c r="N51" s="99">
        <v>11</v>
      </c>
      <c r="O51" s="99">
        <v>9398.4</v>
      </c>
      <c r="P51" s="99">
        <v>10</v>
      </c>
      <c r="Q51" s="99">
        <v>8544</v>
      </c>
      <c r="R51" s="99">
        <v>8</v>
      </c>
      <c r="S51" s="99">
        <v>6835.2</v>
      </c>
      <c r="T51" s="99">
        <v>8.447665969113892</v>
      </c>
      <c r="U51" s="99">
        <v>7217.6858040109091</v>
      </c>
      <c r="V51" s="99">
        <v>7</v>
      </c>
      <c r="W51" s="99">
        <v>5980.8</v>
      </c>
      <c r="X51" s="99">
        <v>6</v>
      </c>
      <c r="Y51" s="99">
        <v>5126.3999999999996</v>
      </c>
      <c r="Z51" s="99">
        <v>6</v>
      </c>
      <c r="AA51" s="99">
        <v>5126.3999999999996</v>
      </c>
      <c r="AB51" s="99">
        <v>3.6700716537558984</v>
      </c>
      <c r="AC51" s="99">
        <v>3135.7092209690395</v>
      </c>
      <c r="AD51" s="99">
        <v>5.0148821759024118</v>
      </c>
      <c r="AE51" s="99">
        <v>4284.7153310910207</v>
      </c>
      <c r="AF51" s="99">
        <v>6.9645248472415995</v>
      </c>
      <c r="AG51" s="99">
        <v>5950.4900294832223</v>
      </c>
      <c r="AH51" s="99">
        <v>9.8464393127696681</v>
      </c>
      <c r="AI51" s="99">
        <v>8412.7977488304041</v>
      </c>
      <c r="AJ51" s="99">
        <v>11.352551762105813</v>
      </c>
      <c r="AK51" s="99">
        <v>9699.6202255432072</v>
      </c>
      <c r="AL51" s="99">
        <v>6</v>
      </c>
      <c r="AM51" s="99">
        <v>5126.3999999999996</v>
      </c>
      <c r="AN51" s="99">
        <v>11</v>
      </c>
      <c r="AO51" s="99">
        <v>9398.4</v>
      </c>
      <c r="AP51" s="99">
        <v>8</v>
      </c>
      <c r="AQ51" s="99">
        <v>6835.2</v>
      </c>
      <c r="AR51" s="99">
        <v>4.8321672109187848</v>
      </c>
      <c r="AS51" s="99">
        <v>4128.60366500901</v>
      </c>
      <c r="AT51" s="99">
        <v>4.6778771779297612</v>
      </c>
      <c r="AU51" s="99">
        <v>3996.7782608231878</v>
      </c>
      <c r="AV51" s="99">
        <v>5.9028184830447659</v>
      </c>
      <c r="AW51" s="99">
        <v>5043.368111913448</v>
      </c>
      <c r="AX51" s="99">
        <v>8.96429524419435</v>
      </c>
      <c r="AY51" s="99">
        <v>7659.0938566396526</v>
      </c>
      <c r="AZ51" s="99">
        <v>5.9836249671316617</v>
      </c>
      <c r="BA51" s="99">
        <v>5112.409171917292</v>
      </c>
      <c r="BB51" s="99">
        <v>4.3871231989625121</v>
      </c>
      <c r="BC51" s="99">
        <v>3748.3580611935704</v>
      </c>
      <c r="BD51" s="99">
        <v>11.049995100159544</v>
      </c>
      <c r="BE51" s="99">
        <v>9441.1158135763144</v>
      </c>
      <c r="BF51" s="99">
        <v>3.0943744871073262</v>
      </c>
      <c r="BG51" s="99">
        <v>2643.8335617844996</v>
      </c>
      <c r="BH51" s="99">
        <v>5.3632683487399717</v>
      </c>
      <c r="BI51" s="99">
        <v>4582.3764771634314</v>
      </c>
      <c r="BJ51" s="99">
        <v>7.9204338638884799</v>
      </c>
      <c r="BK51" s="99">
        <v>6767.2186933063167</v>
      </c>
      <c r="BL51" s="99">
        <v>10</v>
      </c>
      <c r="BM51" s="99">
        <v>8544</v>
      </c>
      <c r="BN51" s="99">
        <v>12</v>
      </c>
      <c r="BO51" s="99">
        <v>10252.799999999999</v>
      </c>
      <c r="BP51" s="99">
        <v>11.221843978930561</v>
      </c>
      <c r="BQ51" s="99">
        <v>9587.9434955982706</v>
      </c>
      <c r="BR51" s="99">
        <v>4.9323217517462403</v>
      </c>
      <c r="BS51" s="99">
        <v>4214.1757046919874</v>
      </c>
      <c r="BT51" s="99">
        <v>6.8987485911331969</v>
      </c>
      <c r="BU51" s="99">
        <v>5894.290796264203</v>
      </c>
      <c r="BV51" s="99">
        <v>8.6178554593396512</v>
      </c>
      <c r="BW51" s="99">
        <v>7363.0957044597981</v>
      </c>
      <c r="BX51" s="99">
        <v>7.4825128815364854</v>
      </c>
      <c r="BY51" s="99">
        <v>6393.0590059847727</v>
      </c>
      <c r="BZ51" s="99">
        <v>9.5767494873413703</v>
      </c>
      <c r="CA51" s="99">
        <v>8182.3747619844662</v>
      </c>
      <c r="CB51" s="99">
        <v>6</v>
      </c>
      <c r="CC51" s="99">
        <v>5126.3999999999996</v>
      </c>
      <c r="CD51" s="99">
        <v>8.6814633620729786</v>
      </c>
      <c r="CE51" s="99">
        <v>7417.442296555153</v>
      </c>
      <c r="CF51" s="99">
        <v>10.301302972085665</v>
      </c>
      <c r="CG51" s="99">
        <v>8801.4332593499912</v>
      </c>
      <c r="CH51" s="99">
        <v>1.5928351260531566</v>
      </c>
      <c r="CI51" s="99">
        <v>1360.9183316998169</v>
      </c>
      <c r="CJ51" s="99">
        <v>6.4756957387331759</v>
      </c>
      <c r="CK51" s="99">
        <v>5532.8344391736255</v>
      </c>
      <c r="CL51" s="99">
        <v>8.9879584515144284</v>
      </c>
      <c r="CM51" s="99">
        <v>7679.3117009739271</v>
      </c>
      <c r="CN51" s="99">
        <v>7</v>
      </c>
      <c r="CO51" s="99">
        <v>5980.8</v>
      </c>
      <c r="CP51" s="99">
        <v>10.123207371423646</v>
      </c>
      <c r="CQ51" s="99">
        <v>8649.2683781443629</v>
      </c>
      <c r="CR51" s="99">
        <v>6.9087295293012509</v>
      </c>
      <c r="CS51" s="99">
        <v>5902.8185098349886</v>
      </c>
      <c r="CT51" s="99">
        <v>6.184761446414405</v>
      </c>
      <c r="CU51" s="99">
        <v>5284.2601798164678</v>
      </c>
    </row>
    <row r="52" spans="2:99">
      <c r="C52" s="98" t="s">
        <v>218</v>
      </c>
      <c r="D52" s="99">
        <v>7</v>
      </c>
      <c r="E52" s="99">
        <v>3780</v>
      </c>
      <c r="F52" s="99">
        <v>4.8870611200544731</v>
      </c>
      <c r="G52" s="99">
        <v>2639.0130048294154</v>
      </c>
      <c r="H52" s="99">
        <v>10.408462097578777</v>
      </c>
      <c r="I52" s="99">
        <v>5620.5695326925397</v>
      </c>
      <c r="J52" s="99">
        <v>7</v>
      </c>
      <c r="K52" s="99">
        <v>3780</v>
      </c>
      <c r="L52" s="99">
        <v>7.1586814952679791</v>
      </c>
      <c r="M52" s="99">
        <v>3865.6880074447085</v>
      </c>
      <c r="N52" s="99">
        <v>11</v>
      </c>
      <c r="O52" s="99">
        <v>5940</v>
      </c>
      <c r="P52" s="99">
        <v>11</v>
      </c>
      <c r="Q52" s="99">
        <v>5940</v>
      </c>
      <c r="R52" s="99">
        <v>8</v>
      </c>
      <c r="S52" s="99">
        <v>4320</v>
      </c>
      <c r="T52" s="99">
        <v>7.6796963355580834</v>
      </c>
      <c r="U52" s="99">
        <v>4147.0360212013647</v>
      </c>
      <c r="V52" s="99">
        <v>7</v>
      </c>
      <c r="W52" s="99">
        <v>3780</v>
      </c>
      <c r="X52" s="99">
        <v>8</v>
      </c>
      <c r="Y52" s="99">
        <v>4320</v>
      </c>
      <c r="Z52" s="99">
        <v>5</v>
      </c>
      <c r="AA52" s="99">
        <v>2700</v>
      </c>
      <c r="AB52" s="99">
        <v>4.2817502627152146</v>
      </c>
      <c r="AC52" s="99">
        <v>2312.1451418662159</v>
      </c>
      <c r="AD52" s="99">
        <v>5.8749431802536094</v>
      </c>
      <c r="AE52" s="99">
        <v>3172.4693173369492</v>
      </c>
      <c r="AF52" s="99">
        <v>6.9645248472415995</v>
      </c>
      <c r="AG52" s="99">
        <v>3760.8434175104635</v>
      </c>
      <c r="AH52" s="99">
        <v>10.809824923126797</v>
      </c>
      <c r="AI52" s="99">
        <v>5837.3054584884703</v>
      </c>
      <c r="AJ52" s="99">
        <v>11.352551762105813</v>
      </c>
      <c r="AK52" s="99">
        <v>6130.3779515371389</v>
      </c>
      <c r="AL52" s="99">
        <v>7</v>
      </c>
      <c r="AM52" s="99">
        <v>3780</v>
      </c>
      <c r="AN52" s="99">
        <v>10</v>
      </c>
      <c r="AO52" s="99">
        <v>5400</v>
      </c>
      <c r="AP52" s="99">
        <v>8</v>
      </c>
      <c r="AQ52" s="99">
        <v>4320</v>
      </c>
      <c r="AR52" s="99">
        <v>5.3864394094481929</v>
      </c>
      <c r="AS52" s="99">
        <v>2908.6772811020242</v>
      </c>
      <c r="AT52" s="99">
        <v>5.2212740152577615</v>
      </c>
      <c r="AU52" s="99">
        <v>2819.4879682391911</v>
      </c>
      <c r="AV52" s="99">
        <v>6.0610263923414278</v>
      </c>
      <c r="AW52" s="99">
        <v>3272.9542518643711</v>
      </c>
      <c r="AX52" s="99">
        <v>7.96429524419435</v>
      </c>
      <c r="AY52" s="99">
        <v>4300.719431864949</v>
      </c>
      <c r="AZ52" s="99">
        <v>5.9836249671316617</v>
      </c>
      <c r="BA52" s="99">
        <v>3231.1574822510975</v>
      </c>
      <c r="BB52" s="99">
        <v>4.0671230761304535</v>
      </c>
      <c r="BC52" s="99">
        <v>2196.2464611104451</v>
      </c>
      <c r="BD52" s="99">
        <v>12.224994283519468</v>
      </c>
      <c r="BE52" s="99">
        <v>6601.4969131005128</v>
      </c>
      <c r="BF52" s="99">
        <v>3.0943744871073262</v>
      </c>
      <c r="BG52" s="99">
        <v>1670.9622230379562</v>
      </c>
      <c r="BH52" s="99">
        <v>5.7777508874278292</v>
      </c>
      <c r="BI52" s="99">
        <v>3119.9854792110277</v>
      </c>
      <c r="BJ52" s="99">
        <v>8.9204338638884799</v>
      </c>
      <c r="BK52" s="99">
        <v>4817.0342864997792</v>
      </c>
      <c r="BL52" s="99">
        <v>9</v>
      </c>
      <c r="BM52" s="99">
        <v>4860</v>
      </c>
      <c r="BN52" s="99">
        <v>10</v>
      </c>
      <c r="BO52" s="99">
        <v>5400</v>
      </c>
      <c r="BP52" s="99">
        <v>12.221843978930561</v>
      </c>
      <c r="BQ52" s="99">
        <v>6599.7957486225032</v>
      </c>
      <c r="BR52" s="99">
        <v>4.4609830762899652</v>
      </c>
      <c r="BS52" s="99">
        <v>2408.9308611965812</v>
      </c>
      <c r="BT52" s="99">
        <v>7.8997605309369812</v>
      </c>
      <c r="BU52" s="99">
        <v>4265.87068670597</v>
      </c>
      <c r="BV52" s="99">
        <v>9.6133616965806166</v>
      </c>
      <c r="BW52" s="99">
        <v>5191.2153161535325</v>
      </c>
      <c r="BX52" s="99">
        <v>7.4825128815364854</v>
      </c>
      <c r="BY52" s="99">
        <v>4040.5569560297022</v>
      </c>
      <c r="BZ52" s="99">
        <v>10.57674948734137</v>
      </c>
      <c r="CA52" s="99">
        <v>5711.4447231643398</v>
      </c>
      <c r="CB52" s="99">
        <v>6</v>
      </c>
      <c r="CC52" s="99">
        <v>3240</v>
      </c>
      <c r="CD52" s="99">
        <v>10.843829955423701</v>
      </c>
      <c r="CE52" s="99">
        <v>5855.6681759287985</v>
      </c>
      <c r="CF52" s="99">
        <v>10.305306648368207</v>
      </c>
      <c r="CG52" s="99">
        <v>5564.8655901188322</v>
      </c>
      <c r="CH52" s="99">
        <v>1.5928351260531566</v>
      </c>
      <c r="CI52" s="99">
        <v>860.13096806870453</v>
      </c>
      <c r="CJ52" s="99">
        <v>6.5667422537883589</v>
      </c>
      <c r="CK52" s="99">
        <v>3546.040817045714</v>
      </c>
      <c r="CL52" s="99">
        <v>10.152618193433501</v>
      </c>
      <c r="CM52" s="99">
        <v>5482.41382445409</v>
      </c>
      <c r="CN52" s="99">
        <v>8</v>
      </c>
      <c r="CO52" s="99">
        <v>4320</v>
      </c>
      <c r="CP52" s="99">
        <v>10.236831070389082</v>
      </c>
      <c r="CQ52" s="99">
        <v>5527.888778010104</v>
      </c>
      <c r="CR52" s="99">
        <v>7.713422190834895</v>
      </c>
      <c r="CS52" s="99">
        <v>4165.2479830508437</v>
      </c>
      <c r="CT52" s="99">
        <v>6.9922594127899522</v>
      </c>
      <c r="CU52" s="99">
        <v>3775.820082906574</v>
      </c>
    </row>
    <row r="53" spans="2:99">
      <c r="C53" s="98" t="s">
        <v>219</v>
      </c>
      <c r="D53" s="99">
        <v>7</v>
      </c>
      <c r="E53" s="99">
        <v>2847.6</v>
      </c>
      <c r="F53" s="99">
        <v>5.7015713067302185</v>
      </c>
      <c r="G53" s="99">
        <v>2319.3992075778528</v>
      </c>
      <c r="H53" s="99">
        <v>10.408462097578777</v>
      </c>
      <c r="I53" s="99">
        <v>4234.1623812950465</v>
      </c>
      <c r="J53" s="99">
        <v>6</v>
      </c>
      <c r="K53" s="99">
        <v>2440.8000000000002</v>
      </c>
      <c r="L53" s="99">
        <v>6.5244368157931865</v>
      </c>
      <c r="M53" s="99">
        <v>2654.1408966646682</v>
      </c>
      <c r="N53" s="99">
        <v>11</v>
      </c>
      <c r="O53" s="99">
        <v>4474.8</v>
      </c>
      <c r="P53" s="99">
        <v>11</v>
      </c>
      <c r="Q53" s="99">
        <v>4474.8</v>
      </c>
      <c r="R53" s="99">
        <v>9</v>
      </c>
      <c r="S53" s="99">
        <v>3661.2000000000003</v>
      </c>
      <c r="T53" s="99">
        <v>9.2156356026696997</v>
      </c>
      <c r="U53" s="99">
        <v>3748.9205631660338</v>
      </c>
      <c r="V53" s="99">
        <v>7</v>
      </c>
      <c r="W53" s="99">
        <v>2847.6</v>
      </c>
      <c r="X53" s="99">
        <v>7</v>
      </c>
      <c r="Y53" s="99">
        <v>2847.6</v>
      </c>
      <c r="Z53" s="99">
        <v>6</v>
      </c>
      <c r="AA53" s="99">
        <v>2440.8000000000002</v>
      </c>
      <c r="AB53" s="99">
        <v>4.2817502627152146</v>
      </c>
      <c r="AC53" s="99">
        <v>1741.8160068725495</v>
      </c>
      <c r="AD53" s="99">
        <v>5.0891207386903972</v>
      </c>
      <c r="AE53" s="99">
        <v>2070.2543164992535</v>
      </c>
      <c r="AF53" s="99">
        <v>7.9700894832158706</v>
      </c>
      <c r="AG53" s="99">
        <v>3242.2324017722162</v>
      </c>
      <c r="AH53" s="99">
        <v>10.809207576298267</v>
      </c>
      <c r="AI53" s="99">
        <v>4397.1856420381346</v>
      </c>
      <c r="AJ53" s="99">
        <v>10.352551762105813</v>
      </c>
      <c r="AK53" s="99">
        <v>4211.4180568246447</v>
      </c>
      <c r="AL53" s="99">
        <v>7</v>
      </c>
      <c r="AM53" s="99">
        <v>2847.6</v>
      </c>
      <c r="AN53" s="99">
        <v>11</v>
      </c>
      <c r="AO53" s="99">
        <v>4474.8</v>
      </c>
      <c r="AP53" s="99">
        <v>8</v>
      </c>
      <c r="AQ53" s="99">
        <v>3254.4</v>
      </c>
      <c r="AR53" s="99">
        <v>5.9407116079776019</v>
      </c>
      <c r="AS53" s="99">
        <v>2416.6814821252883</v>
      </c>
      <c r="AT53" s="99">
        <v>5.2212740152577615</v>
      </c>
      <c r="AU53" s="99">
        <v>2124.0142694068572</v>
      </c>
      <c r="AV53" s="99">
        <v>5.8991537507645857</v>
      </c>
      <c r="AW53" s="99">
        <v>2399.7757458110336</v>
      </c>
      <c r="AX53" s="99">
        <v>8.96429524419435</v>
      </c>
      <c r="AY53" s="99">
        <v>3646.6753053382618</v>
      </c>
      <c r="AZ53" s="99">
        <v>5.9836249671316617</v>
      </c>
      <c r="BA53" s="99">
        <v>2434.1386366291599</v>
      </c>
      <c r="BB53" s="99">
        <v>4.3871231989625121</v>
      </c>
      <c r="BC53" s="99">
        <v>1784.68171733795</v>
      </c>
      <c r="BD53" s="99">
        <v>10.049995100159544</v>
      </c>
      <c r="BE53" s="99">
        <v>4088.3380067449025</v>
      </c>
      <c r="BF53" s="99">
        <v>2.6704562220531618</v>
      </c>
      <c r="BG53" s="99">
        <v>1086.3415911312263</v>
      </c>
      <c r="BH53" s="99">
        <v>6.2815749696330947</v>
      </c>
      <c r="BI53" s="99">
        <v>2555.344697646743</v>
      </c>
      <c r="BJ53" s="99">
        <v>7.9204338638884799</v>
      </c>
      <c r="BK53" s="99">
        <v>3222.0324958298338</v>
      </c>
      <c r="BL53" s="99">
        <v>11</v>
      </c>
      <c r="BM53" s="99">
        <v>4474.8</v>
      </c>
      <c r="BN53" s="99">
        <v>12</v>
      </c>
      <c r="BO53" s="99">
        <v>4881.6000000000004</v>
      </c>
      <c r="BP53" s="99">
        <v>11.221843978930561</v>
      </c>
      <c r="BQ53" s="99">
        <v>4565.0461306289526</v>
      </c>
      <c r="BR53" s="99">
        <v>4.9317628002826472</v>
      </c>
      <c r="BS53" s="99">
        <v>2006.2411071549809</v>
      </c>
      <c r="BT53" s="99">
        <v>8.0468534566490888</v>
      </c>
      <c r="BU53" s="99">
        <v>3273.4599861648494</v>
      </c>
      <c r="BV53" s="99">
        <v>9.6133616965806166</v>
      </c>
      <c r="BW53" s="99">
        <v>3910.715538168995</v>
      </c>
      <c r="BX53" s="99">
        <v>7.6000095303703006</v>
      </c>
      <c r="BY53" s="99">
        <v>3091.6838769546384</v>
      </c>
      <c r="BZ53" s="99">
        <v>10.57674948734137</v>
      </c>
      <c r="CA53" s="99">
        <v>4302.6216914504694</v>
      </c>
      <c r="CB53" s="99">
        <v>7</v>
      </c>
      <c r="CC53" s="99">
        <v>2847.6</v>
      </c>
      <c r="CD53" s="99">
        <v>9.6460704023033106</v>
      </c>
      <c r="CE53" s="99">
        <v>3924.0214396569868</v>
      </c>
      <c r="CF53" s="99">
        <v>11.118701580832445</v>
      </c>
      <c r="CG53" s="99">
        <v>4523.0878030826389</v>
      </c>
      <c r="CH53" s="99">
        <v>1.8583076470620163</v>
      </c>
      <c r="CI53" s="99">
        <v>755.95955082482828</v>
      </c>
      <c r="CJ53" s="99">
        <v>6.4756957387331759</v>
      </c>
      <c r="CK53" s="99">
        <v>2634.313026516656</v>
      </c>
      <c r="CL53" s="99">
        <v>10.823298709595358</v>
      </c>
      <c r="CM53" s="99">
        <v>4402.9179150633918</v>
      </c>
      <c r="CN53" s="99">
        <v>8</v>
      </c>
      <c r="CO53" s="99">
        <v>3254.4</v>
      </c>
      <c r="CP53" s="99">
        <v>11.192339958048729</v>
      </c>
      <c r="CQ53" s="99">
        <v>4553.0438949342233</v>
      </c>
      <c r="CR53" s="99">
        <v>6.9872609021399343</v>
      </c>
      <c r="CS53" s="99">
        <v>2842.4177349905253</v>
      </c>
      <c r="CT53" s="99">
        <v>6.9922594127899522</v>
      </c>
      <c r="CU53" s="99">
        <v>2844.4511291229528</v>
      </c>
    </row>
    <row r="54" spans="2:99">
      <c r="C54" s="98" t="s">
        <v>220</v>
      </c>
      <c r="D54" s="99">
        <v>7</v>
      </c>
      <c r="E54" s="99">
        <v>2343.6</v>
      </c>
      <c r="F54" s="99">
        <v>5.7015713067302185</v>
      </c>
      <c r="G54" s="99">
        <v>1908.8860734932773</v>
      </c>
      <c r="H54" s="99">
        <v>9.4622382705261607</v>
      </c>
      <c r="I54" s="99">
        <v>3167.9573729721587</v>
      </c>
      <c r="J54" s="99">
        <v>7</v>
      </c>
      <c r="K54" s="99">
        <v>2343.6</v>
      </c>
      <c r="L54" s="99">
        <v>6.5244368157931865</v>
      </c>
      <c r="M54" s="99">
        <v>2184.3814459275591</v>
      </c>
      <c r="N54" s="99">
        <v>12</v>
      </c>
      <c r="O54" s="99">
        <v>4017.6000000000004</v>
      </c>
      <c r="P54" s="99">
        <v>10</v>
      </c>
      <c r="Q54" s="99">
        <v>3348</v>
      </c>
      <c r="R54" s="99">
        <v>9</v>
      </c>
      <c r="S54" s="99">
        <v>3013.2000000000003</v>
      </c>
      <c r="T54" s="99">
        <v>7.6796963355580834</v>
      </c>
      <c r="U54" s="99">
        <v>2571.1623331448463</v>
      </c>
      <c r="V54" s="99">
        <v>6</v>
      </c>
      <c r="W54" s="99">
        <v>2008.8000000000002</v>
      </c>
      <c r="X54" s="99">
        <v>7</v>
      </c>
      <c r="Y54" s="99">
        <v>2343.6</v>
      </c>
      <c r="Z54" s="99">
        <v>6</v>
      </c>
      <c r="AA54" s="99">
        <v>2008.8000000000002</v>
      </c>
      <c r="AB54" s="99">
        <v>3.6700716537558984</v>
      </c>
      <c r="AC54" s="99">
        <v>1228.7399896774748</v>
      </c>
      <c r="AD54" s="99">
        <v>5.0906173763759961</v>
      </c>
      <c r="AE54" s="99">
        <v>1704.3386976106835</v>
      </c>
      <c r="AF54" s="99">
        <v>7.1141551547260766</v>
      </c>
      <c r="AG54" s="99">
        <v>2381.8191458022907</v>
      </c>
      <c r="AH54" s="99">
        <v>9.8464393127696681</v>
      </c>
      <c r="AI54" s="99">
        <v>3296.5878819152849</v>
      </c>
      <c r="AJ54" s="99">
        <v>11.352551762105813</v>
      </c>
      <c r="AK54" s="99">
        <v>3800.8343299530266</v>
      </c>
      <c r="AL54" s="99">
        <v>6</v>
      </c>
      <c r="AM54" s="99">
        <v>2008.8000000000002</v>
      </c>
      <c r="AN54" s="99">
        <v>12</v>
      </c>
      <c r="AO54" s="99">
        <v>4017.6000000000004</v>
      </c>
      <c r="AP54" s="99">
        <v>8</v>
      </c>
      <c r="AQ54" s="99">
        <v>2678.4</v>
      </c>
      <c r="AR54" s="99">
        <v>5.9416871926077439</v>
      </c>
      <c r="AS54" s="99">
        <v>1989.2768720850727</v>
      </c>
      <c r="AT54" s="99">
        <v>4.5742087563250706</v>
      </c>
      <c r="AU54" s="99">
        <v>1531.4450916176338</v>
      </c>
      <c r="AV54" s="99">
        <v>6.0646911246216089</v>
      </c>
      <c r="AW54" s="99">
        <v>2030.4585885233148</v>
      </c>
      <c r="AX54" s="99">
        <v>8.96429524419435</v>
      </c>
      <c r="AY54" s="99">
        <v>3001.2460477562686</v>
      </c>
      <c r="AZ54" s="99">
        <v>5.2356718462402041</v>
      </c>
      <c r="BA54" s="99">
        <v>1752.9029341212204</v>
      </c>
      <c r="BB54" s="99">
        <v>3.4262646633560103</v>
      </c>
      <c r="BC54" s="99">
        <v>1147.1134092915922</v>
      </c>
      <c r="BD54" s="99">
        <v>12.049995100159544</v>
      </c>
      <c r="BE54" s="99">
        <v>4034.3383595334153</v>
      </c>
      <c r="BF54" s="99">
        <v>2.6545878930871396</v>
      </c>
      <c r="BG54" s="99">
        <v>888.75602660557433</v>
      </c>
      <c r="BH54" s="99">
        <v>6.3637301470655432</v>
      </c>
      <c r="BI54" s="99">
        <v>2130.5768532375441</v>
      </c>
      <c r="BJ54" s="99">
        <v>7.9204338638884799</v>
      </c>
      <c r="BK54" s="99">
        <v>2651.7612576298634</v>
      </c>
      <c r="BL54" s="99">
        <v>10</v>
      </c>
      <c r="BM54" s="99">
        <v>3348</v>
      </c>
      <c r="BN54" s="99">
        <v>11</v>
      </c>
      <c r="BO54" s="99">
        <v>3682.8</v>
      </c>
      <c r="BP54" s="99">
        <v>11.221843978930561</v>
      </c>
      <c r="BQ54" s="99">
        <v>3757.0733641459519</v>
      </c>
      <c r="BR54" s="99">
        <v>4.9323217517462403</v>
      </c>
      <c r="BS54" s="99">
        <v>1651.3413224846413</v>
      </c>
      <c r="BT54" s="99">
        <v>7.8997605309369812</v>
      </c>
      <c r="BU54" s="99">
        <v>2644.8398257577014</v>
      </c>
      <c r="BV54" s="99">
        <v>9.6133616965806166</v>
      </c>
      <c r="BW54" s="99">
        <v>3218.5534960151904</v>
      </c>
      <c r="BX54" s="99">
        <v>7.4825128815364854</v>
      </c>
      <c r="BY54" s="99">
        <v>2505.1453127384152</v>
      </c>
      <c r="BZ54" s="99">
        <v>9.5767494873413703</v>
      </c>
      <c r="CA54" s="99">
        <v>3206.2957283618907</v>
      </c>
      <c r="CB54" s="99">
        <v>6</v>
      </c>
      <c r="CC54" s="99">
        <v>2008.8000000000002</v>
      </c>
      <c r="CD54" s="99">
        <v>10.610677442533643</v>
      </c>
      <c r="CE54" s="99">
        <v>3552.4548077602635</v>
      </c>
      <c r="CF54" s="99">
        <v>11.241482764467296</v>
      </c>
      <c r="CG54" s="99">
        <v>3763.6484295436508</v>
      </c>
      <c r="CH54" s="99">
        <v>1.8583076470620163</v>
      </c>
      <c r="CI54" s="99">
        <v>622.16140023636308</v>
      </c>
      <c r="CJ54" s="99">
        <v>7.5512204273135692</v>
      </c>
      <c r="CK54" s="99">
        <v>2528.1485990645829</v>
      </c>
      <c r="CL54" s="99">
        <v>9.9879584515144284</v>
      </c>
      <c r="CM54" s="99">
        <v>3343.9684895670307</v>
      </c>
      <c r="CN54" s="99">
        <v>8</v>
      </c>
      <c r="CO54" s="99">
        <v>2678.4</v>
      </c>
      <c r="CP54" s="99">
        <v>12.147848845708374</v>
      </c>
      <c r="CQ54" s="99">
        <v>4067.0997935431637</v>
      </c>
      <c r="CR54" s="99">
        <v>7.7919535636735775</v>
      </c>
      <c r="CS54" s="99">
        <v>2608.746053117914</v>
      </c>
      <c r="CT54" s="99">
        <v>6.9922594127899522</v>
      </c>
      <c r="CU54" s="99">
        <v>2341.0084514020759</v>
      </c>
    </row>
    <row r="55" spans="2:99">
      <c r="C55" s="98" t="s">
        <v>221</v>
      </c>
      <c r="D55" s="99">
        <v>7</v>
      </c>
      <c r="E55" s="99">
        <v>4645.2</v>
      </c>
      <c r="F55" s="99">
        <v>4.8870611200544731</v>
      </c>
      <c r="G55" s="99">
        <v>3243.0537592681485</v>
      </c>
      <c r="H55" s="99">
        <v>9.4622382705261607</v>
      </c>
      <c r="I55" s="99">
        <v>6279.14131632116</v>
      </c>
      <c r="J55" s="99">
        <v>7</v>
      </c>
      <c r="K55" s="99">
        <v>4645.2</v>
      </c>
      <c r="L55" s="99">
        <v>7.1586814952679791</v>
      </c>
      <c r="M55" s="99">
        <v>4750.5010402598309</v>
      </c>
      <c r="N55" s="99">
        <v>10</v>
      </c>
      <c r="O55" s="99">
        <v>6636</v>
      </c>
      <c r="P55" s="99">
        <v>10</v>
      </c>
      <c r="Q55" s="99">
        <v>6636</v>
      </c>
      <c r="R55" s="99">
        <v>8</v>
      </c>
      <c r="S55" s="99">
        <v>5308.8</v>
      </c>
      <c r="T55" s="99">
        <v>8.447665969113892</v>
      </c>
      <c r="U55" s="99">
        <v>5605.871137103979</v>
      </c>
      <c r="V55" s="99">
        <v>6</v>
      </c>
      <c r="W55" s="99">
        <v>3981.6000000000004</v>
      </c>
      <c r="X55" s="99">
        <v>8</v>
      </c>
      <c r="Y55" s="99">
        <v>5308.8</v>
      </c>
      <c r="Z55" s="99">
        <v>6</v>
      </c>
      <c r="AA55" s="99">
        <v>3981.6000000000004</v>
      </c>
      <c r="AB55" s="99">
        <v>3.6700716537558984</v>
      </c>
      <c r="AC55" s="99">
        <v>2435.4595494324144</v>
      </c>
      <c r="AD55" s="99">
        <v>5.8734465425680114</v>
      </c>
      <c r="AE55" s="99">
        <v>3897.6191256481325</v>
      </c>
      <c r="AF55" s="99">
        <v>7.1141551547260766</v>
      </c>
      <c r="AG55" s="99">
        <v>4720.9533606762243</v>
      </c>
      <c r="AH55" s="99">
        <v>9.9535204138413409</v>
      </c>
      <c r="AI55" s="99">
        <v>6605.1561466251142</v>
      </c>
      <c r="AJ55" s="99">
        <v>10.352551762105813</v>
      </c>
      <c r="AK55" s="99">
        <v>6869.9533493334175</v>
      </c>
      <c r="AL55" s="99">
        <v>7</v>
      </c>
      <c r="AM55" s="99">
        <v>4645.2</v>
      </c>
      <c r="AN55" s="99">
        <v>10</v>
      </c>
      <c r="AO55" s="99">
        <v>6636</v>
      </c>
      <c r="AP55" s="99">
        <v>8</v>
      </c>
      <c r="AQ55" s="99">
        <v>5308.8</v>
      </c>
      <c r="AR55" s="99">
        <v>5.3319530260237489</v>
      </c>
      <c r="AS55" s="99">
        <v>3538.2840280693599</v>
      </c>
      <c r="AT55" s="99">
        <v>4.5742087563250706</v>
      </c>
      <c r="AU55" s="99">
        <v>3035.444930697317</v>
      </c>
      <c r="AV55" s="99">
        <v>6.0683558569017881</v>
      </c>
      <c r="AW55" s="99">
        <v>4026.9609466400266</v>
      </c>
      <c r="AX55" s="99">
        <v>7.96429524419435</v>
      </c>
      <c r="AY55" s="99">
        <v>5285.1063240473704</v>
      </c>
      <c r="AZ55" s="99">
        <v>5.2356718462402041</v>
      </c>
      <c r="BA55" s="99">
        <v>3474.3918371649997</v>
      </c>
      <c r="BB55" s="99">
        <v>3.7462647861880702</v>
      </c>
      <c r="BC55" s="99">
        <v>2486.0213121144034</v>
      </c>
      <c r="BD55" s="99">
        <v>11.049995100159544</v>
      </c>
      <c r="BE55" s="99">
        <v>7332.7767484658734</v>
      </c>
      <c r="BF55" s="99">
        <v>2.6545878930871396</v>
      </c>
      <c r="BG55" s="99">
        <v>1761.5845258526258</v>
      </c>
      <c r="BH55" s="99">
        <v>6.3637301470655432</v>
      </c>
      <c r="BI55" s="99">
        <v>4222.9713255926945</v>
      </c>
      <c r="BJ55" s="99">
        <v>8.7670282199070666</v>
      </c>
      <c r="BK55" s="99">
        <v>5817.7999267303294</v>
      </c>
      <c r="BL55" s="99">
        <v>10</v>
      </c>
      <c r="BM55" s="99">
        <v>6636</v>
      </c>
      <c r="BN55" s="99">
        <v>10</v>
      </c>
      <c r="BO55" s="99">
        <v>6636</v>
      </c>
      <c r="BP55" s="99">
        <v>12.221843978930561</v>
      </c>
      <c r="BQ55" s="99">
        <v>8110.4156644183204</v>
      </c>
      <c r="BR55" s="99">
        <v>4.8880875911386674</v>
      </c>
      <c r="BS55" s="99">
        <v>3243.73492547962</v>
      </c>
      <c r="BT55" s="99">
        <v>6.8997605309369812</v>
      </c>
      <c r="BU55" s="99">
        <v>4578.6810883297812</v>
      </c>
      <c r="BV55" s="99">
        <v>9.7324390256895121</v>
      </c>
      <c r="BW55" s="99">
        <v>6458.4465374475603</v>
      </c>
      <c r="BX55" s="99">
        <v>6.6059470957613327</v>
      </c>
      <c r="BY55" s="99">
        <v>4383.7064927472202</v>
      </c>
      <c r="BZ55" s="99">
        <v>10.57674948734137</v>
      </c>
      <c r="CA55" s="99">
        <v>7018.7309597997337</v>
      </c>
      <c r="CB55" s="99">
        <v>5</v>
      </c>
      <c r="CC55" s="99">
        <v>3318</v>
      </c>
      <c r="CD55" s="99">
        <v>8.9146158749630384</v>
      </c>
      <c r="CE55" s="99">
        <v>5915.7390946254727</v>
      </c>
      <c r="CF55" s="99">
        <v>10.182525464733356</v>
      </c>
      <c r="CG55" s="99">
        <v>6757.1238983970552</v>
      </c>
      <c r="CH55" s="99">
        <v>1.5928351260531566</v>
      </c>
      <c r="CI55" s="99">
        <v>1057.0053896488748</v>
      </c>
      <c r="CJ55" s="99">
        <v>7.4629923631647372</v>
      </c>
      <c r="CK55" s="99">
        <v>4952.44173219612</v>
      </c>
      <c r="CL55" s="99">
        <v>9.9879584515144284</v>
      </c>
      <c r="CM55" s="99">
        <v>6628.0092284249749</v>
      </c>
      <c r="CN55" s="99">
        <v>7</v>
      </c>
      <c r="CO55" s="99">
        <v>4645.2</v>
      </c>
      <c r="CP55" s="99">
        <v>11.192339958048729</v>
      </c>
      <c r="CQ55" s="99">
        <v>7427.2367961611371</v>
      </c>
      <c r="CR55" s="99">
        <v>6.9087295293012509</v>
      </c>
      <c r="CS55" s="99">
        <v>4584.6329156443098</v>
      </c>
      <c r="CT55" s="99">
        <v>6.184761446414405</v>
      </c>
      <c r="CU55" s="99">
        <v>4104.2076958405996</v>
      </c>
    </row>
    <row r="56" spans="2:99">
      <c r="C56" s="98" t="s">
        <v>222</v>
      </c>
      <c r="D56" s="99">
        <v>3.4334492494588145</v>
      </c>
      <c r="E56" s="99">
        <v>3370.2737832687721</v>
      </c>
      <c r="F56" s="99">
        <v>6</v>
      </c>
      <c r="G56" s="99">
        <v>5889.5999999999995</v>
      </c>
      <c r="H56" s="99">
        <v>9</v>
      </c>
      <c r="I56" s="99">
        <v>8834.4</v>
      </c>
      <c r="J56" s="99">
        <v>6</v>
      </c>
      <c r="K56" s="99">
        <v>5889.5999999999995</v>
      </c>
      <c r="L56" s="99">
        <v>11.753244195570085</v>
      </c>
      <c r="M56" s="99">
        <v>11536.984502371595</v>
      </c>
      <c r="N56" s="99">
        <v>11.768705778929748</v>
      </c>
      <c r="O56" s="99">
        <v>11552.16159259744</v>
      </c>
      <c r="P56" s="99">
        <v>0.80761948672327244</v>
      </c>
      <c r="Q56" s="99">
        <v>792.75928816756414</v>
      </c>
      <c r="R56" s="99">
        <v>0</v>
      </c>
      <c r="S56" s="99">
        <v>0</v>
      </c>
      <c r="T56" s="99">
        <v>0</v>
      </c>
      <c r="U56" s="99">
        <v>0</v>
      </c>
      <c r="V56" s="99">
        <v>0</v>
      </c>
      <c r="W56" s="99">
        <v>0</v>
      </c>
      <c r="X56" s="99">
        <v>7</v>
      </c>
      <c r="Y56" s="99">
        <v>6871.1999999999989</v>
      </c>
      <c r="Z56" s="99">
        <v>5.2993286742395034</v>
      </c>
      <c r="AA56" s="99">
        <v>5201.8210266334963</v>
      </c>
      <c r="AB56" s="99">
        <v>6.0525683461704629</v>
      </c>
      <c r="AC56" s="99">
        <v>5941.2010886009257</v>
      </c>
      <c r="AD56" s="99">
        <v>4.5874876030836615</v>
      </c>
      <c r="AE56" s="99">
        <v>4503.0778311869217</v>
      </c>
      <c r="AF56" s="99">
        <v>6.9694241938565291</v>
      </c>
      <c r="AG56" s="99">
        <v>6841.1867886895679</v>
      </c>
      <c r="AH56" s="99">
        <v>6.2798259880822567</v>
      </c>
      <c r="AI56" s="99">
        <v>6164.2771899015424</v>
      </c>
      <c r="AJ56" s="99">
        <v>9.6204279133700386</v>
      </c>
      <c r="AK56" s="99">
        <v>9443.412039764029</v>
      </c>
      <c r="AL56" s="99">
        <v>6.549652855900522</v>
      </c>
      <c r="AM56" s="99">
        <v>6429.1392433519522</v>
      </c>
      <c r="AN56" s="99">
        <v>10.648357504421993</v>
      </c>
      <c r="AO56" s="99">
        <v>10452.427726340627</v>
      </c>
      <c r="AP56" s="99">
        <v>4.1354551567710116</v>
      </c>
      <c r="AQ56" s="99">
        <v>4059.3627818864247</v>
      </c>
      <c r="AR56" s="99">
        <v>8.8207355263268941</v>
      </c>
      <c r="AS56" s="99">
        <v>8658.4339926424782</v>
      </c>
      <c r="AT56" s="99">
        <v>6.9995321507453596</v>
      </c>
      <c r="AU56" s="99">
        <v>6870.7407591716446</v>
      </c>
      <c r="AV56" s="99">
        <v>6.68742313341704</v>
      </c>
      <c r="AW56" s="99">
        <v>6564.374547762166</v>
      </c>
      <c r="AX56" s="99">
        <v>7.8196906781962801</v>
      </c>
      <c r="AY56" s="99">
        <v>7675.8083697174679</v>
      </c>
      <c r="AZ56" s="99">
        <v>7.1062587725688333</v>
      </c>
      <c r="BA56" s="99">
        <v>6975.5036111535665</v>
      </c>
      <c r="BB56" s="99">
        <v>5.1713487703589083</v>
      </c>
      <c r="BC56" s="99">
        <v>5076.1959529843043</v>
      </c>
      <c r="BD56" s="99">
        <v>7.3964459093233978</v>
      </c>
      <c r="BE56" s="99">
        <v>7260.3513045918462</v>
      </c>
      <c r="BF56" s="99">
        <v>2.9755593511412322</v>
      </c>
      <c r="BG56" s="99">
        <v>2920.8090590802331</v>
      </c>
      <c r="BH56" s="99">
        <v>11.481092524980465</v>
      </c>
      <c r="BI56" s="99">
        <v>11269.840422520823</v>
      </c>
      <c r="BJ56" s="99">
        <v>6.6345988838198666</v>
      </c>
      <c r="BK56" s="99">
        <v>6512.5222643575808</v>
      </c>
      <c r="BL56" s="99">
        <v>7.4581262918584414</v>
      </c>
      <c r="BM56" s="99">
        <v>7320.8967680882452</v>
      </c>
      <c r="BN56" s="99">
        <v>10.660961375853823</v>
      </c>
      <c r="BO56" s="99">
        <v>10464.799686538112</v>
      </c>
      <c r="BP56" s="99">
        <v>11.420705784862157</v>
      </c>
      <c r="BQ56" s="99">
        <v>11210.564798420693</v>
      </c>
      <c r="BR56" s="99">
        <v>5.4056393532668778</v>
      </c>
      <c r="BS56" s="99">
        <v>5306.1755891667672</v>
      </c>
      <c r="BT56" s="99">
        <v>7.9592452193224448</v>
      </c>
      <c r="BU56" s="99">
        <v>7812.7951072869109</v>
      </c>
      <c r="BV56" s="99">
        <v>7.6934626469941882</v>
      </c>
      <c r="BW56" s="99">
        <v>7551.9029342894946</v>
      </c>
      <c r="BX56" s="99">
        <v>7.2678651429813588</v>
      </c>
      <c r="BY56" s="99">
        <v>7134.1364243505013</v>
      </c>
      <c r="BZ56" s="99">
        <v>8.1091395931672334</v>
      </c>
      <c r="CA56" s="99">
        <v>7959.9314246529557</v>
      </c>
      <c r="CB56" s="99">
        <v>5.3331409677823656</v>
      </c>
      <c r="CC56" s="99">
        <v>5235.0111739751692</v>
      </c>
      <c r="CD56" s="99">
        <v>4.4242101263466029</v>
      </c>
      <c r="CE56" s="99">
        <v>4342.8046600218249</v>
      </c>
      <c r="CF56" s="99">
        <v>8.5406314967177703</v>
      </c>
      <c r="CG56" s="99">
        <v>8383.4838771781633</v>
      </c>
      <c r="CH56" s="99">
        <v>7.0314139794735526</v>
      </c>
      <c r="CI56" s="99">
        <v>6902.0359622512387</v>
      </c>
      <c r="CJ56" s="99">
        <v>7.2070307230825188</v>
      </c>
      <c r="CK56" s="99">
        <v>7074.4213577778</v>
      </c>
      <c r="CL56" s="99">
        <v>5.7123282707934155</v>
      </c>
      <c r="CM56" s="99">
        <v>5607.2214306108162</v>
      </c>
      <c r="CN56" s="99">
        <v>7.0251470192241685</v>
      </c>
      <c r="CO56" s="99">
        <v>6895.884314070443</v>
      </c>
      <c r="CP56" s="99">
        <v>10.117386452023545</v>
      </c>
      <c r="CQ56" s="99">
        <v>9931.2265413063105</v>
      </c>
      <c r="CR56" s="99">
        <v>9.0373335196541476</v>
      </c>
      <c r="CS56" s="99">
        <v>8871.0465828925098</v>
      </c>
      <c r="CT56" s="99">
        <v>8.5863573323527831</v>
      </c>
      <c r="CU56" s="99">
        <v>8428.3683574374918</v>
      </c>
    </row>
    <row r="57" spans="2:99">
      <c r="C57" s="98" t="s">
        <v>223</v>
      </c>
      <c r="D57" s="99">
        <v>6</v>
      </c>
      <c r="E57" s="99">
        <v>8467.2000000000007</v>
      </c>
      <c r="F57" s="99">
        <v>4.8870611200544731</v>
      </c>
      <c r="G57" s="99">
        <v>6896.6206526208725</v>
      </c>
      <c r="H57" s="99">
        <v>9.4622382705261607</v>
      </c>
      <c r="I57" s="99">
        <v>13353.110647366519</v>
      </c>
      <c r="J57" s="99">
        <v>6</v>
      </c>
      <c r="K57" s="99">
        <v>8467.2000000000007</v>
      </c>
      <c r="L57" s="99">
        <v>6.5244368157931865</v>
      </c>
      <c r="M57" s="99">
        <v>9207.2852344473449</v>
      </c>
      <c r="N57" s="99">
        <v>10</v>
      </c>
      <c r="O57" s="99">
        <v>14112</v>
      </c>
      <c r="P57" s="99">
        <v>10</v>
      </c>
      <c r="Q57" s="99">
        <v>14112</v>
      </c>
      <c r="R57" s="99">
        <v>8</v>
      </c>
      <c r="S57" s="99">
        <v>11289.6</v>
      </c>
      <c r="T57" s="99">
        <v>8.447665969113892</v>
      </c>
      <c r="U57" s="99">
        <v>11921.346215613525</v>
      </c>
      <c r="V57" s="99">
        <v>6</v>
      </c>
      <c r="W57" s="99">
        <v>8467.2000000000007</v>
      </c>
      <c r="X57" s="99">
        <v>7</v>
      </c>
      <c r="Y57" s="99">
        <v>9878.4</v>
      </c>
      <c r="Z57" s="99">
        <v>6</v>
      </c>
      <c r="AA57" s="99">
        <v>8467.2000000000007</v>
      </c>
      <c r="AB57" s="99">
        <v>3.6700716537558984</v>
      </c>
      <c r="AC57" s="99">
        <v>5179.2051177803241</v>
      </c>
      <c r="AD57" s="99">
        <v>5.0891207386903972</v>
      </c>
      <c r="AE57" s="99">
        <v>7181.767186439889</v>
      </c>
      <c r="AF57" s="99">
        <v>6.9591532256054425</v>
      </c>
      <c r="AG57" s="99">
        <v>9820.7570319744009</v>
      </c>
      <c r="AH57" s="99">
        <v>8.135064987855813</v>
      </c>
      <c r="AI57" s="99">
        <v>11480.203710862124</v>
      </c>
      <c r="AJ57" s="99">
        <v>10.352551762105813</v>
      </c>
      <c r="AK57" s="99">
        <v>14609.521046683723</v>
      </c>
      <c r="AL57" s="99">
        <v>6</v>
      </c>
      <c r="AM57" s="99">
        <v>8467.2000000000007</v>
      </c>
      <c r="AN57" s="99">
        <v>9</v>
      </c>
      <c r="AO57" s="99">
        <v>12700.800000000001</v>
      </c>
      <c r="AP57" s="99">
        <v>8</v>
      </c>
      <c r="AQ57" s="99">
        <v>11289.6</v>
      </c>
      <c r="AR57" s="99">
        <v>4.7767052428641987</v>
      </c>
      <c r="AS57" s="99">
        <v>6740.8864387299573</v>
      </c>
      <c r="AT57" s="99">
        <v>4.568839012240395</v>
      </c>
      <c r="AU57" s="99">
        <v>6447.545614073646</v>
      </c>
      <c r="AV57" s="99">
        <v>5.003005666892542</v>
      </c>
      <c r="AW57" s="99">
        <v>7060.2415971187556</v>
      </c>
      <c r="AX57" s="99">
        <v>6.96429524419435</v>
      </c>
      <c r="AY57" s="99">
        <v>9828.0134486070674</v>
      </c>
      <c r="AZ57" s="99">
        <v>5.2356718462402041</v>
      </c>
      <c r="BA57" s="99">
        <v>7388.5801094141761</v>
      </c>
      <c r="BB57" s="99">
        <v>3.4262646633560103</v>
      </c>
      <c r="BC57" s="99">
        <v>4835.1446929280019</v>
      </c>
      <c r="BD57" s="99">
        <v>11.049995100159544</v>
      </c>
      <c r="BE57" s="99">
        <v>15593.753085345148</v>
      </c>
      <c r="BF57" s="99">
        <v>2.6545878930871396</v>
      </c>
      <c r="BG57" s="99">
        <v>3746.1544347245717</v>
      </c>
      <c r="BH57" s="99">
        <v>5.7813440704703094</v>
      </c>
      <c r="BI57" s="99">
        <v>8158.6327522477013</v>
      </c>
      <c r="BJ57" s="99">
        <v>7.7670282199070666</v>
      </c>
      <c r="BK57" s="99">
        <v>10960.830223932853</v>
      </c>
      <c r="BL57" s="99">
        <v>8</v>
      </c>
      <c r="BM57" s="99">
        <v>11289.6</v>
      </c>
      <c r="BN57" s="99">
        <v>10</v>
      </c>
      <c r="BO57" s="99">
        <v>14112</v>
      </c>
      <c r="BP57" s="99">
        <v>11.166382984197922</v>
      </c>
      <c r="BQ57" s="99">
        <v>15757.999667300108</v>
      </c>
      <c r="BR57" s="99">
        <v>4.8875286396750743</v>
      </c>
      <c r="BS57" s="99">
        <v>6897.2804163094652</v>
      </c>
      <c r="BT57" s="99">
        <v>6.8987485911331969</v>
      </c>
      <c r="BU57" s="99">
        <v>9735.5140118071686</v>
      </c>
      <c r="BV57" s="99">
        <v>8.6133616965806166</v>
      </c>
      <c r="BW57" s="99">
        <v>12155.176026214567</v>
      </c>
      <c r="BX57" s="99">
        <v>6.6059470957613327</v>
      </c>
      <c r="BY57" s="99">
        <v>9322.3125415383929</v>
      </c>
      <c r="BZ57" s="99">
        <v>9.5767494873413703</v>
      </c>
      <c r="CA57" s="99">
        <v>13514.708876536142</v>
      </c>
      <c r="CB57" s="99">
        <v>6</v>
      </c>
      <c r="CC57" s="99">
        <v>8467.2000000000007</v>
      </c>
      <c r="CD57" s="99">
        <v>9.8792229151933704</v>
      </c>
      <c r="CE57" s="99">
        <v>13941.559377920885</v>
      </c>
      <c r="CF57" s="99">
        <v>9.3571195034214956</v>
      </c>
      <c r="CG57" s="99">
        <v>13204.767043228416</v>
      </c>
      <c r="CH57" s="99">
        <v>1.5928351260531566</v>
      </c>
      <c r="CI57" s="99">
        <v>2247.8089298862146</v>
      </c>
      <c r="CJ57" s="99">
        <v>5.5822640802631476</v>
      </c>
      <c r="CK57" s="99">
        <v>7877.6910700673543</v>
      </c>
      <c r="CL57" s="99">
        <v>7.9879584515144284</v>
      </c>
      <c r="CM57" s="99">
        <v>11272.606966777163</v>
      </c>
      <c r="CN57" s="99">
        <v>7</v>
      </c>
      <c r="CO57" s="99">
        <v>9878.4</v>
      </c>
      <c r="CP57" s="99">
        <v>11.192339958048729</v>
      </c>
      <c r="CQ57" s="99">
        <v>15794.630148798367</v>
      </c>
      <c r="CR57" s="99">
        <v>6.9087295293012509</v>
      </c>
      <c r="CS57" s="99">
        <v>9749.5991117499252</v>
      </c>
      <c r="CT57" s="99">
        <v>6.184761446414405</v>
      </c>
      <c r="CU57" s="99">
        <v>8727.935353180008</v>
      </c>
    </row>
    <row r="58" spans="2:99">
      <c r="C58" s="98" t="s">
        <v>224</v>
      </c>
      <c r="D58" s="99">
        <v>7</v>
      </c>
      <c r="E58" s="99">
        <v>8240.4</v>
      </c>
      <c r="F58" s="99">
        <v>6</v>
      </c>
      <c r="G58" s="99">
        <v>7063.2000000000007</v>
      </c>
      <c r="H58" s="99">
        <v>9</v>
      </c>
      <c r="I58" s="99">
        <v>10594.800000000001</v>
      </c>
      <c r="J58" s="99">
        <v>6</v>
      </c>
      <c r="K58" s="99">
        <v>7063.2000000000007</v>
      </c>
      <c r="L58" s="99">
        <v>10</v>
      </c>
      <c r="M58" s="99">
        <v>11772</v>
      </c>
      <c r="N58" s="99">
        <v>11</v>
      </c>
      <c r="O58" s="99">
        <v>12949.2</v>
      </c>
      <c r="P58" s="99">
        <v>11</v>
      </c>
      <c r="Q58" s="99">
        <v>12949.2</v>
      </c>
      <c r="R58" s="99">
        <v>7</v>
      </c>
      <c r="S58" s="99">
        <v>8240.4</v>
      </c>
      <c r="T58" s="99">
        <v>10</v>
      </c>
      <c r="U58" s="99">
        <v>11772</v>
      </c>
      <c r="V58" s="99">
        <v>0.95012884785260276</v>
      </c>
      <c r="W58" s="99">
        <v>1118.4916796920841</v>
      </c>
      <c r="X58" s="99">
        <v>7</v>
      </c>
      <c r="Y58" s="99">
        <v>8240.4</v>
      </c>
      <c r="Z58" s="99">
        <v>6</v>
      </c>
      <c r="AA58" s="99">
        <v>7063.2000000000007</v>
      </c>
      <c r="AB58" s="99">
        <v>6</v>
      </c>
      <c r="AC58" s="99">
        <v>7063.2000000000007</v>
      </c>
      <c r="AD58" s="99">
        <v>6</v>
      </c>
      <c r="AE58" s="99">
        <v>7063.2000000000007</v>
      </c>
      <c r="AF58" s="99">
        <v>7</v>
      </c>
      <c r="AG58" s="99">
        <v>8240.4</v>
      </c>
      <c r="AH58" s="99">
        <v>6.4213053670742326</v>
      </c>
      <c r="AI58" s="99">
        <v>7559.160678119787</v>
      </c>
      <c r="AJ58" s="99">
        <v>10</v>
      </c>
      <c r="AK58" s="99">
        <v>11772</v>
      </c>
      <c r="AL58" s="99">
        <v>7</v>
      </c>
      <c r="AM58" s="99">
        <v>8240.4</v>
      </c>
      <c r="AN58" s="99">
        <v>2.6034627440336373</v>
      </c>
      <c r="AO58" s="99">
        <v>3064.7963422763978</v>
      </c>
      <c r="AP58" s="99">
        <v>8</v>
      </c>
      <c r="AQ58" s="99">
        <v>9417.6</v>
      </c>
      <c r="AR58" s="99">
        <v>10</v>
      </c>
      <c r="AS58" s="99">
        <v>11772</v>
      </c>
      <c r="AT58" s="99">
        <v>6</v>
      </c>
      <c r="AU58" s="99">
        <v>7063.2000000000007</v>
      </c>
      <c r="AV58" s="99">
        <v>4.895749690053921</v>
      </c>
      <c r="AW58" s="99">
        <v>5763.2765351314756</v>
      </c>
      <c r="AX58" s="99">
        <v>6</v>
      </c>
      <c r="AY58" s="99">
        <v>7063.2000000000007</v>
      </c>
      <c r="AZ58" s="99">
        <v>7</v>
      </c>
      <c r="BA58" s="99">
        <v>8240.4</v>
      </c>
      <c r="BB58" s="99">
        <v>6</v>
      </c>
      <c r="BC58" s="99">
        <v>7063.2000000000007</v>
      </c>
      <c r="BD58" s="99">
        <v>5.0496339473223486</v>
      </c>
      <c r="BE58" s="99">
        <v>5944.4290827878694</v>
      </c>
      <c r="BF58" s="99">
        <v>1.7111201210726484E-2</v>
      </c>
      <c r="BG58" s="99">
        <v>20.143306065267218</v>
      </c>
      <c r="BH58" s="99">
        <v>11</v>
      </c>
      <c r="BI58" s="99">
        <v>12949.2</v>
      </c>
      <c r="BJ58" s="99">
        <v>7</v>
      </c>
      <c r="BK58" s="99">
        <v>8240.4</v>
      </c>
      <c r="BL58" s="99">
        <v>9</v>
      </c>
      <c r="BM58" s="99">
        <v>10594.800000000001</v>
      </c>
      <c r="BN58" s="99">
        <v>11</v>
      </c>
      <c r="BO58" s="99">
        <v>12949.2</v>
      </c>
      <c r="BP58" s="99">
        <v>10</v>
      </c>
      <c r="BQ58" s="99">
        <v>11772</v>
      </c>
      <c r="BR58" s="99">
        <v>9</v>
      </c>
      <c r="BS58" s="99">
        <v>10594.800000000001</v>
      </c>
      <c r="BT58" s="99">
        <v>6</v>
      </c>
      <c r="BU58" s="99">
        <v>7063.2000000000007</v>
      </c>
      <c r="BV58" s="99">
        <v>9</v>
      </c>
      <c r="BW58" s="99">
        <v>10594.800000000001</v>
      </c>
      <c r="BX58" s="99">
        <v>2.4022894147549207</v>
      </c>
      <c r="BY58" s="99">
        <v>2827.9750990494927</v>
      </c>
      <c r="BZ58" s="99">
        <v>9</v>
      </c>
      <c r="CA58" s="99">
        <v>10594.800000000001</v>
      </c>
      <c r="CB58" s="99">
        <v>4.366800243202511</v>
      </c>
      <c r="CC58" s="99">
        <v>5140.5972462979962</v>
      </c>
      <c r="CD58" s="99">
        <v>1.0113529523609163E-15</v>
      </c>
      <c r="CE58" s="99">
        <v>1.1905646955192707E-12</v>
      </c>
      <c r="CF58" s="99">
        <v>9</v>
      </c>
      <c r="CG58" s="99">
        <v>10594.800000000001</v>
      </c>
      <c r="CH58" s="99">
        <v>6</v>
      </c>
      <c r="CI58" s="99">
        <v>7063.2000000000007</v>
      </c>
      <c r="CJ58" s="99">
        <v>6</v>
      </c>
      <c r="CK58" s="99">
        <v>7063.2000000000007</v>
      </c>
      <c r="CL58" s="99">
        <v>9</v>
      </c>
      <c r="CM58" s="99">
        <v>10594.800000000001</v>
      </c>
      <c r="CN58" s="99">
        <v>7.3695333946387995</v>
      </c>
      <c r="CO58" s="99">
        <v>8675.4147121687947</v>
      </c>
      <c r="CP58" s="99">
        <v>8.6792646349074918</v>
      </c>
      <c r="CQ58" s="99">
        <v>10217.2303282131</v>
      </c>
      <c r="CR58" s="99">
        <v>9</v>
      </c>
      <c r="CS58" s="99">
        <v>10594.800000000001</v>
      </c>
      <c r="CT58" s="99">
        <v>7.7289066806995939</v>
      </c>
      <c r="CU58" s="99">
        <v>9098.4689445195618</v>
      </c>
    </row>
    <row r="59" spans="2:99">
      <c r="C59" s="98" t="s">
        <v>225</v>
      </c>
      <c r="D59" s="99">
        <v>8</v>
      </c>
      <c r="E59" s="99">
        <v>2428.7999999999997</v>
      </c>
      <c r="F59" s="99">
        <v>4.8870611200544731</v>
      </c>
      <c r="G59" s="99">
        <v>1483.7117560485378</v>
      </c>
      <c r="H59" s="99">
        <v>11.354685924631394</v>
      </c>
      <c r="I59" s="99">
        <v>3447.2826467180907</v>
      </c>
      <c r="J59" s="99">
        <v>7</v>
      </c>
      <c r="K59" s="99">
        <v>2125.1999999999998</v>
      </c>
      <c r="L59" s="99">
        <v>7.1890131654421889</v>
      </c>
      <c r="M59" s="99">
        <v>2182.5843970282485</v>
      </c>
      <c r="N59" s="99">
        <v>12</v>
      </c>
      <c r="O59" s="99">
        <v>3643.2</v>
      </c>
      <c r="P59" s="99">
        <v>11</v>
      </c>
      <c r="Q59" s="99">
        <v>3339.5999999999995</v>
      </c>
      <c r="R59" s="99">
        <v>8</v>
      </c>
      <c r="S59" s="99">
        <v>2428.7999999999997</v>
      </c>
      <c r="T59" s="99">
        <v>9.2156356026696997</v>
      </c>
      <c r="U59" s="99">
        <v>2797.8669689705207</v>
      </c>
      <c r="V59" s="99">
        <v>6</v>
      </c>
      <c r="W59" s="99">
        <v>1821.6</v>
      </c>
      <c r="X59" s="99">
        <v>7</v>
      </c>
      <c r="Y59" s="99">
        <v>2125.1999999999998</v>
      </c>
      <c r="Z59" s="99">
        <v>6</v>
      </c>
      <c r="AA59" s="99">
        <v>1821.6</v>
      </c>
      <c r="AB59" s="99">
        <v>4.2817502627152146</v>
      </c>
      <c r="AC59" s="99">
        <v>1299.9393797603391</v>
      </c>
      <c r="AD59" s="99">
        <v>5.8734465425680114</v>
      </c>
      <c r="AE59" s="99">
        <v>1783.1783703236481</v>
      </c>
      <c r="AF59" s="99">
        <v>7.9754611048520259</v>
      </c>
      <c r="AG59" s="99">
        <v>2421.3499914330746</v>
      </c>
      <c r="AH59" s="99">
        <v>9.9535204138413409</v>
      </c>
      <c r="AI59" s="99">
        <v>3021.8887976422307</v>
      </c>
      <c r="AJ59" s="99">
        <v>10.352551762105813</v>
      </c>
      <c r="AK59" s="99">
        <v>3143.0347149753247</v>
      </c>
      <c r="AL59" s="99">
        <v>6</v>
      </c>
      <c r="AM59" s="99">
        <v>1821.6</v>
      </c>
      <c r="AN59" s="99">
        <v>11</v>
      </c>
      <c r="AO59" s="99">
        <v>3339.5999999999995</v>
      </c>
      <c r="AP59" s="99">
        <v>9</v>
      </c>
      <c r="AQ59" s="99">
        <v>2732.3999999999996</v>
      </c>
      <c r="AR59" s="99">
        <v>5.9407116079776019</v>
      </c>
      <c r="AS59" s="99">
        <v>1803.6000441819997</v>
      </c>
      <c r="AT59" s="99">
        <v>4.6832469220144368</v>
      </c>
      <c r="AU59" s="99">
        <v>1421.8337655235828</v>
      </c>
      <c r="AV59" s="99">
        <v>5.906483215324946</v>
      </c>
      <c r="AW59" s="99">
        <v>1793.2083041726535</v>
      </c>
      <c r="AX59" s="99">
        <v>8.96429524419435</v>
      </c>
      <c r="AY59" s="99">
        <v>2721.5600361374045</v>
      </c>
      <c r="AZ59" s="99">
        <v>5.9836249671316617</v>
      </c>
      <c r="BA59" s="99">
        <v>1816.6285400211723</v>
      </c>
      <c r="BB59" s="99">
        <v>4.3871231989625121</v>
      </c>
      <c r="BC59" s="99">
        <v>1331.9306032050185</v>
      </c>
      <c r="BD59" s="99">
        <v>11.049995100159544</v>
      </c>
      <c r="BE59" s="99">
        <v>3354.7785124084371</v>
      </c>
      <c r="BF59" s="99">
        <v>3.0943744871073262</v>
      </c>
      <c r="BG59" s="99">
        <v>939.45209428578414</v>
      </c>
      <c r="BH59" s="99">
        <v>6.3673233301080225</v>
      </c>
      <c r="BI59" s="99">
        <v>1933.1193630207954</v>
      </c>
      <c r="BJ59" s="99">
        <v>7.9204338638884799</v>
      </c>
      <c r="BK59" s="99">
        <v>2404.6437210765421</v>
      </c>
      <c r="BL59" s="99">
        <v>10</v>
      </c>
      <c r="BM59" s="99">
        <v>3035.9999999999995</v>
      </c>
      <c r="BN59" s="99">
        <v>12</v>
      </c>
      <c r="BO59" s="99">
        <v>3643.2</v>
      </c>
      <c r="BP59" s="99">
        <v>12.221843978930561</v>
      </c>
      <c r="BQ59" s="99">
        <v>3710.5518320033179</v>
      </c>
      <c r="BR59" s="99">
        <v>4.9323217517462403</v>
      </c>
      <c r="BS59" s="99">
        <v>1497.4528838301585</v>
      </c>
      <c r="BT59" s="99">
        <v>6.9007724707407654</v>
      </c>
      <c r="BU59" s="99">
        <v>2095.0745221168963</v>
      </c>
      <c r="BV59" s="99">
        <v>9.7324390256895121</v>
      </c>
      <c r="BW59" s="99">
        <v>2954.7684881993355</v>
      </c>
      <c r="BX59" s="99">
        <v>7.5174142042290431</v>
      </c>
      <c r="BY59" s="99">
        <v>2282.286952403937</v>
      </c>
      <c r="BZ59" s="99">
        <v>11.57674948734137</v>
      </c>
      <c r="CA59" s="99">
        <v>3514.7011443568394</v>
      </c>
      <c r="CB59" s="99">
        <v>7</v>
      </c>
      <c r="CC59" s="99">
        <v>2125.1999999999998</v>
      </c>
      <c r="CD59" s="99">
        <v>9.8792229151933704</v>
      </c>
      <c r="CE59" s="99">
        <v>2999.3320770527071</v>
      </c>
      <c r="CF59" s="99">
        <v>11.126708933397525</v>
      </c>
      <c r="CG59" s="99">
        <v>3378.0688321794883</v>
      </c>
      <c r="CH59" s="99">
        <v>1.8583076470620163</v>
      </c>
      <c r="CI59" s="99">
        <v>564.18220164802813</v>
      </c>
      <c r="CJ59" s="99">
        <v>6.5667422537883589</v>
      </c>
      <c r="CK59" s="99">
        <v>1993.6629482501455</v>
      </c>
      <c r="CL59" s="99">
        <v>8.8232987095953579</v>
      </c>
      <c r="CM59" s="99">
        <v>2678.7534882331502</v>
      </c>
      <c r="CN59" s="99">
        <v>7</v>
      </c>
      <c r="CO59" s="99">
        <v>2125.1999999999998</v>
      </c>
      <c r="CP59" s="99">
        <v>11.192339958048729</v>
      </c>
      <c r="CQ59" s="99">
        <v>3397.9944112635935</v>
      </c>
      <c r="CR59" s="99">
        <v>7.713422190834895</v>
      </c>
      <c r="CS59" s="99">
        <v>2341.7949771374738</v>
      </c>
      <c r="CT59" s="99">
        <v>6.9922594127899522</v>
      </c>
      <c r="CU59" s="99">
        <v>2122.8499577230291</v>
      </c>
    </row>
    <row r="60" spans="2:99">
      <c r="C60" s="98" t="s">
        <v>226</v>
      </c>
      <c r="D60" s="99">
        <v>7</v>
      </c>
      <c r="E60" s="99">
        <v>4561.2</v>
      </c>
      <c r="F60" s="99">
        <v>5.7015713067302185</v>
      </c>
      <c r="G60" s="99">
        <v>3715.1438634654105</v>
      </c>
      <c r="H60" s="99">
        <v>9.4622382705261607</v>
      </c>
      <c r="I60" s="99">
        <v>6165.5944570748461</v>
      </c>
      <c r="J60" s="99">
        <v>6</v>
      </c>
      <c r="K60" s="99">
        <v>3909.6000000000004</v>
      </c>
      <c r="L60" s="99">
        <v>6.5244368157931865</v>
      </c>
      <c r="M60" s="99">
        <v>4251.3230291708405</v>
      </c>
      <c r="N60" s="99">
        <v>11</v>
      </c>
      <c r="O60" s="99">
        <v>7167.6</v>
      </c>
      <c r="P60" s="99">
        <v>10</v>
      </c>
      <c r="Q60" s="99">
        <v>6516</v>
      </c>
      <c r="R60" s="99">
        <v>8</v>
      </c>
      <c r="S60" s="99">
        <v>5212.8</v>
      </c>
      <c r="T60" s="99">
        <v>7.6796963355580834</v>
      </c>
      <c r="U60" s="99">
        <v>5004.0901322496475</v>
      </c>
      <c r="V60" s="99">
        <v>7</v>
      </c>
      <c r="W60" s="99">
        <v>4561.2</v>
      </c>
      <c r="X60" s="99">
        <v>6</v>
      </c>
      <c r="Y60" s="99">
        <v>3909.6000000000004</v>
      </c>
      <c r="Z60" s="99">
        <v>6</v>
      </c>
      <c r="AA60" s="99">
        <v>3909.6000000000004</v>
      </c>
      <c r="AB60" s="99">
        <v>4.2817502627152146</v>
      </c>
      <c r="AC60" s="99">
        <v>2789.9884711852342</v>
      </c>
      <c r="AD60" s="99">
        <v>5.0906173763759961</v>
      </c>
      <c r="AE60" s="99">
        <v>3317.046282446599</v>
      </c>
      <c r="AF60" s="99">
        <v>7.9754611048520259</v>
      </c>
      <c r="AG60" s="99">
        <v>5196.8104559215799</v>
      </c>
      <c r="AH60" s="99">
        <v>9.0978332513844116</v>
      </c>
      <c r="AI60" s="99">
        <v>5928.1481466020832</v>
      </c>
      <c r="AJ60" s="99">
        <v>10.352551762105813</v>
      </c>
      <c r="AK60" s="99">
        <v>6745.7227281881478</v>
      </c>
      <c r="AL60" s="99">
        <v>6</v>
      </c>
      <c r="AM60" s="99">
        <v>3909.6000000000004</v>
      </c>
      <c r="AN60" s="99">
        <v>10</v>
      </c>
      <c r="AO60" s="99">
        <v>6516</v>
      </c>
      <c r="AP60" s="99">
        <v>8</v>
      </c>
      <c r="AQ60" s="99">
        <v>5212.8</v>
      </c>
      <c r="AR60" s="99">
        <v>5.3319530260237489</v>
      </c>
      <c r="AS60" s="99">
        <v>3474.3005917570749</v>
      </c>
      <c r="AT60" s="99">
        <v>5.3303121809471277</v>
      </c>
      <c r="AU60" s="99">
        <v>3473.2314171051485</v>
      </c>
      <c r="AV60" s="99">
        <v>6.0646911246216089</v>
      </c>
      <c r="AW60" s="99">
        <v>3951.7527368034403</v>
      </c>
      <c r="AX60" s="99">
        <v>7.96429524419435</v>
      </c>
      <c r="AY60" s="99">
        <v>5189.5347811170386</v>
      </c>
      <c r="AZ60" s="99">
        <v>5.2356718462402041</v>
      </c>
      <c r="BA60" s="99">
        <v>3411.5637750101173</v>
      </c>
      <c r="BB60" s="99">
        <v>3.4579750347108393</v>
      </c>
      <c r="BC60" s="99">
        <v>2253.2165326175832</v>
      </c>
      <c r="BD60" s="99">
        <v>12.049995100159544</v>
      </c>
      <c r="BE60" s="99">
        <v>7851.7768072639592</v>
      </c>
      <c r="BF60" s="99">
        <v>3.0943744871073262</v>
      </c>
      <c r="BG60" s="99">
        <v>2016.2944157991337</v>
      </c>
      <c r="BH60" s="99">
        <v>5.7777508874278292</v>
      </c>
      <c r="BI60" s="99">
        <v>3764.7824782479738</v>
      </c>
      <c r="BJ60" s="99">
        <v>7.7670282199070666</v>
      </c>
      <c r="BK60" s="99">
        <v>5060.9955880914449</v>
      </c>
      <c r="BL60" s="99">
        <v>10</v>
      </c>
      <c r="BM60" s="99">
        <v>6516</v>
      </c>
      <c r="BN60" s="99">
        <v>12</v>
      </c>
      <c r="BO60" s="99">
        <v>7819.2000000000007</v>
      </c>
      <c r="BP60" s="99">
        <v>11.221843978930561</v>
      </c>
      <c r="BQ60" s="99">
        <v>7312.1535366711541</v>
      </c>
      <c r="BR60" s="99">
        <v>5.4025425242753302</v>
      </c>
      <c r="BS60" s="99">
        <v>3520.2967088178052</v>
      </c>
      <c r="BT60" s="99">
        <v>6.8997605309369812</v>
      </c>
      <c r="BU60" s="99">
        <v>4495.8839619585369</v>
      </c>
      <c r="BV60" s="99">
        <v>8.7324390256895121</v>
      </c>
      <c r="BW60" s="99">
        <v>5690.0572691392863</v>
      </c>
      <c r="BX60" s="99">
        <v>6.637358286184635</v>
      </c>
      <c r="BY60" s="99">
        <v>4324.9026592779082</v>
      </c>
      <c r="BZ60" s="99">
        <v>9.5767494873413703</v>
      </c>
      <c r="CA60" s="99">
        <v>6240.2099659516371</v>
      </c>
      <c r="CB60" s="99">
        <v>6</v>
      </c>
      <c r="CC60" s="99">
        <v>3909.6000000000004</v>
      </c>
      <c r="CD60" s="99">
        <v>9.6460704023033106</v>
      </c>
      <c r="CE60" s="99">
        <v>6285.3794741408374</v>
      </c>
      <c r="CF60" s="99">
        <v>9.2383419960691846</v>
      </c>
      <c r="CG60" s="99">
        <v>6019.703644638681</v>
      </c>
      <c r="CH60" s="99">
        <v>1.8583076470620163</v>
      </c>
      <c r="CI60" s="99">
        <v>1210.8732628256098</v>
      </c>
      <c r="CJ60" s="99">
        <v>6.5667422537883589</v>
      </c>
      <c r="CK60" s="99">
        <v>4278.8892525684951</v>
      </c>
      <c r="CL60" s="99">
        <v>8.9879584515144284</v>
      </c>
      <c r="CM60" s="99">
        <v>5856.5537270068016</v>
      </c>
      <c r="CN60" s="99">
        <v>8</v>
      </c>
      <c r="CO60" s="99">
        <v>5212.8</v>
      </c>
      <c r="CP60" s="99">
        <v>12.147848845708374</v>
      </c>
      <c r="CQ60" s="99">
        <v>7915.5383078635768</v>
      </c>
      <c r="CR60" s="99">
        <v>7.713422190834895</v>
      </c>
      <c r="CS60" s="99">
        <v>5026.065899548018</v>
      </c>
      <c r="CT60" s="99">
        <v>6.9922594127899522</v>
      </c>
      <c r="CU60" s="99">
        <v>4556.156233373933</v>
      </c>
    </row>
    <row r="61" spans="2:99">
      <c r="C61" s="98" t="s">
        <v>227</v>
      </c>
      <c r="D61" s="99">
        <v>8</v>
      </c>
      <c r="E61" s="99">
        <v>7612.7999999999993</v>
      </c>
      <c r="F61" s="99">
        <v>4.8870611200544731</v>
      </c>
      <c r="G61" s="99">
        <v>4650.5273618438359</v>
      </c>
      <c r="H61" s="99">
        <v>10.408462097578777</v>
      </c>
      <c r="I61" s="99">
        <v>9904.692532055964</v>
      </c>
      <c r="J61" s="99">
        <v>6</v>
      </c>
      <c r="K61" s="99">
        <v>5709.5999999999995</v>
      </c>
      <c r="L61" s="99">
        <v>5.9205238064926036</v>
      </c>
      <c r="M61" s="99">
        <v>5633.9704542583613</v>
      </c>
      <c r="N61" s="99">
        <v>10</v>
      </c>
      <c r="O61" s="99">
        <v>9516</v>
      </c>
      <c r="P61" s="99">
        <v>11</v>
      </c>
      <c r="Q61" s="99">
        <v>10467.599999999999</v>
      </c>
      <c r="R61" s="99">
        <v>7</v>
      </c>
      <c r="S61" s="99">
        <v>6661.1999999999989</v>
      </c>
      <c r="T61" s="99">
        <v>6.9117267020022757</v>
      </c>
      <c r="U61" s="99">
        <v>6577.1991296253645</v>
      </c>
      <c r="V61" s="99">
        <v>6</v>
      </c>
      <c r="W61" s="99">
        <v>5709.5999999999995</v>
      </c>
      <c r="X61" s="99">
        <v>7</v>
      </c>
      <c r="Y61" s="99">
        <v>6661.1999999999989</v>
      </c>
      <c r="Z61" s="99">
        <v>6</v>
      </c>
      <c r="AA61" s="99">
        <v>5709.5999999999995</v>
      </c>
      <c r="AB61" s="99">
        <v>3.6700716537558984</v>
      </c>
      <c r="AC61" s="99">
        <v>3492.4401857141124</v>
      </c>
      <c r="AD61" s="99">
        <v>5.8719499048824124</v>
      </c>
      <c r="AE61" s="99">
        <v>5587.7475294861033</v>
      </c>
      <c r="AF61" s="99">
        <v>6.2582208262362817</v>
      </c>
      <c r="AG61" s="99">
        <v>5955.3229382464451</v>
      </c>
      <c r="AH61" s="99">
        <v>9.8470566595981985</v>
      </c>
      <c r="AI61" s="99">
        <v>9370.4591172736455</v>
      </c>
      <c r="AJ61" s="99">
        <v>9.3525517621058132</v>
      </c>
      <c r="AK61" s="99">
        <v>8899.8882568198915</v>
      </c>
      <c r="AL61" s="99">
        <v>7</v>
      </c>
      <c r="AM61" s="99">
        <v>6661.1999999999989</v>
      </c>
      <c r="AN61" s="99">
        <v>10</v>
      </c>
      <c r="AO61" s="99">
        <v>9516</v>
      </c>
      <c r="AP61" s="99">
        <v>9</v>
      </c>
      <c r="AQ61" s="99">
        <v>8564.4</v>
      </c>
      <c r="AR61" s="99">
        <v>5.3874149940783349</v>
      </c>
      <c r="AS61" s="99">
        <v>5126.6641083649429</v>
      </c>
      <c r="AT61" s="99">
        <v>4.6778771779297612</v>
      </c>
      <c r="AU61" s="99">
        <v>4451.4679225179607</v>
      </c>
      <c r="AV61" s="99">
        <v>5.9028184830447659</v>
      </c>
      <c r="AW61" s="99">
        <v>5617.122068465399</v>
      </c>
      <c r="AX61" s="99">
        <v>8.96429524419435</v>
      </c>
      <c r="AY61" s="99">
        <v>8530.4233543753435</v>
      </c>
      <c r="AZ61" s="99">
        <v>5.2356718462402041</v>
      </c>
      <c r="BA61" s="99">
        <v>4982.2653288821775</v>
      </c>
      <c r="BB61" s="99">
        <v>4.3871231989625121</v>
      </c>
      <c r="BC61" s="99">
        <v>4174.7864361327265</v>
      </c>
      <c r="BD61" s="99">
        <v>9.8749959167996195</v>
      </c>
      <c r="BE61" s="99">
        <v>9397.0461144265173</v>
      </c>
      <c r="BF61" s="99">
        <v>3.0943744871073262</v>
      </c>
      <c r="BG61" s="99">
        <v>2944.6067619313312</v>
      </c>
      <c r="BH61" s="99">
        <v>6.3637301470655432</v>
      </c>
      <c r="BI61" s="99">
        <v>6055.7256079475701</v>
      </c>
      <c r="BJ61" s="99">
        <v>6.9204338638884799</v>
      </c>
      <c r="BK61" s="99">
        <v>6585.4848648762772</v>
      </c>
      <c r="BL61" s="99">
        <v>10</v>
      </c>
      <c r="BM61" s="99">
        <v>9516</v>
      </c>
      <c r="BN61" s="99">
        <v>10</v>
      </c>
      <c r="BO61" s="99">
        <v>9516</v>
      </c>
      <c r="BP61" s="99">
        <v>10.221843978930561</v>
      </c>
      <c r="BQ61" s="99">
        <v>9727.1067303503205</v>
      </c>
      <c r="BR61" s="99">
        <v>5.401983572811738</v>
      </c>
      <c r="BS61" s="99">
        <v>5140.5275678876496</v>
      </c>
      <c r="BT61" s="99">
        <v>6.7516556654210893</v>
      </c>
      <c r="BU61" s="99">
        <v>6424.8755312147077</v>
      </c>
      <c r="BV61" s="99">
        <v>9.6133616965806166</v>
      </c>
      <c r="BW61" s="99">
        <v>9148.0749904661134</v>
      </c>
      <c r="BX61" s="99">
        <v>7.5174142042290431</v>
      </c>
      <c r="BY61" s="99">
        <v>7153.5713567443563</v>
      </c>
      <c r="BZ61" s="99">
        <v>10.57674948734137</v>
      </c>
      <c r="CA61" s="99">
        <v>10064.834812154048</v>
      </c>
      <c r="CB61" s="99">
        <v>5</v>
      </c>
      <c r="CC61" s="99">
        <v>4758</v>
      </c>
      <c r="CD61" s="99">
        <v>9.8792229151933704</v>
      </c>
      <c r="CE61" s="99">
        <v>9401.0685260980099</v>
      </c>
      <c r="CF61" s="99">
        <v>9.3651268559865759</v>
      </c>
      <c r="CG61" s="99">
        <v>8911.854716156824</v>
      </c>
      <c r="CH61" s="99">
        <v>1.5928351260531566</v>
      </c>
      <c r="CI61" s="99">
        <v>1515.7419059521837</v>
      </c>
      <c r="CJ61" s="99">
        <v>5.5597164730123376</v>
      </c>
      <c r="CK61" s="99">
        <v>5290.6261957185397</v>
      </c>
      <c r="CL61" s="99">
        <v>9.9879584515144284</v>
      </c>
      <c r="CM61" s="99">
        <v>9504.541262461129</v>
      </c>
      <c r="CN61" s="99">
        <v>8</v>
      </c>
      <c r="CO61" s="99">
        <v>7612.7999999999993</v>
      </c>
      <c r="CP61" s="99">
        <v>12.147848845708374</v>
      </c>
      <c r="CQ61" s="99">
        <v>11559.892961576088</v>
      </c>
      <c r="CR61" s="99">
        <v>7.713422190834895</v>
      </c>
      <c r="CS61" s="99">
        <v>7340.092556798485</v>
      </c>
      <c r="CT61" s="99">
        <v>6.184761446414405</v>
      </c>
      <c r="CU61" s="99">
        <v>5885.4189924079474</v>
      </c>
    </row>
    <row r="62" spans="2:99">
      <c r="C62" s="98" t="s">
        <v>228</v>
      </c>
      <c r="D62" s="99">
        <v>3.4334492494588145</v>
      </c>
      <c r="E62" s="99">
        <v>5731.1134871966533</v>
      </c>
      <c r="F62" s="99">
        <v>5</v>
      </c>
      <c r="G62" s="99">
        <v>8346</v>
      </c>
      <c r="H62" s="99">
        <v>10</v>
      </c>
      <c r="I62" s="99">
        <v>16692</v>
      </c>
      <c r="J62" s="99">
        <v>6</v>
      </c>
      <c r="K62" s="99">
        <v>10015.200000000001</v>
      </c>
      <c r="L62" s="99">
        <v>9.6025953564560673</v>
      </c>
      <c r="M62" s="99">
        <v>16028.652168996468</v>
      </c>
      <c r="N62" s="99">
        <v>10.768705778929748</v>
      </c>
      <c r="O62" s="99">
        <v>17975.123686189534</v>
      </c>
      <c r="P62" s="99">
        <v>0.67360866239089001</v>
      </c>
      <c r="Q62" s="99">
        <v>1124.3875792628737</v>
      </c>
      <c r="R62" s="99">
        <v>0</v>
      </c>
      <c r="S62" s="99">
        <v>0</v>
      </c>
      <c r="T62" s="99">
        <v>0</v>
      </c>
      <c r="U62" s="99">
        <v>0</v>
      </c>
      <c r="V62" s="99">
        <v>0</v>
      </c>
      <c r="W62" s="99">
        <v>0</v>
      </c>
      <c r="X62" s="99">
        <v>7</v>
      </c>
      <c r="Y62" s="99">
        <v>11684.4</v>
      </c>
      <c r="Z62" s="99">
        <v>6.1840485404845449</v>
      </c>
      <c r="AA62" s="99">
        <v>10322.413823776802</v>
      </c>
      <c r="AB62" s="99">
        <v>6.055745588102508</v>
      </c>
      <c r="AC62" s="99">
        <v>10108.250535660707</v>
      </c>
      <c r="AD62" s="99">
        <v>3.902699236673163</v>
      </c>
      <c r="AE62" s="99">
        <v>6514.3855658548437</v>
      </c>
      <c r="AF62" s="99">
        <v>7.130994892832617</v>
      </c>
      <c r="AG62" s="99">
        <v>11903.056675116204</v>
      </c>
      <c r="AH62" s="99">
        <v>5.6806744611347151</v>
      </c>
      <c r="AI62" s="99">
        <v>9482.1818105260663</v>
      </c>
      <c r="AJ62" s="99">
        <v>8.6204279133700386</v>
      </c>
      <c r="AK62" s="99">
        <v>14389.218272997268</v>
      </c>
      <c r="AL62" s="99">
        <v>5.4580440465837681</v>
      </c>
      <c r="AM62" s="99">
        <v>9110.5671225576261</v>
      </c>
      <c r="AN62" s="99">
        <v>10.46020758426485</v>
      </c>
      <c r="AO62" s="99">
        <v>17460.178499654889</v>
      </c>
      <c r="AP62" s="99">
        <v>3.6591031853223162</v>
      </c>
      <c r="AQ62" s="99">
        <v>6107.7750369400101</v>
      </c>
      <c r="AR62" s="99">
        <v>8.8207355263268941</v>
      </c>
      <c r="AS62" s="99">
        <v>14723.571740544852</v>
      </c>
      <c r="AT62" s="99">
        <v>6.9995321507453596</v>
      </c>
      <c r="AU62" s="99">
        <v>11683.619066024155</v>
      </c>
      <c r="AV62" s="99">
        <v>5.5229555330025439</v>
      </c>
      <c r="AW62" s="99">
        <v>9218.9173756878463</v>
      </c>
      <c r="AX62" s="99">
        <v>7.8196906781962801</v>
      </c>
      <c r="AY62" s="99">
        <v>13052.627680045231</v>
      </c>
      <c r="AZ62" s="99">
        <v>7.1023409464851444</v>
      </c>
      <c r="BA62" s="99">
        <v>11855.227507873004</v>
      </c>
      <c r="BB62" s="99">
        <v>5.0229045984569103</v>
      </c>
      <c r="BC62" s="99">
        <v>8384.2323557442742</v>
      </c>
      <c r="BD62" s="99">
        <v>6.6511416220683897</v>
      </c>
      <c r="BE62" s="99">
        <v>11102.085595556557</v>
      </c>
      <c r="BF62" s="99">
        <v>2.5707209253178798</v>
      </c>
      <c r="BG62" s="99">
        <v>4291.047368540605</v>
      </c>
      <c r="BH62" s="99">
        <v>10.477188434274492</v>
      </c>
      <c r="BI62" s="99">
        <v>17488.522934490982</v>
      </c>
      <c r="BJ62" s="99">
        <v>6.6345988838198666</v>
      </c>
      <c r="BK62" s="99">
        <v>11074.472456872121</v>
      </c>
      <c r="BL62" s="99">
        <v>8.2512656518593683</v>
      </c>
      <c r="BM62" s="99">
        <v>13773.012626083659</v>
      </c>
      <c r="BN62" s="99">
        <v>10.660961375853823</v>
      </c>
      <c r="BO62" s="99">
        <v>17795.276728575202</v>
      </c>
      <c r="BP62" s="99">
        <v>9.3955919534989061</v>
      </c>
      <c r="BQ62" s="99">
        <v>15683.122088780374</v>
      </c>
      <c r="BR62" s="99">
        <v>4.90197314148931</v>
      </c>
      <c r="BS62" s="99">
        <v>8182.373567773956</v>
      </c>
      <c r="BT62" s="99">
        <v>6.9592452193224448</v>
      </c>
      <c r="BU62" s="99">
        <v>11616.372120093025</v>
      </c>
      <c r="BV62" s="99">
        <v>6.8201377465094364</v>
      </c>
      <c r="BW62" s="99">
        <v>11384.173926473552</v>
      </c>
      <c r="BX62" s="99">
        <v>7.2678651429813588</v>
      </c>
      <c r="BY62" s="99">
        <v>12131.520496664485</v>
      </c>
      <c r="BZ62" s="99">
        <v>7.2765107696689491</v>
      </c>
      <c r="CA62" s="99">
        <v>12145.95177673141</v>
      </c>
      <c r="CB62" s="99">
        <v>5.3331409677823656</v>
      </c>
      <c r="CC62" s="99">
        <v>8902.0789034223253</v>
      </c>
      <c r="CD62" s="99">
        <v>3.9595626348471917</v>
      </c>
      <c r="CE62" s="99">
        <v>6609.3019500869323</v>
      </c>
      <c r="CF62" s="99">
        <v>8.5441601191613366</v>
      </c>
      <c r="CG62" s="99">
        <v>14261.912070904104</v>
      </c>
      <c r="CH62" s="99">
        <v>6.0062341266735899</v>
      </c>
      <c r="CI62" s="99">
        <v>10025.606004243557</v>
      </c>
      <c r="CJ62" s="99">
        <v>6.034597762642159</v>
      </c>
      <c r="CK62" s="99">
        <v>10072.950585402292</v>
      </c>
      <c r="CL62" s="99">
        <v>4.9895623403691625</v>
      </c>
      <c r="CM62" s="99">
        <v>8328.5774585442068</v>
      </c>
      <c r="CN62" s="99">
        <v>6.2446532760980222</v>
      </c>
      <c r="CO62" s="99">
        <v>10423.575248462819</v>
      </c>
      <c r="CP62" s="99">
        <v>8.4401066666013147</v>
      </c>
      <c r="CQ62" s="99">
        <v>14088.226047890916</v>
      </c>
      <c r="CR62" s="99">
        <v>9.0373335196541476</v>
      </c>
      <c r="CS62" s="99">
        <v>15085.117111006704</v>
      </c>
      <c r="CT62" s="99">
        <v>6.5884833053633978</v>
      </c>
      <c r="CU62" s="99">
        <v>10997.496333312583</v>
      </c>
    </row>
    <row r="63" spans="2:99">
      <c r="C63" s="98" t="s">
        <v>229</v>
      </c>
      <c r="D63" s="99">
        <v>8</v>
      </c>
      <c r="E63" s="99">
        <v>6364.8</v>
      </c>
      <c r="F63" s="99">
        <v>5.7015713067302185</v>
      </c>
      <c r="G63" s="99">
        <v>4536.1701316345616</v>
      </c>
      <c r="H63" s="99">
        <v>10.408462097578777</v>
      </c>
      <c r="I63" s="99">
        <v>8280.9724448336747</v>
      </c>
      <c r="J63" s="99">
        <v>7</v>
      </c>
      <c r="K63" s="99">
        <v>5569.2</v>
      </c>
      <c r="L63" s="99">
        <v>7.1890131654421889</v>
      </c>
      <c r="M63" s="99">
        <v>5719.5788744258061</v>
      </c>
      <c r="N63" s="99">
        <v>11</v>
      </c>
      <c r="O63" s="99">
        <v>8751.6</v>
      </c>
      <c r="P63" s="99">
        <v>10</v>
      </c>
      <c r="Q63" s="99">
        <v>7956</v>
      </c>
      <c r="R63" s="99">
        <v>8</v>
      </c>
      <c r="S63" s="99">
        <v>6364.8</v>
      </c>
      <c r="T63" s="99">
        <v>7.6796963355580834</v>
      </c>
      <c r="U63" s="99">
        <v>6109.966404570011</v>
      </c>
      <c r="V63" s="99">
        <v>7</v>
      </c>
      <c r="W63" s="99">
        <v>5569.2</v>
      </c>
      <c r="X63" s="99">
        <v>7</v>
      </c>
      <c r="Y63" s="99">
        <v>5569.2</v>
      </c>
      <c r="Z63" s="99">
        <v>5</v>
      </c>
      <c r="AA63" s="99">
        <v>3978</v>
      </c>
      <c r="AB63" s="99">
        <v>3.6700716537558984</v>
      </c>
      <c r="AC63" s="99">
        <v>2919.909007728193</v>
      </c>
      <c r="AD63" s="99">
        <v>5.8719499048824124</v>
      </c>
      <c r="AE63" s="99">
        <v>4671.7233443244477</v>
      </c>
      <c r="AF63" s="99">
        <v>6.9591532256054425</v>
      </c>
      <c r="AG63" s="99">
        <v>5536.7023062916905</v>
      </c>
      <c r="AH63" s="99">
        <v>8.991369497141271</v>
      </c>
      <c r="AI63" s="99">
        <v>7153.5335719255954</v>
      </c>
      <c r="AJ63" s="99">
        <v>10.352551762105813</v>
      </c>
      <c r="AK63" s="99">
        <v>8236.4901819313855</v>
      </c>
      <c r="AL63" s="99">
        <v>6</v>
      </c>
      <c r="AM63" s="99">
        <v>4773.6000000000004</v>
      </c>
      <c r="AN63" s="99">
        <v>12</v>
      </c>
      <c r="AO63" s="99">
        <v>9547.2000000000007</v>
      </c>
      <c r="AP63" s="99">
        <v>9</v>
      </c>
      <c r="AQ63" s="99">
        <v>7160.4000000000005</v>
      </c>
      <c r="AR63" s="99">
        <v>5.3864394094481929</v>
      </c>
      <c r="AS63" s="99">
        <v>4285.4511941569826</v>
      </c>
      <c r="AT63" s="99">
        <v>5.3249424368624529</v>
      </c>
      <c r="AU63" s="99">
        <v>4236.5242027677677</v>
      </c>
      <c r="AV63" s="99">
        <v>5.9028184830447659</v>
      </c>
      <c r="AW63" s="99">
        <v>4696.2823851104158</v>
      </c>
      <c r="AX63" s="99">
        <v>8.96429524419435</v>
      </c>
      <c r="AY63" s="99">
        <v>7131.9932962810253</v>
      </c>
      <c r="AZ63" s="99">
        <v>5.2356718462402041</v>
      </c>
      <c r="BA63" s="99">
        <v>4165.5005208687062</v>
      </c>
      <c r="BB63" s="99">
        <v>3.7462647861880702</v>
      </c>
      <c r="BC63" s="99">
        <v>2980.5282638912286</v>
      </c>
      <c r="BD63" s="99">
        <v>11.049995100159544</v>
      </c>
      <c r="BE63" s="99">
        <v>8791.3761016869339</v>
      </c>
      <c r="BF63" s="99">
        <v>2.6704562220531618</v>
      </c>
      <c r="BG63" s="99">
        <v>2124.6149702654957</v>
      </c>
      <c r="BH63" s="99">
        <v>5.3596751656974915</v>
      </c>
      <c r="BI63" s="99">
        <v>4264.1575618289244</v>
      </c>
      <c r="BJ63" s="99">
        <v>7.7670282199070666</v>
      </c>
      <c r="BK63" s="99">
        <v>6179.4476517580624</v>
      </c>
      <c r="BL63" s="99">
        <v>9</v>
      </c>
      <c r="BM63" s="99">
        <v>7160.4000000000005</v>
      </c>
      <c r="BN63" s="99">
        <v>10</v>
      </c>
      <c r="BO63" s="99">
        <v>7956</v>
      </c>
      <c r="BP63" s="99">
        <v>11.221843978930561</v>
      </c>
      <c r="BQ63" s="99">
        <v>8928.0990696371555</v>
      </c>
      <c r="BR63" s="99">
        <v>5.401983572811738</v>
      </c>
      <c r="BS63" s="99">
        <v>4297.8181305290191</v>
      </c>
      <c r="BT63" s="99">
        <v>6.8997605309369812</v>
      </c>
      <c r="BU63" s="99">
        <v>5489.4494784134622</v>
      </c>
      <c r="BV63" s="99">
        <v>8.6178554593396512</v>
      </c>
      <c r="BW63" s="99">
        <v>6856.365803450627</v>
      </c>
      <c r="BX63" s="99">
        <v>7.4825128815364854</v>
      </c>
      <c r="BY63" s="99">
        <v>5953.0872485504278</v>
      </c>
      <c r="BZ63" s="99">
        <v>10.57674948734137</v>
      </c>
      <c r="CA63" s="99">
        <v>8414.8618921287944</v>
      </c>
      <c r="CB63" s="99">
        <v>6</v>
      </c>
      <c r="CC63" s="99">
        <v>4773.6000000000004</v>
      </c>
      <c r="CD63" s="99">
        <v>9.8792229151933704</v>
      </c>
      <c r="CE63" s="99">
        <v>7859.9097513278457</v>
      </c>
      <c r="CF63" s="99">
        <v>10.305306648368207</v>
      </c>
      <c r="CG63" s="99">
        <v>8198.9019694417457</v>
      </c>
      <c r="CH63" s="99">
        <v>1.8583076470620163</v>
      </c>
      <c r="CI63" s="99">
        <v>1478.4695640025402</v>
      </c>
      <c r="CJ63" s="99">
        <v>6.5639238028820079</v>
      </c>
      <c r="CK63" s="99">
        <v>5222.257777572926</v>
      </c>
      <c r="CL63" s="99">
        <v>9.9879584515144284</v>
      </c>
      <c r="CM63" s="99">
        <v>7946.419744024879</v>
      </c>
      <c r="CN63" s="99">
        <v>8</v>
      </c>
      <c r="CO63" s="99">
        <v>6364.8</v>
      </c>
      <c r="CP63" s="99">
        <v>11.192339958048729</v>
      </c>
      <c r="CQ63" s="99">
        <v>8904.625670623569</v>
      </c>
      <c r="CR63" s="99">
        <v>7.713422190834895</v>
      </c>
      <c r="CS63" s="99">
        <v>6136.7986950282429</v>
      </c>
      <c r="CT63" s="99">
        <v>6.184761446414405</v>
      </c>
      <c r="CU63" s="99">
        <v>4920.5962067673008</v>
      </c>
    </row>
    <row r="64" spans="2:99">
      <c r="C64" s="98" t="s">
        <v>230</v>
      </c>
      <c r="D64" s="99">
        <v>7</v>
      </c>
      <c r="E64" s="99">
        <v>7064.3999999999987</v>
      </c>
      <c r="F64" s="99">
        <v>4.8870611200544731</v>
      </c>
      <c r="G64" s="99">
        <v>4932.0220823589734</v>
      </c>
      <c r="H64" s="99">
        <v>9.4622382705261607</v>
      </c>
      <c r="I64" s="99">
        <v>9549.2908626150002</v>
      </c>
      <c r="J64" s="99">
        <v>6</v>
      </c>
      <c r="K64" s="99">
        <v>6055.1999999999989</v>
      </c>
      <c r="L64" s="99">
        <v>7.1586814952679791</v>
      </c>
      <c r="M64" s="99">
        <v>7224.5413650244436</v>
      </c>
      <c r="N64" s="99">
        <v>11</v>
      </c>
      <c r="O64" s="99">
        <v>11101.199999999997</v>
      </c>
      <c r="P64" s="99">
        <v>9</v>
      </c>
      <c r="Q64" s="99">
        <v>9082.7999999999993</v>
      </c>
      <c r="R64" s="99">
        <v>7</v>
      </c>
      <c r="S64" s="99">
        <v>7064.3999999999987</v>
      </c>
      <c r="T64" s="99">
        <v>7.6796963355580834</v>
      </c>
      <c r="U64" s="99">
        <v>7750.3495418452167</v>
      </c>
      <c r="V64" s="99">
        <v>6</v>
      </c>
      <c r="W64" s="99">
        <v>6055.1999999999989</v>
      </c>
      <c r="X64" s="99">
        <v>7</v>
      </c>
      <c r="Y64" s="99">
        <v>7064.3999999999987</v>
      </c>
      <c r="Z64" s="99">
        <v>6</v>
      </c>
      <c r="AA64" s="99">
        <v>6055.1999999999989</v>
      </c>
      <c r="AB64" s="99">
        <v>3.6700716537558984</v>
      </c>
      <c r="AC64" s="99">
        <v>3703.8363129704521</v>
      </c>
      <c r="AD64" s="99">
        <v>5.0891207386903972</v>
      </c>
      <c r="AE64" s="99">
        <v>5135.9406494863479</v>
      </c>
      <c r="AF64" s="99">
        <v>6.1032188971156502</v>
      </c>
      <c r="AG64" s="99">
        <v>6159.3685109691132</v>
      </c>
      <c r="AH64" s="99">
        <v>9.0984505982129438</v>
      </c>
      <c r="AI64" s="99">
        <v>9182.1563437165005</v>
      </c>
      <c r="AJ64" s="99">
        <v>9.3525517621058132</v>
      </c>
      <c r="AK64" s="99">
        <v>9438.5952383171843</v>
      </c>
      <c r="AL64" s="99">
        <v>6</v>
      </c>
      <c r="AM64" s="99">
        <v>6055.1999999999989</v>
      </c>
      <c r="AN64" s="99">
        <v>11</v>
      </c>
      <c r="AO64" s="99">
        <v>11101.199999999997</v>
      </c>
      <c r="AP64" s="99">
        <v>9</v>
      </c>
      <c r="AQ64" s="99">
        <v>9082.7999999999993</v>
      </c>
      <c r="AR64" s="99">
        <v>5.3319530260237489</v>
      </c>
      <c r="AS64" s="99">
        <v>5381.0069938631668</v>
      </c>
      <c r="AT64" s="99">
        <v>4.568839012240395</v>
      </c>
      <c r="AU64" s="99">
        <v>4610.8723311530057</v>
      </c>
      <c r="AV64" s="99">
        <v>6.0646911246216089</v>
      </c>
      <c r="AW64" s="99">
        <v>6120.4862829681269</v>
      </c>
      <c r="AX64" s="99">
        <v>8.8035793701619589</v>
      </c>
      <c r="AY64" s="99">
        <v>8884.5723003674466</v>
      </c>
      <c r="AZ64" s="99">
        <v>5.2356718462402041</v>
      </c>
      <c r="BA64" s="99">
        <v>5283.8400272256131</v>
      </c>
      <c r="BB64" s="99">
        <v>3.4262646633560103</v>
      </c>
      <c r="BC64" s="99">
        <v>3457.7862982588849</v>
      </c>
      <c r="BD64" s="99">
        <v>10.049995100159544</v>
      </c>
      <c r="BE64" s="99">
        <v>10142.455055081009</v>
      </c>
      <c r="BF64" s="99">
        <v>2.6545878930871396</v>
      </c>
      <c r="BG64" s="99">
        <v>2679.0101017035408</v>
      </c>
      <c r="BH64" s="99">
        <v>5.863499247902757</v>
      </c>
      <c r="BI64" s="99">
        <v>5917.4434409834612</v>
      </c>
      <c r="BJ64" s="99">
        <v>7.7670282199070666</v>
      </c>
      <c r="BK64" s="99">
        <v>7838.4848795302105</v>
      </c>
      <c r="BL64" s="99">
        <v>9</v>
      </c>
      <c r="BM64" s="99">
        <v>9082.7999999999993</v>
      </c>
      <c r="BN64" s="99">
        <v>11</v>
      </c>
      <c r="BO64" s="99">
        <v>11101.199999999997</v>
      </c>
      <c r="BP64" s="99">
        <v>10.221843978930561</v>
      </c>
      <c r="BQ64" s="99">
        <v>10315.884943536721</v>
      </c>
      <c r="BR64" s="99">
        <v>4.4609830762899652</v>
      </c>
      <c r="BS64" s="99">
        <v>4502.0241205918319</v>
      </c>
      <c r="BT64" s="99">
        <v>6.9007724707407654</v>
      </c>
      <c r="BU64" s="99">
        <v>6964.2595774715792</v>
      </c>
      <c r="BV64" s="99">
        <v>7.6178554593396512</v>
      </c>
      <c r="BW64" s="99">
        <v>7687.9397295655745</v>
      </c>
      <c r="BX64" s="99">
        <v>7.5139240719597868</v>
      </c>
      <c r="BY64" s="99">
        <v>7583.0521734218155</v>
      </c>
      <c r="BZ64" s="99">
        <v>9.5767494873413703</v>
      </c>
      <c r="CA64" s="99">
        <v>9664.8555826249085</v>
      </c>
      <c r="CB64" s="99">
        <v>5</v>
      </c>
      <c r="CC64" s="99">
        <v>5045.9999999999991</v>
      </c>
      <c r="CD64" s="99">
        <v>8.9146158749630384</v>
      </c>
      <c r="CE64" s="99">
        <v>8996.6303410126966</v>
      </c>
      <c r="CF64" s="99">
        <v>10.301302972085665</v>
      </c>
      <c r="CG64" s="99">
        <v>10396.074959428852</v>
      </c>
      <c r="CH64" s="99">
        <v>1.5928351260531566</v>
      </c>
      <c r="CI64" s="99">
        <v>1607.4892092128453</v>
      </c>
      <c r="CJ64" s="99">
        <v>6.4728772878268233</v>
      </c>
      <c r="CK64" s="99">
        <v>6532.4277588748291</v>
      </c>
      <c r="CL64" s="99">
        <v>8.9879584515144284</v>
      </c>
      <c r="CM64" s="99">
        <v>9070.6476692683591</v>
      </c>
      <c r="CN64" s="99">
        <v>8</v>
      </c>
      <c r="CO64" s="99">
        <v>8073.5999999999985</v>
      </c>
      <c r="CP64" s="99">
        <v>11.078716259083293</v>
      </c>
      <c r="CQ64" s="99">
        <v>11180.640448666858</v>
      </c>
      <c r="CR64" s="99">
        <v>6.1040368677676078</v>
      </c>
      <c r="CS64" s="99">
        <v>6160.1940069510683</v>
      </c>
      <c r="CT64" s="99">
        <v>6.184761446414405</v>
      </c>
      <c r="CU64" s="99">
        <v>6241.6612517214162</v>
      </c>
    </row>
    <row r="65" spans="2:99">
      <c r="C65" s="98" t="s">
        <v>231</v>
      </c>
      <c r="D65" s="99">
        <v>7</v>
      </c>
      <c r="E65" s="99">
        <v>7182</v>
      </c>
      <c r="F65" s="99">
        <v>4.8870611200544731</v>
      </c>
      <c r="G65" s="99">
        <v>5014.1247091758896</v>
      </c>
      <c r="H65" s="99">
        <v>10.408462097578777</v>
      </c>
      <c r="I65" s="99">
        <v>10679.082112115826</v>
      </c>
      <c r="J65" s="99">
        <v>6</v>
      </c>
      <c r="K65" s="99">
        <v>6156</v>
      </c>
      <c r="L65" s="99">
        <v>7.1586814952679791</v>
      </c>
      <c r="M65" s="99">
        <v>7344.8072141449466</v>
      </c>
      <c r="N65" s="99">
        <v>12</v>
      </c>
      <c r="O65" s="99">
        <v>12312</v>
      </c>
      <c r="P65" s="99">
        <v>11</v>
      </c>
      <c r="Q65" s="99">
        <v>11286</v>
      </c>
      <c r="R65" s="99">
        <v>7</v>
      </c>
      <c r="S65" s="99">
        <v>7182</v>
      </c>
      <c r="T65" s="99">
        <v>7.6796963355580834</v>
      </c>
      <c r="U65" s="99">
        <v>7879.3684402825938</v>
      </c>
      <c r="V65" s="99">
        <v>7</v>
      </c>
      <c r="W65" s="99">
        <v>7182</v>
      </c>
      <c r="X65" s="99">
        <v>7</v>
      </c>
      <c r="Y65" s="99">
        <v>7182</v>
      </c>
      <c r="Z65" s="99">
        <v>6</v>
      </c>
      <c r="AA65" s="99">
        <v>6156</v>
      </c>
      <c r="AB65" s="99">
        <v>3.6700716537558984</v>
      </c>
      <c r="AC65" s="99">
        <v>3765.4935167535518</v>
      </c>
      <c r="AD65" s="99">
        <v>5.0906173763759961</v>
      </c>
      <c r="AE65" s="99">
        <v>5222.9734281617721</v>
      </c>
      <c r="AF65" s="99">
        <v>7.1141551547260766</v>
      </c>
      <c r="AG65" s="99">
        <v>7299.1231887489548</v>
      </c>
      <c r="AH65" s="99">
        <v>9.9535204138413409</v>
      </c>
      <c r="AI65" s="99">
        <v>10212.311944601215</v>
      </c>
      <c r="AJ65" s="99">
        <v>10.352551762105813</v>
      </c>
      <c r="AK65" s="99">
        <v>10621.718107920564</v>
      </c>
      <c r="AL65" s="99">
        <v>7</v>
      </c>
      <c r="AM65" s="99">
        <v>7182</v>
      </c>
      <c r="AN65" s="99">
        <v>10</v>
      </c>
      <c r="AO65" s="99">
        <v>10260</v>
      </c>
      <c r="AP65" s="99">
        <v>9</v>
      </c>
      <c r="AQ65" s="99">
        <v>9234</v>
      </c>
      <c r="AR65" s="99">
        <v>4.7776808274943399</v>
      </c>
      <c r="AS65" s="99">
        <v>4901.9005290091927</v>
      </c>
      <c r="AT65" s="99">
        <v>4.5742087563250706</v>
      </c>
      <c r="AU65" s="99">
        <v>4693.1381839895221</v>
      </c>
      <c r="AV65" s="99">
        <v>5.0103351314529023</v>
      </c>
      <c r="AW65" s="99">
        <v>5140.6038448706777</v>
      </c>
      <c r="AX65" s="99">
        <v>7.96429524419435</v>
      </c>
      <c r="AY65" s="99">
        <v>8171.3669205434035</v>
      </c>
      <c r="AZ65" s="99">
        <v>5.9836249671316617</v>
      </c>
      <c r="BA65" s="99">
        <v>6139.1992162770848</v>
      </c>
      <c r="BB65" s="99">
        <v>4.0988334474852817</v>
      </c>
      <c r="BC65" s="99">
        <v>4205.4031171198994</v>
      </c>
      <c r="BD65" s="99">
        <v>11.87499591679962</v>
      </c>
      <c r="BE65" s="99">
        <v>12183.74581063641</v>
      </c>
      <c r="BF65" s="99">
        <v>2.6545878930871396</v>
      </c>
      <c r="BG65" s="99">
        <v>2723.6071783074053</v>
      </c>
      <c r="BH65" s="99">
        <v>5.863499247902757</v>
      </c>
      <c r="BI65" s="99">
        <v>6015.9502283482288</v>
      </c>
      <c r="BJ65" s="99">
        <v>7.9204338638884799</v>
      </c>
      <c r="BK65" s="99">
        <v>8126.3651443495801</v>
      </c>
      <c r="BL65" s="99">
        <v>9</v>
      </c>
      <c r="BM65" s="99">
        <v>9234</v>
      </c>
      <c r="BN65" s="99">
        <v>10</v>
      </c>
      <c r="BO65" s="99">
        <v>10260</v>
      </c>
      <c r="BP65" s="99">
        <v>11.221843978930561</v>
      </c>
      <c r="BQ65" s="99">
        <v>11513.611922382755</v>
      </c>
      <c r="BR65" s="99">
        <v>4.4167489156823931</v>
      </c>
      <c r="BS65" s="99">
        <v>4531.5843874901357</v>
      </c>
      <c r="BT65" s="99">
        <v>6.8997605309369812</v>
      </c>
      <c r="BU65" s="99">
        <v>7079.1543047413425</v>
      </c>
      <c r="BV65" s="99">
        <v>8.6178554593396512</v>
      </c>
      <c r="BW65" s="99">
        <v>8841.9197012824825</v>
      </c>
      <c r="BX65" s="99">
        <v>6.6059470957613327</v>
      </c>
      <c r="BY65" s="99">
        <v>6777.701720251127</v>
      </c>
      <c r="BZ65" s="99">
        <v>10.57674948734137</v>
      </c>
      <c r="CA65" s="99">
        <v>10851.744974012247</v>
      </c>
      <c r="CB65" s="99">
        <v>5</v>
      </c>
      <c r="CC65" s="99">
        <v>5130</v>
      </c>
      <c r="CD65" s="99">
        <v>9.8792229151933704</v>
      </c>
      <c r="CE65" s="99">
        <v>10136.082710988398</v>
      </c>
      <c r="CF65" s="99">
        <v>10.186529141015896</v>
      </c>
      <c r="CG65" s="99">
        <v>10451.378898682309</v>
      </c>
      <c r="CH65" s="99">
        <v>1.5928351260531566</v>
      </c>
      <c r="CI65" s="99">
        <v>1634.2488393305387</v>
      </c>
      <c r="CJ65" s="99">
        <v>6.5639238028820079</v>
      </c>
      <c r="CK65" s="99">
        <v>6734.5858217569403</v>
      </c>
      <c r="CL65" s="99">
        <v>8.8232987095953579</v>
      </c>
      <c r="CM65" s="99">
        <v>9052.7044760448371</v>
      </c>
      <c r="CN65" s="99">
        <v>8</v>
      </c>
      <c r="CO65" s="99">
        <v>8208</v>
      </c>
      <c r="CP65" s="99">
        <v>11.078716259083293</v>
      </c>
      <c r="CQ65" s="99">
        <v>11366.762881819459</v>
      </c>
      <c r="CR65" s="99">
        <v>6.9087295293012509</v>
      </c>
      <c r="CS65" s="99">
        <v>7088.3564970630832</v>
      </c>
      <c r="CT65" s="99">
        <v>6.184761446414405</v>
      </c>
      <c r="CU65" s="99">
        <v>6345.5652440211798</v>
      </c>
    </row>
    <row r="66" spans="2:99">
      <c r="C66" s="98" t="s">
        <v>232</v>
      </c>
      <c r="D66" s="99">
        <v>7</v>
      </c>
      <c r="E66" s="99">
        <v>8332.7999999999993</v>
      </c>
      <c r="F66" s="99">
        <v>4.8870611200544731</v>
      </c>
      <c r="G66" s="99">
        <v>5817.5575573128444</v>
      </c>
      <c r="H66" s="99">
        <v>10.408462097578777</v>
      </c>
      <c r="I66" s="99">
        <v>12390.233280957775</v>
      </c>
      <c r="J66" s="99">
        <v>6</v>
      </c>
      <c r="K66" s="99">
        <v>7142.4</v>
      </c>
      <c r="L66" s="99">
        <v>7.1890131654421889</v>
      </c>
      <c r="M66" s="99">
        <v>8557.8012721423802</v>
      </c>
      <c r="N66" s="99">
        <v>10</v>
      </c>
      <c r="O66" s="99">
        <v>11903.999999999998</v>
      </c>
      <c r="P66" s="99">
        <v>9</v>
      </c>
      <c r="Q66" s="99">
        <v>10713.599999999999</v>
      </c>
      <c r="R66" s="99">
        <v>8</v>
      </c>
      <c r="S66" s="99">
        <v>9523.1999999999989</v>
      </c>
      <c r="T66" s="99">
        <v>8.447665969113892</v>
      </c>
      <c r="U66" s="99">
        <v>10056.101569633176</v>
      </c>
      <c r="V66" s="99">
        <v>7</v>
      </c>
      <c r="W66" s="99">
        <v>8332.7999999999993</v>
      </c>
      <c r="X66" s="99">
        <v>6</v>
      </c>
      <c r="Y66" s="99">
        <v>7142.4</v>
      </c>
      <c r="Z66" s="99">
        <v>5</v>
      </c>
      <c r="AA66" s="99">
        <v>5951.9999999999991</v>
      </c>
      <c r="AB66" s="99">
        <v>3.6700716537558984</v>
      </c>
      <c r="AC66" s="99">
        <v>4368.8532966310213</v>
      </c>
      <c r="AD66" s="99">
        <v>5.0148821759024118</v>
      </c>
      <c r="AE66" s="99">
        <v>5969.7157421942302</v>
      </c>
      <c r="AF66" s="99">
        <v>6.1085905187518055</v>
      </c>
      <c r="AG66" s="99">
        <v>7271.6661535221483</v>
      </c>
      <c r="AH66" s="99">
        <v>9.0978332513844116</v>
      </c>
      <c r="AI66" s="99">
        <v>10830.060702448001</v>
      </c>
      <c r="AJ66" s="99">
        <v>9.3525517621058132</v>
      </c>
      <c r="AK66" s="99">
        <v>11133.277617610758</v>
      </c>
      <c r="AL66" s="99">
        <v>7</v>
      </c>
      <c r="AM66" s="99">
        <v>8332.7999999999993</v>
      </c>
      <c r="AN66" s="99">
        <v>10</v>
      </c>
      <c r="AO66" s="99">
        <v>11903.999999999998</v>
      </c>
      <c r="AP66" s="99">
        <v>8</v>
      </c>
      <c r="AQ66" s="99">
        <v>9523.1999999999989</v>
      </c>
      <c r="AR66" s="99">
        <v>5.3874149940783349</v>
      </c>
      <c r="AS66" s="99">
        <v>6413.1788089508491</v>
      </c>
      <c r="AT66" s="99">
        <v>3.9271434973923793</v>
      </c>
      <c r="AU66" s="99">
        <v>4674.8716192958882</v>
      </c>
      <c r="AV66" s="99">
        <v>5.9028184830447659</v>
      </c>
      <c r="AW66" s="99">
        <v>7026.7151222164885</v>
      </c>
      <c r="AX66" s="99">
        <v>7.96429524419435</v>
      </c>
      <c r="AY66" s="99">
        <v>9480.6970586889529</v>
      </c>
      <c r="AZ66" s="99">
        <v>5.2356718462402041</v>
      </c>
      <c r="BA66" s="99">
        <v>6232.5437657643379</v>
      </c>
      <c r="BB66" s="99">
        <v>3.4262646633560103</v>
      </c>
      <c r="BC66" s="99">
        <v>4078.6254552589944</v>
      </c>
      <c r="BD66" s="99">
        <v>10.049995100159544</v>
      </c>
      <c r="BE66" s="99">
        <v>11963.51416722992</v>
      </c>
      <c r="BF66" s="99">
        <v>2.6704562220531618</v>
      </c>
      <c r="BG66" s="99">
        <v>3178.9110867320833</v>
      </c>
      <c r="BH66" s="99">
        <v>6.2779817865906145</v>
      </c>
      <c r="BI66" s="99">
        <v>7473.3095187574663</v>
      </c>
      <c r="BJ66" s="99">
        <v>7.7670282199070666</v>
      </c>
      <c r="BK66" s="99">
        <v>9245.870392977371</v>
      </c>
      <c r="BL66" s="99">
        <v>10</v>
      </c>
      <c r="BM66" s="99">
        <v>11903.999999999998</v>
      </c>
      <c r="BN66" s="99">
        <v>11</v>
      </c>
      <c r="BO66" s="99">
        <v>13094.399999999998</v>
      </c>
      <c r="BP66" s="99">
        <v>10.221843978930561</v>
      </c>
      <c r="BQ66" s="99">
        <v>12168.083072518939</v>
      </c>
      <c r="BR66" s="99">
        <v>4.9317628002826472</v>
      </c>
      <c r="BS66" s="99">
        <v>5870.7704374564628</v>
      </c>
      <c r="BT66" s="99">
        <v>6.8997605309369812</v>
      </c>
      <c r="BU66" s="99">
        <v>8213.4749360273818</v>
      </c>
      <c r="BV66" s="99">
        <v>8.6133616965806166</v>
      </c>
      <c r="BW66" s="99">
        <v>10253.345763609565</v>
      </c>
      <c r="BX66" s="99">
        <v>6.637358286184635</v>
      </c>
      <c r="BY66" s="99">
        <v>7901.1113038741887</v>
      </c>
      <c r="BZ66" s="99">
        <v>10.57674948734137</v>
      </c>
      <c r="CA66" s="99">
        <v>12590.562589731166</v>
      </c>
      <c r="CB66" s="99">
        <v>6</v>
      </c>
      <c r="CC66" s="99">
        <v>7142.4</v>
      </c>
      <c r="CD66" s="99">
        <v>9.8792229151933704</v>
      </c>
      <c r="CE66" s="99">
        <v>11760.226958246187</v>
      </c>
      <c r="CF66" s="99">
        <v>10.305306648368207</v>
      </c>
      <c r="CG66" s="99">
        <v>12267.437034217512</v>
      </c>
      <c r="CH66" s="99">
        <v>1.5928351260531566</v>
      </c>
      <c r="CI66" s="99">
        <v>1896.1109340536773</v>
      </c>
      <c r="CJ66" s="99">
        <v>5.4912175652079656</v>
      </c>
      <c r="CK66" s="99">
        <v>6536.7453896235611</v>
      </c>
      <c r="CL66" s="99">
        <v>8.9879584515144284</v>
      </c>
      <c r="CM66" s="99">
        <v>10699.265740682775</v>
      </c>
      <c r="CN66" s="99">
        <v>7</v>
      </c>
      <c r="CO66" s="99">
        <v>8332.7999999999993</v>
      </c>
      <c r="CP66" s="99">
        <v>11.192339958048729</v>
      </c>
      <c r="CQ66" s="99">
        <v>13323.361486061205</v>
      </c>
      <c r="CR66" s="99">
        <v>6.9087295293012509</v>
      </c>
      <c r="CS66" s="99">
        <v>8224.1516316802081</v>
      </c>
      <c r="CT66" s="99">
        <v>6.184761446414405</v>
      </c>
      <c r="CU66" s="99">
        <v>7362.3400258117072</v>
      </c>
    </row>
    <row r="67" spans="2:99">
      <c r="C67" s="98" t="s">
        <v>233</v>
      </c>
      <c r="D67" s="99">
        <v>6</v>
      </c>
      <c r="E67" s="99">
        <v>6739.2000000000007</v>
      </c>
      <c r="F67" s="99">
        <v>4.8870611200544731</v>
      </c>
      <c r="G67" s="99">
        <v>5489.1470500451842</v>
      </c>
      <c r="H67" s="99">
        <v>8.5160144434735461</v>
      </c>
      <c r="I67" s="99">
        <v>9565.1874229094865</v>
      </c>
      <c r="J67" s="99">
        <v>6</v>
      </c>
      <c r="K67" s="99">
        <v>6739.2000000000007</v>
      </c>
      <c r="L67" s="99">
        <v>7.1586814952679791</v>
      </c>
      <c r="M67" s="99">
        <v>8040.6310554849942</v>
      </c>
      <c r="N67" s="99">
        <v>11</v>
      </c>
      <c r="O67" s="99">
        <v>12355.2</v>
      </c>
      <c r="P67" s="99">
        <v>11</v>
      </c>
      <c r="Q67" s="99">
        <v>12355.2</v>
      </c>
      <c r="R67" s="99">
        <v>8</v>
      </c>
      <c r="S67" s="99">
        <v>8985.6</v>
      </c>
      <c r="T67" s="99">
        <v>8.447665969113892</v>
      </c>
      <c r="U67" s="99">
        <v>9488.4184165087245</v>
      </c>
      <c r="V67" s="99">
        <v>6</v>
      </c>
      <c r="W67" s="99">
        <v>6739.2000000000007</v>
      </c>
      <c r="X67" s="99">
        <v>7</v>
      </c>
      <c r="Y67" s="99">
        <v>7862.4000000000005</v>
      </c>
      <c r="Z67" s="99">
        <v>6</v>
      </c>
      <c r="AA67" s="99">
        <v>6739.2000000000007</v>
      </c>
      <c r="AB67" s="99">
        <v>4.2817502627152146</v>
      </c>
      <c r="AC67" s="99">
        <v>4809.2618950817296</v>
      </c>
      <c r="AD67" s="99">
        <v>4.3047949348127839</v>
      </c>
      <c r="AE67" s="99">
        <v>4835.1456707817188</v>
      </c>
      <c r="AF67" s="99">
        <v>7.1141551547260766</v>
      </c>
      <c r="AG67" s="99">
        <v>7990.6190697883294</v>
      </c>
      <c r="AH67" s="99">
        <v>9.8470566595981985</v>
      </c>
      <c r="AI67" s="99">
        <v>11060.214040060697</v>
      </c>
      <c r="AJ67" s="99">
        <v>10.352551762105813</v>
      </c>
      <c r="AK67" s="99">
        <v>11627.98613919725</v>
      </c>
      <c r="AL67" s="99">
        <v>6</v>
      </c>
      <c r="AM67" s="99">
        <v>6739.2000000000007</v>
      </c>
      <c r="AN67" s="99">
        <v>11</v>
      </c>
      <c r="AO67" s="99">
        <v>12355.2</v>
      </c>
      <c r="AP67" s="99">
        <v>8</v>
      </c>
      <c r="AQ67" s="99">
        <v>8985.6</v>
      </c>
      <c r="AR67" s="99">
        <v>5.3864394094481929</v>
      </c>
      <c r="AS67" s="99">
        <v>6050.0487446922107</v>
      </c>
      <c r="AT67" s="99">
        <v>4.6832469220144368</v>
      </c>
      <c r="AU67" s="99">
        <v>5260.2229428066157</v>
      </c>
      <c r="AV67" s="99">
        <v>6.0683558569017881</v>
      </c>
      <c r="AW67" s="99">
        <v>6815.9772984720885</v>
      </c>
      <c r="AX67" s="99">
        <v>7.96429524419435</v>
      </c>
      <c r="AY67" s="99">
        <v>8945.4964182790936</v>
      </c>
      <c r="AZ67" s="99">
        <v>5.2356718462402041</v>
      </c>
      <c r="BA67" s="99">
        <v>5880.7066176969975</v>
      </c>
      <c r="BB67" s="99">
        <v>3.7462647861880702</v>
      </c>
      <c r="BC67" s="99">
        <v>4207.8046078464404</v>
      </c>
      <c r="BD67" s="99">
        <v>11.049995100159544</v>
      </c>
      <c r="BE67" s="99">
        <v>12411.3544964992</v>
      </c>
      <c r="BF67" s="99">
        <v>2.6704562220531618</v>
      </c>
      <c r="BG67" s="99">
        <v>2999.4564286101113</v>
      </c>
      <c r="BH67" s="99">
        <v>5.2847063543500017</v>
      </c>
      <c r="BI67" s="99">
        <v>5935.7821772059224</v>
      </c>
      <c r="BJ67" s="99">
        <v>6.7670282199070666</v>
      </c>
      <c r="BK67" s="99">
        <v>7600.7260965996174</v>
      </c>
      <c r="BL67" s="99">
        <v>8</v>
      </c>
      <c r="BM67" s="99">
        <v>8985.6</v>
      </c>
      <c r="BN67" s="99">
        <v>12</v>
      </c>
      <c r="BO67" s="99">
        <v>13478.400000000001</v>
      </c>
      <c r="BP67" s="99">
        <v>10.221843978930561</v>
      </c>
      <c r="BQ67" s="99">
        <v>11481.175157134807</v>
      </c>
      <c r="BR67" s="99">
        <v>4.4615420277535573</v>
      </c>
      <c r="BS67" s="99">
        <v>5011.2040055727957</v>
      </c>
      <c r="BT67" s="99">
        <v>6.8997605309369812</v>
      </c>
      <c r="BU67" s="99">
        <v>7749.8110283484175</v>
      </c>
      <c r="BV67" s="99">
        <v>8.6178554593396512</v>
      </c>
      <c r="BW67" s="99">
        <v>9679.5752519302969</v>
      </c>
      <c r="BX67" s="99">
        <v>6.6059470957613327</v>
      </c>
      <c r="BY67" s="99">
        <v>7419.7997779591287</v>
      </c>
      <c r="BZ67" s="99">
        <v>10.57674948734137</v>
      </c>
      <c r="CA67" s="99">
        <v>11879.805024181827</v>
      </c>
      <c r="CB67" s="99">
        <v>5</v>
      </c>
      <c r="CC67" s="99">
        <v>5616</v>
      </c>
      <c r="CD67" s="99">
        <v>10.843829955423701</v>
      </c>
      <c r="CE67" s="99">
        <v>12179.789805931901</v>
      </c>
      <c r="CF67" s="99">
        <v>9.3651268559865759</v>
      </c>
      <c r="CG67" s="99">
        <v>10518.910484644122</v>
      </c>
      <c r="CH67" s="99">
        <v>1.8583076470620163</v>
      </c>
      <c r="CI67" s="99">
        <v>2087.2511491800569</v>
      </c>
      <c r="CJ67" s="99">
        <v>6.5667422537883589</v>
      </c>
      <c r="CK67" s="99">
        <v>7375.7648994550846</v>
      </c>
      <c r="CL67" s="99">
        <v>8.9879584515144284</v>
      </c>
      <c r="CM67" s="99">
        <v>10095.274932741006</v>
      </c>
      <c r="CN67" s="99">
        <v>7</v>
      </c>
      <c r="CO67" s="99">
        <v>7862.4000000000005</v>
      </c>
      <c r="CP67" s="99">
        <v>11.192339958048729</v>
      </c>
      <c r="CQ67" s="99">
        <v>12571.236240880333</v>
      </c>
      <c r="CR67" s="99">
        <v>6.9087295293012509</v>
      </c>
      <c r="CS67" s="99">
        <v>7759.8850073111653</v>
      </c>
      <c r="CT67" s="99">
        <v>6.184761446414405</v>
      </c>
      <c r="CU67" s="99">
        <v>6946.7240566126602</v>
      </c>
    </row>
    <row r="68" spans="2:99">
      <c r="C68" s="98" t="s">
        <v>234</v>
      </c>
      <c r="D68" s="99">
        <v>7</v>
      </c>
      <c r="E68" s="99">
        <v>7232.4000000000005</v>
      </c>
      <c r="F68" s="99">
        <v>5.7015713067302185</v>
      </c>
      <c r="G68" s="99">
        <v>5890.8634741136621</v>
      </c>
      <c r="H68" s="99">
        <v>9.4622382705261607</v>
      </c>
      <c r="I68" s="99">
        <v>9776.3845811076299</v>
      </c>
      <c r="J68" s="99">
        <v>7</v>
      </c>
      <c r="K68" s="99">
        <v>7232.4000000000005</v>
      </c>
      <c r="L68" s="99">
        <v>6.5244368157931865</v>
      </c>
      <c r="M68" s="99">
        <v>6741.0481180775205</v>
      </c>
      <c r="N68" s="99">
        <v>10</v>
      </c>
      <c r="O68" s="99">
        <v>10332</v>
      </c>
      <c r="P68" s="99">
        <v>10</v>
      </c>
      <c r="Q68" s="99">
        <v>10332</v>
      </c>
      <c r="R68" s="99">
        <v>7</v>
      </c>
      <c r="S68" s="99">
        <v>7232.4000000000005</v>
      </c>
      <c r="T68" s="99">
        <v>8.447665969113892</v>
      </c>
      <c r="U68" s="99">
        <v>8728.1284792884744</v>
      </c>
      <c r="V68" s="99">
        <v>7</v>
      </c>
      <c r="W68" s="99">
        <v>7232.4000000000005</v>
      </c>
      <c r="X68" s="99">
        <v>7</v>
      </c>
      <c r="Y68" s="99">
        <v>7232.4000000000005</v>
      </c>
      <c r="Z68" s="99">
        <v>6</v>
      </c>
      <c r="AA68" s="99">
        <v>6199.2000000000007</v>
      </c>
      <c r="AB68" s="99">
        <v>3.6700716537558984</v>
      </c>
      <c r="AC68" s="99">
        <v>3791.9180326605942</v>
      </c>
      <c r="AD68" s="99">
        <v>4.3047949348127839</v>
      </c>
      <c r="AE68" s="99">
        <v>4447.7141266485687</v>
      </c>
      <c r="AF68" s="99">
        <v>7.1141551547260766</v>
      </c>
      <c r="AG68" s="99">
        <v>7350.3451058629826</v>
      </c>
      <c r="AH68" s="99">
        <v>8.991369497141271</v>
      </c>
      <c r="AI68" s="99">
        <v>9289.8829644463622</v>
      </c>
      <c r="AJ68" s="99">
        <v>9.3525517621058132</v>
      </c>
      <c r="AK68" s="99">
        <v>9663.0564806077273</v>
      </c>
      <c r="AL68" s="99">
        <v>7</v>
      </c>
      <c r="AM68" s="99">
        <v>7232.4000000000005</v>
      </c>
      <c r="AN68" s="99">
        <v>10</v>
      </c>
      <c r="AO68" s="99">
        <v>10332</v>
      </c>
      <c r="AP68" s="99">
        <v>9</v>
      </c>
      <c r="AQ68" s="99">
        <v>9298.8000000000011</v>
      </c>
      <c r="AR68" s="99">
        <v>5.3874149940783349</v>
      </c>
      <c r="AS68" s="99">
        <v>5566.2771718817357</v>
      </c>
      <c r="AT68" s="99">
        <v>3.9271434973923793</v>
      </c>
      <c r="AU68" s="99">
        <v>4057.5246615058063</v>
      </c>
      <c r="AV68" s="99">
        <v>5.003005666892542</v>
      </c>
      <c r="AW68" s="99">
        <v>5169.1054550333747</v>
      </c>
      <c r="AX68" s="99">
        <v>7.96429524419435</v>
      </c>
      <c r="AY68" s="99">
        <v>8228.7098463016027</v>
      </c>
      <c r="AZ68" s="99">
        <v>5.9836249671316617</v>
      </c>
      <c r="BA68" s="99">
        <v>6182.281316040433</v>
      </c>
      <c r="BB68" s="99">
        <v>4.0988334474852817</v>
      </c>
      <c r="BC68" s="99">
        <v>4234.9147179417932</v>
      </c>
      <c r="BD68" s="99">
        <v>10.87499591679962</v>
      </c>
      <c r="BE68" s="99">
        <v>11236.045781237368</v>
      </c>
      <c r="BF68" s="99">
        <v>3.0943744871073262</v>
      </c>
      <c r="BG68" s="99">
        <v>3197.1077200792897</v>
      </c>
      <c r="BH68" s="99">
        <v>5.863499247902757</v>
      </c>
      <c r="BI68" s="99">
        <v>6058.1674229331284</v>
      </c>
      <c r="BJ68" s="99">
        <v>6.7670282199070666</v>
      </c>
      <c r="BK68" s="99">
        <v>6991.6935568079816</v>
      </c>
      <c r="BL68" s="99">
        <v>9</v>
      </c>
      <c r="BM68" s="99">
        <v>9298.8000000000011</v>
      </c>
      <c r="BN68" s="99">
        <v>10</v>
      </c>
      <c r="BO68" s="99">
        <v>10332</v>
      </c>
      <c r="BP68" s="99">
        <v>10.221843978930561</v>
      </c>
      <c r="BQ68" s="99">
        <v>10561.209199031056</v>
      </c>
      <c r="BR68" s="99">
        <v>4.4609830762899652</v>
      </c>
      <c r="BS68" s="99">
        <v>4609.0877144227925</v>
      </c>
      <c r="BT68" s="99">
        <v>7.7516556654210893</v>
      </c>
      <c r="BU68" s="99">
        <v>8009.0106335130695</v>
      </c>
      <c r="BV68" s="99">
        <v>9.7279452629304757</v>
      </c>
      <c r="BW68" s="99">
        <v>10050.913045659769</v>
      </c>
      <c r="BX68" s="99">
        <v>7.5139240719597868</v>
      </c>
      <c r="BY68" s="99">
        <v>7763.3863511488526</v>
      </c>
      <c r="BZ68" s="99">
        <v>10.57674948734137</v>
      </c>
      <c r="CA68" s="99">
        <v>10927.897570321104</v>
      </c>
      <c r="CB68" s="99">
        <v>6</v>
      </c>
      <c r="CC68" s="99">
        <v>6199.2000000000007</v>
      </c>
      <c r="CD68" s="99">
        <v>8.6814633620729786</v>
      </c>
      <c r="CE68" s="99">
        <v>8969.6879456938022</v>
      </c>
      <c r="CF68" s="99">
        <v>9.2423456723517248</v>
      </c>
      <c r="CG68" s="99">
        <v>9549.1915486738017</v>
      </c>
      <c r="CH68" s="99">
        <v>1.5928351260531566</v>
      </c>
      <c r="CI68" s="99">
        <v>1645.7172522381215</v>
      </c>
      <c r="CJ68" s="99">
        <v>6.5639238028820079</v>
      </c>
      <c r="CK68" s="99">
        <v>6781.8460731376908</v>
      </c>
      <c r="CL68" s="99">
        <v>8.8232987095953579</v>
      </c>
      <c r="CM68" s="99">
        <v>9116.2322267539239</v>
      </c>
      <c r="CN68" s="99">
        <v>7</v>
      </c>
      <c r="CO68" s="99">
        <v>7232.4000000000005</v>
      </c>
      <c r="CP68" s="99">
        <v>11.192339958048729</v>
      </c>
      <c r="CQ68" s="99">
        <v>11563.925644655947</v>
      </c>
      <c r="CR68" s="99">
        <v>6.8301981564625667</v>
      </c>
      <c r="CS68" s="99">
        <v>7056.9607352571238</v>
      </c>
      <c r="CT68" s="99">
        <v>6.184761446414405</v>
      </c>
      <c r="CU68" s="99">
        <v>6390.0955264353634</v>
      </c>
    </row>
    <row r="69" spans="2:99">
      <c r="C69" s="98" t="s">
        <v>235</v>
      </c>
      <c r="D69" s="99">
        <v>7</v>
      </c>
      <c r="E69" s="99">
        <v>5308.8</v>
      </c>
      <c r="F69" s="99">
        <v>4.8870611200544731</v>
      </c>
      <c r="G69" s="99">
        <v>3706.3471534493124</v>
      </c>
      <c r="H69" s="99">
        <v>9.4622382705261607</v>
      </c>
      <c r="I69" s="99">
        <v>7176.1615043670399</v>
      </c>
      <c r="J69" s="99">
        <v>7</v>
      </c>
      <c r="K69" s="99">
        <v>5308.8</v>
      </c>
      <c r="L69" s="99">
        <v>7.1586814952679791</v>
      </c>
      <c r="M69" s="99">
        <v>5429.1440460112353</v>
      </c>
      <c r="N69" s="99">
        <v>12</v>
      </c>
      <c r="O69" s="99">
        <v>9100.7999999999993</v>
      </c>
      <c r="P69" s="99">
        <v>10</v>
      </c>
      <c r="Q69" s="99">
        <v>7584</v>
      </c>
      <c r="R69" s="99">
        <v>7</v>
      </c>
      <c r="S69" s="99">
        <v>5308.8</v>
      </c>
      <c r="T69" s="99">
        <v>7.6796963355580834</v>
      </c>
      <c r="U69" s="99">
        <v>5824.2817008872498</v>
      </c>
      <c r="V69" s="99">
        <v>7</v>
      </c>
      <c r="W69" s="99">
        <v>5308.8</v>
      </c>
      <c r="X69" s="99">
        <v>7</v>
      </c>
      <c r="Y69" s="99">
        <v>5308.8</v>
      </c>
      <c r="Z69" s="99">
        <v>6</v>
      </c>
      <c r="AA69" s="99">
        <v>4550.3999999999996</v>
      </c>
      <c r="AB69" s="99">
        <v>3.6700716537558984</v>
      </c>
      <c r="AC69" s="99">
        <v>2783.3823422084733</v>
      </c>
      <c r="AD69" s="99">
        <v>5.0163788135880107</v>
      </c>
      <c r="AE69" s="99">
        <v>3804.4216922251471</v>
      </c>
      <c r="AF69" s="99">
        <v>6.9645248472415995</v>
      </c>
      <c r="AG69" s="99">
        <v>5281.8956441480286</v>
      </c>
      <c r="AH69" s="99">
        <v>10.702743822055124</v>
      </c>
      <c r="AI69" s="99">
        <v>8116.9609146466064</v>
      </c>
      <c r="AJ69" s="99">
        <v>10.352551762105813</v>
      </c>
      <c r="AK69" s="99">
        <v>7851.3752563810485</v>
      </c>
      <c r="AL69" s="99">
        <v>7</v>
      </c>
      <c r="AM69" s="99">
        <v>5308.8</v>
      </c>
      <c r="AN69" s="99">
        <v>11</v>
      </c>
      <c r="AO69" s="99">
        <v>8342.4</v>
      </c>
      <c r="AP69" s="99">
        <v>9</v>
      </c>
      <c r="AQ69" s="99">
        <v>6825.5999999999995</v>
      </c>
      <c r="AR69" s="99">
        <v>5.9407116079776019</v>
      </c>
      <c r="AS69" s="99">
        <v>4505.4356834902128</v>
      </c>
      <c r="AT69" s="99">
        <v>4.6778771779297612</v>
      </c>
      <c r="AU69" s="99">
        <v>3547.702051741931</v>
      </c>
      <c r="AV69" s="99">
        <v>5.9028184830447659</v>
      </c>
      <c r="AW69" s="99">
        <v>4476.6975375411503</v>
      </c>
      <c r="AX69" s="99">
        <v>8.96429524419435</v>
      </c>
      <c r="AY69" s="99">
        <v>6798.5215131969944</v>
      </c>
      <c r="AZ69" s="99">
        <v>5.2356718462402041</v>
      </c>
      <c r="BA69" s="99">
        <v>3970.7335281885707</v>
      </c>
      <c r="BB69" s="99">
        <v>4.0671230761304535</v>
      </c>
      <c r="BC69" s="99">
        <v>3084.5061409373357</v>
      </c>
      <c r="BD69" s="99">
        <v>10.049995100159544</v>
      </c>
      <c r="BE69" s="99">
        <v>7621.916283960998</v>
      </c>
      <c r="BF69" s="99">
        <v>3.0785061581413045</v>
      </c>
      <c r="BG69" s="99">
        <v>2334.7390703343654</v>
      </c>
      <c r="BH69" s="99">
        <v>6.2815749696330947</v>
      </c>
      <c r="BI69" s="99">
        <v>4763.9464569697393</v>
      </c>
      <c r="BJ69" s="99">
        <v>7.7670282199070666</v>
      </c>
      <c r="BK69" s="99">
        <v>5890.5142019775194</v>
      </c>
      <c r="BL69" s="99">
        <v>9</v>
      </c>
      <c r="BM69" s="99">
        <v>6825.5999999999995</v>
      </c>
      <c r="BN69" s="99">
        <v>12</v>
      </c>
      <c r="BO69" s="99">
        <v>9100.7999999999993</v>
      </c>
      <c r="BP69" s="99">
        <v>11.221843978930561</v>
      </c>
      <c r="BQ69" s="99">
        <v>8510.6464736209382</v>
      </c>
      <c r="BR69" s="99">
        <v>4.9323217517462403</v>
      </c>
      <c r="BS69" s="99">
        <v>3740.6728165243485</v>
      </c>
      <c r="BT69" s="99">
        <v>7.9007724707407654</v>
      </c>
      <c r="BU69" s="99">
        <v>5991.9458418097965</v>
      </c>
      <c r="BV69" s="99">
        <v>8.6178554593396512</v>
      </c>
      <c r="BW69" s="99">
        <v>6535.7815803631911</v>
      </c>
      <c r="BX69" s="99">
        <v>7.5139240719597868</v>
      </c>
      <c r="BY69" s="99">
        <v>5698.5600161743023</v>
      </c>
      <c r="BZ69" s="99">
        <v>10.57674948734137</v>
      </c>
      <c r="CA69" s="99">
        <v>8021.4068111996949</v>
      </c>
      <c r="CB69" s="99">
        <v>6</v>
      </c>
      <c r="CC69" s="99">
        <v>4550.3999999999996</v>
      </c>
      <c r="CD69" s="99">
        <v>10.610677442533643</v>
      </c>
      <c r="CE69" s="99">
        <v>8047.1377724175145</v>
      </c>
      <c r="CF69" s="99">
        <v>10.309310324650747</v>
      </c>
      <c r="CG69" s="99">
        <v>7818.580950215126</v>
      </c>
      <c r="CH69" s="99">
        <v>1.5928351260531566</v>
      </c>
      <c r="CI69" s="99">
        <v>1208.006159598714</v>
      </c>
      <c r="CJ69" s="99">
        <v>6.4728772878268233</v>
      </c>
      <c r="CK69" s="99">
        <v>4909.0301350878626</v>
      </c>
      <c r="CL69" s="99">
        <v>9.9879584515144284</v>
      </c>
      <c r="CM69" s="99">
        <v>7574.8676896285424</v>
      </c>
      <c r="CN69" s="99">
        <v>8</v>
      </c>
      <c r="CO69" s="99">
        <v>6067.2</v>
      </c>
      <c r="CP69" s="99">
        <v>10.236831070389082</v>
      </c>
      <c r="CQ69" s="99">
        <v>7763.6126837830798</v>
      </c>
      <c r="CR69" s="99">
        <v>6.9087295293012509</v>
      </c>
      <c r="CS69" s="99">
        <v>5239.5804750220686</v>
      </c>
      <c r="CT69" s="99">
        <v>6.184761446414405</v>
      </c>
      <c r="CU69" s="99">
        <v>4690.5230809606846</v>
      </c>
    </row>
    <row r="70" spans="2:99">
      <c r="C70" s="98" t="s">
        <v>236</v>
      </c>
      <c r="D70" s="99">
        <v>7</v>
      </c>
      <c r="E70" s="99">
        <v>3746.3999999999996</v>
      </c>
      <c r="F70" s="99">
        <v>4.8870611200544731</v>
      </c>
      <c r="G70" s="99">
        <v>2615.5551114531536</v>
      </c>
      <c r="H70" s="99">
        <v>10.408462097578777</v>
      </c>
      <c r="I70" s="99">
        <v>5570.6089146241611</v>
      </c>
      <c r="J70" s="99">
        <v>6</v>
      </c>
      <c r="K70" s="99">
        <v>3211.2</v>
      </c>
      <c r="L70" s="99">
        <v>7.1586814952679791</v>
      </c>
      <c r="M70" s="99">
        <v>3831.326336267422</v>
      </c>
      <c r="N70" s="99">
        <v>11</v>
      </c>
      <c r="O70" s="99">
        <v>5887.1999999999989</v>
      </c>
      <c r="P70" s="99">
        <v>10</v>
      </c>
      <c r="Q70" s="99">
        <v>5351.9999999999991</v>
      </c>
      <c r="R70" s="99">
        <v>8</v>
      </c>
      <c r="S70" s="99">
        <v>4281.5999999999995</v>
      </c>
      <c r="T70" s="99">
        <v>8.447665969113892</v>
      </c>
      <c r="U70" s="99">
        <v>4521.1908266697546</v>
      </c>
      <c r="V70" s="99">
        <v>7</v>
      </c>
      <c r="W70" s="99">
        <v>3746.3999999999996</v>
      </c>
      <c r="X70" s="99">
        <v>6</v>
      </c>
      <c r="Y70" s="99">
        <v>3211.2</v>
      </c>
      <c r="Z70" s="99">
        <v>6</v>
      </c>
      <c r="AA70" s="99">
        <v>3211.2</v>
      </c>
      <c r="AB70" s="99">
        <v>3.6700716537558984</v>
      </c>
      <c r="AC70" s="99">
        <v>1964.2223490901565</v>
      </c>
      <c r="AD70" s="99">
        <v>5.0891207386903972</v>
      </c>
      <c r="AE70" s="99">
        <v>2723.6974193471001</v>
      </c>
      <c r="AF70" s="99">
        <v>7.1195267763622319</v>
      </c>
      <c r="AG70" s="99">
        <v>3810.3707307090658</v>
      </c>
      <c r="AH70" s="99">
        <v>9.0984505982129438</v>
      </c>
      <c r="AI70" s="99">
        <v>4869.4907601635668</v>
      </c>
      <c r="AJ70" s="99">
        <v>9.3525517621058132</v>
      </c>
      <c r="AK70" s="99">
        <v>5005.4857030790308</v>
      </c>
      <c r="AL70" s="99">
        <v>6</v>
      </c>
      <c r="AM70" s="99">
        <v>3211.2</v>
      </c>
      <c r="AN70" s="99">
        <v>11</v>
      </c>
      <c r="AO70" s="99">
        <v>5887.1999999999989</v>
      </c>
      <c r="AP70" s="99">
        <v>8</v>
      </c>
      <c r="AQ70" s="99">
        <v>4281.5999999999995</v>
      </c>
      <c r="AR70" s="99">
        <v>5.3309774413936069</v>
      </c>
      <c r="AS70" s="99">
        <v>2853.1391266338578</v>
      </c>
      <c r="AT70" s="99">
        <v>4.568839012240395</v>
      </c>
      <c r="AU70" s="99">
        <v>2445.2426393510591</v>
      </c>
      <c r="AV70" s="99">
        <v>5.9028184830447659</v>
      </c>
      <c r="AW70" s="99">
        <v>3159.1884521255583</v>
      </c>
      <c r="AX70" s="99">
        <v>8.96429524419435</v>
      </c>
      <c r="AY70" s="99">
        <v>4797.6908146928154</v>
      </c>
      <c r="AZ70" s="99">
        <v>5.9836249671316617</v>
      </c>
      <c r="BA70" s="99">
        <v>3202.4360824088649</v>
      </c>
      <c r="BB70" s="99">
        <v>4.0671230761304535</v>
      </c>
      <c r="BC70" s="99">
        <v>2176.7242703450183</v>
      </c>
      <c r="BD70" s="99">
        <v>12.049995100159544</v>
      </c>
      <c r="BE70" s="99">
        <v>6449.1573776053874</v>
      </c>
      <c r="BF70" s="99">
        <v>2.6863245510191831</v>
      </c>
      <c r="BG70" s="99">
        <v>1437.7208997054665</v>
      </c>
      <c r="BH70" s="99">
        <v>5.3668615317824511</v>
      </c>
      <c r="BI70" s="99">
        <v>2872.3442918099677</v>
      </c>
      <c r="BJ70" s="99">
        <v>6.9204338638884799</v>
      </c>
      <c r="BK70" s="99">
        <v>3703.8162039531139</v>
      </c>
      <c r="BL70" s="99">
        <v>9</v>
      </c>
      <c r="BM70" s="99">
        <v>4816.7999999999993</v>
      </c>
      <c r="BN70" s="99">
        <v>11</v>
      </c>
      <c r="BO70" s="99">
        <v>5887.1999999999989</v>
      </c>
      <c r="BP70" s="99">
        <v>12.221843978930561</v>
      </c>
      <c r="BQ70" s="99">
        <v>6541.1308975236352</v>
      </c>
      <c r="BR70" s="99">
        <v>4.9323217517462403</v>
      </c>
      <c r="BS70" s="99">
        <v>2639.7786015345873</v>
      </c>
      <c r="BT70" s="99">
        <v>7.0468534566490888</v>
      </c>
      <c r="BU70" s="99">
        <v>3771.4759699985921</v>
      </c>
      <c r="BV70" s="99">
        <v>9.6133616965806166</v>
      </c>
      <c r="BW70" s="99">
        <v>5145.0711800099452</v>
      </c>
      <c r="BX70" s="99">
        <v>7.4825128815364854</v>
      </c>
      <c r="BY70" s="99">
        <v>4004.6408941983264</v>
      </c>
      <c r="BZ70" s="99">
        <v>9.720936859176712</v>
      </c>
      <c r="CA70" s="99">
        <v>5202.6454070313757</v>
      </c>
      <c r="CB70" s="99">
        <v>5</v>
      </c>
      <c r="CC70" s="99">
        <v>2675.9999999999995</v>
      </c>
      <c r="CD70" s="99">
        <v>10.882688707572045</v>
      </c>
      <c r="CE70" s="99">
        <v>5824.4149962925576</v>
      </c>
      <c r="CF70" s="99">
        <v>9.2463493486342649</v>
      </c>
      <c r="CG70" s="99">
        <v>4948.6461713890576</v>
      </c>
      <c r="CH70" s="99">
        <v>1.5928351260531566</v>
      </c>
      <c r="CI70" s="99">
        <v>852.48535946364927</v>
      </c>
      <c r="CJ70" s="99">
        <v>6.5695607046947098</v>
      </c>
      <c r="CK70" s="99">
        <v>3516.0288891526084</v>
      </c>
      <c r="CL70" s="99">
        <v>9.9879584515144284</v>
      </c>
      <c r="CM70" s="99">
        <v>5345.5553632505216</v>
      </c>
      <c r="CN70" s="99">
        <v>9</v>
      </c>
      <c r="CO70" s="99">
        <v>4816.7999999999993</v>
      </c>
      <c r="CP70" s="99">
        <v>12.147848845708374</v>
      </c>
      <c r="CQ70" s="99">
        <v>6501.5287022231214</v>
      </c>
      <c r="CR70" s="99">
        <v>6.9087295293012509</v>
      </c>
      <c r="CS70" s="99">
        <v>3697.5520440820292</v>
      </c>
      <c r="CT70" s="99">
        <v>7.0987145491470667</v>
      </c>
      <c r="CU70" s="99">
        <v>3799.2320267035097</v>
      </c>
    </row>
    <row r="71" spans="2:99">
      <c r="B71" s="98" t="s">
        <v>130</v>
      </c>
      <c r="C71" s="98" t="s">
        <v>237</v>
      </c>
      <c r="D71" s="99">
        <v>9</v>
      </c>
      <c r="E71" s="99">
        <v>5076</v>
      </c>
      <c r="F71" s="99">
        <v>8</v>
      </c>
      <c r="G71" s="99">
        <v>4512</v>
      </c>
      <c r="H71" s="99">
        <v>6</v>
      </c>
      <c r="I71" s="99">
        <v>3384</v>
      </c>
      <c r="J71" s="99">
        <v>7</v>
      </c>
      <c r="K71" s="99">
        <v>3948</v>
      </c>
      <c r="L71" s="99">
        <v>8</v>
      </c>
      <c r="M71" s="99">
        <v>4512</v>
      </c>
      <c r="N71" s="99">
        <v>7</v>
      </c>
      <c r="O71" s="99">
        <v>3948</v>
      </c>
      <c r="P71" s="99">
        <v>8</v>
      </c>
      <c r="Q71" s="99">
        <v>4512</v>
      </c>
      <c r="R71" s="99">
        <v>8</v>
      </c>
      <c r="S71" s="99">
        <v>4512</v>
      </c>
      <c r="T71" s="99">
        <v>6</v>
      </c>
      <c r="U71" s="99">
        <v>3384</v>
      </c>
      <c r="V71" s="99">
        <v>1.0342036914785144</v>
      </c>
      <c r="W71" s="99">
        <v>583.29088199388218</v>
      </c>
      <c r="X71" s="99">
        <v>5</v>
      </c>
      <c r="Y71" s="99">
        <v>2820</v>
      </c>
      <c r="Z71" s="99">
        <v>7</v>
      </c>
      <c r="AA71" s="99">
        <v>3948</v>
      </c>
      <c r="AB71" s="99">
        <v>5</v>
      </c>
      <c r="AC71" s="99">
        <v>2820</v>
      </c>
      <c r="AD71" s="99">
        <v>6</v>
      </c>
      <c r="AE71" s="99">
        <v>3384</v>
      </c>
      <c r="AF71" s="99">
        <v>8</v>
      </c>
      <c r="AG71" s="99">
        <v>4512</v>
      </c>
      <c r="AH71" s="99">
        <v>4.5760792982214209</v>
      </c>
      <c r="AI71" s="99">
        <v>2580.9087241968814</v>
      </c>
      <c r="AJ71" s="99">
        <v>9</v>
      </c>
      <c r="AK71" s="99">
        <v>5076</v>
      </c>
      <c r="AL71" s="99">
        <v>9</v>
      </c>
      <c r="AM71" s="99">
        <v>5076</v>
      </c>
      <c r="AN71" s="99">
        <v>2.3276270494329165</v>
      </c>
      <c r="AO71" s="99">
        <v>1312.7816558801649</v>
      </c>
      <c r="AP71" s="99">
        <v>5</v>
      </c>
      <c r="AQ71" s="99">
        <v>2820</v>
      </c>
      <c r="AR71" s="99">
        <v>9</v>
      </c>
      <c r="AS71" s="99">
        <v>5076</v>
      </c>
      <c r="AT71" s="99">
        <v>7</v>
      </c>
      <c r="AU71" s="99">
        <v>3948</v>
      </c>
      <c r="AV71" s="99">
        <v>8.812349442097057</v>
      </c>
      <c r="AW71" s="99">
        <v>4970.16508534274</v>
      </c>
      <c r="AX71" s="99">
        <v>8</v>
      </c>
      <c r="AY71" s="99">
        <v>4512</v>
      </c>
      <c r="AZ71" s="99">
        <v>7</v>
      </c>
      <c r="BA71" s="99">
        <v>3948</v>
      </c>
      <c r="BB71" s="99">
        <v>4</v>
      </c>
      <c r="BC71" s="99">
        <v>2256</v>
      </c>
      <c r="BD71" s="99">
        <v>4.8607627270502389</v>
      </c>
      <c r="BE71" s="99">
        <v>2741.4701780563346</v>
      </c>
      <c r="BF71" s="99">
        <v>2.2814934947635316E-2</v>
      </c>
      <c r="BG71" s="99">
        <v>12.867623310466318</v>
      </c>
      <c r="BH71" s="99">
        <v>9</v>
      </c>
      <c r="BI71" s="99">
        <v>5076</v>
      </c>
      <c r="BJ71" s="99">
        <v>7</v>
      </c>
      <c r="BK71" s="99">
        <v>3948</v>
      </c>
      <c r="BL71" s="99">
        <v>5</v>
      </c>
      <c r="BM71" s="99">
        <v>2820</v>
      </c>
      <c r="BN71" s="99">
        <v>8</v>
      </c>
      <c r="BO71" s="99">
        <v>4512</v>
      </c>
      <c r="BP71" s="99">
        <v>7</v>
      </c>
      <c r="BQ71" s="99">
        <v>3948</v>
      </c>
      <c r="BR71" s="99">
        <v>7</v>
      </c>
      <c r="BS71" s="99">
        <v>3948</v>
      </c>
      <c r="BT71" s="99">
        <v>8</v>
      </c>
      <c r="BU71" s="99">
        <v>4512</v>
      </c>
      <c r="BV71" s="99">
        <v>8</v>
      </c>
      <c r="BW71" s="99">
        <v>4512</v>
      </c>
      <c r="BX71" s="99">
        <v>1.3727368084313833</v>
      </c>
      <c r="BY71" s="99">
        <v>774.22355995530017</v>
      </c>
      <c r="BZ71" s="99">
        <v>7</v>
      </c>
      <c r="CA71" s="99">
        <v>3948</v>
      </c>
      <c r="CB71" s="99">
        <v>7.8602404377645199</v>
      </c>
      <c r="CC71" s="99">
        <v>4433.175606899189</v>
      </c>
      <c r="CD71" s="99">
        <v>9.1021765712482451E-16</v>
      </c>
      <c r="CE71" s="99">
        <v>5.1336275861840098E-13</v>
      </c>
      <c r="CF71" s="99">
        <v>9</v>
      </c>
      <c r="CG71" s="99">
        <v>5076</v>
      </c>
      <c r="CH71" s="99">
        <v>4</v>
      </c>
      <c r="CI71" s="99">
        <v>2256</v>
      </c>
      <c r="CJ71" s="99">
        <v>6</v>
      </c>
      <c r="CK71" s="99">
        <v>3384</v>
      </c>
      <c r="CL71" s="99">
        <v>9</v>
      </c>
      <c r="CM71" s="99">
        <v>5076</v>
      </c>
      <c r="CN71" s="99">
        <v>7.3695333946387995</v>
      </c>
      <c r="CO71" s="99">
        <v>4156.4168345762828</v>
      </c>
      <c r="CP71" s="99">
        <v>6.9434117079259936</v>
      </c>
      <c r="CQ71" s="99">
        <v>3916.0842032702603</v>
      </c>
      <c r="CR71" s="99">
        <v>5</v>
      </c>
      <c r="CS71" s="99">
        <v>2820</v>
      </c>
      <c r="CT71" s="99">
        <v>7.8746880168395128</v>
      </c>
      <c r="CU71" s="99">
        <v>4441.3240414974853</v>
      </c>
    </row>
    <row r="72" spans="2:99">
      <c r="C72" s="98" t="s">
        <v>238</v>
      </c>
      <c r="D72" s="99">
        <v>9</v>
      </c>
      <c r="E72" s="99">
        <v>669.59999999999991</v>
      </c>
      <c r="F72" s="99">
        <v>9</v>
      </c>
      <c r="G72" s="99">
        <v>669.59999999999991</v>
      </c>
      <c r="H72" s="99">
        <v>7</v>
      </c>
      <c r="I72" s="99">
        <v>520.79999999999995</v>
      </c>
      <c r="J72" s="99">
        <v>7</v>
      </c>
      <c r="K72" s="99">
        <v>520.79999999999995</v>
      </c>
      <c r="L72" s="99">
        <v>10</v>
      </c>
      <c r="M72" s="99">
        <v>743.99999999999989</v>
      </c>
      <c r="N72" s="99">
        <v>8</v>
      </c>
      <c r="O72" s="99">
        <v>595.19999999999993</v>
      </c>
      <c r="P72" s="99">
        <v>8</v>
      </c>
      <c r="Q72" s="99">
        <v>595.19999999999993</v>
      </c>
      <c r="R72" s="99">
        <v>8</v>
      </c>
      <c r="S72" s="99">
        <v>595.19999999999993</v>
      </c>
      <c r="T72" s="99">
        <v>8</v>
      </c>
      <c r="U72" s="99">
        <v>595.19999999999993</v>
      </c>
      <c r="V72" s="99">
        <v>1.0342036914785144</v>
      </c>
      <c r="W72" s="99">
        <v>76.944754646001471</v>
      </c>
      <c r="X72" s="99">
        <v>5</v>
      </c>
      <c r="Y72" s="99">
        <v>371.99999999999994</v>
      </c>
      <c r="Z72" s="99">
        <v>7</v>
      </c>
      <c r="AA72" s="99">
        <v>520.79999999999995</v>
      </c>
      <c r="AB72" s="99">
        <v>5</v>
      </c>
      <c r="AC72" s="99">
        <v>371.99999999999994</v>
      </c>
      <c r="AD72" s="99">
        <v>7</v>
      </c>
      <c r="AE72" s="99">
        <v>520.79999999999995</v>
      </c>
      <c r="AF72" s="99">
        <v>9</v>
      </c>
      <c r="AG72" s="99">
        <v>669.59999999999991</v>
      </c>
      <c r="AH72" s="99">
        <v>5.1911546545056906</v>
      </c>
      <c r="AI72" s="99">
        <v>386.22190629522333</v>
      </c>
      <c r="AJ72" s="99">
        <v>10</v>
      </c>
      <c r="AK72" s="99">
        <v>743.99999999999989</v>
      </c>
      <c r="AL72" s="99">
        <v>10</v>
      </c>
      <c r="AM72" s="99">
        <v>743.99999999999989</v>
      </c>
      <c r="AN72" s="99">
        <v>2.6169006876588767</v>
      </c>
      <c r="AO72" s="99">
        <v>194.69741116182041</v>
      </c>
      <c r="AP72" s="99">
        <v>5</v>
      </c>
      <c r="AQ72" s="99">
        <v>371.99999999999994</v>
      </c>
      <c r="AR72" s="99">
        <v>9</v>
      </c>
      <c r="AS72" s="99">
        <v>669.59999999999991</v>
      </c>
      <c r="AT72" s="99">
        <v>7</v>
      </c>
      <c r="AU72" s="99">
        <v>520.79999999999995</v>
      </c>
      <c r="AV72" s="99">
        <v>8.812349442097057</v>
      </c>
      <c r="AW72" s="99">
        <v>655.63879849202101</v>
      </c>
      <c r="AX72" s="99">
        <v>8</v>
      </c>
      <c r="AY72" s="99">
        <v>595.19999999999993</v>
      </c>
      <c r="AZ72" s="99">
        <v>7</v>
      </c>
      <c r="BA72" s="99">
        <v>520.79999999999995</v>
      </c>
      <c r="BB72" s="99">
        <v>5</v>
      </c>
      <c r="BC72" s="99">
        <v>371.99999999999994</v>
      </c>
      <c r="BD72" s="99">
        <v>4.8607627270502389</v>
      </c>
      <c r="BE72" s="99">
        <v>361.64074689253772</v>
      </c>
      <c r="BF72" s="99">
        <v>2.566680181608973E-2</v>
      </c>
      <c r="BG72" s="99">
        <v>1.9096100551170756</v>
      </c>
      <c r="BH72" s="99">
        <v>9</v>
      </c>
      <c r="BI72" s="99">
        <v>669.59999999999991</v>
      </c>
      <c r="BJ72" s="99">
        <v>7</v>
      </c>
      <c r="BK72" s="99">
        <v>520.79999999999995</v>
      </c>
      <c r="BL72" s="99">
        <v>5</v>
      </c>
      <c r="BM72" s="99">
        <v>371.99999999999994</v>
      </c>
      <c r="BN72" s="99">
        <v>8</v>
      </c>
      <c r="BO72" s="99">
        <v>595.19999999999993</v>
      </c>
      <c r="BP72" s="99">
        <v>6</v>
      </c>
      <c r="BQ72" s="99">
        <v>446.4</v>
      </c>
      <c r="BR72" s="99">
        <v>8</v>
      </c>
      <c r="BS72" s="99">
        <v>595.19999999999993</v>
      </c>
      <c r="BT72" s="99">
        <v>8</v>
      </c>
      <c r="BU72" s="99">
        <v>595.19999999999993</v>
      </c>
      <c r="BV72" s="99">
        <v>9</v>
      </c>
      <c r="BW72" s="99">
        <v>669.59999999999991</v>
      </c>
      <c r="BX72" s="99">
        <v>1.7159210105392291</v>
      </c>
      <c r="BY72" s="99">
        <v>127.66452318411862</v>
      </c>
      <c r="BZ72" s="99">
        <v>7</v>
      </c>
      <c r="CA72" s="99">
        <v>520.79999999999995</v>
      </c>
      <c r="CB72" s="99">
        <v>7.8602404377645199</v>
      </c>
      <c r="CC72" s="99">
        <v>584.80188856968016</v>
      </c>
      <c r="CD72" s="99">
        <v>9.1021765712482451E-16</v>
      </c>
      <c r="CE72" s="99">
        <v>6.7720193690086935E-14</v>
      </c>
      <c r="CF72" s="99">
        <v>10</v>
      </c>
      <c r="CG72" s="99">
        <v>743.99999999999989</v>
      </c>
      <c r="CH72" s="99">
        <v>5</v>
      </c>
      <c r="CI72" s="99">
        <v>371.99999999999994</v>
      </c>
      <c r="CJ72" s="99">
        <v>6</v>
      </c>
      <c r="CK72" s="99">
        <v>446.4</v>
      </c>
      <c r="CL72" s="99">
        <v>10</v>
      </c>
      <c r="CM72" s="99">
        <v>743.99999999999989</v>
      </c>
      <c r="CN72" s="99">
        <v>7.3695333946387995</v>
      </c>
      <c r="CO72" s="99">
        <v>548.2932845611266</v>
      </c>
      <c r="CP72" s="99">
        <v>6.9434117079259936</v>
      </c>
      <c r="CQ72" s="99">
        <v>516.5898310696939</v>
      </c>
      <c r="CR72" s="99">
        <v>6</v>
      </c>
      <c r="CS72" s="99">
        <v>446.4</v>
      </c>
      <c r="CT72" s="99">
        <v>7.8746880168395128</v>
      </c>
      <c r="CU72" s="99">
        <v>585.87678845285973</v>
      </c>
    </row>
    <row r="73" spans="2:99">
      <c r="C73" s="98" t="s">
        <v>239</v>
      </c>
      <c r="D73" s="99">
        <v>8</v>
      </c>
      <c r="E73" s="99">
        <v>4473.5999999999995</v>
      </c>
      <c r="F73" s="99">
        <v>8</v>
      </c>
      <c r="G73" s="99">
        <v>4473.5999999999995</v>
      </c>
      <c r="H73" s="99">
        <v>6</v>
      </c>
      <c r="I73" s="99">
        <v>3355.2</v>
      </c>
      <c r="J73" s="99">
        <v>7</v>
      </c>
      <c r="K73" s="99">
        <v>3914.3999999999996</v>
      </c>
      <c r="L73" s="99">
        <v>9</v>
      </c>
      <c r="M73" s="99">
        <v>5032.7999999999993</v>
      </c>
      <c r="N73" s="99">
        <v>8</v>
      </c>
      <c r="O73" s="99">
        <v>4473.5999999999995</v>
      </c>
      <c r="P73" s="99">
        <v>8</v>
      </c>
      <c r="Q73" s="99">
        <v>4473.5999999999995</v>
      </c>
      <c r="R73" s="99">
        <v>8</v>
      </c>
      <c r="S73" s="99">
        <v>4473.5999999999995</v>
      </c>
      <c r="T73" s="99">
        <v>7</v>
      </c>
      <c r="U73" s="99">
        <v>3914.3999999999996</v>
      </c>
      <c r="V73" s="99">
        <v>0.90492823004370004</v>
      </c>
      <c r="W73" s="99">
        <v>506.03586624043703</v>
      </c>
      <c r="X73" s="99">
        <v>5</v>
      </c>
      <c r="Y73" s="99">
        <v>2795.9999999999995</v>
      </c>
      <c r="Z73" s="99">
        <v>7</v>
      </c>
      <c r="AA73" s="99">
        <v>3914.3999999999996</v>
      </c>
      <c r="AB73" s="99">
        <v>6</v>
      </c>
      <c r="AC73" s="99">
        <v>3355.2</v>
      </c>
      <c r="AD73" s="99">
        <v>6</v>
      </c>
      <c r="AE73" s="99">
        <v>3355.2</v>
      </c>
      <c r="AF73" s="99">
        <v>8</v>
      </c>
      <c r="AG73" s="99">
        <v>4473.5999999999995</v>
      </c>
      <c r="AH73" s="99">
        <v>4.6061406098027016</v>
      </c>
      <c r="AI73" s="99">
        <v>2575.7538290016705</v>
      </c>
      <c r="AJ73" s="99">
        <v>9</v>
      </c>
      <c r="AK73" s="99">
        <v>5032.7999999999993</v>
      </c>
      <c r="AL73" s="99">
        <v>8</v>
      </c>
      <c r="AM73" s="99">
        <v>4473.5999999999995</v>
      </c>
      <c r="AN73" s="99">
        <v>2.3276270494329165</v>
      </c>
      <c r="AO73" s="99">
        <v>1301.6090460428868</v>
      </c>
      <c r="AP73" s="99">
        <v>5</v>
      </c>
      <c r="AQ73" s="99">
        <v>2795.9999999999995</v>
      </c>
      <c r="AR73" s="99">
        <v>9</v>
      </c>
      <c r="AS73" s="99">
        <v>5032.7999999999993</v>
      </c>
      <c r="AT73" s="99">
        <v>7</v>
      </c>
      <c r="AU73" s="99">
        <v>3914.3999999999996</v>
      </c>
      <c r="AV73" s="99">
        <v>8.812349442097057</v>
      </c>
      <c r="AW73" s="99">
        <v>4927.8658080206733</v>
      </c>
      <c r="AX73" s="99">
        <v>8</v>
      </c>
      <c r="AY73" s="99">
        <v>4473.5999999999995</v>
      </c>
      <c r="AZ73" s="99">
        <v>7</v>
      </c>
      <c r="BA73" s="99">
        <v>3914.3999999999996</v>
      </c>
      <c r="BB73" s="99">
        <v>5</v>
      </c>
      <c r="BC73" s="99">
        <v>2795.9999999999995</v>
      </c>
      <c r="BD73" s="99">
        <v>5.4008474745002646</v>
      </c>
      <c r="BE73" s="99">
        <v>3020.1539077405478</v>
      </c>
      <c r="BF73" s="99">
        <v>2.2814934947635316E-2</v>
      </c>
      <c r="BG73" s="99">
        <v>12.758111622717667</v>
      </c>
      <c r="BH73" s="99">
        <v>9</v>
      </c>
      <c r="BI73" s="99">
        <v>5032.7999999999993</v>
      </c>
      <c r="BJ73" s="99">
        <v>7</v>
      </c>
      <c r="BK73" s="99">
        <v>3914.3999999999996</v>
      </c>
      <c r="BL73" s="99">
        <v>6</v>
      </c>
      <c r="BM73" s="99">
        <v>3355.2</v>
      </c>
      <c r="BN73" s="99">
        <v>7</v>
      </c>
      <c r="BO73" s="99">
        <v>3914.3999999999996</v>
      </c>
      <c r="BP73" s="99">
        <v>6</v>
      </c>
      <c r="BQ73" s="99">
        <v>3355.2</v>
      </c>
      <c r="BR73" s="99">
        <v>8</v>
      </c>
      <c r="BS73" s="99">
        <v>4473.5999999999995</v>
      </c>
      <c r="BT73" s="99">
        <v>8</v>
      </c>
      <c r="BU73" s="99">
        <v>4473.5999999999995</v>
      </c>
      <c r="BV73" s="99">
        <v>8</v>
      </c>
      <c r="BW73" s="99">
        <v>4473.5999999999995</v>
      </c>
      <c r="BX73" s="99">
        <v>1.7159210105392291</v>
      </c>
      <c r="BY73" s="99">
        <v>959.5430290935368</v>
      </c>
      <c r="BZ73" s="99">
        <v>6</v>
      </c>
      <c r="CA73" s="99">
        <v>3355.2</v>
      </c>
      <c r="CB73" s="99">
        <v>8.7336004864050221</v>
      </c>
      <c r="CC73" s="99">
        <v>4883.8293919976877</v>
      </c>
      <c r="CD73" s="99">
        <v>8.0908236188873298E-16</v>
      </c>
      <c r="CE73" s="99">
        <v>4.5243885676817941E-13</v>
      </c>
      <c r="CF73" s="99">
        <v>10</v>
      </c>
      <c r="CG73" s="99">
        <v>5591.9999999999991</v>
      </c>
      <c r="CH73" s="99">
        <v>5</v>
      </c>
      <c r="CI73" s="99">
        <v>2795.9999999999995</v>
      </c>
      <c r="CJ73" s="99">
        <v>5</v>
      </c>
      <c r="CK73" s="99">
        <v>2795.9999999999995</v>
      </c>
      <c r="CL73" s="99">
        <v>9</v>
      </c>
      <c r="CM73" s="99">
        <v>5032.7999999999993</v>
      </c>
      <c r="CN73" s="99">
        <v>8.2907250689686496</v>
      </c>
      <c r="CO73" s="99">
        <v>4636.1734585672684</v>
      </c>
      <c r="CP73" s="99">
        <v>7.8113381714167431</v>
      </c>
      <c r="CQ73" s="99">
        <v>4368.1003054562425</v>
      </c>
      <c r="CR73" s="99">
        <v>6</v>
      </c>
      <c r="CS73" s="99">
        <v>3355.2</v>
      </c>
      <c r="CT73" s="99">
        <v>6.8746880168395128</v>
      </c>
      <c r="CU73" s="99">
        <v>3844.3255390166551</v>
      </c>
    </row>
    <row r="74" spans="2:99">
      <c r="C74" s="98" t="s">
        <v>240</v>
      </c>
      <c r="D74" s="99">
        <v>9</v>
      </c>
      <c r="E74" s="99">
        <v>3628.7999999999997</v>
      </c>
      <c r="F74" s="99">
        <v>8</v>
      </c>
      <c r="G74" s="99">
        <v>3225.6</v>
      </c>
      <c r="H74" s="99">
        <v>6</v>
      </c>
      <c r="I74" s="99">
        <v>2419.1999999999998</v>
      </c>
      <c r="J74" s="99">
        <v>9</v>
      </c>
      <c r="K74" s="99">
        <v>3628.7999999999997</v>
      </c>
      <c r="L74" s="99">
        <v>8</v>
      </c>
      <c r="M74" s="99">
        <v>3225.6</v>
      </c>
      <c r="N74" s="99">
        <v>8</v>
      </c>
      <c r="O74" s="99">
        <v>3225.6</v>
      </c>
      <c r="P74" s="99">
        <v>9</v>
      </c>
      <c r="Q74" s="99">
        <v>3628.7999999999997</v>
      </c>
      <c r="R74" s="99">
        <v>7</v>
      </c>
      <c r="S74" s="99">
        <v>2822.4</v>
      </c>
      <c r="T74" s="99">
        <v>7</v>
      </c>
      <c r="U74" s="99">
        <v>2822.4</v>
      </c>
      <c r="V74" s="99">
        <v>0.90492823004370004</v>
      </c>
      <c r="W74" s="99">
        <v>364.86706235361987</v>
      </c>
      <c r="X74" s="99">
        <v>5</v>
      </c>
      <c r="Y74" s="99">
        <v>2016</v>
      </c>
      <c r="Z74" s="99">
        <v>7</v>
      </c>
      <c r="AA74" s="99">
        <v>2822.4</v>
      </c>
      <c r="AB74" s="99">
        <v>6</v>
      </c>
      <c r="AC74" s="99">
        <v>2419.1999999999998</v>
      </c>
      <c r="AD74" s="99">
        <v>6</v>
      </c>
      <c r="AE74" s="99">
        <v>2419.1999999999998</v>
      </c>
      <c r="AF74" s="99">
        <v>9</v>
      </c>
      <c r="AG74" s="99">
        <v>3628.7999999999997</v>
      </c>
      <c r="AH74" s="99">
        <v>4.6061406098027016</v>
      </c>
      <c r="AI74" s="99">
        <v>1857.1958938724492</v>
      </c>
      <c r="AJ74" s="99">
        <v>8</v>
      </c>
      <c r="AK74" s="99">
        <v>3225.6</v>
      </c>
      <c r="AL74" s="99">
        <v>10</v>
      </c>
      <c r="AM74" s="99">
        <v>4032</v>
      </c>
      <c r="AN74" s="99">
        <v>2.3545029366833949</v>
      </c>
      <c r="AO74" s="99">
        <v>949.33558407074486</v>
      </c>
      <c r="AP74" s="99">
        <v>5</v>
      </c>
      <c r="AQ74" s="99">
        <v>2016</v>
      </c>
      <c r="AR74" s="99">
        <v>10</v>
      </c>
      <c r="AS74" s="99">
        <v>4032</v>
      </c>
      <c r="AT74" s="99">
        <v>8</v>
      </c>
      <c r="AU74" s="99">
        <v>3225.6</v>
      </c>
      <c r="AV74" s="99">
        <v>8.812349442097057</v>
      </c>
      <c r="AW74" s="99">
        <v>3553.1392950535333</v>
      </c>
      <c r="AX74" s="99">
        <v>9</v>
      </c>
      <c r="AY74" s="99">
        <v>3628.7999999999997</v>
      </c>
      <c r="AZ74" s="99">
        <v>7</v>
      </c>
      <c r="BA74" s="99">
        <v>2822.4</v>
      </c>
      <c r="BB74" s="99">
        <v>5</v>
      </c>
      <c r="BC74" s="99">
        <v>2016</v>
      </c>
      <c r="BD74" s="99">
        <v>4.8607627270502389</v>
      </c>
      <c r="BE74" s="99">
        <v>1959.8595315466562</v>
      </c>
      <c r="BF74" s="99">
        <v>2.2814934947635316E-2</v>
      </c>
      <c r="BG74" s="99">
        <v>9.1989817708865598</v>
      </c>
      <c r="BH74" s="99">
        <v>9</v>
      </c>
      <c r="BI74" s="99">
        <v>3628.7999999999997</v>
      </c>
      <c r="BJ74" s="99">
        <v>7</v>
      </c>
      <c r="BK74" s="99">
        <v>2822.4</v>
      </c>
      <c r="BL74" s="99">
        <v>6</v>
      </c>
      <c r="BM74" s="99">
        <v>2419.1999999999998</v>
      </c>
      <c r="BN74" s="99">
        <v>8</v>
      </c>
      <c r="BO74" s="99">
        <v>3225.6</v>
      </c>
      <c r="BP74" s="99">
        <v>7</v>
      </c>
      <c r="BQ74" s="99">
        <v>2822.4</v>
      </c>
      <c r="BR74" s="99">
        <v>8</v>
      </c>
      <c r="BS74" s="99">
        <v>3225.6</v>
      </c>
      <c r="BT74" s="99">
        <v>8</v>
      </c>
      <c r="BU74" s="99">
        <v>3225.6</v>
      </c>
      <c r="BV74" s="99">
        <v>9</v>
      </c>
      <c r="BW74" s="99">
        <v>3628.7999999999997</v>
      </c>
      <c r="BX74" s="99">
        <v>1.3727368084313833</v>
      </c>
      <c r="BY74" s="99">
        <v>553.48748115953379</v>
      </c>
      <c r="BZ74" s="99">
        <v>7</v>
      </c>
      <c r="CA74" s="99">
        <v>2822.4</v>
      </c>
      <c r="CB74" s="99">
        <v>7.8602404377645199</v>
      </c>
      <c r="CC74" s="99">
        <v>3169.2489445066544</v>
      </c>
      <c r="CD74" s="99">
        <v>9.1021765712482451E-16</v>
      </c>
      <c r="CE74" s="99">
        <v>3.6699975935272925E-13</v>
      </c>
      <c r="CF74" s="99">
        <v>10</v>
      </c>
      <c r="CG74" s="99">
        <v>4032</v>
      </c>
      <c r="CH74" s="99">
        <v>4</v>
      </c>
      <c r="CI74" s="99">
        <v>1612.8</v>
      </c>
      <c r="CJ74" s="99">
        <v>6</v>
      </c>
      <c r="CK74" s="99">
        <v>2419.1999999999998</v>
      </c>
      <c r="CL74" s="99">
        <v>9</v>
      </c>
      <c r="CM74" s="99">
        <v>3628.7999999999997</v>
      </c>
      <c r="CN74" s="99">
        <v>8.2907250689686496</v>
      </c>
      <c r="CO74" s="99">
        <v>3342.8203478081596</v>
      </c>
      <c r="CP74" s="99">
        <v>6.9434117079259936</v>
      </c>
      <c r="CQ74" s="99">
        <v>2799.5836006357604</v>
      </c>
      <c r="CR74" s="99">
        <v>5</v>
      </c>
      <c r="CS74" s="99">
        <v>2016</v>
      </c>
      <c r="CT74" s="99">
        <v>7.8746880168395128</v>
      </c>
      <c r="CU74" s="99">
        <v>3175.0742083896916</v>
      </c>
    </row>
    <row r="75" spans="2:99">
      <c r="C75" s="98" t="s">
        <v>241</v>
      </c>
      <c r="D75" s="99">
        <v>9</v>
      </c>
      <c r="E75" s="99">
        <v>5788.7999999999993</v>
      </c>
      <c r="F75" s="99">
        <v>8</v>
      </c>
      <c r="G75" s="99">
        <v>5145.5999999999995</v>
      </c>
      <c r="H75" s="99">
        <v>7</v>
      </c>
      <c r="I75" s="99">
        <v>4502.3999999999996</v>
      </c>
      <c r="J75" s="99">
        <v>8</v>
      </c>
      <c r="K75" s="99">
        <v>5145.5999999999995</v>
      </c>
      <c r="L75" s="99">
        <v>8</v>
      </c>
      <c r="M75" s="99">
        <v>5145.5999999999995</v>
      </c>
      <c r="N75" s="99">
        <v>7</v>
      </c>
      <c r="O75" s="99">
        <v>4502.3999999999996</v>
      </c>
      <c r="P75" s="99">
        <v>9</v>
      </c>
      <c r="Q75" s="99">
        <v>5788.7999999999993</v>
      </c>
      <c r="R75" s="99">
        <v>7</v>
      </c>
      <c r="S75" s="99">
        <v>4502.3999999999996</v>
      </c>
      <c r="T75" s="99">
        <v>7</v>
      </c>
      <c r="U75" s="99">
        <v>4502.3999999999996</v>
      </c>
      <c r="V75" s="99">
        <v>0.90492823004370004</v>
      </c>
      <c r="W75" s="99">
        <v>582.04983756410786</v>
      </c>
      <c r="X75" s="99">
        <v>5</v>
      </c>
      <c r="Y75" s="99">
        <v>3215.9999999999995</v>
      </c>
      <c r="Z75" s="99">
        <v>6</v>
      </c>
      <c r="AA75" s="99">
        <v>3859.2</v>
      </c>
      <c r="AB75" s="99">
        <v>6</v>
      </c>
      <c r="AC75" s="99">
        <v>3859.2</v>
      </c>
      <c r="AD75" s="99">
        <v>7</v>
      </c>
      <c r="AE75" s="99">
        <v>4502.3999999999996</v>
      </c>
      <c r="AF75" s="99">
        <v>9</v>
      </c>
      <c r="AG75" s="99">
        <v>5788.7999999999993</v>
      </c>
      <c r="AH75" s="99">
        <v>4.5760792982214209</v>
      </c>
      <c r="AI75" s="99">
        <v>2943.3342046160178</v>
      </c>
      <c r="AJ75" s="99">
        <v>8</v>
      </c>
      <c r="AK75" s="99">
        <v>5145.5999999999995</v>
      </c>
      <c r="AL75" s="99">
        <v>8</v>
      </c>
      <c r="AM75" s="99">
        <v>5145.5999999999995</v>
      </c>
      <c r="AN75" s="99">
        <v>2.341064993058156</v>
      </c>
      <c r="AO75" s="99">
        <v>1505.7730035350057</v>
      </c>
      <c r="AP75" s="99">
        <v>5</v>
      </c>
      <c r="AQ75" s="99">
        <v>3215.9999999999995</v>
      </c>
      <c r="AR75" s="99">
        <v>9</v>
      </c>
      <c r="AS75" s="99">
        <v>5788.7999999999993</v>
      </c>
      <c r="AT75" s="99">
        <v>8</v>
      </c>
      <c r="AU75" s="99">
        <v>5145.5999999999995</v>
      </c>
      <c r="AV75" s="99">
        <v>8.812349442097057</v>
      </c>
      <c r="AW75" s="99">
        <v>5668.103161156826</v>
      </c>
      <c r="AX75" s="99">
        <v>8</v>
      </c>
      <c r="AY75" s="99">
        <v>5145.5999999999995</v>
      </c>
      <c r="AZ75" s="99">
        <v>7</v>
      </c>
      <c r="BA75" s="99">
        <v>4502.3999999999996</v>
      </c>
      <c r="BB75" s="99">
        <v>4</v>
      </c>
      <c r="BC75" s="99">
        <v>2572.7999999999997</v>
      </c>
      <c r="BD75" s="99">
        <v>4.8607627270502389</v>
      </c>
      <c r="BE75" s="99">
        <v>3126.4425860387132</v>
      </c>
      <c r="BF75" s="99">
        <v>2.2814934947635316E-2</v>
      </c>
      <c r="BG75" s="99">
        <v>14.674566158319033</v>
      </c>
      <c r="BH75" s="99">
        <v>9</v>
      </c>
      <c r="BI75" s="99">
        <v>5788.7999999999993</v>
      </c>
      <c r="BJ75" s="99">
        <v>7</v>
      </c>
      <c r="BK75" s="99">
        <v>4502.3999999999996</v>
      </c>
      <c r="BL75" s="99">
        <v>5</v>
      </c>
      <c r="BM75" s="99">
        <v>3215.9999999999995</v>
      </c>
      <c r="BN75" s="99">
        <v>7</v>
      </c>
      <c r="BO75" s="99">
        <v>4502.3999999999996</v>
      </c>
      <c r="BP75" s="99">
        <v>6</v>
      </c>
      <c r="BQ75" s="99">
        <v>3859.2</v>
      </c>
      <c r="BR75" s="99">
        <v>7</v>
      </c>
      <c r="BS75" s="99">
        <v>4502.3999999999996</v>
      </c>
      <c r="BT75" s="99">
        <v>7</v>
      </c>
      <c r="BU75" s="99">
        <v>4502.3999999999996</v>
      </c>
      <c r="BV75" s="99">
        <v>9</v>
      </c>
      <c r="BW75" s="99">
        <v>5788.7999999999993</v>
      </c>
      <c r="BX75" s="99">
        <v>1.7159210105392291</v>
      </c>
      <c r="BY75" s="99">
        <v>1103.6803939788319</v>
      </c>
      <c r="BZ75" s="99">
        <v>7</v>
      </c>
      <c r="CA75" s="99">
        <v>4502.3999999999996</v>
      </c>
      <c r="CB75" s="99">
        <v>8.7336004864050221</v>
      </c>
      <c r="CC75" s="99">
        <v>5617.4518328557097</v>
      </c>
      <c r="CD75" s="99">
        <v>8.0908236188873298E-16</v>
      </c>
      <c r="CE75" s="99">
        <v>5.20401775166833E-13</v>
      </c>
      <c r="CF75" s="99">
        <v>9</v>
      </c>
      <c r="CG75" s="99">
        <v>5788.7999999999993</v>
      </c>
      <c r="CH75" s="99">
        <v>5</v>
      </c>
      <c r="CI75" s="99">
        <v>3215.9999999999995</v>
      </c>
      <c r="CJ75" s="99">
        <v>5</v>
      </c>
      <c r="CK75" s="99">
        <v>3215.9999999999995</v>
      </c>
      <c r="CL75" s="99">
        <v>9</v>
      </c>
      <c r="CM75" s="99">
        <v>5788.7999999999993</v>
      </c>
      <c r="CN75" s="99">
        <v>6.4483417203089495</v>
      </c>
      <c r="CO75" s="99">
        <v>4147.5733945027159</v>
      </c>
      <c r="CP75" s="99">
        <v>7.8113381714167431</v>
      </c>
      <c r="CQ75" s="99">
        <v>5024.2527118552489</v>
      </c>
      <c r="CR75" s="99">
        <v>5</v>
      </c>
      <c r="CS75" s="99">
        <v>3215.9999999999995</v>
      </c>
      <c r="CT75" s="99">
        <v>7.8746880168395128</v>
      </c>
      <c r="CU75" s="99">
        <v>5064.9993324311745</v>
      </c>
    </row>
    <row r="76" spans="2:99">
      <c r="C76" s="98" t="s">
        <v>242</v>
      </c>
      <c r="D76" s="99">
        <v>8</v>
      </c>
      <c r="E76" s="99">
        <v>6230.4</v>
      </c>
      <c r="F76" s="99">
        <v>7</v>
      </c>
      <c r="G76" s="99">
        <v>5451.5999999999995</v>
      </c>
      <c r="H76" s="99">
        <v>7</v>
      </c>
      <c r="I76" s="99">
        <v>5451.5999999999995</v>
      </c>
      <c r="J76" s="99">
        <v>8</v>
      </c>
      <c r="K76" s="99">
        <v>6230.4</v>
      </c>
      <c r="L76" s="99">
        <v>9</v>
      </c>
      <c r="M76" s="99">
        <v>7009.2</v>
      </c>
      <c r="N76" s="99">
        <v>7</v>
      </c>
      <c r="O76" s="99">
        <v>5451.5999999999995</v>
      </c>
      <c r="P76" s="99">
        <v>8</v>
      </c>
      <c r="Q76" s="99">
        <v>6230.4</v>
      </c>
      <c r="R76" s="99">
        <v>7</v>
      </c>
      <c r="S76" s="99">
        <v>5451.5999999999995</v>
      </c>
      <c r="T76" s="99">
        <v>7</v>
      </c>
      <c r="U76" s="99">
        <v>5451.5999999999995</v>
      </c>
      <c r="V76" s="99">
        <v>0.90492823004370004</v>
      </c>
      <c r="W76" s="99">
        <v>704.75810555803355</v>
      </c>
      <c r="X76" s="99">
        <v>5</v>
      </c>
      <c r="Y76" s="99">
        <v>3894</v>
      </c>
      <c r="Z76" s="99">
        <v>7</v>
      </c>
      <c r="AA76" s="99">
        <v>5451.5999999999995</v>
      </c>
      <c r="AB76" s="99">
        <v>6</v>
      </c>
      <c r="AC76" s="99">
        <v>4672.7999999999993</v>
      </c>
      <c r="AD76" s="99">
        <v>6</v>
      </c>
      <c r="AE76" s="99">
        <v>4672.7999999999993</v>
      </c>
      <c r="AF76" s="99">
        <v>9</v>
      </c>
      <c r="AG76" s="99">
        <v>7009.2</v>
      </c>
      <c r="AH76" s="99">
        <v>4.6061406098027016</v>
      </c>
      <c r="AI76" s="99">
        <v>3587.2623069143438</v>
      </c>
      <c r="AJ76" s="99">
        <v>9</v>
      </c>
      <c r="AK76" s="99">
        <v>7009.2</v>
      </c>
      <c r="AL76" s="99">
        <v>9</v>
      </c>
      <c r="AM76" s="99">
        <v>7009.2</v>
      </c>
      <c r="AN76" s="99">
        <v>2.6303386312841157</v>
      </c>
      <c r="AO76" s="99">
        <v>2048.5077260440694</v>
      </c>
      <c r="AP76" s="99">
        <v>5</v>
      </c>
      <c r="AQ76" s="99">
        <v>3894</v>
      </c>
      <c r="AR76" s="99">
        <v>9</v>
      </c>
      <c r="AS76" s="99">
        <v>7009.2</v>
      </c>
      <c r="AT76" s="99">
        <v>6</v>
      </c>
      <c r="AU76" s="99">
        <v>4672.7999999999993</v>
      </c>
      <c r="AV76" s="99">
        <v>7.8331995040862736</v>
      </c>
      <c r="AW76" s="99">
        <v>6100.4957737823897</v>
      </c>
      <c r="AX76" s="99">
        <v>8</v>
      </c>
      <c r="AY76" s="99">
        <v>6230.4</v>
      </c>
      <c r="AZ76" s="99">
        <v>7</v>
      </c>
      <c r="BA76" s="99">
        <v>5451.5999999999995</v>
      </c>
      <c r="BB76" s="99">
        <v>4</v>
      </c>
      <c r="BC76" s="99">
        <v>3115.2</v>
      </c>
      <c r="BD76" s="99">
        <v>5.4008474745002646</v>
      </c>
      <c r="BE76" s="99">
        <v>4206.1800131408054</v>
      </c>
      <c r="BF76" s="99">
        <v>2.2814934947635316E-2</v>
      </c>
      <c r="BG76" s="99">
        <v>17.768271337218383</v>
      </c>
      <c r="BH76" s="99">
        <v>9</v>
      </c>
      <c r="BI76" s="99">
        <v>7009.2</v>
      </c>
      <c r="BJ76" s="99">
        <v>7</v>
      </c>
      <c r="BK76" s="99">
        <v>5451.5999999999995</v>
      </c>
      <c r="BL76" s="99">
        <v>6</v>
      </c>
      <c r="BM76" s="99">
        <v>4672.7999999999993</v>
      </c>
      <c r="BN76" s="99">
        <v>7</v>
      </c>
      <c r="BO76" s="99">
        <v>5451.5999999999995</v>
      </c>
      <c r="BP76" s="99">
        <v>7</v>
      </c>
      <c r="BQ76" s="99">
        <v>5451.5999999999995</v>
      </c>
      <c r="BR76" s="99">
        <v>8</v>
      </c>
      <c r="BS76" s="99">
        <v>6230.4</v>
      </c>
      <c r="BT76" s="99">
        <v>7</v>
      </c>
      <c r="BU76" s="99">
        <v>5451.5999999999995</v>
      </c>
      <c r="BV76" s="99">
        <v>8</v>
      </c>
      <c r="BW76" s="99">
        <v>6230.4</v>
      </c>
      <c r="BX76" s="99">
        <v>1.7159210105392291</v>
      </c>
      <c r="BY76" s="99">
        <v>1336.3592830079515</v>
      </c>
      <c r="BZ76" s="99">
        <v>7</v>
      </c>
      <c r="CA76" s="99">
        <v>5451.5999999999995</v>
      </c>
      <c r="CB76" s="99">
        <v>7.8602404377645199</v>
      </c>
      <c r="CC76" s="99">
        <v>6121.555252931008</v>
      </c>
      <c r="CD76" s="99">
        <v>8.0908236188873298E-16</v>
      </c>
      <c r="CE76" s="99">
        <v>6.3011334343894519E-13</v>
      </c>
      <c r="CF76" s="99">
        <v>9</v>
      </c>
      <c r="CG76" s="99">
        <v>7009.2</v>
      </c>
      <c r="CH76" s="99">
        <v>5</v>
      </c>
      <c r="CI76" s="99">
        <v>3894</v>
      </c>
      <c r="CJ76" s="99">
        <v>5</v>
      </c>
      <c r="CK76" s="99">
        <v>3894</v>
      </c>
      <c r="CL76" s="99">
        <v>9</v>
      </c>
      <c r="CM76" s="99">
        <v>7009.2</v>
      </c>
      <c r="CN76" s="99">
        <v>7.3695333946387995</v>
      </c>
      <c r="CO76" s="99">
        <v>5739.3926077446968</v>
      </c>
      <c r="CP76" s="99">
        <v>7.8113381714167431</v>
      </c>
      <c r="CQ76" s="99">
        <v>6083.4701678993588</v>
      </c>
      <c r="CR76" s="99">
        <v>5</v>
      </c>
      <c r="CS76" s="99">
        <v>3894</v>
      </c>
      <c r="CT76" s="99">
        <v>6.7289066806995939</v>
      </c>
      <c r="CU76" s="99">
        <v>5240.4725229288433</v>
      </c>
    </row>
    <row r="77" spans="2:99">
      <c r="C77" s="98" t="s">
        <v>243</v>
      </c>
      <c r="D77" s="99">
        <v>9</v>
      </c>
      <c r="E77" s="99">
        <v>2505.6</v>
      </c>
      <c r="F77" s="99">
        <v>7</v>
      </c>
      <c r="G77" s="99">
        <v>1948.7999999999997</v>
      </c>
      <c r="H77" s="99">
        <v>7</v>
      </c>
      <c r="I77" s="99">
        <v>1948.7999999999997</v>
      </c>
      <c r="J77" s="99">
        <v>8</v>
      </c>
      <c r="K77" s="99">
        <v>2227.1999999999998</v>
      </c>
      <c r="L77" s="99">
        <v>10</v>
      </c>
      <c r="M77" s="99">
        <v>2784</v>
      </c>
      <c r="N77" s="99">
        <v>9</v>
      </c>
      <c r="O77" s="99">
        <v>2505.6</v>
      </c>
      <c r="P77" s="99">
        <v>9</v>
      </c>
      <c r="Q77" s="99">
        <v>2505.6</v>
      </c>
      <c r="R77" s="99">
        <v>9</v>
      </c>
      <c r="S77" s="99">
        <v>2505.6</v>
      </c>
      <c r="T77" s="99">
        <v>7</v>
      </c>
      <c r="U77" s="99">
        <v>1948.7999999999997</v>
      </c>
      <c r="V77" s="99">
        <v>1.0342036914785144</v>
      </c>
      <c r="W77" s="99">
        <v>287.92230770761842</v>
      </c>
      <c r="X77" s="99">
        <v>5</v>
      </c>
      <c r="Y77" s="99">
        <v>1392</v>
      </c>
      <c r="Z77" s="99">
        <v>7</v>
      </c>
      <c r="AA77" s="99">
        <v>1948.7999999999997</v>
      </c>
      <c r="AB77" s="99">
        <v>6</v>
      </c>
      <c r="AC77" s="99">
        <v>1670.3999999999999</v>
      </c>
      <c r="AD77" s="99">
        <v>6</v>
      </c>
      <c r="AE77" s="99">
        <v>1670.3999999999999</v>
      </c>
      <c r="AF77" s="99">
        <v>9</v>
      </c>
      <c r="AG77" s="99">
        <v>2505.6</v>
      </c>
      <c r="AH77" s="99">
        <v>4.6061406098027016</v>
      </c>
      <c r="AI77" s="99">
        <v>1282.3495457690719</v>
      </c>
      <c r="AJ77" s="99">
        <v>9</v>
      </c>
      <c r="AK77" s="99">
        <v>2505.6</v>
      </c>
      <c r="AL77" s="99">
        <v>9</v>
      </c>
      <c r="AM77" s="99">
        <v>2505.6</v>
      </c>
      <c r="AN77" s="99">
        <v>2.6034627440336373</v>
      </c>
      <c r="AO77" s="99">
        <v>724.80402793896462</v>
      </c>
      <c r="AP77" s="99">
        <v>5</v>
      </c>
      <c r="AQ77" s="99">
        <v>1392</v>
      </c>
      <c r="AR77" s="99">
        <v>9</v>
      </c>
      <c r="AS77" s="99">
        <v>2505.6</v>
      </c>
      <c r="AT77" s="99">
        <v>8</v>
      </c>
      <c r="AU77" s="99">
        <v>2227.1999999999998</v>
      </c>
      <c r="AV77" s="99">
        <v>7.8331995040862736</v>
      </c>
      <c r="AW77" s="99">
        <v>2180.7627419376186</v>
      </c>
      <c r="AX77" s="99">
        <v>8</v>
      </c>
      <c r="AY77" s="99">
        <v>2227.1999999999998</v>
      </c>
      <c r="AZ77" s="99">
        <v>7</v>
      </c>
      <c r="BA77" s="99">
        <v>1948.7999999999997</v>
      </c>
      <c r="BB77" s="99">
        <v>4</v>
      </c>
      <c r="BC77" s="99">
        <v>1113.5999999999999</v>
      </c>
      <c r="BD77" s="99">
        <v>4.8607627270502389</v>
      </c>
      <c r="BE77" s="99">
        <v>1353.2363432107863</v>
      </c>
      <c r="BF77" s="99">
        <v>2.566680181608973E-2</v>
      </c>
      <c r="BG77" s="99">
        <v>7.1456376255993801</v>
      </c>
      <c r="BH77" s="99">
        <v>10</v>
      </c>
      <c r="BI77" s="99">
        <v>2784</v>
      </c>
      <c r="BJ77" s="99">
        <v>7</v>
      </c>
      <c r="BK77" s="99">
        <v>1948.7999999999997</v>
      </c>
      <c r="BL77" s="99">
        <v>5</v>
      </c>
      <c r="BM77" s="99">
        <v>1392</v>
      </c>
      <c r="BN77" s="99">
        <v>8</v>
      </c>
      <c r="BO77" s="99">
        <v>2227.1999999999998</v>
      </c>
      <c r="BP77" s="99">
        <v>7</v>
      </c>
      <c r="BQ77" s="99">
        <v>1948.7999999999997</v>
      </c>
      <c r="BR77" s="99">
        <v>8</v>
      </c>
      <c r="BS77" s="99">
        <v>2227.1999999999998</v>
      </c>
      <c r="BT77" s="99">
        <v>8</v>
      </c>
      <c r="BU77" s="99">
        <v>2227.1999999999998</v>
      </c>
      <c r="BV77" s="99">
        <v>9</v>
      </c>
      <c r="BW77" s="99">
        <v>2505.6</v>
      </c>
      <c r="BX77" s="99">
        <v>1.7159210105392291</v>
      </c>
      <c r="BY77" s="99">
        <v>477.71240933412133</v>
      </c>
      <c r="BZ77" s="99">
        <v>7</v>
      </c>
      <c r="CA77" s="99">
        <v>1948.7999999999997</v>
      </c>
      <c r="CB77" s="99">
        <v>8.7336004864050221</v>
      </c>
      <c r="CC77" s="99">
        <v>2431.4343754151578</v>
      </c>
      <c r="CD77" s="99">
        <v>9.1021765712482451E-16</v>
      </c>
      <c r="CE77" s="99">
        <v>2.5340459574355111E-13</v>
      </c>
      <c r="CF77" s="99">
        <v>10</v>
      </c>
      <c r="CG77" s="99">
        <v>2784</v>
      </c>
      <c r="CH77" s="99">
        <v>5</v>
      </c>
      <c r="CI77" s="99">
        <v>1392</v>
      </c>
      <c r="CJ77" s="99">
        <v>6</v>
      </c>
      <c r="CK77" s="99">
        <v>1670.3999999999999</v>
      </c>
      <c r="CL77" s="99">
        <v>8</v>
      </c>
      <c r="CM77" s="99">
        <v>2227.1999999999998</v>
      </c>
      <c r="CN77" s="99">
        <v>7.3695333946387995</v>
      </c>
      <c r="CO77" s="99">
        <v>2051.6780970674417</v>
      </c>
      <c r="CP77" s="99">
        <v>6.9434117079259936</v>
      </c>
      <c r="CQ77" s="99">
        <v>1933.0458194865964</v>
      </c>
      <c r="CR77" s="99">
        <v>5</v>
      </c>
      <c r="CS77" s="99">
        <v>1392</v>
      </c>
      <c r="CT77" s="99">
        <v>6.8746880168395128</v>
      </c>
      <c r="CU77" s="99">
        <v>1913.9131438881202</v>
      </c>
    </row>
    <row r="78" spans="2:99">
      <c r="C78" s="98" t="s">
        <v>244</v>
      </c>
      <c r="D78" s="99">
        <v>8</v>
      </c>
      <c r="E78" s="99">
        <v>4416</v>
      </c>
      <c r="F78" s="99">
        <v>7</v>
      </c>
      <c r="G78" s="99">
        <v>3864</v>
      </c>
      <c r="H78" s="99">
        <v>7</v>
      </c>
      <c r="I78" s="99">
        <v>3864</v>
      </c>
      <c r="J78" s="99">
        <v>8</v>
      </c>
      <c r="K78" s="99">
        <v>4416</v>
      </c>
      <c r="L78" s="99">
        <v>9</v>
      </c>
      <c r="M78" s="99">
        <v>4968</v>
      </c>
      <c r="N78" s="99">
        <v>7</v>
      </c>
      <c r="O78" s="99">
        <v>3864</v>
      </c>
      <c r="P78" s="99">
        <v>8</v>
      </c>
      <c r="Q78" s="99">
        <v>4416</v>
      </c>
      <c r="R78" s="99">
        <v>8</v>
      </c>
      <c r="S78" s="99">
        <v>4416</v>
      </c>
      <c r="T78" s="99">
        <v>7</v>
      </c>
      <c r="U78" s="99">
        <v>3864</v>
      </c>
      <c r="V78" s="99">
        <v>1.1634791529133286</v>
      </c>
      <c r="W78" s="99">
        <v>642.24049240815737</v>
      </c>
      <c r="X78" s="99">
        <v>5</v>
      </c>
      <c r="Y78" s="99">
        <v>2760</v>
      </c>
      <c r="Z78" s="99">
        <v>6</v>
      </c>
      <c r="AA78" s="99">
        <v>3312</v>
      </c>
      <c r="AB78" s="99">
        <v>6</v>
      </c>
      <c r="AC78" s="99">
        <v>3312</v>
      </c>
      <c r="AD78" s="99">
        <v>6</v>
      </c>
      <c r="AE78" s="99">
        <v>3312</v>
      </c>
      <c r="AF78" s="99">
        <v>9</v>
      </c>
      <c r="AG78" s="99">
        <v>4968</v>
      </c>
      <c r="AH78" s="99">
        <v>4.5760792982214209</v>
      </c>
      <c r="AI78" s="99">
        <v>2525.9957726182242</v>
      </c>
      <c r="AJ78" s="99">
        <v>10</v>
      </c>
      <c r="AK78" s="99">
        <v>5520</v>
      </c>
      <c r="AL78" s="99">
        <v>9</v>
      </c>
      <c r="AM78" s="99">
        <v>4968</v>
      </c>
      <c r="AN78" s="99">
        <v>2.341064993058156</v>
      </c>
      <c r="AO78" s="99">
        <v>1292.267876168102</v>
      </c>
      <c r="AP78" s="99">
        <v>5</v>
      </c>
      <c r="AQ78" s="99">
        <v>2760</v>
      </c>
      <c r="AR78" s="99">
        <v>8</v>
      </c>
      <c r="AS78" s="99">
        <v>4416</v>
      </c>
      <c r="AT78" s="99">
        <v>8</v>
      </c>
      <c r="AU78" s="99">
        <v>4416</v>
      </c>
      <c r="AV78" s="99">
        <v>7.8331995040862736</v>
      </c>
      <c r="AW78" s="99">
        <v>4323.9261262556229</v>
      </c>
      <c r="AX78" s="99">
        <v>8</v>
      </c>
      <c r="AY78" s="99">
        <v>4416</v>
      </c>
      <c r="AZ78" s="99">
        <v>6</v>
      </c>
      <c r="BA78" s="99">
        <v>3312</v>
      </c>
      <c r="BB78" s="99">
        <v>5</v>
      </c>
      <c r="BC78" s="99">
        <v>2760</v>
      </c>
      <c r="BD78" s="99">
        <v>5.4008474745002646</v>
      </c>
      <c r="BE78" s="99">
        <v>2981.2678059241462</v>
      </c>
      <c r="BF78" s="99">
        <v>2.566680181608973E-2</v>
      </c>
      <c r="BG78" s="99">
        <v>14.16807460248153</v>
      </c>
      <c r="BH78" s="99">
        <v>8</v>
      </c>
      <c r="BI78" s="99">
        <v>4416</v>
      </c>
      <c r="BJ78" s="99">
        <v>7</v>
      </c>
      <c r="BK78" s="99">
        <v>3864</v>
      </c>
      <c r="BL78" s="99">
        <v>5</v>
      </c>
      <c r="BM78" s="99">
        <v>2760</v>
      </c>
      <c r="BN78" s="99">
        <v>8</v>
      </c>
      <c r="BO78" s="99">
        <v>4416</v>
      </c>
      <c r="BP78" s="99">
        <v>7</v>
      </c>
      <c r="BQ78" s="99">
        <v>3864</v>
      </c>
      <c r="BR78" s="99">
        <v>8</v>
      </c>
      <c r="BS78" s="99">
        <v>4416</v>
      </c>
      <c r="BT78" s="99">
        <v>7</v>
      </c>
      <c r="BU78" s="99">
        <v>3864</v>
      </c>
      <c r="BV78" s="99">
        <v>7</v>
      </c>
      <c r="BW78" s="99">
        <v>3864</v>
      </c>
      <c r="BX78" s="99">
        <v>1.7159210105392291</v>
      </c>
      <c r="BY78" s="99">
        <v>947.1883978176545</v>
      </c>
      <c r="BZ78" s="99">
        <v>7</v>
      </c>
      <c r="CA78" s="99">
        <v>3864</v>
      </c>
      <c r="CB78" s="99">
        <v>8.7336004864050221</v>
      </c>
      <c r="CC78" s="99">
        <v>4820.9474684955721</v>
      </c>
      <c r="CD78" s="99">
        <v>9.1021765712482451E-16</v>
      </c>
      <c r="CE78" s="99">
        <v>5.0244014673290317E-13</v>
      </c>
      <c r="CF78" s="99">
        <v>9</v>
      </c>
      <c r="CG78" s="99">
        <v>4968</v>
      </c>
      <c r="CH78" s="99">
        <v>5</v>
      </c>
      <c r="CI78" s="99">
        <v>2760</v>
      </c>
      <c r="CJ78" s="99">
        <v>5</v>
      </c>
      <c r="CK78" s="99">
        <v>2760</v>
      </c>
      <c r="CL78" s="99">
        <v>9</v>
      </c>
      <c r="CM78" s="99">
        <v>4968</v>
      </c>
      <c r="CN78" s="99">
        <v>7.3695333946387995</v>
      </c>
      <c r="CO78" s="99">
        <v>4067.9824338406174</v>
      </c>
      <c r="CP78" s="99">
        <v>7.8113381714167431</v>
      </c>
      <c r="CQ78" s="99">
        <v>4311.8586706220422</v>
      </c>
      <c r="CR78" s="99">
        <v>6</v>
      </c>
      <c r="CS78" s="99">
        <v>3312</v>
      </c>
      <c r="CT78" s="99">
        <v>7.8746880168395128</v>
      </c>
      <c r="CU78" s="99">
        <v>4346.8277852954106</v>
      </c>
    </row>
    <row r="79" spans="2:99">
      <c r="C79" s="98" t="s">
        <v>245</v>
      </c>
      <c r="D79" s="99">
        <v>8</v>
      </c>
      <c r="E79" s="99">
        <v>6057.5999999999995</v>
      </c>
      <c r="F79" s="99">
        <v>7</v>
      </c>
      <c r="G79" s="99">
        <v>5300.4</v>
      </c>
      <c r="H79" s="99">
        <v>7</v>
      </c>
      <c r="I79" s="99">
        <v>5300.4</v>
      </c>
      <c r="J79" s="99">
        <v>8</v>
      </c>
      <c r="K79" s="99">
        <v>6057.5999999999995</v>
      </c>
      <c r="L79" s="99">
        <v>9</v>
      </c>
      <c r="M79" s="99">
        <v>6814.7999999999993</v>
      </c>
      <c r="N79" s="99">
        <v>8</v>
      </c>
      <c r="O79" s="99">
        <v>6057.5999999999995</v>
      </c>
      <c r="P79" s="99">
        <v>7</v>
      </c>
      <c r="Q79" s="99">
        <v>5300.4</v>
      </c>
      <c r="R79" s="99">
        <v>8</v>
      </c>
      <c r="S79" s="99">
        <v>6057.5999999999995</v>
      </c>
      <c r="T79" s="99">
        <v>7</v>
      </c>
      <c r="U79" s="99">
        <v>5300.4</v>
      </c>
      <c r="V79" s="99">
        <v>1.0342036914785144</v>
      </c>
      <c r="W79" s="99">
        <v>783.09903518753106</v>
      </c>
      <c r="X79" s="99">
        <v>5</v>
      </c>
      <c r="Y79" s="99">
        <v>3785.9999999999995</v>
      </c>
      <c r="Z79" s="99">
        <v>6</v>
      </c>
      <c r="AA79" s="99">
        <v>4543.2</v>
      </c>
      <c r="AB79" s="99">
        <v>6</v>
      </c>
      <c r="AC79" s="99">
        <v>4543.2</v>
      </c>
      <c r="AD79" s="99">
        <v>7</v>
      </c>
      <c r="AE79" s="99">
        <v>5300.4</v>
      </c>
      <c r="AF79" s="99">
        <v>9</v>
      </c>
      <c r="AG79" s="99">
        <v>6814.7999999999993</v>
      </c>
      <c r="AH79" s="99">
        <v>4.6061406098027016</v>
      </c>
      <c r="AI79" s="99">
        <v>3487.7696697426054</v>
      </c>
      <c r="AJ79" s="99">
        <v>9</v>
      </c>
      <c r="AK79" s="99">
        <v>6814.7999999999993</v>
      </c>
      <c r="AL79" s="99">
        <v>8</v>
      </c>
      <c r="AM79" s="99">
        <v>6057.5999999999995</v>
      </c>
      <c r="AN79" s="99">
        <v>2.6169006876588767</v>
      </c>
      <c r="AO79" s="99">
        <v>1981.5172006953012</v>
      </c>
      <c r="AP79" s="99">
        <v>5</v>
      </c>
      <c r="AQ79" s="99">
        <v>3785.9999999999995</v>
      </c>
      <c r="AR79" s="99">
        <v>9</v>
      </c>
      <c r="AS79" s="99">
        <v>6814.7999999999993</v>
      </c>
      <c r="AT79" s="99">
        <v>7</v>
      </c>
      <c r="AU79" s="99">
        <v>5300.4</v>
      </c>
      <c r="AV79" s="99">
        <v>6.8540495660754894</v>
      </c>
      <c r="AW79" s="99">
        <v>5189.8863314323598</v>
      </c>
      <c r="AX79" s="99">
        <v>8</v>
      </c>
      <c r="AY79" s="99">
        <v>6057.5999999999995</v>
      </c>
      <c r="AZ79" s="99">
        <v>7</v>
      </c>
      <c r="BA79" s="99">
        <v>5300.4</v>
      </c>
      <c r="BB79" s="99">
        <v>5</v>
      </c>
      <c r="BC79" s="99">
        <v>3785.9999999999995</v>
      </c>
      <c r="BD79" s="99">
        <v>4.8607627270502389</v>
      </c>
      <c r="BE79" s="99">
        <v>3680.5695369224404</v>
      </c>
      <c r="BF79" s="99">
        <v>2.2814934947635316E-2</v>
      </c>
      <c r="BG79" s="99">
        <v>17.27546874234946</v>
      </c>
      <c r="BH79" s="99">
        <v>9</v>
      </c>
      <c r="BI79" s="99">
        <v>6814.7999999999993</v>
      </c>
      <c r="BJ79" s="99">
        <v>7</v>
      </c>
      <c r="BK79" s="99">
        <v>5300.4</v>
      </c>
      <c r="BL79" s="99">
        <v>6</v>
      </c>
      <c r="BM79" s="99">
        <v>4543.2</v>
      </c>
      <c r="BN79" s="99">
        <v>8</v>
      </c>
      <c r="BO79" s="99">
        <v>6057.5999999999995</v>
      </c>
      <c r="BP79" s="99">
        <v>6</v>
      </c>
      <c r="BQ79" s="99">
        <v>4543.2</v>
      </c>
      <c r="BR79" s="99">
        <v>7</v>
      </c>
      <c r="BS79" s="99">
        <v>5300.4</v>
      </c>
      <c r="BT79" s="99">
        <v>8</v>
      </c>
      <c r="BU79" s="99">
        <v>6057.5999999999995</v>
      </c>
      <c r="BV79" s="99">
        <v>8</v>
      </c>
      <c r="BW79" s="99">
        <v>6057.5999999999995</v>
      </c>
      <c r="BX79" s="99">
        <v>1.7159210105392291</v>
      </c>
      <c r="BY79" s="99">
        <v>1299.295389180304</v>
      </c>
      <c r="BZ79" s="99">
        <v>6</v>
      </c>
      <c r="CA79" s="99">
        <v>4543.2</v>
      </c>
      <c r="CB79" s="99">
        <v>7.8602404377645199</v>
      </c>
      <c r="CC79" s="99">
        <v>5951.7740594752941</v>
      </c>
      <c r="CD79" s="99">
        <v>8.0908236188873298E-16</v>
      </c>
      <c r="CE79" s="99">
        <v>6.1263716442214851E-13</v>
      </c>
      <c r="CF79" s="99">
        <v>10</v>
      </c>
      <c r="CG79" s="99">
        <v>7571.9999999999991</v>
      </c>
      <c r="CH79" s="99">
        <v>5</v>
      </c>
      <c r="CI79" s="99">
        <v>3785.9999999999995</v>
      </c>
      <c r="CJ79" s="99">
        <v>5</v>
      </c>
      <c r="CK79" s="99">
        <v>3785.9999999999995</v>
      </c>
      <c r="CL79" s="99">
        <v>8</v>
      </c>
      <c r="CM79" s="99">
        <v>6057.5999999999995</v>
      </c>
      <c r="CN79" s="99">
        <v>6.4483417203089495</v>
      </c>
      <c r="CO79" s="99">
        <v>4882.6843506179357</v>
      </c>
      <c r="CP79" s="99">
        <v>6.9434117079259936</v>
      </c>
      <c r="CQ79" s="99">
        <v>5257.5513452415616</v>
      </c>
      <c r="CR79" s="99">
        <v>5</v>
      </c>
      <c r="CS79" s="99">
        <v>3785.9999999999995</v>
      </c>
      <c r="CT79" s="99">
        <v>6.8746880168395128</v>
      </c>
      <c r="CU79" s="99">
        <v>5205.5137663508785</v>
      </c>
    </row>
    <row r="80" spans="2:99">
      <c r="C80" s="98" t="s">
        <v>246</v>
      </c>
      <c r="D80" s="99">
        <v>9</v>
      </c>
      <c r="E80" s="99">
        <v>7246.7999999999993</v>
      </c>
      <c r="F80" s="99">
        <v>7</v>
      </c>
      <c r="G80" s="99">
        <v>5636.4</v>
      </c>
      <c r="H80" s="99">
        <v>6</v>
      </c>
      <c r="I80" s="99">
        <v>4831.2</v>
      </c>
      <c r="J80" s="99">
        <v>8</v>
      </c>
      <c r="K80" s="99">
        <v>6441.5999999999995</v>
      </c>
      <c r="L80" s="99">
        <v>9</v>
      </c>
      <c r="M80" s="99">
        <v>7246.7999999999993</v>
      </c>
      <c r="N80" s="99">
        <v>8</v>
      </c>
      <c r="O80" s="99">
        <v>6441.5999999999995</v>
      </c>
      <c r="P80" s="99">
        <v>8</v>
      </c>
      <c r="Q80" s="99">
        <v>6441.5999999999995</v>
      </c>
      <c r="R80" s="99">
        <v>8</v>
      </c>
      <c r="S80" s="99">
        <v>6441.5999999999995</v>
      </c>
      <c r="T80" s="99">
        <v>6</v>
      </c>
      <c r="U80" s="99">
        <v>4831.2</v>
      </c>
      <c r="V80" s="99">
        <v>0.90492823004370004</v>
      </c>
      <c r="W80" s="99">
        <v>728.64821083118716</v>
      </c>
      <c r="X80" s="99">
        <v>4</v>
      </c>
      <c r="Y80" s="99">
        <v>3220.7999999999997</v>
      </c>
      <c r="Z80" s="99">
        <v>7</v>
      </c>
      <c r="AA80" s="99">
        <v>5636.4</v>
      </c>
      <c r="AB80" s="99">
        <v>5</v>
      </c>
      <c r="AC80" s="99">
        <v>4025.9999999999995</v>
      </c>
      <c r="AD80" s="99">
        <v>6</v>
      </c>
      <c r="AE80" s="99">
        <v>4831.2</v>
      </c>
      <c r="AF80" s="99">
        <v>8</v>
      </c>
      <c r="AG80" s="99">
        <v>6441.5999999999995</v>
      </c>
      <c r="AH80" s="99">
        <v>4.6061406098027016</v>
      </c>
      <c r="AI80" s="99">
        <v>3708.8644190131349</v>
      </c>
      <c r="AJ80" s="99">
        <v>8</v>
      </c>
      <c r="AK80" s="99">
        <v>6441.5999999999995</v>
      </c>
      <c r="AL80" s="99">
        <v>9</v>
      </c>
      <c r="AM80" s="99">
        <v>7246.7999999999993</v>
      </c>
      <c r="AN80" s="99">
        <v>2.341064993058156</v>
      </c>
      <c r="AO80" s="99">
        <v>1885.0255324104271</v>
      </c>
      <c r="AP80" s="99">
        <v>4</v>
      </c>
      <c r="AQ80" s="99">
        <v>3220.7999999999997</v>
      </c>
      <c r="AR80" s="99">
        <v>9</v>
      </c>
      <c r="AS80" s="99">
        <v>7246.7999999999993</v>
      </c>
      <c r="AT80" s="99">
        <v>7</v>
      </c>
      <c r="AU80" s="99">
        <v>5636.4</v>
      </c>
      <c r="AV80" s="99">
        <v>7.8331995040862736</v>
      </c>
      <c r="AW80" s="99">
        <v>6307.2922406902671</v>
      </c>
      <c r="AX80" s="99">
        <v>8</v>
      </c>
      <c r="AY80" s="99">
        <v>6441.5999999999995</v>
      </c>
      <c r="AZ80" s="99">
        <v>7</v>
      </c>
      <c r="BA80" s="99">
        <v>5636.4</v>
      </c>
      <c r="BB80" s="99">
        <v>5</v>
      </c>
      <c r="BC80" s="99">
        <v>4025.9999999999995</v>
      </c>
      <c r="BD80" s="99">
        <v>4.3206779796002124</v>
      </c>
      <c r="BE80" s="99">
        <v>3479.0099091740908</v>
      </c>
      <c r="BF80" s="99">
        <v>2.2814934947635316E-2</v>
      </c>
      <c r="BG80" s="99">
        <v>18.370585619835953</v>
      </c>
      <c r="BH80" s="99">
        <v>9</v>
      </c>
      <c r="BI80" s="99">
        <v>7246.7999999999993</v>
      </c>
      <c r="BJ80" s="99">
        <v>6</v>
      </c>
      <c r="BK80" s="99">
        <v>4831.2</v>
      </c>
      <c r="BL80" s="99">
        <v>5</v>
      </c>
      <c r="BM80" s="99">
        <v>4025.9999999999995</v>
      </c>
      <c r="BN80" s="99">
        <v>8</v>
      </c>
      <c r="BO80" s="99">
        <v>6441.5999999999995</v>
      </c>
      <c r="BP80" s="99">
        <v>7</v>
      </c>
      <c r="BQ80" s="99">
        <v>5636.4</v>
      </c>
      <c r="BR80" s="99">
        <v>7</v>
      </c>
      <c r="BS80" s="99">
        <v>5636.4</v>
      </c>
      <c r="BT80" s="99">
        <v>8</v>
      </c>
      <c r="BU80" s="99">
        <v>6441.5999999999995</v>
      </c>
      <c r="BV80" s="99">
        <v>8</v>
      </c>
      <c r="BW80" s="99">
        <v>6441.5999999999995</v>
      </c>
      <c r="BX80" s="99">
        <v>1.7159210105392291</v>
      </c>
      <c r="BY80" s="99">
        <v>1381.6595976861872</v>
      </c>
      <c r="BZ80" s="99">
        <v>6</v>
      </c>
      <c r="CA80" s="99">
        <v>4831.2</v>
      </c>
      <c r="CB80" s="99">
        <v>7.8602404377645199</v>
      </c>
      <c r="CC80" s="99">
        <v>6329.0656004879911</v>
      </c>
      <c r="CD80" s="99">
        <v>9.1021765712482451E-16</v>
      </c>
      <c r="CE80" s="99">
        <v>7.3290725751690868E-13</v>
      </c>
      <c r="CF80" s="99">
        <v>10</v>
      </c>
      <c r="CG80" s="99">
        <v>8051.9999999999991</v>
      </c>
      <c r="CH80" s="99">
        <v>5</v>
      </c>
      <c r="CI80" s="99">
        <v>4025.9999999999995</v>
      </c>
      <c r="CJ80" s="99">
        <v>5</v>
      </c>
      <c r="CK80" s="99">
        <v>4025.9999999999995</v>
      </c>
      <c r="CL80" s="99">
        <v>9</v>
      </c>
      <c r="CM80" s="99">
        <v>7246.7999999999993</v>
      </c>
      <c r="CN80" s="99">
        <v>7.3695333946387995</v>
      </c>
      <c r="CO80" s="99">
        <v>5933.9482893631612</v>
      </c>
      <c r="CP80" s="99">
        <v>6.9434117079259936</v>
      </c>
      <c r="CQ80" s="99">
        <v>5590.8351072220094</v>
      </c>
      <c r="CR80" s="99">
        <v>5</v>
      </c>
      <c r="CS80" s="99">
        <v>4025.9999999999995</v>
      </c>
      <c r="CT80" s="99">
        <v>6.8746880168395128</v>
      </c>
      <c r="CU80" s="99">
        <v>5535.4987911591752</v>
      </c>
    </row>
    <row r="81" spans="2:99">
      <c r="C81" s="98" t="s">
        <v>247</v>
      </c>
      <c r="D81" s="99">
        <v>9</v>
      </c>
      <c r="E81" s="99">
        <v>6782.4000000000005</v>
      </c>
      <c r="F81" s="99">
        <v>7</v>
      </c>
      <c r="G81" s="99">
        <v>5275.2</v>
      </c>
      <c r="H81" s="99">
        <v>6</v>
      </c>
      <c r="I81" s="99">
        <v>4521.6000000000004</v>
      </c>
      <c r="J81" s="99">
        <v>8</v>
      </c>
      <c r="K81" s="99">
        <v>6028.8</v>
      </c>
      <c r="L81" s="99">
        <v>9</v>
      </c>
      <c r="M81" s="99">
        <v>6782.4000000000005</v>
      </c>
      <c r="N81" s="99">
        <v>7</v>
      </c>
      <c r="O81" s="99">
        <v>5275.2</v>
      </c>
      <c r="P81" s="99">
        <v>8</v>
      </c>
      <c r="Q81" s="99">
        <v>6028.8</v>
      </c>
      <c r="R81" s="99">
        <v>7</v>
      </c>
      <c r="S81" s="99">
        <v>5275.2</v>
      </c>
      <c r="T81" s="99">
        <v>7</v>
      </c>
      <c r="U81" s="99">
        <v>5275.2</v>
      </c>
      <c r="V81" s="99">
        <v>1.0342036914785144</v>
      </c>
      <c r="W81" s="99">
        <v>779.37590189820855</v>
      </c>
      <c r="X81" s="99">
        <v>5</v>
      </c>
      <c r="Y81" s="99">
        <v>3768</v>
      </c>
      <c r="Z81" s="99">
        <v>6</v>
      </c>
      <c r="AA81" s="99">
        <v>4521.6000000000004</v>
      </c>
      <c r="AB81" s="99">
        <v>6</v>
      </c>
      <c r="AC81" s="99">
        <v>4521.6000000000004</v>
      </c>
      <c r="AD81" s="99">
        <v>6</v>
      </c>
      <c r="AE81" s="99">
        <v>4521.6000000000004</v>
      </c>
      <c r="AF81" s="99">
        <v>8</v>
      </c>
      <c r="AG81" s="99">
        <v>6028.8</v>
      </c>
      <c r="AH81" s="99">
        <v>4.6061406098027016</v>
      </c>
      <c r="AI81" s="99">
        <v>3471.1875635473161</v>
      </c>
      <c r="AJ81" s="99">
        <v>8</v>
      </c>
      <c r="AK81" s="99">
        <v>6028.8</v>
      </c>
      <c r="AL81" s="99">
        <v>9</v>
      </c>
      <c r="AM81" s="99">
        <v>6782.4000000000005</v>
      </c>
      <c r="AN81" s="99">
        <v>2.341064993058156</v>
      </c>
      <c r="AO81" s="99">
        <v>1764.2265787686265</v>
      </c>
      <c r="AP81" s="99">
        <v>4</v>
      </c>
      <c r="AQ81" s="99">
        <v>3014.4</v>
      </c>
      <c r="AR81" s="99">
        <v>9</v>
      </c>
      <c r="AS81" s="99">
        <v>6782.4000000000005</v>
      </c>
      <c r="AT81" s="99">
        <v>6</v>
      </c>
      <c r="AU81" s="99">
        <v>4521.6000000000004</v>
      </c>
      <c r="AV81" s="99">
        <v>7.8331995040862736</v>
      </c>
      <c r="AW81" s="99">
        <v>5903.0991462794163</v>
      </c>
      <c r="AX81" s="99">
        <v>8</v>
      </c>
      <c r="AY81" s="99">
        <v>6028.8</v>
      </c>
      <c r="AZ81" s="99">
        <v>7</v>
      </c>
      <c r="BA81" s="99">
        <v>5275.2</v>
      </c>
      <c r="BB81" s="99">
        <v>4</v>
      </c>
      <c r="BC81" s="99">
        <v>3014.4</v>
      </c>
      <c r="BD81" s="99">
        <v>4.8607627270502389</v>
      </c>
      <c r="BE81" s="99">
        <v>3663.0707911050604</v>
      </c>
      <c r="BF81" s="99">
        <v>2.2814934947635316E-2</v>
      </c>
      <c r="BG81" s="99">
        <v>17.193334976537976</v>
      </c>
      <c r="BH81" s="99">
        <v>9</v>
      </c>
      <c r="BI81" s="99">
        <v>6782.4000000000005</v>
      </c>
      <c r="BJ81" s="99">
        <v>6</v>
      </c>
      <c r="BK81" s="99">
        <v>4521.6000000000004</v>
      </c>
      <c r="BL81" s="99">
        <v>5</v>
      </c>
      <c r="BM81" s="99">
        <v>3768</v>
      </c>
      <c r="BN81" s="99">
        <v>8</v>
      </c>
      <c r="BO81" s="99">
        <v>6028.8</v>
      </c>
      <c r="BP81" s="99">
        <v>6</v>
      </c>
      <c r="BQ81" s="99">
        <v>4521.6000000000004</v>
      </c>
      <c r="BR81" s="99">
        <v>7</v>
      </c>
      <c r="BS81" s="99">
        <v>5275.2</v>
      </c>
      <c r="BT81" s="99">
        <v>7</v>
      </c>
      <c r="BU81" s="99">
        <v>5275.2</v>
      </c>
      <c r="BV81" s="99">
        <v>8</v>
      </c>
      <c r="BW81" s="99">
        <v>6028.8</v>
      </c>
      <c r="BX81" s="99">
        <v>1.7159210105392291</v>
      </c>
      <c r="BY81" s="99">
        <v>1293.1180735423632</v>
      </c>
      <c r="BZ81" s="99">
        <v>7</v>
      </c>
      <c r="CA81" s="99">
        <v>5275.2</v>
      </c>
      <c r="CB81" s="99">
        <v>7.8602404377645199</v>
      </c>
      <c r="CC81" s="99">
        <v>5923.4771938993426</v>
      </c>
      <c r="CD81" s="99">
        <v>9.1021765712482451E-16</v>
      </c>
      <c r="CE81" s="99">
        <v>6.8594002640926779E-13</v>
      </c>
      <c r="CF81" s="99">
        <v>10</v>
      </c>
      <c r="CG81" s="99">
        <v>7536</v>
      </c>
      <c r="CH81" s="99">
        <v>5</v>
      </c>
      <c r="CI81" s="99">
        <v>3768</v>
      </c>
      <c r="CJ81" s="99">
        <v>5</v>
      </c>
      <c r="CK81" s="99">
        <v>3768</v>
      </c>
      <c r="CL81" s="99">
        <v>8</v>
      </c>
      <c r="CM81" s="99">
        <v>6028.8</v>
      </c>
      <c r="CN81" s="99">
        <v>7.3695333946387995</v>
      </c>
      <c r="CO81" s="99">
        <v>5553.6803661997992</v>
      </c>
      <c r="CP81" s="99">
        <v>6.9434117079259936</v>
      </c>
      <c r="CQ81" s="99">
        <v>5232.5550630930293</v>
      </c>
      <c r="CR81" s="99">
        <v>6</v>
      </c>
      <c r="CS81" s="99">
        <v>4521.6000000000004</v>
      </c>
      <c r="CT81" s="99">
        <v>7.8746880168395128</v>
      </c>
      <c r="CU81" s="99">
        <v>5934.3648894902572</v>
      </c>
    </row>
    <row r="82" spans="2:99">
      <c r="C82" s="98" t="s">
        <v>248</v>
      </c>
      <c r="D82" s="99">
        <v>8</v>
      </c>
      <c r="E82" s="99">
        <v>4070.3999999999992</v>
      </c>
      <c r="F82" s="99">
        <v>8</v>
      </c>
      <c r="G82" s="99">
        <v>4070.3999999999992</v>
      </c>
      <c r="H82" s="99">
        <v>6</v>
      </c>
      <c r="I82" s="99">
        <v>3052.7999999999993</v>
      </c>
      <c r="J82" s="99">
        <v>7</v>
      </c>
      <c r="K82" s="99">
        <v>3561.5999999999995</v>
      </c>
      <c r="L82" s="99">
        <v>8</v>
      </c>
      <c r="M82" s="99">
        <v>4070.3999999999992</v>
      </c>
      <c r="N82" s="99">
        <v>8</v>
      </c>
      <c r="O82" s="99">
        <v>4070.3999999999992</v>
      </c>
      <c r="P82" s="99">
        <v>8</v>
      </c>
      <c r="Q82" s="99">
        <v>4070.3999999999992</v>
      </c>
      <c r="R82" s="99">
        <v>7</v>
      </c>
      <c r="S82" s="99">
        <v>3561.5999999999995</v>
      </c>
      <c r="T82" s="99">
        <v>7</v>
      </c>
      <c r="U82" s="99">
        <v>3561.5999999999995</v>
      </c>
      <c r="V82" s="99">
        <v>1.1634791529133286</v>
      </c>
      <c r="W82" s="99">
        <v>591.97819300230151</v>
      </c>
      <c r="X82" s="99">
        <v>5</v>
      </c>
      <c r="Y82" s="99">
        <v>2543.9999999999995</v>
      </c>
      <c r="Z82" s="99">
        <v>6</v>
      </c>
      <c r="AA82" s="99">
        <v>3052.7999999999993</v>
      </c>
      <c r="AB82" s="99">
        <v>5</v>
      </c>
      <c r="AC82" s="99">
        <v>2543.9999999999995</v>
      </c>
      <c r="AD82" s="99">
        <v>6</v>
      </c>
      <c r="AE82" s="99">
        <v>3052.7999999999993</v>
      </c>
      <c r="AF82" s="99">
        <v>9</v>
      </c>
      <c r="AG82" s="99">
        <v>4579.1999999999989</v>
      </c>
      <c r="AH82" s="99">
        <v>4.6061406098027016</v>
      </c>
      <c r="AI82" s="99">
        <v>2343.6043422676139</v>
      </c>
      <c r="AJ82" s="99">
        <v>9</v>
      </c>
      <c r="AK82" s="99">
        <v>4579.1999999999989</v>
      </c>
      <c r="AL82" s="99">
        <v>9</v>
      </c>
      <c r="AM82" s="99">
        <v>4579.1999999999989</v>
      </c>
      <c r="AN82" s="99">
        <v>2.3545029366833949</v>
      </c>
      <c r="AO82" s="99">
        <v>1197.971094184511</v>
      </c>
      <c r="AP82" s="99">
        <v>5</v>
      </c>
      <c r="AQ82" s="99">
        <v>2543.9999999999995</v>
      </c>
      <c r="AR82" s="99">
        <v>8</v>
      </c>
      <c r="AS82" s="99">
        <v>4070.3999999999992</v>
      </c>
      <c r="AT82" s="99">
        <v>7</v>
      </c>
      <c r="AU82" s="99">
        <v>3561.5999999999995</v>
      </c>
      <c r="AV82" s="99">
        <v>8.812349442097057</v>
      </c>
      <c r="AW82" s="99">
        <v>4483.723396138982</v>
      </c>
      <c r="AX82" s="99">
        <v>9</v>
      </c>
      <c r="AY82" s="99">
        <v>4579.1999999999989</v>
      </c>
      <c r="AZ82" s="99">
        <v>7</v>
      </c>
      <c r="BA82" s="99">
        <v>3561.5999999999995</v>
      </c>
      <c r="BB82" s="99">
        <v>5</v>
      </c>
      <c r="BC82" s="99">
        <v>2543.9999999999995</v>
      </c>
      <c r="BD82" s="99">
        <v>4.3206779796002124</v>
      </c>
      <c r="BE82" s="99">
        <v>2198.3609560205878</v>
      </c>
      <c r="BF82" s="99">
        <v>2.2814934947635316E-2</v>
      </c>
      <c r="BG82" s="99">
        <v>11.608238901356847</v>
      </c>
      <c r="BH82" s="99">
        <v>9</v>
      </c>
      <c r="BI82" s="99">
        <v>4579.1999999999989</v>
      </c>
      <c r="BJ82" s="99">
        <v>7</v>
      </c>
      <c r="BK82" s="99">
        <v>3561.5999999999995</v>
      </c>
      <c r="BL82" s="99">
        <v>5</v>
      </c>
      <c r="BM82" s="99">
        <v>2543.9999999999995</v>
      </c>
      <c r="BN82" s="99">
        <v>7</v>
      </c>
      <c r="BO82" s="99">
        <v>3561.5999999999995</v>
      </c>
      <c r="BP82" s="99">
        <v>7</v>
      </c>
      <c r="BQ82" s="99">
        <v>3561.5999999999995</v>
      </c>
      <c r="BR82" s="99">
        <v>8</v>
      </c>
      <c r="BS82" s="99">
        <v>4070.3999999999992</v>
      </c>
      <c r="BT82" s="99">
        <v>8</v>
      </c>
      <c r="BU82" s="99">
        <v>4070.3999999999992</v>
      </c>
      <c r="BV82" s="99">
        <v>8</v>
      </c>
      <c r="BW82" s="99">
        <v>4070.3999999999992</v>
      </c>
      <c r="BX82" s="99">
        <v>1.7159210105392291</v>
      </c>
      <c r="BY82" s="99">
        <v>873.06061016235958</v>
      </c>
      <c r="BZ82" s="99">
        <v>7</v>
      </c>
      <c r="CA82" s="99">
        <v>3561.5999999999995</v>
      </c>
      <c r="CB82" s="99">
        <v>8.7336004864050221</v>
      </c>
      <c r="CC82" s="99">
        <v>4443.6559274828742</v>
      </c>
      <c r="CD82" s="99">
        <v>9.1021765712482451E-16</v>
      </c>
      <c r="CE82" s="99">
        <v>4.6311874394511065E-13</v>
      </c>
      <c r="CF82" s="99">
        <v>9</v>
      </c>
      <c r="CG82" s="99">
        <v>4579.1999999999989</v>
      </c>
      <c r="CH82" s="99">
        <v>5</v>
      </c>
      <c r="CI82" s="99">
        <v>2543.9999999999995</v>
      </c>
      <c r="CJ82" s="99">
        <v>6</v>
      </c>
      <c r="CK82" s="99">
        <v>3052.7999999999993</v>
      </c>
      <c r="CL82" s="99">
        <v>8</v>
      </c>
      <c r="CM82" s="99">
        <v>4070.3999999999992</v>
      </c>
      <c r="CN82" s="99">
        <v>8.2907250689686496</v>
      </c>
      <c r="CO82" s="99">
        <v>4218.320915091248</v>
      </c>
      <c r="CP82" s="99">
        <v>7.8113381714167431</v>
      </c>
      <c r="CQ82" s="99">
        <v>3974.4088616168383</v>
      </c>
      <c r="CR82" s="99">
        <v>5</v>
      </c>
      <c r="CS82" s="99">
        <v>2543.9999999999995</v>
      </c>
      <c r="CT82" s="99">
        <v>6.8746880168395128</v>
      </c>
      <c r="CU82" s="99">
        <v>3497.8412629679433</v>
      </c>
    </row>
    <row r="83" spans="2:99">
      <c r="C83" s="98" t="s">
        <v>249</v>
      </c>
      <c r="D83" s="99">
        <v>8</v>
      </c>
      <c r="E83" s="99">
        <v>6883.2</v>
      </c>
      <c r="F83" s="99">
        <v>7</v>
      </c>
      <c r="G83" s="99">
        <v>6022.8</v>
      </c>
      <c r="H83" s="99">
        <v>6</v>
      </c>
      <c r="I83" s="99">
        <v>5162.3999999999996</v>
      </c>
      <c r="J83" s="99">
        <v>8</v>
      </c>
      <c r="K83" s="99">
        <v>6883.2</v>
      </c>
      <c r="L83" s="99">
        <v>9</v>
      </c>
      <c r="M83" s="99">
        <v>7743.5999999999995</v>
      </c>
      <c r="N83" s="99">
        <v>8</v>
      </c>
      <c r="O83" s="99">
        <v>6883.2</v>
      </c>
      <c r="P83" s="99">
        <v>8</v>
      </c>
      <c r="Q83" s="99">
        <v>6883.2</v>
      </c>
      <c r="R83" s="99">
        <v>8</v>
      </c>
      <c r="S83" s="99">
        <v>6883.2</v>
      </c>
      <c r="T83" s="99">
        <v>7</v>
      </c>
      <c r="U83" s="99">
        <v>6022.8</v>
      </c>
      <c r="V83" s="99">
        <v>1.0342036914785144</v>
      </c>
      <c r="W83" s="99">
        <v>889.8288561481138</v>
      </c>
      <c r="X83" s="99">
        <v>5</v>
      </c>
      <c r="Y83" s="99">
        <v>4302</v>
      </c>
      <c r="Z83" s="99">
        <v>7</v>
      </c>
      <c r="AA83" s="99">
        <v>6022.8</v>
      </c>
      <c r="AB83" s="99">
        <v>6</v>
      </c>
      <c r="AC83" s="99">
        <v>5162.3999999999996</v>
      </c>
      <c r="AD83" s="99">
        <v>6</v>
      </c>
      <c r="AE83" s="99">
        <v>5162.3999999999996</v>
      </c>
      <c r="AF83" s="99">
        <v>9</v>
      </c>
      <c r="AG83" s="99">
        <v>7743.5999999999995</v>
      </c>
      <c r="AH83" s="99">
        <v>4.5760792982214209</v>
      </c>
      <c r="AI83" s="99">
        <v>3937.2586281897106</v>
      </c>
      <c r="AJ83" s="99">
        <v>9</v>
      </c>
      <c r="AK83" s="99">
        <v>7743.5999999999995</v>
      </c>
      <c r="AL83" s="99">
        <v>8</v>
      </c>
      <c r="AM83" s="99">
        <v>6883.2</v>
      </c>
      <c r="AN83" s="99">
        <v>2.341064993058156</v>
      </c>
      <c r="AO83" s="99">
        <v>2014.2523200272374</v>
      </c>
      <c r="AP83" s="99">
        <v>5</v>
      </c>
      <c r="AQ83" s="99">
        <v>4302</v>
      </c>
      <c r="AR83" s="99">
        <v>8</v>
      </c>
      <c r="AS83" s="99">
        <v>6883.2</v>
      </c>
      <c r="AT83" s="99">
        <v>7</v>
      </c>
      <c r="AU83" s="99">
        <v>6022.8</v>
      </c>
      <c r="AV83" s="99">
        <v>8.812349442097057</v>
      </c>
      <c r="AW83" s="99">
        <v>7582.1454599803074</v>
      </c>
      <c r="AX83" s="99">
        <v>8</v>
      </c>
      <c r="AY83" s="99">
        <v>6883.2</v>
      </c>
      <c r="AZ83" s="99">
        <v>7</v>
      </c>
      <c r="BA83" s="99">
        <v>6022.8</v>
      </c>
      <c r="BB83" s="99">
        <v>4</v>
      </c>
      <c r="BC83" s="99">
        <v>3441.6</v>
      </c>
      <c r="BD83" s="99">
        <v>4.8607627270502389</v>
      </c>
      <c r="BE83" s="99">
        <v>4182.2002503540252</v>
      </c>
      <c r="BF83" s="99">
        <v>2.2814934947635316E-2</v>
      </c>
      <c r="BG83" s="99">
        <v>19.629970028945426</v>
      </c>
      <c r="BH83" s="99">
        <v>8</v>
      </c>
      <c r="BI83" s="99">
        <v>6883.2</v>
      </c>
      <c r="BJ83" s="99">
        <v>7</v>
      </c>
      <c r="BK83" s="99">
        <v>6022.8</v>
      </c>
      <c r="BL83" s="99">
        <v>5</v>
      </c>
      <c r="BM83" s="99">
        <v>4302</v>
      </c>
      <c r="BN83" s="99">
        <v>7</v>
      </c>
      <c r="BO83" s="99">
        <v>6022.8</v>
      </c>
      <c r="BP83" s="99">
        <v>6</v>
      </c>
      <c r="BQ83" s="99">
        <v>5162.3999999999996</v>
      </c>
      <c r="BR83" s="99">
        <v>7</v>
      </c>
      <c r="BS83" s="99">
        <v>6022.8</v>
      </c>
      <c r="BT83" s="99">
        <v>8</v>
      </c>
      <c r="BU83" s="99">
        <v>6883.2</v>
      </c>
      <c r="BV83" s="99">
        <v>7</v>
      </c>
      <c r="BW83" s="99">
        <v>6022.8</v>
      </c>
      <c r="BX83" s="99">
        <v>1.3727368084313833</v>
      </c>
      <c r="BY83" s="99">
        <v>1181.1027499743623</v>
      </c>
      <c r="BZ83" s="99">
        <v>6</v>
      </c>
      <c r="CA83" s="99">
        <v>5162.3999999999996</v>
      </c>
      <c r="CB83" s="99">
        <v>7.8602404377645199</v>
      </c>
      <c r="CC83" s="99">
        <v>6762.9508726525928</v>
      </c>
      <c r="CD83" s="99">
        <v>9.1021765712482451E-16</v>
      </c>
      <c r="CE83" s="99">
        <v>7.8315127219019901E-13</v>
      </c>
      <c r="CF83" s="99">
        <v>8</v>
      </c>
      <c r="CG83" s="99">
        <v>6883.2</v>
      </c>
      <c r="CH83" s="99">
        <v>4</v>
      </c>
      <c r="CI83" s="99">
        <v>3441.6</v>
      </c>
      <c r="CJ83" s="99">
        <v>5</v>
      </c>
      <c r="CK83" s="99">
        <v>4302</v>
      </c>
      <c r="CL83" s="99">
        <v>9</v>
      </c>
      <c r="CM83" s="99">
        <v>7743.5999999999995</v>
      </c>
      <c r="CN83" s="99">
        <v>7.3695333946387995</v>
      </c>
      <c r="CO83" s="99">
        <v>6340.7465327472228</v>
      </c>
      <c r="CP83" s="99">
        <v>6.9434117079259936</v>
      </c>
      <c r="CQ83" s="99">
        <v>5974.1114334995245</v>
      </c>
      <c r="CR83" s="99">
        <v>5</v>
      </c>
      <c r="CS83" s="99">
        <v>4302</v>
      </c>
      <c r="CT83" s="99">
        <v>7.7289066806995939</v>
      </c>
      <c r="CU83" s="99">
        <v>6649.9513080739307</v>
      </c>
    </row>
    <row r="84" spans="2:99">
      <c r="C84" s="98" t="s">
        <v>250</v>
      </c>
      <c r="D84" s="99">
        <v>8</v>
      </c>
      <c r="E84" s="99">
        <v>6249.5999999999995</v>
      </c>
      <c r="F84" s="99">
        <v>7</v>
      </c>
      <c r="G84" s="99">
        <v>5468.4</v>
      </c>
      <c r="H84" s="99">
        <v>6</v>
      </c>
      <c r="I84" s="99">
        <v>4687.2</v>
      </c>
      <c r="J84" s="99">
        <v>7</v>
      </c>
      <c r="K84" s="99">
        <v>5468.4</v>
      </c>
      <c r="L84" s="99">
        <v>8</v>
      </c>
      <c r="M84" s="99">
        <v>6249.5999999999995</v>
      </c>
      <c r="N84" s="99">
        <v>7</v>
      </c>
      <c r="O84" s="99">
        <v>5468.4</v>
      </c>
      <c r="P84" s="99">
        <v>9</v>
      </c>
      <c r="Q84" s="99">
        <v>7030.7999999999993</v>
      </c>
      <c r="R84" s="99">
        <v>8</v>
      </c>
      <c r="S84" s="99">
        <v>6249.5999999999995</v>
      </c>
      <c r="T84" s="99">
        <v>7</v>
      </c>
      <c r="U84" s="99">
        <v>5468.4</v>
      </c>
      <c r="V84" s="99">
        <v>1.0342036914785144</v>
      </c>
      <c r="W84" s="99">
        <v>807.91992378301541</v>
      </c>
      <c r="X84" s="99">
        <v>5</v>
      </c>
      <c r="Y84" s="99">
        <v>3905.9999999999995</v>
      </c>
      <c r="Z84" s="99">
        <v>6</v>
      </c>
      <c r="AA84" s="99">
        <v>4687.2</v>
      </c>
      <c r="AB84" s="99">
        <v>6</v>
      </c>
      <c r="AC84" s="99">
        <v>4687.2</v>
      </c>
      <c r="AD84" s="99">
        <v>6</v>
      </c>
      <c r="AE84" s="99">
        <v>4687.2</v>
      </c>
      <c r="AF84" s="99">
        <v>9</v>
      </c>
      <c r="AG84" s="99">
        <v>7030.7999999999993</v>
      </c>
      <c r="AH84" s="99">
        <v>5.1911546545056906</v>
      </c>
      <c r="AI84" s="99">
        <v>4055.3300160998451</v>
      </c>
      <c r="AJ84" s="99">
        <v>8</v>
      </c>
      <c r="AK84" s="99">
        <v>6249.5999999999995</v>
      </c>
      <c r="AL84" s="99">
        <v>8</v>
      </c>
      <c r="AM84" s="99">
        <v>6249.5999999999995</v>
      </c>
      <c r="AN84" s="99">
        <v>2.0517913548321962</v>
      </c>
      <c r="AO84" s="99">
        <v>1602.8594063949115</v>
      </c>
      <c r="AP84" s="99">
        <v>4</v>
      </c>
      <c r="AQ84" s="99">
        <v>3124.7999999999997</v>
      </c>
      <c r="AR84" s="99">
        <v>9</v>
      </c>
      <c r="AS84" s="99">
        <v>7030.7999999999993</v>
      </c>
      <c r="AT84" s="99">
        <v>7</v>
      </c>
      <c r="AU84" s="99">
        <v>5468.4</v>
      </c>
      <c r="AV84" s="99">
        <v>7.8331995040862736</v>
      </c>
      <c r="AW84" s="99">
        <v>6119.2954525921969</v>
      </c>
      <c r="AX84" s="99">
        <v>8</v>
      </c>
      <c r="AY84" s="99">
        <v>6249.5999999999995</v>
      </c>
      <c r="AZ84" s="99">
        <v>6</v>
      </c>
      <c r="BA84" s="99">
        <v>4687.2</v>
      </c>
      <c r="BB84" s="99">
        <v>5</v>
      </c>
      <c r="BC84" s="99">
        <v>3905.9999999999995</v>
      </c>
      <c r="BD84" s="99">
        <v>4.3206779796002124</v>
      </c>
      <c r="BE84" s="99">
        <v>3375.3136376636858</v>
      </c>
      <c r="BF84" s="99">
        <v>2.2814934947635316E-2</v>
      </c>
      <c r="BG84" s="99">
        <v>17.823027181092709</v>
      </c>
      <c r="BH84" s="99">
        <v>9</v>
      </c>
      <c r="BI84" s="99">
        <v>7030.7999999999993</v>
      </c>
      <c r="BJ84" s="99">
        <v>7</v>
      </c>
      <c r="BK84" s="99">
        <v>5468.4</v>
      </c>
      <c r="BL84" s="99">
        <v>5</v>
      </c>
      <c r="BM84" s="99">
        <v>3905.9999999999995</v>
      </c>
      <c r="BN84" s="99">
        <v>7</v>
      </c>
      <c r="BO84" s="99">
        <v>5468.4</v>
      </c>
      <c r="BP84" s="99">
        <v>6</v>
      </c>
      <c r="BQ84" s="99">
        <v>4687.2</v>
      </c>
      <c r="BR84" s="99">
        <v>7</v>
      </c>
      <c r="BS84" s="99">
        <v>5468.4</v>
      </c>
      <c r="BT84" s="99">
        <v>8</v>
      </c>
      <c r="BU84" s="99">
        <v>6249.5999999999995</v>
      </c>
      <c r="BV84" s="99">
        <v>9</v>
      </c>
      <c r="BW84" s="99">
        <v>7030.7999999999993</v>
      </c>
      <c r="BX84" s="99">
        <v>1.7159210105392291</v>
      </c>
      <c r="BY84" s="99">
        <v>1340.4774934332456</v>
      </c>
      <c r="BZ84" s="99">
        <v>6</v>
      </c>
      <c r="CA84" s="99">
        <v>4687.2</v>
      </c>
      <c r="CB84" s="99">
        <v>7.8602404377645199</v>
      </c>
      <c r="CC84" s="99">
        <v>6140.4198299816426</v>
      </c>
      <c r="CD84" s="99">
        <v>8.0908236188873298E-16</v>
      </c>
      <c r="CE84" s="99">
        <v>6.3205514110747819E-13</v>
      </c>
      <c r="CF84" s="99">
        <v>9</v>
      </c>
      <c r="CG84" s="99">
        <v>7030.7999999999993</v>
      </c>
      <c r="CH84" s="99">
        <v>4</v>
      </c>
      <c r="CI84" s="99">
        <v>3124.7999999999997</v>
      </c>
      <c r="CJ84" s="99">
        <v>5</v>
      </c>
      <c r="CK84" s="99">
        <v>3905.9999999999995</v>
      </c>
      <c r="CL84" s="99">
        <v>8</v>
      </c>
      <c r="CM84" s="99">
        <v>6249.5999999999995</v>
      </c>
      <c r="CN84" s="99">
        <v>7.3695333946387995</v>
      </c>
      <c r="CO84" s="99">
        <v>5757.0794878918296</v>
      </c>
      <c r="CP84" s="99">
        <v>6.9434117079259936</v>
      </c>
      <c r="CQ84" s="99">
        <v>5424.193226231786</v>
      </c>
      <c r="CR84" s="99">
        <v>5</v>
      </c>
      <c r="CS84" s="99">
        <v>3905.9999999999995</v>
      </c>
      <c r="CT84" s="99">
        <v>7.8746880168395128</v>
      </c>
      <c r="CU84" s="99">
        <v>6151.7062787550267</v>
      </c>
    </row>
    <row r="85" spans="2:99">
      <c r="C85" s="98" t="s">
        <v>251</v>
      </c>
      <c r="D85" s="99">
        <v>10</v>
      </c>
      <c r="E85" s="99">
        <v>1500</v>
      </c>
      <c r="F85" s="99">
        <v>8</v>
      </c>
      <c r="G85" s="99">
        <v>1200</v>
      </c>
      <c r="H85" s="99">
        <v>7</v>
      </c>
      <c r="I85" s="99">
        <v>1050</v>
      </c>
      <c r="J85" s="99">
        <v>7</v>
      </c>
      <c r="K85" s="99">
        <v>1050</v>
      </c>
      <c r="L85" s="99">
        <v>9</v>
      </c>
      <c r="M85" s="99">
        <v>1350</v>
      </c>
      <c r="N85" s="99">
        <v>7</v>
      </c>
      <c r="O85" s="99">
        <v>1050</v>
      </c>
      <c r="P85" s="99">
        <v>8</v>
      </c>
      <c r="Q85" s="99">
        <v>1200</v>
      </c>
      <c r="R85" s="99">
        <v>9</v>
      </c>
      <c r="S85" s="99">
        <v>1350</v>
      </c>
      <c r="T85" s="99">
        <v>7</v>
      </c>
      <c r="U85" s="99">
        <v>1050</v>
      </c>
      <c r="V85" s="99">
        <v>1.0342036914785144</v>
      </c>
      <c r="W85" s="99">
        <v>155.13055372177718</v>
      </c>
      <c r="X85" s="99">
        <v>5</v>
      </c>
      <c r="Y85" s="99">
        <v>750</v>
      </c>
      <c r="Z85" s="99">
        <v>7</v>
      </c>
      <c r="AA85" s="99">
        <v>1050</v>
      </c>
      <c r="AB85" s="99">
        <v>5</v>
      </c>
      <c r="AC85" s="99">
        <v>750</v>
      </c>
      <c r="AD85" s="99">
        <v>7</v>
      </c>
      <c r="AE85" s="99">
        <v>1050</v>
      </c>
      <c r="AF85" s="99">
        <v>9</v>
      </c>
      <c r="AG85" s="99">
        <v>1350</v>
      </c>
      <c r="AH85" s="99">
        <v>4.5760792982214209</v>
      </c>
      <c r="AI85" s="99">
        <v>686.4118947332131</v>
      </c>
      <c r="AJ85" s="99">
        <v>9</v>
      </c>
      <c r="AK85" s="99">
        <v>1350</v>
      </c>
      <c r="AL85" s="99">
        <v>9</v>
      </c>
      <c r="AM85" s="99">
        <v>1350</v>
      </c>
      <c r="AN85" s="99">
        <v>2.6169006876588767</v>
      </c>
      <c r="AO85" s="99">
        <v>392.53510314883152</v>
      </c>
      <c r="AP85" s="99">
        <v>5</v>
      </c>
      <c r="AQ85" s="99">
        <v>750</v>
      </c>
      <c r="AR85" s="99">
        <v>9</v>
      </c>
      <c r="AS85" s="99">
        <v>1350</v>
      </c>
      <c r="AT85" s="99">
        <v>7</v>
      </c>
      <c r="AU85" s="99">
        <v>1050</v>
      </c>
      <c r="AV85" s="99">
        <v>8.812349442097057</v>
      </c>
      <c r="AW85" s="99">
        <v>1321.8524163145585</v>
      </c>
      <c r="AX85" s="99">
        <v>9</v>
      </c>
      <c r="AY85" s="99">
        <v>1350</v>
      </c>
      <c r="AZ85" s="99">
        <v>7</v>
      </c>
      <c r="BA85" s="99">
        <v>1050</v>
      </c>
      <c r="BB85" s="99">
        <v>5</v>
      </c>
      <c r="BC85" s="99">
        <v>750</v>
      </c>
      <c r="BD85" s="99">
        <v>5.4008474745002646</v>
      </c>
      <c r="BE85" s="99">
        <v>810.12712117503963</v>
      </c>
      <c r="BF85" s="99">
        <v>2.566680181608973E-2</v>
      </c>
      <c r="BG85" s="99">
        <v>3.8500202724134596</v>
      </c>
      <c r="BH85" s="99">
        <v>9</v>
      </c>
      <c r="BI85" s="99">
        <v>1350</v>
      </c>
      <c r="BJ85" s="99">
        <v>7</v>
      </c>
      <c r="BK85" s="99">
        <v>1050</v>
      </c>
      <c r="BL85" s="99">
        <v>6</v>
      </c>
      <c r="BM85" s="99">
        <v>900</v>
      </c>
      <c r="BN85" s="99">
        <v>9</v>
      </c>
      <c r="BO85" s="99">
        <v>1350</v>
      </c>
      <c r="BP85" s="99">
        <v>7</v>
      </c>
      <c r="BQ85" s="99">
        <v>1050</v>
      </c>
      <c r="BR85" s="99">
        <v>7</v>
      </c>
      <c r="BS85" s="99">
        <v>1050</v>
      </c>
      <c r="BT85" s="99">
        <v>8</v>
      </c>
      <c r="BU85" s="99">
        <v>1200</v>
      </c>
      <c r="BV85" s="99">
        <v>8</v>
      </c>
      <c r="BW85" s="99">
        <v>1200</v>
      </c>
      <c r="BX85" s="99">
        <v>1.7159210105392291</v>
      </c>
      <c r="BY85" s="99">
        <v>257.38815158088437</v>
      </c>
      <c r="BZ85" s="99">
        <v>7</v>
      </c>
      <c r="CA85" s="99">
        <v>1050</v>
      </c>
      <c r="CB85" s="99">
        <v>8.7336004864050221</v>
      </c>
      <c r="CC85" s="99">
        <v>1310.0400729607534</v>
      </c>
      <c r="CD85" s="99">
        <v>8.0908236188873298E-16</v>
      </c>
      <c r="CE85" s="99">
        <v>1.2136235428330996E-13</v>
      </c>
      <c r="CF85" s="99">
        <v>10</v>
      </c>
      <c r="CG85" s="99">
        <v>1500</v>
      </c>
      <c r="CH85" s="99">
        <v>5</v>
      </c>
      <c r="CI85" s="99">
        <v>750</v>
      </c>
      <c r="CJ85" s="99">
        <v>6</v>
      </c>
      <c r="CK85" s="99">
        <v>900</v>
      </c>
      <c r="CL85" s="99">
        <v>9</v>
      </c>
      <c r="CM85" s="99">
        <v>1350</v>
      </c>
      <c r="CN85" s="99">
        <v>7.3695333946387995</v>
      </c>
      <c r="CO85" s="99">
        <v>1105.4300091958198</v>
      </c>
      <c r="CP85" s="99">
        <v>7.8113381714167431</v>
      </c>
      <c r="CQ85" s="99">
        <v>1171.7007257125115</v>
      </c>
      <c r="CR85" s="99">
        <v>6</v>
      </c>
      <c r="CS85" s="99">
        <v>900</v>
      </c>
      <c r="CT85" s="99">
        <v>6.8746880168395128</v>
      </c>
      <c r="CU85" s="99">
        <v>1031.2032025259268</v>
      </c>
    </row>
    <row r="86" spans="2:99">
      <c r="C86" s="98" t="s">
        <v>252</v>
      </c>
      <c r="D86" s="99">
        <v>9</v>
      </c>
      <c r="E86" s="99">
        <v>4860</v>
      </c>
      <c r="F86" s="99">
        <v>7</v>
      </c>
      <c r="G86" s="99">
        <v>3780</v>
      </c>
      <c r="H86" s="99">
        <v>6</v>
      </c>
      <c r="I86" s="99">
        <v>3240</v>
      </c>
      <c r="J86" s="99">
        <v>8</v>
      </c>
      <c r="K86" s="99">
        <v>4320</v>
      </c>
      <c r="L86" s="99">
        <v>8</v>
      </c>
      <c r="M86" s="99">
        <v>4320</v>
      </c>
      <c r="N86" s="99">
        <v>8</v>
      </c>
      <c r="O86" s="99">
        <v>4320</v>
      </c>
      <c r="P86" s="99">
        <v>9</v>
      </c>
      <c r="Q86" s="99">
        <v>4860</v>
      </c>
      <c r="R86" s="99">
        <v>8</v>
      </c>
      <c r="S86" s="99">
        <v>4320</v>
      </c>
      <c r="T86" s="99">
        <v>7</v>
      </c>
      <c r="U86" s="99">
        <v>3780</v>
      </c>
      <c r="V86" s="99">
        <v>1.0342036914785144</v>
      </c>
      <c r="W86" s="99">
        <v>558.46999339839783</v>
      </c>
      <c r="X86" s="99">
        <v>5</v>
      </c>
      <c r="Y86" s="99">
        <v>2700</v>
      </c>
      <c r="Z86" s="99">
        <v>7</v>
      </c>
      <c r="AA86" s="99">
        <v>3780</v>
      </c>
      <c r="AB86" s="99">
        <v>6</v>
      </c>
      <c r="AC86" s="99">
        <v>3240</v>
      </c>
      <c r="AD86" s="99">
        <v>6</v>
      </c>
      <c r="AE86" s="99">
        <v>3240</v>
      </c>
      <c r="AF86" s="99">
        <v>9</v>
      </c>
      <c r="AG86" s="99">
        <v>4860</v>
      </c>
      <c r="AH86" s="99">
        <v>4.6061406098027016</v>
      </c>
      <c r="AI86" s="99">
        <v>2487.3159292934588</v>
      </c>
      <c r="AJ86" s="99">
        <v>9</v>
      </c>
      <c r="AK86" s="99">
        <v>4860</v>
      </c>
      <c r="AL86" s="99">
        <v>10</v>
      </c>
      <c r="AM86" s="99">
        <v>5400</v>
      </c>
      <c r="AN86" s="99">
        <v>2.6034627440336373</v>
      </c>
      <c r="AO86" s="99">
        <v>1405.8698817781642</v>
      </c>
      <c r="AP86" s="99">
        <v>5</v>
      </c>
      <c r="AQ86" s="99">
        <v>2700</v>
      </c>
      <c r="AR86" s="99">
        <v>9</v>
      </c>
      <c r="AS86" s="99">
        <v>4860</v>
      </c>
      <c r="AT86" s="99">
        <v>7</v>
      </c>
      <c r="AU86" s="99">
        <v>3780</v>
      </c>
      <c r="AV86" s="99">
        <v>7.8331995040862736</v>
      </c>
      <c r="AW86" s="99">
        <v>4229.9277322065882</v>
      </c>
      <c r="AX86" s="99">
        <v>8</v>
      </c>
      <c r="AY86" s="99">
        <v>4320</v>
      </c>
      <c r="AZ86" s="99">
        <v>7</v>
      </c>
      <c r="BA86" s="99">
        <v>3780</v>
      </c>
      <c r="BB86" s="99">
        <v>4</v>
      </c>
      <c r="BC86" s="99">
        <v>2160</v>
      </c>
      <c r="BD86" s="99">
        <v>4.8607627270502389</v>
      </c>
      <c r="BE86" s="99">
        <v>2624.8118726071289</v>
      </c>
      <c r="BF86" s="99">
        <v>2.2814934947635316E-2</v>
      </c>
      <c r="BG86" s="99">
        <v>12.320064871723071</v>
      </c>
      <c r="BH86" s="99">
        <v>10</v>
      </c>
      <c r="BI86" s="99">
        <v>5400</v>
      </c>
      <c r="BJ86" s="99">
        <v>6</v>
      </c>
      <c r="BK86" s="99">
        <v>3240</v>
      </c>
      <c r="BL86" s="99">
        <v>5</v>
      </c>
      <c r="BM86" s="99">
        <v>2700</v>
      </c>
      <c r="BN86" s="99">
        <v>7</v>
      </c>
      <c r="BO86" s="99">
        <v>3780</v>
      </c>
      <c r="BP86" s="99">
        <v>6</v>
      </c>
      <c r="BQ86" s="99">
        <v>3240</v>
      </c>
      <c r="BR86" s="99">
        <v>7</v>
      </c>
      <c r="BS86" s="99">
        <v>3780</v>
      </c>
      <c r="BT86" s="99">
        <v>7</v>
      </c>
      <c r="BU86" s="99">
        <v>3780</v>
      </c>
      <c r="BV86" s="99">
        <v>8</v>
      </c>
      <c r="BW86" s="99">
        <v>4320</v>
      </c>
      <c r="BX86" s="99">
        <v>1.7159210105392291</v>
      </c>
      <c r="BY86" s="99">
        <v>926.5973456911837</v>
      </c>
      <c r="BZ86" s="99">
        <v>7</v>
      </c>
      <c r="CA86" s="99">
        <v>3780</v>
      </c>
      <c r="CB86" s="99">
        <v>7.8602404377645199</v>
      </c>
      <c r="CC86" s="99">
        <v>4244.5298363928405</v>
      </c>
      <c r="CD86" s="99">
        <v>9.1021765712482451E-16</v>
      </c>
      <c r="CE86" s="99">
        <v>4.9151753484740525E-13</v>
      </c>
      <c r="CF86" s="99">
        <v>8</v>
      </c>
      <c r="CG86" s="99">
        <v>4320</v>
      </c>
      <c r="CH86" s="99">
        <v>4</v>
      </c>
      <c r="CI86" s="99">
        <v>2160</v>
      </c>
      <c r="CJ86" s="99">
        <v>6</v>
      </c>
      <c r="CK86" s="99">
        <v>3240</v>
      </c>
      <c r="CL86" s="99">
        <v>9</v>
      </c>
      <c r="CM86" s="99">
        <v>4860</v>
      </c>
      <c r="CN86" s="99">
        <v>7.3695333946387995</v>
      </c>
      <c r="CO86" s="99">
        <v>3979.5480331049516</v>
      </c>
      <c r="CP86" s="99">
        <v>6.9434117079259936</v>
      </c>
      <c r="CQ86" s="99">
        <v>3749.4423222800365</v>
      </c>
      <c r="CR86" s="99">
        <v>5</v>
      </c>
      <c r="CS86" s="99">
        <v>2700</v>
      </c>
      <c r="CT86" s="99">
        <v>7.8746880168395128</v>
      </c>
      <c r="CU86" s="99">
        <v>4252.3315290933369</v>
      </c>
    </row>
    <row r="87" spans="2:99">
      <c r="B87" s="98" t="s">
        <v>131</v>
      </c>
      <c r="C87" s="98" t="s">
        <v>253</v>
      </c>
      <c r="D87" s="99">
        <v>2.4524637496134387</v>
      </c>
      <c r="E87" s="99">
        <v>2633.946067084833</v>
      </c>
      <c r="F87" s="99">
        <v>4</v>
      </c>
      <c r="G87" s="99">
        <v>4296</v>
      </c>
      <c r="H87" s="99">
        <v>6</v>
      </c>
      <c r="I87" s="99">
        <v>6444</v>
      </c>
      <c r="J87" s="99">
        <v>6</v>
      </c>
      <c r="K87" s="99">
        <v>6444</v>
      </c>
      <c r="L87" s="99">
        <v>5.4519465173420505</v>
      </c>
      <c r="M87" s="99">
        <v>5855.3905596253626</v>
      </c>
      <c r="N87" s="99">
        <v>6.6149646231437984</v>
      </c>
      <c r="O87" s="99">
        <v>7104.4720052564398</v>
      </c>
      <c r="P87" s="99">
        <v>0.29241242129653239</v>
      </c>
      <c r="Q87" s="99">
        <v>314.05094047247576</v>
      </c>
      <c r="R87" s="99">
        <v>0</v>
      </c>
      <c r="S87" s="99">
        <v>0</v>
      </c>
      <c r="T87" s="99">
        <v>0</v>
      </c>
      <c r="U87" s="99">
        <v>0</v>
      </c>
      <c r="V87" s="99">
        <v>0</v>
      </c>
      <c r="W87" s="99">
        <v>0</v>
      </c>
      <c r="X87" s="99">
        <v>4</v>
      </c>
      <c r="Y87" s="99">
        <v>4296</v>
      </c>
      <c r="Z87" s="99">
        <v>5.2869576665989912</v>
      </c>
      <c r="AA87" s="99">
        <v>5678.1925339273166</v>
      </c>
      <c r="AB87" s="99">
        <v>7.9564700979163652</v>
      </c>
      <c r="AC87" s="99">
        <v>8545.2488851621765</v>
      </c>
      <c r="AD87" s="99">
        <v>3.3235623374901415</v>
      </c>
      <c r="AE87" s="99">
        <v>3569.5059504644119</v>
      </c>
      <c r="AF87" s="99">
        <v>6.6462827959043524</v>
      </c>
      <c r="AG87" s="99">
        <v>7138.1077228012746</v>
      </c>
      <c r="AH87" s="99">
        <v>3.5431023602951326</v>
      </c>
      <c r="AI87" s="99">
        <v>3805.2919349569725</v>
      </c>
      <c r="AJ87" s="99">
        <v>6.9306418700550569</v>
      </c>
      <c r="AK87" s="99">
        <v>7443.5093684391313</v>
      </c>
      <c r="AL87" s="99">
        <v>7.549652855900522</v>
      </c>
      <c r="AM87" s="99">
        <v>8108.3271672371611</v>
      </c>
      <c r="AN87" s="99">
        <v>7.5678844328567827</v>
      </c>
      <c r="AO87" s="99">
        <v>8127.907880888185</v>
      </c>
      <c r="AP87" s="99">
        <v>3.1827512138736203</v>
      </c>
      <c r="AQ87" s="99">
        <v>3418.274803700268</v>
      </c>
      <c r="AR87" s="99">
        <v>4.6839462719390781</v>
      </c>
      <c r="AS87" s="99">
        <v>5030.5582960625698</v>
      </c>
      <c r="AT87" s="99">
        <v>9.1661208425362535</v>
      </c>
      <c r="AU87" s="99">
        <v>9844.4137848839364</v>
      </c>
      <c r="AV87" s="99">
        <v>5.8434470961860905</v>
      </c>
      <c r="AW87" s="99">
        <v>6275.8621813038608</v>
      </c>
      <c r="AX87" s="99">
        <v>7.1614234271886117</v>
      </c>
      <c r="AY87" s="99">
        <v>7691.3687608005694</v>
      </c>
      <c r="AZ87" s="99">
        <v>4.6150782853104104</v>
      </c>
      <c r="BA87" s="99">
        <v>4956.5940784233808</v>
      </c>
      <c r="BB87" s="99">
        <v>6.8701629473761407</v>
      </c>
      <c r="BC87" s="99">
        <v>7378.5550054819751</v>
      </c>
      <c r="BD87" s="99">
        <v>6.6479888669903113</v>
      </c>
      <c r="BE87" s="99">
        <v>7139.9400431475942</v>
      </c>
      <c r="BF87" s="99">
        <v>2.5707209253178798</v>
      </c>
      <c r="BG87" s="99">
        <v>2760.954273791403</v>
      </c>
      <c r="BH87" s="99">
        <v>5.6362512456993228</v>
      </c>
      <c r="BI87" s="99">
        <v>6053.3338378810731</v>
      </c>
      <c r="BJ87" s="99">
        <v>4.9991210211136705</v>
      </c>
      <c r="BK87" s="99">
        <v>5369.0559766760825</v>
      </c>
      <c r="BL87" s="99">
        <v>7.1624849930535275</v>
      </c>
      <c r="BM87" s="99">
        <v>7692.5088825394887</v>
      </c>
      <c r="BN87" s="99">
        <v>6.8262017198172789</v>
      </c>
      <c r="BO87" s="99">
        <v>7331.3406470837572</v>
      </c>
      <c r="BP87" s="99">
        <v>6.5933879302483591</v>
      </c>
      <c r="BQ87" s="99">
        <v>7081.2986370867375</v>
      </c>
      <c r="BR87" s="99">
        <v>4.1407998966926645</v>
      </c>
      <c r="BS87" s="99">
        <v>4447.2190890479214</v>
      </c>
      <c r="BT87" s="99">
        <v>8.6394968128816299</v>
      </c>
      <c r="BU87" s="99">
        <v>9278.8195770348702</v>
      </c>
      <c r="BV87" s="99">
        <v>7.084127978901428</v>
      </c>
      <c r="BW87" s="99">
        <v>7608.3534493401339</v>
      </c>
      <c r="BX87" s="99">
        <v>5.2167574690135767</v>
      </c>
      <c r="BY87" s="99">
        <v>5602.7975217205812</v>
      </c>
      <c r="BZ87" s="99">
        <v>4.9252919632327323</v>
      </c>
      <c r="CA87" s="99">
        <v>5289.7635685119549</v>
      </c>
      <c r="CB87" s="99">
        <v>4.8451314801547571</v>
      </c>
      <c r="CC87" s="99">
        <v>5203.6712096862093</v>
      </c>
      <c r="CD87" s="99">
        <v>2.7243740737751101</v>
      </c>
      <c r="CE87" s="99">
        <v>2925.9777552344681</v>
      </c>
      <c r="CF87" s="99">
        <v>7.5492536792602927</v>
      </c>
      <c r="CG87" s="99">
        <v>8107.8984515255543</v>
      </c>
      <c r="CH87" s="99">
        <v>7.1812637143019273</v>
      </c>
      <c r="CI87" s="99">
        <v>7712.6772291602701</v>
      </c>
      <c r="CJ87" s="99">
        <v>8.034597762642159</v>
      </c>
      <c r="CK87" s="99">
        <v>8629.1579970776784</v>
      </c>
      <c r="CL87" s="99">
        <v>5.5394540183871541</v>
      </c>
      <c r="CM87" s="99">
        <v>5949.3736157478033</v>
      </c>
      <c r="CN87" s="99">
        <v>5.3487493913706636</v>
      </c>
      <c r="CO87" s="99">
        <v>5744.5568463320924</v>
      </c>
      <c r="CP87" s="99">
        <v>8.4401066666013147</v>
      </c>
      <c r="CQ87" s="99">
        <v>9064.6745599298119</v>
      </c>
      <c r="CR87" s="99">
        <v>8.6915556797694329</v>
      </c>
      <c r="CS87" s="99">
        <v>9334.7308000723715</v>
      </c>
      <c r="CT87" s="99">
        <v>6.803042092004743</v>
      </c>
      <c r="CU87" s="99">
        <v>7306.467206813094</v>
      </c>
    </row>
    <row r="88" spans="2:99">
      <c r="C88" s="98" t="s">
        <v>254</v>
      </c>
      <c r="D88" s="99">
        <v>2.9429564995361268</v>
      </c>
      <c r="E88" s="99">
        <v>2920.5900301396523</v>
      </c>
      <c r="F88" s="99">
        <v>4</v>
      </c>
      <c r="G88" s="99">
        <v>3969.6</v>
      </c>
      <c r="H88" s="99">
        <v>7</v>
      </c>
      <c r="I88" s="99">
        <v>6946.8</v>
      </c>
      <c r="J88" s="99">
        <v>6</v>
      </c>
      <c r="K88" s="99">
        <v>5954.4</v>
      </c>
      <c r="L88" s="99">
        <v>5.6025953564560673</v>
      </c>
      <c r="M88" s="99">
        <v>5560.015631747001</v>
      </c>
      <c r="N88" s="99">
        <v>5.6149646231437984</v>
      </c>
      <c r="O88" s="99">
        <v>5572.2908920079053</v>
      </c>
      <c r="P88" s="99">
        <v>0.29241242129653239</v>
      </c>
      <c r="Q88" s="99">
        <v>290.19008689467876</v>
      </c>
      <c r="R88" s="99">
        <v>0</v>
      </c>
      <c r="S88" s="99">
        <v>0</v>
      </c>
      <c r="T88" s="99">
        <v>0</v>
      </c>
      <c r="U88" s="99">
        <v>0</v>
      </c>
      <c r="V88" s="99">
        <v>0</v>
      </c>
      <c r="W88" s="99">
        <v>0</v>
      </c>
      <c r="X88" s="99">
        <v>4</v>
      </c>
      <c r="Y88" s="99">
        <v>3969.6</v>
      </c>
      <c r="Z88" s="99">
        <v>4.4022378003539497</v>
      </c>
      <c r="AA88" s="99">
        <v>4368.7807930712597</v>
      </c>
      <c r="AB88" s="99">
        <v>7.9564700979163652</v>
      </c>
      <c r="AC88" s="99">
        <v>7896.0009251722004</v>
      </c>
      <c r="AD88" s="99">
        <v>2.4672737065092858</v>
      </c>
      <c r="AE88" s="99">
        <v>2448.522426339815</v>
      </c>
      <c r="AF88" s="99">
        <v>7.6462827959043524</v>
      </c>
      <c r="AG88" s="99">
        <v>7588.1710466554796</v>
      </c>
      <c r="AH88" s="99">
        <v>3.5431023602951326</v>
      </c>
      <c r="AI88" s="99">
        <v>3516.1747823568894</v>
      </c>
      <c r="AJ88" s="99">
        <v>6.9306418700550569</v>
      </c>
      <c r="AK88" s="99">
        <v>6877.9689918426384</v>
      </c>
      <c r="AL88" s="99">
        <v>7.549652855900522</v>
      </c>
      <c r="AM88" s="99">
        <v>7492.2754941956782</v>
      </c>
      <c r="AN88" s="99">
        <v>7.5678844328567827</v>
      </c>
      <c r="AO88" s="99">
        <v>7510.3685111670711</v>
      </c>
      <c r="AP88" s="99">
        <v>3.1862460042938503</v>
      </c>
      <c r="AQ88" s="99">
        <v>3162.0305346612172</v>
      </c>
      <c r="AR88" s="99">
        <v>4.8207355263268941</v>
      </c>
      <c r="AS88" s="99">
        <v>4784.0979363268098</v>
      </c>
      <c r="AT88" s="99">
        <v>8.9995321507453596</v>
      </c>
      <c r="AU88" s="99">
        <v>8931.1357063996948</v>
      </c>
      <c r="AV88" s="99">
        <v>4.8455580055974519</v>
      </c>
      <c r="AW88" s="99">
        <v>4808.7317647549107</v>
      </c>
      <c r="AX88" s="99">
        <v>7.5478772786815274</v>
      </c>
      <c r="AY88" s="99">
        <v>7490.5134113635477</v>
      </c>
      <c r="AZ88" s="99">
        <v>4.7679452365760282</v>
      </c>
      <c r="BA88" s="99">
        <v>4731.7088527780506</v>
      </c>
      <c r="BB88" s="99">
        <v>6.8811501462018843</v>
      </c>
      <c r="BC88" s="99">
        <v>6828.8534050907501</v>
      </c>
      <c r="BD88" s="99">
        <v>7.5297735170197511</v>
      </c>
      <c r="BE88" s="99">
        <v>7472.5472382904009</v>
      </c>
      <c r="BF88" s="99">
        <v>2.9755593511412322</v>
      </c>
      <c r="BG88" s="99">
        <v>2952.9451000725589</v>
      </c>
      <c r="BH88" s="99">
        <v>6.6362512456993228</v>
      </c>
      <c r="BI88" s="99">
        <v>6585.815736232008</v>
      </c>
      <c r="BJ88" s="99">
        <v>4.2308095374670982</v>
      </c>
      <c r="BK88" s="99">
        <v>4198.6553849823486</v>
      </c>
      <c r="BL88" s="99">
        <v>6.3761514474903276</v>
      </c>
      <c r="BM88" s="99">
        <v>6327.692696489401</v>
      </c>
      <c r="BN88" s="99">
        <v>6.9914420637807346</v>
      </c>
      <c r="BO88" s="99">
        <v>6938.3071040960012</v>
      </c>
      <c r="BP88" s="99">
        <v>7.5933879302483591</v>
      </c>
      <c r="BQ88" s="99">
        <v>7535.678181978471</v>
      </c>
      <c r="BR88" s="99">
        <v>3.6416901045889576</v>
      </c>
      <c r="BS88" s="99">
        <v>3614.0132597940815</v>
      </c>
      <c r="BT88" s="99">
        <v>8.6394968128816299</v>
      </c>
      <c r="BU88" s="99">
        <v>8573.83663710373</v>
      </c>
      <c r="BV88" s="99">
        <v>6.9465509743558842</v>
      </c>
      <c r="BW88" s="99">
        <v>6893.7571869507792</v>
      </c>
      <c r="BX88" s="99">
        <v>5.1841002994982368</v>
      </c>
      <c r="BY88" s="99">
        <v>5144.7011372220504</v>
      </c>
      <c r="BZ88" s="99">
        <v>5.0678439807987861</v>
      </c>
      <c r="CA88" s="99">
        <v>5029.3283665447152</v>
      </c>
      <c r="CB88" s="99">
        <v>5.6375919013666058</v>
      </c>
      <c r="CC88" s="99">
        <v>5594.7462029162198</v>
      </c>
      <c r="CD88" s="99">
        <v>2.7243740737751101</v>
      </c>
      <c r="CE88" s="99">
        <v>2703.6688308144194</v>
      </c>
      <c r="CF88" s="99">
        <v>7.4208211849792596</v>
      </c>
      <c r="CG88" s="99">
        <v>7364.4229439734172</v>
      </c>
      <c r="CH88" s="99">
        <v>7.9055891563600262</v>
      </c>
      <c r="CI88" s="99">
        <v>7845.5066787716896</v>
      </c>
      <c r="CJ88" s="99">
        <v>8.8621648022018</v>
      </c>
      <c r="CK88" s="99">
        <v>8794.8123497050656</v>
      </c>
      <c r="CL88" s="99">
        <v>4.985911066767148</v>
      </c>
      <c r="CM88" s="99">
        <v>4948.0181426597173</v>
      </c>
      <c r="CN88" s="99">
        <v>6.2573298796134127</v>
      </c>
      <c r="CO88" s="99">
        <v>6209.7741725283504</v>
      </c>
      <c r="CP88" s="99">
        <v>7.6066043651759054</v>
      </c>
      <c r="CQ88" s="99">
        <v>7548.7941720005683</v>
      </c>
      <c r="CR88" s="99">
        <v>8.8644445997117902</v>
      </c>
      <c r="CS88" s="99">
        <v>8797.07482075398</v>
      </c>
      <c r="CT88" s="99">
        <v>6.6883217931469225</v>
      </c>
      <c r="CU88" s="99">
        <v>6637.4905475190062</v>
      </c>
    </row>
    <row r="89" spans="2:99">
      <c r="C89" s="98" t="s">
        <v>255</v>
      </c>
      <c r="D89" s="99">
        <v>2.4524637496134387</v>
      </c>
      <c r="E89" s="99">
        <v>2604.5165020894719</v>
      </c>
      <c r="F89" s="99">
        <v>4</v>
      </c>
      <c r="G89" s="99">
        <v>4248</v>
      </c>
      <c r="H89" s="99">
        <v>6</v>
      </c>
      <c r="I89" s="99">
        <v>6372</v>
      </c>
      <c r="J89" s="99">
        <v>6</v>
      </c>
      <c r="K89" s="99">
        <v>6372</v>
      </c>
      <c r="L89" s="99">
        <v>5.4519465173420505</v>
      </c>
      <c r="M89" s="99">
        <v>5789.9672014172575</v>
      </c>
      <c r="N89" s="99">
        <v>6.6149646231437984</v>
      </c>
      <c r="O89" s="99">
        <v>7025.0924297787142</v>
      </c>
      <c r="P89" s="99">
        <v>0.29241242129653239</v>
      </c>
      <c r="Q89" s="99">
        <v>310.54199141691737</v>
      </c>
      <c r="R89" s="99">
        <v>0</v>
      </c>
      <c r="S89" s="99">
        <v>0</v>
      </c>
      <c r="T89" s="99">
        <v>0</v>
      </c>
      <c r="U89" s="99">
        <v>0</v>
      </c>
      <c r="V89" s="99">
        <v>0</v>
      </c>
      <c r="W89" s="99">
        <v>0</v>
      </c>
      <c r="X89" s="99">
        <v>4</v>
      </c>
      <c r="Y89" s="99">
        <v>4248</v>
      </c>
      <c r="Z89" s="99">
        <v>4.4022378003539497</v>
      </c>
      <c r="AA89" s="99">
        <v>4675.1765439758947</v>
      </c>
      <c r="AB89" s="99">
        <v>6.9264522436573248</v>
      </c>
      <c r="AC89" s="99">
        <v>7355.892282764079</v>
      </c>
      <c r="AD89" s="99">
        <v>3.3182903648250135</v>
      </c>
      <c r="AE89" s="99">
        <v>3524.0243674441645</v>
      </c>
      <c r="AF89" s="99">
        <v>6.6462827959043524</v>
      </c>
      <c r="AG89" s="99">
        <v>7058.3523292504224</v>
      </c>
      <c r="AH89" s="99">
        <v>4.1422538872426742</v>
      </c>
      <c r="AI89" s="99">
        <v>4399.07362825172</v>
      </c>
      <c r="AJ89" s="99">
        <v>6.9306418700550569</v>
      </c>
      <c r="AK89" s="99">
        <v>7360.3416659984705</v>
      </c>
      <c r="AL89" s="99">
        <v>8.549652855900522</v>
      </c>
      <c r="AM89" s="99">
        <v>9079.7313329663539</v>
      </c>
      <c r="AN89" s="99">
        <v>8.5441540687809123</v>
      </c>
      <c r="AO89" s="99">
        <v>9073.8916210453281</v>
      </c>
      <c r="AP89" s="99">
        <v>3.1827512138736203</v>
      </c>
      <c r="AQ89" s="99">
        <v>3380.0817891337847</v>
      </c>
      <c r="AR89" s="99">
        <v>4.6839462719390781</v>
      </c>
      <c r="AS89" s="99">
        <v>4974.3509407993006</v>
      </c>
      <c r="AT89" s="99">
        <v>9.1661208425362535</v>
      </c>
      <c r="AU89" s="99">
        <v>9734.420334773502</v>
      </c>
      <c r="AV89" s="99">
        <v>4.8455580055974519</v>
      </c>
      <c r="AW89" s="99">
        <v>5145.9826019444936</v>
      </c>
      <c r="AX89" s="99">
        <v>7.6837839784389033</v>
      </c>
      <c r="AY89" s="99">
        <v>8160.178585102115</v>
      </c>
      <c r="AZ89" s="99">
        <v>4.6150782853104104</v>
      </c>
      <c r="BA89" s="99">
        <v>4901.2131389996557</v>
      </c>
      <c r="BB89" s="99">
        <v>6.0159489593812632</v>
      </c>
      <c r="BC89" s="99">
        <v>6388.9377948629017</v>
      </c>
      <c r="BD89" s="99">
        <v>6.7813164746866619</v>
      </c>
      <c r="BE89" s="99">
        <v>7201.7580961172353</v>
      </c>
      <c r="BF89" s="99">
        <v>2.9755593511412322</v>
      </c>
      <c r="BG89" s="99">
        <v>3160.0440309119886</v>
      </c>
      <c r="BH89" s="99">
        <v>5.6362512456993228</v>
      </c>
      <c r="BI89" s="99">
        <v>5985.6988229326807</v>
      </c>
      <c r="BJ89" s="99">
        <v>4.2308095374670982</v>
      </c>
      <c r="BK89" s="99">
        <v>4493.1197287900586</v>
      </c>
      <c r="BL89" s="99">
        <v>6.2317337053067332</v>
      </c>
      <c r="BM89" s="99">
        <v>6618.1011950357506</v>
      </c>
      <c r="BN89" s="99">
        <v>6.9914420637807346</v>
      </c>
      <c r="BO89" s="99">
        <v>7424.9114717351404</v>
      </c>
      <c r="BP89" s="99">
        <v>6.6212921873186383</v>
      </c>
      <c r="BQ89" s="99">
        <v>7031.8123029323942</v>
      </c>
      <c r="BR89" s="99">
        <v>4.1407998966926645</v>
      </c>
      <c r="BS89" s="99">
        <v>4397.5294902876094</v>
      </c>
      <c r="BT89" s="99">
        <v>8.6394968128816299</v>
      </c>
      <c r="BU89" s="99">
        <v>9175.1456152802912</v>
      </c>
      <c r="BV89" s="99">
        <v>7.9585692570560873</v>
      </c>
      <c r="BW89" s="99">
        <v>8452.0005509935654</v>
      </c>
      <c r="BX89" s="99">
        <v>5.2670741927327613</v>
      </c>
      <c r="BY89" s="99">
        <v>5593.6327926821923</v>
      </c>
      <c r="BZ89" s="99">
        <v>5.0678439807987861</v>
      </c>
      <c r="CA89" s="99">
        <v>5382.0503076083105</v>
      </c>
      <c r="CB89" s="99">
        <v>5.6414073296987581</v>
      </c>
      <c r="CC89" s="99">
        <v>5991.1745841400807</v>
      </c>
      <c r="CD89" s="99">
        <v>3.1819699735004217</v>
      </c>
      <c r="CE89" s="99">
        <v>3379.2521118574477</v>
      </c>
      <c r="CF89" s="99">
        <v>7.5492536792602927</v>
      </c>
      <c r="CG89" s="99">
        <v>8017.307407374431</v>
      </c>
      <c r="CH89" s="99">
        <v>7.9055891563600262</v>
      </c>
      <c r="CI89" s="99">
        <v>8395.7356840543471</v>
      </c>
      <c r="CJ89" s="99">
        <v>9.034597762642159</v>
      </c>
      <c r="CK89" s="99">
        <v>9594.7428239259734</v>
      </c>
      <c r="CL89" s="99">
        <v>4.985911066767148</v>
      </c>
      <c r="CM89" s="99">
        <v>5295.0375529067114</v>
      </c>
      <c r="CN89" s="99">
        <v>5.3022685118142352</v>
      </c>
      <c r="CO89" s="99">
        <v>5631.0091595467175</v>
      </c>
      <c r="CP89" s="99">
        <v>7.7501913792570791</v>
      </c>
      <c r="CQ89" s="99">
        <v>8230.7032447710171</v>
      </c>
      <c r="CR89" s="99">
        <v>9.8644445997117902</v>
      </c>
      <c r="CS89" s="99">
        <v>10476.040164893921</v>
      </c>
      <c r="CT89" s="99">
        <v>6.6883217931469225</v>
      </c>
      <c r="CU89" s="99">
        <v>7102.9977443220314</v>
      </c>
    </row>
    <row r="90" spans="2:99">
      <c r="C90" s="98" t="s">
        <v>256</v>
      </c>
      <c r="D90" s="99">
        <v>2.4524637496134387</v>
      </c>
      <c r="E90" s="99">
        <v>2719.2918055713808</v>
      </c>
      <c r="F90" s="99">
        <v>4</v>
      </c>
      <c r="G90" s="99">
        <v>4435.2</v>
      </c>
      <c r="H90" s="99">
        <v>6</v>
      </c>
      <c r="I90" s="99">
        <v>6652.7999999999993</v>
      </c>
      <c r="J90" s="99">
        <v>6</v>
      </c>
      <c r="K90" s="99">
        <v>6652.7999999999993</v>
      </c>
      <c r="L90" s="99">
        <v>5.4519465173420505</v>
      </c>
      <c r="M90" s="99">
        <v>6045.1182984288653</v>
      </c>
      <c r="N90" s="99">
        <v>6.6149646231437984</v>
      </c>
      <c r="O90" s="99">
        <v>7334.6727741418435</v>
      </c>
      <c r="P90" s="99">
        <v>0.28910302827191142</v>
      </c>
      <c r="Q90" s="99">
        <v>320.55743774789539</v>
      </c>
      <c r="R90" s="99">
        <v>0</v>
      </c>
      <c r="S90" s="99">
        <v>0</v>
      </c>
      <c r="T90" s="99">
        <v>0</v>
      </c>
      <c r="U90" s="99">
        <v>0</v>
      </c>
      <c r="V90" s="99">
        <v>0</v>
      </c>
      <c r="W90" s="99">
        <v>0</v>
      </c>
      <c r="X90" s="99">
        <v>4</v>
      </c>
      <c r="Y90" s="99">
        <v>4435.2</v>
      </c>
      <c r="Z90" s="99">
        <v>5.2807721627787352</v>
      </c>
      <c r="AA90" s="99">
        <v>5855.3201740890618</v>
      </c>
      <c r="AB90" s="99">
        <v>7.8066906250082768</v>
      </c>
      <c r="AC90" s="99">
        <v>8656.0585650091762</v>
      </c>
      <c r="AD90" s="99">
        <v>2.7496974109722472</v>
      </c>
      <c r="AE90" s="99">
        <v>3048.8644892860275</v>
      </c>
      <c r="AF90" s="99">
        <v>7.6462827959043524</v>
      </c>
      <c r="AG90" s="99">
        <v>8478.1983640987455</v>
      </c>
      <c r="AH90" s="99">
        <v>4.1422538872426742</v>
      </c>
      <c r="AI90" s="99">
        <v>4592.9311101746771</v>
      </c>
      <c r="AJ90" s="99">
        <v>6.9306418700550569</v>
      </c>
      <c r="AK90" s="99">
        <v>7684.6957055170469</v>
      </c>
      <c r="AL90" s="99">
        <v>7.549652855900522</v>
      </c>
      <c r="AM90" s="99">
        <v>8371.0550866224985</v>
      </c>
      <c r="AN90" s="99">
        <v>7.5678844328567827</v>
      </c>
      <c r="AO90" s="99">
        <v>8391.2702591516008</v>
      </c>
      <c r="AP90" s="99">
        <v>3.1862460042938503</v>
      </c>
      <c r="AQ90" s="99">
        <v>3532.9095695610213</v>
      </c>
      <c r="AR90" s="99">
        <v>4.8207355263268941</v>
      </c>
      <c r="AS90" s="99">
        <v>5345.2315515912596</v>
      </c>
      <c r="AT90" s="99">
        <v>9.1661208425362535</v>
      </c>
      <c r="AU90" s="99">
        <v>10163.394790204198</v>
      </c>
      <c r="AV90" s="99">
        <v>5.6789794957715944</v>
      </c>
      <c r="AW90" s="99">
        <v>6296.8524649115434</v>
      </c>
      <c r="AX90" s="99">
        <v>7.5521277583335475</v>
      </c>
      <c r="AY90" s="99">
        <v>8373.7992584402364</v>
      </c>
      <c r="AZ90" s="99">
        <v>5.5395474297395868</v>
      </c>
      <c r="BA90" s="99">
        <v>6142.2501900952539</v>
      </c>
      <c r="BB90" s="99">
        <v>6.8825235460551015</v>
      </c>
      <c r="BC90" s="99">
        <v>7631.3421078658967</v>
      </c>
      <c r="BD90" s="99">
        <v>6.7844692297647429</v>
      </c>
      <c r="BE90" s="99">
        <v>7522.6194819631464</v>
      </c>
      <c r="BF90" s="99">
        <v>2.9755593511412322</v>
      </c>
      <c r="BG90" s="99">
        <v>3299.3002085453982</v>
      </c>
      <c r="BH90" s="99">
        <v>6.6362512456993228</v>
      </c>
      <c r="BI90" s="99">
        <v>7358.2753812314086</v>
      </c>
      <c r="BJ90" s="99">
        <v>4.0894065272782223</v>
      </c>
      <c r="BK90" s="99">
        <v>4534.3339574460924</v>
      </c>
      <c r="BL90" s="99">
        <v>7.1692908074912536</v>
      </c>
      <c r="BM90" s="99">
        <v>7949.309647346302</v>
      </c>
      <c r="BN90" s="99">
        <v>5.8262017198172789</v>
      </c>
      <c r="BO90" s="99">
        <v>6460.0924669333981</v>
      </c>
      <c r="BP90" s="99">
        <v>6.5933879302483591</v>
      </c>
      <c r="BQ90" s="99">
        <v>7310.7485370593804</v>
      </c>
      <c r="BR90" s="99">
        <v>4.1407998966926645</v>
      </c>
      <c r="BS90" s="99">
        <v>4591.3189254528261</v>
      </c>
      <c r="BT90" s="99">
        <v>8.6394968128816299</v>
      </c>
      <c r="BU90" s="99">
        <v>9579.4740661231499</v>
      </c>
      <c r="BV90" s="99">
        <v>7.9585692570560873</v>
      </c>
      <c r="BW90" s="99">
        <v>8824.4615922237899</v>
      </c>
      <c r="BX90" s="99">
        <v>5.2670741927327613</v>
      </c>
      <c r="BY90" s="99">
        <v>5840.1318649020859</v>
      </c>
      <c r="BZ90" s="99">
        <v>5.0678439807987861</v>
      </c>
      <c r="CA90" s="99">
        <v>5619.225405909694</v>
      </c>
      <c r="CB90" s="99">
        <v>5.6375919013666058</v>
      </c>
      <c r="CC90" s="99">
        <v>6250.961900235292</v>
      </c>
      <c r="CD90" s="99">
        <v>2.7208482778880612</v>
      </c>
      <c r="CE90" s="99">
        <v>3016.8765705222822</v>
      </c>
      <c r="CF90" s="99">
        <v>7.552782301703858</v>
      </c>
      <c r="CG90" s="99">
        <v>8374.525016129237</v>
      </c>
      <c r="CH90" s="99">
        <v>7.1812637143019273</v>
      </c>
      <c r="CI90" s="99">
        <v>7962.5852064179771</v>
      </c>
      <c r="CJ90" s="99">
        <v>10.034597762642159</v>
      </c>
      <c r="CK90" s="99">
        <v>11126.361999217625</v>
      </c>
      <c r="CL90" s="99">
        <v>5.5577121412931314</v>
      </c>
      <c r="CM90" s="99">
        <v>6162.3912222658237</v>
      </c>
      <c r="CN90" s="99">
        <v>6.129243134496809</v>
      </c>
      <c r="CO90" s="99">
        <v>6796.1047875300619</v>
      </c>
      <c r="CP90" s="99">
        <v>7.6066043651759054</v>
      </c>
      <c r="CQ90" s="99">
        <v>8434.2029201070436</v>
      </c>
      <c r="CR90" s="99">
        <v>8.6915556797694329</v>
      </c>
      <c r="CS90" s="99">
        <v>9637.1969377283476</v>
      </c>
      <c r="CT90" s="99">
        <v>6.6883217931469225</v>
      </c>
      <c r="CU90" s="99">
        <v>7416.0112042413075</v>
      </c>
    </row>
    <row r="91" spans="2:99">
      <c r="C91" s="98" t="s">
        <v>257</v>
      </c>
      <c r="D91" s="99">
        <v>2.4524637496134387</v>
      </c>
      <c r="E91" s="99">
        <v>2786.9798050607114</v>
      </c>
      <c r="F91" s="99">
        <v>4</v>
      </c>
      <c r="G91" s="99">
        <v>4545.5999999999995</v>
      </c>
      <c r="H91" s="99">
        <v>5</v>
      </c>
      <c r="I91" s="99">
        <v>5681.9999999999991</v>
      </c>
      <c r="J91" s="99">
        <v>6</v>
      </c>
      <c r="K91" s="99">
        <v>6818.4</v>
      </c>
      <c r="L91" s="99">
        <v>5.4519465173420505</v>
      </c>
      <c r="M91" s="99">
        <v>6195.5920223075054</v>
      </c>
      <c r="N91" s="99">
        <v>6.6149646231437984</v>
      </c>
      <c r="O91" s="99">
        <v>7517.245797740612</v>
      </c>
      <c r="P91" s="99">
        <v>0.2957218143211533</v>
      </c>
      <c r="Q91" s="99">
        <v>336.05826979455856</v>
      </c>
      <c r="R91" s="99">
        <v>0</v>
      </c>
      <c r="S91" s="99">
        <v>0</v>
      </c>
      <c r="T91" s="99">
        <v>0</v>
      </c>
      <c r="U91" s="99">
        <v>0</v>
      </c>
      <c r="V91" s="99">
        <v>0</v>
      </c>
      <c r="W91" s="99">
        <v>0</v>
      </c>
      <c r="X91" s="99">
        <v>4</v>
      </c>
      <c r="Y91" s="99">
        <v>4545.5999999999995</v>
      </c>
      <c r="Z91" s="99">
        <v>5.2807721627787352</v>
      </c>
      <c r="AA91" s="99">
        <v>6001.0694857817543</v>
      </c>
      <c r="AB91" s="99">
        <v>7.0794089584974573</v>
      </c>
      <c r="AC91" s="99">
        <v>8045.0403404365097</v>
      </c>
      <c r="AD91" s="99">
        <v>2.7496974109722472</v>
      </c>
      <c r="AE91" s="99">
        <v>3124.7561378288615</v>
      </c>
      <c r="AF91" s="99">
        <v>7.6462827959043524</v>
      </c>
      <c r="AG91" s="99">
        <v>8689.2357692657042</v>
      </c>
      <c r="AH91" s="99">
        <v>4.1422538872426742</v>
      </c>
      <c r="AI91" s="99">
        <v>4707.2573174625741</v>
      </c>
      <c r="AJ91" s="99">
        <v>6.7755348917125477</v>
      </c>
      <c r="AK91" s="99">
        <v>7699.7178509421383</v>
      </c>
      <c r="AL91" s="99">
        <v>8.549652855900522</v>
      </c>
      <c r="AM91" s="99">
        <v>9715.825505445353</v>
      </c>
      <c r="AN91" s="99">
        <v>6.5997227427913909</v>
      </c>
      <c r="AO91" s="99">
        <v>7499.9249249081358</v>
      </c>
      <c r="AP91" s="99">
        <v>3.6591031853223162</v>
      </c>
      <c r="AQ91" s="99">
        <v>4158.2048598002793</v>
      </c>
      <c r="AR91" s="99">
        <v>5.8207355263268941</v>
      </c>
      <c r="AS91" s="99">
        <v>6614.6838521178815</v>
      </c>
      <c r="AT91" s="99">
        <v>9.1661208425362535</v>
      </c>
      <c r="AU91" s="99">
        <v>10416.379725458197</v>
      </c>
      <c r="AV91" s="99">
        <v>5.8455580055974519</v>
      </c>
      <c r="AW91" s="99">
        <v>6642.8921175609439</v>
      </c>
      <c r="AX91" s="99">
        <v>7.5478772786815274</v>
      </c>
      <c r="AY91" s="99">
        <v>8577.4077394936867</v>
      </c>
      <c r="AZ91" s="99">
        <v>5.6924143810052046</v>
      </c>
      <c r="BA91" s="99">
        <v>6468.8597025743138</v>
      </c>
      <c r="BB91" s="99">
        <v>6.8825235460551015</v>
      </c>
      <c r="BC91" s="99">
        <v>7821.2997577370161</v>
      </c>
      <c r="BD91" s="99">
        <v>6.7813164746866619</v>
      </c>
      <c r="BE91" s="99">
        <v>7706.2880418339219</v>
      </c>
      <c r="BF91" s="99">
        <v>2.5707209253178798</v>
      </c>
      <c r="BG91" s="99">
        <v>2921.3672595312382</v>
      </c>
      <c r="BH91" s="99">
        <v>6.6362512456993228</v>
      </c>
      <c r="BI91" s="99">
        <v>7541.4359156127093</v>
      </c>
      <c r="BJ91" s="99">
        <v>5.1339391509600949</v>
      </c>
      <c r="BK91" s="99">
        <v>5834.2084511510511</v>
      </c>
      <c r="BL91" s="99">
        <v>7.1760966219289779</v>
      </c>
      <c r="BM91" s="99">
        <v>8154.9162011600893</v>
      </c>
      <c r="BN91" s="99">
        <v>6.8262017198172789</v>
      </c>
      <c r="BO91" s="99">
        <v>7757.2956344003551</v>
      </c>
      <c r="BP91" s="99">
        <v>6.6922859186230852</v>
      </c>
      <c r="BQ91" s="99">
        <v>7605.1137179232728</v>
      </c>
      <c r="BR91" s="99">
        <v>3.6416901045889576</v>
      </c>
      <c r="BS91" s="99">
        <v>4138.4166348548906</v>
      </c>
      <c r="BT91" s="99">
        <v>8.6394968128816299</v>
      </c>
      <c r="BU91" s="99">
        <v>9817.9241781586825</v>
      </c>
      <c r="BV91" s="99">
        <v>6.9465509743558842</v>
      </c>
      <c r="BW91" s="99">
        <v>7894.060527258026</v>
      </c>
      <c r="BX91" s="99">
        <v>5.2670741927327613</v>
      </c>
      <c r="BY91" s="99">
        <v>5985.503112621509</v>
      </c>
      <c r="BZ91" s="99">
        <v>5.0719596272913723</v>
      </c>
      <c r="CA91" s="99">
        <v>5763.774920453915</v>
      </c>
      <c r="CB91" s="99">
        <v>5.6375919013666058</v>
      </c>
      <c r="CC91" s="99">
        <v>6406.5594367130097</v>
      </c>
      <c r="CD91" s="99">
        <v>2.7208482778880612</v>
      </c>
      <c r="CE91" s="99">
        <v>3091.9719829919923</v>
      </c>
      <c r="CF91" s="99">
        <v>7.5457250568167265</v>
      </c>
      <c r="CG91" s="99">
        <v>8574.9619545665264</v>
      </c>
      <c r="CH91" s="99">
        <v>7.9055891563600262</v>
      </c>
      <c r="CI91" s="99">
        <v>8983.9115172875336</v>
      </c>
      <c r="CJ91" s="99">
        <v>9.034597762642159</v>
      </c>
      <c r="CK91" s="99">
        <v>10266.916897466548</v>
      </c>
      <c r="CL91" s="99">
        <v>5.5394540183871541</v>
      </c>
      <c r="CM91" s="99">
        <v>6295.0355464951608</v>
      </c>
      <c r="CN91" s="99">
        <v>5.3487493913706636</v>
      </c>
      <c r="CO91" s="99">
        <v>6078.3188083536215</v>
      </c>
      <c r="CP91" s="99">
        <v>6.7628268811790839</v>
      </c>
      <c r="CQ91" s="99">
        <v>7685.2764677719097</v>
      </c>
      <c r="CR91" s="99">
        <v>8.8644445997117902</v>
      </c>
      <c r="CS91" s="99">
        <v>10073.554843112477</v>
      </c>
      <c r="CT91" s="99">
        <v>5.5736014942891021</v>
      </c>
      <c r="CU91" s="99">
        <v>6333.8407381101351</v>
      </c>
    </row>
    <row r="92" spans="2:99">
      <c r="C92" s="98" t="s">
        <v>258</v>
      </c>
      <c r="D92" s="99">
        <v>2.4524637496134387</v>
      </c>
      <c r="E92" s="99">
        <v>1924.6935506966265</v>
      </c>
      <c r="F92" s="99">
        <v>5</v>
      </c>
      <c r="G92" s="99">
        <v>3924</v>
      </c>
      <c r="H92" s="99">
        <v>7</v>
      </c>
      <c r="I92" s="99">
        <v>5493.5999999999995</v>
      </c>
      <c r="J92" s="99">
        <v>6</v>
      </c>
      <c r="K92" s="99">
        <v>4708.7999999999993</v>
      </c>
      <c r="L92" s="99">
        <v>5.4519465173420505</v>
      </c>
      <c r="M92" s="99">
        <v>4278.6876268100414</v>
      </c>
      <c r="N92" s="99">
        <v>6.6149646231437984</v>
      </c>
      <c r="O92" s="99">
        <v>5191.4242362432524</v>
      </c>
      <c r="P92" s="99">
        <v>0.35972408882757884</v>
      </c>
      <c r="Q92" s="99">
        <v>282.31146491188383</v>
      </c>
      <c r="R92" s="99">
        <v>0</v>
      </c>
      <c r="S92" s="99">
        <v>0</v>
      </c>
      <c r="T92" s="99">
        <v>0</v>
      </c>
      <c r="U92" s="99">
        <v>0</v>
      </c>
      <c r="V92" s="99">
        <v>0</v>
      </c>
      <c r="W92" s="99">
        <v>0</v>
      </c>
      <c r="X92" s="99">
        <v>4</v>
      </c>
      <c r="Y92" s="99">
        <v>3139.2</v>
      </c>
      <c r="Z92" s="99">
        <v>5.2869576665989912</v>
      </c>
      <c r="AA92" s="99">
        <v>4149.2043767468876</v>
      </c>
      <c r="AB92" s="99">
        <v>7.0825862004295024</v>
      </c>
      <c r="AC92" s="99">
        <v>5558.4136500970735</v>
      </c>
      <c r="AD92" s="99">
        <v>3.3235623374901415</v>
      </c>
      <c r="AE92" s="99">
        <v>2608.3317224622629</v>
      </c>
      <c r="AF92" s="99">
        <v>7.6462827959043524</v>
      </c>
      <c r="AG92" s="99">
        <v>6000.8027382257351</v>
      </c>
      <c r="AH92" s="99">
        <v>4.1422538872426742</v>
      </c>
      <c r="AI92" s="99">
        <v>3250.8408507080503</v>
      </c>
      <c r="AJ92" s="99">
        <v>6.9306418700550569</v>
      </c>
      <c r="AK92" s="99">
        <v>5439.1677396192081</v>
      </c>
      <c r="AL92" s="99">
        <v>8.549652855900522</v>
      </c>
      <c r="AM92" s="99">
        <v>6709.7675613107294</v>
      </c>
      <c r="AN92" s="99">
        <v>7.5719384057861525</v>
      </c>
      <c r="AO92" s="99">
        <v>5942.4572608609724</v>
      </c>
      <c r="AP92" s="99">
        <v>3.1862460042938503</v>
      </c>
      <c r="AQ92" s="99">
        <v>2500.5658641698137</v>
      </c>
      <c r="AR92" s="99">
        <v>4.8207355263268941</v>
      </c>
      <c r="AS92" s="99">
        <v>3783.3132410613462</v>
      </c>
      <c r="AT92" s="99">
        <v>9.1661208425362535</v>
      </c>
      <c r="AU92" s="99">
        <v>7193.5716372224515</v>
      </c>
      <c r="AV92" s="99">
        <v>5.6789794957715944</v>
      </c>
      <c r="AW92" s="99">
        <v>4456.8631082815473</v>
      </c>
      <c r="AX92" s="99">
        <v>8.5521277583335475</v>
      </c>
      <c r="AY92" s="99">
        <v>6711.7098647401681</v>
      </c>
      <c r="AZ92" s="99">
        <v>5.5395474297395868</v>
      </c>
      <c r="BA92" s="99">
        <v>4347.4368228596277</v>
      </c>
      <c r="BB92" s="99">
        <v>6.0159489593812632</v>
      </c>
      <c r="BC92" s="99">
        <v>4721.3167433224153</v>
      </c>
      <c r="BD92" s="99">
        <v>7.3964459093233978</v>
      </c>
      <c r="BE92" s="99">
        <v>5804.7307496370022</v>
      </c>
      <c r="BF92" s="99">
        <v>3.2340541237454579</v>
      </c>
      <c r="BG92" s="99">
        <v>2538.0856763154352</v>
      </c>
      <c r="BH92" s="99">
        <v>5.6362512456993228</v>
      </c>
      <c r="BI92" s="99">
        <v>4423.3299776248286</v>
      </c>
      <c r="BJ92" s="99">
        <v>5.0057059014561194</v>
      </c>
      <c r="BK92" s="99">
        <v>3928.4779914627625</v>
      </c>
      <c r="BL92" s="99">
        <v>6.382957261928051</v>
      </c>
      <c r="BM92" s="99">
        <v>5009.3448591611341</v>
      </c>
      <c r="BN92" s="99">
        <v>6.9914420637807346</v>
      </c>
      <c r="BO92" s="99">
        <v>5486.8837316551198</v>
      </c>
      <c r="BP92" s="99">
        <v>7.6212921873186383</v>
      </c>
      <c r="BQ92" s="99">
        <v>5981.1901086076668</v>
      </c>
      <c r="BR92" s="99">
        <v>4.1407998966926645</v>
      </c>
      <c r="BS92" s="99">
        <v>3249.6997589244029</v>
      </c>
      <c r="BT92" s="99">
        <v>9.6394968128816299</v>
      </c>
      <c r="BU92" s="99">
        <v>7565.0770987495025</v>
      </c>
      <c r="BV92" s="99">
        <v>7.9585692570560873</v>
      </c>
      <c r="BW92" s="99">
        <v>6245.885152937617</v>
      </c>
      <c r="BX92" s="99">
        <v>5.2670741927327613</v>
      </c>
      <c r="BY92" s="99">
        <v>4133.5998264566706</v>
      </c>
      <c r="BZ92" s="99">
        <v>5.0678439807987861</v>
      </c>
      <c r="CA92" s="99">
        <v>3977.243956130887</v>
      </c>
      <c r="CB92" s="99">
        <v>5.7802787973283474</v>
      </c>
      <c r="CC92" s="99">
        <v>4536.3628001432871</v>
      </c>
      <c r="CD92" s="99">
        <v>3.185495769387471</v>
      </c>
      <c r="CE92" s="99">
        <v>2499.9770798152872</v>
      </c>
      <c r="CF92" s="99">
        <v>7.5492536792602927</v>
      </c>
      <c r="CG92" s="99">
        <v>5924.6542874834777</v>
      </c>
      <c r="CH92" s="99">
        <v>7.9059741367217322</v>
      </c>
      <c r="CI92" s="99">
        <v>6204.6085024992153</v>
      </c>
      <c r="CJ92" s="99">
        <v>8.034597762642159</v>
      </c>
      <c r="CK92" s="99">
        <v>6305.552324121566</v>
      </c>
      <c r="CL92" s="99">
        <v>5.5577121412931314</v>
      </c>
      <c r="CM92" s="99">
        <v>4361.6924884868495</v>
      </c>
      <c r="CN92" s="99">
        <v>5.4768361364872664</v>
      </c>
      <c r="CO92" s="99">
        <v>4298.2209999152064</v>
      </c>
      <c r="CP92" s="99">
        <v>7.7501913792570791</v>
      </c>
      <c r="CQ92" s="99">
        <v>6082.3501944409554</v>
      </c>
      <c r="CR92" s="99">
        <v>8.6915556797694329</v>
      </c>
      <c r="CS92" s="99">
        <v>6821.1328974830503</v>
      </c>
      <c r="CT92" s="99">
        <v>7.6883217931469225</v>
      </c>
      <c r="CU92" s="99">
        <v>6033.7949432617042</v>
      </c>
    </row>
    <row r="93" spans="2:99">
      <c r="C93" s="98" t="s">
        <v>259</v>
      </c>
      <c r="D93" s="99">
        <v>2.4524637496134387</v>
      </c>
      <c r="E93" s="99">
        <v>1701.0288567318812</v>
      </c>
      <c r="F93" s="99">
        <v>4</v>
      </c>
      <c r="G93" s="99">
        <v>2774.4</v>
      </c>
      <c r="H93" s="99">
        <v>6</v>
      </c>
      <c r="I93" s="99">
        <v>4161.6000000000004</v>
      </c>
      <c r="J93" s="99">
        <v>6</v>
      </c>
      <c r="K93" s="99">
        <v>4161.6000000000004</v>
      </c>
      <c r="L93" s="99">
        <v>5.4519465173420505</v>
      </c>
      <c r="M93" s="99">
        <v>3781.4701044284461</v>
      </c>
      <c r="N93" s="99">
        <v>7.6149646231437984</v>
      </c>
      <c r="O93" s="99">
        <v>5281.7394626125388</v>
      </c>
      <c r="P93" s="99">
        <v>0.29241242129653239</v>
      </c>
      <c r="Q93" s="99">
        <v>202.81725541127486</v>
      </c>
      <c r="R93" s="99">
        <v>0</v>
      </c>
      <c r="S93" s="99">
        <v>0</v>
      </c>
      <c r="T93" s="99">
        <v>0</v>
      </c>
      <c r="U93" s="99">
        <v>0</v>
      </c>
      <c r="V93" s="99">
        <v>0</v>
      </c>
      <c r="W93" s="99">
        <v>0</v>
      </c>
      <c r="X93" s="99">
        <v>4</v>
      </c>
      <c r="Y93" s="99">
        <v>2774.4</v>
      </c>
      <c r="Z93" s="99">
        <v>5.2869576665989912</v>
      </c>
      <c r="AA93" s="99">
        <v>3667.0338375530605</v>
      </c>
      <c r="AB93" s="99">
        <v>7.9564700979163652</v>
      </c>
      <c r="AC93" s="99">
        <v>5518.6076599147909</v>
      </c>
      <c r="AD93" s="99">
        <v>3.0411386330271801</v>
      </c>
      <c r="AE93" s="99">
        <v>2109.3337558676521</v>
      </c>
      <c r="AF93" s="99">
        <v>7.6462827959043524</v>
      </c>
      <c r="AG93" s="99">
        <v>5303.4617472392592</v>
      </c>
      <c r="AH93" s="99">
        <v>4.1422538872426742</v>
      </c>
      <c r="AI93" s="99">
        <v>2873.0672961915188</v>
      </c>
      <c r="AJ93" s="99">
        <v>6.9306418700550569</v>
      </c>
      <c r="AK93" s="99">
        <v>4807.0932010701872</v>
      </c>
      <c r="AL93" s="99">
        <v>9.549652855900522</v>
      </c>
      <c r="AM93" s="99">
        <v>6623.6392208526022</v>
      </c>
      <c r="AN93" s="99">
        <v>7.5719384057861525</v>
      </c>
      <c r="AO93" s="99">
        <v>5251.8964782532757</v>
      </c>
      <c r="AP93" s="99">
        <v>3.1827512138736203</v>
      </c>
      <c r="AQ93" s="99">
        <v>2207.5562419427429</v>
      </c>
      <c r="AR93" s="99">
        <v>4.8207355263268941</v>
      </c>
      <c r="AS93" s="99">
        <v>3343.6621610603338</v>
      </c>
      <c r="AT93" s="99">
        <v>8.9995321507453596</v>
      </c>
      <c r="AU93" s="99">
        <v>6242.075499756982</v>
      </c>
      <c r="AV93" s="99">
        <v>5.6789794957715944</v>
      </c>
      <c r="AW93" s="99">
        <v>3938.940178267178</v>
      </c>
      <c r="AX93" s="99">
        <v>8.5563782379855695</v>
      </c>
      <c r="AY93" s="99">
        <v>5934.7039458667914</v>
      </c>
      <c r="AZ93" s="99">
        <v>4.7679452365760282</v>
      </c>
      <c r="BA93" s="99">
        <v>3307.0468160891332</v>
      </c>
      <c r="BB93" s="99">
        <v>6.8701629473761407</v>
      </c>
      <c r="BC93" s="99">
        <v>4765.1450203000913</v>
      </c>
      <c r="BD93" s="99">
        <v>7.3964459093233978</v>
      </c>
      <c r="BE93" s="99">
        <v>5130.1748827067086</v>
      </c>
      <c r="BF93" s="99">
        <v>2.5707209253178798</v>
      </c>
      <c r="BG93" s="99">
        <v>1783.0520338004815</v>
      </c>
      <c r="BH93" s="99">
        <v>6.6362512456993228</v>
      </c>
      <c r="BI93" s="99">
        <v>4602.9038640170502</v>
      </c>
      <c r="BJ93" s="99">
        <v>5.0057059014561194</v>
      </c>
      <c r="BK93" s="99">
        <v>3471.9576132499647</v>
      </c>
      <c r="BL93" s="99">
        <v>6.382957261928051</v>
      </c>
      <c r="BM93" s="99">
        <v>4427.219156873296</v>
      </c>
      <c r="BN93" s="99">
        <v>6.8262017198172789</v>
      </c>
      <c r="BO93" s="99">
        <v>4734.6535128652649</v>
      </c>
      <c r="BP93" s="99">
        <v>7.5933879302483591</v>
      </c>
      <c r="BQ93" s="99">
        <v>5266.7738684202623</v>
      </c>
      <c r="BR93" s="99">
        <v>3.6416901045889576</v>
      </c>
      <c r="BS93" s="99">
        <v>2525.876256542901</v>
      </c>
      <c r="BT93" s="99">
        <v>8.6394968128816299</v>
      </c>
      <c r="BU93" s="99">
        <v>5992.354989414699</v>
      </c>
      <c r="BV93" s="99">
        <v>7.084127978901428</v>
      </c>
      <c r="BW93" s="99">
        <v>4913.5511661660303</v>
      </c>
      <c r="BX93" s="99">
        <v>5.2670741927327613</v>
      </c>
      <c r="BY93" s="99">
        <v>3653.2426600794433</v>
      </c>
      <c r="BZ93" s="99">
        <v>5.0678439807987861</v>
      </c>
      <c r="CA93" s="99">
        <v>3515.0565850820381</v>
      </c>
      <c r="CB93" s="99">
        <v>5.6414073296987581</v>
      </c>
      <c r="CC93" s="99">
        <v>3912.8801238790588</v>
      </c>
      <c r="CD93" s="99">
        <v>3.1114075065049707</v>
      </c>
      <c r="CE93" s="99">
        <v>2158.0722465118479</v>
      </c>
      <c r="CF93" s="99">
        <v>8.4086703799931719</v>
      </c>
      <c r="CG93" s="99">
        <v>5832.2537755632638</v>
      </c>
      <c r="CH93" s="99">
        <v>8.7805342939699109</v>
      </c>
      <c r="CI93" s="99">
        <v>6090.1785862975303</v>
      </c>
      <c r="CJ93" s="99">
        <v>9.034597762642159</v>
      </c>
      <c r="CK93" s="99">
        <v>6266.397008168602</v>
      </c>
      <c r="CL93" s="99">
        <v>5.5577121412931314</v>
      </c>
      <c r="CM93" s="99">
        <v>3854.8291412009162</v>
      </c>
      <c r="CN93" s="99">
        <v>5.4768361364872664</v>
      </c>
      <c r="CO93" s="99">
        <v>3798.733544267568</v>
      </c>
      <c r="CP93" s="99">
        <v>7.7450537879713739</v>
      </c>
      <c r="CQ93" s="99">
        <v>5371.9693073369453</v>
      </c>
      <c r="CR93" s="99">
        <v>9.8644445997117902</v>
      </c>
      <c r="CS93" s="99">
        <v>6841.9787743600982</v>
      </c>
      <c r="CT93" s="99">
        <v>6.6883217931469225</v>
      </c>
      <c r="CU93" s="99">
        <v>4639.0199957267059</v>
      </c>
    </row>
    <row r="94" spans="2:99">
      <c r="C94" s="98" t="s">
        <v>260</v>
      </c>
      <c r="D94" s="99">
        <v>2.4524637496134387</v>
      </c>
      <c r="E94" s="99">
        <v>2925.2987605389094</v>
      </c>
      <c r="F94" s="99">
        <v>4</v>
      </c>
      <c r="G94" s="99">
        <v>4771.2</v>
      </c>
      <c r="H94" s="99">
        <v>6</v>
      </c>
      <c r="I94" s="99">
        <v>7156.7999999999993</v>
      </c>
      <c r="J94" s="99">
        <v>6</v>
      </c>
      <c r="K94" s="99">
        <v>7156.7999999999993</v>
      </c>
      <c r="L94" s="99">
        <v>5.4519465173420505</v>
      </c>
      <c r="M94" s="99">
        <v>6503.0818058855975</v>
      </c>
      <c r="N94" s="99">
        <v>6.6149646231437984</v>
      </c>
      <c r="O94" s="99">
        <v>7890.3298024859223</v>
      </c>
      <c r="P94" s="99">
        <v>0.28910302827191142</v>
      </c>
      <c r="Q94" s="99">
        <v>344.84209212273595</v>
      </c>
      <c r="R94" s="99">
        <v>0</v>
      </c>
      <c r="S94" s="99">
        <v>0</v>
      </c>
      <c r="T94" s="99">
        <v>0</v>
      </c>
      <c r="U94" s="99">
        <v>0</v>
      </c>
      <c r="V94" s="99">
        <v>0</v>
      </c>
      <c r="W94" s="99">
        <v>0</v>
      </c>
      <c r="X94" s="99">
        <v>4</v>
      </c>
      <c r="Y94" s="99">
        <v>4771.2</v>
      </c>
      <c r="Z94" s="99">
        <v>4.3960522965336946</v>
      </c>
      <c r="AA94" s="99">
        <v>5243.6111793053906</v>
      </c>
      <c r="AB94" s="99">
        <v>7.0825862004295024</v>
      </c>
      <c r="AC94" s="99">
        <v>8448.1088198723101</v>
      </c>
      <c r="AD94" s="99">
        <v>2.7496974109722472</v>
      </c>
      <c r="AE94" s="99">
        <v>3279.8390718076962</v>
      </c>
      <c r="AF94" s="99">
        <v>7.6462827959043524</v>
      </c>
      <c r="AG94" s="99">
        <v>9120.4861189547119</v>
      </c>
      <c r="AH94" s="99">
        <v>4.1422538872426742</v>
      </c>
      <c r="AI94" s="99">
        <v>4940.8804367030616</v>
      </c>
      <c r="AJ94" s="99">
        <v>6.9306418700550569</v>
      </c>
      <c r="AK94" s="99">
        <v>8266.8696226016709</v>
      </c>
      <c r="AL94" s="99">
        <v>8.549652855900522</v>
      </c>
      <c r="AM94" s="99">
        <v>10198.025926518143</v>
      </c>
      <c r="AN94" s="99">
        <v>7.5678844328567827</v>
      </c>
      <c r="AO94" s="99">
        <v>9026.9725515115697</v>
      </c>
      <c r="AP94" s="99">
        <v>3.3006776566039244</v>
      </c>
      <c r="AQ94" s="99">
        <v>3937.0483087971611</v>
      </c>
      <c r="AR94" s="99">
        <v>4.6839462719390781</v>
      </c>
      <c r="AS94" s="99">
        <v>5587.0111131689318</v>
      </c>
      <c r="AT94" s="99">
        <v>8.1661208425362535</v>
      </c>
      <c r="AU94" s="99">
        <v>9740.5489409772435</v>
      </c>
      <c r="AV94" s="99">
        <v>5.6789794957715944</v>
      </c>
      <c r="AW94" s="99">
        <v>6773.8867425563576</v>
      </c>
      <c r="AX94" s="99">
        <v>7.6837839784389033</v>
      </c>
      <c r="AY94" s="99">
        <v>9165.2175294819226</v>
      </c>
      <c r="AZ94" s="99">
        <v>4.6150782853104104</v>
      </c>
      <c r="BA94" s="99">
        <v>5504.8653787182575</v>
      </c>
      <c r="BB94" s="99">
        <v>6.8701629473761407</v>
      </c>
      <c r="BC94" s="99">
        <v>8194.7303636302604</v>
      </c>
      <c r="BD94" s="99">
        <v>7.5297735170197511</v>
      </c>
      <c r="BE94" s="99">
        <v>8981.5138511011592</v>
      </c>
      <c r="BF94" s="99">
        <v>2.9755593511412322</v>
      </c>
      <c r="BG94" s="99">
        <v>3549.2471940412615</v>
      </c>
      <c r="BH94" s="99">
        <v>5.6362512456993228</v>
      </c>
      <c r="BI94" s="99">
        <v>6722.9204858701523</v>
      </c>
      <c r="BJ94" s="99">
        <v>5.1405240313025446</v>
      </c>
      <c r="BK94" s="99">
        <v>6131.6170645376751</v>
      </c>
      <c r="BL94" s="99">
        <v>6.2249278908690089</v>
      </c>
      <c r="BM94" s="99">
        <v>7425.0939882285538</v>
      </c>
      <c r="BN94" s="99">
        <v>6.9914420637807346</v>
      </c>
      <c r="BO94" s="99">
        <v>8339.3920936776594</v>
      </c>
      <c r="BP94" s="99">
        <v>6.5933879302483591</v>
      </c>
      <c r="BQ94" s="99">
        <v>7864.5931232002422</v>
      </c>
      <c r="BR94" s="99">
        <v>3.6416901045889576</v>
      </c>
      <c r="BS94" s="99">
        <v>4343.8079567537088</v>
      </c>
      <c r="BT94" s="99">
        <v>8.6394968128816299</v>
      </c>
      <c r="BU94" s="99">
        <v>10305.191798405207</v>
      </c>
      <c r="BV94" s="99">
        <v>6.9465509743558842</v>
      </c>
      <c r="BW94" s="99">
        <v>8285.8460022116979</v>
      </c>
      <c r="BX94" s="99">
        <v>5.2997313622481013</v>
      </c>
      <c r="BY94" s="99">
        <v>6321.5195688895346</v>
      </c>
      <c r="BZ94" s="99">
        <v>5.0678439807987861</v>
      </c>
      <c r="CA94" s="99">
        <v>6044.9243002967914</v>
      </c>
      <c r="CB94" s="99">
        <v>5.6414073296987581</v>
      </c>
      <c r="CC94" s="99">
        <v>6729.0706628646785</v>
      </c>
      <c r="CD94" s="99">
        <v>2.7208482778880612</v>
      </c>
      <c r="CE94" s="99">
        <v>3245.4278258648792</v>
      </c>
      <c r="CF94" s="99">
        <v>7.4208211849792596</v>
      </c>
      <c r="CG94" s="99">
        <v>8851.5555094432602</v>
      </c>
      <c r="CH94" s="99">
        <v>7.1816486946636333</v>
      </c>
      <c r="CI94" s="99">
        <v>8566.2705629947814</v>
      </c>
      <c r="CJ94" s="99">
        <v>8.034597762642159</v>
      </c>
      <c r="CK94" s="99">
        <v>9583.6682112795661</v>
      </c>
      <c r="CL94" s="99">
        <v>5.5577121412931314</v>
      </c>
      <c r="CM94" s="99">
        <v>6629.2390421344471</v>
      </c>
      <c r="CN94" s="99">
        <v>5.3529749258757935</v>
      </c>
      <c r="CO94" s="99">
        <v>6385.028491584646</v>
      </c>
      <c r="CP94" s="99">
        <v>7.7501913792570791</v>
      </c>
      <c r="CQ94" s="99">
        <v>9244.4282771778435</v>
      </c>
      <c r="CR94" s="99">
        <v>9.8644445997117902</v>
      </c>
      <c r="CS94" s="99">
        <v>11766.309518536224</v>
      </c>
      <c r="CT94" s="99">
        <v>6.6883217931469225</v>
      </c>
      <c r="CU94" s="99">
        <v>7977.8302348656489</v>
      </c>
    </row>
    <row r="95" spans="2:99">
      <c r="B95" s="98" t="s">
        <v>132</v>
      </c>
      <c r="C95" s="98" t="s">
        <v>261</v>
      </c>
      <c r="D95" s="99">
        <v>5.8859129990722536</v>
      </c>
      <c r="E95" s="99">
        <v>1935.2881940949571</v>
      </c>
      <c r="F95" s="99">
        <v>9</v>
      </c>
      <c r="G95" s="99">
        <v>2959.2000000000003</v>
      </c>
      <c r="H95" s="99">
        <v>13</v>
      </c>
      <c r="I95" s="99">
        <v>4274.4000000000005</v>
      </c>
      <c r="J95" s="99">
        <v>8</v>
      </c>
      <c r="K95" s="99">
        <v>2630.4</v>
      </c>
      <c r="L95" s="99">
        <v>8</v>
      </c>
      <c r="M95" s="99">
        <v>2630.4</v>
      </c>
      <c r="N95" s="99">
        <v>8.3836704020735464</v>
      </c>
      <c r="O95" s="99">
        <v>2756.5508282017822</v>
      </c>
      <c r="P95" s="99">
        <v>0.64551772407486929</v>
      </c>
      <c r="Q95" s="99">
        <v>212.24622767581704</v>
      </c>
      <c r="R95" s="99">
        <v>0</v>
      </c>
      <c r="S95" s="99">
        <v>0</v>
      </c>
      <c r="T95" s="99">
        <v>0</v>
      </c>
      <c r="U95" s="99">
        <v>0</v>
      </c>
      <c r="V95" s="99">
        <v>0</v>
      </c>
      <c r="W95" s="99">
        <v>0</v>
      </c>
      <c r="X95" s="99">
        <v>9</v>
      </c>
      <c r="Y95" s="99">
        <v>2959.2000000000003</v>
      </c>
      <c r="Z95" s="99">
        <v>9.345089233567478</v>
      </c>
      <c r="AA95" s="99">
        <v>3072.6653399969869</v>
      </c>
      <c r="AB95" s="99">
        <v>8.6990129785927159</v>
      </c>
      <c r="AC95" s="99">
        <v>2860.2354673612849</v>
      </c>
      <c r="AD95" s="99">
        <v>4.3034111530214405</v>
      </c>
      <c r="AE95" s="99">
        <v>1414.9615871134497</v>
      </c>
      <c r="AF95" s="99">
        <v>11.969424193856529</v>
      </c>
      <c r="AG95" s="99">
        <v>3935.5466749400271</v>
      </c>
      <c r="AH95" s="99">
        <v>7.5299358433674559</v>
      </c>
      <c r="AI95" s="99">
        <v>2475.8429052992196</v>
      </c>
      <c r="AJ95" s="99">
        <v>12.551069783425095</v>
      </c>
      <c r="AK95" s="99">
        <v>4126.7917447901718</v>
      </c>
      <c r="AL95" s="99">
        <v>7.6412616652172751</v>
      </c>
      <c r="AM95" s="99">
        <v>2512.4468355234403</v>
      </c>
      <c r="AN95" s="99">
        <v>7.6911707861440144</v>
      </c>
      <c r="AO95" s="99">
        <v>2528.8569544841521</v>
      </c>
      <c r="AP95" s="99">
        <v>4.5408495835824798</v>
      </c>
      <c r="AQ95" s="99">
        <v>1493.0313430819194</v>
      </c>
      <c r="AR95" s="99">
        <v>11.23110328949034</v>
      </c>
      <c r="AS95" s="99">
        <v>3692.7867615844239</v>
      </c>
      <c r="AT95" s="99">
        <v>9.8324756096998271</v>
      </c>
      <c r="AU95" s="99">
        <v>3232.9179804693031</v>
      </c>
      <c r="AV95" s="99">
        <v>7.6657850982585689</v>
      </c>
      <c r="AW95" s="99">
        <v>2520.5101403074177</v>
      </c>
      <c r="AX95" s="99">
        <v>8.7899373206321325</v>
      </c>
      <c r="AY95" s="99">
        <v>2890.1313910238455</v>
      </c>
      <c r="AZ95" s="99">
        <v>11.239229247580264</v>
      </c>
      <c r="BA95" s="99">
        <v>3695.4585766043911</v>
      </c>
      <c r="BB95" s="99">
        <v>9.7406804539905174</v>
      </c>
      <c r="BC95" s="99">
        <v>3202.7357332720821</v>
      </c>
      <c r="BD95" s="99">
        <v>8.5511912849017051</v>
      </c>
      <c r="BE95" s="99">
        <v>2811.6316944756809</v>
      </c>
      <c r="BF95" s="99">
        <v>5.7453656905534007</v>
      </c>
      <c r="BG95" s="99">
        <v>1889.0762390539583</v>
      </c>
      <c r="BH95" s="99">
        <v>9.1134396799738155</v>
      </c>
      <c r="BI95" s="99">
        <v>2996.4989667753907</v>
      </c>
      <c r="BJ95" s="99">
        <v>7.5887462821506029</v>
      </c>
      <c r="BK95" s="99">
        <v>2495.1797775711184</v>
      </c>
      <c r="BL95" s="99">
        <v>7.3477376218634722</v>
      </c>
      <c r="BM95" s="99">
        <v>2415.9361300687096</v>
      </c>
      <c r="BN95" s="99">
        <v>12.15668240774419</v>
      </c>
      <c r="BO95" s="99">
        <v>3997.1171756662898</v>
      </c>
      <c r="BP95" s="99">
        <v>9.6922859186230852</v>
      </c>
      <c r="BQ95" s="99">
        <v>3186.8236100432705</v>
      </c>
      <c r="BR95" s="99">
        <v>5.2869410407630877</v>
      </c>
      <c r="BS95" s="99">
        <v>1738.3462142029032</v>
      </c>
      <c r="BT95" s="99">
        <v>8.1191194225428518</v>
      </c>
      <c r="BU95" s="99">
        <v>2669.5664661320898</v>
      </c>
      <c r="BV95" s="99">
        <v>10.994624105156699</v>
      </c>
      <c r="BW95" s="99">
        <v>3615.0324057755229</v>
      </c>
      <c r="BX95" s="99">
        <v>10.451174492230999</v>
      </c>
      <c r="BY95" s="99">
        <v>3436.3461730455524</v>
      </c>
      <c r="BZ95" s="99">
        <v>10.332258370950258</v>
      </c>
      <c r="CA95" s="99">
        <v>3397.246552368445</v>
      </c>
      <c r="CB95" s="99">
        <v>10.388539000305551</v>
      </c>
      <c r="CC95" s="99">
        <v>3415.7516233004653</v>
      </c>
      <c r="CD95" s="99">
        <v>5.2333906044796255</v>
      </c>
      <c r="CE95" s="99">
        <v>1720.7388307529009</v>
      </c>
      <c r="CF95" s="99">
        <v>7.8061186678223597</v>
      </c>
      <c r="CG95" s="99">
        <v>2566.6518179799918</v>
      </c>
      <c r="CH95" s="99">
        <v>7.1789538321316906</v>
      </c>
      <c r="CI95" s="99">
        <v>2360.4400200048999</v>
      </c>
      <c r="CJ95" s="99">
        <v>10.896762564843957</v>
      </c>
      <c r="CK95" s="99">
        <v>3582.8555313206934</v>
      </c>
      <c r="CL95" s="99">
        <v>4.8789739811742194</v>
      </c>
      <c r="CM95" s="99">
        <v>1604.2066450100833</v>
      </c>
      <c r="CN95" s="99">
        <v>9.6143506698255479</v>
      </c>
      <c r="CO95" s="99">
        <v>3161.1985002386405</v>
      </c>
      <c r="CP95" s="99">
        <v>7.593523417951892</v>
      </c>
      <c r="CQ95" s="99">
        <v>2496.7504998225822</v>
      </c>
      <c r="CR95" s="99">
        <v>11.383111359538864</v>
      </c>
      <c r="CS95" s="99">
        <v>3742.7670150163785</v>
      </c>
      <c r="CT95" s="99">
        <v>8.803042092004743</v>
      </c>
      <c r="CU95" s="99">
        <v>2894.4402398511597</v>
      </c>
    </row>
    <row r="96" spans="2:99">
      <c r="C96" s="98" t="s">
        <v>262</v>
      </c>
      <c r="D96" s="99">
        <v>5.8859129990722536</v>
      </c>
      <c r="E96" s="99">
        <v>4089.5323517554016</v>
      </c>
      <c r="F96" s="99">
        <v>8</v>
      </c>
      <c r="G96" s="99">
        <v>5558.4</v>
      </c>
      <c r="H96" s="99">
        <v>11</v>
      </c>
      <c r="I96" s="99">
        <v>7642.7999999999993</v>
      </c>
      <c r="J96" s="99">
        <v>8</v>
      </c>
      <c r="K96" s="99">
        <v>5558.4</v>
      </c>
      <c r="L96" s="99">
        <v>8</v>
      </c>
      <c r="M96" s="99">
        <v>5558.4</v>
      </c>
      <c r="N96" s="99">
        <v>9.537411557859496</v>
      </c>
      <c r="O96" s="99">
        <v>6626.5935504007775</v>
      </c>
      <c r="P96" s="99">
        <v>0.64551772407486929</v>
      </c>
      <c r="Q96" s="99">
        <v>448.50571468721915</v>
      </c>
      <c r="R96" s="99">
        <v>0</v>
      </c>
      <c r="S96" s="99">
        <v>0</v>
      </c>
      <c r="T96" s="99">
        <v>0</v>
      </c>
      <c r="U96" s="99">
        <v>0</v>
      </c>
      <c r="V96" s="99">
        <v>0</v>
      </c>
      <c r="W96" s="99">
        <v>0</v>
      </c>
      <c r="X96" s="99">
        <v>11</v>
      </c>
      <c r="Y96" s="99">
        <v>7642.7999999999993</v>
      </c>
      <c r="Z96" s="99">
        <v>9.345089233567478</v>
      </c>
      <c r="AA96" s="99">
        <v>6492.9679994826829</v>
      </c>
      <c r="AB96" s="99">
        <v>7.6689951243336756</v>
      </c>
      <c r="AC96" s="99">
        <v>5328.4178123870379</v>
      </c>
      <c r="AD96" s="99">
        <v>4.2461398195422051</v>
      </c>
      <c r="AE96" s="99">
        <v>2950.2179466179241</v>
      </c>
      <c r="AF96" s="99">
        <v>9.9694241938565291</v>
      </c>
      <c r="AG96" s="99">
        <v>6926.7559298915157</v>
      </c>
      <c r="AH96" s="99">
        <v>6.3834395908624897</v>
      </c>
      <c r="AI96" s="99">
        <v>4435.2138277312579</v>
      </c>
      <c r="AJ96" s="99">
        <v>13.551069783425095</v>
      </c>
      <c r="AK96" s="99">
        <v>9415.2832855237557</v>
      </c>
      <c r="AL96" s="99">
        <v>7.6412616652172751</v>
      </c>
      <c r="AM96" s="99">
        <v>5309.1486049929626</v>
      </c>
      <c r="AN96" s="99">
        <v>6.7189551231492528</v>
      </c>
      <c r="AO96" s="99">
        <v>4668.3300195641004</v>
      </c>
      <c r="AP96" s="99">
        <v>4.5601920295991514</v>
      </c>
      <c r="AQ96" s="99">
        <v>3168.4214221654902</v>
      </c>
      <c r="AR96" s="99">
        <v>12.094314035102524</v>
      </c>
      <c r="AS96" s="99">
        <v>8403.1293915892329</v>
      </c>
      <c r="AT96" s="99">
        <v>8.8324756096998271</v>
      </c>
      <c r="AU96" s="99">
        <v>6136.8040536194394</v>
      </c>
      <c r="AV96" s="99">
        <v>8.4992065884327133</v>
      </c>
      <c r="AW96" s="99">
        <v>5905.248737643049</v>
      </c>
      <c r="AX96" s="99">
        <v>8.6582811005267786</v>
      </c>
      <c r="AY96" s="99">
        <v>6015.7737086460056</v>
      </c>
      <c r="AZ96" s="99">
        <v>11.239229247580264</v>
      </c>
      <c r="BA96" s="99">
        <v>7809.0164812187668</v>
      </c>
      <c r="BB96" s="99">
        <v>9.7379336542840811</v>
      </c>
      <c r="BC96" s="99">
        <v>6765.9163029965794</v>
      </c>
      <c r="BD96" s="99">
        <v>8.5196637341209058</v>
      </c>
      <c r="BE96" s="99">
        <v>5919.4623624672049</v>
      </c>
      <c r="BF96" s="99">
        <v>5.3367872926109943</v>
      </c>
      <c r="BG96" s="99">
        <v>3707.9998109061185</v>
      </c>
      <c r="BH96" s="99">
        <v>8.1134396799738155</v>
      </c>
      <c r="BI96" s="99">
        <v>5637.2178896458063</v>
      </c>
      <c r="BJ96" s="99">
        <v>7.5887462821506029</v>
      </c>
      <c r="BK96" s="99">
        <v>5272.6609168382383</v>
      </c>
      <c r="BL96" s="99">
        <v>7.340931807425747</v>
      </c>
      <c r="BM96" s="99">
        <v>5100.4794197994088</v>
      </c>
      <c r="BN96" s="99">
        <v>10.991442063780735</v>
      </c>
      <c r="BO96" s="99">
        <v>7636.8539459148542</v>
      </c>
      <c r="BP96" s="99">
        <v>8.6922859186230852</v>
      </c>
      <c r="BQ96" s="99">
        <v>6039.4002562593196</v>
      </c>
      <c r="BR96" s="99">
        <v>4.2887214565556739</v>
      </c>
      <c r="BS96" s="99">
        <v>2979.8036680148821</v>
      </c>
      <c r="BT96" s="99">
        <v>8.2789936257632597</v>
      </c>
      <c r="BU96" s="99">
        <v>5752.2447711803125</v>
      </c>
      <c r="BV96" s="99">
        <v>11.731488378765818</v>
      </c>
      <c r="BW96" s="99">
        <v>8151.0381255664897</v>
      </c>
      <c r="BX96" s="99">
        <v>10.368200598996474</v>
      </c>
      <c r="BY96" s="99">
        <v>7203.825776182749</v>
      </c>
      <c r="BZ96" s="99">
        <v>9.3529618833933323</v>
      </c>
      <c r="CA96" s="99">
        <v>6498.4379165816872</v>
      </c>
      <c r="CB96" s="99">
        <v>8.8341415845390632</v>
      </c>
      <c r="CC96" s="99">
        <v>6137.961572937741</v>
      </c>
      <c r="CD96" s="99">
        <v>5.2333906044796255</v>
      </c>
      <c r="CE96" s="99">
        <v>3636.1597919924434</v>
      </c>
      <c r="CF96" s="99">
        <v>6.9431733446459152</v>
      </c>
      <c r="CG96" s="99">
        <v>4824.1168398599812</v>
      </c>
      <c r="CH96" s="99">
        <v>7.9032792741897895</v>
      </c>
      <c r="CI96" s="99">
        <v>5491.1984397070655</v>
      </c>
      <c r="CJ96" s="99">
        <v>10.896762564843957</v>
      </c>
      <c r="CK96" s="99">
        <v>7571.0706300535812</v>
      </c>
      <c r="CL96" s="99">
        <v>4.8789739811742194</v>
      </c>
      <c r="CM96" s="99">
        <v>3389.9111221198473</v>
      </c>
      <c r="CN96" s="99">
        <v>8.9577181373108754</v>
      </c>
      <c r="CO96" s="99">
        <v>6223.8225618035958</v>
      </c>
      <c r="CP96" s="99">
        <v>7.4499364038707174</v>
      </c>
      <c r="CQ96" s="99">
        <v>5176.2158134093743</v>
      </c>
      <c r="CR96" s="99">
        <v>10.383111359538864</v>
      </c>
      <c r="CS96" s="99">
        <v>7214.1857726076023</v>
      </c>
      <c r="CT96" s="99">
        <v>8.9177623908625634</v>
      </c>
      <c r="CU96" s="99">
        <v>6196.0613091713085</v>
      </c>
    </row>
    <row r="97" spans="2:99">
      <c r="C97" s="98" t="s">
        <v>263</v>
      </c>
      <c r="D97" s="99">
        <v>5.8859129990722536</v>
      </c>
      <c r="E97" s="99">
        <v>2309.6322608359524</v>
      </c>
      <c r="F97" s="99">
        <v>9</v>
      </c>
      <c r="G97" s="99">
        <v>3531.6</v>
      </c>
      <c r="H97" s="99">
        <v>11</v>
      </c>
      <c r="I97" s="99">
        <v>4316.3999999999996</v>
      </c>
      <c r="J97" s="99">
        <v>8</v>
      </c>
      <c r="K97" s="99">
        <v>3139.2</v>
      </c>
      <c r="L97" s="99">
        <v>9</v>
      </c>
      <c r="M97" s="99">
        <v>3531.6</v>
      </c>
      <c r="N97" s="99">
        <v>9.3836704020735464</v>
      </c>
      <c r="O97" s="99">
        <v>3682.1522657736596</v>
      </c>
      <c r="P97" s="99">
        <v>0.64220833105024844</v>
      </c>
      <c r="Q97" s="99">
        <v>252.00254910411746</v>
      </c>
      <c r="R97" s="99">
        <v>0</v>
      </c>
      <c r="S97" s="99">
        <v>0</v>
      </c>
      <c r="T97" s="99">
        <v>0</v>
      </c>
      <c r="U97" s="99">
        <v>0</v>
      </c>
      <c r="V97" s="99">
        <v>0</v>
      </c>
      <c r="W97" s="99">
        <v>0</v>
      </c>
      <c r="X97" s="99">
        <v>11</v>
      </c>
      <c r="Y97" s="99">
        <v>4316.3999999999996</v>
      </c>
      <c r="Z97" s="99">
        <v>10.217438092172005</v>
      </c>
      <c r="AA97" s="99">
        <v>4009.3227073682942</v>
      </c>
      <c r="AB97" s="99">
        <v>8.5460562637525825</v>
      </c>
      <c r="AC97" s="99">
        <v>3353.4724778965133</v>
      </c>
      <c r="AD97" s="99">
        <v>5.4888508766142392</v>
      </c>
      <c r="AE97" s="99">
        <v>2153.8250839834272</v>
      </c>
      <c r="AF97" s="99">
        <v>11.130994892832616</v>
      </c>
      <c r="AG97" s="99">
        <v>4367.8023959475186</v>
      </c>
      <c r="AH97" s="99">
        <v>6.9307843164199143</v>
      </c>
      <c r="AI97" s="99">
        <v>2719.6397657631742</v>
      </c>
      <c r="AJ97" s="99">
        <v>14.551069783425095</v>
      </c>
      <c r="AK97" s="99">
        <v>5709.8397830160075</v>
      </c>
      <c r="AL97" s="99">
        <v>8.6412616652172751</v>
      </c>
      <c r="AM97" s="99">
        <v>3390.8310774312586</v>
      </c>
      <c r="AN97" s="99">
        <v>7.6911707861440144</v>
      </c>
      <c r="AO97" s="99">
        <v>3018.015416482911</v>
      </c>
      <c r="AP97" s="99">
        <v>4.5601920295991514</v>
      </c>
      <c r="AQ97" s="99">
        <v>1789.419352414707</v>
      </c>
      <c r="AR97" s="99">
        <v>13.23110328949034</v>
      </c>
      <c r="AS97" s="99">
        <v>5191.884930796009</v>
      </c>
      <c r="AT97" s="99">
        <v>7</v>
      </c>
      <c r="AU97" s="99">
        <v>2746.7999999999997</v>
      </c>
      <c r="AV97" s="99">
        <v>8.8323636080844263</v>
      </c>
      <c r="AW97" s="99">
        <v>3465.8194798123286</v>
      </c>
      <c r="AX97" s="99">
        <v>8.7899373206321325</v>
      </c>
      <c r="AY97" s="99">
        <v>3449.1714046160487</v>
      </c>
      <c r="AZ97" s="99">
        <v>10.314760103151087</v>
      </c>
      <c r="BA97" s="99">
        <v>4047.5118644764866</v>
      </c>
      <c r="BB97" s="99">
        <v>8.8754792671698972</v>
      </c>
      <c r="BC97" s="99">
        <v>3482.7380644374675</v>
      </c>
      <c r="BD97" s="99">
        <v>8.5511912849017051</v>
      </c>
      <c r="BE97" s="99">
        <v>3355.4874601954289</v>
      </c>
      <c r="BF97" s="99">
        <v>4.9394288110257509</v>
      </c>
      <c r="BG97" s="99">
        <v>1938.2318654465046</v>
      </c>
      <c r="BH97" s="99">
        <v>9.1134396799738155</v>
      </c>
      <c r="BI97" s="99">
        <v>3576.113730421725</v>
      </c>
      <c r="BJ97" s="99">
        <v>8.4540278714907586</v>
      </c>
      <c r="BK97" s="99">
        <v>3317.3605367729733</v>
      </c>
      <c r="BL97" s="99">
        <v>7.9828476108053543</v>
      </c>
      <c r="BM97" s="99">
        <v>3132.469402480021</v>
      </c>
      <c r="BN97" s="99">
        <v>11.15668240774419</v>
      </c>
      <c r="BO97" s="99">
        <v>4377.8821767988202</v>
      </c>
      <c r="BP97" s="99">
        <v>9.6922859186230852</v>
      </c>
      <c r="BQ97" s="99">
        <v>3803.2529944676985</v>
      </c>
      <c r="BR97" s="99">
        <v>4.7631776553488789</v>
      </c>
      <c r="BS97" s="99">
        <v>1869.0709119589001</v>
      </c>
      <c r="BT97" s="99">
        <v>9.1191194225428518</v>
      </c>
      <c r="BU97" s="99">
        <v>3578.3424614058149</v>
      </c>
      <c r="BV97" s="99">
        <v>11.731488378765818</v>
      </c>
      <c r="BW97" s="99">
        <v>4603.4360398277067</v>
      </c>
      <c r="BX97" s="99">
        <v>9.3811648750375412</v>
      </c>
      <c r="BY97" s="99">
        <v>3681.1690969647311</v>
      </c>
      <c r="BZ97" s="99">
        <v>9.4996295474519723</v>
      </c>
      <c r="CA97" s="99">
        <v>3727.6546344201538</v>
      </c>
      <c r="CB97" s="99">
        <v>8.8341415845390632</v>
      </c>
      <c r="CC97" s="99">
        <v>3466.517157773128</v>
      </c>
      <c r="CD97" s="99">
        <v>5.4275933722279248</v>
      </c>
      <c r="CE97" s="99">
        <v>2129.7876392622375</v>
      </c>
      <c r="CF97" s="99">
        <v>7.0751344613705136</v>
      </c>
      <c r="CG97" s="99">
        <v>2776.2827626417893</v>
      </c>
      <c r="CH97" s="99">
        <v>8.9288441073514591</v>
      </c>
      <c r="CI97" s="99">
        <v>3503.6784277247125</v>
      </c>
      <c r="CJ97" s="99">
        <v>10.724329604403598</v>
      </c>
      <c r="CK97" s="99">
        <v>4208.2269367679719</v>
      </c>
      <c r="CL97" s="99">
        <v>4.0724289607134692</v>
      </c>
      <c r="CM97" s="99">
        <v>1598.0211241839652</v>
      </c>
      <c r="CN97" s="99">
        <v>9.7339863459318909</v>
      </c>
      <c r="CO97" s="99">
        <v>3819.6162421436738</v>
      </c>
      <c r="CP97" s="99">
        <v>7.4499364038707174</v>
      </c>
      <c r="CQ97" s="99">
        <v>2923.3550448788692</v>
      </c>
      <c r="CR97" s="99">
        <v>11.556000279481221</v>
      </c>
      <c r="CS97" s="99">
        <v>4534.5745096684313</v>
      </c>
      <c r="CT97" s="99">
        <v>7.803042092004743</v>
      </c>
      <c r="CU97" s="99">
        <v>3061.9137169026608</v>
      </c>
    </row>
    <row r="98" spans="2:99">
      <c r="C98" s="98" t="s">
        <v>264</v>
      </c>
      <c r="D98" s="99">
        <v>5.3954202491495655</v>
      </c>
      <c r="E98" s="99">
        <v>2835.8328829530119</v>
      </c>
      <c r="F98" s="99">
        <v>8</v>
      </c>
      <c r="G98" s="99">
        <v>4204.8</v>
      </c>
      <c r="H98" s="99">
        <v>12</v>
      </c>
      <c r="I98" s="99">
        <v>6307.2000000000007</v>
      </c>
      <c r="J98" s="99">
        <v>8</v>
      </c>
      <c r="K98" s="99">
        <v>4204.8</v>
      </c>
      <c r="L98" s="99">
        <v>9</v>
      </c>
      <c r="M98" s="99">
        <v>4730.4000000000005</v>
      </c>
      <c r="N98" s="99">
        <v>9.537411557859496</v>
      </c>
      <c r="O98" s="99">
        <v>5012.8635148109515</v>
      </c>
      <c r="P98" s="99">
        <v>0.71613878463053682</v>
      </c>
      <c r="Q98" s="99">
        <v>376.40254520181014</v>
      </c>
      <c r="R98" s="99">
        <v>0</v>
      </c>
      <c r="S98" s="99">
        <v>0</v>
      </c>
      <c r="T98" s="99">
        <v>0</v>
      </c>
      <c r="U98" s="99">
        <v>0</v>
      </c>
      <c r="V98" s="99">
        <v>0</v>
      </c>
      <c r="W98" s="99">
        <v>0</v>
      </c>
      <c r="X98" s="99">
        <v>11</v>
      </c>
      <c r="Y98" s="99">
        <v>5781.6</v>
      </c>
      <c r="Z98" s="99">
        <v>9.1823143726051306</v>
      </c>
      <c r="AA98" s="99">
        <v>4826.2244342412569</v>
      </c>
      <c r="AB98" s="99">
        <v>7.6689951243336756</v>
      </c>
      <c r="AC98" s="99">
        <v>4030.8238373497802</v>
      </c>
      <c r="AD98" s="99">
        <v>4.9149859500963444</v>
      </c>
      <c r="AE98" s="99">
        <v>2583.3166153706388</v>
      </c>
      <c r="AF98" s="99">
        <v>9.9694241938565291</v>
      </c>
      <c r="AG98" s="99">
        <v>5239.9293562909916</v>
      </c>
      <c r="AH98" s="99">
        <v>7.4781290419773399</v>
      </c>
      <c r="AI98" s="99">
        <v>3930.5046244632899</v>
      </c>
      <c r="AJ98" s="99">
        <v>13.706176761767605</v>
      </c>
      <c r="AK98" s="99">
        <v>7203.9665059850531</v>
      </c>
      <c r="AL98" s="99">
        <v>8.6412616652172751</v>
      </c>
      <c r="AM98" s="99">
        <v>4541.8471312381998</v>
      </c>
      <c r="AN98" s="99">
        <v>7.6911707861440144</v>
      </c>
      <c r="AO98" s="99">
        <v>4042.4793651972941</v>
      </c>
      <c r="AP98" s="99">
        <v>4.5601920295991514</v>
      </c>
      <c r="AQ98" s="99">
        <v>2396.8369307573139</v>
      </c>
      <c r="AR98" s="99">
        <v>11.23110328949034</v>
      </c>
      <c r="AS98" s="99">
        <v>5903.0678889561232</v>
      </c>
      <c r="AT98" s="99">
        <v>6</v>
      </c>
      <c r="AU98" s="99">
        <v>3153.6000000000004</v>
      </c>
      <c r="AV98" s="99">
        <v>7.4992065884327124</v>
      </c>
      <c r="AW98" s="99">
        <v>3941.5829828802339</v>
      </c>
      <c r="AX98" s="99">
        <v>7.6582811005267777</v>
      </c>
      <c r="AY98" s="99">
        <v>4025.1925464368746</v>
      </c>
      <c r="AZ98" s="99">
        <v>9.390290958721911</v>
      </c>
      <c r="BA98" s="99">
        <v>4935.536927904237</v>
      </c>
      <c r="BB98" s="99">
        <v>8.0212652791750187</v>
      </c>
      <c r="BC98" s="99">
        <v>4215.9770307343897</v>
      </c>
      <c r="BD98" s="99">
        <v>7.6725593899503446</v>
      </c>
      <c r="BE98" s="99">
        <v>4032.6972153579013</v>
      </c>
      <c r="BF98" s="99">
        <v>5.0142298786554731</v>
      </c>
      <c r="BG98" s="99">
        <v>2635.4792242213166</v>
      </c>
      <c r="BH98" s="99">
        <v>8.2725024913986456</v>
      </c>
      <c r="BI98" s="99">
        <v>4348.0273094791282</v>
      </c>
      <c r="BJ98" s="99">
        <v>6.6345988838198666</v>
      </c>
      <c r="BK98" s="99">
        <v>3487.1451733357221</v>
      </c>
      <c r="BL98" s="99">
        <v>7.9760417963676282</v>
      </c>
      <c r="BM98" s="99">
        <v>4192.2075681708257</v>
      </c>
      <c r="BN98" s="99">
        <v>11.15668240774419</v>
      </c>
      <c r="BO98" s="99">
        <v>5863.9522735103465</v>
      </c>
      <c r="BP98" s="99">
        <v>7.6922859186230852</v>
      </c>
      <c r="BQ98" s="99">
        <v>4043.0654788282936</v>
      </c>
      <c r="BR98" s="99">
        <v>4.7878312486593808</v>
      </c>
      <c r="BS98" s="99">
        <v>2516.4841042953708</v>
      </c>
      <c r="BT98" s="99">
        <v>8.1191194225428518</v>
      </c>
      <c r="BU98" s="99">
        <v>4267.4091684885234</v>
      </c>
      <c r="BV98" s="99">
        <v>10.994624105156699</v>
      </c>
      <c r="BW98" s="99">
        <v>5778.7744296703613</v>
      </c>
      <c r="BX98" s="99">
        <v>9.4078843773682728</v>
      </c>
      <c r="BY98" s="99">
        <v>4944.7840287447643</v>
      </c>
      <c r="BZ98" s="99">
        <v>9.4996295474519723</v>
      </c>
      <c r="CA98" s="99">
        <v>4993.0052901407571</v>
      </c>
      <c r="CB98" s="99">
        <v>10.565564751256654</v>
      </c>
      <c r="CC98" s="99">
        <v>5553.2608332604977</v>
      </c>
      <c r="CD98" s="99">
        <v>4.8428313758627155</v>
      </c>
      <c r="CE98" s="99">
        <v>2545.3921711534435</v>
      </c>
      <c r="CF98" s="99">
        <v>8.0312260543923326</v>
      </c>
      <c r="CG98" s="99">
        <v>4221.2124141886106</v>
      </c>
      <c r="CH98" s="99">
        <v>8.0538989697415762</v>
      </c>
      <c r="CI98" s="99">
        <v>4233.1292984961729</v>
      </c>
      <c r="CJ98" s="99">
        <v>11.724329604403598</v>
      </c>
      <c r="CK98" s="99">
        <v>6162.3076400745313</v>
      </c>
      <c r="CL98" s="99">
        <v>5.0226362898684602</v>
      </c>
      <c r="CM98" s="99">
        <v>2639.8976339548626</v>
      </c>
      <c r="CN98" s="99">
        <v>8.9534926028057455</v>
      </c>
      <c r="CO98" s="99">
        <v>4705.9557120346999</v>
      </c>
      <c r="CP98" s="99">
        <v>7.4499364038707174</v>
      </c>
      <c r="CQ98" s="99">
        <v>3915.6865738744491</v>
      </c>
      <c r="CR98" s="99">
        <v>11.383111359538864</v>
      </c>
      <c r="CS98" s="99">
        <v>5982.963330573627</v>
      </c>
      <c r="CT98" s="99">
        <v>7.9411480939793133</v>
      </c>
      <c r="CU98" s="99">
        <v>4173.867438195527</v>
      </c>
    </row>
    <row r="99" spans="2:99">
      <c r="C99" s="98" t="s">
        <v>265</v>
      </c>
      <c r="D99" s="99">
        <v>3.9239419993815021</v>
      </c>
      <c r="E99" s="99">
        <v>16513.517510197111</v>
      </c>
      <c r="F99" s="99">
        <v>7</v>
      </c>
      <c r="G99" s="99">
        <v>29458.799999999996</v>
      </c>
      <c r="H99" s="99">
        <v>8</v>
      </c>
      <c r="I99" s="99">
        <v>33667.199999999997</v>
      </c>
      <c r="J99" s="99">
        <v>5</v>
      </c>
      <c r="K99" s="99">
        <v>21042</v>
      </c>
      <c r="L99" s="99">
        <v>7</v>
      </c>
      <c r="M99" s="99">
        <v>29458.799999999996</v>
      </c>
      <c r="N99" s="99">
        <v>7.2299292462875968</v>
      </c>
      <c r="O99" s="99">
        <v>30426.43424007672</v>
      </c>
      <c r="P99" s="99">
        <v>0.56512677200584893</v>
      </c>
      <c r="Q99" s="99">
        <v>2378.2795073094144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7</v>
      </c>
      <c r="Y99" s="99">
        <v>29458.799999999996</v>
      </c>
      <c r="Z99" s="99">
        <v>7.2315432676919329</v>
      </c>
      <c r="AA99" s="99">
        <v>30433.226687754726</v>
      </c>
      <c r="AB99" s="99">
        <v>5.7619161306557301</v>
      </c>
      <c r="AC99" s="99">
        <v>24248.447844251572</v>
      </c>
      <c r="AD99" s="99">
        <v>3.0697742997667983</v>
      </c>
      <c r="AE99" s="99">
        <v>12918.838163138593</v>
      </c>
      <c r="AF99" s="99">
        <v>7.8078534948804403</v>
      </c>
      <c r="AG99" s="99">
        <v>32858.570647854845</v>
      </c>
      <c r="AH99" s="99">
        <v>4.6895986128000988</v>
      </c>
      <c r="AI99" s="99">
        <v>19735.706802107936</v>
      </c>
      <c r="AJ99" s="99">
        <v>9.3959628050825845</v>
      </c>
      <c r="AK99" s="99">
        <v>39541.969868909546</v>
      </c>
      <c r="AL99" s="99">
        <v>5.4580440465837681</v>
      </c>
      <c r="AM99" s="99">
        <v>22969.632565643129</v>
      </c>
      <c r="AN99" s="99">
        <v>5.599129269291045</v>
      </c>
      <c r="AO99" s="99">
        <v>23563.37561688443</v>
      </c>
      <c r="AP99" s="99">
        <v>3.3393625486372662</v>
      </c>
      <c r="AQ99" s="99">
        <v>14053.373349685069</v>
      </c>
      <c r="AR99" s="99">
        <v>8.95752478071471</v>
      </c>
      <c r="AS99" s="99">
        <v>37696.847287159784</v>
      </c>
      <c r="AT99" s="99">
        <v>5</v>
      </c>
      <c r="AU99" s="99">
        <v>21042</v>
      </c>
      <c r="AV99" s="99">
        <v>6.4992065884327124</v>
      </c>
      <c r="AW99" s="99">
        <v>27351.261006760225</v>
      </c>
      <c r="AX99" s="99">
        <v>6.6582811005267777</v>
      </c>
      <c r="AY99" s="99">
        <v>28020.710183456889</v>
      </c>
      <c r="AZ99" s="99">
        <v>7.3884857185979405</v>
      </c>
      <c r="BA99" s="99">
        <v>31093.703298147571</v>
      </c>
      <c r="BB99" s="99">
        <v>6.0159489593812632</v>
      </c>
      <c r="BC99" s="99">
        <v>25317.519600660107</v>
      </c>
      <c r="BD99" s="99">
        <v>5.2717913697081658</v>
      </c>
      <c r="BE99" s="99">
        <v>22185.806800279843</v>
      </c>
      <c r="BF99" s="99">
        <v>3.6388925495688089</v>
      </c>
      <c r="BG99" s="99">
        <v>15313.915405605374</v>
      </c>
      <c r="BH99" s="99">
        <v>5.7953140571241537</v>
      </c>
      <c r="BI99" s="99">
        <v>24388.999678001288</v>
      </c>
      <c r="BJ99" s="99">
        <v>5.7248843899844193</v>
      </c>
      <c r="BK99" s="99">
        <v>24092.603466810429</v>
      </c>
      <c r="BL99" s="99">
        <v>5.5149539431121521</v>
      </c>
      <c r="BM99" s="99">
        <v>23209.132174193179</v>
      </c>
      <c r="BN99" s="99">
        <v>7.9914420637807346</v>
      </c>
      <c r="BO99" s="99">
        <v>33631.184781214841</v>
      </c>
      <c r="BP99" s="99">
        <v>5.5933879302483591</v>
      </c>
      <c r="BQ99" s="99">
        <v>23539.213765657194</v>
      </c>
      <c r="BR99" s="99">
        <v>3.7403044778309638</v>
      </c>
      <c r="BS99" s="99">
        <v>15740.697364503827</v>
      </c>
      <c r="BT99" s="99">
        <v>6.1191194225428518</v>
      </c>
      <c r="BU99" s="99">
        <v>25751.702177829335</v>
      </c>
      <c r="BV99" s="99">
        <v>8.9705875397562931</v>
      </c>
      <c r="BW99" s="99">
        <v>37751.820602310378</v>
      </c>
      <c r="BX99" s="99">
        <v>6.3578656450723443</v>
      </c>
      <c r="BY99" s="99">
        <v>26756.441780722453</v>
      </c>
      <c r="BZ99" s="99">
        <v>6.7084077488398384</v>
      </c>
      <c r="CA99" s="99">
        <v>28231.663170217573</v>
      </c>
      <c r="CB99" s="99">
        <v>7.8608399840439569</v>
      </c>
      <c r="CC99" s="99">
        <v>33081.558988850586</v>
      </c>
      <c r="CD99" s="99">
        <v>3.2610793823376016</v>
      </c>
      <c r="CE99" s="99">
        <v>13723.926472629562</v>
      </c>
      <c r="CF99" s="99">
        <v>5.0676784693505956</v>
      </c>
      <c r="CG99" s="99">
        <v>21326.818070415044</v>
      </c>
      <c r="CH99" s="99">
        <v>5.1278241658083505</v>
      </c>
      <c r="CI99" s="99">
        <v>21579.935219387862</v>
      </c>
      <c r="CJ99" s="99">
        <v>7.5518966439632385</v>
      </c>
      <c r="CK99" s="99">
        <v>31781.40183645489</v>
      </c>
      <c r="CL99" s="99">
        <v>3.6199151081246241</v>
      </c>
      <c r="CM99" s="99">
        <v>15234.050741031668</v>
      </c>
      <c r="CN99" s="99">
        <v>7.136331626320251</v>
      </c>
      <c r="CO99" s="99">
        <v>30032.538016206141</v>
      </c>
      <c r="CP99" s="99">
        <v>5.4854825902861393</v>
      </c>
      <c r="CQ99" s="99">
        <v>23085.104932960188</v>
      </c>
      <c r="CR99" s="99">
        <v>8.2102224395965067</v>
      </c>
      <c r="CS99" s="99">
        <v>34551.900114797936</v>
      </c>
      <c r="CT99" s="99">
        <v>5.803042092004743</v>
      </c>
      <c r="CU99" s="99">
        <v>24421.52233999276</v>
      </c>
    </row>
    <row r="100" spans="2:99">
      <c r="C100" s="98" t="s">
        <v>266</v>
      </c>
      <c r="D100" s="99">
        <v>5.8859129990722536</v>
      </c>
      <c r="E100" s="99">
        <v>1907.0358116994103</v>
      </c>
      <c r="F100" s="99">
        <v>9</v>
      </c>
      <c r="G100" s="99">
        <v>2916</v>
      </c>
      <c r="H100" s="99">
        <v>12</v>
      </c>
      <c r="I100" s="99">
        <v>3888</v>
      </c>
      <c r="J100" s="99">
        <v>8</v>
      </c>
      <c r="K100" s="99">
        <v>2592</v>
      </c>
      <c r="L100" s="99">
        <v>9</v>
      </c>
      <c r="M100" s="99">
        <v>2916</v>
      </c>
      <c r="N100" s="99">
        <v>9.3836704020735464</v>
      </c>
      <c r="O100" s="99">
        <v>3040.3092102718292</v>
      </c>
      <c r="P100" s="99">
        <v>0.71613878463053682</v>
      </c>
      <c r="Q100" s="99">
        <v>232.02896622029394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10</v>
      </c>
      <c r="Y100" s="99">
        <v>3240</v>
      </c>
      <c r="Z100" s="99">
        <v>10.149397550149185</v>
      </c>
      <c r="AA100" s="99">
        <v>3288.4048062483362</v>
      </c>
      <c r="AB100" s="99">
        <v>8.6990129785927159</v>
      </c>
      <c r="AC100" s="99">
        <v>2818.4802050640401</v>
      </c>
      <c r="AD100" s="99">
        <v>4.8486404127997176</v>
      </c>
      <c r="AE100" s="99">
        <v>1570.9594937471086</v>
      </c>
      <c r="AF100" s="99">
        <v>10.969424193856529</v>
      </c>
      <c r="AG100" s="99">
        <v>3554.0934388095156</v>
      </c>
      <c r="AH100" s="99">
        <v>6.3834395908624897</v>
      </c>
      <c r="AI100" s="99">
        <v>2068.2344274394468</v>
      </c>
      <c r="AJ100" s="99">
        <v>13.706176761767605</v>
      </c>
      <c r="AK100" s="99">
        <v>4440.8012708127035</v>
      </c>
      <c r="AL100" s="99">
        <v>9.7328704745340282</v>
      </c>
      <c r="AM100" s="99">
        <v>3153.4500337490254</v>
      </c>
      <c r="AN100" s="99">
        <v>7.6911707861440144</v>
      </c>
      <c r="AO100" s="99">
        <v>2491.9393347106607</v>
      </c>
      <c r="AP100" s="99">
        <v>4.5408495835824798</v>
      </c>
      <c r="AQ100" s="99">
        <v>1471.2352650807234</v>
      </c>
      <c r="AR100" s="99">
        <v>12.367892543878156</v>
      </c>
      <c r="AS100" s="99">
        <v>4007.1971842165226</v>
      </c>
      <c r="AT100" s="99">
        <v>6</v>
      </c>
      <c r="AU100" s="99">
        <v>1944</v>
      </c>
      <c r="AV100" s="99">
        <v>8.6657850982585689</v>
      </c>
      <c r="AW100" s="99">
        <v>2807.7143718357765</v>
      </c>
      <c r="AX100" s="99">
        <v>8.7899373206321325</v>
      </c>
      <c r="AY100" s="99">
        <v>2847.9396918848111</v>
      </c>
      <c r="AZ100" s="99">
        <v>10.467627054416704</v>
      </c>
      <c r="BA100" s="99">
        <v>3391.5111656310123</v>
      </c>
      <c r="BB100" s="99">
        <v>9.5908628822352995</v>
      </c>
      <c r="BC100" s="99">
        <v>3107.4395738442372</v>
      </c>
      <c r="BD100" s="99">
        <v>7.805886997646696</v>
      </c>
      <c r="BE100" s="99">
        <v>2529.1073872375296</v>
      </c>
      <c r="BF100" s="99">
        <v>5.4450728690464203</v>
      </c>
      <c r="BG100" s="99">
        <v>1764.2036095710403</v>
      </c>
      <c r="BH100" s="99">
        <v>9.2725024913986456</v>
      </c>
      <c r="BI100" s="99">
        <v>3004.2908072131613</v>
      </c>
      <c r="BJ100" s="99">
        <v>7.5887462821506029</v>
      </c>
      <c r="BK100" s="99">
        <v>2458.7537954167951</v>
      </c>
      <c r="BL100" s="99">
        <v>8.1340711674266739</v>
      </c>
      <c r="BM100" s="99">
        <v>2635.4390582462424</v>
      </c>
      <c r="BN100" s="99">
        <v>11.991442063780735</v>
      </c>
      <c r="BO100" s="99">
        <v>3885.2272286649581</v>
      </c>
      <c r="BP100" s="99">
        <v>9.6922859186230852</v>
      </c>
      <c r="BQ100" s="99">
        <v>3140.3006376338794</v>
      </c>
      <c r="BR100" s="99">
        <v>4.7631776553488789</v>
      </c>
      <c r="BS100" s="99">
        <v>1543.2695603330367</v>
      </c>
      <c r="BT100" s="99">
        <v>9.2789936257632597</v>
      </c>
      <c r="BU100" s="99">
        <v>3006.393934747296</v>
      </c>
      <c r="BV100" s="99">
        <v>11.869065383311359</v>
      </c>
      <c r="BW100" s="99">
        <v>3845.5771841928804</v>
      </c>
      <c r="BX100" s="99">
        <v>9.4641387682720648</v>
      </c>
      <c r="BY100" s="99">
        <v>3066.3809609201489</v>
      </c>
      <c r="BZ100" s="99">
        <v>10.23086281831007</v>
      </c>
      <c r="CA100" s="99">
        <v>3314.7995531324627</v>
      </c>
      <c r="CB100" s="99">
        <v>10.422877855294912</v>
      </c>
      <c r="CC100" s="99">
        <v>3377.0124251155517</v>
      </c>
      <c r="CD100" s="99">
        <v>4.471787226303281</v>
      </c>
      <c r="CE100" s="99">
        <v>1448.859061322263</v>
      </c>
      <c r="CF100" s="99">
        <v>7.9027935601113004</v>
      </c>
      <c r="CG100" s="99">
        <v>2560.5051134760615</v>
      </c>
      <c r="CH100" s="99">
        <v>7.9063591170834382</v>
      </c>
      <c r="CI100" s="99">
        <v>2561.660353935034</v>
      </c>
      <c r="CJ100" s="99">
        <v>10.724329604403598</v>
      </c>
      <c r="CK100" s="99">
        <v>3474.6827918267659</v>
      </c>
      <c r="CL100" s="99">
        <v>5.0226362898684602</v>
      </c>
      <c r="CM100" s="99">
        <v>1627.3341579173812</v>
      </c>
      <c r="CN100" s="99">
        <v>9.7339863459318909</v>
      </c>
      <c r="CO100" s="99">
        <v>3153.8115760819328</v>
      </c>
      <c r="CP100" s="99">
        <v>6.7548835252407757</v>
      </c>
      <c r="CQ100" s="99">
        <v>2188.5822621780112</v>
      </c>
      <c r="CR100" s="99">
        <v>10.383111359538864</v>
      </c>
      <c r="CS100" s="99">
        <v>3364.1280804905919</v>
      </c>
      <c r="CT100" s="99">
        <v>7.9177623908625634</v>
      </c>
      <c r="CU100" s="99">
        <v>2565.3550146394705</v>
      </c>
    </row>
    <row r="101" spans="2:99">
      <c r="C101" s="98" t="s">
        <v>267</v>
      </c>
      <c r="D101" s="99">
        <v>5.3954202491495655</v>
      </c>
      <c r="E101" s="99">
        <v>3904.1260922846259</v>
      </c>
      <c r="F101" s="99">
        <v>8</v>
      </c>
      <c r="G101" s="99">
        <v>5788.8</v>
      </c>
      <c r="H101" s="99">
        <v>11</v>
      </c>
      <c r="I101" s="99">
        <v>7959.6</v>
      </c>
      <c r="J101" s="99">
        <v>8</v>
      </c>
      <c r="K101" s="99">
        <v>5788.8</v>
      </c>
      <c r="L101" s="99">
        <v>10.355839552026151</v>
      </c>
      <c r="M101" s="99">
        <v>7493.4854998461224</v>
      </c>
      <c r="N101" s="99">
        <v>9.3836704020735464</v>
      </c>
      <c r="O101" s="99">
        <v>6790.0239029404183</v>
      </c>
      <c r="P101" s="99">
        <v>0.64551772407486929</v>
      </c>
      <c r="Q101" s="99">
        <v>467.09662514057544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9</v>
      </c>
      <c r="Y101" s="99">
        <v>6512.4000000000005</v>
      </c>
      <c r="Z101" s="99">
        <v>10.217438092172005</v>
      </c>
      <c r="AA101" s="99">
        <v>7393.338203495663</v>
      </c>
      <c r="AB101" s="99">
        <v>7.9749085540139415</v>
      </c>
      <c r="AC101" s="99">
        <v>5770.6438296844881</v>
      </c>
      <c r="AD101" s="99">
        <v>4.8486404127997176</v>
      </c>
      <c r="AE101" s="99">
        <v>3508.4762027018755</v>
      </c>
      <c r="AF101" s="99">
        <v>9.9694241938565291</v>
      </c>
      <c r="AG101" s="99">
        <v>7213.8753466745848</v>
      </c>
      <c r="AH101" s="99">
        <v>6.3834395908624897</v>
      </c>
      <c r="AI101" s="99">
        <v>4619.0568879480979</v>
      </c>
      <c r="AJ101" s="99">
        <v>14.706176761767605</v>
      </c>
      <c r="AK101" s="99">
        <v>10641.389504815039</v>
      </c>
      <c r="AL101" s="99">
        <v>8.549652855900522</v>
      </c>
      <c r="AM101" s="99">
        <v>6186.5288065296181</v>
      </c>
      <c r="AN101" s="99">
        <v>6.7189551231492528</v>
      </c>
      <c r="AO101" s="99">
        <v>4861.8359271107993</v>
      </c>
      <c r="AP101" s="99">
        <v>5.084664309248172</v>
      </c>
      <c r="AQ101" s="99">
        <v>3679.2630941719772</v>
      </c>
      <c r="AR101" s="99">
        <v>12.094314035102524</v>
      </c>
      <c r="AS101" s="99">
        <v>8751.4456358001862</v>
      </c>
      <c r="AT101" s="99">
        <v>8.6658869179089333</v>
      </c>
      <c r="AU101" s="99">
        <v>6270.6357737989047</v>
      </c>
      <c r="AV101" s="99">
        <v>8.4992065884327133</v>
      </c>
      <c r="AW101" s="99">
        <v>6150.0258873899111</v>
      </c>
      <c r="AX101" s="99">
        <v>8.6582811005267786</v>
      </c>
      <c r="AY101" s="99">
        <v>6265.1322043411774</v>
      </c>
      <c r="AZ101" s="99">
        <v>10.314760103151087</v>
      </c>
      <c r="BA101" s="99">
        <v>7463.7604106401268</v>
      </c>
      <c r="BB101" s="99">
        <v>8.8850930661424208</v>
      </c>
      <c r="BC101" s="99">
        <v>6429.253342660656</v>
      </c>
      <c r="BD101" s="99">
        <v>8.4210164322834338</v>
      </c>
      <c r="BE101" s="99">
        <v>6093.4474904002927</v>
      </c>
      <c r="BF101" s="99">
        <v>5.0402344432230679</v>
      </c>
      <c r="BG101" s="99">
        <v>3647.1136431162122</v>
      </c>
      <c r="BH101" s="99">
        <v>9.1134396799738155</v>
      </c>
      <c r="BI101" s="99">
        <v>6594.484952429053</v>
      </c>
      <c r="BJ101" s="99">
        <v>7.5887462821506029</v>
      </c>
      <c r="BK101" s="99">
        <v>5491.2168097641761</v>
      </c>
      <c r="BL101" s="99">
        <v>8.1340711674266739</v>
      </c>
      <c r="BM101" s="99">
        <v>5885.8138967499417</v>
      </c>
      <c r="BN101" s="99">
        <v>10.991442063780735</v>
      </c>
      <c r="BO101" s="99">
        <v>7953.4074773517395</v>
      </c>
      <c r="BP101" s="99">
        <v>8.6922859186230852</v>
      </c>
      <c r="BQ101" s="99">
        <v>6289.7380907156648</v>
      </c>
      <c r="BR101" s="99">
        <v>5.2376338541420839</v>
      </c>
      <c r="BS101" s="99">
        <v>3789.9518568572121</v>
      </c>
      <c r="BT101" s="99">
        <v>9.2789936257632597</v>
      </c>
      <c r="BU101" s="99">
        <v>6714.2797876022951</v>
      </c>
      <c r="BV101" s="99">
        <v>12.006642387856903</v>
      </c>
      <c r="BW101" s="99">
        <v>8688.006431853255</v>
      </c>
      <c r="BX101" s="99">
        <v>9.3811648750375412</v>
      </c>
      <c r="BY101" s="99">
        <v>6788.2109035771646</v>
      </c>
      <c r="BZ101" s="99">
        <v>10.332258370950258</v>
      </c>
      <c r="CA101" s="99">
        <v>7476.4221572196075</v>
      </c>
      <c r="CB101" s="99">
        <v>8.9730130521686515</v>
      </c>
      <c r="CC101" s="99">
        <v>6492.8722445492367</v>
      </c>
      <c r="CD101" s="99">
        <v>4.8428313758627155</v>
      </c>
      <c r="CE101" s="99">
        <v>3504.2727835742612</v>
      </c>
      <c r="CF101" s="99">
        <v>7.9027935601113004</v>
      </c>
      <c r="CG101" s="99">
        <v>5718.461420096537</v>
      </c>
      <c r="CH101" s="99">
        <v>8.0538989697415762</v>
      </c>
      <c r="CI101" s="99">
        <v>5827.801294505005</v>
      </c>
      <c r="CJ101" s="99">
        <v>11.724329604403598</v>
      </c>
      <c r="CK101" s="99">
        <v>8483.7249017464437</v>
      </c>
      <c r="CL101" s="99">
        <v>4.7511671208323811</v>
      </c>
      <c r="CM101" s="99">
        <v>3437.9445286343112</v>
      </c>
      <c r="CN101" s="99">
        <v>8.9577181373108754</v>
      </c>
      <c r="CO101" s="99">
        <v>6481.8048441581495</v>
      </c>
      <c r="CP101" s="99">
        <v>7.593523417951892</v>
      </c>
      <c r="CQ101" s="99">
        <v>5494.673545229989</v>
      </c>
      <c r="CR101" s="99">
        <v>10.383111359538864</v>
      </c>
      <c r="CS101" s="99">
        <v>7513.2193797623222</v>
      </c>
      <c r="CT101" s="99">
        <v>7.803042092004743</v>
      </c>
      <c r="CU101" s="99">
        <v>5646.2812577746317</v>
      </c>
    </row>
    <row r="102" spans="2:99">
      <c r="C102" s="98" t="s">
        <v>268</v>
      </c>
      <c r="D102" s="99">
        <v>6.3764057489949408</v>
      </c>
      <c r="E102" s="99">
        <v>3389.6972961657107</v>
      </c>
      <c r="F102" s="99">
        <v>8</v>
      </c>
      <c r="G102" s="99">
        <v>4252.8</v>
      </c>
      <c r="H102" s="99">
        <v>12</v>
      </c>
      <c r="I102" s="99">
        <v>6379.2000000000007</v>
      </c>
      <c r="J102" s="99">
        <v>9</v>
      </c>
      <c r="K102" s="99">
        <v>4784.4000000000005</v>
      </c>
      <c r="L102" s="99">
        <v>8</v>
      </c>
      <c r="M102" s="99">
        <v>4252.8</v>
      </c>
      <c r="N102" s="99">
        <v>8.3836704020735464</v>
      </c>
      <c r="O102" s="99">
        <v>4456.7591857422976</v>
      </c>
      <c r="P102" s="99">
        <v>0.64220833105024844</v>
      </c>
      <c r="Q102" s="99">
        <v>341.3979487863121</v>
      </c>
      <c r="R102" s="99">
        <v>0</v>
      </c>
      <c r="S102" s="99">
        <v>0</v>
      </c>
      <c r="T102" s="99">
        <v>0</v>
      </c>
      <c r="U102" s="99">
        <v>0</v>
      </c>
      <c r="V102" s="99">
        <v>0</v>
      </c>
      <c r="W102" s="99">
        <v>0</v>
      </c>
      <c r="X102" s="99">
        <v>9</v>
      </c>
      <c r="Y102" s="99">
        <v>4784.4000000000005</v>
      </c>
      <c r="Z102" s="99">
        <v>9.345089233567478</v>
      </c>
      <c r="AA102" s="99">
        <v>4967.8494365644719</v>
      </c>
      <c r="AB102" s="99">
        <v>8.6990129785927159</v>
      </c>
      <c r="AC102" s="99">
        <v>4624.395299419888</v>
      </c>
      <c r="AD102" s="99">
        <v>4.2461398195422051</v>
      </c>
      <c r="AE102" s="99">
        <v>2257.2479280686362</v>
      </c>
      <c r="AF102" s="99">
        <v>9.9694241938565291</v>
      </c>
      <c r="AG102" s="99">
        <v>5299.7459014541309</v>
      </c>
      <c r="AH102" s="99">
        <v>6.9307843164199143</v>
      </c>
      <c r="AI102" s="99">
        <v>3684.4049426088268</v>
      </c>
      <c r="AJ102" s="99">
        <v>12.551069783425095</v>
      </c>
      <c r="AK102" s="99">
        <v>6672.1486968687814</v>
      </c>
      <c r="AL102" s="99">
        <v>8.549652855900522</v>
      </c>
      <c r="AM102" s="99">
        <v>4544.9954581967177</v>
      </c>
      <c r="AN102" s="99">
        <v>6.7189551231492528</v>
      </c>
      <c r="AO102" s="99">
        <v>3571.7965434661428</v>
      </c>
      <c r="AP102" s="99">
        <v>5.084664309248172</v>
      </c>
      <c r="AQ102" s="99">
        <v>2703.0075467963284</v>
      </c>
      <c r="AR102" s="99">
        <v>11.23110328949034</v>
      </c>
      <c r="AS102" s="99">
        <v>5970.4545086930648</v>
      </c>
      <c r="AT102" s="99">
        <v>8.6658869179089333</v>
      </c>
      <c r="AU102" s="99">
        <v>4606.7854855603891</v>
      </c>
      <c r="AV102" s="99">
        <v>8.6657850982585689</v>
      </c>
      <c r="AW102" s="99">
        <v>4606.7313582342558</v>
      </c>
      <c r="AX102" s="99">
        <v>7.7899373206321334</v>
      </c>
      <c r="AY102" s="99">
        <v>4141.1306796480421</v>
      </c>
      <c r="AZ102" s="99">
        <v>10.314760103151087</v>
      </c>
      <c r="BA102" s="99">
        <v>5483.326470835118</v>
      </c>
      <c r="BB102" s="99">
        <v>8.7270350952678974</v>
      </c>
      <c r="BC102" s="99">
        <v>4639.2918566444141</v>
      </c>
      <c r="BD102" s="99">
        <v>8.4241691873615121</v>
      </c>
      <c r="BE102" s="99">
        <v>4478.2883400013798</v>
      </c>
      <c r="BF102" s="99">
        <v>5.4450728690464203</v>
      </c>
      <c r="BG102" s="99">
        <v>2894.6007371850774</v>
      </c>
      <c r="BH102" s="99">
        <v>8.1134396799738155</v>
      </c>
      <c r="BI102" s="99">
        <v>4313.1045338740805</v>
      </c>
      <c r="BJ102" s="99">
        <v>6.6790317883151555</v>
      </c>
      <c r="BK102" s="99">
        <v>3550.573298668337</v>
      </c>
      <c r="BL102" s="99">
        <v>8.1272653529889478</v>
      </c>
      <c r="BM102" s="99">
        <v>4320.4542616489252</v>
      </c>
      <c r="BN102" s="99">
        <v>12.15668240774419</v>
      </c>
      <c r="BO102" s="99">
        <v>6462.4923679568119</v>
      </c>
      <c r="BP102" s="99">
        <v>9.7257710271074203</v>
      </c>
      <c r="BQ102" s="99">
        <v>5170.2198780103045</v>
      </c>
      <c r="BR102" s="99">
        <v>5.2622874474525858</v>
      </c>
      <c r="BS102" s="99">
        <v>2797.4320070657946</v>
      </c>
      <c r="BT102" s="99">
        <v>8.2789936257632597</v>
      </c>
      <c r="BU102" s="99">
        <v>4401.1130114557491</v>
      </c>
      <c r="BV102" s="99">
        <v>11.731488378765818</v>
      </c>
      <c r="BW102" s="99">
        <v>6236.4592221519088</v>
      </c>
      <c r="BX102" s="99">
        <v>9.3811648750375412</v>
      </c>
      <c r="BY102" s="99">
        <v>4987.0272475699567</v>
      </c>
      <c r="BZ102" s="99">
        <v>9.3529618833933323</v>
      </c>
      <c r="CA102" s="99">
        <v>4972.0345372118954</v>
      </c>
      <c r="CB102" s="99">
        <v>8.8303261562069117</v>
      </c>
      <c r="CC102" s="99">
        <v>4694.2013846395948</v>
      </c>
      <c r="CD102" s="99">
        <v>4.8428313758627155</v>
      </c>
      <c r="CE102" s="99">
        <v>2574.4491594086198</v>
      </c>
      <c r="CF102" s="99">
        <v>7.0751344613705136</v>
      </c>
      <c r="CG102" s="99">
        <v>3761.1414796645654</v>
      </c>
      <c r="CH102" s="99">
        <v>7.1789538321316906</v>
      </c>
      <c r="CI102" s="99">
        <v>3816.3318571612067</v>
      </c>
      <c r="CJ102" s="99">
        <v>11.896762564843957</v>
      </c>
      <c r="CK102" s="99">
        <v>6324.3189794710479</v>
      </c>
      <c r="CL102" s="99">
        <v>4.2002358210553075</v>
      </c>
      <c r="CM102" s="99">
        <v>2232.8453624730014</v>
      </c>
      <c r="CN102" s="99">
        <v>8.9577181373108754</v>
      </c>
      <c r="CO102" s="99">
        <v>4761.9229617944611</v>
      </c>
      <c r="CP102" s="99">
        <v>7.4499364038707174</v>
      </c>
      <c r="CQ102" s="99">
        <v>3960.3861922976735</v>
      </c>
      <c r="CR102" s="99">
        <v>9.383111359538864</v>
      </c>
      <c r="CS102" s="99">
        <v>4988.0619987308601</v>
      </c>
      <c r="CT102" s="99">
        <v>8.9177623908625634</v>
      </c>
      <c r="CU102" s="99">
        <v>4740.6824869825386</v>
      </c>
    </row>
    <row r="103" spans="2:99">
      <c r="C103" s="98" t="s">
        <v>269</v>
      </c>
      <c r="D103" s="99">
        <v>5.3954202491495655</v>
      </c>
      <c r="E103" s="99">
        <v>3178.9816107989236</v>
      </c>
      <c r="F103" s="99">
        <v>8</v>
      </c>
      <c r="G103" s="99">
        <v>4713.5999999999995</v>
      </c>
      <c r="H103" s="99">
        <v>11</v>
      </c>
      <c r="I103" s="99">
        <v>6481.1999999999989</v>
      </c>
      <c r="J103" s="99">
        <v>8</v>
      </c>
      <c r="K103" s="99">
        <v>4713.5999999999995</v>
      </c>
      <c r="L103" s="99">
        <v>8</v>
      </c>
      <c r="M103" s="99">
        <v>4713.5999999999995</v>
      </c>
      <c r="N103" s="99">
        <v>8.3836704020735464</v>
      </c>
      <c r="O103" s="99">
        <v>4939.6586009017328</v>
      </c>
      <c r="P103" s="99">
        <v>0.70951999858129489</v>
      </c>
      <c r="Q103" s="99">
        <v>418.04918316409891</v>
      </c>
      <c r="R103" s="99">
        <v>0</v>
      </c>
      <c r="S103" s="99">
        <v>0</v>
      </c>
      <c r="T103" s="99">
        <v>0</v>
      </c>
      <c r="U103" s="99">
        <v>0</v>
      </c>
      <c r="V103" s="99">
        <v>0</v>
      </c>
      <c r="W103" s="99">
        <v>0</v>
      </c>
      <c r="X103" s="99">
        <v>10</v>
      </c>
      <c r="Y103" s="99">
        <v>5891.9999999999991</v>
      </c>
      <c r="Z103" s="99">
        <v>9.3327182259269659</v>
      </c>
      <c r="AA103" s="99">
        <v>5498.8375787161676</v>
      </c>
      <c r="AB103" s="99">
        <v>7.821951839173809</v>
      </c>
      <c r="AC103" s="99">
        <v>4608.6940236412074</v>
      </c>
      <c r="AD103" s="99">
        <v>4.9149859500963444</v>
      </c>
      <c r="AE103" s="99">
        <v>2895.909721796766</v>
      </c>
      <c r="AF103" s="99">
        <v>10.969424193856529</v>
      </c>
      <c r="AG103" s="99">
        <v>6463.1847350202661</v>
      </c>
      <c r="AH103" s="99">
        <v>6.3834395908624897</v>
      </c>
      <c r="AI103" s="99">
        <v>3761.1226069361783</v>
      </c>
      <c r="AJ103" s="99">
        <v>14.395962805082585</v>
      </c>
      <c r="AK103" s="99">
        <v>8482.1012847546572</v>
      </c>
      <c r="AL103" s="99">
        <v>8.6412616652172751</v>
      </c>
      <c r="AM103" s="99">
        <v>5091.4313731460179</v>
      </c>
      <c r="AN103" s="99">
        <v>7.6911707861440144</v>
      </c>
      <c r="AO103" s="99">
        <v>4531.637827196053</v>
      </c>
      <c r="AP103" s="99">
        <v>4.1596963512840803</v>
      </c>
      <c r="AQ103" s="99">
        <v>2450.8930901765798</v>
      </c>
      <c r="AR103" s="99">
        <v>12.23110328949034</v>
      </c>
      <c r="AS103" s="99">
        <v>7206.5660581677075</v>
      </c>
      <c r="AT103" s="99">
        <v>8.8324756096998271</v>
      </c>
      <c r="AU103" s="99">
        <v>5204.0946292351373</v>
      </c>
      <c r="AV103" s="99">
        <v>8.6657850982585689</v>
      </c>
      <c r="AW103" s="99">
        <v>5105.8805798939484</v>
      </c>
      <c r="AX103" s="99">
        <v>7.7899373206321334</v>
      </c>
      <c r="AY103" s="99">
        <v>4589.8310693164522</v>
      </c>
      <c r="AZ103" s="99">
        <v>10.467627054416704</v>
      </c>
      <c r="BA103" s="99">
        <v>6167.5258604623214</v>
      </c>
      <c r="BB103" s="99">
        <v>8.8850930661424208</v>
      </c>
      <c r="BC103" s="99">
        <v>5235.0968345711135</v>
      </c>
      <c r="BD103" s="99">
        <v>7.809039752724777</v>
      </c>
      <c r="BE103" s="99">
        <v>4601.0862223054382</v>
      </c>
      <c r="BF103" s="99">
        <v>4.9356888389066969</v>
      </c>
      <c r="BG103" s="99">
        <v>2908.1078638838253</v>
      </c>
      <c r="BH103" s="99">
        <v>9.2725024913986456</v>
      </c>
      <c r="BI103" s="99">
        <v>5463.3584679320811</v>
      </c>
      <c r="BJ103" s="99">
        <v>7.5887462821506029</v>
      </c>
      <c r="BK103" s="99">
        <v>4471.2893094431347</v>
      </c>
      <c r="BL103" s="99">
        <v>8.1340711674266739</v>
      </c>
      <c r="BM103" s="99">
        <v>4792.5947318477956</v>
      </c>
      <c r="BN103" s="99">
        <v>10.991442063780735</v>
      </c>
      <c r="BO103" s="99">
        <v>6476.1576639796085</v>
      </c>
      <c r="BP103" s="99">
        <v>9.6922859186230852</v>
      </c>
      <c r="BQ103" s="99">
        <v>5710.694863252721</v>
      </c>
      <c r="BR103" s="99">
        <v>5.2869410407630877</v>
      </c>
      <c r="BS103" s="99">
        <v>3115.0656612176108</v>
      </c>
      <c r="BT103" s="99">
        <v>9.1191194225428518</v>
      </c>
      <c r="BU103" s="99">
        <v>5372.9851637622478</v>
      </c>
      <c r="BV103" s="99">
        <v>12.605929656920477</v>
      </c>
      <c r="BW103" s="99">
        <v>7427.4137538575442</v>
      </c>
      <c r="BX103" s="99">
        <v>9.4049155437759708</v>
      </c>
      <c r="BY103" s="99">
        <v>5541.3762383928015</v>
      </c>
      <c r="BZ103" s="99">
        <v>9.4996295474519723</v>
      </c>
      <c r="CA103" s="99">
        <v>5597.181729358701</v>
      </c>
      <c r="CB103" s="99">
        <v>8.8341415845390632</v>
      </c>
      <c r="CC103" s="99">
        <v>5205.0762216104158</v>
      </c>
      <c r="CD103" s="99">
        <v>4.4913023053607564</v>
      </c>
      <c r="CE103" s="99">
        <v>2646.2753183185573</v>
      </c>
      <c r="CF103" s="99">
        <v>6.9467019670894805</v>
      </c>
      <c r="CG103" s="99">
        <v>4092.9967990091213</v>
      </c>
      <c r="CH103" s="99">
        <v>8.0538989697415762</v>
      </c>
      <c r="CI103" s="99">
        <v>4745.3572729717362</v>
      </c>
      <c r="CJ103" s="99">
        <v>11.724329604403598</v>
      </c>
      <c r="CK103" s="99">
        <v>6907.9750029145989</v>
      </c>
      <c r="CL103" s="99">
        <v>5.0226362898684602</v>
      </c>
      <c r="CM103" s="99">
        <v>2959.3373019904966</v>
      </c>
      <c r="CN103" s="99">
        <v>8.17722439418473</v>
      </c>
      <c r="CO103" s="99">
        <v>4818.0206130536426</v>
      </c>
      <c r="CP103" s="99">
        <v>7.3063493897895437</v>
      </c>
      <c r="CQ103" s="99">
        <v>4304.9010604639989</v>
      </c>
      <c r="CR103" s="99">
        <v>11.556000279481221</v>
      </c>
      <c r="CS103" s="99">
        <v>6808.7953646703345</v>
      </c>
      <c r="CT103" s="99">
        <v>7.803042092004743</v>
      </c>
      <c r="CU103" s="99">
        <v>4597.5524006091937</v>
      </c>
    </row>
    <row r="104" spans="2:99">
      <c r="C104" s="98" t="s">
        <v>270</v>
      </c>
      <c r="D104" s="99">
        <v>5.3954202491495655</v>
      </c>
      <c r="E104" s="99">
        <v>3412.0637655621849</v>
      </c>
      <c r="F104" s="99">
        <v>8</v>
      </c>
      <c r="G104" s="99">
        <v>5059.2</v>
      </c>
      <c r="H104" s="99">
        <v>11</v>
      </c>
      <c r="I104" s="99">
        <v>6956.4</v>
      </c>
      <c r="J104" s="99">
        <v>8</v>
      </c>
      <c r="K104" s="99">
        <v>5059.2</v>
      </c>
      <c r="L104" s="99">
        <v>9</v>
      </c>
      <c r="M104" s="99">
        <v>5691.5999999999995</v>
      </c>
      <c r="N104" s="99">
        <v>9.3836704020735464</v>
      </c>
      <c r="O104" s="99">
        <v>5934.2331622713109</v>
      </c>
      <c r="P104" s="99">
        <v>0.71282939160591585</v>
      </c>
      <c r="Q104" s="99">
        <v>450.79330725158115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10</v>
      </c>
      <c r="Y104" s="99">
        <v>6324</v>
      </c>
      <c r="Z104" s="99">
        <v>10.223623595992263</v>
      </c>
      <c r="AA104" s="99">
        <v>6465.4195621055069</v>
      </c>
      <c r="AB104" s="99">
        <v>7.6689951243336756</v>
      </c>
      <c r="AC104" s="99">
        <v>4849.8725166286158</v>
      </c>
      <c r="AD104" s="99">
        <v>5.4888508766142392</v>
      </c>
      <c r="AE104" s="99">
        <v>3471.1492943708449</v>
      </c>
      <c r="AF104" s="99">
        <v>11.130994892832616</v>
      </c>
      <c r="AG104" s="99">
        <v>7039.2411702273466</v>
      </c>
      <c r="AH104" s="99">
        <v>6.9307843164199143</v>
      </c>
      <c r="AI104" s="99">
        <v>4383.028001703954</v>
      </c>
      <c r="AJ104" s="99">
        <v>12.706176761767605</v>
      </c>
      <c r="AK104" s="99">
        <v>8035.3861841418329</v>
      </c>
      <c r="AL104" s="99">
        <v>8.6412616652172751</v>
      </c>
      <c r="AM104" s="99">
        <v>5464.7338770834049</v>
      </c>
      <c r="AN104" s="99">
        <v>7.6911707861440144</v>
      </c>
      <c r="AO104" s="99">
        <v>4863.8964051574749</v>
      </c>
      <c r="AP104" s="99">
        <v>4.1596963512840803</v>
      </c>
      <c r="AQ104" s="99">
        <v>2630.5919725520521</v>
      </c>
      <c r="AR104" s="99">
        <v>12.094314035102524</v>
      </c>
      <c r="AS104" s="99">
        <v>7648.4441957988356</v>
      </c>
      <c r="AT104" s="99">
        <v>7</v>
      </c>
      <c r="AU104" s="99">
        <v>4426.8</v>
      </c>
      <c r="AV104" s="99">
        <v>8.6657850982585689</v>
      </c>
      <c r="AW104" s="99">
        <v>5480.2424961387187</v>
      </c>
      <c r="AX104" s="99">
        <v>7.7899373206321334</v>
      </c>
      <c r="AY104" s="99">
        <v>4926.3563615677613</v>
      </c>
      <c r="AZ104" s="99">
        <v>11.392096198845881</v>
      </c>
      <c r="BA104" s="99">
        <v>7204.3616361501345</v>
      </c>
      <c r="BB104" s="99">
        <v>8.8850930661424208</v>
      </c>
      <c r="BC104" s="99">
        <v>5618.9328550284663</v>
      </c>
      <c r="BD104" s="99">
        <v>7.805886997646696</v>
      </c>
      <c r="BE104" s="99">
        <v>4936.44293731177</v>
      </c>
      <c r="BF104" s="99">
        <v>5.0142298786554731</v>
      </c>
      <c r="BG104" s="99">
        <v>3170.9989752617212</v>
      </c>
      <c r="BH104" s="99">
        <v>9.1134396799738155</v>
      </c>
      <c r="BI104" s="99">
        <v>5763.3392536154406</v>
      </c>
      <c r="BJ104" s="99">
        <v>6.6345988838198666</v>
      </c>
      <c r="BK104" s="99">
        <v>4195.7203341276836</v>
      </c>
      <c r="BL104" s="99">
        <v>7.3477376218634722</v>
      </c>
      <c r="BM104" s="99">
        <v>4646.7092720664596</v>
      </c>
      <c r="BN104" s="99">
        <v>11.15668240774419</v>
      </c>
      <c r="BO104" s="99">
        <v>7055.4859546574262</v>
      </c>
      <c r="BP104" s="99">
        <v>8.6922859186230852</v>
      </c>
      <c r="BQ104" s="99">
        <v>5497.0016149372386</v>
      </c>
      <c r="BR104" s="99">
        <v>4.2394142699346693</v>
      </c>
      <c r="BS104" s="99">
        <v>2681.0055843066848</v>
      </c>
      <c r="BT104" s="99">
        <v>8.2789936257632597</v>
      </c>
      <c r="BU104" s="99">
        <v>5235.6355689326856</v>
      </c>
      <c r="BV104" s="99">
        <v>12.006642387856903</v>
      </c>
      <c r="BW104" s="99">
        <v>7593.0006460807053</v>
      </c>
      <c r="BX104" s="99">
        <v>9.4641387682720648</v>
      </c>
      <c r="BY104" s="99">
        <v>5985.1213570552536</v>
      </c>
      <c r="BZ104" s="99">
        <v>8.6670007239536879</v>
      </c>
      <c r="CA104" s="99">
        <v>5481.0112578283124</v>
      </c>
      <c r="CB104" s="99">
        <v>9.6304174340830624</v>
      </c>
      <c r="CC104" s="99">
        <v>6090.2759853141288</v>
      </c>
      <c r="CD104" s="99">
        <v>4.8428313758627155</v>
      </c>
      <c r="CE104" s="99">
        <v>3062.606562095581</v>
      </c>
      <c r="CF104" s="99">
        <v>7.0716058389269483</v>
      </c>
      <c r="CG104" s="99">
        <v>4472.0835325374019</v>
      </c>
      <c r="CH104" s="99">
        <v>8.7782244117996733</v>
      </c>
      <c r="CI104" s="99">
        <v>5551.3491180221135</v>
      </c>
      <c r="CJ104" s="99">
        <v>10.724329604403598</v>
      </c>
      <c r="CK104" s="99">
        <v>6782.0660418248353</v>
      </c>
      <c r="CL104" s="99">
        <v>5.0226362898684602</v>
      </c>
      <c r="CM104" s="99">
        <v>3176.3151897128141</v>
      </c>
      <c r="CN104" s="99">
        <v>8.9534926028057455</v>
      </c>
      <c r="CO104" s="99">
        <v>5662.1887220143535</v>
      </c>
      <c r="CP104" s="99">
        <v>7.3063493897895437</v>
      </c>
      <c r="CQ104" s="99">
        <v>4620.5353541029071</v>
      </c>
      <c r="CR104" s="99">
        <v>11.383111359538864</v>
      </c>
      <c r="CS104" s="99">
        <v>7198.6796237723775</v>
      </c>
      <c r="CT104" s="99">
        <v>7.803042092004743</v>
      </c>
      <c r="CU104" s="99">
        <v>4934.6438189837991</v>
      </c>
    </row>
    <row r="105" spans="2:99">
      <c r="C105" s="98" t="s">
        <v>271</v>
      </c>
      <c r="D105" s="99">
        <v>6.3764057489949408</v>
      </c>
      <c r="E105" s="99">
        <v>3550.3827210403829</v>
      </c>
      <c r="F105" s="99">
        <v>9</v>
      </c>
      <c r="G105" s="99">
        <v>5011.2</v>
      </c>
      <c r="H105" s="99">
        <v>12</v>
      </c>
      <c r="I105" s="99">
        <v>6681.5999999999995</v>
      </c>
      <c r="J105" s="99">
        <v>8</v>
      </c>
      <c r="K105" s="99">
        <v>4454.3999999999996</v>
      </c>
      <c r="L105" s="99">
        <v>8</v>
      </c>
      <c r="M105" s="99">
        <v>4454.3999999999996</v>
      </c>
      <c r="N105" s="99">
        <v>9.537411557859496</v>
      </c>
      <c r="O105" s="99">
        <v>5310.4307554161669</v>
      </c>
      <c r="P105" s="99">
        <v>0.7801324969375143</v>
      </c>
      <c r="Q105" s="99">
        <v>434.37777429480792</v>
      </c>
      <c r="R105" s="99">
        <v>0</v>
      </c>
      <c r="S105" s="99">
        <v>0</v>
      </c>
      <c r="T105" s="99">
        <v>0</v>
      </c>
      <c r="U105" s="99">
        <v>0</v>
      </c>
      <c r="V105" s="99">
        <v>0</v>
      </c>
      <c r="W105" s="99">
        <v>0</v>
      </c>
      <c r="X105" s="99">
        <v>11</v>
      </c>
      <c r="Y105" s="99">
        <v>6124.7999999999993</v>
      </c>
      <c r="Z105" s="99">
        <v>10.217438092172005</v>
      </c>
      <c r="AA105" s="99">
        <v>5689.0695297213715</v>
      </c>
      <c r="AB105" s="99">
        <v>7.821951839173809</v>
      </c>
      <c r="AC105" s="99">
        <v>4355.2627840519763</v>
      </c>
      <c r="AD105" s="99">
        <v>4.2461398195422051</v>
      </c>
      <c r="AE105" s="99">
        <v>2364.2506515210998</v>
      </c>
      <c r="AF105" s="99">
        <v>10.969424193856529</v>
      </c>
      <c r="AG105" s="99">
        <v>6107.7753911393147</v>
      </c>
      <c r="AH105" s="99">
        <v>7.5299358433674559</v>
      </c>
      <c r="AI105" s="99">
        <v>4192.6682775869995</v>
      </c>
      <c r="AJ105" s="99">
        <v>13.706176761767605</v>
      </c>
      <c r="AK105" s="99">
        <v>7631.5992209522019</v>
      </c>
      <c r="AL105" s="99">
        <v>8.549652855900522</v>
      </c>
      <c r="AM105" s="99">
        <v>4760.44671016541</v>
      </c>
      <c r="AN105" s="99">
        <v>6.7189551231492528</v>
      </c>
      <c r="AO105" s="99">
        <v>3741.1142125695037</v>
      </c>
      <c r="AP105" s="99">
        <v>5.485159987563244</v>
      </c>
      <c r="AQ105" s="99">
        <v>3054.1370810752142</v>
      </c>
      <c r="AR105" s="99">
        <v>11.23110328949034</v>
      </c>
      <c r="AS105" s="99">
        <v>6253.478311588221</v>
      </c>
      <c r="AT105" s="99">
        <v>8.6658869179089333</v>
      </c>
      <c r="AU105" s="99">
        <v>4825.1658358916939</v>
      </c>
      <c r="AV105" s="99">
        <v>7.4992065884327124</v>
      </c>
      <c r="AW105" s="99">
        <v>4175.558228439334</v>
      </c>
      <c r="AX105" s="99">
        <v>7.7899373206321334</v>
      </c>
      <c r="AY105" s="99">
        <v>4337.4371001279715</v>
      </c>
      <c r="AZ105" s="99">
        <v>11.239229247580264</v>
      </c>
      <c r="BA105" s="99">
        <v>6258.0028450526906</v>
      </c>
      <c r="BB105" s="99">
        <v>8.8754792671698972</v>
      </c>
      <c r="BC105" s="99">
        <v>4941.8668559601983</v>
      </c>
      <c r="BD105" s="99">
        <v>7.805886997646696</v>
      </c>
      <c r="BE105" s="99">
        <v>4346.31788028968</v>
      </c>
      <c r="BF105" s="99">
        <v>5.0402344432230679</v>
      </c>
      <c r="BG105" s="99">
        <v>2806.4025379866039</v>
      </c>
      <c r="BH105" s="99">
        <v>8.1134396799738155</v>
      </c>
      <c r="BI105" s="99">
        <v>4517.5632138094197</v>
      </c>
      <c r="BJ105" s="99">
        <v>7.5887462821506029</v>
      </c>
      <c r="BK105" s="99">
        <v>4225.413929901455</v>
      </c>
      <c r="BL105" s="99">
        <v>7.340931807425747</v>
      </c>
      <c r="BM105" s="99">
        <v>4087.4308303746557</v>
      </c>
      <c r="BN105" s="99">
        <v>9.9914420637807346</v>
      </c>
      <c r="BO105" s="99">
        <v>5563.2349411131127</v>
      </c>
      <c r="BP105" s="99">
        <v>8.6922859186230852</v>
      </c>
      <c r="BQ105" s="99">
        <v>4839.8647994893336</v>
      </c>
      <c r="BR105" s="99">
        <v>4.2640678632451721</v>
      </c>
      <c r="BS105" s="99">
        <v>2374.2329862549118</v>
      </c>
      <c r="BT105" s="99">
        <v>9.1191194225428518</v>
      </c>
      <c r="BU105" s="99">
        <v>5077.5256944718594</v>
      </c>
      <c r="BV105" s="99">
        <v>10.994624105156699</v>
      </c>
      <c r="BW105" s="99">
        <v>6121.8067017512494</v>
      </c>
      <c r="BX105" s="99">
        <v>8.4771030443131323</v>
      </c>
      <c r="BY105" s="99">
        <v>4720.0509750735519</v>
      </c>
      <c r="BZ105" s="99">
        <v>9.3529618833933323</v>
      </c>
      <c r="CA105" s="99">
        <v>5207.729176673407</v>
      </c>
      <c r="CB105" s="99">
        <v>8.8303261562069117</v>
      </c>
      <c r="CC105" s="99">
        <v>4916.725603776008</v>
      </c>
      <c r="CD105" s="99">
        <v>4.8428313758627155</v>
      </c>
      <c r="CE105" s="99">
        <v>2696.4885100803599</v>
      </c>
      <c r="CF105" s="99">
        <v>7.0433768593784212</v>
      </c>
      <c r="CG105" s="99">
        <v>3921.7522353019044</v>
      </c>
      <c r="CH105" s="99">
        <v>8.0538989697415762</v>
      </c>
      <c r="CI105" s="99">
        <v>4484.410946352109</v>
      </c>
      <c r="CJ105" s="99">
        <v>12.896762564843957</v>
      </c>
      <c r="CK105" s="99">
        <v>7180.9173961051147</v>
      </c>
      <c r="CL105" s="99">
        <v>5.0226362898684602</v>
      </c>
      <c r="CM105" s="99">
        <v>2796.6038861987586</v>
      </c>
      <c r="CN105" s="99">
        <v>8.1729988596796002</v>
      </c>
      <c r="CO105" s="99">
        <v>4550.725765069601</v>
      </c>
      <c r="CP105" s="99">
        <v>6.611296511159602</v>
      </c>
      <c r="CQ105" s="99">
        <v>3681.1698974136661</v>
      </c>
      <c r="CR105" s="99">
        <v>11.210222439596507</v>
      </c>
      <c r="CS105" s="99">
        <v>6241.8518543673345</v>
      </c>
      <c r="CT105" s="99">
        <v>7.9177623908625634</v>
      </c>
      <c r="CU105" s="99">
        <v>4408.6100992322754</v>
      </c>
    </row>
    <row r="107" spans="2:99">
      <c r="B107" s="103" t="s">
        <v>276</v>
      </c>
    </row>
    <row r="108" spans="2:99">
      <c r="C108" s="98" t="s">
        <v>277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397.51395940729446</v>
      </c>
      <c r="E109" s="99">
        <f>SUM(L$6:L$19)+SUM(N$6:N$19)+SUM(P$6:P$19)+SUM(R$6:R$19)</f>
        <v>347.02569754631759</v>
      </c>
      <c r="F109" s="99">
        <f>SUM(T$6:T$19)+SUM(V$6:V$19)+SUM(X$6:X$19)+SUM(Z$6:Z$19)</f>
        <v>395.38838639314116</v>
      </c>
      <c r="G109" s="99">
        <f>SUM(AB$6:AB$19)+SUM(AD$6:AD$19)+SUM(AF$6:AF$19)+SUM(AH$6:AH$19)</f>
        <v>337.618774057373</v>
      </c>
      <c r="H109" s="99">
        <f>SUM(AJ$6:AJ$19)+SUM(AL$6:AL$19)+SUM(AN$6:AN$19)+SUM(AP$6:AP$19)</f>
        <v>375.610345539484</v>
      </c>
      <c r="I109" s="99">
        <f>SUM(AR$6:AR$19)+SUM(AT$6:AT$19)+SUM(AV$6:AV$19)+SUM(AX$6:AX$19)</f>
        <v>386.26130907015931</v>
      </c>
      <c r="J109" s="99">
        <f>SUM(AZ$6:AZ$19)+SUM(BB$6:BB$19)+SUM(BD$6:BD$19)+SUM(BF$6:BF$19)</f>
        <v>355.07980018754699</v>
      </c>
      <c r="K109" s="99">
        <f>SUM(BH$6:BH$19)+SUM(BJ$6:BJ$19)+SUM(BL$6:BL$19)+SUM(BN$6:BN$19)</f>
        <v>431.48479176306813</v>
      </c>
      <c r="L109" s="99">
        <f>SUM(BP$6:BP$19)+SUM(BR$6:BR$19)+SUM(BT$6:BT$19)+SUM(BV$6:BV$19)</f>
        <v>405.74746192672325</v>
      </c>
      <c r="M109" s="99">
        <f>SUM(BX$6:BX$19)+SUM(BZ$6:BZ$19)+SUM(CB$6:CB$19)+SUM(CD$6:CD$19)</f>
        <v>504.54185679455384</v>
      </c>
      <c r="N109" s="99">
        <f>SUM(CF$6:CF$19)+SUM(CH$6:CH$19)+SUM(CJ$6:CJ$19)+SUM(CL$6:CL$19)</f>
        <v>396.13652769951318</v>
      </c>
      <c r="O109" s="99">
        <f>SUM(CN$6:CN$19)+SUM(CP$6:CP$19)+SUM(CR$6:CR$19)+SUM(CT$6:CT$19)</f>
        <v>431.34423458430746</v>
      </c>
    </row>
    <row r="110" spans="2:99">
      <c r="C110" s="98" t="s">
        <v>127</v>
      </c>
      <c r="D110" s="99">
        <f>SUM(D$20:D$36)+SUM(F$20:F$36)+SUM(H$20:H$36)+SUM(J$20:J$36)</f>
        <v>538.01048435575694</v>
      </c>
      <c r="E110" s="99">
        <f>SUM(L$20:L$36)+SUM(N$20:N$36)+SUM(P$20:P$36)+SUM(R$20:R$36)</f>
        <v>433.94830450671304</v>
      </c>
      <c r="F110" s="99">
        <f>SUM(T$20:T$36)+SUM(V$20:V$36)+SUM(X$20:X$36)+SUM(Z$20:Z$36)</f>
        <v>611.87514136892923</v>
      </c>
      <c r="G110" s="99">
        <f>SUM(AB$20:AB$36)+SUM(AD$20:AD$36)+SUM(AF$20:AF$36)+SUM(AH$20:AH$36)</f>
        <v>458.66126384023448</v>
      </c>
      <c r="H110" s="99">
        <f>SUM(AJ$20:AJ$36)+SUM(AL$20:AL$36)+SUM(AN$20:AN$36)+SUM(AP$20:AP$36)</f>
        <v>577.51227753265584</v>
      </c>
      <c r="I110" s="99">
        <f>SUM(AR$20:AR$36)+SUM(AT$20:AT$36)+SUM(AV$20:AV$36)+SUM(AX$20:AX$36)</f>
        <v>509.06448168360043</v>
      </c>
      <c r="J110" s="99">
        <f>SUM(AZ$20:AZ$36)+SUM(BB$20:BB$36)+SUM(BD$20:BD$36)+SUM(BF$20:BF$36)</f>
        <v>540.80850882569132</v>
      </c>
      <c r="K110" s="99">
        <f>SUM(BH$20:BH$36)+SUM(BJ$20:BJ$36)+SUM(BL$20:BL$36)+SUM(BN$20:BN$36)</f>
        <v>557.98261174477398</v>
      </c>
      <c r="L110" s="99">
        <f>SUM(BP$20:BP$36)+SUM(BR$20:BR$36)+SUM(BT$20:BT$36)+SUM(BV$20:BV$36)</f>
        <v>473.04471335151646</v>
      </c>
      <c r="M110" s="99">
        <f>SUM(BX$20:BX$36)+SUM(BZ$20:BZ$36)+SUM(CB$20:CB$36)+SUM(CD$20:CD$36)</f>
        <v>644.82347970004253</v>
      </c>
      <c r="N110" s="99">
        <f>SUM(CF$20:CF$36)+SUM(CH$20:CH$36)+SUM(CJ$20:CJ$36)+SUM(CL$20:CL$36)</f>
        <v>505.33121523760514</v>
      </c>
      <c r="O110" s="99">
        <f>SUM(CN$20:CN$36)+SUM(CP$20:CP$36)+SUM(CR$20:CR$36)+SUM(CT$20:CT$36)</f>
        <v>669.9627811568397</v>
      </c>
    </row>
    <row r="111" spans="2:99">
      <c r="C111" s="98" t="s">
        <v>128</v>
      </c>
      <c r="D111" s="99">
        <f>SUM(D$37:D$48)+SUM(F$37:F$48)+SUM(H$37:H$48)+SUM(J$37:J$48)</f>
        <v>567.48128283570009</v>
      </c>
      <c r="E111" s="99">
        <f>SUM(L$37:L$48)+SUM(N$37:N$48)+SUM(P$37:P$48)+SUM(R$37:R$48)</f>
        <v>616.55310615176518</v>
      </c>
      <c r="F111" s="99">
        <f>SUM(T$37:T$48)+SUM(V$37:V$48)+SUM(X$37:X$48)+SUM(Z$37:Z$48)</f>
        <v>690.57123246826188</v>
      </c>
      <c r="G111" s="99">
        <f>SUM(AB$37:AB$48)+SUM(AD$37:AD$48)+SUM(AF$37:AF$48)+SUM(AH$37:AH$48)</f>
        <v>568.56111924253923</v>
      </c>
      <c r="H111" s="99">
        <f>SUM(AJ$37:AJ$48)+SUM(AL$37:AL$48)+SUM(AN$37:AN$48)+SUM(AP$37:AP$48)</f>
        <v>670.90524201527228</v>
      </c>
      <c r="I111" s="99">
        <f>SUM(AR$37:AR$48)+SUM(AT$37:AT$48)+SUM(AV$37:AV$48)+SUM(AX$37:AX$48)</f>
        <v>619.0274274319429</v>
      </c>
      <c r="J111" s="99">
        <f>SUM(AZ$37:AZ$48)+SUM(BB$37:BB$48)+SUM(BD$37:BD$48)+SUM(BF$37:BF$48)</f>
        <v>595.28487314456993</v>
      </c>
      <c r="K111" s="99">
        <f>SUM(BH$37:BH$48)+SUM(BJ$37:BJ$48)+SUM(BL$37:BL$48)+SUM(BN$37:BN$48)</f>
        <v>601.58409941628884</v>
      </c>
      <c r="L111" s="99">
        <f>SUM(BP$37:BP$48)+SUM(BR$37:BR$48)+SUM(BT$37:BT$48)+SUM(BV$37:BV$48)</f>
        <v>573.10685361348214</v>
      </c>
      <c r="M111" s="99">
        <f>SUM(BX$37:BX$48)+SUM(BZ$37:BZ$48)+SUM(CB$37:CB$48)+SUM(CD$37:CD$48)</f>
        <v>671.073206506411</v>
      </c>
      <c r="N111" s="99">
        <f>SUM(CF$37:CF$48)+SUM(CH$37:CH$48)+SUM(CJ$37:CJ$48)+SUM(CL$37:CL$48)</f>
        <v>502.29353842184457</v>
      </c>
      <c r="O111" s="99">
        <f>SUM(CN$37:CN$48)+SUM(CP$37:CP$48)+SUM(CR$37:CR$48)+SUM(CT$37:CT$48)</f>
        <v>672.74212286569718</v>
      </c>
    </row>
    <row r="112" spans="2:99">
      <c r="C112" s="98" t="s">
        <v>129</v>
      </c>
      <c r="D112" s="99">
        <f>SUM(D$49:D$70)+SUM(F$49:F$70)+SUM(H$49:H$70)+SUM(J$49:J$70)</f>
        <v>620.55736309289705</v>
      </c>
      <c r="E112" s="99">
        <f>SUM(L$49:L$70)+SUM(N$49:N$70)+SUM(P$49:P$70)+SUM(R$49:R$70)</f>
        <v>769.27811541872188</v>
      </c>
      <c r="F112" s="99">
        <f>SUM(T$49:T$70)+SUM(V$49:V$70)+SUM(X$49:X$70)+SUM(Z$49:Z$70)</f>
        <v>566.83380455314443</v>
      </c>
      <c r="G112" s="99">
        <f>SUM(AB$49:AB$70)+SUM(AD$49:AD$70)+SUM(AF$49:AF$70)+SUM(AH$49:AH$70)</f>
        <v>564.60558947566369</v>
      </c>
      <c r="H112" s="99">
        <f>SUM(AJ$49:AJ$70)+SUM(AL$49:AL$70)+SUM(AN$49:AN$70)+SUM(AP$49:AP$70)</f>
        <v>756.70453336597632</v>
      </c>
      <c r="I112" s="99">
        <f>SUM(AR$49:AR$70)+SUM(AT$49:AT$70)+SUM(AV$49:AV$70)+SUM(AX$49:AX$70)</f>
        <v>552.10624419850365</v>
      </c>
      <c r="J112" s="99">
        <f>SUM(AZ$49:AZ$70)+SUM(BB$49:BB$70)+SUM(BD$49:BD$70)+SUM(BF$49:BF$70)</f>
        <v>501.29045467390239</v>
      </c>
      <c r="K112" s="99">
        <f>SUM(BH$49:BH$70)+SUM(BJ$49:BJ$70)+SUM(BL$49:BL$70)+SUM(BN$49:BN$70)</f>
        <v>760.6753910897346</v>
      </c>
      <c r="L112" s="99">
        <f>SUM(BP$49:BP$70)+SUM(BR$49:BR$70)+SUM(BT$49:BT$70)+SUM(BV$49:BV$70)</f>
        <v>710.51837721418974</v>
      </c>
      <c r="M112" s="99">
        <f>SUM(BX$49:BX$70)+SUM(BZ$49:BZ$70)+SUM(CB$49:CB$70)+SUM(CD$49:CD$70)</f>
        <v>678.2358411513701</v>
      </c>
      <c r="N112" s="99">
        <f>SUM(CF$49:CF$70)+SUM(CH$49:CH$70)+SUM(CJ$49:CJ$70)+SUM(CL$49:CL$70)</f>
        <v>613.9624542246404</v>
      </c>
      <c r="O112" s="99">
        <f>SUM(CN$49:CN$70)+SUM(CP$49:CP$70)+SUM(CR$49:CR$70)+SUM(CT$49:CT$70)</f>
        <v>715.95967702983262</v>
      </c>
    </row>
    <row r="113" spans="2:15">
      <c r="C113" s="98" t="s">
        <v>130</v>
      </c>
      <c r="D113" s="99">
        <f>SUM(D$71:D$86)+SUM(F$71:F$86)+SUM(H$71:H$86)+SUM(J$71:J$86)</f>
        <v>484</v>
      </c>
      <c r="E113" s="99">
        <f>SUM(L$71:L$86)+SUM(N$71:N$86)+SUM(P$71:P$86)+SUM(R$71:R$86)</f>
        <v>519</v>
      </c>
      <c r="F113" s="99">
        <f>SUM(T$71:T$86)+SUM(V$71:V$86)+SUM(X$71:X$86)+SUM(Z$71:Z$86)</f>
        <v>312.15943267935177</v>
      </c>
      <c r="G113" s="99">
        <f>SUM(AB$71:AB$86)+SUM(AD$71:AD$86)+SUM(AF$71:AF$86)+SUM(AH$71:AH$86)</f>
        <v>405.71797128834282</v>
      </c>
      <c r="H113" s="99">
        <f>SUM(AJ$71:AJ$86)+SUM(AL$71:AL$86)+SUM(AN$71:AN$86)+SUM(AP$71:AP$86)</f>
        <v>398.8093424746836</v>
      </c>
      <c r="I113" s="99">
        <f>SUM(AR$71:AR$86)+SUM(AT$71:AT$86)+SUM(AV$71:AV$86)+SUM(AX$71:AX$86)</f>
        <v>519.18524163145594</v>
      </c>
      <c r="J113" s="99">
        <f>SUM(AZ$71:AZ$86)+SUM(BB$71:BB$86)+SUM(BD$71:BD$86)+SUM(BF$71:BF$86)</f>
        <v>261.68873480688984</v>
      </c>
      <c r="K113" s="99">
        <f>SUM(BH$71:BH$86)+SUM(BJ$71:BJ$86)+SUM(BL$71:BL$86)+SUM(BN$71:BN$86)</f>
        <v>460</v>
      </c>
      <c r="L113" s="99">
        <f>SUM(BP$71:BP$86)+SUM(BR$71:BR$86)+SUM(BT$71:BT$86)+SUM(BV$71:BV$86)</f>
        <v>477</v>
      </c>
      <c r="M113" s="99">
        <f>SUM(BX$71:BX$86)+SUM(BZ$71:BZ$86)+SUM(CB$71:CB$86)+SUM(CD$71:CD$86)</f>
        <v>264.42919085837946</v>
      </c>
      <c r="N113" s="99">
        <f>SUM(CF$71:CF$86)+SUM(CH$71:CH$86)+SUM(CJ$71:CJ$86)+SUM(CL$71:CL$86)</f>
        <v>452</v>
      </c>
      <c r="O113" s="99">
        <f>SUM(CN$71:CN$86)+SUM(CP$71:CP$86)+SUM(CR$71:CR$86)+SUM(CT$71:CT$86)</f>
        <v>438.83931769346339</v>
      </c>
    </row>
    <row r="114" spans="2:15">
      <c r="C114" s="98" t="s">
        <v>131</v>
      </c>
      <c r="D114" s="99">
        <f>SUM(D$87:D$94)+SUM(F$87:F$94)+SUM(H$87:H$94)+SUM(J$87:J$94)</f>
        <v>150.1102027468302</v>
      </c>
      <c r="E114" s="99">
        <f>SUM(L$87:L$94)+SUM(N$87:N$94)+SUM(P$87:P$94)+SUM(R$87:R$94)</f>
        <v>99.089239607879492</v>
      </c>
      <c r="F114" s="99">
        <f>SUM(T$87:T$94)+SUM(V$87:V$94)+SUM(X$87:X$94)+SUM(Z$87:Z$94)</f>
        <v>71.622945222596044</v>
      </c>
      <c r="G114" s="99">
        <f>SUM(AB$87:AB$94)+SUM(AD$87:AD$94)+SUM(AF$87:AF$94)+SUM(AH$87:AH$94)</f>
        <v>174.68004454531081</v>
      </c>
      <c r="H114" s="99">
        <f>SUM(AJ$87:AJ$94)+SUM(AL$87:AL$94)+SUM(AN$87:AN$94)+SUM(AP$87:AP$94)</f>
        <v>208.31331468030248</v>
      </c>
      <c r="I114" s="99">
        <f>SUM(AR$87:AR$94)+SUM(AT$87:AT$94)+SUM(AV$87:AV$94)+SUM(AX$87:AX$94)</f>
        <v>217.53272459630691</v>
      </c>
      <c r="J114" s="99">
        <f>SUM(AZ$87:AZ$94)+SUM(BB$87:BB$94)+SUM(BD$87:BD$94)+SUM(BF$87:BF$94)</f>
        <v>173.13720277184939</v>
      </c>
      <c r="K114" s="99">
        <f>SUM(BH$87:BH$94)+SUM(BJ$87:BJ$94)+SUM(BL$87:BL$94)+SUM(BN$87:BN$94)</f>
        <v>194.30320669848351</v>
      </c>
      <c r="L114" s="99">
        <f>SUM(BP$87:BP$94)+SUM(BR$87:BR$94)+SUM(BT$87:BT$94)+SUM(BV$87:BV$94)</f>
        <v>216.03136110472047</v>
      </c>
      <c r="M114" s="99">
        <f>SUM(BX$87:BX$94)+SUM(BZ$87:BZ$94)+SUM(CB$87:CB$94)+SUM(CD$87:CD$94)</f>
        <v>149.99284977102701</v>
      </c>
      <c r="N114" s="99">
        <f>SUM(CF$87:CF$94)+SUM(CH$87:CH$94)+SUM(CJ$87:CJ$94)+SUM(CL$87:CL$94)</f>
        <v>236.32996104547041</v>
      </c>
      <c r="O114" s="99">
        <f>SUM(CN$87:CN$94)+SUM(CP$87:CP$94)+SUM(CR$87:CR$94)+SUM(CT$87:CT$94)</f>
        <v>233.00822209443356</v>
      </c>
    </row>
    <row r="115" spans="2:15">
      <c r="C115" s="98" t="s">
        <v>132</v>
      </c>
      <c r="D115" s="99">
        <f>SUM(D$95:D$105)+SUM(F$95:F$105)+SUM(H$95:H$105)+SUM(J$95:J$105)</f>
        <v>362.80208649025866</v>
      </c>
      <c r="E115" s="99">
        <f>SUM(L$95:L$105)+SUM(N$95:N$105)+SUM(P$95:P$105)+SUM(R$95:R$105)</f>
        <v>199.30455234912384</v>
      </c>
      <c r="F115" s="99">
        <f>SUM(T$95:T$105)+SUM(V$95:V$105)+SUM(X$95:X$105)+SUM(Z$95:Z$105)</f>
        <v>212.80717898958392</v>
      </c>
      <c r="G115" s="99">
        <f>SUM(AB$95:AB$105)+SUM(AD$95:AD$105)+SUM(AF$95:AF$105)+SUM(AH$95:AH$105)</f>
        <v>326.02631581160438</v>
      </c>
      <c r="H115" s="99">
        <f>SUM(AJ$95:AJ$105)+SUM(AL$95:AL$105)+SUM(AN$95:AN$105)+SUM(AP$95:AP$105)</f>
        <v>364.91202522480614</v>
      </c>
      <c r="I115" s="99">
        <f>SUM(AR$95:AR$105)+SUM(AT$95:AT$105)+SUM(AV$95:AV$105)+SUM(AX$95:AX$105)</f>
        <v>391.31007443774166</v>
      </c>
      <c r="J115" s="99">
        <f>SUM(AZ$95:AZ$105)+SUM(BB$95:BB$105)+SUM(BD$95:BD$105)+SUM(BF$95:BF$105)</f>
        <v>352.24158008770252</v>
      </c>
      <c r="K115" s="99">
        <f>SUM(BH$95:BH$105)+SUM(BJ$95:BJ$105)+SUM(BL$95:BL$105)+SUM(BN$95:BN$105)</f>
        <v>377.17924428700837</v>
      </c>
      <c r="L115" s="99">
        <f>SUM(BP$95:BP$105)+SUM(BR$95:BR$105)+SUM(BT$95:BT$105)+SUM(BV$95:BV$105)</f>
        <v>367.21711970655093</v>
      </c>
      <c r="M115" s="99">
        <f>SUM(BX$95:BX$105)+SUM(BZ$95:BZ$105)+SUM(CB$95:CB$105)+SUM(CD$95:CD$105)</f>
        <v>358.70450770664019</v>
      </c>
      <c r="N115" s="99">
        <f>SUM(CF$95:CF$105)+SUM(CH$95:CH$105)+SUM(CJ$95:CJ$105)+SUM(CL$95:CL$105)</f>
        <v>337.08357281620926</v>
      </c>
      <c r="O115" s="99">
        <f>SUM(CN$95:CN$105)+SUM(CP$95:CP$105)+SUM(CR$95:CR$105)+SUM(CT$95:CT$105)</f>
        <v>380.44484688145576</v>
      </c>
    </row>
    <row r="116" spans="2:15">
      <c r="C116" s="98" t="s">
        <v>278</v>
      </c>
      <c r="D116" s="99">
        <f t="shared" ref="D116:O116" si="0">SUM(D$109:D$115)</f>
        <v>3120.4753789287374</v>
      </c>
      <c r="E116" s="99">
        <f t="shared" si="0"/>
        <v>2984.1990155805206</v>
      </c>
      <c r="F116" s="99">
        <f t="shared" si="0"/>
        <v>2861.2581216750086</v>
      </c>
      <c r="G116" s="99">
        <f t="shared" si="0"/>
        <v>2835.8710782610683</v>
      </c>
      <c r="H116" s="99">
        <f t="shared" si="0"/>
        <v>3352.7670808331804</v>
      </c>
      <c r="I116" s="99">
        <f t="shared" si="0"/>
        <v>3194.4875030497105</v>
      </c>
      <c r="J116" s="99">
        <f t="shared" si="0"/>
        <v>2779.5311544981523</v>
      </c>
      <c r="K116" s="99">
        <f t="shared" si="0"/>
        <v>3383.2093449993572</v>
      </c>
      <c r="L116" s="99">
        <f t="shared" si="0"/>
        <v>3222.6658869171829</v>
      </c>
      <c r="M116" s="99">
        <f t="shared" si="0"/>
        <v>3271.8009324884242</v>
      </c>
      <c r="N116" s="99">
        <f t="shared" si="0"/>
        <v>3043.137269445283</v>
      </c>
      <c r="O116" s="99">
        <f t="shared" si="0"/>
        <v>3542.3012023060296</v>
      </c>
    </row>
    <row r="118" spans="2:15">
      <c r="B118" s="102" t="s">
        <v>279</v>
      </c>
    </row>
    <row r="119" spans="2:15">
      <c r="C119" s="98" t="s">
        <v>277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D109*pricing!D33*2000</f>
        <v>2146575.3807993899</v>
      </c>
      <c r="E120" s="99">
        <f>E109*pricing!E33*2000</f>
        <v>1873938.766750115</v>
      </c>
      <c r="F120" s="99">
        <f>F109*pricing!F33*2000</f>
        <v>2135097.2865229622</v>
      </c>
      <c r="G120" s="99">
        <f>G109*pricing!G33*2000</f>
        <v>1823141.3799098143</v>
      </c>
      <c r="H120" s="99">
        <f>H109*pricing!H33*2000</f>
        <v>2028295.8659132137</v>
      </c>
      <c r="I120" s="99">
        <f>I109*pricing!I33*2000</f>
        <v>2085811.0689788605</v>
      </c>
      <c r="J120" s="99">
        <f>J109*pricing!J33*2000</f>
        <v>1917430.9210127541</v>
      </c>
      <c r="K120" s="99">
        <f>K109*pricing!K33*2000</f>
        <v>2330017.8755205679</v>
      </c>
      <c r="L120" s="99">
        <f>L109*pricing!L33*2000</f>
        <v>2191036.294404306</v>
      </c>
      <c r="M120" s="99">
        <f>M109*pricing!M33*2000</f>
        <v>2724526.0266905907</v>
      </c>
      <c r="N120" s="99">
        <f>N109*pricing!N33*2000</f>
        <v>2139137.2495773714</v>
      </c>
      <c r="O120" s="99">
        <f>O109*pricing!O33*2000</f>
        <v>2329258.8667552606</v>
      </c>
    </row>
    <row r="121" spans="2:15">
      <c r="C121" s="98" t="s">
        <v>127</v>
      </c>
      <c r="D121" s="99">
        <f>D110*pricing!D34*2000</f>
        <v>2582450.3249076335</v>
      </c>
      <c r="E121" s="99">
        <f>E110*pricing!E34*2000</f>
        <v>2082951.8616322225</v>
      </c>
      <c r="F121" s="99">
        <f>F110*pricing!F34*2000</f>
        <v>2937000.6785708601</v>
      </c>
      <c r="G121" s="99">
        <f>G110*pricing!G34*2000</f>
        <v>2201574.0664331256</v>
      </c>
      <c r="H121" s="99">
        <f>H110*pricing!H34*2000</f>
        <v>2772058.9321567481</v>
      </c>
      <c r="I121" s="99">
        <f>I110*pricing!I34*2000</f>
        <v>2443509.5120812822</v>
      </c>
      <c r="J121" s="99">
        <f>J110*pricing!J34*2000</f>
        <v>2595880.842363318</v>
      </c>
      <c r="K121" s="99">
        <f>K110*pricing!K34*2000</f>
        <v>2678316.5363749149</v>
      </c>
      <c r="L121" s="99">
        <f>L110*pricing!L34*2000</f>
        <v>2270614.6240872792</v>
      </c>
      <c r="M121" s="99">
        <f>M110*pricing!M34*2000</f>
        <v>3095152.7025602041</v>
      </c>
      <c r="N121" s="99">
        <f>N110*pricing!N34*2000</f>
        <v>2425589.8331405045</v>
      </c>
      <c r="O121" s="99">
        <f>O110*pricing!O34*2000</f>
        <v>3215821.3495528302</v>
      </c>
    </row>
    <row r="122" spans="2:15">
      <c r="C122" s="98" t="s">
        <v>128</v>
      </c>
      <c r="D122" s="99">
        <f>D111*pricing!D35*2000</f>
        <v>2610413.9010442202</v>
      </c>
      <c r="E122" s="99">
        <f>E111*pricing!E35*2000</f>
        <v>2836144.2882981198</v>
      </c>
      <c r="F122" s="99">
        <f>F111*pricing!F35*2000</f>
        <v>3176627.6693540043</v>
      </c>
      <c r="G122" s="99">
        <f>G111*pricing!G35*2000</f>
        <v>2615381.1485156803</v>
      </c>
      <c r="H122" s="99">
        <f>H111*pricing!H35*2000</f>
        <v>3086164.113270252</v>
      </c>
      <c r="I122" s="99">
        <f>I111*pricing!I35*2000</f>
        <v>2847526.1661869371</v>
      </c>
      <c r="J122" s="99">
        <f>J111*pricing!J35*2000</f>
        <v>2738310.4164650212</v>
      </c>
      <c r="K122" s="99">
        <f>K111*pricing!K35*2000</f>
        <v>2767286.8573149284</v>
      </c>
      <c r="L122" s="99">
        <f>L111*pricing!L35*2000</f>
        <v>2636291.5266220174</v>
      </c>
      <c r="M122" s="99">
        <f>M111*pricing!M35*2000</f>
        <v>3086936.7499294905</v>
      </c>
      <c r="N122" s="99">
        <f>N111*pricing!N35*2000</f>
        <v>2310550.2767404849</v>
      </c>
      <c r="O122" s="99">
        <f>O111*pricing!O35*2000</f>
        <v>3094613.7651822069</v>
      </c>
    </row>
    <row r="123" spans="2:15">
      <c r="C123" s="98" t="s">
        <v>129</v>
      </c>
      <c r="D123" s="99">
        <f>D112*pricing!D36*2000</f>
        <v>3102786.8154644854</v>
      </c>
      <c r="E123" s="99">
        <f>E112*pricing!E36*2000</f>
        <v>3846390.5770936096</v>
      </c>
      <c r="F123" s="99">
        <f>F112*pricing!F36*2000</f>
        <v>2834169.0227657221</v>
      </c>
      <c r="G123" s="99">
        <f>G112*pricing!G36*2000</f>
        <v>2823027.9473783183</v>
      </c>
      <c r="H123" s="99">
        <f>H112*pricing!H36*2000</f>
        <v>3783522.6668298813</v>
      </c>
      <c r="I123" s="99">
        <f>I112*pricing!I36*2000</f>
        <v>2760531.2209925181</v>
      </c>
      <c r="J123" s="99">
        <f>J112*pricing!J36*2000</f>
        <v>2506452.2733695121</v>
      </c>
      <c r="K123" s="99">
        <f>K112*pricing!K36*2000</f>
        <v>3803376.9554486731</v>
      </c>
      <c r="L123" s="99">
        <f>L112*pricing!L36*2000</f>
        <v>3552591.886070949</v>
      </c>
      <c r="M123" s="99">
        <f>M112*pricing!M36*2000</f>
        <v>3391179.2057568505</v>
      </c>
      <c r="N123" s="99">
        <f>N112*pricing!N36*2000</f>
        <v>3069812.2711232016</v>
      </c>
      <c r="O123" s="99">
        <f>O112*pricing!O36*2000</f>
        <v>3579798.3851491632</v>
      </c>
    </row>
    <row r="124" spans="2:15">
      <c r="C124" s="98" t="s">
        <v>130</v>
      </c>
      <c r="D124" s="99">
        <f>D113*pricing!D37*2000</f>
        <v>2516800</v>
      </c>
      <c r="E124" s="99">
        <f>E113*pricing!E37*2000</f>
        <v>2698800</v>
      </c>
      <c r="F124" s="99">
        <f>F113*pricing!F37*2000</f>
        <v>1623229.0499326293</v>
      </c>
      <c r="G124" s="99">
        <f>G113*pricing!G37*2000</f>
        <v>2109733.4506993829</v>
      </c>
      <c r="H124" s="99">
        <f>H113*pricing!H37*2000</f>
        <v>2073808.580868355</v>
      </c>
      <c r="I124" s="99">
        <f>I113*pricing!I37*2000</f>
        <v>2699763.2564835707</v>
      </c>
      <c r="J124" s="99">
        <f>J113*pricing!J37*2000</f>
        <v>1360781.4209958271</v>
      </c>
      <c r="K124" s="99">
        <f>K113*pricing!K37*2000</f>
        <v>2392000</v>
      </c>
      <c r="L124" s="99">
        <f>L113*pricing!L37*2000</f>
        <v>2480400</v>
      </c>
      <c r="M124" s="99">
        <f>M113*pricing!M37*2000</f>
        <v>1375031.7924635734</v>
      </c>
      <c r="N124" s="99">
        <f>N113*pricing!N37*2000</f>
        <v>2350400</v>
      </c>
      <c r="O124" s="99">
        <f>O113*pricing!O37*2000</f>
        <v>2281964.4520060099</v>
      </c>
    </row>
    <row r="125" spans="2:15">
      <c r="C125" s="98" t="s">
        <v>131</v>
      </c>
      <c r="D125" s="99">
        <f>D114*pricing!D38*2000</f>
        <v>840617.13538224914</v>
      </c>
      <c r="E125" s="99">
        <f>E114*pricing!E38*2000</f>
        <v>554899.74180412514</v>
      </c>
      <c r="F125" s="99">
        <f>F114*pricing!F38*2000</f>
        <v>401088.49324653787</v>
      </c>
      <c r="G125" s="99">
        <f>G114*pricing!G38*2000</f>
        <v>978208.24945374043</v>
      </c>
      <c r="H125" s="99">
        <f>H114*pricing!H38*2000</f>
        <v>1166554.5622096937</v>
      </c>
      <c r="I125" s="99">
        <f>I114*pricing!I38*2000</f>
        <v>1218183.2577393185</v>
      </c>
      <c r="J125" s="99">
        <f>J114*pricing!J38*2000</f>
        <v>969568.33552235656</v>
      </c>
      <c r="K125" s="99">
        <f>K114*pricing!K38*2000</f>
        <v>1088097.9575115074</v>
      </c>
      <c r="L125" s="99">
        <f>L114*pricing!L38*2000</f>
        <v>1209775.6221864345</v>
      </c>
      <c r="M125" s="99">
        <f>M114*pricing!M38*2000</f>
        <v>839959.9587177512</v>
      </c>
      <c r="N125" s="99">
        <f>N114*pricing!N38*2000</f>
        <v>1323447.7818546342</v>
      </c>
      <c r="O125" s="99">
        <f>O114*pricing!O38*2000</f>
        <v>1304846.043728828</v>
      </c>
    </row>
    <row r="126" spans="2:15">
      <c r="C126" s="98" t="s">
        <v>132</v>
      </c>
      <c r="D126" s="99">
        <f>D115*pricing!D39*2000</f>
        <v>1886570.8497493451</v>
      </c>
      <c r="E126" s="99">
        <f>E115*pricing!E39*2000</f>
        <v>1036383.672215444</v>
      </c>
      <c r="F126" s="99">
        <f>F115*pricing!F39*2000</f>
        <v>1106597.3307458365</v>
      </c>
      <c r="G126" s="99">
        <f>G115*pricing!G39*2000</f>
        <v>1695336.8422203427</v>
      </c>
      <c r="H126" s="99">
        <f>H115*pricing!H39*2000</f>
        <v>1897542.5311689919</v>
      </c>
      <c r="I126" s="99">
        <f>I115*pricing!I39*2000</f>
        <v>2034812.3870762568</v>
      </c>
      <c r="J126" s="99">
        <f>J115*pricing!J39*2000</f>
        <v>1831656.2164560533</v>
      </c>
      <c r="K126" s="99">
        <f>K115*pricing!K39*2000</f>
        <v>1961332.0702924437</v>
      </c>
      <c r="L126" s="99">
        <f>L115*pricing!L39*2000</f>
        <v>1909529.022474065</v>
      </c>
      <c r="M126" s="99">
        <f>M115*pricing!M39*2000</f>
        <v>1865263.440074529</v>
      </c>
      <c r="N126" s="99">
        <f>N115*pricing!N39*2000</f>
        <v>1752834.5786442882</v>
      </c>
      <c r="O126" s="99">
        <f>O115*pricing!O39*2000</f>
        <v>1978313.2037835701</v>
      </c>
    </row>
    <row r="127" spans="2:15">
      <c r="C127" s="98" t="s">
        <v>278</v>
      </c>
      <c r="D127" s="99">
        <f>SUM(D$120:D$126)</f>
        <v>15686214.407347323</v>
      </c>
      <c r="E127" s="99">
        <f t="shared" ref="E127:O127" si="1">SUM(E$120:E$126)</f>
        <v>14929508.907793637</v>
      </c>
      <c r="F127" s="99">
        <f t="shared" si="1"/>
        <v>14213809.531138552</v>
      </c>
      <c r="G127" s="99">
        <f t="shared" si="1"/>
        <v>14246403.084610406</v>
      </c>
      <c r="H127" s="99">
        <f t="shared" si="1"/>
        <v>16807947.252417136</v>
      </c>
      <c r="I127" s="99">
        <f t="shared" si="1"/>
        <v>16090136.869538743</v>
      </c>
      <c r="J127" s="99">
        <f t="shared" si="1"/>
        <v>13920080.426184844</v>
      </c>
      <c r="K127" s="99">
        <f t="shared" si="1"/>
        <v>17020428.252463035</v>
      </c>
      <c r="L127" s="99">
        <f t="shared" si="1"/>
        <v>16250238.97584505</v>
      </c>
      <c r="M127" s="99">
        <f t="shared" si="1"/>
        <v>16378049.876192987</v>
      </c>
      <c r="N127" s="99">
        <f t="shared" si="1"/>
        <v>15371771.991080483</v>
      </c>
      <c r="O127" s="99">
        <f t="shared" si="1"/>
        <v>17784616.06615787</v>
      </c>
    </row>
    <row r="129" spans="2:15">
      <c r="B129" s="102" t="s">
        <v>280</v>
      </c>
    </row>
    <row r="130" spans="2:15">
      <c r="C130" s="104" t="s">
        <v>277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199941.67076227206</v>
      </c>
      <c r="E131" s="105">
        <f>SUM(M$6:M$19)+SUM(O$6:O$19)+SUM(Q$6:Q$19)+SUM(S$6:S$19)</f>
        <v>174509.89164600559</v>
      </c>
      <c r="F131" s="105">
        <f>SUM(U$6:U$19)+SUM(W$6:W$19)+SUM(Y$6:Y$19)+SUM(AA$6:AA$19)</f>
        <v>200060.33033126133</v>
      </c>
      <c r="G131" s="105">
        <f>SUM(AC$6:AC$19)+SUM(AE$6:AE$19)+SUM(AG$6:AG$19)+SUM(AI$6:AI$19)</f>
        <v>170409.46911266755</v>
      </c>
      <c r="H131" s="105">
        <f>SUM(AK$6:AK$19)+SUM(AM$6:AM$19)+SUM(AO$6:AO$19)+SUM(AQ$6:AQ$19)</f>
        <v>188739.12581456656</v>
      </c>
      <c r="I131" s="105">
        <f>SUM(AS$6:AS$19)+SUM(AU$6:AU$19)+SUM(AW$6:AW$19)+SUM(AY$6:AY$19)</f>
        <v>195440.39882023848</v>
      </c>
      <c r="J131" s="105">
        <f>SUM(BA$6:BA$19)+SUM(BC$6:BC$19)+SUM(BE$6:BE$19)+SUM(BG$6:BG$19)</f>
        <v>179860.31117903916</v>
      </c>
      <c r="K131" s="105">
        <f>SUM(BI$6:BI$19)+SUM(BK$6:BK$19)+SUM(BM$6:BM$19)+SUM(BO$6:BO$19)</f>
        <v>216511.27887529682</v>
      </c>
      <c r="L131" s="105">
        <f>SUM(BQ$6:BQ$19)+SUM(BS$6:BS$19)+SUM(BU$6:BU$19)+SUM(BW$6:BW$19)</f>
        <v>204481.77662297589</v>
      </c>
      <c r="M131" s="105">
        <f>SUM(BY$6:BY$19)+SUM(CA$6:CA$19)+SUM(CC$6:CC$19)+SUM(CE$6:CE$19)</f>
        <v>254748.96289314915</v>
      </c>
      <c r="N131" s="105">
        <f>SUM(CG$6:CG$19)+SUM(CI$6:CI$19)+SUM(CK$6:CK$19)+SUM(CM$6:CM$19)</f>
        <v>200203.60901193751</v>
      </c>
      <c r="O131" s="105">
        <f>SUM(CO$6:CO$19)+SUM(CQ$6:CQ$19)+SUM(CS$6:CS$19)+SUM(CU$6:CU$19)</f>
        <v>217713.48913009779</v>
      </c>
    </row>
    <row r="132" spans="2:15">
      <c r="C132" s="104" t="s">
        <v>127</v>
      </c>
      <c r="D132" s="105">
        <f>SUM(E$20:E$36)+SUM(G$20:G$36)+SUM(I$20:I$36)+SUM(K$20:K$36)</f>
        <v>230441.201506335</v>
      </c>
      <c r="E132" s="105">
        <f>SUM(M$20:M$36)+SUM(O$20:O$36)+SUM(Q$20:Q$36)+SUM(S$20:S$36)</f>
        <v>185615.29476684949</v>
      </c>
      <c r="F132" s="105">
        <f>SUM(U$20:U$36)+SUM(W$20:W$36)+SUM(Y$20:Y$36)+SUM(AA$20:AA$36)</f>
        <v>260816.43839325264</v>
      </c>
      <c r="G132" s="105">
        <f>SUM(AC$20:AC$36)+SUM(AE$20:AE$36)+SUM(AG$20:AG$36)+SUM(AI$20:AI$36)</f>
        <v>195356.04419411792</v>
      </c>
      <c r="H132" s="105">
        <f>SUM(AK$20:AK$36)+SUM(AM$20:AM$36)+SUM(AO$20:AO$36)+SUM(AQ$20:AQ$36)</f>
        <v>246780.36154939359</v>
      </c>
      <c r="I132" s="105">
        <f>SUM(AS$20:AS$36)+SUM(AU$20:AU$36)+SUM(AW$20:AW$36)+SUM(AY$20:AY$36)</f>
        <v>218010.58744857379</v>
      </c>
      <c r="J132" s="105">
        <f>SUM(BA$20:BA$36)+SUM(BC$20:BC$36)+SUM(BE$20:BE$36)+SUM(BG$20:BG$36)</f>
        <v>230389.47429437202</v>
      </c>
      <c r="K132" s="105">
        <f>SUM(BI$20:BI$36)+SUM(BK$20:BK$36)+SUM(BM$20:BM$36)+SUM(BO$20:BO$36)</f>
        <v>238393.54203168876</v>
      </c>
      <c r="L132" s="105">
        <f>SUM(BQ$20:BQ$36)+SUM(BS$20:BS$36)+SUM(BU$20:BU$36)+SUM(BW$20:BW$36)</f>
        <v>202700.58410218649</v>
      </c>
      <c r="M132" s="105">
        <f>SUM(BY$20:BY$36)+SUM(CA$20:CA$36)+SUM(CC$20:CC$36)+SUM(CE$20:CE$36)</f>
        <v>275727.45882433571</v>
      </c>
      <c r="N132" s="105">
        <f>SUM(CG$20:CG$36)+SUM(CI$20:CI$36)+SUM(CK$20:CK$36)+SUM(CM$20:CM$36)</f>
        <v>214500.25649167746</v>
      </c>
      <c r="O132" s="105">
        <f>SUM(CO$20:CO$36)+SUM(CQ$20:CQ$36)+SUM(CS$20:CS$36)+SUM(CU$20:CU$36)</f>
        <v>284937.27198455727</v>
      </c>
    </row>
    <row r="133" spans="2:15">
      <c r="C133" s="104" t="s">
        <v>128</v>
      </c>
      <c r="D133" s="105">
        <f>SUM(E$37:E$48)+SUM(G$37:G$48)+SUM(I$37:I$48)+SUM(K$37:K$48)</f>
        <v>593026.20834005834</v>
      </c>
      <c r="E133" s="105">
        <f>SUM(M$37:M$48)+SUM(O$37:O$48)+SUM(Q$37:Q$48)+SUM(S$37:S$48)</f>
        <v>647066.00222706143</v>
      </c>
      <c r="F133" s="105">
        <f>SUM(U$37:U$48)+SUM(W$37:W$48)+SUM(Y$37:Y$48)+SUM(AA$37:AA$48)</f>
        <v>724051.15448581555</v>
      </c>
      <c r="G133" s="105">
        <f>SUM(AC$37:AC$48)+SUM(AE$37:AE$48)+SUM(AG$37:AG$48)+SUM(AI$37:AI$48)</f>
        <v>598650.82184072444</v>
      </c>
      <c r="H133" s="105">
        <f>SUM(AK$37:AK$48)+SUM(AM$37:AM$48)+SUM(AO$37:AO$48)+SUM(AQ$37:AQ$48)</f>
        <v>705162.48182396614</v>
      </c>
      <c r="I133" s="105">
        <f>SUM(AS$37:AS$48)+SUM(AU$37:AU$48)+SUM(AW$37:AW$48)+SUM(AY$37:AY$48)</f>
        <v>649168.8537886776</v>
      </c>
      <c r="J133" s="105">
        <f>SUM(BA$37:BA$48)+SUM(BC$37:BC$48)+SUM(BE$37:BE$48)+SUM(BG$37:BG$48)</f>
        <v>624157.74835121934</v>
      </c>
      <c r="K133" s="105">
        <f>SUM(BI$37:BI$48)+SUM(BK$37:BK$48)+SUM(BM$37:BM$48)+SUM(BO$37:BO$48)</f>
        <v>630858.25092520926</v>
      </c>
      <c r="L133" s="105">
        <f>SUM(BQ$37:BQ$48)+SUM(BS$37:BS$48)+SUM(BU$37:BU$48)+SUM(BW$37:BW$48)</f>
        <v>599720.12244793004</v>
      </c>
      <c r="M133" s="105">
        <f>SUM(BY$37:BY$48)+SUM(CA$37:CA$48)+SUM(CC$37:CC$48)+SUM(CE$37:CE$48)</f>
        <v>702982.32456917677</v>
      </c>
      <c r="N133" s="105">
        <f>SUM(CG$37:CG$48)+SUM(CI$37:CI$48)+SUM(CK$37:CK$48)+SUM(CM$37:CM$48)</f>
        <v>526705.82626021351</v>
      </c>
      <c r="O133" s="105">
        <f>SUM(CO$37:CO$48)+SUM(CQ$37:CQ$48)+SUM(CS$37:CS$48)+SUM(CU$37:CU$48)</f>
        <v>708030.57855837105</v>
      </c>
    </row>
    <row r="134" spans="2:15">
      <c r="C134" s="104" t="s">
        <v>129</v>
      </c>
      <c r="D134" s="105">
        <f>SUM(E$49:E$70)+SUM(G$49:G$70)+SUM(I$49:I$70)+SUM(K$49:K$70)</f>
        <v>516967.03304851044</v>
      </c>
      <c r="E134" s="105">
        <f>SUM(M$49:M$70)+SUM(O$49:O$70)+SUM(Q$49:Q$70)+SUM(S$49:S$70)</f>
        <v>635756.29025597649</v>
      </c>
      <c r="F134" s="105">
        <f>SUM(U$49:U$70)+SUM(W$49:W$70)+SUM(Y$49:Y$70)+SUM(AA$49:AA$70)</f>
        <v>464214.98639573087</v>
      </c>
      <c r="G134" s="105">
        <f>SUM(AC$49:AC$70)+SUM(AE$49:AE$70)+SUM(AG$49:AG$70)+SUM(AI$49:AI$70)</f>
        <v>470087.5917753221</v>
      </c>
      <c r="H134" s="105">
        <f>SUM(AK$49:AK$70)+SUM(AM$49:AM$70)+SUM(AO$49:AO$70)+SUM(AQ$49:AQ$70)</f>
        <v>628515.58354300854</v>
      </c>
      <c r="I134" s="105">
        <f>SUM(AS$49:AS$70)+SUM(AU$49:AU$70)+SUM(AW$49:AW$70)+SUM(AY$49:AY$70)</f>
        <v>469063.40959240287</v>
      </c>
      <c r="J134" s="105">
        <f>SUM(BA$49:BA$70)+SUM(BC$49:BC$70)+SUM(BE$49:BE$70)+SUM(BG$49:BG$70)</f>
        <v>417131.80727294285</v>
      </c>
      <c r="K134" s="105">
        <f>SUM(BI$49:BI$70)+SUM(BK$49:BK$70)+SUM(BM$49:BM$70)+SUM(BO$49:BO$70)</f>
        <v>643984.52019249217</v>
      </c>
      <c r="L134" s="105">
        <f>SUM(BQ$49:BQ$70)+SUM(BS$49:BS$70)+SUM(BU$49:BU$70)+SUM(BW$49:BW$70)</f>
        <v>594396.53124534932</v>
      </c>
      <c r="M134" s="105">
        <f>SUM(BY$49:BY$70)+SUM(CA$49:CA$70)+SUM(CC$49:CC$70)+SUM(CE$49:CE$70)</f>
        <v>554935.77018699516</v>
      </c>
      <c r="N134" s="105">
        <f>SUM(CG$49:CG$70)+SUM(CI$49:CI$70)+SUM(CK$49:CK$70)+SUM(CM$49:CM$70)</f>
        <v>513477.39680562844</v>
      </c>
      <c r="O134" s="105">
        <f>SUM(CO$49:CO$70)+SUM(CQ$49:CQ$70)+SUM(CS$49:CS$70)+SUM(CU$49:CU$70)</f>
        <v>601106.49546089186</v>
      </c>
    </row>
    <row r="135" spans="2:15">
      <c r="C135" s="104" t="s">
        <v>130</v>
      </c>
      <c r="D135" s="105">
        <f>SUM(E$71:E$86)+SUM(G$71:G$86)+SUM(I$71:I$86)+SUM(K$71:K$86)</f>
        <v>269617.2</v>
      </c>
      <c r="E135" s="105">
        <f>SUM(M$71:M$86)+SUM(O$71:O$86)+SUM(Q$71:Q$86)+SUM(S$71:S$86)</f>
        <v>289514.39999999997</v>
      </c>
      <c r="F135" s="105">
        <f>SUM(U$71:U$86)+SUM(W$71:W$86)+SUM(Y$71:Y$86)+SUM(AA$71:AA$86)</f>
        <v>174128.95997644239</v>
      </c>
      <c r="G135" s="105">
        <f>SUM(AC$71:AC$86)+SUM(AE$71:AE$86)+SUM(AG$71:AG$86)+SUM(AI$71:AI$86)</f>
        <v>227958.76464617078</v>
      </c>
      <c r="H135" s="105">
        <f>SUM(AK$71:AK$86)+SUM(AM$71:AM$86)+SUM(AO$71:AO$86)+SUM(AQ$71:AQ$86)</f>
        <v>221111.23344824978</v>
      </c>
      <c r="I135" s="105">
        <f>SUM(AS$71:AS$86)+SUM(AU$71:AU$86)+SUM(AW$71:AW$86)+SUM(AY$71:AY$86)</f>
        <v>289636.11896567611</v>
      </c>
      <c r="J135" s="105">
        <f>SUM(BA$71:BA$86)+SUM(BC$71:BC$86)+SUM(BE$71:BE$86)+SUM(BG$71:BG$86)</f>
        <v>146335.87677464963</v>
      </c>
      <c r="K135" s="105">
        <f>SUM(BI$71:BI$86)+SUM(BK$71:BK$86)+SUM(BM$71:BM$86)+SUM(BO$71:BO$86)</f>
        <v>256712.4</v>
      </c>
      <c r="L135" s="105">
        <f>SUM(BQ$71:BQ$86)+SUM(BS$71:BS$86)+SUM(BU$71:BU$86)+SUM(BW$71:BW$86)</f>
        <v>265974</v>
      </c>
      <c r="M135" s="105">
        <f>SUM(BY$71:BY$86)+SUM(CA$71:CA$86)+SUM(CC$71:CC$86)+SUM(CE$71:CE$86)</f>
        <v>147304.91664378595</v>
      </c>
      <c r="N135" s="105">
        <f>SUM(CG$71:CG$86)+SUM(CI$71:CI$86)+SUM(CK$71:CK$86)+SUM(CM$71:CM$86)</f>
        <v>251014.80000000002</v>
      </c>
      <c r="O135" s="105">
        <f>SUM(CO$71:CO$86)+SUM(CQ$71:CQ$86)+SUM(CS$71:CS$86)+SUM(CU$71:CU$86)</f>
        <v>245797.97622838948</v>
      </c>
    </row>
    <row r="136" spans="2:15">
      <c r="C136" s="104" t="s">
        <v>131</v>
      </c>
      <c r="D136" s="105">
        <f>SUM(E$87:E$94)+SUM(G$87:G$94)+SUM(I$87:I$94)+SUM(K$87:K$94)</f>
        <v>150358.74537791347</v>
      </c>
      <c r="E136" s="105">
        <f>SUM(M$87:M$94)+SUM(O$87:O$94)+SUM(Q$87:Q$94)+SUM(S$87:S$94)</f>
        <v>99327.960189689722</v>
      </c>
      <c r="F136" s="105">
        <f>SUM(U$87:U$94)+SUM(W$87:W$94)+SUM(Y$87:Y$94)+SUM(AA$87:AA$94)</f>
        <v>71817.58892445064</v>
      </c>
      <c r="G136" s="105">
        <f>SUM(AC$87:AC$94)+SUM(AE$87:AE$94)+SUM(AG$87:AG$94)+SUM(AI$87:AI$94)</f>
        <v>175198.88224322599</v>
      </c>
      <c r="H136" s="105">
        <f>SUM(AK$87:AK$94)+SUM(AM$87:AM$94)+SUM(AO$87:AO$94)+SUM(AQ$87:AQ$94)</f>
        <v>208999.37290073143</v>
      </c>
      <c r="I136" s="105">
        <f>SUM(AS$87:AS$94)+SUM(AU$87:AU$94)+SUM(AW$87:AW$94)+SUM(AY$87:AY$94)</f>
        <v>218173.7597667345</v>
      </c>
      <c r="J136" s="105">
        <f>SUM(BA$87:BA$94)+SUM(BC$87:BC$94)+SUM(BE$87:BE$94)+SUM(BG$87:BG$94)</f>
        <v>174014.72334063589</v>
      </c>
      <c r="K136" s="105">
        <f>SUM(BI$87:BI$94)+SUM(BK$87:BK$94)+SUM(BM$87:BM$94)+SUM(BO$87:BO$94)</f>
        <v>195312.20347897866</v>
      </c>
      <c r="L136" s="105">
        <f>SUM(BQ$87:BQ$94)+SUM(BS$87:BS$94)+SUM(BU$87:BU$94)+SUM(BW$87:BW$94)</f>
        <v>216390.82943721855</v>
      </c>
      <c r="M136" s="105">
        <f>SUM(BY$87:BY$94)+SUM(CA$87:CA$94)+SUM(CC$87:CC$94)+SUM(CE$87:CE$94)</f>
        <v>150543.14721930283</v>
      </c>
      <c r="N136" s="105">
        <f>SUM(CG$87:CG$94)+SUM(CI$87:CI$94)+SUM(CK$87:CK$94)+SUM(CM$87:CM$94)</f>
        <v>236872.27967640257</v>
      </c>
      <c r="O136" s="105">
        <f>SUM(CO$87:CO$94)+SUM(CQ$87:CQ$94)+SUM(CS$87:CS$94)+SUM(CU$87:CU$94)</f>
        <v>233799.61732539444</v>
      </c>
    </row>
    <row r="137" spans="2:15">
      <c r="C137" s="104" t="s">
        <v>132</v>
      </c>
      <c r="D137" s="105">
        <f>SUM(E$95:E$105)+SUM(G$95:G$105)+SUM(I$95:I$105)+SUM(K$95:K$105)</f>
        <v>279001.69049738767</v>
      </c>
      <c r="E137" s="105">
        <f>SUM(M$95:M$105)+SUM(O$95:O$105)+SUM(Q$95:Q$105)+SUM(S$95:S$105)</f>
        <v>160418.67506548981</v>
      </c>
      <c r="F137" s="105">
        <f>SUM(U$95:U$105)+SUM(W$95:W$105)+SUM(Y$95:Y$105)+SUM(AA$95:AA$105)</f>
        <v>165173.72628569545</v>
      </c>
      <c r="G137" s="105">
        <f>SUM(AC$95:AC$105)+SUM(AE$95:AE$105)+SUM(AG$95:AG$105)+SUM(AI$95:AI$105)</f>
        <v>249949.84284400521</v>
      </c>
      <c r="H137" s="105">
        <f>SUM(AK$95:AK$105)+SUM(AM$95:AM$105)+SUM(AO$95:AO$105)+SUM(AQ$95:AQ$105)</f>
        <v>280600.25789504981</v>
      </c>
      <c r="I137" s="105">
        <f>SUM(AS$95:AS$105)+SUM(AU$95:AU$105)+SUM(AW$95:AW$105)+SUM(AY$95:AY$105)</f>
        <v>307334.287523326</v>
      </c>
      <c r="J137" s="105">
        <f>SUM(BA$95:BA$105)+SUM(BC$95:BC$105)+SUM(BE$95:BE$105)+SUM(BG$95:BG$105)</f>
        <v>268472.3892904924</v>
      </c>
      <c r="K137" s="105">
        <f>SUM(BI$95:BI$105)+SUM(BK$95:BK$105)+SUM(BM$95:BM$105)+SUM(BO$95:BO$105)</f>
        <v>290982.57888432161</v>
      </c>
      <c r="L137" s="105">
        <f>SUM(BQ$95:BQ$105)+SUM(BS$95:BS$105)+SUM(BU$95:BU$105)+SUM(BW$95:BW$105)</f>
        <v>284044.49965735228</v>
      </c>
      <c r="M137" s="105">
        <f>SUM(BY$95:BY$105)+SUM(CA$95:CA$105)+SUM(CC$95:CC$105)+SUM(CE$95:CE$105)</f>
        <v>278128.09085511975</v>
      </c>
      <c r="N137" s="105">
        <f>SUM(CG$95:CG$105)+SUM(CI$95:CI$105)+SUM(CK$95:CK$105)+SUM(CM$95:CM$105)</f>
        <v>257553.33011522659</v>
      </c>
      <c r="O137" s="105">
        <f>SUM(CO$95:CO$105)+SUM(CQ$95:CQ$105)+SUM(CS$95:CS$105)+SUM(CU$95:CU$105)</f>
        <v>299001.02385802369</v>
      </c>
    </row>
    <row r="138" spans="2:15">
      <c r="C138" s="104" t="s">
        <v>278</v>
      </c>
      <c r="D138" s="99">
        <f t="shared" ref="D138:O138" si="2">SUM(D$131:D$137)</f>
        <v>2239353.749532477</v>
      </c>
      <c r="E138" s="99">
        <f t="shared" si="2"/>
        <v>2192208.5141510721</v>
      </c>
      <c r="F138" s="99">
        <f t="shared" si="2"/>
        <v>2060263.1847926485</v>
      </c>
      <c r="G138" s="99">
        <f t="shared" si="2"/>
        <v>2087611.4166562341</v>
      </c>
      <c r="H138" s="99">
        <f t="shared" si="2"/>
        <v>2479908.4169749655</v>
      </c>
      <c r="I138" s="99">
        <f t="shared" si="2"/>
        <v>2346827.4159056293</v>
      </c>
      <c r="J138" s="99">
        <f t="shared" si="2"/>
        <v>2040362.3305033511</v>
      </c>
      <c r="K138" s="99">
        <f t="shared" si="2"/>
        <v>2472754.7743879873</v>
      </c>
      <c r="L138" s="99">
        <f t="shared" si="2"/>
        <v>2367708.3435130129</v>
      </c>
      <c r="M138" s="99">
        <f t="shared" si="2"/>
        <v>2364370.6711918656</v>
      </c>
      <c r="N138" s="99">
        <f t="shared" si="2"/>
        <v>2200327.498361086</v>
      </c>
      <c r="O138" s="99">
        <f t="shared" si="2"/>
        <v>2590386.4525457257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>
      <c r="A1" s="98" t="s">
        <v>167</v>
      </c>
      <c r="B1" s="98" t="s">
        <v>168</v>
      </c>
      <c r="C1" s="98" t="s">
        <v>169</v>
      </c>
      <c r="D1" s="98" t="s">
        <v>170</v>
      </c>
      <c r="E1" s="98" t="s">
        <v>171</v>
      </c>
    </row>
    <row r="2" spans="1:5">
      <c r="A2" s="98" t="s">
        <v>126</v>
      </c>
      <c r="B2" s="98" t="s">
        <v>172</v>
      </c>
      <c r="C2" s="99" t="s">
        <v>59</v>
      </c>
      <c r="D2" s="99">
        <v>482</v>
      </c>
      <c r="E2" s="99">
        <v>578.4</v>
      </c>
    </row>
    <row r="3" spans="1:5">
      <c r="B3" s="98" t="s">
        <v>173</v>
      </c>
      <c r="C3" s="99" t="s">
        <v>59</v>
      </c>
      <c r="D3" s="99">
        <v>657</v>
      </c>
      <c r="E3" s="99">
        <v>788.4</v>
      </c>
    </row>
    <row r="4" spans="1:5">
      <c r="B4" s="98" t="s">
        <v>174</v>
      </c>
      <c r="C4" s="99" t="s">
        <v>59</v>
      </c>
      <c r="D4" s="99">
        <v>258</v>
      </c>
      <c r="E4" s="99">
        <v>309.59999999999997</v>
      </c>
    </row>
    <row r="5" spans="1:5">
      <c r="B5" s="98" t="s">
        <v>175</v>
      </c>
      <c r="C5" s="99" t="s">
        <v>59</v>
      </c>
      <c r="D5" s="99">
        <v>585</v>
      </c>
      <c r="E5" s="99">
        <v>702</v>
      </c>
    </row>
    <row r="6" spans="1:5">
      <c r="B6" s="98" t="s">
        <v>176</v>
      </c>
      <c r="C6" s="99" t="s">
        <v>59</v>
      </c>
      <c r="D6" s="99">
        <v>454</v>
      </c>
      <c r="E6" s="99">
        <v>544.79999999999995</v>
      </c>
    </row>
    <row r="7" spans="1:5">
      <c r="B7" s="98" t="s">
        <v>177</v>
      </c>
      <c r="C7" s="99" t="s">
        <v>59</v>
      </c>
      <c r="D7" s="99">
        <v>444</v>
      </c>
      <c r="E7" s="99">
        <v>532.79999999999995</v>
      </c>
    </row>
    <row r="8" spans="1:5">
      <c r="B8" s="98" t="s">
        <v>178</v>
      </c>
      <c r="C8" s="99" t="s">
        <v>59</v>
      </c>
      <c r="D8" s="99">
        <v>469</v>
      </c>
      <c r="E8" s="99">
        <v>562.79999999999995</v>
      </c>
    </row>
    <row r="9" spans="1:5">
      <c r="B9" s="98" t="s">
        <v>179</v>
      </c>
      <c r="C9" s="99" t="s">
        <v>59</v>
      </c>
      <c r="D9" s="99">
        <v>71</v>
      </c>
      <c r="E9" s="99">
        <v>85.2</v>
      </c>
    </row>
    <row r="10" spans="1:5">
      <c r="B10" s="98" t="s">
        <v>180</v>
      </c>
      <c r="C10" s="99" t="s">
        <v>59</v>
      </c>
      <c r="D10" s="99">
        <v>407</v>
      </c>
      <c r="E10" s="99">
        <v>488.4</v>
      </c>
    </row>
    <row r="11" spans="1:5">
      <c r="B11" s="98" t="s">
        <v>181</v>
      </c>
      <c r="C11" s="99" t="s">
        <v>59</v>
      </c>
      <c r="D11" s="99">
        <v>636</v>
      </c>
      <c r="E11" s="99">
        <v>763.19999999999993</v>
      </c>
    </row>
    <row r="12" spans="1:5">
      <c r="B12" s="98" t="s">
        <v>182</v>
      </c>
      <c r="C12" s="99" t="s">
        <v>59</v>
      </c>
      <c r="D12" s="99">
        <v>284</v>
      </c>
      <c r="E12" s="99">
        <v>340.8</v>
      </c>
    </row>
    <row r="13" spans="1:5">
      <c r="B13" s="98" t="s">
        <v>183</v>
      </c>
      <c r="C13" s="99" t="s">
        <v>59</v>
      </c>
      <c r="D13" s="99">
        <v>352</v>
      </c>
      <c r="E13" s="99">
        <v>422.4</v>
      </c>
    </row>
    <row r="14" spans="1:5">
      <c r="B14" s="98" t="s">
        <v>184</v>
      </c>
      <c r="C14" s="99" t="s">
        <v>59</v>
      </c>
      <c r="D14" s="99">
        <v>544</v>
      </c>
      <c r="E14" s="99">
        <v>652.79999999999995</v>
      </c>
    </row>
    <row r="15" spans="1:5">
      <c r="B15" s="98" t="s">
        <v>185</v>
      </c>
      <c r="C15" s="99" t="s">
        <v>59</v>
      </c>
      <c r="D15" s="99">
        <v>275</v>
      </c>
      <c r="E15" s="99">
        <v>330</v>
      </c>
    </row>
    <row r="16" spans="1:5">
      <c r="A16" s="98" t="s">
        <v>127</v>
      </c>
      <c r="B16" s="98" t="s">
        <v>186</v>
      </c>
      <c r="C16" s="99" t="s">
        <v>59</v>
      </c>
      <c r="D16" s="99">
        <v>239</v>
      </c>
      <c r="E16" s="99">
        <v>286.8</v>
      </c>
    </row>
    <row r="17" spans="2:5">
      <c r="B17" s="98" t="s">
        <v>187</v>
      </c>
      <c r="C17" s="99" t="s">
        <v>59</v>
      </c>
      <c r="D17" s="99">
        <v>52</v>
      </c>
      <c r="E17" s="99">
        <v>62.4</v>
      </c>
    </row>
    <row r="18" spans="2:5">
      <c r="B18" s="98" t="s">
        <v>188</v>
      </c>
      <c r="C18" s="99" t="s">
        <v>59</v>
      </c>
      <c r="D18" s="99">
        <v>156</v>
      </c>
      <c r="E18" s="99">
        <v>187.2</v>
      </c>
    </row>
    <row r="19" spans="2:5">
      <c r="B19" s="98" t="s">
        <v>189</v>
      </c>
      <c r="C19" s="99" t="s">
        <v>59</v>
      </c>
      <c r="D19" s="99">
        <v>245</v>
      </c>
      <c r="E19" s="99">
        <v>294</v>
      </c>
    </row>
    <row r="20" spans="2:5">
      <c r="B20" s="98" t="s">
        <v>190</v>
      </c>
      <c r="C20" s="99" t="s">
        <v>59</v>
      </c>
      <c r="D20" s="99">
        <v>306</v>
      </c>
      <c r="E20" s="99">
        <v>367.2</v>
      </c>
    </row>
    <row r="21" spans="2:5">
      <c r="B21" s="98" t="s">
        <v>191</v>
      </c>
      <c r="C21" s="99" t="s">
        <v>59</v>
      </c>
      <c r="D21" s="99">
        <v>442</v>
      </c>
      <c r="E21" s="99">
        <v>530.4</v>
      </c>
    </row>
    <row r="22" spans="2:5">
      <c r="B22" s="98" t="s">
        <v>192</v>
      </c>
      <c r="C22" s="99" t="s">
        <v>59</v>
      </c>
      <c r="D22" s="99">
        <v>405</v>
      </c>
      <c r="E22" s="99">
        <v>486</v>
      </c>
    </row>
    <row r="23" spans="2:5">
      <c r="B23" s="98" t="s">
        <v>193</v>
      </c>
      <c r="C23" s="99" t="s">
        <v>59</v>
      </c>
      <c r="D23" s="99">
        <v>356</v>
      </c>
      <c r="E23" s="99">
        <v>427.2</v>
      </c>
    </row>
    <row r="24" spans="2:5">
      <c r="B24" s="98" t="s">
        <v>194</v>
      </c>
      <c r="C24" s="99" t="s">
        <v>59</v>
      </c>
      <c r="D24" s="99">
        <v>615</v>
      </c>
      <c r="E24" s="99">
        <v>738</v>
      </c>
    </row>
    <row r="25" spans="2:5">
      <c r="B25" s="98" t="s">
        <v>195</v>
      </c>
      <c r="C25" s="99" t="s">
        <v>59</v>
      </c>
      <c r="D25" s="99">
        <v>282</v>
      </c>
      <c r="E25" s="99">
        <v>338.4</v>
      </c>
    </row>
    <row r="26" spans="2:5">
      <c r="B26" s="98" t="s">
        <v>196</v>
      </c>
      <c r="C26" s="99" t="s">
        <v>59</v>
      </c>
      <c r="D26" s="99">
        <v>116</v>
      </c>
      <c r="E26" s="99">
        <v>139.19999999999999</v>
      </c>
    </row>
    <row r="27" spans="2:5">
      <c r="B27" s="98" t="s">
        <v>197</v>
      </c>
      <c r="C27" s="99" t="s">
        <v>59</v>
      </c>
      <c r="D27" s="99">
        <v>284</v>
      </c>
      <c r="E27" s="99">
        <v>340.8</v>
      </c>
    </row>
    <row r="28" spans="2:5">
      <c r="B28" s="98" t="s">
        <v>198</v>
      </c>
      <c r="C28" s="99" t="s">
        <v>59</v>
      </c>
      <c r="D28" s="99">
        <v>700</v>
      </c>
      <c r="E28" s="99">
        <v>840</v>
      </c>
    </row>
    <row r="29" spans="2:5">
      <c r="B29" s="98" t="s">
        <v>199</v>
      </c>
      <c r="C29" s="99" t="s">
        <v>59</v>
      </c>
      <c r="D29" s="99">
        <v>395</v>
      </c>
      <c r="E29" s="99">
        <v>474</v>
      </c>
    </row>
    <row r="30" spans="2:5">
      <c r="B30" s="98" t="s">
        <v>200</v>
      </c>
      <c r="C30" s="99" t="s">
        <v>59</v>
      </c>
      <c r="D30" s="99">
        <v>457</v>
      </c>
      <c r="E30" s="99">
        <v>548.4</v>
      </c>
    </row>
    <row r="31" spans="2:5">
      <c r="B31" s="98" t="s">
        <v>201</v>
      </c>
      <c r="C31" s="99" t="s">
        <v>59</v>
      </c>
      <c r="D31" s="99">
        <v>419</v>
      </c>
      <c r="E31" s="99">
        <v>502.7999999999999</v>
      </c>
    </row>
    <row r="32" spans="2:5">
      <c r="B32" s="98" t="s">
        <v>202</v>
      </c>
      <c r="C32" s="99" t="s">
        <v>59</v>
      </c>
      <c r="D32" s="99">
        <v>634</v>
      </c>
      <c r="E32" s="99">
        <v>760.8</v>
      </c>
    </row>
    <row r="33" spans="1:5">
      <c r="A33" s="98" t="s">
        <v>128</v>
      </c>
      <c r="B33" s="98" t="s">
        <v>203</v>
      </c>
      <c r="C33" s="99" t="s">
        <v>59</v>
      </c>
      <c r="D33" s="99">
        <v>717</v>
      </c>
      <c r="E33" s="99">
        <v>860.4</v>
      </c>
    </row>
    <row r="34" spans="1:5">
      <c r="B34" s="98" t="s">
        <v>204</v>
      </c>
      <c r="C34" s="99" t="s">
        <v>59</v>
      </c>
      <c r="D34" s="99">
        <v>1035</v>
      </c>
      <c r="E34" s="99">
        <v>1242</v>
      </c>
    </row>
    <row r="35" spans="1:5">
      <c r="B35" s="98" t="s">
        <v>205</v>
      </c>
      <c r="C35" s="99" t="s">
        <v>59</v>
      </c>
      <c r="D35" s="99">
        <v>1186</v>
      </c>
      <c r="E35" s="99">
        <v>1423.2</v>
      </c>
    </row>
    <row r="36" spans="1:5">
      <c r="B36" s="98" t="s">
        <v>206</v>
      </c>
      <c r="C36" s="99" t="s">
        <v>59</v>
      </c>
      <c r="D36" s="99">
        <v>604</v>
      </c>
      <c r="E36" s="99">
        <v>724.8</v>
      </c>
    </row>
    <row r="37" spans="1:5">
      <c r="B37" s="98" t="s">
        <v>207</v>
      </c>
      <c r="C37" s="99" t="s">
        <v>59</v>
      </c>
      <c r="D37" s="99">
        <v>550</v>
      </c>
      <c r="E37" s="99">
        <v>660</v>
      </c>
    </row>
    <row r="38" spans="1:5">
      <c r="B38" s="98" t="s">
        <v>208</v>
      </c>
      <c r="C38" s="99" t="s">
        <v>59</v>
      </c>
      <c r="D38" s="99">
        <v>705</v>
      </c>
      <c r="E38" s="99">
        <v>846</v>
      </c>
    </row>
    <row r="39" spans="1:5">
      <c r="B39" s="98" t="s">
        <v>209</v>
      </c>
      <c r="C39" s="99" t="s">
        <v>59</v>
      </c>
      <c r="D39" s="99">
        <v>852</v>
      </c>
      <c r="E39" s="99">
        <v>1022.4</v>
      </c>
    </row>
    <row r="40" spans="1:5">
      <c r="B40" s="98" t="s">
        <v>210</v>
      </c>
      <c r="C40" s="99" t="s">
        <v>59</v>
      </c>
      <c r="D40" s="99">
        <v>852</v>
      </c>
      <c r="E40" s="99">
        <v>1022.4</v>
      </c>
    </row>
    <row r="41" spans="1:5">
      <c r="B41" s="98" t="s">
        <v>211</v>
      </c>
      <c r="C41" s="99" t="s">
        <v>59</v>
      </c>
      <c r="D41" s="99">
        <v>1041</v>
      </c>
      <c r="E41" s="99">
        <v>1249.2</v>
      </c>
    </row>
    <row r="42" spans="1:5">
      <c r="B42" s="98" t="s">
        <v>212</v>
      </c>
      <c r="C42" s="99" t="s">
        <v>59</v>
      </c>
      <c r="D42" s="99">
        <v>1010</v>
      </c>
      <c r="E42" s="99">
        <v>1212</v>
      </c>
    </row>
    <row r="43" spans="1:5">
      <c r="B43" s="98" t="s">
        <v>213</v>
      </c>
      <c r="C43" s="99" t="s">
        <v>59</v>
      </c>
      <c r="D43" s="99">
        <v>1273</v>
      </c>
      <c r="E43" s="99">
        <v>1527.6</v>
      </c>
    </row>
    <row r="44" spans="1:5">
      <c r="B44" s="98" t="s">
        <v>214</v>
      </c>
      <c r="C44" s="99" t="s">
        <v>59</v>
      </c>
      <c r="D44" s="99">
        <v>723</v>
      </c>
      <c r="E44" s="99">
        <v>867.6</v>
      </c>
    </row>
    <row r="45" spans="1:5">
      <c r="A45" s="98" t="s">
        <v>129</v>
      </c>
      <c r="B45" s="98" t="s">
        <v>215</v>
      </c>
      <c r="C45" s="99" t="s">
        <v>22</v>
      </c>
      <c r="D45" s="99">
        <v>821</v>
      </c>
      <c r="E45" s="99">
        <v>985.19999999999993</v>
      </c>
    </row>
    <row r="46" spans="1:5">
      <c r="B46" s="98" t="s">
        <v>216</v>
      </c>
      <c r="C46" s="99" t="s">
        <v>59</v>
      </c>
      <c r="D46" s="99">
        <v>235</v>
      </c>
      <c r="E46" s="99">
        <v>282</v>
      </c>
    </row>
    <row r="47" spans="1:5">
      <c r="B47" s="98" t="s">
        <v>217</v>
      </c>
      <c r="C47" s="99" t="s">
        <v>59</v>
      </c>
      <c r="D47" s="99">
        <v>712</v>
      </c>
      <c r="E47" s="99">
        <v>854.4</v>
      </c>
    </row>
    <row r="48" spans="1:5">
      <c r="B48" s="98" t="s">
        <v>218</v>
      </c>
      <c r="C48" s="99" t="s">
        <v>59</v>
      </c>
      <c r="D48" s="99">
        <v>450</v>
      </c>
      <c r="E48" s="99">
        <v>540</v>
      </c>
    </row>
    <row r="49" spans="2:5">
      <c r="B49" s="98" t="s">
        <v>219</v>
      </c>
      <c r="C49" s="99" t="s">
        <v>59</v>
      </c>
      <c r="D49" s="99">
        <v>339</v>
      </c>
      <c r="E49" s="99">
        <v>406.8</v>
      </c>
    </row>
    <row r="50" spans="2:5">
      <c r="B50" s="98" t="s">
        <v>220</v>
      </c>
      <c r="C50" s="99" t="s">
        <v>59</v>
      </c>
      <c r="D50" s="99">
        <v>279</v>
      </c>
      <c r="E50" s="99">
        <v>334.8</v>
      </c>
    </row>
    <row r="51" spans="2:5">
      <c r="B51" s="98" t="s">
        <v>221</v>
      </c>
      <c r="C51" s="99" t="s">
        <v>59</v>
      </c>
      <c r="D51" s="99">
        <v>553</v>
      </c>
      <c r="E51" s="99">
        <v>663.6</v>
      </c>
    </row>
    <row r="52" spans="2:5">
      <c r="B52" s="98" t="s">
        <v>222</v>
      </c>
      <c r="C52" s="99" t="s">
        <v>46</v>
      </c>
      <c r="D52" s="99">
        <v>818</v>
      </c>
      <c r="E52" s="99">
        <v>981.59999999999991</v>
      </c>
    </row>
    <row r="53" spans="2:5">
      <c r="B53" s="98" t="s">
        <v>223</v>
      </c>
      <c r="C53" s="99" t="s">
        <v>59</v>
      </c>
      <c r="D53" s="99">
        <v>1176</v>
      </c>
      <c r="E53" s="99">
        <v>1411.2</v>
      </c>
    </row>
    <row r="54" spans="2:5">
      <c r="B54" s="98" t="s">
        <v>224</v>
      </c>
      <c r="C54" s="99" t="s">
        <v>22</v>
      </c>
      <c r="D54" s="99">
        <v>981</v>
      </c>
      <c r="E54" s="99">
        <v>1177.2</v>
      </c>
    </row>
    <row r="55" spans="2:5">
      <c r="B55" s="98" t="s">
        <v>225</v>
      </c>
      <c r="C55" s="99" t="s">
        <v>59</v>
      </c>
      <c r="D55" s="99">
        <v>253</v>
      </c>
      <c r="E55" s="99">
        <v>303.59999999999997</v>
      </c>
    </row>
    <row r="56" spans="2:5">
      <c r="B56" s="98" t="s">
        <v>226</v>
      </c>
      <c r="C56" s="99" t="s">
        <v>59</v>
      </c>
      <c r="D56" s="99">
        <v>543</v>
      </c>
      <c r="E56" s="99">
        <v>651.6</v>
      </c>
    </row>
    <row r="57" spans="2:5">
      <c r="B57" s="98" t="s">
        <v>227</v>
      </c>
      <c r="C57" s="99" t="s">
        <v>59</v>
      </c>
      <c r="D57" s="99">
        <v>793</v>
      </c>
      <c r="E57" s="99">
        <v>951.59999999999991</v>
      </c>
    </row>
    <row r="58" spans="2:5">
      <c r="B58" s="98" t="s">
        <v>228</v>
      </c>
      <c r="C58" s="99" t="s">
        <v>46</v>
      </c>
      <c r="D58" s="99">
        <v>1391</v>
      </c>
      <c r="E58" s="99">
        <v>1669.2</v>
      </c>
    </row>
    <row r="59" spans="2:5">
      <c r="B59" s="98" t="s">
        <v>229</v>
      </c>
      <c r="C59" s="99" t="s">
        <v>59</v>
      </c>
      <c r="D59" s="99">
        <v>663</v>
      </c>
      <c r="E59" s="99">
        <v>795.6</v>
      </c>
    </row>
    <row r="60" spans="2:5">
      <c r="B60" s="98" t="s">
        <v>230</v>
      </c>
      <c r="C60" s="99" t="s">
        <v>59</v>
      </c>
      <c r="D60" s="99">
        <v>841</v>
      </c>
      <c r="E60" s="99">
        <v>1009.1999999999998</v>
      </c>
    </row>
    <row r="61" spans="2:5">
      <c r="B61" s="98" t="s">
        <v>231</v>
      </c>
      <c r="C61" s="99" t="s">
        <v>59</v>
      </c>
      <c r="D61" s="99">
        <v>855</v>
      </c>
      <c r="E61" s="99">
        <v>1026</v>
      </c>
    </row>
    <row r="62" spans="2:5">
      <c r="B62" s="98" t="s">
        <v>232</v>
      </c>
      <c r="C62" s="99" t="s">
        <v>59</v>
      </c>
      <c r="D62" s="99">
        <v>992</v>
      </c>
      <c r="E62" s="99">
        <v>1190.3999999999999</v>
      </c>
    </row>
    <row r="63" spans="2:5">
      <c r="B63" s="98" t="s">
        <v>233</v>
      </c>
      <c r="C63" s="99" t="s">
        <v>59</v>
      </c>
      <c r="D63" s="99">
        <v>936</v>
      </c>
      <c r="E63" s="99">
        <v>1123.2</v>
      </c>
    </row>
    <row r="64" spans="2:5">
      <c r="B64" s="98" t="s">
        <v>234</v>
      </c>
      <c r="C64" s="99" t="s">
        <v>59</v>
      </c>
      <c r="D64" s="99">
        <v>861</v>
      </c>
      <c r="E64" s="99">
        <v>1033.2</v>
      </c>
    </row>
    <row r="65" spans="1:5">
      <c r="B65" s="98" t="s">
        <v>235</v>
      </c>
      <c r="C65" s="99" t="s">
        <v>59</v>
      </c>
      <c r="D65" s="99">
        <v>632</v>
      </c>
      <c r="E65" s="99">
        <v>758.4</v>
      </c>
    </row>
    <row r="66" spans="1:5">
      <c r="B66" s="98" t="s">
        <v>236</v>
      </c>
      <c r="C66" s="99" t="s">
        <v>59</v>
      </c>
      <c r="D66" s="99">
        <v>446</v>
      </c>
      <c r="E66" s="99">
        <v>535.19999999999993</v>
      </c>
    </row>
    <row r="67" spans="1:5">
      <c r="A67" s="98" t="s">
        <v>130</v>
      </c>
      <c r="B67" s="98" t="s">
        <v>237</v>
      </c>
      <c r="C67" s="99" t="s">
        <v>22</v>
      </c>
      <c r="D67" s="99">
        <v>470</v>
      </c>
      <c r="E67" s="99">
        <v>564</v>
      </c>
    </row>
    <row r="68" spans="1:5">
      <c r="B68" s="98" t="s">
        <v>238</v>
      </c>
      <c r="C68" s="99" t="s">
        <v>22</v>
      </c>
      <c r="D68" s="99">
        <v>62</v>
      </c>
      <c r="E68" s="99">
        <v>74.399999999999991</v>
      </c>
    </row>
    <row r="69" spans="1:5">
      <c r="B69" s="98" t="s">
        <v>239</v>
      </c>
      <c r="C69" s="99" t="s">
        <v>22</v>
      </c>
      <c r="D69" s="99">
        <v>466</v>
      </c>
      <c r="E69" s="99">
        <v>559.19999999999993</v>
      </c>
    </row>
    <row r="70" spans="1:5">
      <c r="B70" s="98" t="s">
        <v>240</v>
      </c>
      <c r="C70" s="99" t="s">
        <v>22</v>
      </c>
      <c r="D70" s="99">
        <v>336</v>
      </c>
      <c r="E70" s="99">
        <v>403.2</v>
      </c>
    </row>
    <row r="71" spans="1:5">
      <c r="B71" s="98" t="s">
        <v>241</v>
      </c>
      <c r="C71" s="99" t="s">
        <v>22</v>
      </c>
      <c r="D71" s="99">
        <v>536</v>
      </c>
      <c r="E71" s="99">
        <v>643.19999999999993</v>
      </c>
    </row>
    <row r="72" spans="1:5">
      <c r="B72" s="98" t="s">
        <v>242</v>
      </c>
      <c r="C72" s="99" t="s">
        <v>22</v>
      </c>
      <c r="D72" s="99">
        <v>649</v>
      </c>
      <c r="E72" s="99">
        <v>778.8</v>
      </c>
    </row>
    <row r="73" spans="1:5">
      <c r="B73" s="98" t="s">
        <v>243</v>
      </c>
      <c r="C73" s="99" t="s">
        <v>22</v>
      </c>
      <c r="D73" s="99">
        <v>232</v>
      </c>
      <c r="E73" s="99">
        <v>278.39999999999998</v>
      </c>
    </row>
    <row r="74" spans="1:5">
      <c r="B74" s="98" t="s">
        <v>244</v>
      </c>
      <c r="C74" s="99" t="s">
        <v>22</v>
      </c>
      <c r="D74" s="99">
        <v>460</v>
      </c>
      <c r="E74" s="99">
        <v>552</v>
      </c>
    </row>
    <row r="75" spans="1:5">
      <c r="B75" s="98" t="s">
        <v>245</v>
      </c>
      <c r="C75" s="99" t="s">
        <v>22</v>
      </c>
      <c r="D75" s="99">
        <v>631</v>
      </c>
      <c r="E75" s="99">
        <v>757.19999999999993</v>
      </c>
    </row>
    <row r="76" spans="1:5">
      <c r="B76" s="98" t="s">
        <v>246</v>
      </c>
      <c r="C76" s="99" t="s">
        <v>22</v>
      </c>
      <c r="D76" s="99">
        <v>671</v>
      </c>
      <c r="E76" s="99">
        <v>805.19999999999993</v>
      </c>
    </row>
    <row r="77" spans="1:5">
      <c r="B77" s="98" t="s">
        <v>247</v>
      </c>
      <c r="C77" s="99" t="s">
        <v>22</v>
      </c>
      <c r="D77" s="99">
        <v>628</v>
      </c>
      <c r="E77" s="99">
        <v>753.6</v>
      </c>
    </row>
    <row r="78" spans="1:5">
      <c r="B78" s="98" t="s">
        <v>248</v>
      </c>
      <c r="C78" s="99" t="s">
        <v>22</v>
      </c>
      <c r="D78" s="99">
        <v>424</v>
      </c>
      <c r="E78" s="99">
        <v>508.7999999999999</v>
      </c>
    </row>
    <row r="79" spans="1:5">
      <c r="B79" s="98" t="s">
        <v>249</v>
      </c>
      <c r="C79" s="99" t="s">
        <v>22</v>
      </c>
      <c r="D79" s="99">
        <v>717</v>
      </c>
      <c r="E79" s="99">
        <v>860.4</v>
      </c>
    </row>
    <row r="80" spans="1:5">
      <c r="B80" s="98" t="s">
        <v>250</v>
      </c>
      <c r="C80" s="99" t="s">
        <v>22</v>
      </c>
      <c r="D80" s="99">
        <v>651</v>
      </c>
      <c r="E80" s="99">
        <v>781.19999999999993</v>
      </c>
    </row>
    <row r="81" spans="1:5">
      <c r="B81" s="98" t="s">
        <v>251</v>
      </c>
      <c r="C81" s="99" t="s">
        <v>22</v>
      </c>
      <c r="D81" s="99">
        <v>125</v>
      </c>
      <c r="E81" s="99">
        <v>150</v>
      </c>
    </row>
    <row r="82" spans="1:5">
      <c r="B82" s="98" t="s">
        <v>252</v>
      </c>
      <c r="C82" s="99" t="s">
        <v>22</v>
      </c>
      <c r="D82" s="99">
        <v>450</v>
      </c>
      <c r="E82" s="99">
        <v>540</v>
      </c>
    </row>
    <row r="83" spans="1:5">
      <c r="A83" s="98" t="s">
        <v>131</v>
      </c>
      <c r="B83" s="98" t="s">
        <v>253</v>
      </c>
      <c r="C83" s="99" t="s">
        <v>46</v>
      </c>
      <c r="D83" s="99">
        <v>895</v>
      </c>
      <c r="E83" s="99">
        <v>1074</v>
      </c>
    </row>
    <row r="84" spans="1:5">
      <c r="B84" s="98" t="s">
        <v>254</v>
      </c>
      <c r="C84" s="99" t="s">
        <v>46</v>
      </c>
      <c r="D84" s="99">
        <v>827</v>
      </c>
      <c r="E84" s="99">
        <v>992.4</v>
      </c>
    </row>
    <row r="85" spans="1:5">
      <c r="B85" s="98" t="s">
        <v>255</v>
      </c>
      <c r="C85" s="99" t="s">
        <v>46</v>
      </c>
      <c r="D85" s="99">
        <v>885</v>
      </c>
      <c r="E85" s="99">
        <v>1062</v>
      </c>
    </row>
    <row r="86" spans="1:5">
      <c r="B86" s="98" t="s">
        <v>256</v>
      </c>
      <c r="C86" s="99" t="s">
        <v>46</v>
      </c>
      <c r="D86" s="99">
        <v>924</v>
      </c>
      <c r="E86" s="99">
        <v>1108.8</v>
      </c>
    </row>
    <row r="87" spans="1:5">
      <c r="B87" s="98" t="s">
        <v>257</v>
      </c>
      <c r="C87" s="99" t="s">
        <v>46</v>
      </c>
      <c r="D87" s="99">
        <v>947</v>
      </c>
      <c r="E87" s="99">
        <v>1136.3999999999999</v>
      </c>
    </row>
    <row r="88" spans="1:5">
      <c r="B88" s="98" t="s">
        <v>258</v>
      </c>
      <c r="C88" s="99" t="s">
        <v>46</v>
      </c>
      <c r="D88" s="99">
        <v>654</v>
      </c>
      <c r="E88" s="99">
        <v>784.8</v>
      </c>
    </row>
    <row r="89" spans="1:5">
      <c r="B89" s="98" t="s">
        <v>259</v>
      </c>
      <c r="C89" s="99" t="s">
        <v>46</v>
      </c>
      <c r="D89" s="99">
        <v>578</v>
      </c>
      <c r="E89" s="99">
        <v>693.6</v>
      </c>
    </row>
    <row r="90" spans="1:5">
      <c r="B90" s="98" t="s">
        <v>260</v>
      </c>
      <c r="C90" s="99" t="s">
        <v>46</v>
      </c>
      <c r="D90" s="99">
        <v>994</v>
      </c>
      <c r="E90" s="99">
        <v>1192.8</v>
      </c>
    </row>
    <row r="91" spans="1:5">
      <c r="A91" s="98" t="s">
        <v>132</v>
      </c>
      <c r="B91" s="98" t="s">
        <v>261</v>
      </c>
      <c r="C91" s="99" t="s">
        <v>46</v>
      </c>
      <c r="D91" s="99">
        <v>274</v>
      </c>
      <c r="E91" s="99">
        <v>328.8</v>
      </c>
    </row>
    <row r="92" spans="1:5">
      <c r="B92" s="98" t="s">
        <v>262</v>
      </c>
      <c r="C92" s="99" t="s">
        <v>46</v>
      </c>
      <c r="D92" s="99">
        <v>579</v>
      </c>
      <c r="E92" s="99">
        <v>694.8</v>
      </c>
    </row>
    <row r="93" spans="1:5">
      <c r="B93" s="98" t="s">
        <v>263</v>
      </c>
      <c r="C93" s="99" t="s">
        <v>46</v>
      </c>
      <c r="D93" s="99">
        <v>327</v>
      </c>
      <c r="E93" s="99">
        <v>392.4</v>
      </c>
    </row>
    <row r="94" spans="1:5">
      <c r="B94" s="98" t="s">
        <v>264</v>
      </c>
      <c r="C94" s="99" t="s">
        <v>46</v>
      </c>
      <c r="D94" s="99">
        <v>438</v>
      </c>
      <c r="E94" s="99">
        <v>525.6</v>
      </c>
    </row>
    <row r="95" spans="1:5">
      <c r="B95" s="98" t="s">
        <v>265</v>
      </c>
      <c r="C95" s="99" t="s">
        <v>46</v>
      </c>
      <c r="D95" s="99">
        <v>3507</v>
      </c>
      <c r="E95" s="99">
        <v>4208.3999999999996</v>
      </c>
    </row>
    <row r="96" spans="1:5">
      <c r="B96" s="98" t="s">
        <v>266</v>
      </c>
      <c r="C96" s="99" t="s">
        <v>46</v>
      </c>
      <c r="D96" s="99">
        <v>270</v>
      </c>
      <c r="E96" s="99">
        <v>324</v>
      </c>
    </row>
    <row r="97" spans="2:5">
      <c r="B97" s="98" t="s">
        <v>267</v>
      </c>
      <c r="C97" s="99" t="s">
        <v>46</v>
      </c>
      <c r="D97" s="99">
        <v>603</v>
      </c>
      <c r="E97" s="99">
        <v>723.6</v>
      </c>
    </row>
    <row r="98" spans="2:5">
      <c r="B98" s="98" t="s">
        <v>268</v>
      </c>
      <c r="C98" s="99" t="s">
        <v>46</v>
      </c>
      <c r="D98" s="99">
        <v>443</v>
      </c>
      <c r="E98" s="99">
        <v>531.6</v>
      </c>
    </row>
    <row r="99" spans="2:5">
      <c r="B99" s="98" t="s">
        <v>269</v>
      </c>
      <c r="C99" s="99" t="s">
        <v>46</v>
      </c>
      <c r="D99" s="99">
        <v>491</v>
      </c>
      <c r="E99" s="99">
        <v>589.19999999999993</v>
      </c>
    </row>
    <row r="100" spans="2:5">
      <c r="B100" s="98" t="s">
        <v>270</v>
      </c>
      <c r="C100" s="99" t="s">
        <v>46</v>
      </c>
      <c r="D100" s="99">
        <v>527</v>
      </c>
      <c r="E100" s="99">
        <v>632.4</v>
      </c>
    </row>
    <row r="101" spans="2:5">
      <c r="B101" s="98" t="s">
        <v>271</v>
      </c>
      <c r="C101" s="99" t="s">
        <v>46</v>
      </c>
      <c r="D101" s="99">
        <v>464</v>
      </c>
      <c r="E101" s="99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2014-12-18T06:48:37Z</dcterms:modified>
</cp:coreProperties>
</file>